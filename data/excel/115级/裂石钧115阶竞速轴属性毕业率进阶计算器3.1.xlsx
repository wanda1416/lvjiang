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aruhi\Desktop\计算器\"/>
    </mc:Choice>
  </mc:AlternateContent>
  <bookViews>
    <workbookView windowWidth="27945" windowHeight="12375" activeTab="4"/>
  </bookViews>
  <sheets>
    <sheet name="期望" sheetId="1" r:id="rId1"/>
    <sheet name="RD" sheetId="6"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<sst xmlns="http://schemas.openxmlformats.org/spreadsheetml/2006/main" count="10562" uniqueCount="301">
  <si>
    <t>最小攻击</t>
  </si>
  <si>
    <t>最大攻击</t>
  </si>
  <si>
    <t>穿透</t>
  </si>
  <si>
    <t>伤害加成</t>
  </si>
  <si>
    <t>武学属性</t>
  </si>
  <si>
    <t>裂石</t>
  </si>
  <si>
    <t>怪物属性</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</si>
  <si>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</si>
  <si>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</si>
  <si>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</si>
  <si>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</si>
  <si>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</si>
  <si>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</si>
  <si>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</si>
  <si>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</si>
  <si>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</si>
  <si>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</si>
  <si>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</si>
  <si>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</si>
  <si>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</si>
  <si>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</si>
  <si>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</si>
  <si>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</si>
  <si>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</si>
  <si>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</si>
  <si>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</si>
  <si>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</si>
  <si>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</si>
  <si>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</si>
  <si>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增益16</t>
  </si>
  <si>
    <t>增益17</t>
  </si>
  <si>
    <t>增益18</t>
  </si>
  <si>
    <t>增益19</t>
  </si>
  <si>
    <t>增益20</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</si>
  <si>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</si>
  <si>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</si>
  <si>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</si>
  <si>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</si>
  <si>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</si>
  <si>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</si>
  <si>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</si>
  <si>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</si>
  <si>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</si>
  <si>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</si>
  <si>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</si>
  <si>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</si>
  <si>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</si>
  <si>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</si>
  <si>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</si>
  <si>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</si>
  <si>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</si>
  <si>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</si>
  <si>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</si>
  <si>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</si>
  <si>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</si>
  <si>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</si>
  <si>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</si>
  <si>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</si>
  <si>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</si>
  <si>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</si>
  <si>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</si>
  <si>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</si>
  <si>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</si>
  <si>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</si>
  <si>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</si>
  <si>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</si>
  <si>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</si>
  <si>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</si>
  <si>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</si>
  <si>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</si>
  <si>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</si>
  <si>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特定增伤</t>
  </si>
  <si>
    <t>外功</t>
  </si>
  <si>
    <t>套装</t>
  </si>
  <si>
    <t>断岳</t>
  </si>
  <si>
    <t>防御</t>
  </si>
  <si>
    <t>萧呤千浪流星</t>
  </si>
  <si>
    <t>易水歌2层</t>
  </si>
  <si>
    <t>沧海帖1层</t>
  </si>
  <si>
    <t>胆寒</t>
  </si>
  <si>
    <t>N/a</t>
  </si>
  <si>
    <t>近战笛</t>
  </si>
  <si>
    <t>裁云(拐)</t>
  </si>
  <si>
    <t>无惧</t>
  </si>
  <si>
    <t>铁衣</t>
  </si>
  <si>
    <t>离猎(拐)</t>
  </si>
  <si>
    <t>鸣金</t>
  </si>
  <si>
    <t>外抗</t>
  </si>
  <si>
    <t>易水歌3层</t>
  </si>
  <si>
    <t>沧海帖2层</t>
  </si>
  <si>
    <t>惧刃</t>
  </si>
  <si>
    <t>穿喉5(普)</t>
  </si>
  <si>
    <t>陌刀</t>
  </si>
  <si>
    <t>属抗</t>
  </si>
  <si>
    <t>易水歌4层</t>
  </si>
  <si>
    <t>沧海帖3层</t>
  </si>
  <si>
    <t>牵丝</t>
  </si>
  <si>
    <t>横刀</t>
  </si>
  <si>
    <t>副本天赋</t>
  </si>
  <si>
    <t>易水歌5层</t>
  </si>
  <si>
    <t>沧海帖4层</t>
  </si>
  <si>
    <t>破竹</t>
  </si>
  <si>
    <t>单体奇术</t>
  </si>
  <si>
    <t>沧海帖5层</t>
  </si>
  <si>
    <t>无相</t>
  </si>
  <si>
    <t>群体奇术</t>
  </si>
  <si>
    <t>千灯一月单次</t>
  </si>
  <si>
    <t>精准率</t>
  </si>
  <si>
    <t>实际属性</t>
  </si>
  <si>
    <t>战斗时间</t>
  </si>
  <si>
    <t>会心率</t>
  </si>
  <si>
    <t>会意率</t>
  </si>
  <si>
    <t>总伤</t>
  </si>
  <si>
    <t>直接会心率</t>
  </si>
  <si>
    <t>直接会意率</t>
  </si>
  <si>
    <t>ADPS</t>
  </si>
  <si>
    <t>横刀～</t>
  </si>
  <si>
    <t>易水歌1层</t>
  </si>
  <si>
    <t>会心伤害加成</t>
  </si>
  <si>
    <t>白刃杀将刺</t>
  </si>
  <si>
    <t>会意伤害加成</t>
  </si>
  <si>
    <t>RDPS</t>
  </si>
  <si>
    <t>横刀安西军</t>
  </si>
  <si>
    <t>穿喉1</t>
  </si>
  <si>
    <t>全武增</t>
  </si>
  <si>
    <t>团队增益</t>
  </si>
  <si>
    <t>穿喉2</t>
  </si>
  <si>
    <t>首领增</t>
  </si>
  <si>
    <t>威</t>
  </si>
  <si>
    <t>√</t>
  </si>
  <si>
    <t>沧海帖</t>
  </si>
  <si>
    <t>毕业率</t>
  </si>
  <si>
    <t>穿喉3</t>
  </si>
  <si>
    <t>陌刀增</t>
  </si>
  <si>
    <t>尘</t>
  </si>
  <si>
    <t>所恨年年</t>
  </si>
  <si>
    <t>穿喉4</t>
  </si>
  <si>
    <t>横刀增</t>
  </si>
  <si>
    <t>虹</t>
  </si>
  <si>
    <t>机制时间</t>
  </si>
  <si>
    <t>陌刀安西军下劈无开山</t>
  </si>
  <si>
    <t>穿喉5</t>
  </si>
  <si>
    <t>中程笛(小人)</t>
  </si>
  <si>
    <t>奇术增</t>
  </si>
  <si>
    <t>陌刀安西军跳劈</t>
  </si>
  <si>
    <t>开山</t>
  </si>
  <si>
    <t>派生定音</t>
  </si>
  <si>
    <t>影</t>
  </si>
  <si>
    <t>加速陌刀三蓄</t>
  </si>
  <si>
    <t>中程笛(蓄力)</t>
  </si>
  <si>
    <t>蓄力技定音</t>
  </si>
  <si>
    <t>翊</t>
  </si>
  <si>
    <t>×</t>
  </si>
  <si>
    <t>唐刀第四心法</t>
  </si>
  <si>
    <t>陌刀安西军下劈</t>
  </si>
  <si>
    <t>固伤加成</t>
  </si>
  <si>
    <t>樽</t>
  </si>
  <si>
    <t>断石之构</t>
  </si>
  <si>
    <t>食物加成</t>
  </si>
  <si>
    <t>输出模式</t>
  </si>
  <si>
    <t>灯</t>
  </si>
  <si>
    <t>QQ</t>
  </si>
  <si>
    <t>前置</t>
  </si>
  <si>
    <t>笛</t>
  </si>
  <si>
    <t>横刀Q2</t>
  </si>
  <si>
    <t>骑龙回马</t>
  </si>
  <si>
    <t>切武器</t>
  </si>
  <si>
    <t>惧</t>
  </si>
  <si>
    <t>加速三蓄</t>
  </si>
  <si>
    <t>陌刀安西军跳劈无开山</t>
  </si>
  <si>
    <t>沧海帖6层</t>
  </si>
  <si>
    <t>陌刀三蓄</t>
  </si>
  <si>
    <t>荡八荒极</t>
  </si>
  <si>
    <t>陌刀安西军荡八荒无开山</t>
  </si>
  <si>
    <t>骑龙</t>
  </si>
  <si>
    <t>横刀Q1</t>
  </si>
  <si>
    <t>沧海帖7层</t>
  </si>
  <si>
    <t>蓄3</t>
  </si>
  <si>
    <t>沧海帖8层</t>
  </si>
  <si>
    <t>陌刀Q</t>
  </si>
  <si>
    <t>Q1</t>
  </si>
  <si>
    <t>沧海帖9层</t>
  </si>
  <si>
    <t>沧海帖10层</t>
  </si>
  <si>
    <t>气竭</t>
  </si>
  <si>
    <t>真气失衡</t>
  </si>
  <si>
    <t>加速陌刀三蓄无开山</t>
  </si>
  <si>
    <t>机制</t>
  </si>
  <si>
    <t>陌刀安西军荡八荒开山</t>
  </si>
  <si>
    <t>易武</t>
  </si>
  <si>
    <t>派</t>
  </si>
  <si>
    <t>左</t>
  </si>
  <si>
    <t>蓄力左</t>
  </si>
  <si>
    <t>易水歌6重</t>
  </si>
  <si>
    <t>断石</t>
  </si>
  <si>
    <t>断</t>
  </si>
  <si>
    <t>横刀重击派生(热血)</t>
  </si>
  <si>
    <t>横刀安西军(热血)</t>
  </si>
  <si>
    <t>横刀左蓄</t>
  </si>
  <si>
    <t>一段骑龙</t>
  </si>
  <si>
    <t>横刀重击派生</t>
  </si>
  <si>
    <t>横刀易武</t>
  </si>
  <si>
    <t>拉矢</t>
  </si>
  <si>
    <t>衍九矢9hit</t>
  </si>
  <si>
    <t>DPS</t>
  </si>
  <si>
    <t>第四心法</t>
  </si>
  <si>
    <t>最小外功</t>
  </si>
  <si>
    <t>最大外功</t>
  </si>
  <si>
    <t>外功加成</t>
  </si>
  <si>
    <t>外功穿透</t>
  </si>
  <si>
    <t>外攻伤害加成</t>
  </si>
  <si>
    <t>属性攻击加成</t>
  </si>
  <si>
    <t>会心伤害</t>
  </si>
  <si>
    <t>会意伤害</t>
  </si>
  <si>
    <t>蓄力</t>
  </si>
  <si>
    <t>强制精准</t>
  </si>
  <si>
    <t>强制会心</t>
  </si>
  <si>
    <t>强制会意</t>
  </si>
  <si>
    <t>定音加成</t>
  </si>
  <si>
    <t>派生技</t>
  </si>
  <si>
    <t>蓄力技</t>
  </si>
  <si>
    <t>陌刀一蓄(气竭)</t>
  </si>
  <si>
    <t>燃此魂秒放</t>
  </si>
  <si>
    <t>萧呤千浪AOE</t>
  </si>
  <si>
    <t>叶龙骧首(32层+70%HP)</t>
  </si>
  <si>
    <t>墨洗翰华(打盾)</t>
  </si>
  <si>
    <t>神龙吐火暗灼1hit</t>
  </si>
  <si>
    <t>神龙吐火暗灼2hit</t>
  </si>
  <si>
    <t>神龙吐火暗灼dot</t>
  </si>
  <si>
    <t>神龙吐火1hit</t>
  </si>
  <si>
    <t>神龙吐火2hit</t>
  </si>
  <si>
    <t>神龙吐火dot</t>
  </si>
  <si>
    <t>太白醉月1-4</t>
  </si>
  <si>
    <t>太白醉月5</t>
  </si>
  <si>
    <t>太白醉月爆燃</t>
  </si>
  <si>
    <t>太白醉月暗灼</t>
  </si>
  <si>
    <t>心法</t>
  </si>
  <si>
    <t>衍九矢9hit一段</t>
  </si>
  <si>
    <t>直接会心</t>
  </si>
  <si>
    <t>直接会意</t>
  </si>
  <si>
    <t>惊神(拐)</t>
  </si>
  <si>
    <t>烁鼓(拐)</t>
  </si>
  <si>
    <t>扶风(拐)</t>
  </si>
  <si>
    <t>食物</t>
  </si>
  <si>
    <t>鬼掣帖</t>
  </si>
  <si>
    <t>版本号</t>
  </si>
  <si>
    <t>编号</t>
  </si>
  <si>
    <t>描述</t>
  </si>
  <si>
    <t>BiliBili@片雲</t>
  </si>
  <si>
    <t>重构了计算器Pro版本,因为有xlookup函数,建议用WPS打开.</t>
  </si>
  <si>
    <t>如有问题⬆</t>
  </si>
  <si>
    <t>更新苍快气轴</t>
  </si>
  <si>
    <t>可能有小bug,但不会差很多</t>
  </si>
  <si>
    <t>修正了默认会伤错误</t>
  </si>
  <si>
    <t>修正慢蓄倍率和断岳特效</t>
  </si>
  <si>
    <t>插入了一个笛子,后半能保住血量的话沧海帖略高0.5%</t>
  </si>
  <si>
    <t>修正了固伤加成没有计算的问题</t>
  </si>
  <si>
    <t>修改了错误的帖子名字</t>
  </si>
  <si>
    <t>PS:请使用支持xlookup函数的软件版本</t>
  </si>
  <si>
    <t>修正了bug</t>
  </si>
  <si>
    <t>修正属性固伤</t>
  </si>
  <si>
    <t>将轴缩短至97秒</t>
  </si>
  <si>
    <t>修改了一些公式以模板化计算器</t>
  </si>
  <si>
    <t>增加了第四心法选择,优化了一些填表步骤.</t>
  </si>
  <si>
    <t>注:即使生效会心大于70%,易水歌5重+特效依然比征人归5重+特效多1.4%</t>
  </si>
  <si>
    <t>而多的60小攻只有1.2%,这个差距会在长时间战斗且气竭次数变少时被拉近</t>
  </si>
  <si>
    <t>略微变更了轴,修复了一些小bug</t>
  </si>
  <si>
    <t>修正了公式bug</t>
  </si>
  <si>
    <t>略微修正增益</t>
  </si>
  <si>
    <t>修正了强制精准公式</t>
  </si>
  <si>
    <t>修正了三围溢出造成的错误</t>
  </si>
  <si>
    <t>修复了一些小bug</t>
  </si>
  <si>
    <t>更新6月12日先琢版本</t>
  </si>
  <si>
    <t>轴完全不变的情况下削弱1.6%,主要来自食物,调整属性仅不到0.1%</t>
  </si>
  <si>
    <t>气竭铁花乘区修改+1.3%</t>
  </si>
  <si>
    <t>增加了一个隐藏表来计算实际rdps,以减少需要去掉团队增益的操作步骤</t>
  </si>
  <si>
    <t>略微变更了轴以匹配改动</t>
  </si>
  <si>
    <t>将所恨年年从尘增益区划入公共增益区以观测实际RD</t>
  </si>
  <si>
    <t>修正rd加成为武学平均值</t>
  </si>
  <si>
    <t>修正尘加成,去掉了rd计算中没有去掉的虹加成</t>
  </si>
  <si>
    <t>对diy属性进行了调整,加入了2条单体奇术增伤,+0.3%.</t>
  </si>
  <si>
    <t>不出意外下个版本差距更大</t>
  </si>
  <si>
    <t>更新蕤宾叠奏上半数值,将铁花替换成了无惧</t>
  </si>
  <si>
    <t>轴变更为拏云蛇慢气轴</t>
  </si>
  <si>
    <t>单增只比大裂石高一点点</t>
  </si>
  <si>
    <t>增加了鸣金影提供的rd</t>
  </si>
  <si>
    <t>不满会的配置约掉0.5%</t>
  </si>
  <si>
    <t>修正队友基础dps至11万</t>
  </si>
  <si>
    <t>更新蕤宾叠奏下半数值,更新虎孟极快气轴</t>
  </si>
  <si>
    <t>根据排轴修正rd</t>
  </si>
  <si>
    <t>增加了翊的rd,自身rd小于第二个威但不多</t>
  </si>
  <si>
    <t>修正了diy配比以配合打小人和打气稳定性与没精元打叶龙</t>
  </si>
  <si>
    <t>扩充了增益区</t>
  </si>
  <si>
    <t>增加了樽的rd</t>
  </si>
  <si>
    <t>按照上线内容修改了樽的rd</t>
  </si>
  <si>
    <t>更新杭州西版本蹊跷</t>
  </si>
  <si>
    <t>修正了DIY错误</t>
  </si>
  <si>
    <t>更新9月10日先琢版本,+3.1%</t>
  </si>
  <si>
    <t>修正尘rd</t>
  </si>
  <si>
    <t>更新南吕相和赛季</t>
  </si>
  <si>
    <t>增加了唐刀流选项,心法霜天易水穿喉断石,与满值陌刀差距5%</t>
  </si>
  <si>
    <t>真是一场酣畅淋漓的赤石</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</si>
</sst>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5">
      <alignment vertical="center"/>
    </xf>
    <xf numFmtId="0" fontId="3" fillId="0" borderId="0">
      <alignment vertical="center"/>
    </xf>
    <xf numFmtId="0" fontId="4" fillId="0" borderId="0">
      <alignment vertical="center"/>
    </xf>
    <xf numFmtId="0" fontId="5" fillId="0" borderId="0">
      <alignment vertical="center"/>
    </xf>
    <xf numFmtId="0" fontId="6" fillId="0" borderId="16">
      <alignment vertical="center"/>
    </xf>
    <xf numFmtId="0" fontId="7" fillId="0" borderId="16">
      <alignment vertical="center"/>
    </xf>
    <xf numFmtId="0" fontId="8" fillId="0" borderId="17">
      <alignment vertical="center"/>
    </xf>
    <xf numFmtId="0" fontId="8" fillId="0" borderId="0">
      <alignment vertical="center"/>
    </xf>
    <xf numFmtId="0" fontId="9" fillId="8" borderId="18">
      <alignment vertical="center"/>
    </xf>
    <xf numFmtId="0" fontId="10" fillId="9" borderId="19">
      <alignment vertical="center"/>
    </xf>
    <xf numFmtId="0" fontId="11" fillId="9" borderId="18">
      <alignment vertical="center"/>
    </xf>
    <xf numFmtId="0" fontId="12" fillId="10" borderId="20">
      <alignment vertical="center"/>
    </xf>
    <xf numFmtId="0" fontId="13" fillId="0" borderId="21">
      <alignment vertical="center"/>
    </xf>
    <xf numFmtId="0" fontId="14" fillId="0" borderId="22">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99">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176" fontId="0" fillId="0" borderId="6" xfId="0" applyNumberFormat="1"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76" fontId="0" fillId="0" borderId="9" xfId="0" applyNumberForma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176" fontId="0" fillId="0" borderId="1" xfId="0" applyNumberFormat="1" applyBorder="1" applyAlignment="1">
      <alignment horizontal="center" vertical="center"/>
    </xf>
    <xf numFmtId="0" fontId="0" fillId="0" borderId="2" xfId="0" applyBorder="1" applyAlignment="1">
      <alignment vertical="center"/>
    </xf>
    <xf numFmtId="176" fontId="0" fillId="0" borderId="6" xfId="0" applyNumberFormat="1" applyBorder="1" applyAlignment="1">
      <alignment horizontal="center" vertical="center"/>
    </xf>
    <xf numFmtId="176" fontId="0" fillId="0" borderId="4" xfId="0" applyNumberFormat="1" applyBorder="1" applyAlignment="1">
      <alignment horizontal="center" vertical="center"/>
    </xf>
    <xf numFmtId="0" fontId="0" fillId="0" borderId="0" xfId="0" applyBorder="1" applyAlignment="1">
      <alignment vertical="center"/>
    </xf>
    <xf numFmtId="2" fontId="0" fillId="0" borderId="9" xfId="0" applyNumberFormat="1" applyBorder="1" applyAlignment="1">
      <alignment horizontal="center" vertical="center"/>
    </xf>
    <xf numFmtId="2" fontId="0" fillId="0" borderId="1" xfId="0" applyNumberFormat="1" applyBorder="1" applyAlignment="1">
      <alignment horizontal="center" vertical="center"/>
    </xf>
    <xf numFmtId="2" fontId="0" fillId="0" borderId="6" xfId="0" applyNumberFormat="1" applyBorder="1" applyAlignment="1">
      <alignment horizontal="center" vertical="center"/>
    </xf>
    <xf numFmtId="2" fontId="0" fillId="0" borderId="4" xfId="0" applyNumberFormat="1" applyBorder="1" applyAlignment="1">
      <alignment horizontal="center" vertical="center"/>
    </xf>
    <xf numFmtId="176" fontId="0" fillId="0" borderId="1" xfId="0" applyNumberFormat="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176" fontId="0" fillId="0" borderId="6" xfId="0" applyNumberForma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2" fontId="0" fillId="0" borderId="0" xfId="0" applyNumberFormat="1">
      <alignment vertical="center"/>
    </xf>
    <xf numFmtId="0" fontId="0" fillId="0" borderId="0" xfId="0" applyFill="1" applyAlignment="1">
      <alignment horizontal="left"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0"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12" xfId="0" applyBorder="1" applyAlignment="1">
      <alignment horizontal="center" vertical="center"/>
    </xf>
    <xf numFmtId="176" fontId="0" fillId="0" borderId="3" xfId="0" applyNumberFormat="1" applyBorder="1" applyAlignment="1">
      <alignment horizontal="center" vertical="center"/>
    </xf>
    <xf numFmtId="176" fontId="0" fillId="0" borderId="0" xfId="0" applyNumberFormat="1" applyAlignment="1">
      <alignment horizontal="center" vertical="center"/>
    </xf>
    <xf numFmtId="10" fontId="0" fillId="2" borderId="5" xfId="0" applyNumberFormat="1" applyFill="1" applyBorder="1" applyAlignment="1">
      <alignment vertical="center"/>
    </xf>
    <xf numFmtId="0" fontId="0" fillId="0" borderId="13" xfId="0" applyBorder="1" applyAlignment="1">
      <alignment horizontal="center" vertical="center"/>
    </xf>
    <xf numFmtId="176" fontId="0" fillId="0" borderId="8" xfId="0" applyNumberFormat="1" applyBorder="1" applyAlignment="1">
      <alignment horizontal="center" vertical="center"/>
    </xf>
    <xf numFmtId="2" fontId="0" fillId="0" borderId="3"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0" xfId="0" applyNumberFormat="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10" fontId="0" fillId="0" borderId="14" xfId="0" applyNumberFormat="1" applyBorder="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0" fontId="0" fillId="2" borderId="7" xfId="0" applyFill="1" applyBorder="1" applyAlignment="1">
      <alignment vertical="center"/>
    </xf>
    <xf numFmtId="177" fontId="0" fillId="0" borderId="5" xfId="0" applyNumberFormat="1" applyBorder="1" applyAlignment="1">
      <alignment vertical="center"/>
    </xf>
    <xf numFmtId="177" fontId="0" fillId="0" borderId="7" xfId="0" applyNumberFormat="1" applyBorder="1" applyAlignment="1">
      <alignment vertical="center"/>
    </xf>
    <xf numFmtId="0" fontId="0" fillId="0" borderId="8"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b val="1"/>
        <i val="0"/>
        <color rgb="FF00B050"/>
      </font>
      <fill>
        <patternFill patternType="solid">
          <bgColor theme="0"/>
        </patternFill>
      </fill>
    </dxf>
    <dxf>
      <font>
        <b val="1"/>
        <i val="0"/>
        <color rgb="FFFF0000"/>
      </font>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236"/>
  <sheetViews>
    <sheetView workbookViewId="0">
      <selection activeCell="D90" sqref="D90"/>
    </sheetView>
  </sheetViews>
  <sheetFormatPr defaultColWidth="9" defaultRowHeight="13.5"/>
  <cols>
    <col min="1" max="1" width="12.875" customWidth="1"/>
    <col min="12" max="16" width="12.625" style="34" customWidth="1"/>
    <col min="18" max="18" width="24.625" style="39" customWidth="1"/>
    <col min="19" max="38" width="9" style="39"/>
    <col min="40" max="40" width="9.375" style="33"/>
    <col min="41" max="41" width="9" style="34"/>
    <col min="42" max="42" width="9.375" style="33"/>
    <col min="43" max="43" width="9" style="34"/>
    <col min="44" max="45" width="9" style="33"/>
    <col min="48" max="50" width="9" style="40"/>
    <col min="53" max="54" width="9" style="40"/>
    <col min="67" max="71" width="9" style="33"/>
    <col min="72" max="73" width="9.00833333333333" style="33" customWidth="1"/>
    <col min="74" max="76" width="9" style="33"/>
  </cols>
  <sheetData>
    <row r="1" spans="1:76">
      <c r="A1" s="41"/>
      <c r="B1" s="42" t="s">
        <v>0</v>
      </c>
      <c r="C1" s="42" t="s">
        <v>1</v>
      </c>
      <c r="D1" s="42" t="s">
        <v>2</v>
      </c>
      <c r="E1" s="43" t="s">
        <v>3</v>
      </c>
      <c r="F1" s="44" t="s">
        <v>4</v>
      </c>
      <c r="G1" s="45" t="s">
        <v>5</v>
      </c>
      <c r="H1" s="44" t="s">
        <v>6</v>
      </c>
      <c r="I1" s="45"/>
      <c r="L1" s="46" t="s">
        <v>7</v>
      </c>
      <c r="M1" s="46" t="s">
        <v>8</v>
      </c>
      <c r="N1" s="46" t="s">
        <v>9</v>
      </c>
      <c r="O1" s="46" t="s">
        <v>10</v>
      </c>
      <c r="P1" s="46" t="s">
        <v>11</v>
      </c>
      <c r="Q1" s="47" t="s">
        <v>12</v>
      </c>
      <c r="R1" s="48" t="s">
        <v>13</v>
      </c>
      <c r="S1" s="48" t="s">
        <v>14</v>
      </c>
      <c r="T1" s="48" t="s">
        <v>15</v>
      </c>
      <c r="U1" s="48" t="s">
        <v>16</v>
      </c>
      <c r="V1" s="48" t="s">
        <v>17</v>
      </c>
      <c r="W1" s="48" t="s">
        <v>18</v>
      </c>
      <c r="X1" s="48" t="s">
        <v>19</v>
      </c>
      <c r="Y1" s="48" t="s">
        <v>20</v>
      </c>
      <c r="Z1" s="48" t="s">
        <v>21</v>
      </c>
      <c r="AA1" s="48" t="s">
        <v>22</v>
      </c>
      <c r="AB1" s="48" t="s">
        <v>23</v>
      </c>
      <c r="AC1" s="48" t="s">
        <v>24</v>
      </c>
      <c r="AD1" s="48" t="s">
        <v>25</v>
      </c>
      <c r="AE1" s="48" t="s">
        <v>26</v>
      </c>
      <c r="AF1" s="48" t="s">
        <v>27</v>
      </c>
      <c r="AG1" s="48" t="s">
        <v>28</v>
      </c>
      <c r="AH1" s="48" t="s">
        <v>29</v>
      </c>
      <c r="AI1" s="48" t="s">
        <v>30</v>
      </c>
      <c r="AJ1" s="48" t="s">
        <v>31</v>
      </c>
      <c r="AK1" s="48" t="s">
        <v>32</v>
      </c>
      <c r="AL1" s="48" t="s">
        <v>33</v>
      </c>
      <c r="AM1" t="s">
        <v>34</v>
      </c>
      <c r="AN1" s="33" t="s">
        <v>35</v>
      </c>
      <c r="AO1" s="34" t="s">
        <v>36</v>
      </c>
      <c r="AP1" s="33" t="s">
        <v>37</v>
      </c>
      <c r="AQ1" s="34" t="s">
        <v>38</v>
      </c>
      <c r="AR1" s="33" t="s">
        <v>39</v>
      </c>
      <c r="AS1" s="33" t="s">
        <v>40</v>
      </c>
      <c r="AT1" t="s">
        <v>41</v>
      </c>
      <c r="AU1" t="s">
        <v>42</v>
      </c>
      <c r="AV1" s="40" t="s">
        <v>43</v>
      </c>
      <c r="AW1" s="40" t="s">
        <v>44</v>
      </c>
      <c r="AX1" s="40" t="s">
        <v>45</v>
      </c>
      <c r="AY1" t="s">
        <v>46</v>
      </c>
      <c r="AZ1" t="s">
        <v>47</v>
      </c>
      <c r="BA1" s="40" t="s">
        <v>48</v>
      </c>
      <c r="BB1" s="40" t="s">
        <v>49</v>
      </c>
      <c r="BC1" t="s">
        <v>50</v>
      </c>
      <c r="BD1" t="s">
        <v>51</v>
      </c>
      <c r="BE1" s="40" t="s">
        <v>52</v>
      </c>
      <c r="BF1" s="40" t="s">
        <v>53</v>
      </c>
      <c r="BG1" t="s">
        <v>54</v>
      </c>
      <c r="BH1" t="s">
        <v>55</v>
      </c>
      <c r="BI1" s="40" t="s">
        <v>56</v>
      </c>
      <c r="BJ1" s="40" t="s">
        <v>57</v>
      </c>
      <c r="BK1" t="s">
        <v>58</v>
      </c>
      <c r="BL1" t="s">
        <v>59</v>
      </c>
      <c r="BM1" s="40" t="s">
        <v>60</v>
      </c>
      <c r="BN1" s="40" t="s">
        <v>61</v>
      </c>
      <c r="BO1" s="33" t="s">
        <v>62</v>
      </c>
      <c r="BP1" s="33" t="s">
        <v>63</v>
      </c>
      <c r="BQ1" s="33" t="s">
        <v>64</v>
      </c>
      <c r="BR1" s="33" t="s">
        <v>65</v>
      </c>
      <c r="BS1" s="33" t="s">
        <v>66</v>
      </c>
      <c r="BT1" s="33" t="s">
        <v>67</v>
      </c>
      <c r="BU1" s="33" t="s">
        <v>68</v>
      </c>
      <c r="BV1" s="33" t="s">
        <v>69</v>
      </c>
      <c r="BW1" s="33" t="s">
        <v>70</v>
      </c>
      <c r="BX1" s="33" t="s">
        <v>71</v>
      </c>
    </row>
    <row r="2" spans="1:76">
      <c r="A2" s="49" t="s">
        <v>72</v>
      </c>
      <c r="B2" s="39">
        <v>4473</v>
      </c>
      <c r="C2" s="39">
        <v>3339.6</v>
      </c>
      <c r="D2" s="39">
        <f>58.68+IF(AND($E$24="唐刀",$E$22="征人归"),5.1,0)</f>
        <v>58.68</v>
      </c>
      <c r="E2" s="50"/>
      <c r="F2" s="51" t="s">
        <v>73</v>
      </c>
      <c r="G2" s="52" t="s">
        <v>74</v>
      </c>
      <c r="H2" s="53" t="s">
        <v>75</v>
      </c>
      <c r="I2" s="11">
        <f>687*(1-IF(F17="√",0.06,0)-IF(D20="√",0.04,0))</f>
        <v>618.3</v>
      </c>
      <c r="L2" s="46">
        <f>($M2*$BT2+$N2*$BR2+$O2*$BU2+$P2*$BV2)</f>
        <v>34957.827205777</v>
      </c>
      <c r="M2" s="46">
        <f>((($AT2+$AU2)/2*$AN2+$AO2)*(1+$AV2)*(1+$AW2)+(($AY2+$AZ2)/2*IF($G$1="鸣金",$AP2,$AN2)+IF($G$1="鸣金",$AQ2*1.5,0))*(1+$BA2)*(1+$BB2)+(($BC2+$BD2)/2*IF($G$1="裂石",$AP2,$AN2)+IF($G$1="裂石",$AQ2*1.5,0))*(1+$BE2)*(1+$BF2)+(($BG2+$BH2)/2*IF($G$1="牵丝",$AP2,$AN2)+IF($G$1="牵丝",$AQ2*1.5,0))*(1+$BI2)*(1+$BJ2)+(($BK2+$BL2)/2*IF($G$1="破竹",$AP2,$AN2)+IF($G$1="破竹",$AQ2*1.5,0))*(1+$BM2)*(1+$BN2))*(1+$AR2)*$BQ2*$Q2*(1+IF(VLOOKUP($R2,武学奇术!$A:$ZZ,30,FALSE)="蓄力技",$B$21,0))*(1+IF(VLOOKUP($R2,武学奇术!$A:$ZZ,30,FALSE)="派生技",$B$20,0))*(1+$BW2)*(1+$BX2)</f>
        <v>36121.6233639752</v>
      </c>
      <c r="N2" s="46">
        <f>(($AU2*$AN2+$AO2)*(1+$AV2)*(1+$AW2)+($AZ2*IF($G$1="鸣金",$AP2,$AN2)+IF($G$1="鸣金",$AQ2*1.5,0))*(1+$BA2)*(1+$BB2)+($BD2*IF($G$1="裂石",$AP2,$AN2)+IF($G$1="裂石",$AQ2*1.5,0))*(1+$BE2)*(1+$BF2)+($BH2*IF($G$1="牵丝",$AP2,$AN2)+IF($G$1="牵丝",$AQ2*1.5,0))*(1+$BI2)*(1+$BJ2)+($BL2*IF($G$1="破竹",$AP2,$AN2)+IF($G$1="破竹",$AQ2*1.5,0))*(1+$BM2)*(1+$BN2))*(1+$AR2)*$BS2*$Q2*(1+IF(VLOOKUP($R2,武学奇术!$A:$ZZ,30,FALSE)="蓄力技",$B$21,0))*(1+IF(VLOOKUP($R2,武学奇术!$A:$ZZ,30,FALSE)="派生技",$B$20,0))*(1+$BW2)*(1+$BX2)</f>
        <v>31310.8849668067</v>
      </c>
      <c r="O2" s="46">
        <f>((($AT2+$AU2)/2*$AN2+$AO2)*(1+$AV2)*(1+$AW2)+(($AY2+$AZ2)/2*IF($G$1="鸣金",$AP2,$AN2)+IF($G$1="鸣金",$AQ2*1.5,0))*(1+$BA2)*(1+$BB2)+(($BC2+$BD2)/2*IF($G$1="裂石",$AP2,$AN2)+IF($G$1="裂石",$AQ2*1.5,0))*(1+$BE2)*(1+$BF2)+(($BG2+$BH2)/2*IF($G$1="牵丝",$AP2,$AN2)+IF($G$1="牵丝",$AQ2*1.5,0))*(1+$BI2)*(1+$BJ2)+(($BK2+$BL2)/2*IF($G$1="破竹",$AP2,$AN2)+IF($G$1="破竹",$AQ2*1.5,0))*(1+$BM2)*(1+$BN2))*(1+$AR2)*$Q2*(1+IF(VLOOKUP($R2,武学奇术!$A:$ZZ,30,FALSE)="蓄力技",$B$21,0))*(1+IF(VLOOKUP($R2,武学奇术!$A:$ZZ,30,FALSE)="派生技",$B$20,0))*(1+$BW2)*(1+$BX2)</f>
        <v>20523.6496386223</v>
      </c>
      <c r="P2" s="46">
        <f>((($AT2*$AN2+$AO2)*(1+$AV2)*(1+$AW2)+($AY2*IF($G$1="鸣金",$AP2,$AN2)+IF($G$1="鸣金",$AQ2*1.5,0))*(1+$BA2)*(1+$BB2)+($BC2*IF($G$1="裂石",$AP2,$AN2)+IF($G$1="裂石",$AQ2*1.5,0))*(1+$BE2)*(1+$BF2)+($BG2*IF($G$1="牵丝",$AP2,$AN2)+IF($G$1="牵丝",$AQ2*1.5,0))*(1+$BI2)*(1+$BJ2)+($BK2*IF($G$1="破竹",$AP2,$AN2)+IF($G$1="破竹",$AQ2*1.5,0))*(1+$BM2)*(1+$BN2))*(1+$AR2))*$Q2*(1+IF(VLOOKUP($R2,武学奇术!$A:$ZZ,30,FALSE)="蓄力技",$B$21,0))*(1+IF(VLOOKUP($R2,武学奇术!$A:$ZZ,30,FALSE)="派生技",$B$20,0))*(1+$BW2)*(1+$BX2)</f>
        <v>17854.051153684</v>
      </c>
      <c r="Q2" s="47">
        <f>IF($E$24="陌刀",1,0)</f>
        <v>1</v>
      </c>
      <c r="R2" s="48" t="s">
        <v>76</v>
      </c>
      <c r="S2" s="48" t="s">
        <v>77</v>
      </c>
      <c r="T2" s="48" t="s">
        <v>78</v>
      </c>
      <c r="U2" s="48" t="s">
        <v>79</v>
      </c>
      <c r="V2" s="48" t="s">
        <v>80</v>
      </c>
      <c r="W2" s="48" t="s">
        <v>80</v>
      </c>
      <c r="X2" s="48" t="s">
        <v>80</v>
      </c>
      <c r="Y2" s="48" t="s">
        <v>80</v>
      </c>
      <c r="Z2" s="48" t="s">
        <v>81</v>
      </c>
      <c r="AA2" s="48" t="s">
        <v>80</v>
      </c>
      <c r="AB2" s="48" t="s">
        <v>80</v>
      </c>
      <c r="AC2" s="48" t="s">
        <v>80</v>
      </c>
      <c r="AD2" s="48" t="s">
        <v>80</v>
      </c>
      <c r="AE2" s="48" t="s">
        <v>82</v>
      </c>
      <c r="AF2" s="48" t="s">
        <v>83</v>
      </c>
      <c r="AG2" s="48" t="s">
        <v>84</v>
      </c>
      <c r="AH2" s="48" t="s">
        <v>80</v>
      </c>
      <c r="AI2" s="48" t="s">
        <v>80</v>
      </c>
      <c r="AJ2" s="48" t="s">
        <v>80</v>
      </c>
      <c r="AK2" s="48" t="s">
        <v>80</v>
      </c>
      <c r="AL2" s="48" t="s">
        <v>85</v>
      </c>
      <c r="AM2" t="str">
        <f>VLOOKUP($R2,武学奇术!$A:$ZZ,25,FALSE)</f>
        <v>群体奇术</v>
      </c>
      <c r="AN2" s="33">
        <f>VLOOKUP($R2,武学奇术!$A:$ZZ,26,FALSE)</f>
        <v>1.4906</v>
      </c>
      <c r="AO2" s="34">
        <f>VLOOKUP($R2,武学奇术!$A:$ZZ,27,FALSE)*(1+IF(OR($AM2=$F$4,$AM2=$F$5),$B$22,0))</f>
        <v>386</v>
      </c>
      <c r="AP2" s="33">
        <f>VLOOKUP($R2,武学奇术!$A:$ZZ,28,FALSE)</f>
        <v>2.2359</v>
      </c>
      <c r="AQ2" s="34">
        <f>VLOOKUP($R2,武学奇术!$A:$ZZ,29,FALSE)*(1+IF(OR($AM2=$F$4,$AM2=$F$5),$B$22,0))</f>
        <v>0</v>
      </c>
      <c r="AR2" s="33" cm="1">
        <f t="array" ref="AR2">$G$3+IFERROR(VLOOKUP($AM2,$F$4:$G$7,2,FALSE),0)+VLOOKUP($R2,武学奇术!$A:$ZZ,2,FALSE)+SUM(_xlfn.XLOOKUP($S2:$AL2,增益!$A:$A,增益!$B:$B,0))</f>
        <v>0.3542</v>
      </c>
      <c r="AS2" s="33" cm="1">
        <f t="array" ref="AS2">VLOOKUP($R2,武学奇术!$A:$ZZ,5,FALSE)+SUM(_xlfn.XLOOKUP($S2:$AL2,增益!$A:$A,增益!$E:$E,0))</f>
        <v>0</v>
      </c>
      <c r="AT2" cm="1">
        <f t="array" ref="AT2">$D$10*(1+$AS2)+VLOOKUP($R2,武学奇术!$A:$ZZ,3,FALSE)+SUM(_xlfn.XLOOKUP($S2:$AL2,增益!$A:$A,增益!$C:$C,0))-$I$2</f>
        <v>4094.7</v>
      </c>
      <c r="AU2" cm="1">
        <f t="array" ref="AU2">$E$10*(1+$AS2)+VLOOKUP($R2,武学奇术!$A:$ZZ,4,FALSE)+SUM(_xlfn.XLOOKUP($S2:$AL2,增益!$A:$A,增益!$D:$D,0))-$I$2</f>
        <v>4094.7</v>
      </c>
      <c r="AV2" s="40" cm="1">
        <f t="array" ref="AV2">IF($F$10-$I$3+VLOOKUP($R2,武学奇术!$A:$ZZ,6,FALSE)+SUM(_xlfn.XLOOKUP($S2:$AL2,增益!$A:$A,增益!$F:$F,0))&gt;0,($F$10-$I$3+VLOOKUP($R2,武学奇术!$A:$ZZ,6,FALSE)+SUM(_xlfn.XLOOKUP($S2:$AL2,增益!$A:$A,增益!$F:$F,0)))/200,($F$10-$I$3+VLOOKUP($R2,武学奇术!$A:$ZZ,6,FALSE)+SUM(_xlfn.XLOOKUP($S2:$AL2,增益!$A:$A,增益!$F:$F,0)))/100)</f>
        <v>0.3334</v>
      </c>
      <c r="AW2" s="40" cm="1">
        <f t="array" ref="AW2">$G$10+VLOOKUP($R2,武学奇术!$A:$ZZ,7,FALSE)+SUM(_xlfn.XLOOKUP($S2:$AL2,增益!$A:$A,增益!$G:$G,0))</f>
        <v>0.14</v>
      </c>
      <c r="AX2" s="33" cm="1">
        <f t="array" ref="AX2">VLOOKUP($R2,武学奇术!$A:$ZZ,8,FALSE)+SUM(_xlfn.XLOOKUP($S2:$AL2,增益!$A:$A,增益!$H:$H,0))</f>
        <v>0</v>
      </c>
      <c r="AY2">
        <f>$D$11*(1+$AX2)</f>
        <v>0</v>
      </c>
      <c r="AZ2">
        <f>$E$11*(1+$AX2)</f>
        <v>0</v>
      </c>
      <c r="BA2" s="40" cm="1">
        <f t="array" ref="BA2">IF($F$11-$I$4+VLOOKUP($R2,武学奇术!$A:$ZZ,9,FALSE)+SUM(_xlfn.XLOOKUP($S2:$AL2,增益!$A:$A,增益!$I:$I,0))&gt;0,($F$11-$I$4+VLOOKUP($R2,武学奇术!$A:$ZZ,9,FALSE)+SUM(_xlfn.XLOOKUP($S2:$AL2,增益!$A:$A,增益!$I:$I,0)))/200,($F$11-$I$4+VLOOKUP($R2,武学奇术!$A:$ZZ,9,FALSE)+SUM(_xlfn.XLOOKUP($S2:$AL2,增益!$A:$A,增益!$I:$I,0)))/100)</f>
        <v>-0.3</v>
      </c>
      <c r="BB2" s="40" cm="1">
        <f t="array" ref="BB2">$G$11+VLOOKUP($R2,武学奇术!$A:$ZZ,10,FALSE)+SUM(_xlfn.XLOOKUP($S2:$AL2,增益!$A:$A,增益!$J:$J,0))</f>
        <v>0.02</v>
      </c>
      <c r="BC2">
        <f>$D$12*(1+$AX2)</f>
        <v>640.3</v>
      </c>
      <c r="BD2">
        <f>$E$12*(1+$AX2)</f>
        <v>1770.1</v>
      </c>
      <c r="BE2" s="40" cm="1">
        <f t="array" ref="BE2">IF($F$12-$I$4+VLOOKUP($R2,武学奇术!$A:$ZZ,11,FALSE)+SUM(_xlfn.XLOOKUP($S2:$AL2,增益!$A:$A,增益!$K:$K,0))&gt;0,($F$12-$I$4+VLOOKUP($R2,武学奇术!$A:$ZZ,11,FALSE)+SUM(_xlfn.XLOOKUP($S2:$AL2,增益!$A:$A,增益!$K:$K,0)))/200,($F$12-$I$4+VLOOKUP($R2,武学奇术!$A:$ZZ,11,FALSE)+SUM(_xlfn.XLOOKUP($S2:$AL2,增益!$A:$A,增益!$K:$K,0)))/100)</f>
        <v>0.09</v>
      </c>
      <c r="BF2" s="40" cm="1">
        <f t="array" ref="BF2">$G$12+VLOOKUP($R2,武学奇术!$A:$ZZ,12,FALSE)+SUM(_xlfn.XLOOKUP($S2:$AL2,增益!$A:$A,增益!$L:$L,0))</f>
        <v>0.29</v>
      </c>
      <c r="BG2">
        <f>$D$13*(1+$AX2)</f>
        <v>0</v>
      </c>
      <c r="BH2">
        <f>$E$13*(1+$AX2)</f>
        <v>0</v>
      </c>
      <c r="BI2" s="40" cm="1">
        <f t="array" ref="BI2">IF($F$13-$I$4+VLOOKUP($R2,武学奇术!$A:$ZZ,13,FALSE)+SUM(_xlfn.XLOOKUP($S2:$AL2,增益!$A:$A,增益!$M:$M,0))&gt;0,($F$13-$I$4+VLOOKUP($R2,武学奇术!$A:$ZZ,13,FALSE)+SUM(_xlfn.XLOOKUP($S2:$AL2,增益!$A:$A,增益!$K:$K,0)))/200,($F$13-$I$4+VLOOKUP($R2,武学奇术!$A:$ZZ,13,FALSE)+SUM(_xlfn.XLOOKUP($S2:$AL2,增益!$A:$A,增益!$M:$M,0)))/100)</f>
        <v>-0.3</v>
      </c>
      <c r="BJ2" s="40" cm="1">
        <f t="array" ref="BJ2">$G$13+VLOOKUP($R2,武学奇术!$A:$ZZ,14,FALSE)+SUM(_xlfn.XLOOKUP($S2:$AL2,增益!$A:$A,增益!$N:$N,0))</f>
        <v>0.02</v>
      </c>
      <c r="BK2">
        <f>$D$14*(1+$AX2)</f>
        <v>0</v>
      </c>
      <c r="BL2">
        <f>$E$14*(1+$AX2)</f>
        <v>0</v>
      </c>
      <c r="BM2" s="40" cm="1">
        <f t="array" ref="BM2">IF($F$14-$I$4+VLOOKUP($R2,武学奇术!$A:$ZZ,15,FALSE)+SUM(_xlfn.XLOOKUP($S2:$AL2,增益!$A:$A,增益!$O:$O,0))&gt;0,($F$14-$I$4+VLOOKUP($R2,武学奇术!$A:$ZZ,15,FALSE)+SUM(_xlfn.XLOOKUP($S2:$AL2,增益!$A:$A,增益!$O:$O,0)))/200,($F$14-$I$4+VLOOKUP($R2,武学奇术!$A:$ZZ,15,FALSE)+SUM(_xlfn.XLOOKUP($S2:$AL2,增益!$A:$A,增益!$O:$O,0)))/100)</f>
        <v>-0.3</v>
      </c>
      <c r="BN2" s="40" cm="1">
        <f t="array" ref="BN2">$G$14+VLOOKUP($R2,武学奇术!$A:$ZZ,16,FALSE)+SUM(_xlfn.XLOOKUP($S2:$AL2,增益!$A:$A,增益!$P:$P,0))</f>
        <v>0.02</v>
      </c>
      <c r="BO2" s="33">
        <f>MIN(IF(VLOOKUP($R2,武学奇术!$A:$ZZ,23,FALSE)=1,100%,$B$8),100%)</f>
        <v>0.9771</v>
      </c>
      <c r="BP2" s="33" cm="1">
        <f t="array" ref="BP2">IF(VLOOKUP($R2,武学奇术!$A:$ZZ,23,FALSE)=1,100%,MIN(80%,$B$9+VLOOKUP($R2,武学奇术!$A:$ZZ,17,FALSE)+SUM(_xlfn.XLOOKUP($S2:$AL2,增益!$A:$A,增益!$Q:$Q,0)))+$B$11+SUM(_xlfn.XLOOKUP($S2:$AL2,增益!$A:$A,增益!$U:$U,0)))*IF(VLOOKUP($R2,武学奇术!$A:$ZZ,24,FALSE)=1,0,1)</f>
        <v>0.8861</v>
      </c>
      <c r="BQ2" s="33" cm="1">
        <f t="array" ref="BQ2">1+$B$13+VLOOKUP($R2,武学奇术!$A:$ZZ,18,FALSE)+SUM(_xlfn.XLOOKUP($S2:$AL2,增益!$A:$A,增益!$R:$R,0))</f>
        <v>1.76</v>
      </c>
      <c r="BR2" s="33" cm="1">
        <f t="array" ref="BR2">IF(VLOOKUP($R2,武学奇术!$A:$ZZ,24,FALSE)=1,100%,MIN(40%,$B$10+VLOOKUP($R2,武学奇术!$A:$ZZ,19,FALSE)+SUM(_xlfn.XLOOKUP($S2:$AL2,增益!$A:$A,增益!$S:$S,0)))+$B$12+SUM(_xlfn.XLOOKUP($S2:$AL2,增益!$A:$A,增益!$V:$V,0)))*IF(VLOOKUP($R2,武学奇术!$A:$ZZ,23,FALSE)=1,0,1)</f>
        <v>0.0913</v>
      </c>
      <c r="BS2" s="33" cm="1">
        <f t="array" ref="BS2">1+$B$14+VLOOKUP($R2,武学奇术!$A:$ZZ,20,FALSE)+SUM(_xlfn.XLOOKUP($S2:$AL2,增益!$A:$A,增益!$T:$T,0))</f>
        <v>1.35</v>
      </c>
      <c r="BT2" s="33">
        <f>MIN((1-BR2)*BO2,BO2*BP2)</f>
        <v>0.86580831</v>
      </c>
      <c r="BU2" s="33">
        <f>1-BR2-BT2-BV2</f>
        <v>0.02208246</v>
      </c>
      <c r="BV2" s="33">
        <f>IF(VLOOKUP($R2,武学奇术!$A:$ZZ,22,FALSE)=1,0,(1-$BO2))*(1-$BR2)</f>
        <v>0.02080923</v>
      </c>
      <c r="BW2" s="33" cm="1">
        <f t="array" ref="BW2">SUM(_xlfn.XLOOKUP($S2:$AL2,增益!$A:$A,增益!$W:$W,0))+$I$5</f>
        <v>0.11</v>
      </c>
      <c r="BX2" s="33" cm="1">
        <f t="array" ref="BX2">VLOOKUP($R2,武学奇术!$A:$ZZ,32,FALSE)+SUM(_xlfn.XLOOKUP($S2:$AL2,增益!$A:$A,增益!$X:$X,0))</f>
        <v>0</v>
      </c>
    </row>
    <row r="3" spans="1:76">
      <c r="A3" s="54" t="s">
        <v>86</v>
      </c>
      <c r="B3" s="55"/>
      <c r="C3" s="55"/>
      <c r="D3" s="55"/>
      <c r="E3" s="56"/>
      <c r="F3" s="53" t="s">
        <v>39</v>
      </c>
      <c r="G3" s="57">
        <f>B16+1.5%+IF(G2="断岳",5%,0)+IF($D$16="√",8%,0)+IF(AND($E$24="唐刀",$E$22="征人归"),8%,0)</f>
        <v>0.2342</v>
      </c>
      <c r="H3" s="53" t="s">
        <v>87</v>
      </c>
      <c r="I3" s="11">
        <f>25-IF(D17="√",7,0)-IF(F17="√",10,0)</f>
        <v>8</v>
      </c>
      <c r="L3" s="46">
        <f t="shared" ref="L3:L34" si="0">($M3*$BT3+$N3*$BR3+$O3*$BU3+$P3*$BV3)</f>
        <v>41453.244470388</v>
      </c>
      <c r="M3" s="46">
        <f>((($AT3+$AU3)/2*$AN3+$AO3)*(1+$AV3)*(1+$AW3)+(($AY3+$AZ3)/2*IF($G$1="鸣金",$AP3,$AN3)+IF($G$1="鸣金",$AQ3*1.5,0))*(1+$BA3)*(1+$BB3)+(($BC3+$BD3)/2*IF($G$1="裂石",$AP3,$AN3)+IF($G$1="裂石",$AQ3*1.5,0))*(1+$BE3)*(1+$BF3)+(($BG3+$BH3)/2*IF($G$1="牵丝",$AP3,$AN3)+IF($G$1="牵丝",$AQ3*1.5,0))*(1+$BI3)*(1+$BJ3)+(($BK3+$BL3)/2*IF($G$1="破竹",$AP3,$AN3)+IF($G$1="破竹",$AQ3*1.5,0))*(1+$BM3)*(1+$BN3))*(1+$AR3)*$BQ3*$Q3*(1+IF(VLOOKUP($R3,武学奇术!$A:$ZZ,30,FALSE)="蓄力技",$B$21,0))*(1+IF(VLOOKUP($R3,武学奇术!$A:$ZZ,30,FALSE)="派生技",$B$20,0))*(1+$BW3)*(1+$BX3)</f>
        <v>43094.2014032598</v>
      </c>
      <c r="N3" s="46">
        <f>(($AU3*$AN3+$AO3)*(1+$AV3)*(1+$AW3)+($AZ3*IF($G$1="鸣金",$AP3,$AN3)+IF($G$1="鸣金",$AQ3*1.5,0))*(1+$BA3)*(1+$BB3)+($BD3*IF($G$1="裂石",$AP3,$AN3)+IF($G$1="裂石",$AQ3*1.5,0))*(1+$BE3)*(1+$BF3)+($BH3*IF($G$1="牵丝",$AP3,$AN3)+IF($G$1="牵丝",$AQ3*1.5,0))*(1+$BI3)*(1+$BJ3)+($BL3*IF($G$1="破竹",$AP3,$AN3)+IF($G$1="破竹",$AQ3*1.5,0))*(1+$BM3)*(1+$BN3))*(1+$AR3)*$BS3*$Q3*(1+IF(VLOOKUP($R3,武学奇术!$A:$ZZ,30,FALSE)="蓄力技",$B$21,0))*(1+IF(VLOOKUP($R3,武学奇术!$A:$ZZ,30,FALSE)="派生技",$B$20,0))*(1+$BW3)*(1+$BX3)</f>
        <v>35236.3537876322</v>
      </c>
      <c r="O3" s="46">
        <f>((($AT3+$AU3)/2*$AN3+$AO3)*(1+$AV3)*(1+$AW3)+(($AY3+$AZ3)/2*IF($G$1="鸣金",$AP3,$AN3)+IF($G$1="鸣金",$AQ3*1.5,0))*(1+$BA3)*(1+$BB3)+(($BC3+$BD3)/2*IF($G$1="裂石",$AP3,$AN3)+IF($G$1="裂石",$AQ3*1.5,0))*(1+$BE3)*(1+$BF3)+(($BG3+$BH3)/2*IF($G$1="牵丝",$AP3,$AN3)+IF($G$1="牵丝",$AQ3*1.5,0))*(1+$BI3)*(1+$BJ3)+(($BK3+$BL3)/2*IF($G$1="破竹",$AP3,$AN3)+IF($G$1="破竹",$AQ3*1.5,0))*(1+$BM3)*(1+$BN3))*(1+$AR3)*$Q3*(1+IF(VLOOKUP($R3,武学奇术!$A:$ZZ,30,FALSE)="蓄力技",$B$21,0))*(1+IF(VLOOKUP($R3,武学奇术!$A:$ZZ,30,FALSE)="派生技",$B$20,0))*(1+$BW3)*(1+$BX3)</f>
        <v>23045.0274883742</v>
      </c>
      <c r="P3" s="46">
        <f>((($AT3*$AN3+$AO3)*(1+$AV3)*(1+$AW3)+($AY3*IF($G$1="鸣金",$AP3,$AN3)+IF($G$1="鸣金",$AQ3*1.5,0))*(1+$BA3)*(1+$BB3)+($BC3*IF($G$1="裂石",$AP3,$AN3)+IF($G$1="裂石",$AQ3*1.5,0))*(1+$BE3)*(1+$BF3)+($BG3*IF($G$1="牵丝",$AP3,$AN3)+IF($G$1="牵丝",$AQ3*1.5,0))*(1+$BI3)*(1+$BJ3)+($BK3*IF($G$1="破竹",$AP3,$AN3)+IF($G$1="破竹",$AQ3*1.5,0))*(1+$BM3)*(1+$BN3))*(1+$AR3))*$Q3*(1+IF(VLOOKUP($R3,武学奇术!$A:$ZZ,30,FALSE)="蓄力技",$B$21,0))*(1+IF(VLOOKUP($R3,武学奇术!$A:$ZZ,30,FALSE)="派生技",$B$20,0))*(1+$BW3)*(1+$BX3)</f>
        <v>19989.052171095</v>
      </c>
      <c r="Q3" s="47">
        <f t="shared" ref="Q3:Q14" si="1">IF($E$24="陌刀",1,0)</f>
        <v>1</v>
      </c>
      <c r="R3" s="48" t="s">
        <v>76</v>
      </c>
      <c r="S3" s="48" t="s">
        <v>88</v>
      </c>
      <c r="T3" s="48" t="s">
        <v>89</v>
      </c>
      <c r="U3" s="48" t="s">
        <v>79</v>
      </c>
      <c r="V3" s="48" t="s">
        <v>90</v>
      </c>
      <c r="W3" s="48" t="s">
        <v>91</v>
      </c>
      <c r="X3" s="48" t="s">
        <v>80</v>
      </c>
      <c r="Y3" s="48" t="s">
        <v>80</v>
      </c>
      <c r="Z3" s="48" t="s">
        <v>81</v>
      </c>
      <c r="AA3" s="48" t="s">
        <v>80</v>
      </c>
      <c r="AB3" s="48" t="s">
        <v>80</v>
      </c>
      <c r="AC3" s="48" t="s">
        <v>80</v>
      </c>
      <c r="AD3" s="48" t="s">
        <v>80</v>
      </c>
      <c r="AE3" s="48" t="s">
        <v>82</v>
      </c>
      <c r="AF3" s="48" t="s">
        <v>83</v>
      </c>
      <c r="AG3" s="48" t="s">
        <v>84</v>
      </c>
      <c r="AH3" s="48" t="s">
        <v>80</v>
      </c>
      <c r="AI3" s="48" t="s">
        <v>80</v>
      </c>
      <c r="AJ3" s="48" t="s">
        <v>80</v>
      </c>
      <c r="AK3" s="48" t="s">
        <v>80</v>
      </c>
      <c r="AL3" s="48" t="s">
        <v>85</v>
      </c>
      <c r="AM3" t="str">
        <f>VLOOKUP($R3,武学奇术!$A:$ZZ,25,FALSE)</f>
        <v>群体奇术</v>
      </c>
      <c r="AN3" s="33">
        <f>VLOOKUP($R3,武学奇术!$A:$ZZ,26,FALSE)</f>
        <v>1.4906</v>
      </c>
      <c r="AO3" s="34">
        <f>VLOOKUP($R3,武学奇术!$A:$ZZ,27,FALSE)*(1+IF(OR($AM3=$F$4,$AM3=$F$5),$B$22,0))</f>
        <v>386</v>
      </c>
      <c r="AP3" s="33">
        <f>VLOOKUP($R3,武学奇术!$A:$ZZ,28,FALSE)</f>
        <v>2.2359</v>
      </c>
      <c r="AQ3" s="34">
        <f>VLOOKUP($R3,武学奇术!$A:$ZZ,29,FALSE)*(1+IF(OR($AM3=$F$4,$AM3=$F$5),$B$22,0))</f>
        <v>0</v>
      </c>
      <c r="AR3" s="33" cm="1">
        <f t="array" ref="AR3">$G$3+IFERROR(VLOOKUP($AM3,$F$4:$G$7,2,FALSE),0)+VLOOKUP($R3,武学奇术!$A:$ZZ,2,FALSE)+SUM(_xlfn.XLOOKUP($S3:$AL3,增益!$A:$A,增益!$B:$B,0))</f>
        <v>0.4442</v>
      </c>
      <c r="AS3" s="33" cm="1">
        <f t="array" ref="AS3">VLOOKUP($R3,武学奇术!$A:$ZZ,5,FALSE)+SUM(_xlfn.XLOOKUP($S3:$AL3,增益!$A:$A,增益!$E:$E,0))</f>
        <v>0</v>
      </c>
      <c r="AT3" cm="1">
        <f t="array" ref="AT3">$D$10*(1+$AS3)+VLOOKUP($R3,武学奇术!$A:$ZZ,3,FALSE)+SUM(_xlfn.XLOOKUP($S3:$AL3,增益!$A:$A,增益!$C:$C,0))-$I$2</f>
        <v>4094.7</v>
      </c>
      <c r="AU3" cm="1">
        <f t="array" ref="AU3">$E$10*(1+$AS3)+VLOOKUP($R3,武学奇术!$A:$ZZ,4,FALSE)+SUM(_xlfn.XLOOKUP($S3:$AL3,增益!$A:$A,增益!$D:$D,0))-$I$2</f>
        <v>4094.7</v>
      </c>
      <c r="AV3" s="40" cm="1">
        <f t="array" ref="AV3">IF($F$10-$I$3+VLOOKUP($R3,武学奇术!$A:$ZZ,6,FALSE)+SUM(_xlfn.XLOOKUP($S3:$AL3,增益!$A:$A,增益!$F:$F,0))&gt;0,($F$10-$I$3+VLOOKUP($R3,武学奇术!$A:$ZZ,6,FALSE)+SUM(_xlfn.XLOOKUP($S3:$AL3,增益!$A:$A,增益!$F:$F,0)))/200,($F$10-$I$3+VLOOKUP($R3,武学奇术!$A:$ZZ,6,FALSE)+SUM(_xlfn.XLOOKUP($S3:$AL3,增益!$A:$A,增益!$F:$F,0)))/100)</f>
        <v>0.3934</v>
      </c>
      <c r="AW3" s="40" cm="1">
        <f t="array" ref="AW3">$G$10+VLOOKUP($R3,武学奇术!$A:$ZZ,7,FALSE)+SUM(_xlfn.XLOOKUP($S3:$AL3,增益!$A:$A,增益!$G:$G,0))</f>
        <v>0.14</v>
      </c>
      <c r="AX3" s="33" cm="1">
        <f t="array" ref="AX3">VLOOKUP($R3,武学奇术!$A:$ZZ,8,FALSE)+SUM(_xlfn.XLOOKUP($S3:$AL3,增益!$A:$A,增益!$H:$H,0))</f>
        <v>0</v>
      </c>
      <c r="AY3">
        <f t="shared" ref="AY3:AY34" si="2">$D$11*(1+$AX3)</f>
        <v>0</v>
      </c>
      <c r="AZ3">
        <f t="shared" ref="AZ3:AZ34" si="3">$E$11*(1+$AX3)</f>
        <v>0</v>
      </c>
      <c r="BA3" s="40" cm="1">
        <f t="array" ref="BA3">IF($F$11-$I$4+VLOOKUP($R3,武学奇术!$A:$ZZ,9,FALSE)+SUM(_xlfn.XLOOKUP($S3:$AL3,增益!$A:$A,增益!$I:$I,0))&gt;0,($F$11-$I$4+VLOOKUP($R3,武学奇术!$A:$ZZ,9,FALSE)+SUM(_xlfn.XLOOKUP($S3:$AL3,增益!$A:$A,增益!$I:$I,0)))/200,($F$11-$I$4+VLOOKUP($R3,武学奇术!$A:$ZZ,9,FALSE)+SUM(_xlfn.XLOOKUP($S3:$AL3,增益!$A:$A,增益!$I:$I,0)))/100)</f>
        <v>-0.14</v>
      </c>
      <c r="BB3" s="40" cm="1">
        <f t="array" ref="BB3">$G$11+VLOOKUP($R3,武学奇术!$A:$ZZ,10,FALSE)+SUM(_xlfn.XLOOKUP($S3:$AL3,增益!$A:$A,增益!$J:$J,0))</f>
        <v>0.02</v>
      </c>
      <c r="BC3">
        <f t="shared" ref="BC3:BC34" si="4">$D$12*(1+$AX3)</f>
        <v>640.3</v>
      </c>
      <c r="BD3">
        <f t="shared" ref="BD3:BD34" si="5">$E$12*(1+$AX3)</f>
        <v>1770.1</v>
      </c>
      <c r="BE3" s="40" cm="1">
        <f t="array" ref="BE3">IF($F$12-$I$4+VLOOKUP($R3,武学奇术!$A:$ZZ,11,FALSE)+SUM(_xlfn.XLOOKUP($S3:$AL3,增益!$A:$A,增益!$K:$K,0))&gt;0,($F$12-$I$4+VLOOKUP($R3,武学奇术!$A:$ZZ,11,FALSE)+SUM(_xlfn.XLOOKUP($S3:$AL3,增益!$A:$A,增益!$K:$K,0)))/200,($F$12-$I$4+VLOOKUP($R3,武学奇术!$A:$ZZ,11,FALSE)+SUM(_xlfn.XLOOKUP($S3:$AL3,增益!$A:$A,增益!$K:$K,0)))/100)</f>
        <v>0.17</v>
      </c>
      <c r="BF3" s="40" cm="1">
        <f t="array" ref="BF3">$G$12+VLOOKUP($R3,武学奇术!$A:$ZZ,12,FALSE)+SUM(_xlfn.XLOOKUP($S3:$AL3,增益!$A:$A,增益!$L:$L,0))</f>
        <v>0.29</v>
      </c>
      <c r="BG3">
        <f t="shared" ref="BG3:BG34" si="6">$D$13*(1+$AX3)</f>
        <v>0</v>
      </c>
      <c r="BH3">
        <f t="shared" ref="BH3:BH34" si="7">$E$13*(1+$AX3)</f>
        <v>0</v>
      </c>
      <c r="BI3" s="40" cm="1">
        <f t="array" ref="BI3">IF($F$13-$I$4+VLOOKUP($R3,武学奇术!$A:$ZZ,13,FALSE)+SUM(_xlfn.XLOOKUP($S3:$AL3,增益!$A:$A,增益!$M:$M,0))&gt;0,($F$13-$I$4+VLOOKUP($R3,武学奇术!$A:$ZZ,13,FALSE)+SUM(_xlfn.XLOOKUP($S3:$AL3,增益!$A:$A,增益!$K:$K,0)))/200,($F$13-$I$4+VLOOKUP($R3,武学奇术!$A:$ZZ,13,FALSE)+SUM(_xlfn.XLOOKUP($S3:$AL3,增益!$A:$A,增益!$M:$M,0)))/100)</f>
        <v>-0.14</v>
      </c>
      <c r="BJ3" s="40" cm="1">
        <f t="array" ref="BJ3">$G$13+VLOOKUP($R3,武学奇术!$A:$ZZ,14,FALSE)+SUM(_xlfn.XLOOKUP($S3:$AL3,增益!$A:$A,增益!$N:$N,0))</f>
        <v>0.02</v>
      </c>
      <c r="BK3">
        <f t="shared" ref="BK3:BK34" si="8">$D$14*(1+$AX3)</f>
        <v>0</v>
      </c>
      <c r="BL3">
        <f t="shared" ref="BL3:BL34" si="9">$E$14*(1+$AX3)</f>
        <v>0</v>
      </c>
      <c r="BM3" s="40" cm="1">
        <f t="array" ref="BM3">IF($F$14-$I$4+VLOOKUP($R3,武学奇术!$A:$ZZ,15,FALSE)+SUM(_xlfn.XLOOKUP($S3:$AL3,增益!$A:$A,增益!$O:$O,0))&gt;0,($F$14-$I$4+VLOOKUP($R3,武学奇术!$A:$ZZ,15,FALSE)+SUM(_xlfn.XLOOKUP($S3:$AL3,增益!$A:$A,增益!$O:$O,0)))/200,($F$14-$I$4+VLOOKUP($R3,武学奇术!$A:$ZZ,15,FALSE)+SUM(_xlfn.XLOOKUP($S3:$AL3,增益!$A:$A,增益!$O:$O,0)))/100)</f>
        <v>-0.14</v>
      </c>
      <c r="BN3" s="40" cm="1">
        <f t="array" ref="BN3">$G$14+VLOOKUP($R3,武学奇术!$A:$ZZ,16,FALSE)+SUM(_xlfn.XLOOKUP($S3:$AL3,增益!$A:$A,增益!$P:$P,0))</f>
        <v>0.02</v>
      </c>
      <c r="BO3" s="33">
        <f>MIN(IF(VLOOKUP($R3,武学奇术!$A:$ZZ,23,FALSE)=1,100%,$B$8),100%)</f>
        <v>0.9771</v>
      </c>
      <c r="BP3" s="33" cm="1">
        <f t="array" ref="BP3">IF(VLOOKUP($R3,武学奇术!$A:$ZZ,23,FALSE)=1,100%,MIN(80%,$B$9+VLOOKUP($R3,武学奇术!$A:$ZZ,17,FALSE)+SUM(_xlfn.XLOOKUP($S3:$AL3,增益!$A:$A,增益!$Q:$Q,0)))+$B$11+SUM(_xlfn.XLOOKUP($S3:$AL3,增益!$A:$A,增益!$U:$U,0)))*IF(VLOOKUP($R3,武学奇术!$A:$ZZ,24,FALSE)=1,0,1)</f>
        <v>0.8861</v>
      </c>
      <c r="BQ3" s="33" cm="1">
        <f t="array" ref="BQ3">1+$B$13+VLOOKUP($R3,武学奇术!$A:$ZZ,18,FALSE)+SUM(_xlfn.XLOOKUP($S3:$AL3,增益!$A:$A,增益!$R:$R,0))</f>
        <v>1.87</v>
      </c>
      <c r="BR3" s="33" cm="1">
        <f t="array" ref="BR3">IF(VLOOKUP($R3,武学奇术!$A:$ZZ,24,FALSE)=1,100%,MIN(40%,$B$10+VLOOKUP($R3,武学奇术!$A:$ZZ,19,FALSE)+SUM(_xlfn.XLOOKUP($S3:$AL3,增益!$A:$A,增益!$S:$S,0)))+$B$12+SUM(_xlfn.XLOOKUP($S3:$AL3,增益!$A:$A,增益!$V:$V,0)))*IF(VLOOKUP($R3,武学奇术!$A:$ZZ,23,FALSE)=1,0,1)</f>
        <v>0.0913</v>
      </c>
      <c r="BS3" s="33" cm="1">
        <f t="array" ref="BS3">1+$B$14+VLOOKUP($R3,武学奇术!$A:$ZZ,20,FALSE)+SUM(_xlfn.XLOOKUP($S3:$AL3,增益!$A:$A,增益!$T:$T,0))</f>
        <v>1.35</v>
      </c>
      <c r="BT3" s="33">
        <f t="shared" ref="BT3:BT34" si="10">MIN((1-BR3)*BO3,BO3*BP3)</f>
        <v>0.86580831</v>
      </c>
      <c r="BU3" s="33">
        <f t="shared" ref="BU3:BU34" si="11">1-BR3-BT3-BV3</f>
        <v>0.02208246</v>
      </c>
      <c r="BV3" s="33">
        <f>IF(VLOOKUP($R3,武学奇术!$A:$ZZ,22,FALSE)=1,0,(1-$BO3))*(1-$BR3)</f>
        <v>0.02080923</v>
      </c>
      <c r="BW3" s="33" cm="1">
        <f t="array" ref="BW3">SUM(_xlfn.XLOOKUP($S3:$AL3,增益!$A:$A,增益!$W:$W,0))+$I$5</f>
        <v>0.11</v>
      </c>
      <c r="BX3" s="33" cm="1">
        <f t="array" ref="BX3">VLOOKUP($R3,武学奇术!$A:$ZZ,32,FALSE)+SUM(_xlfn.XLOOKUP($S3:$AL3,增益!$A:$A,增益!$X:$X,0))</f>
        <v>0</v>
      </c>
    </row>
    <row r="4" ht="14.25" spans="1:76">
      <c r="A4" s="58" t="s">
        <v>5</v>
      </c>
      <c r="B4" s="59">
        <v>561.1</v>
      </c>
      <c r="C4" s="59">
        <v>1519.3</v>
      </c>
      <c r="D4" s="59">
        <v>36</v>
      </c>
      <c r="E4" s="60">
        <v>0.15</v>
      </c>
      <c r="F4" s="53" t="s">
        <v>92</v>
      </c>
      <c r="G4" s="57">
        <f>B15+B17</f>
        <v>0.1701</v>
      </c>
      <c r="H4" s="61" t="s">
        <v>93</v>
      </c>
      <c r="I4" s="14">
        <f>30</f>
        <v>30</v>
      </c>
      <c r="L4" s="46">
        <f t="shared" si="0"/>
        <v>42155.4030276642</v>
      </c>
      <c r="M4" s="46">
        <f>((($AT4+$AU4)/2*$AN4+$AO4)*(1+$AV4)*(1+$AW4)+(($AY4+$AZ4)/2*IF($G$1="鸣金",$AP4,$AN4)+IF($G$1="鸣金",$AQ4*1.5,0))*(1+$BA4)*(1+$BB4)+(($BC4+$BD4)/2*IF($G$1="裂石",$AP4,$AN4)+IF($G$1="裂石",$AQ4*1.5,0))*(1+$BE4)*(1+$BF4)+(($BG4+$BH4)/2*IF($G$1="牵丝",$AP4,$AN4)+IF($G$1="牵丝",$AQ4*1.5,0))*(1+$BI4)*(1+$BJ4)+(($BK4+$BL4)/2*IF($G$1="破竹",$AP4,$AN4)+IF($G$1="破竹",$AQ4*1.5,0))*(1+$BM4)*(1+$BN4))*(1+$AR4)*$BQ4*$Q4*(1+IF(VLOOKUP($R4,武学奇术!$A:$ZZ,30,FALSE)="蓄力技",$B$21,0))*(1+IF(VLOOKUP($R4,武学奇术!$A:$ZZ,30,FALSE)="派生技",$B$20,0))*(1+$BW4)*(1+$BX4)</f>
        <v>43849.14684682</v>
      </c>
      <c r="N4" s="46">
        <f>(($AU4*$AN4+$AO4)*(1+$AV4)*(1+$AW4)+($AZ4*IF($G$1="鸣金",$AP4,$AN4)+IF($G$1="鸣金",$AQ4*1.5,0))*(1+$BA4)*(1+$BB4)+($BD4*IF($G$1="裂石",$AP4,$AN4)+IF($G$1="裂石",$AQ4*1.5,0))*(1+$BE4)*(1+$BF4)+($BH4*IF($G$1="牵丝",$AP4,$AN4)+IF($G$1="牵丝",$AQ4*1.5,0))*(1+$BI4)*(1+$BJ4)+($BL4*IF($G$1="破竹",$AP4,$AN4)+IF($G$1="破竹",$AQ4*1.5,0))*(1+$BM4)*(1+$BN4))*(1+$AR4)*$BS4*$Q4*(1+IF(VLOOKUP($R4,武学奇术!$A:$ZZ,30,FALSE)="蓄力技",$B$21,0))*(1+IF(VLOOKUP($R4,武学奇术!$A:$ZZ,30,FALSE)="派生技",$B$20,0))*(1+$BW4)*(1+$BX4)</f>
        <v>35641.5524064162</v>
      </c>
      <c r="O4" s="46">
        <f>((($AT4+$AU4)/2*$AN4+$AO4)*(1+$AV4)*(1+$AW4)+(($AY4+$AZ4)/2*IF($G$1="鸣金",$AP4,$AN4)+IF($G$1="鸣金",$AQ4*1.5,0))*(1+$BA4)*(1+$BB4)+(($BC4+$BD4)/2*IF($G$1="裂石",$AP4,$AN4)+IF($G$1="裂石",$AQ4*1.5,0))*(1+$BE4)*(1+$BF4)+(($BG4+$BH4)/2*IF($G$1="牵丝",$AP4,$AN4)+IF($G$1="牵丝",$AQ4*1.5,0))*(1+$BI4)*(1+$BJ4)+(($BK4+$BL4)/2*IF($G$1="破竹",$AP4,$AN4)+IF($G$1="破竹",$AQ4*1.5,0))*(1+$BM4)*(1+$BN4))*(1+$AR4)*$Q4*(1+IF(VLOOKUP($R4,武学奇术!$A:$ZZ,30,FALSE)="蓄力技",$B$21,0))*(1+IF(VLOOKUP($R4,武学奇术!$A:$ZZ,30,FALSE)="派生技",$B$20,0))*(1+$BW4)*(1+$BX4)</f>
        <v>23324.0142802234</v>
      </c>
      <c r="P4" s="46">
        <f>((($AT4*$AN4+$AO4)*(1+$AV4)*(1+$AW4)+($AY4*IF($G$1="鸣金",$AP4,$AN4)+IF($G$1="鸣金",$AQ4*1.5,0))*(1+$BA4)*(1+$BB4)+($BC4*IF($G$1="裂石",$AP4,$AN4)+IF($G$1="裂石",$AQ4*1.5,0))*(1+$BE4)*(1+$BF4)+($BG4*IF($G$1="牵丝",$AP4,$AN4)+IF($G$1="牵丝",$AQ4*1.5,0))*(1+$BI4)*(1+$BJ4)+($BK4*IF($G$1="破竹",$AP4,$AN4)+IF($G$1="破竹",$AQ4*1.5,0))*(1+$BM4)*(1+$BN4))*(1+$AR4))*$Q4*(1+IF(VLOOKUP($R4,武学奇术!$A:$ZZ,30,FALSE)="蓄力技",$B$21,0))*(1+IF(VLOOKUP($R4,武学奇术!$A:$ZZ,30,FALSE)="派生技",$B$20,0))*(1+$BW4)*(1+$BX4)</f>
        <v>20246.8786297681</v>
      </c>
      <c r="Q4" s="47">
        <f t="shared" si="1"/>
        <v>1</v>
      </c>
      <c r="R4" s="48" t="s">
        <v>76</v>
      </c>
      <c r="S4" s="48" t="s">
        <v>94</v>
      </c>
      <c r="T4" s="48" t="s">
        <v>95</v>
      </c>
      <c r="U4" s="48" t="s">
        <v>79</v>
      </c>
      <c r="V4" s="48" t="s">
        <v>90</v>
      </c>
      <c r="W4" s="48" t="s">
        <v>91</v>
      </c>
      <c r="X4" s="48" t="s">
        <v>80</v>
      </c>
      <c r="Y4" s="48" t="s">
        <v>80</v>
      </c>
      <c r="Z4" s="48" t="s">
        <v>81</v>
      </c>
      <c r="AA4" s="48" t="s">
        <v>80</v>
      </c>
      <c r="AB4" s="48" t="s">
        <v>80</v>
      </c>
      <c r="AC4" s="48" t="s">
        <v>80</v>
      </c>
      <c r="AD4" s="48" t="s">
        <v>80</v>
      </c>
      <c r="AE4" s="48" t="s">
        <v>82</v>
      </c>
      <c r="AF4" s="48" t="s">
        <v>83</v>
      </c>
      <c r="AG4" s="48" t="s">
        <v>84</v>
      </c>
      <c r="AH4" s="48" t="s">
        <v>80</v>
      </c>
      <c r="AI4" s="48" t="s">
        <v>80</v>
      </c>
      <c r="AJ4" s="48" t="s">
        <v>80</v>
      </c>
      <c r="AK4" s="48" t="s">
        <v>80</v>
      </c>
      <c r="AL4" s="48" t="s">
        <v>85</v>
      </c>
      <c r="AM4" t="str">
        <f>VLOOKUP($R4,武学奇术!$A:$ZZ,25,FALSE)</f>
        <v>群体奇术</v>
      </c>
      <c r="AN4" s="33">
        <f>VLOOKUP($R4,武学奇术!$A:$ZZ,26,FALSE)</f>
        <v>1.4906</v>
      </c>
      <c r="AO4" s="34">
        <f>VLOOKUP($R4,武学奇术!$A:$ZZ,27,FALSE)*(1+IF(OR($AM4=$F$4,$AM4=$F$5),$B$22,0))</f>
        <v>386</v>
      </c>
      <c r="AP4" s="33">
        <f>VLOOKUP($R4,武学奇术!$A:$ZZ,28,FALSE)</f>
        <v>2.2359</v>
      </c>
      <c r="AQ4" s="34">
        <f>VLOOKUP($R4,武学奇术!$A:$ZZ,29,FALSE)*(1+IF(OR($AM4=$F$4,$AM4=$F$5),$B$22,0))</f>
        <v>0</v>
      </c>
      <c r="AR4" s="33" cm="1">
        <f t="array" ref="AR4">$G$3+IFERROR(VLOOKUP($AM4,$F$4:$G$7,2,FALSE),0)+VLOOKUP($R4,武学奇术!$A:$ZZ,2,FALSE)+SUM(_xlfn.XLOOKUP($S4:$AL4,增益!$A:$A,增益!$B:$B,0))</f>
        <v>0.4542</v>
      </c>
      <c r="AS4" s="33" cm="1">
        <f t="array" ref="AS4">VLOOKUP($R4,武学奇术!$A:$ZZ,5,FALSE)+SUM(_xlfn.XLOOKUP($S4:$AL4,增益!$A:$A,增益!$E:$E,0))</f>
        <v>0</v>
      </c>
      <c r="AT4" cm="1">
        <f t="array" ref="AT4">$D$10*(1+$AS4)+VLOOKUP($R4,武学奇术!$A:$ZZ,3,FALSE)+SUM(_xlfn.XLOOKUP($S4:$AL4,增益!$A:$A,增益!$C:$C,0))-$I$2</f>
        <v>4094.7</v>
      </c>
      <c r="AU4" cm="1">
        <f t="array" ref="AU4">$E$10*(1+$AS4)+VLOOKUP($R4,武学奇术!$A:$ZZ,4,FALSE)+SUM(_xlfn.XLOOKUP($S4:$AL4,增益!$A:$A,增益!$D:$D,0))-$I$2</f>
        <v>4094.7</v>
      </c>
      <c r="AV4" s="40" cm="1">
        <f t="array" ref="AV4">IF($F$10-$I$3+VLOOKUP($R4,武学奇术!$A:$ZZ,6,FALSE)+SUM(_xlfn.XLOOKUP($S4:$AL4,增益!$A:$A,增益!$F:$F,0))&gt;0,($F$10-$I$3+VLOOKUP($R4,武学奇术!$A:$ZZ,6,FALSE)+SUM(_xlfn.XLOOKUP($S4:$AL4,增益!$A:$A,增益!$F:$F,0)))/200,($F$10-$I$3+VLOOKUP($R4,武学奇术!$A:$ZZ,6,FALSE)+SUM(_xlfn.XLOOKUP($S4:$AL4,增益!$A:$A,增益!$F:$F,0)))/100)</f>
        <v>0.4034</v>
      </c>
      <c r="AW4" s="40" cm="1">
        <f t="array" ref="AW4">$G$10+VLOOKUP($R4,武学奇术!$A:$ZZ,7,FALSE)+SUM(_xlfn.XLOOKUP($S4:$AL4,增益!$A:$A,增益!$G:$G,0))</f>
        <v>0.14</v>
      </c>
      <c r="AX4" s="33" cm="1">
        <f t="array" ref="AX4">VLOOKUP($R4,武学奇术!$A:$ZZ,8,FALSE)+SUM(_xlfn.XLOOKUP($S4:$AL4,增益!$A:$A,增益!$H:$H,0))</f>
        <v>0</v>
      </c>
      <c r="AY4">
        <f t="shared" si="2"/>
        <v>0</v>
      </c>
      <c r="AZ4">
        <f t="shared" si="3"/>
        <v>0</v>
      </c>
      <c r="BA4" s="40" cm="1">
        <f t="array" ref="BA4">IF($F$11-$I$4+VLOOKUP($R4,武学奇术!$A:$ZZ,9,FALSE)+SUM(_xlfn.XLOOKUP($S4:$AL4,增益!$A:$A,增益!$I:$I,0))&gt;0,($F$11-$I$4+VLOOKUP($R4,武学奇术!$A:$ZZ,9,FALSE)+SUM(_xlfn.XLOOKUP($S4:$AL4,增益!$A:$A,增益!$I:$I,0)))/200,($F$11-$I$4+VLOOKUP($R4,武学奇术!$A:$ZZ,9,FALSE)+SUM(_xlfn.XLOOKUP($S4:$AL4,增益!$A:$A,增益!$I:$I,0)))/100)</f>
        <v>-0.14</v>
      </c>
      <c r="BB4" s="40" cm="1">
        <f t="array" ref="BB4">$G$11+VLOOKUP($R4,武学奇术!$A:$ZZ,10,FALSE)+SUM(_xlfn.XLOOKUP($S4:$AL4,增益!$A:$A,增益!$J:$J,0))</f>
        <v>0.02</v>
      </c>
      <c r="BC4">
        <f t="shared" si="4"/>
        <v>640.3</v>
      </c>
      <c r="BD4">
        <f t="shared" si="5"/>
        <v>1770.1</v>
      </c>
      <c r="BE4" s="40" cm="1">
        <f t="array" ref="BE4">IF($F$12-$I$4+VLOOKUP($R4,武学奇术!$A:$ZZ,11,FALSE)+SUM(_xlfn.XLOOKUP($S4:$AL4,增益!$A:$A,增益!$K:$K,0))&gt;0,($F$12-$I$4+VLOOKUP($R4,武学奇术!$A:$ZZ,11,FALSE)+SUM(_xlfn.XLOOKUP($S4:$AL4,增益!$A:$A,增益!$K:$K,0)))/200,($F$12-$I$4+VLOOKUP($R4,武学奇术!$A:$ZZ,11,FALSE)+SUM(_xlfn.XLOOKUP($S4:$AL4,增益!$A:$A,增益!$K:$K,0)))/100)</f>
        <v>0.17</v>
      </c>
      <c r="BF4" s="40" cm="1">
        <f t="array" ref="BF4">$G$12+VLOOKUP($R4,武学奇术!$A:$ZZ,12,FALSE)+SUM(_xlfn.XLOOKUP($S4:$AL4,增益!$A:$A,增益!$L:$L,0))</f>
        <v>0.29</v>
      </c>
      <c r="BG4">
        <f t="shared" si="6"/>
        <v>0</v>
      </c>
      <c r="BH4">
        <f t="shared" si="7"/>
        <v>0</v>
      </c>
      <c r="BI4" s="40" cm="1">
        <f t="array" ref="BI4">IF($F$13-$I$4+VLOOKUP($R4,武学奇术!$A:$ZZ,13,FALSE)+SUM(_xlfn.XLOOKUP($S4:$AL4,增益!$A:$A,增益!$M:$M,0))&gt;0,($F$13-$I$4+VLOOKUP($R4,武学奇术!$A:$ZZ,13,FALSE)+SUM(_xlfn.XLOOKUP($S4:$AL4,增益!$A:$A,增益!$K:$K,0)))/200,($F$13-$I$4+VLOOKUP($R4,武学奇术!$A:$ZZ,13,FALSE)+SUM(_xlfn.XLOOKUP($S4:$AL4,增益!$A:$A,增益!$M:$M,0)))/100)</f>
        <v>-0.14</v>
      </c>
      <c r="BJ4" s="40" cm="1">
        <f t="array" ref="BJ4">$G$13+VLOOKUP($R4,武学奇术!$A:$ZZ,14,FALSE)+SUM(_xlfn.XLOOKUP($S4:$AL4,增益!$A:$A,增益!$N:$N,0))</f>
        <v>0.02</v>
      </c>
      <c r="BK4">
        <f t="shared" si="8"/>
        <v>0</v>
      </c>
      <c r="BL4">
        <f t="shared" si="9"/>
        <v>0</v>
      </c>
      <c r="BM4" s="40" cm="1">
        <f t="array" ref="BM4">IF($F$14-$I$4+VLOOKUP($R4,武学奇术!$A:$ZZ,15,FALSE)+SUM(_xlfn.XLOOKUP($S4:$AL4,增益!$A:$A,增益!$O:$O,0))&gt;0,($F$14-$I$4+VLOOKUP($R4,武学奇术!$A:$ZZ,15,FALSE)+SUM(_xlfn.XLOOKUP($S4:$AL4,增益!$A:$A,增益!$O:$O,0)))/200,($F$14-$I$4+VLOOKUP($R4,武学奇术!$A:$ZZ,15,FALSE)+SUM(_xlfn.XLOOKUP($S4:$AL4,增益!$A:$A,增益!$O:$O,0)))/100)</f>
        <v>-0.14</v>
      </c>
      <c r="BN4" s="40" cm="1">
        <f t="array" ref="BN4">$G$14+VLOOKUP($R4,武学奇术!$A:$ZZ,16,FALSE)+SUM(_xlfn.XLOOKUP($S4:$AL4,增益!$A:$A,增益!$P:$P,0))</f>
        <v>0.02</v>
      </c>
      <c r="BO4" s="33">
        <f>MIN(IF(VLOOKUP($R4,武学奇术!$A:$ZZ,23,FALSE)=1,100%,$B$8),100%)</f>
        <v>0.9771</v>
      </c>
      <c r="BP4" s="33" cm="1">
        <f t="array" ref="BP4">IF(VLOOKUP($R4,武学奇术!$A:$ZZ,23,FALSE)=1,100%,MIN(80%,$B$9+VLOOKUP($R4,武学奇术!$A:$ZZ,17,FALSE)+SUM(_xlfn.XLOOKUP($S4:$AL4,增益!$A:$A,增益!$Q:$Q,0)))+$B$11+SUM(_xlfn.XLOOKUP($S4:$AL4,增益!$A:$A,增益!$U:$U,0)))*IF(VLOOKUP($R4,武学奇术!$A:$ZZ,24,FALSE)=1,0,1)</f>
        <v>0.8861</v>
      </c>
      <c r="BQ4" s="33" cm="1">
        <f t="array" ref="BQ4">1+$B$13+VLOOKUP($R4,武学奇术!$A:$ZZ,18,FALSE)+SUM(_xlfn.XLOOKUP($S4:$AL4,增益!$A:$A,增益!$R:$R,0))</f>
        <v>1.88</v>
      </c>
      <c r="BR4" s="33" cm="1">
        <f t="array" ref="BR4">IF(VLOOKUP($R4,武学奇术!$A:$ZZ,24,FALSE)=1,100%,MIN(40%,$B$10+VLOOKUP($R4,武学奇术!$A:$ZZ,19,FALSE)+SUM(_xlfn.XLOOKUP($S4:$AL4,增益!$A:$A,增益!$S:$S,0)))+$B$12+SUM(_xlfn.XLOOKUP($S4:$AL4,增益!$A:$A,增益!$V:$V,0)))*IF(VLOOKUP($R4,武学奇术!$A:$ZZ,23,FALSE)=1,0,1)</f>
        <v>0.0913</v>
      </c>
      <c r="BS4" s="33" cm="1">
        <f t="array" ref="BS4">1+$B$14+VLOOKUP($R4,武学奇术!$A:$ZZ,20,FALSE)+SUM(_xlfn.XLOOKUP($S4:$AL4,增益!$A:$A,增益!$T:$T,0))</f>
        <v>1.35</v>
      </c>
      <c r="BT4" s="33">
        <f t="shared" si="10"/>
        <v>0.86580831</v>
      </c>
      <c r="BU4" s="33">
        <f t="shared" si="11"/>
        <v>0.02208246</v>
      </c>
      <c r="BV4" s="33">
        <f>IF(VLOOKUP($R4,武学奇术!$A:$ZZ,22,FALSE)=1,0,(1-$BO4))*(1-$BR4)</f>
        <v>0.02080923</v>
      </c>
      <c r="BW4" s="33" cm="1">
        <f t="array" ref="BW4">SUM(_xlfn.XLOOKUP($S4:$AL4,增益!$A:$A,增益!$W:$W,0))+$I$5</f>
        <v>0.11</v>
      </c>
      <c r="BX4" s="33" cm="1">
        <f t="array" ref="BX4">VLOOKUP($R4,武学奇术!$A:$ZZ,32,FALSE)+SUM(_xlfn.XLOOKUP($S4:$AL4,增益!$A:$A,增益!$X:$X,0))</f>
        <v>0</v>
      </c>
    </row>
    <row r="5" spans="1:76">
      <c r="A5" s="62" t="s">
        <v>96</v>
      </c>
      <c r="B5" s="63"/>
      <c r="C5" s="63"/>
      <c r="D5" s="63"/>
      <c r="E5" s="64"/>
      <c r="F5" s="53" t="s">
        <v>97</v>
      </c>
      <c r="G5" s="57">
        <f>B15+B18</f>
        <v>0.0847</v>
      </c>
      <c r="H5" t="s">
        <v>98</v>
      </c>
      <c r="I5" s="35">
        <v>0.06</v>
      </c>
      <c r="L5" s="46">
        <f t="shared" si="0"/>
        <v>42865.3529926461</v>
      </c>
      <c r="M5" s="46">
        <f>((($AT5+$AU5)/2*$AN5+$AO5)*(1+$AV5)*(1+$AW5)+(($AY5+$AZ5)/2*IF($G$1="鸣金",$AP5,$AN5)+IF($G$1="鸣金",$AQ5*1.5,0))*(1+$BA5)*(1+$BB5)+(($BC5+$BD5)/2*IF($G$1="裂石",$AP5,$AN5)+IF($G$1="裂石",$AQ5*1.5,0))*(1+$BE5)*(1+$BF5)+(($BG5+$BH5)/2*IF($G$1="牵丝",$AP5,$AN5)+IF($G$1="牵丝",$AQ5*1.5,0))*(1+$BI5)*(1+$BJ5)+(($BK5+$BL5)/2*IF($G$1="破竹",$AP5,$AN5)+IF($G$1="破竹",$AQ5*1.5,0))*(1+$BM5)*(1+$BN5))*(1+$AR5)*$BQ5*$Q5*(1+IF(VLOOKUP($R5,武学奇术!$A:$ZZ,30,FALSE)="蓄力技",$B$21,0))*(1+IF(VLOOKUP($R5,武学奇术!$A:$ZZ,30,FALSE)="派生技",$B$20,0))*(1+$BW5)*(1+$BX5)</f>
        <v>44612.7761202577</v>
      </c>
      <c r="N5" s="46">
        <f>(($AU5*$AN5+$AO5)*(1+$AV5)*(1+$AW5)+($AZ5*IF($G$1="鸣金",$AP5,$AN5)+IF($G$1="鸣金",$AQ5*1.5,0))*(1+$BA5)*(1+$BB5)+($BD5*IF($G$1="裂石",$AP5,$AN5)+IF($G$1="裂石",$AQ5*1.5,0))*(1+$BE5)*(1+$BF5)+($BH5*IF($G$1="牵丝",$AP5,$AN5)+IF($G$1="牵丝",$AQ5*1.5,0))*(1+$BI5)*(1+$BJ5)+($BL5*IF($G$1="破竹",$AP5,$AN5)+IF($G$1="破竹",$AQ5*1.5,0))*(1+$BM5)*(1+$BN5))*(1+$AR5)*$BS5*$Q5*(1+IF(VLOOKUP($R5,武学奇术!$A:$ZZ,30,FALSE)="蓄力技",$B$21,0))*(1+IF(VLOOKUP($R5,武学奇术!$A:$ZZ,30,FALSE)="派生技",$B$20,0))*(1+$BW5)*(1+$BX5)</f>
        <v>36048.9682352292</v>
      </c>
      <c r="O5" s="46">
        <f>((($AT5+$AU5)/2*$AN5+$AO5)*(1+$AV5)*(1+$AW5)+(($AY5+$AZ5)/2*IF($G$1="鸣金",$AP5,$AN5)+IF($G$1="鸣金",$AQ5*1.5,0))*(1+$BA5)*(1+$BB5)+(($BC5+$BD5)/2*IF($G$1="裂石",$AP5,$AN5)+IF($G$1="裂石",$AQ5*1.5,0))*(1+$BE5)*(1+$BF5)+(($BG5+$BH5)/2*IF($G$1="牵丝",$AP5,$AN5)+IF($G$1="牵丝",$AQ5*1.5,0))*(1+$BI5)*(1+$BJ5)+(($BK5+$BL5)/2*IF($G$1="破竹",$AP5,$AN5)+IF($G$1="破竹",$AQ5*1.5,0))*(1+$BM5)*(1+$BN5))*(1+$AR5)*$Q5*(1+IF(VLOOKUP($R5,武学奇术!$A:$ZZ,30,FALSE)="蓄力技",$B$21,0))*(1+IF(VLOOKUP($R5,武学奇术!$A:$ZZ,30,FALSE)="派生技",$B$20,0))*(1+$BW5)*(1+$BX5)</f>
        <v>23604.6434498718</v>
      </c>
      <c r="P5" s="46">
        <f>((($AT5*$AN5+$AO5)*(1+$AV5)*(1+$AW5)+($AY5*IF($G$1="鸣金",$AP5,$AN5)+IF($G$1="鸣金",$AQ5*1.5,0))*(1+$BA5)*(1+$BB5)+($BC5*IF($G$1="裂石",$AP5,$AN5)+IF($G$1="裂石",$AQ5*1.5,0))*(1+$BE5)*(1+$BF5)+($BG5*IF($G$1="牵丝",$AP5,$AN5)+IF($G$1="牵丝",$AQ5*1.5,0))*(1+$BI5)*(1+$BJ5)+($BK5*IF($G$1="破竹",$AP5,$AN5)+IF($G$1="破竹",$AQ5*1.5,0))*(1+$BM5)*(1+$BN5))*(1+$AR5))*$Q5*(1+IF(VLOOKUP($R5,武学奇术!$A:$ZZ,30,FALSE)="蓄力技",$B$21,0))*(1+IF(VLOOKUP($R5,武学奇术!$A:$ZZ,30,FALSE)="派生技",$B$20,0))*(1+$BW5)*(1+$BX5)</f>
        <v>20506.3474662405</v>
      </c>
      <c r="Q5" s="47">
        <f t="shared" si="1"/>
        <v>1</v>
      </c>
      <c r="R5" s="48" t="s">
        <v>76</v>
      </c>
      <c r="S5" s="48" t="s">
        <v>99</v>
      </c>
      <c r="T5" s="48" t="s">
        <v>100</v>
      </c>
      <c r="U5" s="48" t="s">
        <v>79</v>
      </c>
      <c r="V5" s="48" t="s">
        <v>90</v>
      </c>
      <c r="W5" s="48" t="s">
        <v>91</v>
      </c>
      <c r="X5" s="48" t="s">
        <v>80</v>
      </c>
      <c r="Y5" s="48" t="s">
        <v>80</v>
      </c>
      <c r="Z5" s="48" t="s">
        <v>81</v>
      </c>
      <c r="AA5" s="48" t="s">
        <v>80</v>
      </c>
      <c r="AB5" s="48" t="s">
        <v>80</v>
      </c>
      <c r="AC5" s="48" t="s">
        <v>80</v>
      </c>
      <c r="AD5" s="48" t="s">
        <v>80</v>
      </c>
      <c r="AE5" s="48" t="s">
        <v>82</v>
      </c>
      <c r="AF5" s="48" t="s">
        <v>83</v>
      </c>
      <c r="AG5" s="48" t="s">
        <v>84</v>
      </c>
      <c r="AH5" s="48" t="s">
        <v>80</v>
      </c>
      <c r="AI5" s="48" t="s">
        <v>80</v>
      </c>
      <c r="AJ5" s="48" t="s">
        <v>80</v>
      </c>
      <c r="AK5" s="48" t="s">
        <v>80</v>
      </c>
      <c r="AL5" s="48" t="s">
        <v>85</v>
      </c>
      <c r="AM5" t="str">
        <f>VLOOKUP($R5,武学奇术!$A:$ZZ,25,FALSE)</f>
        <v>群体奇术</v>
      </c>
      <c r="AN5" s="33">
        <f>VLOOKUP($R5,武学奇术!$A:$ZZ,26,FALSE)</f>
        <v>1.4906</v>
      </c>
      <c r="AO5" s="34">
        <f>VLOOKUP($R5,武学奇术!$A:$ZZ,27,FALSE)*(1+IF(OR($AM5=$F$4,$AM5=$F$5),$B$22,0))</f>
        <v>386</v>
      </c>
      <c r="AP5" s="33">
        <f>VLOOKUP($R5,武学奇术!$A:$ZZ,28,FALSE)</f>
        <v>2.2359</v>
      </c>
      <c r="AQ5" s="34">
        <f>VLOOKUP($R5,武学奇术!$A:$ZZ,29,FALSE)*(1+IF(OR($AM5=$F$4,$AM5=$F$5),$B$22,0))</f>
        <v>0</v>
      </c>
      <c r="AR5" s="33" cm="1">
        <f t="array" ref="AR5">$G$3+IFERROR(VLOOKUP($AM5,$F$4:$G$7,2,FALSE),0)+VLOOKUP($R5,武学奇术!$A:$ZZ,2,FALSE)+SUM(_xlfn.XLOOKUP($S5:$AL5,增益!$A:$A,增益!$B:$B,0))</f>
        <v>0.4642</v>
      </c>
      <c r="AS5" s="33" cm="1">
        <f t="array" ref="AS5">VLOOKUP($R5,武学奇术!$A:$ZZ,5,FALSE)+SUM(_xlfn.XLOOKUP($S5:$AL5,增益!$A:$A,增益!$E:$E,0))</f>
        <v>0</v>
      </c>
      <c r="AT5" cm="1">
        <f t="array" ref="AT5">$D$10*(1+$AS5)+VLOOKUP($R5,武学奇术!$A:$ZZ,3,FALSE)+SUM(_xlfn.XLOOKUP($S5:$AL5,增益!$A:$A,增益!$C:$C,0))-$I$2</f>
        <v>4094.7</v>
      </c>
      <c r="AU5" cm="1">
        <f t="array" ref="AU5">$E$10*(1+$AS5)+VLOOKUP($R5,武学奇术!$A:$ZZ,4,FALSE)+SUM(_xlfn.XLOOKUP($S5:$AL5,增益!$A:$A,增益!$D:$D,0))-$I$2</f>
        <v>4094.7</v>
      </c>
      <c r="AV5" s="40" cm="1">
        <f t="array" ref="AV5">IF($F$10-$I$3+VLOOKUP($R5,武学奇术!$A:$ZZ,6,FALSE)+SUM(_xlfn.XLOOKUP($S5:$AL5,增益!$A:$A,增益!$F:$F,0))&gt;0,($F$10-$I$3+VLOOKUP($R5,武学奇术!$A:$ZZ,6,FALSE)+SUM(_xlfn.XLOOKUP($S5:$AL5,增益!$A:$A,增益!$F:$F,0)))/200,($F$10-$I$3+VLOOKUP($R5,武学奇术!$A:$ZZ,6,FALSE)+SUM(_xlfn.XLOOKUP($S5:$AL5,增益!$A:$A,增益!$F:$F,0)))/100)</f>
        <v>0.4134</v>
      </c>
      <c r="AW5" s="40" cm="1">
        <f t="array" ref="AW5">$G$10+VLOOKUP($R5,武学奇术!$A:$ZZ,7,FALSE)+SUM(_xlfn.XLOOKUP($S5:$AL5,增益!$A:$A,增益!$G:$G,0))</f>
        <v>0.14</v>
      </c>
      <c r="AX5" s="33" cm="1">
        <f t="array" ref="AX5">VLOOKUP($R5,武学奇术!$A:$ZZ,8,FALSE)+SUM(_xlfn.XLOOKUP($S5:$AL5,增益!$A:$A,增益!$H:$H,0))</f>
        <v>0</v>
      </c>
      <c r="AY5">
        <f t="shared" si="2"/>
        <v>0</v>
      </c>
      <c r="AZ5">
        <f t="shared" si="3"/>
        <v>0</v>
      </c>
      <c r="BA5" s="40" cm="1">
        <f t="array" ref="BA5">IF($F$11-$I$4+VLOOKUP($R5,武学奇术!$A:$ZZ,9,FALSE)+SUM(_xlfn.XLOOKUP($S5:$AL5,增益!$A:$A,增益!$I:$I,0))&gt;0,($F$11-$I$4+VLOOKUP($R5,武学奇术!$A:$ZZ,9,FALSE)+SUM(_xlfn.XLOOKUP($S5:$AL5,增益!$A:$A,增益!$I:$I,0)))/200,($F$11-$I$4+VLOOKUP($R5,武学奇术!$A:$ZZ,9,FALSE)+SUM(_xlfn.XLOOKUP($S5:$AL5,增益!$A:$A,增益!$I:$I,0)))/100)</f>
        <v>-0.14</v>
      </c>
      <c r="BB5" s="40" cm="1">
        <f t="array" ref="BB5">$G$11+VLOOKUP($R5,武学奇术!$A:$ZZ,10,FALSE)+SUM(_xlfn.XLOOKUP($S5:$AL5,增益!$A:$A,增益!$J:$J,0))</f>
        <v>0.02</v>
      </c>
      <c r="BC5">
        <f t="shared" si="4"/>
        <v>640.3</v>
      </c>
      <c r="BD5">
        <f t="shared" si="5"/>
        <v>1770.1</v>
      </c>
      <c r="BE5" s="40" cm="1">
        <f t="array" ref="BE5">IF($F$12-$I$4+VLOOKUP($R5,武学奇术!$A:$ZZ,11,FALSE)+SUM(_xlfn.XLOOKUP($S5:$AL5,增益!$A:$A,增益!$K:$K,0))&gt;0,($F$12-$I$4+VLOOKUP($R5,武学奇术!$A:$ZZ,11,FALSE)+SUM(_xlfn.XLOOKUP($S5:$AL5,增益!$A:$A,增益!$K:$K,0)))/200,($F$12-$I$4+VLOOKUP($R5,武学奇术!$A:$ZZ,11,FALSE)+SUM(_xlfn.XLOOKUP($S5:$AL5,增益!$A:$A,增益!$K:$K,0)))/100)</f>
        <v>0.17</v>
      </c>
      <c r="BF5" s="40" cm="1">
        <f t="array" ref="BF5">$G$12+VLOOKUP($R5,武学奇术!$A:$ZZ,12,FALSE)+SUM(_xlfn.XLOOKUP($S5:$AL5,增益!$A:$A,增益!$L:$L,0))</f>
        <v>0.29</v>
      </c>
      <c r="BG5">
        <f t="shared" si="6"/>
        <v>0</v>
      </c>
      <c r="BH5">
        <f t="shared" si="7"/>
        <v>0</v>
      </c>
      <c r="BI5" s="40" cm="1">
        <f t="array" ref="BI5">IF($F$13-$I$4+VLOOKUP($R5,武学奇术!$A:$ZZ,13,FALSE)+SUM(_xlfn.XLOOKUP($S5:$AL5,增益!$A:$A,增益!$M:$M,0))&gt;0,($F$13-$I$4+VLOOKUP($R5,武学奇术!$A:$ZZ,13,FALSE)+SUM(_xlfn.XLOOKUP($S5:$AL5,增益!$A:$A,增益!$K:$K,0)))/200,($F$13-$I$4+VLOOKUP($R5,武学奇术!$A:$ZZ,13,FALSE)+SUM(_xlfn.XLOOKUP($S5:$AL5,增益!$A:$A,增益!$M:$M,0)))/100)</f>
        <v>-0.14</v>
      </c>
      <c r="BJ5" s="40" cm="1">
        <f t="array" ref="BJ5">$G$13+VLOOKUP($R5,武学奇术!$A:$ZZ,14,FALSE)+SUM(_xlfn.XLOOKUP($S5:$AL5,增益!$A:$A,增益!$N:$N,0))</f>
        <v>0.02</v>
      </c>
      <c r="BK5">
        <f t="shared" si="8"/>
        <v>0</v>
      </c>
      <c r="BL5">
        <f t="shared" si="9"/>
        <v>0</v>
      </c>
      <c r="BM5" s="40" cm="1">
        <f t="array" ref="BM5">IF($F$14-$I$4+VLOOKUP($R5,武学奇术!$A:$ZZ,15,FALSE)+SUM(_xlfn.XLOOKUP($S5:$AL5,增益!$A:$A,增益!$O:$O,0))&gt;0,($F$14-$I$4+VLOOKUP($R5,武学奇术!$A:$ZZ,15,FALSE)+SUM(_xlfn.XLOOKUP($S5:$AL5,增益!$A:$A,增益!$O:$O,0)))/200,($F$14-$I$4+VLOOKUP($R5,武学奇术!$A:$ZZ,15,FALSE)+SUM(_xlfn.XLOOKUP($S5:$AL5,增益!$A:$A,增益!$O:$O,0)))/100)</f>
        <v>-0.14</v>
      </c>
      <c r="BN5" s="40" cm="1">
        <f t="array" ref="BN5">$G$14+VLOOKUP($R5,武学奇术!$A:$ZZ,16,FALSE)+SUM(_xlfn.XLOOKUP($S5:$AL5,增益!$A:$A,增益!$P:$P,0))</f>
        <v>0.02</v>
      </c>
      <c r="BO5" s="33">
        <f>MIN(IF(VLOOKUP($R5,武学奇术!$A:$ZZ,23,FALSE)=1,100%,$B$8),100%)</f>
        <v>0.9771</v>
      </c>
      <c r="BP5" s="33" cm="1">
        <f t="array" ref="BP5">IF(VLOOKUP($R5,武学奇术!$A:$ZZ,23,FALSE)=1,100%,MIN(80%,$B$9+VLOOKUP($R5,武学奇术!$A:$ZZ,17,FALSE)+SUM(_xlfn.XLOOKUP($S5:$AL5,增益!$A:$A,增益!$Q:$Q,0)))+$B$11+SUM(_xlfn.XLOOKUP($S5:$AL5,增益!$A:$A,增益!$U:$U,0)))*IF(VLOOKUP($R5,武学奇术!$A:$ZZ,24,FALSE)=1,0,1)</f>
        <v>0.8861</v>
      </c>
      <c r="BQ5" s="33" cm="1">
        <f t="array" ref="BQ5">1+$B$13+VLOOKUP($R5,武学奇术!$A:$ZZ,18,FALSE)+SUM(_xlfn.XLOOKUP($S5:$AL5,增益!$A:$A,增益!$R:$R,0))</f>
        <v>1.89</v>
      </c>
      <c r="BR5" s="33" cm="1">
        <f t="array" ref="BR5">IF(VLOOKUP($R5,武学奇术!$A:$ZZ,24,FALSE)=1,100%,MIN(40%,$B$10+VLOOKUP($R5,武学奇术!$A:$ZZ,19,FALSE)+SUM(_xlfn.XLOOKUP($S5:$AL5,增益!$A:$A,增益!$S:$S,0)))+$B$12+SUM(_xlfn.XLOOKUP($S5:$AL5,增益!$A:$A,增益!$V:$V,0)))*IF(VLOOKUP($R5,武学奇术!$A:$ZZ,23,FALSE)=1,0,1)</f>
        <v>0.0913</v>
      </c>
      <c r="BS5" s="33" cm="1">
        <f t="array" ref="BS5">1+$B$14+VLOOKUP($R5,武学奇术!$A:$ZZ,20,FALSE)+SUM(_xlfn.XLOOKUP($S5:$AL5,增益!$A:$A,增益!$T:$T,0))</f>
        <v>1.35</v>
      </c>
      <c r="BT5" s="33">
        <f t="shared" si="10"/>
        <v>0.86580831</v>
      </c>
      <c r="BU5" s="33">
        <f t="shared" si="11"/>
        <v>0.02208246</v>
      </c>
      <c r="BV5" s="33">
        <f>IF(VLOOKUP($R5,武学奇术!$A:$ZZ,22,FALSE)=1,0,(1-$BO5))*(1-$BR5)</f>
        <v>0.02080923</v>
      </c>
      <c r="BW5" s="33" cm="1">
        <f t="array" ref="BW5">SUM(_xlfn.XLOOKUP($S5:$AL5,增益!$A:$A,增益!$W:$W,0))+$I$5</f>
        <v>0.11</v>
      </c>
      <c r="BX5" s="33" cm="1">
        <f t="array" ref="BX5">VLOOKUP($R5,武学奇术!$A:$ZZ,32,FALSE)+SUM(_xlfn.XLOOKUP($S5:$AL5,增益!$A:$A,增益!$X:$X,0))</f>
        <v>0</v>
      </c>
    </row>
    <row r="6" spans="1:76">
      <c r="A6" s="65" t="s">
        <v>101</v>
      </c>
      <c r="B6" s="66"/>
      <c r="C6" s="66"/>
      <c r="D6" s="66"/>
      <c r="E6" s="67"/>
      <c r="F6" s="53" t="s">
        <v>102</v>
      </c>
      <c r="G6" s="57">
        <f>B19</f>
        <v>0</v>
      </c>
      <c r="L6" s="46">
        <f t="shared" si="0"/>
        <v>43069.7239571809</v>
      </c>
      <c r="M6" s="46">
        <f>((($AT6+$AU6)/2*$AN6+$AO6)*(1+$AV6)*(1+$AW6)+(($AY6+$AZ6)/2*IF($G$1="鸣金",$AP6,$AN6)+IF($G$1="鸣金",$AQ6*1.5,0))*(1+$BA6)*(1+$BB6)+(($BC6+$BD6)/2*IF($G$1="裂石",$AP6,$AN6)+IF($G$1="裂石",$AQ6*1.5,0))*(1+$BE6)*(1+$BF6)+(($BG6+$BH6)/2*IF($G$1="牵丝",$AP6,$AN6)+IF($G$1="牵丝",$AQ6*1.5,0))*(1+$BI6)*(1+$BJ6)+(($BK6+$BL6)/2*IF($G$1="破竹",$AP6,$AN6)+IF($G$1="破竹",$AQ6*1.5,0))*(1+$BM6)*(1+$BN6))*(1+$AR6)*$BQ6*$Q6*(1+IF(VLOOKUP($R6,武学奇术!$A:$ZZ,30,FALSE)="蓄力技",$B$21,0))*(1+IF(VLOOKUP($R6,武学奇术!$A:$ZZ,30,FALSE)="派生技",$B$20,0))*(1+$BW6)*(1+$BX6)</f>
        <v>44848.8225547564</v>
      </c>
      <c r="N6" s="46">
        <f>(($AU6*$AN6+$AO6)*(1+$AV6)*(1+$AW6)+($AZ6*IF($G$1="鸣金",$AP6,$AN6)+IF($G$1="鸣金",$AQ6*1.5,0))*(1+$BA6)*(1+$BB6)+($BD6*IF($G$1="裂石",$AP6,$AN6)+IF($G$1="裂石",$AQ6*1.5,0))*(1+$BE6)*(1+$BF6)+($BH6*IF($G$1="牵丝",$AP6,$AN6)+IF($G$1="牵丝",$AQ6*1.5,0))*(1+$BI6)*(1+$BJ6)+($BL6*IF($G$1="破竹",$AP6,$AN6)+IF($G$1="破竹",$AQ6*1.5,0))*(1+$BM6)*(1+$BN6))*(1+$AR6)*$BS6*$Q6*(1+IF(VLOOKUP($R6,武学奇术!$A:$ZZ,30,FALSE)="蓄力技",$B$21,0))*(1+IF(VLOOKUP($R6,武学奇术!$A:$ZZ,30,FALSE)="派生技",$B$20,0))*(1+$BW6)*(1+$BX6)</f>
        <v>36048.9682352292</v>
      </c>
      <c r="O6" s="46">
        <f>((($AT6+$AU6)/2*$AN6+$AO6)*(1+$AV6)*(1+$AW6)+(($AY6+$AZ6)/2*IF($G$1="鸣金",$AP6,$AN6)+IF($G$1="鸣金",$AQ6*1.5,0))*(1+$BA6)*(1+$BB6)+(($BC6+$BD6)/2*IF($G$1="裂石",$AP6,$AN6)+IF($G$1="裂石",$AQ6*1.5,0))*(1+$BE6)*(1+$BF6)+(($BG6+$BH6)/2*IF($G$1="牵丝",$AP6,$AN6)+IF($G$1="牵丝",$AQ6*1.5,0))*(1+$BI6)*(1+$BJ6)+(($BK6+$BL6)/2*IF($G$1="破竹",$AP6,$AN6)+IF($G$1="破竹",$AQ6*1.5,0))*(1+$BM6)*(1+$BN6))*(1+$AR6)*$Q6*(1+IF(VLOOKUP($R6,武学奇术!$A:$ZZ,30,FALSE)="蓄力技",$B$21,0))*(1+IF(VLOOKUP($R6,武学奇术!$A:$ZZ,30,FALSE)="派生技",$B$20,0))*(1+$BW6)*(1+$BX6)</f>
        <v>23604.6434498718</v>
      </c>
      <c r="P6" s="46">
        <f>((($AT6*$AN6+$AO6)*(1+$AV6)*(1+$AW6)+($AY6*IF($G$1="鸣金",$AP6,$AN6)+IF($G$1="鸣金",$AQ6*1.5,0))*(1+$BA6)*(1+$BB6)+($BC6*IF($G$1="裂石",$AP6,$AN6)+IF($G$1="裂石",$AQ6*1.5,0))*(1+$BE6)*(1+$BF6)+($BG6*IF($G$1="牵丝",$AP6,$AN6)+IF($G$1="牵丝",$AQ6*1.5,0))*(1+$BI6)*(1+$BJ6)+($BK6*IF($G$1="破竹",$AP6,$AN6)+IF($G$1="破竹",$AQ6*1.5,0))*(1+$BM6)*(1+$BN6))*(1+$AR6))*$Q6*(1+IF(VLOOKUP($R6,武学奇术!$A:$ZZ,30,FALSE)="蓄力技",$B$21,0))*(1+IF(VLOOKUP($R6,武学奇术!$A:$ZZ,30,FALSE)="派生技",$B$20,0))*(1+$BW6)*(1+$BX6)</f>
        <v>20506.3474662405</v>
      </c>
      <c r="Q6" s="47">
        <f t="shared" si="1"/>
        <v>1</v>
      </c>
      <c r="R6" s="48" t="s">
        <v>76</v>
      </c>
      <c r="S6" s="48" t="s">
        <v>99</v>
      </c>
      <c r="T6" s="48" t="s">
        <v>103</v>
      </c>
      <c r="U6" s="48" t="s">
        <v>79</v>
      </c>
      <c r="V6" s="48" t="s">
        <v>90</v>
      </c>
      <c r="W6" s="48" t="s">
        <v>91</v>
      </c>
      <c r="X6" s="48" t="s">
        <v>80</v>
      </c>
      <c r="Y6" s="48" t="s">
        <v>80</v>
      </c>
      <c r="Z6" s="48" t="s">
        <v>81</v>
      </c>
      <c r="AA6" s="48" t="s">
        <v>80</v>
      </c>
      <c r="AB6" s="48" t="s">
        <v>80</v>
      </c>
      <c r="AC6" s="48" t="s">
        <v>80</v>
      </c>
      <c r="AD6" s="48" t="s">
        <v>80</v>
      </c>
      <c r="AE6" s="48" t="s">
        <v>82</v>
      </c>
      <c r="AF6" s="48" t="s">
        <v>83</v>
      </c>
      <c r="AG6" s="48" t="s">
        <v>84</v>
      </c>
      <c r="AH6" s="48" t="s">
        <v>80</v>
      </c>
      <c r="AI6" s="48" t="s">
        <v>80</v>
      </c>
      <c r="AJ6" s="48" t="s">
        <v>80</v>
      </c>
      <c r="AK6" s="48" t="s">
        <v>80</v>
      </c>
      <c r="AL6" s="48" t="s">
        <v>85</v>
      </c>
      <c r="AM6" t="str">
        <f>VLOOKUP($R6,武学奇术!$A:$ZZ,25,FALSE)</f>
        <v>群体奇术</v>
      </c>
      <c r="AN6" s="33">
        <f>VLOOKUP($R6,武学奇术!$A:$ZZ,26,FALSE)</f>
        <v>1.4906</v>
      </c>
      <c r="AO6" s="34">
        <f>VLOOKUP($R6,武学奇术!$A:$ZZ,27,FALSE)*(1+IF(OR($AM6=$F$4,$AM6=$F$5),$B$22,0))</f>
        <v>386</v>
      </c>
      <c r="AP6" s="33">
        <f>VLOOKUP($R6,武学奇术!$A:$ZZ,28,FALSE)</f>
        <v>2.2359</v>
      </c>
      <c r="AQ6" s="34">
        <f>VLOOKUP($R6,武学奇术!$A:$ZZ,29,FALSE)*(1+IF(OR($AM6=$F$4,$AM6=$F$5),$B$22,0))</f>
        <v>0</v>
      </c>
      <c r="AR6" s="33" cm="1">
        <f t="array" ref="AR6">$G$3+IFERROR(VLOOKUP($AM6,$F$4:$G$7,2,FALSE),0)+VLOOKUP($R6,武学奇术!$A:$ZZ,2,FALSE)+SUM(_xlfn.XLOOKUP($S6:$AL6,增益!$A:$A,增益!$B:$B,0))</f>
        <v>0.4642</v>
      </c>
      <c r="AS6" s="33" cm="1">
        <f t="array" ref="AS6">VLOOKUP($R6,武学奇术!$A:$ZZ,5,FALSE)+SUM(_xlfn.XLOOKUP($S6:$AL6,增益!$A:$A,增益!$E:$E,0))</f>
        <v>0</v>
      </c>
      <c r="AT6" cm="1">
        <f t="array" ref="AT6">$D$10*(1+$AS6)+VLOOKUP($R6,武学奇术!$A:$ZZ,3,FALSE)+SUM(_xlfn.XLOOKUP($S6:$AL6,增益!$A:$A,增益!$C:$C,0))-$I$2</f>
        <v>4094.7</v>
      </c>
      <c r="AU6" cm="1">
        <f t="array" ref="AU6">$E$10*(1+$AS6)+VLOOKUP($R6,武学奇术!$A:$ZZ,4,FALSE)+SUM(_xlfn.XLOOKUP($S6:$AL6,增益!$A:$A,增益!$D:$D,0))-$I$2</f>
        <v>4094.7</v>
      </c>
      <c r="AV6" s="40" cm="1">
        <f t="array" ref="AV6">IF($F$10-$I$3+VLOOKUP($R6,武学奇术!$A:$ZZ,6,FALSE)+SUM(_xlfn.XLOOKUP($S6:$AL6,增益!$A:$A,增益!$F:$F,0))&gt;0,($F$10-$I$3+VLOOKUP($R6,武学奇术!$A:$ZZ,6,FALSE)+SUM(_xlfn.XLOOKUP($S6:$AL6,增益!$A:$A,增益!$F:$F,0)))/200,($F$10-$I$3+VLOOKUP($R6,武学奇术!$A:$ZZ,6,FALSE)+SUM(_xlfn.XLOOKUP($S6:$AL6,增益!$A:$A,增益!$F:$F,0)))/100)</f>
        <v>0.4134</v>
      </c>
      <c r="AW6" s="40" cm="1">
        <f t="array" ref="AW6">$G$10+VLOOKUP($R6,武学奇术!$A:$ZZ,7,FALSE)+SUM(_xlfn.XLOOKUP($S6:$AL6,增益!$A:$A,增益!$G:$G,0))</f>
        <v>0.14</v>
      </c>
      <c r="AX6" s="33" cm="1">
        <f t="array" ref="AX6">VLOOKUP($R6,武学奇术!$A:$ZZ,8,FALSE)+SUM(_xlfn.XLOOKUP($S6:$AL6,增益!$A:$A,增益!$H:$H,0))</f>
        <v>0</v>
      </c>
      <c r="AY6">
        <f t="shared" si="2"/>
        <v>0</v>
      </c>
      <c r="AZ6">
        <f t="shared" si="3"/>
        <v>0</v>
      </c>
      <c r="BA6" s="40" cm="1">
        <f t="array" ref="BA6">IF($F$11-$I$4+VLOOKUP($R6,武学奇术!$A:$ZZ,9,FALSE)+SUM(_xlfn.XLOOKUP($S6:$AL6,增益!$A:$A,增益!$I:$I,0))&gt;0,($F$11-$I$4+VLOOKUP($R6,武学奇术!$A:$ZZ,9,FALSE)+SUM(_xlfn.XLOOKUP($S6:$AL6,增益!$A:$A,增益!$I:$I,0)))/200,($F$11-$I$4+VLOOKUP($R6,武学奇术!$A:$ZZ,9,FALSE)+SUM(_xlfn.XLOOKUP($S6:$AL6,增益!$A:$A,增益!$I:$I,0)))/100)</f>
        <v>-0.14</v>
      </c>
      <c r="BB6" s="40" cm="1">
        <f t="array" ref="BB6">$G$11+VLOOKUP($R6,武学奇术!$A:$ZZ,10,FALSE)+SUM(_xlfn.XLOOKUP($S6:$AL6,增益!$A:$A,增益!$J:$J,0))</f>
        <v>0.02</v>
      </c>
      <c r="BC6">
        <f t="shared" si="4"/>
        <v>640.3</v>
      </c>
      <c r="BD6">
        <f t="shared" si="5"/>
        <v>1770.1</v>
      </c>
      <c r="BE6" s="40" cm="1">
        <f t="array" ref="BE6">IF($F$12-$I$4+VLOOKUP($R6,武学奇术!$A:$ZZ,11,FALSE)+SUM(_xlfn.XLOOKUP($S6:$AL6,增益!$A:$A,增益!$K:$K,0))&gt;0,($F$12-$I$4+VLOOKUP($R6,武学奇术!$A:$ZZ,11,FALSE)+SUM(_xlfn.XLOOKUP($S6:$AL6,增益!$A:$A,增益!$K:$K,0)))/200,($F$12-$I$4+VLOOKUP($R6,武学奇术!$A:$ZZ,11,FALSE)+SUM(_xlfn.XLOOKUP($S6:$AL6,增益!$A:$A,增益!$K:$K,0)))/100)</f>
        <v>0.17</v>
      </c>
      <c r="BF6" s="40" cm="1">
        <f t="array" ref="BF6">$G$12+VLOOKUP($R6,武学奇术!$A:$ZZ,12,FALSE)+SUM(_xlfn.XLOOKUP($S6:$AL6,增益!$A:$A,增益!$L:$L,0))</f>
        <v>0.29</v>
      </c>
      <c r="BG6">
        <f t="shared" si="6"/>
        <v>0</v>
      </c>
      <c r="BH6">
        <f t="shared" si="7"/>
        <v>0</v>
      </c>
      <c r="BI6" s="40" cm="1">
        <f t="array" ref="BI6">IF($F$13-$I$4+VLOOKUP($R6,武学奇术!$A:$ZZ,13,FALSE)+SUM(_xlfn.XLOOKUP($S6:$AL6,增益!$A:$A,增益!$M:$M,0))&gt;0,($F$13-$I$4+VLOOKUP($R6,武学奇术!$A:$ZZ,13,FALSE)+SUM(_xlfn.XLOOKUP($S6:$AL6,增益!$A:$A,增益!$K:$K,0)))/200,($F$13-$I$4+VLOOKUP($R6,武学奇术!$A:$ZZ,13,FALSE)+SUM(_xlfn.XLOOKUP($S6:$AL6,增益!$A:$A,增益!$M:$M,0)))/100)</f>
        <v>-0.14</v>
      </c>
      <c r="BJ6" s="40" cm="1">
        <f t="array" ref="BJ6">$G$13+VLOOKUP($R6,武学奇术!$A:$ZZ,14,FALSE)+SUM(_xlfn.XLOOKUP($S6:$AL6,增益!$A:$A,增益!$N:$N,0))</f>
        <v>0.02</v>
      </c>
      <c r="BK6">
        <f t="shared" si="8"/>
        <v>0</v>
      </c>
      <c r="BL6">
        <f t="shared" si="9"/>
        <v>0</v>
      </c>
      <c r="BM6" s="40" cm="1">
        <f t="array" ref="BM6">IF($F$14-$I$4+VLOOKUP($R6,武学奇术!$A:$ZZ,15,FALSE)+SUM(_xlfn.XLOOKUP($S6:$AL6,增益!$A:$A,增益!$O:$O,0))&gt;0,($F$14-$I$4+VLOOKUP($R6,武学奇术!$A:$ZZ,15,FALSE)+SUM(_xlfn.XLOOKUP($S6:$AL6,增益!$A:$A,增益!$O:$O,0)))/200,($F$14-$I$4+VLOOKUP($R6,武学奇术!$A:$ZZ,15,FALSE)+SUM(_xlfn.XLOOKUP($S6:$AL6,增益!$A:$A,增益!$O:$O,0)))/100)</f>
        <v>-0.14</v>
      </c>
      <c r="BN6" s="40" cm="1">
        <f t="array" ref="BN6">$G$14+VLOOKUP($R6,武学奇术!$A:$ZZ,16,FALSE)+SUM(_xlfn.XLOOKUP($S6:$AL6,增益!$A:$A,增益!$P:$P,0))</f>
        <v>0.02</v>
      </c>
      <c r="BO6" s="33">
        <f>MIN(IF(VLOOKUP($R6,武学奇术!$A:$ZZ,23,FALSE)=1,100%,$B$8),100%)</f>
        <v>0.9771</v>
      </c>
      <c r="BP6" s="33" cm="1">
        <f t="array" ref="BP6">IF(VLOOKUP($R6,武学奇术!$A:$ZZ,23,FALSE)=1,100%,MIN(80%,$B$9+VLOOKUP($R6,武学奇术!$A:$ZZ,17,FALSE)+SUM(_xlfn.XLOOKUP($S6:$AL6,增益!$A:$A,增益!$Q:$Q,0)))+$B$11+SUM(_xlfn.XLOOKUP($S6:$AL6,增益!$A:$A,增益!$U:$U,0)))*IF(VLOOKUP($R6,武学奇术!$A:$ZZ,24,FALSE)=1,0,1)</f>
        <v>0.8861</v>
      </c>
      <c r="BQ6" s="33" cm="1">
        <f t="array" ref="BQ6">1+$B$13+VLOOKUP($R6,武学奇术!$A:$ZZ,18,FALSE)+SUM(_xlfn.XLOOKUP($S6:$AL6,增益!$A:$A,增益!$R:$R,0))</f>
        <v>1.9</v>
      </c>
      <c r="BR6" s="33" cm="1">
        <f t="array" ref="BR6">IF(VLOOKUP($R6,武学奇术!$A:$ZZ,24,FALSE)=1,100%,MIN(40%,$B$10+VLOOKUP($R6,武学奇术!$A:$ZZ,19,FALSE)+SUM(_xlfn.XLOOKUP($S6:$AL6,增益!$A:$A,增益!$S:$S,0)))+$B$12+SUM(_xlfn.XLOOKUP($S6:$AL6,增益!$A:$A,增益!$V:$V,0)))*IF(VLOOKUP($R6,武学奇术!$A:$ZZ,23,FALSE)=1,0,1)</f>
        <v>0.0913</v>
      </c>
      <c r="BS6" s="33" cm="1">
        <f t="array" ref="BS6">1+$B$14+VLOOKUP($R6,武学奇术!$A:$ZZ,20,FALSE)+SUM(_xlfn.XLOOKUP($S6:$AL6,增益!$A:$A,增益!$T:$T,0))</f>
        <v>1.35</v>
      </c>
      <c r="BT6" s="33">
        <f t="shared" si="10"/>
        <v>0.86580831</v>
      </c>
      <c r="BU6" s="33">
        <f t="shared" si="11"/>
        <v>0.02208246</v>
      </c>
      <c r="BV6" s="33">
        <f>IF(VLOOKUP($R6,武学奇术!$A:$ZZ,22,FALSE)=1,0,(1-$BO6))*(1-$BR6)</f>
        <v>0.02080923</v>
      </c>
      <c r="BW6" s="33" cm="1">
        <f t="array" ref="BW6">SUM(_xlfn.XLOOKUP($S6:$AL6,增益!$A:$A,增益!$W:$W,0))+$I$5</f>
        <v>0.11</v>
      </c>
      <c r="BX6" s="33" cm="1">
        <f t="array" ref="BX6">VLOOKUP($R6,武学奇术!$A:$ZZ,32,FALSE)+SUM(_xlfn.XLOOKUP($S6:$AL6,增益!$A:$A,增益!$X:$X,0))</f>
        <v>0</v>
      </c>
    </row>
    <row r="7" ht="14.25" spans="1:76">
      <c r="A7" s="93" t="s">
        <v>104</v>
      </c>
      <c r="B7" s="95">
        <v>79.2</v>
      </c>
      <c r="C7" s="68">
        <f>92.4+79.2*2</f>
        <v>250.8</v>
      </c>
      <c r="D7" s="69"/>
      <c r="E7" s="70"/>
      <c r="F7" s="61" t="s">
        <v>105</v>
      </c>
      <c r="G7" s="71">
        <f>B19</f>
        <v>0</v>
      </c>
      <c r="L7" s="46">
        <f t="shared" si="0"/>
        <v>60008.4468264373</v>
      </c>
      <c r="M7" s="46">
        <f>((($AT7+$AU7)/2*$AN7+$AO7)*(1+$AV7)*(1+$AW7)+(($AY7+$AZ7)/2*IF($G$1="鸣金",$AP7,$AN7)+IF($G$1="鸣金",$AQ7*1.5,0))*(1+$BA7)*(1+$BB7)+(($BC7+$BD7)/2*IF($G$1="裂石",$AP7,$AN7)+IF($G$1="裂石",$AQ7*1.5,0))*(1+$BE7)*(1+$BF7)+(($BG7+$BH7)/2*IF($G$1="牵丝",$AP7,$AN7)+IF($G$1="牵丝",$AQ7*1.5,0))*(1+$BI7)*(1+$BJ7)+(($BK7+$BL7)/2*IF($G$1="破竹",$AP7,$AN7)+IF($G$1="破竹",$AQ7*1.5,0))*(1+$BM7)*(1+$BN7))*(1+$AR7)*$BQ7*$Q7*(1+IF(VLOOKUP($R7,武学奇术!$A:$ZZ,30,FALSE)="蓄力技",$B$21,0))*(1+IF(VLOOKUP($R7,武学奇术!$A:$ZZ,30,FALSE)="派生技",$B$20,0))*(1+$BW7)*(1+$BX7)</f>
        <v>62013.1654282022</v>
      </c>
      <c r="N7" s="46">
        <f>(($AU7*$AN7+$AO7)*(1+$AV7)*(1+$AW7)+($AZ7*IF($G$1="鸣金",$AP7,$AN7)+IF($G$1="鸣金",$AQ7*1.5,0))*(1+$BA7)*(1+$BB7)+($BD7*IF($G$1="裂石",$AP7,$AN7)+IF($G$1="裂石",$AQ7*1.5,0))*(1+$BE7)*(1+$BF7)+($BH7*IF($G$1="牵丝",$AP7,$AN7)+IF($G$1="牵丝",$AQ7*1.5,0))*(1+$BI7)*(1+$BJ7)+($BL7*IF($G$1="破竹",$AP7,$AN7)+IF($G$1="破竹",$AQ7*1.5,0))*(1+$BM7)*(1+$BN7))*(1+$AR7)*$BS7*$Q7*(1+IF(VLOOKUP($R7,武学奇术!$A:$ZZ,30,FALSE)="蓄力技",$B$21,0))*(1+IF(VLOOKUP($R7,武学奇术!$A:$ZZ,30,FALSE)="派生技",$B$20,0))*(1+$BW7)*(1+$BX7)</f>
        <v>53832.5982903479</v>
      </c>
      <c r="O7" s="46">
        <f>((($AT7+$AU7)/2*$AN7+$AO7)*(1+$AV7)*(1+$AW7)+(($AY7+$AZ7)/2*IF($G$1="鸣金",$AP7,$AN7)+IF($G$1="鸣金",$AQ7*1.5,0))*(1+$BA7)*(1+$BB7)+(($BC7+$BD7)/2*IF($G$1="裂石",$AP7,$AN7)+IF($G$1="裂石",$AQ7*1.5,0))*(1+$BE7)*(1+$BF7)+(($BG7+$BH7)/2*IF($G$1="牵丝",$AP7,$AN7)+IF($G$1="牵丝",$AQ7*1.5,0))*(1+$BI7)*(1+$BJ7)+(($BK7+$BL7)/2*IF($G$1="破竹",$AP7,$AN7)+IF($G$1="破竹",$AQ7*1.5,0))*(1+$BM7)*(1+$BN7))*(1+$AR7)*$Q7*(1+IF(VLOOKUP($R7,武学奇术!$A:$ZZ,30,FALSE)="蓄力技",$B$21,0))*(1+IF(VLOOKUP($R7,武学奇术!$A:$ZZ,30,FALSE)="派生技",$B$20,0))*(1+$BW7)*(1+$BX7)</f>
        <v>35035.6866826001</v>
      </c>
      <c r="P7" s="46">
        <f>((($AT7*$AN7+$AO7)*(1+$AV7)*(1+$AW7)+($AY7*IF($G$1="鸣金",$AP7,$AN7)+IF($G$1="鸣金",$AQ7*1.5,0))*(1+$BA7)*(1+$BB7)+($BC7*IF($G$1="裂石",$AP7,$AN7)+IF($G$1="裂石",$AQ7*1.5,0))*(1+$BE7)*(1+$BF7)+($BG7*IF($G$1="牵丝",$AP7,$AN7)+IF($G$1="牵丝",$AQ7*1.5,0))*(1+$BI7)*(1+$BJ7)+($BK7*IF($G$1="破竹",$AP7,$AN7)+IF($G$1="破竹",$AQ7*1.5,0))*(1+$BM7)*(1+$BN7))*(1+$AR7))*$Q7*(1+IF(VLOOKUP($R7,武学奇术!$A:$ZZ,30,FALSE)="蓄力技",$B$21,0))*(1+IF(VLOOKUP($R7,武学奇术!$A:$ZZ,30,FALSE)="派生技",$B$20,0))*(1+$BW7)*(1+$BX7)</f>
        <v>30195.3746316092</v>
      </c>
      <c r="Q7" s="47">
        <f t="shared" si="1"/>
        <v>1</v>
      </c>
      <c r="R7" s="48" t="s">
        <v>106</v>
      </c>
      <c r="S7" s="48" t="s">
        <v>77</v>
      </c>
      <c r="T7" s="48" t="s">
        <v>89</v>
      </c>
      <c r="U7" s="48" t="s">
        <v>79</v>
      </c>
      <c r="V7" s="48" t="s">
        <v>90</v>
      </c>
      <c r="W7" s="48" t="s">
        <v>80</v>
      </c>
      <c r="X7" s="48" t="s">
        <v>80</v>
      </c>
      <c r="Y7" s="48" t="s">
        <v>80</v>
      </c>
      <c r="Z7" s="48" t="s">
        <v>81</v>
      </c>
      <c r="AA7" s="48" t="s">
        <v>80</v>
      </c>
      <c r="AB7" s="48" t="s">
        <v>80</v>
      </c>
      <c r="AC7" s="48" t="s">
        <v>80</v>
      </c>
      <c r="AD7" s="48" t="s">
        <v>80</v>
      </c>
      <c r="AE7" s="48" t="s">
        <v>82</v>
      </c>
      <c r="AF7" s="48" t="s">
        <v>83</v>
      </c>
      <c r="AG7" s="48" t="s">
        <v>84</v>
      </c>
      <c r="AH7" s="48" t="s">
        <v>80</v>
      </c>
      <c r="AI7" s="48" t="s">
        <v>80</v>
      </c>
      <c r="AJ7" s="48" t="s">
        <v>80</v>
      </c>
      <c r="AK7" s="48" t="s">
        <v>80</v>
      </c>
      <c r="AL7" s="48" t="s">
        <v>85</v>
      </c>
      <c r="AM7" t="str">
        <f>VLOOKUP($R7,武学奇术!$A:$ZZ,25,FALSE)</f>
        <v>群体奇术</v>
      </c>
      <c r="AN7" s="33">
        <f>VLOOKUP($R7,武学奇术!$A:$ZZ,26,FALSE)</f>
        <v>2.3774</v>
      </c>
      <c r="AO7" s="34">
        <f>VLOOKUP($R7,武学奇术!$A:$ZZ,27,FALSE)*(1+IF(OR($AM7=$F$4,$AM7=$F$5),$B$22,0))</f>
        <v>476</v>
      </c>
      <c r="AP7" s="33">
        <f>VLOOKUP($R7,武学奇术!$A:$ZZ,28,FALSE)</f>
        <v>3.5661</v>
      </c>
      <c r="AQ7" s="34">
        <f>VLOOKUP($R7,武学奇术!$A:$ZZ,29,FALSE)*(1+IF(OR($AM7=$F$4,$AM7=$F$5),$B$22,0))</f>
        <v>0</v>
      </c>
      <c r="AR7" s="33" cm="1">
        <f t="array" ref="AR7">$G$3+IFERROR(VLOOKUP($AM7,$F$4:$G$7,2,FALSE),0)+VLOOKUP($R7,武学奇术!$A:$ZZ,2,FALSE)+SUM(_xlfn.XLOOKUP($S7:$AL7,增益!$A:$A,增益!$B:$B,0))</f>
        <v>0.4342</v>
      </c>
      <c r="AS7" s="33" cm="1">
        <f t="array" ref="AS7">VLOOKUP($R7,武学奇术!$A:$ZZ,5,FALSE)+SUM(_xlfn.XLOOKUP($S7:$AL7,增益!$A:$A,增益!$E:$E,0))</f>
        <v>0</v>
      </c>
      <c r="AT7" cm="1">
        <f t="array" ref="AT7">$D$10*(1+$AS7)+VLOOKUP($R7,武学奇术!$A:$ZZ,3,FALSE)+SUM(_xlfn.XLOOKUP($S7:$AL7,增益!$A:$A,增益!$C:$C,0))-$I$2</f>
        <v>4094.7</v>
      </c>
      <c r="AU7" cm="1">
        <f t="array" ref="AU7">$E$10*(1+$AS7)+VLOOKUP($R7,武学奇术!$A:$ZZ,4,FALSE)+SUM(_xlfn.XLOOKUP($S7:$AL7,增益!$A:$A,增益!$D:$D,0))-$I$2</f>
        <v>4094.7</v>
      </c>
      <c r="AV7" s="40" cm="1">
        <f t="array" ref="AV7">IF($F$10-$I$3+VLOOKUP($R7,武学奇术!$A:$ZZ,6,FALSE)+SUM(_xlfn.XLOOKUP($S7:$AL7,增益!$A:$A,增益!$F:$F,0))&gt;0,($F$10-$I$3+VLOOKUP($R7,武学奇术!$A:$ZZ,6,FALSE)+SUM(_xlfn.XLOOKUP($S7:$AL7,增益!$A:$A,增益!$F:$F,0)))/200,($F$10-$I$3+VLOOKUP($R7,武学奇术!$A:$ZZ,6,FALSE)+SUM(_xlfn.XLOOKUP($S7:$AL7,增益!$A:$A,增益!$F:$F,0)))/100)</f>
        <v>0.3334</v>
      </c>
      <c r="AW7" s="40" cm="1">
        <f t="array" ref="AW7">$G$10+VLOOKUP($R7,武学奇术!$A:$ZZ,7,FALSE)+SUM(_xlfn.XLOOKUP($S7:$AL7,增益!$A:$A,增益!$G:$G,0))</f>
        <v>0.14</v>
      </c>
      <c r="AX7" s="33" cm="1">
        <f t="array" ref="AX7">VLOOKUP($R7,武学奇术!$A:$ZZ,8,FALSE)+SUM(_xlfn.XLOOKUP($S7:$AL7,增益!$A:$A,增益!$H:$H,0))</f>
        <v>0</v>
      </c>
      <c r="AY7">
        <f t="shared" si="2"/>
        <v>0</v>
      </c>
      <c r="AZ7">
        <f t="shared" si="3"/>
        <v>0</v>
      </c>
      <c r="BA7" s="40" cm="1">
        <f t="array" ref="BA7">IF($F$11-$I$4+VLOOKUP($R7,武学奇术!$A:$ZZ,9,FALSE)+SUM(_xlfn.XLOOKUP($S7:$AL7,增益!$A:$A,增益!$I:$I,0))&gt;0,($F$11-$I$4+VLOOKUP($R7,武学奇术!$A:$ZZ,9,FALSE)+SUM(_xlfn.XLOOKUP($S7:$AL7,增益!$A:$A,增益!$I:$I,0)))/200,($F$11-$I$4+VLOOKUP($R7,武学奇术!$A:$ZZ,9,FALSE)+SUM(_xlfn.XLOOKUP($S7:$AL7,增益!$A:$A,增益!$I:$I,0)))/100)</f>
        <v>-0.14</v>
      </c>
      <c r="BB7" s="40" cm="1">
        <f t="array" ref="BB7">$G$11+VLOOKUP($R7,武学奇术!$A:$ZZ,10,FALSE)+SUM(_xlfn.XLOOKUP($S7:$AL7,增益!$A:$A,增益!$J:$J,0))</f>
        <v>0.02</v>
      </c>
      <c r="BC7">
        <f t="shared" si="4"/>
        <v>640.3</v>
      </c>
      <c r="BD7">
        <f t="shared" si="5"/>
        <v>1770.1</v>
      </c>
      <c r="BE7" s="40" cm="1">
        <f t="array" ref="BE7">IF($F$12-$I$4+VLOOKUP($R7,武学奇术!$A:$ZZ,11,FALSE)+SUM(_xlfn.XLOOKUP($S7:$AL7,增益!$A:$A,增益!$K:$K,0))&gt;0,($F$12-$I$4+VLOOKUP($R7,武学奇术!$A:$ZZ,11,FALSE)+SUM(_xlfn.XLOOKUP($S7:$AL7,增益!$A:$A,增益!$K:$K,0)))/200,($F$12-$I$4+VLOOKUP($R7,武学奇术!$A:$ZZ,11,FALSE)+SUM(_xlfn.XLOOKUP($S7:$AL7,增益!$A:$A,增益!$K:$K,0)))/100)</f>
        <v>0.17</v>
      </c>
      <c r="BF7" s="40" cm="1">
        <f t="array" ref="BF7">$G$12+VLOOKUP($R7,武学奇术!$A:$ZZ,12,FALSE)+SUM(_xlfn.XLOOKUP($S7:$AL7,增益!$A:$A,增益!$L:$L,0))</f>
        <v>0.29</v>
      </c>
      <c r="BG7">
        <f t="shared" si="6"/>
        <v>0</v>
      </c>
      <c r="BH7">
        <f t="shared" si="7"/>
        <v>0</v>
      </c>
      <c r="BI7" s="40" cm="1">
        <f t="array" ref="BI7">IF($F$13-$I$4+VLOOKUP($R7,武学奇术!$A:$ZZ,13,FALSE)+SUM(_xlfn.XLOOKUP($S7:$AL7,增益!$A:$A,增益!$M:$M,0))&gt;0,($F$13-$I$4+VLOOKUP($R7,武学奇术!$A:$ZZ,13,FALSE)+SUM(_xlfn.XLOOKUP($S7:$AL7,增益!$A:$A,增益!$K:$K,0)))/200,($F$13-$I$4+VLOOKUP($R7,武学奇术!$A:$ZZ,13,FALSE)+SUM(_xlfn.XLOOKUP($S7:$AL7,增益!$A:$A,增益!$M:$M,0)))/100)</f>
        <v>-0.14</v>
      </c>
      <c r="BJ7" s="40" cm="1">
        <f t="array" ref="BJ7">$G$13+VLOOKUP($R7,武学奇术!$A:$ZZ,14,FALSE)+SUM(_xlfn.XLOOKUP($S7:$AL7,增益!$A:$A,增益!$N:$N,0))</f>
        <v>0.02</v>
      </c>
      <c r="BK7">
        <f t="shared" si="8"/>
        <v>0</v>
      </c>
      <c r="BL7">
        <f t="shared" si="9"/>
        <v>0</v>
      </c>
      <c r="BM7" s="40" cm="1">
        <f t="array" ref="BM7">IF($F$14-$I$4+VLOOKUP($R7,武学奇术!$A:$ZZ,15,FALSE)+SUM(_xlfn.XLOOKUP($S7:$AL7,增益!$A:$A,增益!$O:$O,0))&gt;0,($F$14-$I$4+VLOOKUP($R7,武学奇术!$A:$ZZ,15,FALSE)+SUM(_xlfn.XLOOKUP($S7:$AL7,增益!$A:$A,增益!$O:$O,0)))/200,($F$14-$I$4+VLOOKUP($R7,武学奇术!$A:$ZZ,15,FALSE)+SUM(_xlfn.XLOOKUP($S7:$AL7,增益!$A:$A,增益!$O:$O,0)))/100)</f>
        <v>-0.14</v>
      </c>
      <c r="BN7" s="40" cm="1">
        <f t="array" ref="BN7">$G$14+VLOOKUP($R7,武学奇术!$A:$ZZ,16,FALSE)+SUM(_xlfn.XLOOKUP($S7:$AL7,增益!$A:$A,增益!$P:$P,0))</f>
        <v>0.02</v>
      </c>
      <c r="BO7" s="33">
        <f>MIN(IF(VLOOKUP($R7,武学奇术!$A:$ZZ,23,FALSE)=1,100%,$B$8),100%)</f>
        <v>0.9771</v>
      </c>
      <c r="BP7" s="33" cm="1">
        <f t="array" ref="BP7">IF(VLOOKUP($R7,武学奇术!$A:$ZZ,23,FALSE)=1,100%,MIN(80%,$B$9+VLOOKUP($R7,武学奇术!$A:$ZZ,17,FALSE)+SUM(_xlfn.XLOOKUP($S7:$AL7,增益!$A:$A,增益!$Q:$Q,0)))+$B$11+SUM(_xlfn.XLOOKUP($S7:$AL7,增益!$A:$A,增益!$U:$U,0)))*IF(VLOOKUP($R7,武学奇术!$A:$ZZ,24,FALSE)=1,0,1)</f>
        <v>0.8861</v>
      </c>
      <c r="BQ7" s="33" cm="1">
        <f t="array" ref="BQ7">1+$B$13+VLOOKUP($R7,武学奇术!$A:$ZZ,18,FALSE)+SUM(_xlfn.XLOOKUP($S7:$AL7,增益!$A:$A,增益!$R:$R,0))</f>
        <v>1.77</v>
      </c>
      <c r="BR7" s="33" cm="1">
        <f t="array" ref="BR7">IF(VLOOKUP($R7,武学奇术!$A:$ZZ,24,FALSE)=1,100%,MIN(40%,$B$10+VLOOKUP($R7,武学奇术!$A:$ZZ,19,FALSE)+SUM(_xlfn.XLOOKUP($S7:$AL7,增益!$A:$A,增益!$S:$S,0)))+$B$12+SUM(_xlfn.XLOOKUP($S7:$AL7,增益!$A:$A,增益!$V:$V,0)))*IF(VLOOKUP($R7,武学奇术!$A:$ZZ,23,FALSE)=1,0,1)</f>
        <v>0.0913</v>
      </c>
      <c r="BS7" s="33" cm="1">
        <f t="array" ref="BS7">1+$B$14+VLOOKUP($R7,武学奇术!$A:$ZZ,20,FALSE)+SUM(_xlfn.XLOOKUP($S7:$AL7,增益!$A:$A,增益!$T:$T,0))</f>
        <v>1.35</v>
      </c>
      <c r="BT7" s="33">
        <f t="shared" si="10"/>
        <v>0.86580831</v>
      </c>
      <c r="BU7" s="33">
        <f t="shared" si="11"/>
        <v>0.02208246</v>
      </c>
      <c r="BV7" s="33">
        <f>IF(VLOOKUP($R7,武学奇术!$A:$ZZ,22,FALSE)=1,0,(1-$BO7))*(1-$BR7)</f>
        <v>0.02080923</v>
      </c>
      <c r="BW7" s="33" cm="1">
        <f t="array" ref="BW7">SUM(_xlfn.XLOOKUP($S7:$AL7,增益!$A:$A,增益!$W:$W,0))+$I$5</f>
        <v>0.11</v>
      </c>
      <c r="BX7" s="33" cm="1">
        <f t="array" ref="BX7">VLOOKUP($R7,武学奇术!$A:$ZZ,32,FALSE)+SUM(_xlfn.XLOOKUP($S7:$AL7,增益!$A:$A,增益!$X:$X,0))</f>
        <v>0</v>
      </c>
    </row>
    <row r="8" spans="1:76">
      <c r="A8" s="72" t="s">
        <v>107</v>
      </c>
      <c r="B8" s="73">
        <v>0.9771</v>
      </c>
      <c r="C8" s="74" t="s">
        <v>108</v>
      </c>
      <c r="D8" s="74"/>
      <c r="E8" s="74"/>
      <c r="F8" s="74"/>
      <c r="G8" s="45"/>
      <c r="H8" s="75" t="s">
        <v>109</v>
      </c>
      <c r="I8" s="18">
        <f>IF($E$24="陌刀",89.4,88.1)</f>
        <v>89.4</v>
      </c>
      <c r="J8" s="76"/>
      <c r="K8" s="77"/>
      <c r="L8" s="46">
        <f t="shared" si="0"/>
        <v>65480.1494212673</v>
      </c>
      <c r="M8" s="46">
        <f>((($AT8+$AU8)/2*$AN8+$AO8)*(1+$AV8)*(1+$AW8)+(($AY8+$AZ8)/2*IF($G$1="鸣金",$AP8,$AN8)+IF($G$1="鸣金",$AQ8*1.5,0))*(1+$BA8)*(1+$BB8)+(($BC8+$BD8)/2*IF($G$1="裂石",$AP8,$AN8)+IF($G$1="裂石",$AQ8*1.5,0))*(1+$BE8)*(1+$BF8)+(($BG8+$BH8)/2*IF($G$1="牵丝",$AP8,$AN8)+IF($G$1="牵丝",$AQ8*1.5,0))*(1+$BI8)*(1+$BJ8)+(($BK8+$BL8)/2*IF($G$1="破竹",$AP8,$AN8)+IF($G$1="破竹",$AQ8*1.5,0))*(1+$BM8)*(1+$BN8))*(1+$AR8)*$BQ8*$Q8*(1+IF(VLOOKUP($R8,武学奇术!$A:$ZZ,30,FALSE)="蓄力技",$B$21,0))*(1+IF(VLOOKUP($R8,武学奇术!$A:$ZZ,30,FALSE)="派生技",$B$20,0))*(1+$BW8)*(1+$BX8)</f>
        <v>68067.2069412083</v>
      </c>
      <c r="N8" s="46">
        <f>(($AU8*$AN8+$AO8)*(1+$AV8)*(1+$AW8)+($AZ8*IF($G$1="鸣金",$AP8,$AN8)+IF($G$1="鸣金",$AQ8*1.5,0))*(1+$BA8)*(1+$BB8)+($BD8*IF($G$1="裂石",$AP8,$AN8)+IF($G$1="裂石",$AQ8*1.5,0))*(1+$BE8)*(1+$BF8)+($BH8*IF($G$1="牵丝",$AP8,$AN8)+IF($G$1="牵丝",$AQ8*1.5,0))*(1+$BI8)*(1+$BJ8)+($BL8*IF($G$1="破竹",$AP8,$AN8)+IF($G$1="破竹",$AQ8*1.5,0))*(1+$BM8)*(1+$BN8))*(1+$AR8)*$BS8*$Q8*(1+IF(VLOOKUP($R8,武学奇术!$A:$ZZ,30,FALSE)="蓄力技",$B$21,0))*(1+IF(VLOOKUP($R8,武学奇术!$A:$ZZ,30,FALSE)="派生技",$B$20,0))*(1+$BW8)*(1+$BX8)</f>
        <v>55719.4101765843</v>
      </c>
      <c r="O8" s="46">
        <f>((($AT8+$AU8)/2*$AN8+$AO8)*(1+$AV8)*(1+$AW8)+(($AY8+$AZ8)/2*IF($G$1="鸣金",$AP8,$AN8)+IF($G$1="鸣金",$AQ8*1.5,0))*(1+$BA8)*(1+$BB8)+(($BC8+$BD8)/2*IF($G$1="裂石",$AP8,$AN8)+IF($G$1="裂石",$AQ8*1.5,0))*(1+$BE8)*(1+$BF8)+(($BG8+$BH8)/2*IF($G$1="牵丝",$AP8,$AN8)+IF($G$1="牵丝",$AQ8*1.5,0))*(1+$BI8)*(1+$BJ8)+(($BK8+$BL8)/2*IF($G$1="破竹",$AP8,$AN8)+IF($G$1="破竹",$AQ8*1.5,0))*(1+$BM8)*(1+$BN8))*(1+$AR8)*$Q8*(1+IF(VLOOKUP($R8,武学奇术!$A:$ZZ,30,FALSE)="蓄力技",$B$21,0))*(1+IF(VLOOKUP($R8,武学奇术!$A:$ZZ,30,FALSE)="派生技",$B$20,0))*(1+$BW8)*(1+$BX8)</f>
        <v>36399.5759043895</v>
      </c>
      <c r="P8" s="46">
        <f>((($AT8*$AN8+$AO8)*(1+$AV8)*(1+$AW8)+($AY8*IF($G$1="鸣金",$AP8,$AN8)+IF($G$1="鸣金",$AQ8*1.5,0))*(1+$BA8)*(1+$BB8)+($BC8*IF($G$1="裂石",$AP8,$AN8)+IF($G$1="裂石",$AQ8*1.5,0))*(1+$BE8)*(1+$BF8)+($BG8*IF($G$1="牵丝",$AP8,$AN8)+IF($G$1="牵丝",$AQ8*1.5,0))*(1+$BI8)*(1+$BJ8)+($BK8*IF($G$1="破竹",$AP8,$AN8)+IF($G$1="破竹",$AQ8*1.5,0))*(1+$BM8)*(1+$BN8))*(1+$AR8))*$Q8*(1+IF(VLOOKUP($R8,武学奇术!$A:$ZZ,30,FALSE)="蓄力技",$B$21,0))*(1+IF(VLOOKUP($R8,武学奇术!$A:$ZZ,30,FALSE)="派生技",$B$20,0))*(1+$BW8)*(1+$BX8)</f>
        <v>31525.5146409387</v>
      </c>
      <c r="Q8" s="47">
        <f t="shared" si="1"/>
        <v>1</v>
      </c>
      <c r="R8" s="48" t="s">
        <v>106</v>
      </c>
      <c r="S8" s="48" t="s">
        <v>88</v>
      </c>
      <c r="T8" s="48" t="s">
        <v>89</v>
      </c>
      <c r="U8" s="48" t="s">
        <v>79</v>
      </c>
      <c r="V8" s="48" t="s">
        <v>90</v>
      </c>
      <c r="W8" s="48" t="s">
        <v>91</v>
      </c>
      <c r="X8" s="48" t="s">
        <v>80</v>
      </c>
      <c r="Y8" s="48" t="s">
        <v>80</v>
      </c>
      <c r="Z8" s="48" t="s">
        <v>81</v>
      </c>
      <c r="AA8" s="48" t="s">
        <v>80</v>
      </c>
      <c r="AB8" s="48" t="s">
        <v>80</v>
      </c>
      <c r="AC8" s="48" t="s">
        <v>80</v>
      </c>
      <c r="AD8" s="48" t="s">
        <v>80</v>
      </c>
      <c r="AE8" s="48" t="s">
        <v>82</v>
      </c>
      <c r="AF8" s="48" t="s">
        <v>83</v>
      </c>
      <c r="AG8" s="48" t="s">
        <v>84</v>
      </c>
      <c r="AH8" s="48" t="s">
        <v>80</v>
      </c>
      <c r="AI8" s="48" t="s">
        <v>80</v>
      </c>
      <c r="AJ8" s="48" t="s">
        <v>80</v>
      </c>
      <c r="AK8" s="48" t="s">
        <v>80</v>
      </c>
      <c r="AL8" s="48" t="s">
        <v>85</v>
      </c>
      <c r="AM8" t="str">
        <f>VLOOKUP($R8,武学奇术!$A:$ZZ,25,FALSE)</f>
        <v>群体奇术</v>
      </c>
      <c r="AN8" s="33">
        <f>VLOOKUP($R8,武学奇术!$A:$ZZ,26,FALSE)</f>
        <v>2.3774</v>
      </c>
      <c r="AO8" s="34">
        <f>VLOOKUP($R8,武学奇术!$A:$ZZ,27,FALSE)*(1+IF(OR($AM8=$F$4,$AM8=$F$5),$B$22,0))</f>
        <v>476</v>
      </c>
      <c r="AP8" s="33">
        <f>VLOOKUP($R8,武学奇术!$A:$ZZ,28,FALSE)</f>
        <v>3.5661</v>
      </c>
      <c r="AQ8" s="34">
        <f>VLOOKUP($R8,武学奇术!$A:$ZZ,29,FALSE)*(1+IF(OR($AM8=$F$4,$AM8=$F$5),$B$22,0))</f>
        <v>0</v>
      </c>
      <c r="AR8" s="33" cm="1">
        <f t="array" ref="AR8">$G$3+IFERROR(VLOOKUP($AM8,$F$4:$G$7,2,FALSE),0)+VLOOKUP($R8,武学奇术!$A:$ZZ,2,FALSE)+SUM(_xlfn.XLOOKUP($S8:$AL8,增益!$A:$A,增益!$B:$B,0))</f>
        <v>0.4442</v>
      </c>
      <c r="AS8" s="33" cm="1">
        <f t="array" ref="AS8">VLOOKUP($R8,武学奇术!$A:$ZZ,5,FALSE)+SUM(_xlfn.XLOOKUP($S8:$AL8,增益!$A:$A,增益!$E:$E,0))</f>
        <v>0</v>
      </c>
      <c r="AT8" cm="1">
        <f t="array" ref="AT8">$D$10*(1+$AS8)+VLOOKUP($R8,武学奇术!$A:$ZZ,3,FALSE)+SUM(_xlfn.XLOOKUP($S8:$AL8,增益!$A:$A,增益!$C:$C,0))-$I$2</f>
        <v>4094.7</v>
      </c>
      <c r="AU8" cm="1">
        <f t="array" ref="AU8">$E$10*(1+$AS8)+VLOOKUP($R8,武学奇术!$A:$ZZ,4,FALSE)+SUM(_xlfn.XLOOKUP($S8:$AL8,增益!$A:$A,增益!$D:$D,0))-$I$2</f>
        <v>4094.7</v>
      </c>
      <c r="AV8" s="40" cm="1">
        <f t="array" ref="AV8">IF($F$10-$I$3+VLOOKUP($R8,武学奇术!$A:$ZZ,6,FALSE)+SUM(_xlfn.XLOOKUP($S8:$AL8,增益!$A:$A,增益!$F:$F,0))&gt;0,($F$10-$I$3+VLOOKUP($R8,武学奇术!$A:$ZZ,6,FALSE)+SUM(_xlfn.XLOOKUP($S8:$AL8,增益!$A:$A,增益!$F:$F,0)))/200,($F$10-$I$3+VLOOKUP($R8,武学奇术!$A:$ZZ,6,FALSE)+SUM(_xlfn.XLOOKUP($S8:$AL8,增益!$A:$A,增益!$F:$F,0)))/100)</f>
        <v>0.3934</v>
      </c>
      <c r="AW8" s="40" cm="1">
        <f t="array" ref="AW8">$G$10+VLOOKUP($R8,武学奇术!$A:$ZZ,7,FALSE)+SUM(_xlfn.XLOOKUP($S8:$AL8,增益!$A:$A,增益!$G:$G,0))</f>
        <v>0.14</v>
      </c>
      <c r="AX8" s="33" cm="1">
        <f t="array" ref="AX8">VLOOKUP($R8,武学奇术!$A:$ZZ,8,FALSE)+SUM(_xlfn.XLOOKUP($S8:$AL8,增益!$A:$A,增益!$H:$H,0))</f>
        <v>0</v>
      </c>
      <c r="AY8">
        <f t="shared" si="2"/>
        <v>0</v>
      </c>
      <c r="AZ8">
        <f t="shared" si="3"/>
        <v>0</v>
      </c>
      <c r="BA8" s="40" cm="1">
        <f t="array" ref="BA8">IF($F$11-$I$4+VLOOKUP($R8,武学奇术!$A:$ZZ,9,FALSE)+SUM(_xlfn.XLOOKUP($S8:$AL8,增益!$A:$A,增益!$I:$I,0))&gt;0,($F$11-$I$4+VLOOKUP($R8,武学奇术!$A:$ZZ,9,FALSE)+SUM(_xlfn.XLOOKUP($S8:$AL8,增益!$A:$A,增益!$I:$I,0)))/200,($F$11-$I$4+VLOOKUP($R8,武学奇术!$A:$ZZ,9,FALSE)+SUM(_xlfn.XLOOKUP($S8:$AL8,增益!$A:$A,增益!$I:$I,0)))/100)</f>
        <v>-0.14</v>
      </c>
      <c r="BB8" s="40" cm="1">
        <f t="array" ref="BB8">$G$11+VLOOKUP($R8,武学奇术!$A:$ZZ,10,FALSE)+SUM(_xlfn.XLOOKUP($S8:$AL8,增益!$A:$A,增益!$J:$J,0))</f>
        <v>0.02</v>
      </c>
      <c r="BC8">
        <f t="shared" si="4"/>
        <v>640.3</v>
      </c>
      <c r="BD8">
        <f t="shared" si="5"/>
        <v>1770.1</v>
      </c>
      <c r="BE8" s="40" cm="1">
        <f t="array" ref="BE8">IF($F$12-$I$4+VLOOKUP($R8,武学奇术!$A:$ZZ,11,FALSE)+SUM(_xlfn.XLOOKUP($S8:$AL8,增益!$A:$A,增益!$K:$K,0))&gt;0,($F$12-$I$4+VLOOKUP($R8,武学奇术!$A:$ZZ,11,FALSE)+SUM(_xlfn.XLOOKUP($S8:$AL8,增益!$A:$A,增益!$K:$K,0)))/200,($F$12-$I$4+VLOOKUP($R8,武学奇术!$A:$ZZ,11,FALSE)+SUM(_xlfn.XLOOKUP($S8:$AL8,增益!$A:$A,增益!$K:$K,0)))/100)</f>
        <v>0.17</v>
      </c>
      <c r="BF8" s="40" cm="1">
        <f t="array" ref="BF8">$G$12+VLOOKUP($R8,武学奇术!$A:$ZZ,12,FALSE)+SUM(_xlfn.XLOOKUP($S8:$AL8,增益!$A:$A,增益!$L:$L,0))</f>
        <v>0.29</v>
      </c>
      <c r="BG8">
        <f t="shared" si="6"/>
        <v>0</v>
      </c>
      <c r="BH8">
        <f t="shared" si="7"/>
        <v>0</v>
      </c>
      <c r="BI8" s="40" cm="1">
        <f t="array" ref="BI8">IF($F$13-$I$4+VLOOKUP($R8,武学奇术!$A:$ZZ,13,FALSE)+SUM(_xlfn.XLOOKUP($S8:$AL8,增益!$A:$A,增益!$M:$M,0))&gt;0,($F$13-$I$4+VLOOKUP($R8,武学奇术!$A:$ZZ,13,FALSE)+SUM(_xlfn.XLOOKUP($S8:$AL8,增益!$A:$A,增益!$K:$K,0)))/200,($F$13-$I$4+VLOOKUP($R8,武学奇术!$A:$ZZ,13,FALSE)+SUM(_xlfn.XLOOKUP($S8:$AL8,增益!$A:$A,增益!$M:$M,0)))/100)</f>
        <v>-0.14</v>
      </c>
      <c r="BJ8" s="40" cm="1">
        <f t="array" ref="BJ8">$G$13+VLOOKUP($R8,武学奇术!$A:$ZZ,14,FALSE)+SUM(_xlfn.XLOOKUP($S8:$AL8,增益!$A:$A,增益!$N:$N,0))</f>
        <v>0.02</v>
      </c>
      <c r="BK8">
        <f t="shared" si="8"/>
        <v>0</v>
      </c>
      <c r="BL8">
        <f t="shared" si="9"/>
        <v>0</v>
      </c>
      <c r="BM8" s="40" cm="1">
        <f t="array" ref="BM8">IF($F$14-$I$4+VLOOKUP($R8,武学奇术!$A:$ZZ,15,FALSE)+SUM(_xlfn.XLOOKUP($S8:$AL8,增益!$A:$A,增益!$O:$O,0))&gt;0,($F$14-$I$4+VLOOKUP($R8,武学奇术!$A:$ZZ,15,FALSE)+SUM(_xlfn.XLOOKUP($S8:$AL8,增益!$A:$A,增益!$O:$O,0)))/200,($F$14-$I$4+VLOOKUP($R8,武学奇术!$A:$ZZ,15,FALSE)+SUM(_xlfn.XLOOKUP($S8:$AL8,增益!$A:$A,增益!$O:$O,0)))/100)</f>
        <v>-0.14</v>
      </c>
      <c r="BN8" s="40" cm="1">
        <f t="array" ref="BN8">$G$14+VLOOKUP($R8,武学奇术!$A:$ZZ,16,FALSE)+SUM(_xlfn.XLOOKUP($S8:$AL8,增益!$A:$A,增益!$P:$P,0))</f>
        <v>0.02</v>
      </c>
      <c r="BO8" s="33">
        <f>MIN(IF(VLOOKUP($R8,武学奇术!$A:$ZZ,23,FALSE)=1,100%,$B$8),100%)</f>
        <v>0.9771</v>
      </c>
      <c r="BP8" s="33" cm="1">
        <f t="array" ref="BP8">IF(VLOOKUP($R8,武学奇术!$A:$ZZ,23,FALSE)=1,100%,MIN(80%,$B$9+VLOOKUP($R8,武学奇术!$A:$ZZ,17,FALSE)+SUM(_xlfn.XLOOKUP($S8:$AL8,增益!$A:$A,增益!$Q:$Q,0)))+$B$11+SUM(_xlfn.XLOOKUP($S8:$AL8,增益!$A:$A,增益!$U:$U,0)))*IF(VLOOKUP($R8,武学奇术!$A:$ZZ,24,FALSE)=1,0,1)</f>
        <v>0.8861</v>
      </c>
      <c r="BQ8" s="33" cm="1">
        <f t="array" ref="BQ8">1+$B$13+VLOOKUP($R8,武学奇术!$A:$ZZ,18,FALSE)+SUM(_xlfn.XLOOKUP($S8:$AL8,增益!$A:$A,增益!$R:$R,0))</f>
        <v>1.87</v>
      </c>
      <c r="BR8" s="33" cm="1">
        <f t="array" ref="BR8">IF(VLOOKUP($R8,武学奇术!$A:$ZZ,24,FALSE)=1,100%,MIN(40%,$B$10+VLOOKUP($R8,武学奇术!$A:$ZZ,19,FALSE)+SUM(_xlfn.XLOOKUP($S8:$AL8,增益!$A:$A,增益!$S:$S,0)))+$B$12+SUM(_xlfn.XLOOKUP($S8:$AL8,增益!$A:$A,增益!$V:$V,0)))*IF(VLOOKUP($R8,武学奇术!$A:$ZZ,23,FALSE)=1,0,1)</f>
        <v>0.0913</v>
      </c>
      <c r="BS8" s="33" cm="1">
        <f t="array" ref="BS8">1+$B$14+VLOOKUP($R8,武学奇术!$A:$ZZ,20,FALSE)+SUM(_xlfn.XLOOKUP($S8:$AL8,增益!$A:$A,增益!$T:$T,0))</f>
        <v>1.35</v>
      </c>
      <c r="BT8" s="33">
        <f t="shared" si="10"/>
        <v>0.86580831</v>
      </c>
      <c r="BU8" s="33">
        <f t="shared" si="11"/>
        <v>0.02208246</v>
      </c>
      <c r="BV8" s="33">
        <f>IF(VLOOKUP($R8,武学奇术!$A:$ZZ,22,FALSE)=1,0,(1-$BO8))*(1-$BR8)</f>
        <v>0.02080923</v>
      </c>
      <c r="BW8" s="33" cm="1">
        <f t="array" ref="BW8">SUM(_xlfn.XLOOKUP($S8:$AL8,增益!$A:$A,增益!$W:$W,0))+$I$5</f>
        <v>0.11</v>
      </c>
      <c r="BX8" s="33" cm="1">
        <f t="array" ref="BX8">VLOOKUP($R8,武学奇术!$A:$ZZ,32,FALSE)+SUM(_xlfn.XLOOKUP($S8:$AL8,增益!$A:$A,增益!$X:$X,0))</f>
        <v>0</v>
      </c>
    </row>
    <row r="9" ht="14.25" spans="1:76">
      <c r="A9" s="49" t="s">
        <v>110</v>
      </c>
      <c r="B9" s="78">
        <v>0.7941</v>
      </c>
      <c r="C9" s="22"/>
      <c r="D9" t="s">
        <v>0</v>
      </c>
      <c r="E9" t="s">
        <v>1</v>
      </c>
      <c r="F9" s="47" t="s">
        <v>2</v>
      </c>
      <c r="G9" s="52" t="s">
        <v>3</v>
      </c>
      <c r="H9" s="79"/>
      <c r="I9" s="20"/>
      <c r="J9" s="80"/>
      <c r="K9" s="77"/>
      <c r="L9" s="46">
        <f t="shared" si="0"/>
        <v>66587.9368154307</v>
      </c>
      <c r="M9" s="46">
        <f>((($AT9+$AU9)/2*$AN9+$AO9)*(1+$AV9)*(1+$AW9)+(($AY9+$AZ9)/2*IF($G$1="鸣金",$AP9,$AN9)+IF($G$1="鸣金",$AQ9*1.5,0))*(1+$BA9)*(1+$BB9)+(($BC9+$BD9)/2*IF($G$1="裂石",$AP9,$AN9)+IF($G$1="裂石",$AQ9*1.5,0))*(1+$BE9)*(1+$BF9)+(($BG9+$BH9)/2*IF($G$1="牵丝",$AP9,$AN9)+IF($G$1="牵丝",$AQ9*1.5,0))*(1+$BI9)*(1+$BJ9)+(($BK9+$BL9)/2*IF($G$1="破竹",$AP9,$AN9)+IF($G$1="破竹",$AQ9*1.5,0))*(1+$BM9)*(1+$BN9))*(1+$AR9)*$BQ9*$Q9*(1+IF(VLOOKUP($R9,武学奇术!$A:$ZZ,30,FALSE)="蓄力技",$B$21,0))*(1+IF(VLOOKUP($R9,武学奇术!$A:$ZZ,30,FALSE)="派生技",$B$20,0))*(1+$BW9)*(1+$BX9)</f>
        <v>69258.2750514086</v>
      </c>
      <c r="N9" s="46">
        <f>(($AU9*$AN9+$AO9)*(1+$AV9)*(1+$AW9)+($AZ9*IF($G$1="鸣金",$AP9,$AN9)+IF($G$1="鸣金",$AQ9*1.5,0))*(1+$BA9)*(1+$BB9)+($BD9*IF($G$1="裂石",$AP9,$AN9)+IF($G$1="裂石",$AQ9*1.5,0))*(1+$BE9)*(1+$BF9)+($BH9*IF($G$1="牵丝",$AP9,$AN9)+IF($G$1="牵丝",$AQ9*1.5,0))*(1+$BI9)*(1+$BJ9)+($BL9*IF($G$1="破竹",$AP9,$AN9)+IF($G$1="破竹",$AQ9*1.5,0))*(1+$BM9)*(1+$BN9))*(1+$AR9)*$BS9*$Q9*(1+IF(VLOOKUP($R9,武学奇术!$A:$ZZ,30,FALSE)="蓄力技",$B$21,0))*(1+IF(VLOOKUP($R9,武学奇术!$A:$ZZ,30,FALSE)="派生技",$B$20,0))*(1+$BW9)*(1+$BX9)</f>
        <v>56358.8799506717</v>
      </c>
      <c r="O9" s="46">
        <f>((($AT9+$AU9)/2*$AN9+$AO9)*(1+$AV9)*(1+$AW9)+(($AY9+$AZ9)/2*IF($G$1="鸣金",$AP9,$AN9)+IF($G$1="鸣金",$AQ9*1.5,0))*(1+$BA9)*(1+$BB9)+(($BC9+$BD9)/2*IF($G$1="裂石",$AP9,$AN9)+IF($G$1="裂石",$AQ9*1.5,0))*(1+$BE9)*(1+$BF9)+(($BG9+$BH9)/2*IF($G$1="牵丝",$AP9,$AN9)+IF($G$1="牵丝",$AQ9*1.5,0))*(1+$BI9)*(1+$BJ9)+(($BK9+$BL9)/2*IF($G$1="破竹",$AP9,$AN9)+IF($G$1="破竹",$AQ9*1.5,0))*(1+$BM9)*(1+$BN9))*(1+$AR9)*$Q9*(1+IF(VLOOKUP($R9,武学奇术!$A:$ZZ,30,FALSE)="蓄力技",$B$21,0))*(1+IF(VLOOKUP($R9,武学奇术!$A:$ZZ,30,FALSE)="派生技",$B$20,0))*(1+$BW9)*(1+$BX9)</f>
        <v>36839.5080060684</v>
      </c>
      <c r="P9" s="46">
        <f>((($AT9*$AN9+$AO9)*(1+$AV9)*(1+$AW9)+($AY9*IF($G$1="鸣金",$AP9,$AN9)+IF($G$1="鸣金",$AQ9*1.5,0))*(1+$BA9)*(1+$BB9)+($BC9*IF($G$1="裂石",$AP9,$AN9)+IF($G$1="裂石",$AQ9*1.5,0))*(1+$BE9)*(1+$BF9)+($BG9*IF($G$1="牵丝",$AP9,$AN9)+IF($G$1="牵丝",$AQ9*1.5,0))*(1+$BI9)*(1+$BJ9)+($BK9*IF($G$1="破竹",$AP9,$AN9)+IF($G$1="破竹",$AQ9*1.5,0))*(1+$BM9)*(1+$BN9))*(1+$AR9))*$Q9*(1+IF(VLOOKUP($R9,武学奇术!$A:$ZZ,30,FALSE)="蓄力技",$B$21,0))*(1+IF(VLOOKUP($R9,武学奇术!$A:$ZZ,30,FALSE)="派生技",$B$20,0))*(1+$BW9)*(1+$BX9)</f>
        <v>31931.6975301578</v>
      </c>
      <c r="Q9" s="47">
        <f t="shared" si="1"/>
        <v>1</v>
      </c>
      <c r="R9" s="48" t="s">
        <v>106</v>
      </c>
      <c r="S9" s="48" t="s">
        <v>94</v>
      </c>
      <c r="T9" s="48" t="s">
        <v>95</v>
      </c>
      <c r="U9" s="48" t="s">
        <v>79</v>
      </c>
      <c r="V9" s="48" t="s">
        <v>90</v>
      </c>
      <c r="W9" s="48" t="s">
        <v>91</v>
      </c>
      <c r="X9" s="48" t="s">
        <v>80</v>
      </c>
      <c r="Y9" s="48" t="s">
        <v>80</v>
      </c>
      <c r="Z9" s="48" t="s">
        <v>81</v>
      </c>
      <c r="AA9" s="48" t="s">
        <v>80</v>
      </c>
      <c r="AB9" s="48" t="s">
        <v>80</v>
      </c>
      <c r="AC9" s="48" t="s">
        <v>80</v>
      </c>
      <c r="AD9" s="48" t="s">
        <v>80</v>
      </c>
      <c r="AE9" s="48" t="s">
        <v>82</v>
      </c>
      <c r="AF9" s="48" t="s">
        <v>83</v>
      </c>
      <c r="AG9" s="48" t="s">
        <v>84</v>
      </c>
      <c r="AH9" s="48" t="s">
        <v>80</v>
      </c>
      <c r="AI9" s="48" t="s">
        <v>80</v>
      </c>
      <c r="AJ9" s="48" t="s">
        <v>80</v>
      </c>
      <c r="AK9" s="48" t="s">
        <v>80</v>
      </c>
      <c r="AL9" s="48" t="s">
        <v>85</v>
      </c>
      <c r="AM9" t="str">
        <f>VLOOKUP($R9,武学奇术!$A:$ZZ,25,FALSE)</f>
        <v>群体奇术</v>
      </c>
      <c r="AN9" s="33">
        <f>VLOOKUP($R9,武学奇术!$A:$ZZ,26,FALSE)</f>
        <v>2.3774</v>
      </c>
      <c r="AO9" s="34">
        <f>VLOOKUP($R9,武学奇术!$A:$ZZ,27,FALSE)*(1+IF(OR($AM9=$F$4,$AM9=$F$5),$B$22,0))</f>
        <v>476</v>
      </c>
      <c r="AP9" s="33">
        <f>VLOOKUP($R9,武学奇术!$A:$ZZ,28,FALSE)</f>
        <v>3.5661</v>
      </c>
      <c r="AQ9" s="34">
        <f>VLOOKUP($R9,武学奇术!$A:$ZZ,29,FALSE)*(1+IF(OR($AM9=$F$4,$AM9=$F$5),$B$22,0))</f>
        <v>0</v>
      </c>
      <c r="AR9" s="33" cm="1">
        <f t="array" ref="AR9">$G$3+IFERROR(VLOOKUP($AM9,$F$4:$G$7,2,FALSE),0)+VLOOKUP($R9,武学奇术!$A:$ZZ,2,FALSE)+SUM(_xlfn.XLOOKUP($S9:$AL9,增益!$A:$A,增益!$B:$B,0))</f>
        <v>0.4542</v>
      </c>
      <c r="AS9" s="33" cm="1">
        <f t="array" ref="AS9">VLOOKUP($R9,武学奇术!$A:$ZZ,5,FALSE)+SUM(_xlfn.XLOOKUP($S9:$AL9,增益!$A:$A,增益!$E:$E,0))</f>
        <v>0</v>
      </c>
      <c r="AT9" cm="1">
        <f t="array" ref="AT9">$D$10*(1+$AS9)+VLOOKUP($R9,武学奇术!$A:$ZZ,3,FALSE)+SUM(_xlfn.XLOOKUP($S9:$AL9,增益!$A:$A,增益!$C:$C,0))-$I$2</f>
        <v>4094.7</v>
      </c>
      <c r="AU9" cm="1">
        <f t="array" ref="AU9">$E$10*(1+$AS9)+VLOOKUP($R9,武学奇术!$A:$ZZ,4,FALSE)+SUM(_xlfn.XLOOKUP($S9:$AL9,增益!$A:$A,增益!$D:$D,0))-$I$2</f>
        <v>4094.7</v>
      </c>
      <c r="AV9" s="40" cm="1">
        <f t="array" ref="AV9">IF($F$10-$I$3+VLOOKUP($R9,武学奇术!$A:$ZZ,6,FALSE)+SUM(_xlfn.XLOOKUP($S9:$AL9,增益!$A:$A,增益!$F:$F,0))&gt;0,($F$10-$I$3+VLOOKUP($R9,武学奇术!$A:$ZZ,6,FALSE)+SUM(_xlfn.XLOOKUP($S9:$AL9,增益!$A:$A,增益!$F:$F,0)))/200,($F$10-$I$3+VLOOKUP($R9,武学奇术!$A:$ZZ,6,FALSE)+SUM(_xlfn.XLOOKUP($S9:$AL9,增益!$A:$A,增益!$F:$F,0)))/100)</f>
        <v>0.4034</v>
      </c>
      <c r="AW9" s="40" cm="1">
        <f t="array" ref="AW9">$G$10+VLOOKUP($R9,武学奇术!$A:$ZZ,7,FALSE)+SUM(_xlfn.XLOOKUP($S9:$AL9,增益!$A:$A,增益!$G:$G,0))</f>
        <v>0.14</v>
      </c>
      <c r="AX9" s="33" cm="1">
        <f t="array" ref="AX9">VLOOKUP($R9,武学奇术!$A:$ZZ,8,FALSE)+SUM(_xlfn.XLOOKUP($S9:$AL9,增益!$A:$A,增益!$H:$H,0))</f>
        <v>0</v>
      </c>
      <c r="AY9">
        <f t="shared" si="2"/>
        <v>0</v>
      </c>
      <c r="AZ9">
        <f t="shared" si="3"/>
        <v>0</v>
      </c>
      <c r="BA9" s="40" cm="1">
        <f t="array" ref="BA9">IF($F$11-$I$4+VLOOKUP($R9,武学奇术!$A:$ZZ,9,FALSE)+SUM(_xlfn.XLOOKUP($S9:$AL9,增益!$A:$A,增益!$I:$I,0))&gt;0,($F$11-$I$4+VLOOKUP($R9,武学奇术!$A:$ZZ,9,FALSE)+SUM(_xlfn.XLOOKUP($S9:$AL9,增益!$A:$A,增益!$I:$I,0)))/200,($F$11-$I$4+VLOOKUP($R9,武学奇术!$A:$ZZ,9,FALSE)+SUM(_xlfn.XLOOKUP($S9:$AL9,增益!$A:$A,增益!$I:$I,0)))/100)</f>
        <v>-0.14</v>
      </c>
      <c r="BB9" s="40" cm="1">
        <f t="array" ref="BB9">$G$11+VLOOKUP($R9,武学奇术!$A:$ZZ,10,FALSE)+SUM(_xlfn.XLOOKUP($S9:$AL9,增益!$A:$A,增益!$J:$J,0))</f>
        <v>0.02</v>
      </c>
      <c r="BC9">
        <f t="shared" si="4"/>
        <v>640.3</v>
      </c>
      <c r="BD9">
        <f t="shared" si="5"/>
        <v>1770.1</v>
      </c>
      <c r="BE9" s="40" cm="1">
        <f t="array" ref="BE9">IF($F$12-$I$4+VLOOKUP($R9,武学奇术!$A:$ZZ,11,FALSE)+SUM(_xlfn.XLOOKUP($S9:$AL9,增益!$A:$A,增益!$K:$K,0))&gt;0,($F$12-$I$4+VLOOKUP($R9,武学奇术!$A:$ZZ,11,FALSE)+SUM(_xlfn.XLOOKUP($S9:$AL9,增益!$A:$A,增益!$K:$K,0)))/200,($F$12-$I$4+VLOOKUP($R9,武学奇术!$A:$ZZ,11,FALSE)+SUM(_xlfn.XLOOKUP($S9:$AL9,增益!$A:$A,增益!$K:$K,0)))/100)</f>
        <v>0.17</v>
      </c>
      <c r="BF9" s="40" cm="1">
        <f t="array" ref="BF9">$G$12+VLOOKUP($R9,武学奇术!$A:$ZZ,12,FALSE)+SUM(_xlfn.XLOOKUP($S9:$AL9,增益!$A:$A,增益!$L:$L,0))</f>
        <v>0.29</v>
      </c>
      <c r="BG9">
        <f t="shared" si="6"/>
        <v>0</v>
      </c>
      <c r="BH9">
        <f t="shared" si="7"/>
        <v>0</v>
      </c>
      <c r="BI9" s="40" cm="1">
        <f t="array" ref="BI9">IF($F$13-$I$4+VLOOKUP($R9,武学奇术!$A:$ZZ,13,FALSE)+SUM(_xlfn.XLOOKUP($S9:$AL9,增益!$A:$A,增益!$M:$M,0))&gt;0,($F$13-$I$4+VLOOKUP($R9,武学奇术!$A:$ZZ,13,FALSE)+SUM(_xlfn.XLOOKUP($S9:$AL9,增益!$A:$A,增益!$K:$K,0)))/200,($F$13-$I$4+VLOOKUP($R9,武学奇术!$A:$ZZ,13,FALSE)+SUM(_xlfn.XLOOKUP($S9:$AL9,增益!$A:$A,增益!$M:$M,0)))/100)</f>
        <v>-0.14</v>
      </c>
      <c r="BJ9" s="40" cm="1">
        <f t="array" ref="BJ9">$G$13+VLOOKUP($R9,武学奇术!$A:$ZZ,14,FALSE)+SUM(_xlfn.XLOOKUP($S9:$AL9,增益!$A:$A,增益!$N:$N,0))</f>
        <v>0.02</v>
      </c>
      <c r="BK9">
        <f t="shared" si="8"/>
        <v>0</v>
      </c>
      <c r="BL9">
        <f t="shared" si="9"/>
        <v>0</v>
      </c>
      <c r="BM9" s="40" cm="1">
        <f t="array" ref="BM9">IF($F$14-$I$4+VLOOKUP($R9,武学奇术!$A:$ZZ,15,FALSE)+SUM(_xlfn.XLOOKUP($S9:$AL9,增益!$A:$A,增益!$O:$O,0))&gt;0,($F$14-$I$4+VLOOKUP($R9,武学奇术!$A:$ZZ,15,FALSE)+SUM(_xlfn.XLOOKUP($S9:$AL9,增益!$A:$A,增益!$O:$O,0)))/200,($F$14-$I$4+VLOOKUP($R9,武学奇术!$A:$ZZ,15,FALSE)+SUM(_xlfn.XLOOKUP($S9:$AL9,增益!$A:$A,增益!$O:$O,0)))/100)</f>
        <v>-0.14</v>
      </c>
      <c r="BN9" s="40" cm="1">
        <f t="array" ref="BN9">$G$14+VLOOKUP($R9,武学奇术!$A:$ZZ,16,FALSE)+SUM(_xlfn.XLOOKUP($S9:$AL9,增益!$A:$A,增益!$P:$P,0))</f>
        <v>0.02</v>
      </c>
      <c r="BO9" s="33">
        <f>MIN(IF(VLOOKUP($R9,武学奇术!$A:$ZZ,23,FALSE)=1,100%,$B$8),100%)</f>
        <v>0.9771</v>
      </c>
      <c r="BP9" s="33" cm="1">
        <f t="array" ref="BP9">IF(VLOOKUP($R9,武学奇术!$A:$ZZ,23,FALSE)=1,100%,MIN(80%,$B$9+VLOOKUP($R9,武学奇术!$A:$ZZ,17,FALSE)+SUM(_xlfn.XLOOKUP($S9:$AL9,增益!$A:$A,增益!$Q:$Q,0)))+$B$11+SUM(_xlfn.XLOOKUP($S9:$AL9,增益!$A:$A,增益!$U:$U,0)))*IF(VLOOKUP($R9,武学奇术!$A:$ZZ,24,FALSE)=1,0,1)</f>
        <v>0.8861</v>
      </c>
      <c r="BQ9" s="33" cm="1">
        <f t="array" ref="BQ9">1+$B$13+VLOOKUP($R9,武学奇术!$A:$ZZ,18,FALSE)+SUM(_xlfn.XLOOKUP($S9:$AL9,增益!$A:$A,增益!$R:$R,0))</f>
        <v>1.88</v>
      </c>
      <c r="BR9" s="33" cm="1">
        <f t="array" ref="BR9">IF(VLOOKUP($R9,武学奇术!$A:$ZZ,24,FALSE)=1,100%,MIN(40%,$B$10+VLOOKUP($R9,武学奇术!$A:$ZZ,19,FALSE)+SUM(_xlfn.XLOOKUP($S9:$AL9,增益!$A:$A,增益!$S:$S,0)))+$B$12+SUM(_xlfn.XLOOKUP($S9:$AL9,增益!$A:$A,增益!$V:$V,0)))*IF(VLOOKUP($R9,武学奇术!$A:$ZZ,23,FALSE)=1,0,1)</f>
        <v>0.0913</v>
      </c>
      <c r="BS9" s="33" cm="1">
        <f t="array" ref="BS9">1+$B$14+VLOOKUP($R9,武学奇术!$A:$ZZ,20,FALSE)+SUM(_xlfn.XLOOKUP($S9:$AL9,增益!$A:$A,增益!$T:$T,0))</f>
        <v>1.35</v>
      </c>
      <c r="BT9" s="33">
        <f t="shared" si="10"/>
        <v>0.86580831</v>
      </c>
      <c r="BU9" s="33">
        <f t="shared" si="11"/>
        <v>0.02208246</v>
      </c>
      <c r="BV9" s="33">
        <f>IF(VLOOKUP($R9,武学奇术!$A:$ZZ,22,FALSE)=1,0,(1-$BO9))*(1-$BR9)</f>
        <v>0.02080923</v>
      </c>
      <c r="BW9" s="33" cm="1">
        <f t="array" ref="BW9">SUM(_xlfn.XLOOKUP($S9:$AL9,增益!$A:$A,增益!$W:$W,0))+$I$5</f>
        <v>0.11</v>
      </c>
      <c r="BX9" s="33" cm="1">
        <f t="array" ref="BX9">VLOOKUP($R9,武学奇术!$A:$ZZ,32,FALSE)+SUM(_xlfn.XLOOKUP($S9:$AL9,增益!$A:$A,增益!$X:$X,0))</f>
        <v>0</v>
      </c>
    </row>
    <row r="10" spans="1:76">
      <c r="A10" s="49" t="s">
        <v>111</v>
      </c>
      <c r="B10" s="78">
        <v>0.0913</v>
      </c>
      <c r="C10" s="22" t="s">
        <v>72</v>
      </c>
      <c r="D10">
        <f>B2+B23</f>
        <v>4713</v>
      </c>
      <c r="E10">
        <f>MAX(B2+B23,C2+B24)</f>
        <v>4713</v>
      </c>
      <c r="F10">
        <f>D2</f>
        <v>58.68</v>
      </c>
      <c r="G10" s="96">
        <f>E2</f>
        <v>0</v>
      </c>
      <c r="H10" s="75" t="s">
        <v>112</v>
      </c>
      <c r="I10" s="24">
        <f>SUM(L:L)</f>
        <v>16440072.343324</v>
      </c>
      <c r="J10" s="81"/>
      <c r="K10" s="46"/>
      <c r="L10" s="46">
        <f t="shared" si="0"/>
        <v>66587.9368154307</v>
      </c>
      <c r="M10" s="46">
        <f>((($AT10+$AU10)/2*$AN10+$AO10)*(1+$AV10)*(1+$AW10)+(($AY10+$AZ10)/2*IF($G$1="鸣金",$AP10,$AN10)+IF($G$1="鸣金",$AQ10*1.5,0))*(1+$BA10)*(1+$BB10)+(($BC10+$BD10)/2*IF($G$1="裂石",$AP10,$AN10)+IF($G$1="裂石",$AQ10*1.5,0))*(1+$BE10)*(1+$BF10)+(($BG10+$BH10)/2*IF($G$1="牵丝",$AP10,$AN10)+IF($G$1="牵丝",$AQ10*1.5,0))*(1+$BI10)*(1+$BJ10)+(($BK10+$BL10)/2*IF($G$1="破竹",$AP10,$AN10)+IF($G$1="破竹",$AQ10*1.5,0))*(1+$BM10)*(1+$BN10))*(1+$AR10)*$BQ10*$Q10*(1+IF(VLOOKUP($R10,武学奇术!$A:$ZZ,30,FALSE)="蓄力技",$B$21,0))*(1+IF(VLOOKUP($R10,武学奇术!$A:$ZZ,30,FALSE)="派生技",$B$20,0))*(1+$BW10)*(1+$BX10)</f>
        <v>69258.2750514086</v>
      </c>
      <c r="N10" s="46">
        <f>(($AU10*$AN10+$AO10)*(1+$AV10)*(1+$AW10)+($AZ10*IF($G$1="鸣金",$AP10,$AN10)+IF($G$1="鸣金",$AQ10*1.5,0))*(1+$BA10)*(1+$BB10)+($BD10*IF($G$1="裂石",$AP10,$AN10)+IF($G$1="裂石",$AQ10*1.5,0))*(1+$BE10)*(1+$BF10)+($BH10*IF($G$1="牵丝",$AP10,$AN10)+IF($G$1="牵丝",$AQ10*1.5,0))*(1+$BI10)*(1+$BJ10)+($BL10*IF($G$1="破竹",$AP10,$AN10)+IF($G$1="破竹",$AQ10*1.5,0))*(1+$BM10)*(1+$BN10))*(1+$AR10)*$BS10*$Q10*(1+IF(VLOOKUP($R10,武学奇术!$A:$ZZ,30,FALSE)="蓄力技",$B$21,0))*(1+IF(VLOOKUP($R10,武学奇术!$A:$ZZ,30,FALSE)="派生技",$B$20,0))*(1+$BW10)*(1+$BX10)</f>
        <v>56358.8799506717</v>
      </c>
      <c r="O10" s="46">
        <f>((($AT10+$AU10)/2*$AN10+$AO10)*(1+$AV10)*(1+$AW10)+(($AY10+$AZ10)/2*IF($G$1="鸣金",$AP10,$AN10)+IF($G$1="鸣金",$AQ10*1.5,0))*(1+$BA10)*(1+$BB10)+(($BC10+$BD10)/2*IF($G$1="裂石",$AP10,$AN10)+IF($G$1="裂石",$AQ10*1.5,0))*(1+$BE10)*(1+$BF10)+(($BG10+$BH10)/2*IF($G$1="牵丝",$AP10,$AN10)+IF($G$1="牵丝",$AQ10*1.5,0))*(1+$BI10)*(1+$BJ10)+(($BK10+$BL10)/2*IF($G$1="破竹",$AP10,$AN10)+IF($G$1="破竹",$AQ10*1.5,0))*(1+$BM10)*(1+$BN10))*(1+$AR10)*$Q10*(1+IF(VLOOKUP($R10,武学奇术!$A:$ZZ,30,FALSE)="蓄力技",$B$21,0))*(1+IF(VLOOKUP($R10,武学奇术!$A:$ZZ,30,FALSE)="派生技",$B$20,0))*(1+$BW10)*(1+$BX10)</f>
        <v>36839.5080060684</v>
      </c>
      <c r="P10" s="46">
        <f>((($AT10*$AN10+$AO10)*(1+$AV10)*(1+$AW10)+($AY10*IF($G$1="鸣金",$AP10,$AN10)+IF($G$1="鸣金",$AQ10*1.5,0))*(1+$BA10)*(1+$BB10)+($BC10*IF($G$1="裂石",$AP10,$AN10)+IF($G$1="裂石",$AQ10*1.5,0))*(1+$BE10)*(1+$BF10)+($BG10*IF($G$1="牵丝",$AP10,$AN10)+IF($G$1="牵丝",$AQ10*1.5,0))*(1+$BI10)*(1+$BJ10)+($BK10*IF($G$1="破竹",$AP10,$AN10)+IF($G$1="破竹",$AQ10*1.5,0))*(1+$BM10)*(1+$BN10))*(1+$AR10))*$Q10*(1+IF(VLOOKUP($R10,武学奇术!$A:$ZZ,30,FALSE)="蓄力技",$B$21,0))*(1+IF(VLOOKUP($R10,武学奇术!$A:$ZZ,30,FALSE)="派生技",$B$20,0))*(1+$BW10)*(1+$BX10)</f>
        <v>31931.6975301578</v>
      </c>
      <c r="Q10" s="47">
        <f t="shared" si="1"/>
        <v>1</v>
      </c>
      <c r="R10" s="48" t="s">
        <v>106</v>
      </c>
      <c r="S10" s="48" t="s">
        <v>94</v>
      </c>
      <c r="T10" s="48" t="s">
        <v>95</v>
      </c>
      <c r="U10" s="48" t="s">
        <v>79</v>
      </c>
      <c r="V10" s="48" t="s">
        <v>90</v>
      </c>
      <c r="W10" s="48" t="s">
        <v>91</v>
      </c>
      <c r="X10" s="48" t="s">
        <v>80</v>
      </c>
      <c r="Y10" s="48" t="s">
        <v>80</v>
      </c>
      <c r="Z10" s="48" t="s">
        <v>81</v>
      </c>
      <c r="AA10" s="48" t="s">
        <v>80</v>
      </c>
      <c r="AB10" s="48" t="s">
        <v>80</v>
      </c>
      <c r="AC10" s="48" t="s">
        <v>80</v>
      </c>
      <c r="AD10" s="48" t="s">
        <v>80</v>
      </c>
      <c r="AE10" s="48" t="s">
        <v>82</v>
      </c>
      <c r="AF10" s="48" t="s">
        <v>83</v>
      </c>
      <c r="AG10" s="48" t="s">
        <v>84</v>
      </c>
      <c r="AH10" s="48" t="s">
        <v>80</v>
      </c>
      <c r="AI10" s="48" t="s">
        <v>80</v>
      </c>
      <c r="AJ10" s="48" t="s">
        <v>80</v>
      </c>
      <c r="AK10" s="48" t="s">
        <v>80</v>
      </c>
      <c r="AL10" s="48" t="s">
        <v>85</v>
      </c>
      <c r="AM10" t="str">
        <f>VLOOKUP($R10,武学奇术!$A:$ZZ,25,FALSE)</f>
        <v>群体奇术</v>
      </c>
      <c r="AN10" s="33">
        <f>VLOOKUP($R10,武学奇术!$A:$ZZ,26,FALSE)</f>
        <v>2.3774</v>
      </c>
      <c r="AO10" s="34">
        <f>VLOOKUP($R10,武学奇术!$A:$ZZ,27,FALSE)*(1+IF(OR($AM10=$F$4,$AM10=$F$5),$B$22,0))</f>
        <v>476</v>
      </c>
      <c r="AP10" s="33">
        <f>VLOOKUP($R10,武学奇术!$A:$ZZ,28,FALSE)</f>
        <v>3.5661</v>
      </c>
      <c r="AQ10" s="34">
        <f>VLOOKUP($R10,武学奇术!$A:$ZZ,29,FALSE)*(1+IF(OR($AM10=$F$4,$AM10=$F$5),$B$22,0))</f>
        <v>0</v>
      </c>
      <c r="AR10" s="33" cm="1">
        <f t="array" ref="AR10">$G$3+IFERROR(VLOOKUP($AM10,$F$4:$G$7,2,FALSE),0)+VLOOKUP($R10,武学奇术!$A:$ZZ,2,FALSE)+SUM(_xlfn.XLOOKUP($S10:$AL10,增益!$A:$A,增益!$B:$B,0))</f>
        <v>0.4542</v>
      </c>
      <c r="AS10" s="33" cm="1">
        <f t="array" ref="AS10">VLOOKUP($R10,武学奇术!$A:$ZZ,5,FALSE)+SUM(_xlfn.XLOOKUP($S10:$AL10,增益!$A:$A,增益!$E:$E,0))</f>
        <v>0</v>
      </c>
      <c r="AT10" cm="1">
        <f t="array" ref="AT10">$D$10*(1+$AS10)+VLOOKUP($R10,武学奇术!$A:$ZZ,3,FALSE)+SUM(_xlfn.XLOOKUP($S10:$AL10,增益!$A:$A,增益!$C:$C,0))-$I$2</f>
        <v>4094.7</v>
      </c>
      <c r="AU10" cm="1">
        <f t="array" ref="AU10">$E$10*(1+$AS10)+VLOOKUP($R10,武学奇术!$A:$ZZ,4,FALSE)+SUM(_xlfn.XLOOKUP($S10:$AL10,增益!$A:$A,增益!$D:$D,0))-$I$2</f>
        <v>4094.7</v>
      </c>
      <c r="AV10" s="40" cm="1">
        <f t="array" ref="AV10">IF($F$10-$I$3+VLOOKUP($R10,武学奇术!$A:$ZZ,6,FALSE)+SUM(_xlfn.XLOOKUP($S10:$AL10,增益!$A:$A,增益!$F:$F,0))&gt;0,($F$10-$I$3+VLOOKUP($R10,武学奇术!$A:$ZZ,6,FALSE)+SUM(_xlfn.XLOOKUP($S10:$AL10,增益!$A:$A,增益!$F:$F,0)))/200,($F$10-$I$3+VLOOKUP($R10,武学奇术!$A:$ZZ,6,FALSE)+SUM(_xlfn.XLOOKUP($S10:$AL10,增益!$A:$A,增益!$F:$F,0)))/100)</f>
        <v>0.4034</v>
      </c>
      <c r="AW10" s="40" cm="1">
        <f t="array" ref="AW10">$G$10+VLOOKUP($R10,武学奇术!$A:$ZZ,7,FALSE)+SUM(_xlfn.XLOOKUP($S10:$AL10,增益!$A:$A,增益!$G:$G,0))</f>
        <v>0.14</v>
      </c>
      <c r="AX10" s="33" cm="1">
        <f t="array" ref="AX10">VLOOKUP($R10,武学奇术!$A:$ZZ,8,FALSE)+SUM(_xlfn.XLOOKUP($S10:$AL10,增益!$A:$A,增益!$H:$H,0))</f>
        <v>0</v>
      </c>
      <c r="AY10">
        <f t="shared" si="2"/>
        <v>0</v>
      </c>
      <c r="AZ10">
        <f t="shared" si="3"/>
        <v>0</v>
      </c>
      <c r="BA10" s="40" cm="1">
        <f t="array" ref="BA10">IF($F$11-$I$4+VLOOKUP($R10,武学奇术!$A:$ZZ,9,FALSE)+SUM(_xlfn.XLOOKUP($S10:$AL10,增益!$A:$A,增益!$I:$I,0))&gt;0,($F$11-$I$4+VLOOKUP($R10,武学奇术!$A:$ZZ,9,FALSE)+SUM(_xlfn.XLOOKUP($S10:$AL10,增益!$A:$A,增益!$I:$I,0)))/200,($F$11-$I$4+VLOOKUP($R10,武学奇术!$A:$ZZ,9,FALSE)+SUM(_xlfn.XLOOKUP($S10:$AL10,增益!$A:$A,增益!$I:$I,0)))/100)</f>
        <v>-0.14</v>
      </c>
      <c r="BB10" s="40" cm="1">
        <f t="array" ref="BB10">$G$11+VLOOKUP($R10,武学奇术!$A:$ZZ,10,FALSE)+SUM(_xlfn.XLOOKUP($S10:$AL10,增益!$A:$A,增益!$J:$J,0))</f>
        <v>0.02</v>
      </c>
      <c r="BC10">
        <f t="shared" si="4"/>
        <v>640.3</v>
      </c>
      <c r="BD10">
        <f t="shared" si="5"/>
        <v>1770.1</v>
      </c>
      <c r="BE10" s="40" cm="1">
        <f t="array" ref="BE10">IF($F$12-$I$4+VLOOKUP($R10,武学奇术!$A:$ZZ,11,FALSE)+SUM(_xlfn.XLOOKUP($S10:$AL10,增益!$A:$A,增益!$K:$K,0))&gt;0,($F$12-$I$4+VLOOKUP($R10,武学奇术!$A:$ZZ,11,FALSE)+SUM(_xlfn.XLOOKUP($S10:$AL10,增益!$A:$A,增益!$K:$K,0)))/200,($F$12-$I$4+VLOOKUP($R10,武学奇术!$A:$ZZ,11,FALSE)+SUM(_xlfn.XLOOKUP($S10:$AL10,增益!$A:$A,增益!$K:$K,0)))/100)</f>
        <v>0.17</v>
      </c>
      <c r="BF10" s="40" cm="1">
        <f t="array" ref="BF10">$G$12+VLOOKUP($R10,武学奇术!$A:$ZZ,12,FALSE)+SUM(_xlfn.XLOOKUP($S10:$AL10,增益!$A:$A,增益!$L:$L,0))</f>
        <v>0.29</v>
      </c>
      <c r="BG10">
        <f t="shared" si="6"/>
        <v>0</v>
      </c>
      <c r="BH10">
        <f t="shared" si="7"/>
        <v>0</v>
      </c>
      <c r="BI10" s="40" cm="1">
        <f t="array" ref="BI10">IF($F$13-$I$4+VLOOKUP($R10,武学奇术!$A:$ZZ,13,FALSE)+SUM(_xlfn.XLOOKUP($S10:$AL10,增益!$A:$A,增益!$M:$M,0))&gt;0,($F$13-$I$4+VLOOKUP($R10,武学奇术!$A:$ZZ,13,FALSE)+SUM(_xlfn.XLOOKUP($S10:$AL10,增益!$A:$A,增益!$K:$K,0)))/200,($F$13-$I$4+VLOOKUP($R10,武学奇术!$A:$ZZ,13,FALSE)+SUM(_xlfn.XLOOKUP($S10:$AL10,增益!$A:$A,增益!$M:$M,0)))/100)</f>
        <v>-0.14</v>
      </c>
      <c r="BJ10" s="40" cm="1">
        <f t="array" ref="BJ10">$G$13+VLOOKUP($R10,武学奇术!$A:$ZZ,14,FALSE)+SUM(_xlfn.XLOOKUP($S10:$AL10,增益!$A:$A,增益!$N:$N,0))</f>
        <v>0.02</v>
      </c>
      <c r="BK10">
        <f t="shared" si="8"/>
        <v>0</v>
      </c>
      <c r="BL10">
        <f t="shared" si="9"/>
        <v>0</v>
      </c>
      <c r="BM10" s="40" cm="1">
        <f t="array" ref="BM10">IF($F$14-$I$4+VLOOKUP($R10,武学奇术!$A:$ZZ,15,FALSE)+SUM(_xlfn.XLOOKUP($S10:$AL10,增益!$A:$A,增益!$O:$O,0))&gt;0,($F$14-$I$4+VLOOKUP($R10,武学奇术!$A:$ZZ,15,FALSE)+SUM(_xlfn.XLOOKUP($S10:$AL10,增益!$A:$A,增益!$O:$O,0)))/200,($F$14-$I$4+VLOOKUP($R10,武学奇术!$A:$ZZ,15,FALSE)+SUM(_xlfn.XLOOKUP($S10:$AL10,增益!$A:$A,增益!$O:$O,0)))/100)</f>
        <v>-0.14</v>
      </c>
      <c r="BN10" s="40" cm="1">
        <f t="array" ref="BN10">$G$14+VLOOKUP($R10,武学奇术!$A:$ZZ,16,FALSE)+SUM(_xlfn.XLOOKUP($S10:$AL10,增益!$A:$A,增益!$P:$P,0))</f>
        <v>0.02</v>
      </c>
      <c r="BO10" s="33">
        <f>MIN(IF(VLOOKUP($R10,武学奇术!$A:$ZZ,23,FALSE)=1,100%,$B$8),100%)</f>
        <v>0.9771</v>
      </c>
      <c r="BP10" s="33" cm="1">
        <f t="array" ref="BP10">IF(VLOOKUP($R10,武学奇术!$A:$ZZ,23,FALSE)=1,100%,MIN(80%,$B$9+VLOOKUP($R10,武学奇术!$A:$ZZ,17,FALSE)+SUM(_xlfn.XLOOKUP($S10:$AL10,增益!$A:$A,增益!$Q:$Q,0)))+$B$11+SUM(_xlfn.XLOOKUP($S10:$AL10,增益!$A:$A,增益!$U:$U,0)))*IF(VLOOKUP($R10,武学奇术!$A:$ZZ,24,FALSE)=1,0,1)</f>
        <v>0.8861</v>
      </c>
      <c r="BQ10" s="33" cm="1">
        <f t="array" ref="BQ10">1+$B$13+VLOOKUP($R10,武学奇术!$A:$ZZ,18,FALSE)+SUM(_xlfn.XLOOKUP($S10:$AL10,增益!$A:$A,增益!$R:$R,0))</f>
        <v>1.88</v>
      </c>
      <c r="BR10" s="33" cm="1">
        <f t="array" ref="BR10">IF(VLOOKUP($R10,武学奇术!$A:$ZZ,24,FALSE)=1,100%,MIN(40%,$B$10+VLOOKUP($R10,武学奇术!$A:$ZZ,19,FALSE)+SUM(_xlfn.XLOOKUP($S10:$AL10,增益!$A:$A,增益!$S:$S,0)))+$B$12+SUM(_xlfn.XLOOKUP($S10:$AL10,增益!$A:$A,增益!$V:$V,0)))*IF(VLOOKUP($R10,武学奇术!$A:$ZZ,23,FALSE)=1,0,1)</f>
        <v>0.0913</v>
      </c>
      <c r="BS10" s="33" cm="1">
        <f t="array" ref="BS10">1+$B$14+VLOOKUP($R10,武学奇术!$A:$ZZ,20,FALSE)+SUM(_xlfn.XLOOKUP($S10:$AL10,增益!$A:$A,增益!$T:$T,0))</f>
        <v>1.35</v>
      </c>
      <c r="BT10" s="33">
        <f t="shared" si="10"/>
        <v>0.86580831</v>
      </c>
      <c r="BU10" s="33">
        <f t="shared" si="11"/>
        <v>0.02208246</v>
      </c>
      <c r="BV10" s="33">
        <f>IF(VLOOKUP($R10,武学奇术!$A:$ZZ,22,FALSE)=1,0,(1-$BO10))*(1-$BR10)</f>
        <v>0.02080923</v>
      </c>
      <c r="BW10" s="33" cm="1">
        <f t="array" ref="BW10">SUM(_xlfn.XLOOKUP($S10:$AL10,增益!$A:$A,增益!$W:$W,0))+$I$5</f>
        <v>0.11</v>
      </c>
      <c r="BX10" s="33" cm="1">
        <f t="array" ref="BX10">VLOOKUP($R10,武学奇术!$A:$ZZ,32,FALSE)+SUM(_xlfn.XLOOKUP($S10:$AL10,增益!$A:$A,增益!$X:$X,0))</f>
        <v>0</v>
      </c>
    </row>
    <row r="11" ht="14.25" spans="1:76">
      <c r="A11" s="49" t="s">
        <v>113</v>
      </c>
      <c r="B11" s="78">
        <f>9.2%+IF(AND($E$24="唐刀",$E$22="断石之构"),4.1%,0)</f>
        <v>0.092</v>
      </c>
      <c r="C11" s="22" t="s">
        <v>86</v>
      </c>
      <c r="D11">
        <f>B3+IF($G$1=$C11,$B$7,0)</f>
        <v>0</v>
      </c>
      <c r="E11">
        <f>MAX(B3,C3)+IF($G$1=$C11,$C$7,0)</f>
        <v>0</v>
      </c>
      <c r="F11">
        <f>D3</f>
        <v>0</v>
      </c>
      <c r="G11" s="96">
        <f>E3</f>
        <v>0</v>
      </c>
      <c r="H11" s="79"/>
      <c r="I11" s="25"/>
      <c r="J11" s="82"/>
      <c r="K11" s="46"/>
      <c r="L11" s="46">
        <f t="shared" si="0"/>
        <v>67708.0001116033</v>
      </c>
      <c r="M11" s="46">
        <f>((($AT11+$AU11)/2*$AN11+$AO11)*(1+$AV11)*(1+$AW11)+(($AY11+$AZ11)/2*IF($G$1="鸣金",$AP11,$AN11)+IF($G$1="鸣金",$AQ11*1.5,0))*(1+$BA11)*(1+$BB11)+(($BC11+$BD11)/2*IF($G$1="裂石",$AP11,$AN11)+IF($G$1="裂石",$AQ11*1.5,0))*(1+$BE11)*(1+$BF11)+(($BG11+$BH11)/2*IF($G$1="牵丝",$AP11,$AN11)+IF($G$1="牵丝",$AQ11*1.5,0))*(1+$BI11)*(1+$BJ11)+(($BK11+$BL11)/2*IF($G$1="破竹",$AP11,$AN11)+IF($G$1="破竹",$AQ11*1.5,0))*(1+$BM11)*(1+$BN11))*(1+$AR11)*$BQ11*$Q11*(1+IF(VLOOKUP($R11,武学奇术!$A:$ZZ,30,FALSE)="蓄力技",$B$21,0))*(1+IF(VLOOKUP($R11,武学奇术!$A:$ZZ,30,FALSE)="派生技",$B$20,0))*(1+$BW11)*(1+$BX11)</f>
        <v>70463.0258169469</v>
      </c>
      <c r="N11" s="46">
        <f>(($AU11*$AN11+$AO11)*(1+$AV11)*(1+$AW11)+($AZ11*IF($G$1="鸣金",$AP11,$AN11)+IF($G$1="鸣金",$AQ11*1.5,0))*(1+$BA11)*(1+$BB11)+($BD11*IF($G$1="裂石",$AP11,$AN11)+IF($G$1="裂石",$AQ11*1.5,0))*(1+$BE11)*(1+$BF11)+($BH11*IF($G$1="牵丝",$AP11,$AN11)+IF($G$1="牵丝",$AQ11*1.5,0))*(1+$BI11)*(1+$BJ11)+($BL11*IF($G$1="破竹",$AP11,$AN11)+IF($G$1="破竹",$AQ11*1.5,0))*(1+$BM11)*(1+$BN11))*(1+$AR11)*$BS11*$Q11*(1+IF(VLOOKUP($R11,武学奇术!$A:$ZZ,30,FALSE)="蓄力技",$B$21,0))*(1+IF(VLOOKUP($R11,武学奇术!$A:$ZZ,30,FALSE)="派生技",$B$20,0))*(1+$BW11)*(1+$BX11)</f>
        <v>57001.8383056908</v>
      </c>
      <c r="O11" s="46">
        <f>((($AT11+$AU11)/2*$AN11+$AO11)*(1+$AV11)*(1+$AW11)+(($AY11+$AZ11)/2*IF($G$1="鸣金",$AP11,$AN11)+IF($G$1="鸣金",$AQ11*1.5,0))*(1+$BA11)*(1+$BB11)+(($BC11+$BD11)/2*IF($G$1="裂石",$AP11,$AN11)+IF($G$1="裂石",$AQ11*1.5,0))*(1+$BE11)*(1+$BF11)+(($BG11+$BH11)/2*IF($G$1="牵丝",$AP11,$AN11)+IF($G$1="牵丝",$AQ11*1.5,0))*(1+$BI11)*(1+$BJ11)+(($BK11+$BL11)/2*IF($G$1="破竹",$AP11,$AN11)+IF($G$1="破竹",$AQ11*1.5,0))*(1+$BM11)*(1+$BN11))*(1+$AR11)*$Q11*(1+IF(VLOOKUP($R11,武学奇术!$A:$ZZ,30,FALSE)="蓄力技",$B$21,0))*(1+IF(VLOOKUP($R11,武学奇术!$A:$ZZ,30,FALSE)="派生技",$B$20,0))*(1+$BW11)*(1+$BX11)</f>
        <v>37282.0242417709</v>
      </c>
      <c r="P11" s="46">
        <f>((($AT11*$AN11+$AO11)*(1+$AV11)*(1+$AW11)+($AY11*IF($G$1="鸣金",$AP11,$AN11)+IF($G$1="鸣金",$AQ11*1.5,0))*(1+$BA11)*(1+$BB11)+($BC11*IF($G$1="裂石",$AP11,$AN11)+IF($G$1="裂石",$AQ11*1.5,0))*(1+$BE11)*(1+$BF11)+($BG11*IF($G$1="牵丝",$AP11,$AN11)+IF($G$1="牵丝",$AQ11*1.5,0))*(1+$BI11)*(1+$BJ11)+($BK11*IF($G$1="破竹",$AP11,$AN11)+IF($G$1="破竹",$AQ11*1.5,0))*(1+$BM11)*(1+$BN11))*(1+$AR11))*$Q11*(1+IF(VLOOKUP($R11,武学奇术!$A:$ZZ,30,FALSE)="蓄力技",$B$21,0))*(1+IF(VLOOKUP($R11,武学奇术!$A:$ZZ,30,FALSE)="派生技",$B$20,0))*(1+$BW11)*(1+$BX11)</f>
        <v>32340.4645534004</v>
      </c>
      <c r="Q11" s="47">
        <f t="shared" si="1"/>
        <v>1</v>
      </c>
      <c r="R11" s="48" t="s">
        <v>106</v>
      </c>
      <c r="S11" s="48" t="s">
        <v>99</v>
      </c>
      <c r="T11" s="48" t="s">
        <v>100</v>
      </c>
      <c r="U11" s="48" t="s">
        <v>79</v>
      </c>
      <c r="V11" s="48" t="s">
        <v>90</v>
      </c>
      <c r="W11" s="48" t="s">
        <v>91</v>
      </c>
      <c r="X11" s="48" t="s">
        <v>80</v>
      </c>
      <c r="Y11" s="48" t="s">
        <v>80</v>
      </c>
      <c r="Z11" s="48" t="s">
        <v>81</v>
      </c>
      <c r="AA11" s="48" t="s">
        <v>80</v>
      </c>
      <c r="AB11" s="48" t="s">
        <v>80</v>
      </c>
      <c r="AC11" s="48" t="s">
        <v>80</v>
      </c>
      <c r="AD11" s="48" t="s">
        <v>80</v>
      </c>
      <c r="AE11" s="48" t="s">
        <v>82</v>
      </c>
      <c r="AF11" s="48" t="s">
        <v>83</v>
      </c>
      <c r="AG11" s="48" t="s">
        <v>84</v>
      </c>
      <c r="AH11" s="48" t="s">
        <v>80</v>
      </c>
      <c r="AI11" s="48" t="s">
        <v>80</v>
      </c>
      <c r="AJ11" s="48" t="s">
        <v>80</v>
      </c>
      <c r="AK11" s="48" t="s">
        <v>80</v>
      </c>
      <c r="AL11" s="48" t="s">
        <v>85</v>
      </c>
      <c r="AM11" t="str">
        <f>VLOOKUP($R11,武学奇术!$A:$ZZ,25,FALSE)</f>
        <v>群体奇术</v>
      </c>
      <c r="AN11" s="33">
        <f>VLOOKUP($R11,武学奇术!$A:$ZZ,26,FALSE)</f>
        <v>2.3774</v>
      </c>
      <c r="AO11" s="34">
        <f>VLOOKUP($R11,武学奇术!$A:$ZZ,27,FALSE)*(1+IF(OR($AM11=$F$4,$AM11=$F$5),$B$22,0))</f>
        <v>476</v>
      </c>
      <c r="AP11" s="33">
        <f>VLOOKUP($R11,武学奇术!$A:$ZZ,28,FALSE)</f>
        <v>3.5661</v>
      </c>
      <c r="AQ11" s="34">
        <f>VLOOKUP($R11,武学奇术!$A:$ZZ,29,FALSE)*(1+IF(OR($AM11=$F$4,$AM11=$F$5),$B$22,0))</f>
        <v>0</v>
      </c>
      <c r="AR11" s="33" cm="1">
        <f t="array" ref="AR11">$G$3+IFERROR(VLOOKUP($AM11,$F$4:$G$7,2,FALSE),0)+VLOOKUP($R11,武学奇术!$A:$ZZ,2,FALSE)+SUM(_xlfn.XLOOKUP($S11:$AL11,增益!$A:$A,增益!$B:$B,0))</f>
        <v>0.4642</v>
      </c>
      <c r="AS11" s="33" cm="1">
        <f t="array" ref="AS11">VLOOKUP($R11,武学奇术!$A:$ZZ,5,FALSE)+SUM(_xlfn.XLOOKUP($S11:$AL11,增益!$A:$A,增益!$E:$E,0))</f>
        <v>0</v>
      </c>
      <c r="AT11" cm="1">
        <f t="array" ref="AT11">$D$10*(1+$AS11)+VLOOKUP($R11,武学奇术!$A:$ZZ,3,FALSE)+SUM(_xlfn.XLOOKUP($S11:$AL11,增益!$A:$A,增益!$C:$C,0))-$I$2</f>
        <v>4094.7</v>
      </c>
      <c r="AU11" cm="1">
        <f t="array" ref="AU11">$E$10*(1+$AS11)+VLOOKUP($R11,武学奇术!$A:$ZZ,4,FALSE)+SUM(_xlfn.XLOOKUP($S11:$AL11,增益!$A:$A,增益!$D:$D,0))-$I$2</f>
        <v>4094.7</v>
      </c>
      <c r="AV11" s="40" cm="1">
        <f t="array" ref="AV11">IF($F$10-$I$3+VLOOKUP($R11,武学奇术!$A:$ZZ,6,FALSE)+SUM(_xlfn.XLOOKUP($S11:$AL11,增益!$A:$A,增益!$F:$F,0))&gt;0,($F$10-$I$3+VLOOKUP($R11,武学奇术!$A:$ZZ,6,FALSE)+SUM(_xlfn.XLOOKUP($S11:$AL11,增益!$A:$A,增益!$F:$F,0)))/200,($F$10-$I$3+VLOOKUP($R11,武学奇术!$A:$ZZ,6,FALSE)+SUM(_xlfn.XLOOKUP($S11:$AL11,增益!$A:$A,增益!$F:$F,0)))/100)</f>
        <v>0.4134</v>
      </c>
      <c r="AW11" s="40" cm="1">
        <f t="array" ref="AW11">$G$10+VLOOKUP($R11,武学奇术!$A:$ZZ,7,FALSE)+SUM(_xlfn.XLOOKUP($S11:$AL11,增益!$A:$A,增益!$G:$G,0))</f>
        <v>0.14</v>
      </c>
      <c r="AX11" s="33" cm="1">
        <f t="array" ref="AX11">VLOOKUP($R11,武学奇术!$A:$ZZ,8,FALSE)+SUM(_xlfn.XLOOKUP($S11:$AL11,增益!$A:$A,增益!$H:$H,0))</f>
        <v>0</v>
      </c>
      <c r="AY11">
        <f t="shared" si="2"/>
        <v>0</v>
      </c>
      <c r="AZ11">
        <f t="shared" si="3"/>
        <v>0</v>
      </c>
      <c r="BA11" s="40" cm="1">
        <f t="array" ref="BA11">IF($F$11-$I$4+VLOOKUP($R11,武学奇术!$A:$ZZ,9,FALSE)+SUM(_xlfn.XLOOKUP($S11:$AL11,增益!$A:$A,增益!$I:$I,0))&gt;0,($F$11-$I$4+VLOOKUP($R11,武学奇术!$A:$ZZ,9,FALSE)+SUM(_xlfn.XLOOKUP($S11:$AL11,增益!$A:$A,增益!$I:$I,0)))/200,($F$11-$I$4+VLOOKUP($R11,武学奇术!$A:$ZZ,9,FALSE)+SUM(_xlfn.XLOOKUP($S11:$AL11,增益!$A:$A,增益!$I:$I,0)))/100)</f>
        <v>-0.14</v>
      </c>
      <c r="BB11" s="40" cm="1">
        <f t="array" ref="BB11">$G$11+VLOOKUP($R11,武学奇术!$A:$ZZ,10,FALSE)+SUM(_xlfn.XLOOKUP($S11:$AL11,增益!$A:$A,增益!$J:$J,0))</f>
        <v>0.02</v>
      </c>
      <c r="BC11">
        <f t="shared" si="4"/>
        <v>640.3</v>
      </c>
      <c r="BD11">
        <f t="shared" si="5"/>
        <v>1770.1</v>
      </c>
      <c r="BE11" s="40" cm="1">
        <f t="array" ref="BE11">IF($F$12-$I$4+VLOOKUP($R11,武学奇术!$A:$ZZ,11,FALSE)+SUM(_xlfn.XLOOKUP($S11:$AL11,增益!$A:$A,增益!$K:$K,0))&gt;0,($F$12-$I$4+VLOOKUP($R11,武学奇术!$A:$ZZ,11,FALSE)+SUM(_xlfn.XLOOKUP($S11:$AL11,增益!$A:$A,增益!$K:$K,0)))/200,($F$12-$I$4+VLOOKUP($R11,武学奇术!$A:$ZZ,11,FALSE)+SUM(_xlfn.XLOOKUP($S11:$AL11,增益!$A:$A,增益!$K:$K,0)))/100)</f>
        <v>0.17</v>
      </c>
      <c r="BF11" s="40" cm="1">
        <f t="array" ref="BF11">$G$12+VLOOKUP($R11,武学奇术!$A:$ZZ,12,FALSE)+SUM(_xlfn.XLOOKUP($S11:$AL11,增益!$A:$A,增益!$L:$L,0))</f>
        <v>0.29</v>
      </c>
      <c r="BG11">
        <f t="shared" si="6"/>
        <v>0</v>
      </c>
      <c r="BH11">
        <f t="shared" si="7"/>
        <v>0</v>
      </c>
      <c r="BI11" s="40" cm="1">
        <f t="array" ref="BI11">IF($F$13-$I$4+VLOOKUP($R11,武学奇术!$A:$ZZ,13,FALSE)+SUM(_xlfn.XLOOKUP($S11:$AL11,增益!$A:$A,增益!$M:$M,0))&gt;0,($F$13-$I$4+VLOOKUP($R11,武学奇术!$A:$ZZ,13,FALSE)+SUM(_xlfn.XLOOKUP($S11:$AL11,增益!$A:$A,增益!$K:$K,0)))/200,($F$13-$I$4+VLOOKUP($R11,武学奇术!$A:$ZZ,13,FALSE)+SUM(_xlfn.XLOOKUP($S11:$AL11,增益!$A:$A,增益!$M:$M,0)))/100)</f>
        <v>-0.14</v>
      </c>
      <c r="BJ11" s="40" cm="1">
        <f t="array" ref="BJ11">$G$13+VLOOKUP($R11,武学奇术!$A:$ZZ,14,FALSE)+SUM(_xlfn.XLOOKUP($S11:$AL11,增益!$A:$A,增益!$N:$N,0))</f>
        <v>0.02</v>
      </c>
      <c r="BK11">
        <f t="shared" si="8"/>
        <v>0</v>
      </c>
      <c r="BL11">
        <f t="shared" si="9"/>
        <v>0</v>
      </c>
      <c r="BM11" s="40" cm="1">
        <f t="array" ref="BM11">IF($F$14-$I$4+VLOOKUP($R11,武学奇术!$A:$ZZ,15,FALSE)+SUM(_xlfn.XLOOKUP($S11:$AL11,增益!$A:$A,增益!$O:$O,0))&gt;0,($F$14-$I$4+VLOOKUP($R11,武学奇术!$A:$ZZ,15,FALSE)+SUM(_xlfn.XLOOKUP($S11:$AL11,增益!$A:$A,增益!$O:$O,0)))/200,($F$14-$I$4+VLOOKUP($R11,武学奇术!$A:$ZZ,15,FALSE)+SUM(_xlfn.XLOOKUP($S11:$AL11,增益!$A:$A,增益!$O:$O,0)))/100)</f>
        <v>-0.14</v>
      </c>
      <c r="BN11" s="40" cm="1">
        <f t="array" ref="BN11">$G$14+VLOOKUP($R11,武学奇术!$A:$ZZ,16,FALSE)+SUM(_xlfn.XLOOKUP($S11:$AL11,增益!$A:$A,增益!$P:$P,0))</f>
        <v>0.02</v>
      </c>
      <c r="BO11" s="33">
        <f>MIN(IF(VLOOKUP($R11,武学奇术!$A:$ZZ,23,FALSE)=1,100%,$B$8),100%)</f>
        <v>0.9771</v>
      </c>
      <c r="BP11" s="33" cm="1">
        <f t="array" ref="BP11">IF(VLOOKUP($R11,武学奇术!$A:$ZZ,23,FALSE)=1,100%,MIN(80%,$B$9+VLOOKUP($R11,武学奇术!$A:$ZZ,17,FALSE)+SUM(_xlfn.XLOOKUP($S11:$AL11,增益!$A:$A,增益!$Q:$Q,0)))+$B$11+SUM(_xlfn.XLOOKUP($S11:$AL11,增益!$A:$A,增益!$U:$U,0)))*IF(VLOOKUP($R11,武学奇术!$A:$ZZ,24,FALSE)=1,0,1)</f>
        <v>0.8861</v>
      </c>
      <c r="BQ11" s="33" cm="1">
        <f t="array" ref="BQ11">1+$B$13+VLOOKUP($R11,武学奇术!$A:$ZZ,18,FALSE)+SUM(_xlfn.XLOOKUP($S11:$AL11,增益!$A:$A,增益!$R:$R,0))</f>
        <v>1.89</v>
      </c>
      <c r="BR11" s="33" cm="1">
        <f t="array" ref="BR11">IF(VLOOKUP($R11,武学奇术!$A:$ZZ,24,FALSE)=1,100%,MIN(40%,$B$10+VLOOKUP($R11,武学奇术!$A:$ZZ,19,FALSE)+SUM(_xlfn.XLOOKUP($S11:$AL11,增益!$A:$A,增益!$S:$S,0)))+$B$12+SUM(_xlfn.XLOOKUP($S11:$AL11,增益!$A:$A,增益!$V:$V,0)))*IF(VLOOKUP($R11,武学奇术!$A:$ZZ,23,FALSE)=1,0,1)</f>
        <v>0.0913</v>
      </c>
      <c r="BS11" s="33" cm="1">
        <f t="array" ref="BS11">1+$B$14+VLOOKUP($R11,武学奇术!$A:$ZZ,20,FALSE)+SUM(_xlfn.XLOOKUP($S11:$AL11,增益!$A:$A,增益!$T:$T,0))</f>
        <v>1.35</v>
      </c>
      <c r="BT11" s="33">
        <f t="shared" si="10"/>
        <v>0.86580831</v>
      </c>
      <c r="BU11" s="33">
        <f t="shared" si="11"/>
        <v>0.02208246</v>
      </c>
      <c r="BV11" s="33">
        <f>IF(VLOOKUP($R11,武学奇术!$A:$ZZ,22,FALSE)=1,0,(1-$BO11))*(1-$BR11)</f>
        <v>0.02080923</v>
      </c>
      <c r="BW11" s="33" cm="1">
        <f t="array" ref="BW11">SUM(_xlfn.XLOOKUP($S11:$AL11,增益!$A:$A,增益!$W:$W,0))+$I$5</f>
        <v>0.11</v>
      </c>
      <c r="BX11" s="33" cm="1">
        <f t="array" ref="BX11">VLOOKUP($R11,武学奇术!$A:$ZZ,32,FALSE)+SUM(_xlfn.XLOOKUP($S11:$AL11,增益!$A:$A,增益!$X:$X,0))</f>
        <v>0</v>
      </c>
    </row>
    <row r="12" spans="1:76">
      <c r="A12" s="49" t="s">
        <v>114</v>
      </c>
      <c r="B12" s="78">
        <v>0</v>
      </c>
      <c r="C12" s="22" t="s">
        <v>5</v>
      </c>
      <c r="D12">
        <f>B4+IF($G$1=$C12,$B$7,0)</f>
        <v>640.3</v>
      </c>
      <c r="E12">
        <f>MAX(B4,C4)+IF($G$1=$C12,$C$7,0)</f>
        <v>1770.1</v>
      </c>
      <c r="F12">
        <f>D4</f>
        <v>36</v>
      </c>
      <c r="G12" s="96">
        <f>E4</f>
        <v>0.15</v>
      </c>
      <c r="H12" s="75" t="s">
        <v>115</v>
      </c>
      <c r="I12" s="46">
        <f>I10/I8</f>
        <v>183893.426659106</v>
      </c>
      <c r="J12" s="83"/>
      <c r="K12" s="46"/>
      <c r="L12" s="46">
        <f t="shared" si="0"/>
        <v>89475.2916528589</v>
      </c>
      <c r="M12" s="46">
        <f>((($AT12+$AU12)/2*$AN12+$AO12)*(1+$AV12)*(1+$AW12)+(($AY12+$AZ12)/2*IF($G$1="鸣金",$AP12,$AN12)+IF($G$1="鸣金",$AQ12*1.5,0))*(1+$BA12)*(1+$BB12)+(($BC12+$BD12)/2*IF($G$1="裂石",$AP12,$AN12)+IF($G$1="裂石",$AQ12*1.5,0))*(1+$BE12)*(1+$BF12)+(($BG12+$BH12)/2*IF($G$1="牵丝",$AP12,$AN12)+IF($G$1="牵丝",$AQ12*1.5,0))*(1+$BI12)*(1+$BJ12)+(($BK12+$BL12)/2*IF($G$1="破竹",$AP12,$AN12)+IF($G$1="破竹",$AQ12*1.5,0))*(1+$BM12)*(1+$BN12))*(1+$AR12)*$BQ12*$Q12*(1+IF(VLOOKUP($R12,武学奇术!$A:$ZZ,30,FALSE)="蓄力技",$B$21,0))*(1+IF(VLOOKUP($R12,武学奇术!$A:$ZZ,30,FALSE)="派生技",$B$20,0))*(1+$BW12)*(1+$BX12)</f>
        <v>92501.558307959</v>
      </c>
      <c r="N12" s="46">
        <f>(($AU12*$AN12+$AO12)*(1+$AV12)*(1+$AW12)+($AZ12*IF($G$1="鸣金",$AP12,$AN12)+IF($G$1="鸣金",$AQ12*1.5,0))*(1+$BA12)*(1+$BB12)+($BD12*IF($G$1="裂石",$AP12,$AN12)+IF($G$1="裂石",$AQ12*1.5,0))*(1+$BE12)*(1+$BF12)+($BH12*IF($G$1="牵丝",$AP12,$AN12)+IF($G$1="牵丝",$AQ12*1.5,0))*(1+$BI12)*(1+$BJ12)+($BL12*IF($G$1="破竹",$AP12,$AN12)+IF($G$1="破竹",$AQ12*1.5,0))*(1+$BM12)*(1+$BN12))*(1+$AR12)*$BS12*$Q12*(1+IF(VLOOKUP($R12,武学奇术!$A:$ZZ,30,FALSE)="蓄力技",$B$21,0))*(1+IF(VLOOKUP($R12,武学奇术!$A:$ZZ,30,FALSE)="派生技",$B$20,0))*(1+$BW12)*(1+$BX12)</f>
        <v>79576.1953778687</v>
      </c>
      <c r="O12" s="46">
        <f>((($AT12+$AU12)/2*$AN12+$AO12)*(1+$AV12)*(1+$AW12)+(($AY12+$AZ12)/2*IF($G$1="鸣金",$AP12,$AN12)+IF($G$1="鸣金",$AQ12*1.5,0))*(1+$BA12)*(1+$BB12)+(($BC12+$BD12)/2*IF($G$1="裂石",$AP12,$AN12)+IF($G$1="裂石",$AQ12*1.5,0))*(1+$BE12)*(1+$BF12)+(($BG12+$BH12)/2*IF($G$1="牵丝",$AP12,$AN12)+IF($G$1="牵丝",$AQ12*1.5,0))*(1+$BI12)*(1+$BJ12)+(($BK12+$BL12)/2*IF($G$1="破竹",$AP12,$AN12)+IF($G$1="破竹",$AQ12*1.5,0))*(1+$BM12)*(1+$BN12))*(1+$AR12)*$Q12*(1+IF(VLOOKUP($R12,武学奇术!$A:$ZZ,30,FALSE)="蓄力技",$B$21,0))*(1+IF(VLOOKUP($R12,武学奇术!$A:$ZZ,30,FALSE)="派生技",$B$20,0))*(1+$BW12)*(1+$BX12)</f>
        <v>52557.7035840676</v>
      </c>
      <c r="P12" s="46">
        <f>((($AT12*$AN12+$AO12)*(1+$AV12)*(1+$AW12)+($AY12*IF($G$1="鸣金",$AP12,$AN12)+IF($G$1="鸣金",$AQ12*1.5,0))*(1+$BA12)*(1+$BB12)+($BC12*IF($G$1="裂石",$AP12,$AN12)+IF($G$1="裂石",$AQ12*1.5,0))*(1+$BE12)*(1+$BF12)+($BG12*IF($G$1="牵丝",$AP12,$AN12)+IF($G$1="牵丝",$AQ12*1.5,0))*(1+$BI12)*(1+$BJ12)+($BK12*IF($G$1="破竹",$AP12,$AN12)+IF($G$1="破竹",$AQ12*1.5,0))*(1+$BM12)*(1+$BN12))*(1+$AR12))*$Q12*(1+IF(VLOOKUP($R12,武学奇术!$A:$ZZ,30,FALSE)="蓄力技",$B$21,0))*(1+IF(VLOOKUP($R12,武学奇术!$A:$ZZ,30,FALSE)="派生技",$B$20,0))*(1+$BW12)*(1+$BX12)</f>
        <v>46170.0772586029</v>
      </c>
      <c r="Q12" s="47">
        <f t="shared" si="1"/>
        <v>1</v>
      </c>
      <c r="R12" s="48" t="s">
        <v>116</v>
      </c>
      <c r="S12" s="48" t="s">
        <v>117</v>
      </c>
      <c r="T12" s="48" t="s">
        <v>78</v>
      </c>
      <c r="U12" s="48" t="s">
        <v>80</v>
      </c>
      <c r="V12" s="48" t="s">
        <v>80</v>
      </c>
      <c r="W12" s="48" t="s">
        <v>80</v>
      </c>
      <c r="X12" s="48" t="s">
        <v>80</v>
      </c>
      <c r="Y12" s="48" t="s">
        <v>80</v>
      </c>
      <c r="Z12" s="48" t="s">
        <v>80</v>
      </c>
      <c r="AA12" s="48" t="s">
        <v>80</v>
      </c>
      <c r="AB12" s="48" t="s">
        <v>80</v>
      </c>
      <c r="AC12" s="48" t="s">
        <v>80</v>
      </c>
      <c r="AD12" s="48" t="s">
        <v>80</v>
      </c>
      <c r="AE12" s="48" t="s">
        <v>82</v>
      </c>
      <c r="AF12" s="48" t="s">
        <v>83</v>
      </c>
      <c r="AG12" s="48" t="s">
        <v>84</v>
      </c>
      <c r="AH12" s="48" t="s">
        <v>80</v>
      </c>
      <c r="AI12" s="48" t="s">
        <v>80</v>
      </c>
      <c r="AJ12" s="48" t="s">
        <v>80</v>
      </c>
      <c r="AK12" s="48" t="s">
        <v>80</v>
      </c>
      <c r="AL12" s="48" t="s">
        <v>85</v>
      </c>
      <c r="AM12" t="str">
        <f>VLOOKUP($R12,武学奇术!$A:$ZZ,25,FALSE)</f>
        <v>横刀</v>
      </c>
      <c r="AN12" s="33">
        <f>VLOOKUP($R12,武学奇术!$A:$ZZ,26,FALSE)</f>
        <v>3.7797</v>
      </c>
      <c r="AO12" s="34">
        <f>VLOOKUP($R12,武学奇术!$A:$ZZ,27,FALSE)*(1+IF(OR($AM12=$F$4,$AM12=$F$5),$B$22,0))</f>
        <v>1672</v>
      </c>
      <c r="AP12" s="33">
        <f>VLOOKUP($R12,武学奇术!$A:$ZZ,28,FALSE)</f>
        <v>5.6696</v>
      </c>
      <c r="AQ12" s="34">
        <f>VLOOKUP($R12,武学奇术!$A:$ZZ,29,FALSE)*(1+IF(OR($AM12=$F$4,$AM12=$F$5),$B$22,0))</f>
        <v>912</v>
      </c>
      <c r="AR12" s="33" cm="1">
        <f t="array" ref="AR12">$G$3+IFERROR(VLOOKUP($AM12,$F$4:$G$7,2,FALSE),0)+VLOOKUP($R12,武学奇术!$A:$ZZ,2,FALSE)+SUM(_xlfn.XLOOKUP($S12:$AL12,增益!$A:$A,增益!$B:$B,0))</f>
        <v>0.4089</v>
      </c>
      <c r="AS12" s="33" cm="1">
        <f t="array" ref="AS12">VLOOKUP($R12,武学奇术!$A:$ZZ,5,FALSE)+SUM(_xlfn.XLOOKUP($S12:$AL12,增益!$A:$A,增益!$E:$E,0))</f>
        <v>0</v>
      </c>
      <c r="AT12" cm="1">
        <f t="array" ref="AT12">$D$10*(1+$AS12)+VLOOKUP($R12,武学奇术!$A:$ZZ,3,FALSE)+SUM(_xlfn.XLOOKUP($S12:$AL12,增益!$A:$A,增益!$C:$C,0))-$I$2</f>
        <v>4094.7</v>
      </c>
      <c r="AU12" cm="1">
        <f t="array" ref="AU12">$E$10*(1+$AS12)+VLOOKUP($R12,武学奇术!$A:$ZZ,4,FALSE)+SUM(_xlfn.XLOOKUP($S12:$AL12,增益!$A:$A,增益!$D:$D,0))-$I$2</f>
        <v>4094.7</v>
      </c>
      <c r="AV12" s="40" cm="1">
        <f t="array" ref="AV12">IF($F$10-$I$3+VLOOKUP($R12,武学奇术!$A:$ZZ,6,FALSE)+SUM(_xlfn.XLOOKUP($S12:$AL12,增益!$A:$A,增益!$F:$F,0))&gt;0,($F$10-$I$3+VLOOKUP($R12,武学奇术!$A:$ZZ,6,FALSE)+SUM(_xlfn.XLOOKUP($S12:$AL12,增益!$A:$A,增益!$F:$F,0)))/200,($F$10-$I$3+VLOOKUP($R12,武学奇术!$A:$ZZ,6,FALSE)+SUM(_xlfn.XLOOKUP($S12:$AL12,增益!$A:$A,增益!$F:$F,0)))/100)</f>
        <v>0.3234</v>
      </c>
      <c r="AW12" s="40" cm="1">
        <f t="array" ref="AW12">$G$10+VLOOKUP($R12,武学奇术!$A:$ZZ,7,FALSE)+SUM(_xlfn.XLOOKUP($S12:$AL12,增益!$A:$A,增益!$G:$G,0))</f>
        <v>0.02</v>
      </c>
      <c r="AX12" s="33" cm="1">
        <f t="array" ref="AX12">VLOOKUP($R12,武学奇术!$A:$ZZ,8,FALSE)+SUM(_xlfn.XLOOKUP($S12:$AL12,增益!$A:$A,增益!$H:$H,0))</f>
        <v>0</v>
      </c>
      <c r="AY12">
        <f t="shared" si="2"/>
        <v>0</v>
      </c>
      <c r="AZ12">
        <f t="shared" si="3"/>
        <v>0</v>
      </c>
      <c r="BA12" s="40" cm="1">
        <f t="array" ref="BA12">IF($F$11-$I$4+VLOOKUP($R12,武学奇术!$A:$ZZ,9,FALSE)+SUM(_xlfn.XLOOKUP($S12:$AL12,增益!$A:$A,增益!$I:$I,0))&gt;0,($F$11-$I$4+VLOOKUP($R12,武学奇术!$A:$ZZ,9,FALSE)+SUM(_xlfn.XLOOKUP($S12:$AL12,增益!$A:$A,增益!$I:$I,0)))/200,($F$11-$I$4+VLOOKUP($R12,武学奇术!$A:$ZZ,9,FALSE)+SUM(_xlfn.XLOOKUP($S12:$AL12,增益!$A:$A,增益!$I:$I,0)))/100)</f>
        <v>-0.3</v>
      </c>
      <c r="BB12" s="40" cm="1">
        <f t="array" ref="BB12">$G$11+VLOOKUP($R12,武学奇术!$A:$ZZ,10,FALSE)+SUM(_xlfn.XLOOKUP($S12:$AL12,增益!$A:$A,增益!$J:$J,0))</f>
        <v>0.02</v>
      </c>
      <c r="BC12">
        <f t="shared" si="4"/>
        <v>640.3</v>
      </c>
      <c r="BD12">
        <f t="shared" si="5"/>
        <v>1770.1</v>
      </c>
      <c r="BE12" s="40" cm="1">
        <f t="array" ref="BE12">IF($F$12-$I$4+VLOOKUP($R12,武学奇术!$A:$ZZ,11,FALSE)+SUM(_xlfn.XLOOKUP($S12:$AL12,增益!$A:$A,增益!$K:$K,0))&gt;0,($F$12-$I$4+VLOOKUP($R12,武学奇术!$A:$ZZ,11,FALSE)+SUM(_xlfn.XLOOKUP($S12:$AL12,增益!$A:$A,增益!$K:$K,0)))/200,($F$12-$I$4+VLOOKUP($R12,武学奇术!$A:$ZZ,11,FALSE)+SUM(_xlfn.XLOOKUP($S12:$AL12,增益!$A:$A,增益!$K:$K,0)))/100)</f>
        <v>0.09</v>
      </c>
      <c r="BF12" s="40" cm="1">
        <f t="array" ref="BF12">$G$12+VLOOKUP($R12,武学奇术!$A:$ZZ,12,FALSE)+SUM(_xlfn.XLOOKUP($S12:$AL12,增益!$A:$A,增益!$L:$L,0))</f>
        <v>0.17</v>
      </c>
      <c r="BG12">
        <f t="shared" si="6"/>
        <v>0</v>
      </c>
      <c r="BH12">
        <f t="shared" si="7"/>
        <v>0</v>
      </c>
      <c r="BI12" s="40" cm="1">
        <f t="array" ref="BI12">IF($F$13-$I$4+VLOOKUP($R12,武学奇术!$A:$ZZ,13,FALSE)+SUM(_xlfn.XLOOKUP($S12:$AL12,增益!$A:$A,增益!$M:$M,0))&gt;0,($F$13-$I$4+VLOOKUP($R12,武学奇术!$A:$ZZ,13,FALSE)+SUM(_xlfn.XLOOKUP($S12:$AL12,增益!$A:$A,增益!$K:$K,0)))/200,($F$13-$I$4+VLOOKUP($R12,武学奇术!$A:$ZZ,13,FALSE)+SUM(_xlfn.XLOOKUP($S12:$AL12,增益!$A:$A,增益!$M:$M,0)))/100)</f>
        <v>-0.3</v>
      </c>
      <c r="BJ12" s="40" cm="1">
        <f t="array" ref="BJ12">$G$13+VLOOKUP($R12,武学奇术!$A:$ZZ,14,FALSE)+SUM(_xlfn.XLOOKUP($S12:$AL12,增益!$A:$A,增益!$N:$N,0))</f>
        <v>0.02</v>
      </c>
      <c r="BK12">
        <f t="shared" si="8"/>
        <v>0</v>
      </c>
      <c r="BL12">
        <f t="shared" si="9"/>
        <v>0</v>
      </c>
      <c r="BM12" s="40" cm="1">
        <f t="array" ref="BM12">IF($F$14-$I$4+VLOOKUP($R12,武学奇术!$A:$ZZ,15,FALSE)+SUM(_xlfn.XLOOKUP($S12:$AL12,增益!$A:$A,增益!$O:$O,0))&gt;0,($F$14-$I$4+VLOOKUP($R12,武学奇术!$A:$ZZ,15,FALSE)+SUM(_xlfn.XLOOKUP($S12:$AL12,增益!$A:$A,增益!$O:$O,0)))/200,($F$14-$I$4+VLOOKUP($R12,武学奇术!$A:$ZZ,15,FALSE)+SUM(_xlfn.XLOOKUP($S12:$AL12,增益!$A:$A,增益!$O:$O,0)))/100)</f>
        <v>-0.3</v>
      </c>
      <c r="BN12" s="40" cm="1">
        <f t="array" ref="BN12">$G$14+VLOOKUP($R12,武学奇术!$A:$ZZ,16,FALSE)+SUM(_xlfn.XLOOKUP($S12:$AL12,增益!$A:$A,增益!$P:$P,0))</f>
        <v>0.02</v>
      </c>
      <c r="BO12" s="33">
        <f>MIN(IF(VLOOKUP($R12,武学奇术!$A:$ZZ,23,FALSE)=1,100%,$B$8),100%)</f>
        <v>0.9771</v>
      </c>
      <c r="BP12" s="33" cm="1">
        <f t="array" ref="BP12">IF(VLOOKUP($R12,武学奇术!$A:$ZZ,23,FALSE)=1,100%,MIN(80%,$B$9+VLOOKUP($R12,武学奇术!$A:$ZZ,17,FALSE)+SUM(_xlfn.XLOOKUP($S12:$AL12,增益!$A:$A,增益!$Q:$Q,0)))+$B$11+SUM(_xlfn.XLOOKUP($S12:$AL12,增益!$A:$A,增益!$U:$U,0)))*IF(VLOOKUP($R12,武学奇术!$A:$ZZ,24,FALSE)=1,0,1)</f>
        <v>0.8861</v>
      </c>
      <c r="BQ12" s="33" cm="1">
        <f t="array" ref="BQ12">1+$B$13+VLOOKUP($R12,武学奇术!$A:$ZZ,18,FALSE)+SUM(_xlfn.XLOOKUP($S12:$AL12,增益!$A:$A,增益!$R:$R,0))</f>
        <v>1.76</v>
      </c>
      <c r="BR12" s="33" cm="1">
        <f t="array" ref="BR12">IF(VLOOKUP($R12,武学奇术!$A:$ZZ,24,FALSE)=1,100%,MIN(40%,$B$10+VLOOKUP($R12,武学奇术!$A:$ZZ,19,FALSE)+SUM(_xlfn.XLOOKUP($S12:$AL12,增益!$A:$A,增益!$S:$S,0)))+$B$12+SUM(_xlfn.XLOOKUP($S12:$AL12,增益!$A:$A,增益!$V:$V,0)))*IF(VLOOKUP($R12,武学奇术!$A:$ZZ,23,FALSE)=1,0,1)</f>
        <v>0.0913</v>
      </c>
      <c r="BS12" s="33" cm="1">
        <f t="array" ref="BS12">1+$B$14+VLOOKUP($R12,武学奇术!$A:$ZZ,20,FALSE)+SUM(_xlfn.XLOOKUP($S12:$AL12,增益!$A:$A,增益!$T:$T,0))</f>
        <v>1.35</v>
      </c>
      <c r="BT12" s="33">
        <f t="shared" si="10"/>
        <v>0.86580831</v>
      </c>
      <c r="BU12" s="33">
        <f t="shared" si="11"/>
        <v>0.02208246</v>
      </c>
      <c r="BV12" s="33">
        <f>IF(VLOOKUP($R12,武学奇术!$A:$ZZ,22,FALSE)=1,0,(1-$BO12))*(1-$BR12)</f>
        <v>0.02080923</v>
      </c>
      <c r="BW12" s="33" cm="1">
        <f t="array" ref="BW12">SUM(_xlfn.XLOOKUP($S12:$AL12,增益!$A:$A,增益!$W:$W,0))+$I$5</f>
        <v>0.11</v>
      </c>
      <c r="BX12" s="33" cm="1">
        <f t="array" ref="BX12">VLOOKUP($R12,武学奇术!$A:$ZZ,32,FALSE)+SUM(_xlfn.XLOOKUP($S12:$AL12,增益!$A:$A,增益!$X:$X,0))</f>
        <v>0</v>
      </c>
    </row>
    <row r="13" ht="14.25" spans="1:76">
      <c r="A13" s="49" t="s">
        <v>118</v>
      </c>
      <c r="B13" s="78">
        <f>50%+IF($E$24="陌刀",4%,0)</f>
        <v>0.54</v>
      </c>
      <c r="C13" s="22" t="s">
        <v>96</v>
      </c>
      <c r="D13">
        <f>B5+IF($G$1=$C13,$B$7,0)</f>
        <v>0</v>
      </c>
      <c r="E13">
        <f>MAX(B5,C5)+IF($G$1=$C13,$C$7,0)</f>
        <v>0</v>
      </c>
      <c r="F13">
        <f>D5</f>
        <v>0</v>
      </c>
      <c r="G13" s="96">
        <f>E5</f>
        <v>0</v>
      </c>
      <c r="H13" s="79"/>
      <c r="I13" s="84"/>
      <c r="J13" s="82"/>
      <c r="K13" s="46"/>
      <c r="L13" s="46">
        <f t="shared" si="0"/>
        <v>60884.68988745</v>
      </c>
      <c r="M13" s="46">
        <f>((($AT13+$AU13)/2*$AN13+$AO13)*(1+$AV13)*(1+$AW13)+(($AY13+$AZ13)/2*IF($G$1="鸣金",$AP13,$AN13)+IF($G$1="鸣金",$AQ13*1.5,0))*(1+$BA13)*(1+$BB13)+(($BC13+$BD13)/2*IF($G$1="裂石",$AP13,$AN13)+IF($G$1="裂石",$AQ13*1.5,0))*(1+$BE13)*(1+$BF13)+(($BG13+$BH13)/2*IF($G$1="牵丝",$AP13,$AN13)+IF($G$1="牵丝",$AQ13*1.5,0))*(1+$BI13)*(1+$BJ13)+(($BK13+$BL13)/2*IF($G$1="破竹",$AP13,$AN13)+IF($G$1="破竹",$AQ13*1.5,0))*(1+$BM13)*(1+$BN13))*(1+$AR13)*$BQ13*$Q13*(1+IF(VLOOKUP($R13,武学奇术!$A:$ZZ,30,FALSE)="蓄力技",$B$21,0))*(1+IF(VLOOKUP($R13,武学奇术!$A:$ZZ,30,FALSE)="派生技",$B$20,0))*(1+$BW13)*(1+$BX13)</f>
        <v>62950.6800458582</v>
      </c>
      <c r="N13" s="46">
        <f>(($AU13*$AN13+$AO13)*(1+$AV13)*(1+$AW13)+($AZ13*IF($G$1="鸣金",$AP13,$AN13)+IF($G$1="鸣金",$AQ13*1.5,0))*(1+$BA13)*(1+$BB13)+($BD13*IF($G$1="裂石",$AP13,$AN13)+IF($G$1="裂石",$AQ13*1.5,0))*(1+$BE13)*(1+$BF13)+($BH13*IF($G$1="牵丝",$AP13,$AN13)+IF($G$1="牵丝",$AQ13*1.5,0))*(1+$BI13)*(1+$BJ13)+($BL13*IF($G$1="破竹",$AP13,$AN13)+IF($G$1="破竹",$AQ13*1.5,0))*(1+$BM13)*(1+$BN13))*(1+$AR13)*$BS13*$Q13*(1+IF(VLOOKUP($R13,武学奇术!$A:$ZZ,30,FALSE)="蓄力技",$B$21,0))*(1+IF(VLOOKUP($R13,武学奇术!$A:$ZZ,30,FALSE)="派生技",$B$20,0))*(1+$BW13)*(1+$BX13)</f>
        <v>54068.7727102585</v>
      </c>
      <c r="O13" s="46">
        <f>((($AT13+$AU13)/2*$AN13+$AO13)*(1+$AV13)*(1+$AW13)+(($AY13+$AZ13)/2*IF($G$1="鸣金",$AP13,$AN13)+IF($G$1="鸣金",$AQ13*1.5,0))*(1+$BA13)*(1+$BB13)+(($BC13+$BD13)/2*IF($G$1="裂石",$AP13,$AN13)+IF($G$1="裂石",$AQ13*1.5,0))*(1+$BE13)*(1+$BF13)+(($BG13+$BH13)/2*IF($G$1="牵丝",$AP13,$AN13)+IF($G$1="牵丝",$AQ13*1.5,0))*(1+$BI13)*(1+$BJ13)+(($BK13+$BL13)/2*IF($G$1="破竹",$AP13,$AN13)+IF($G$1="破竹",$AQ13*1.5,0))*(1+$BM13)*(1+$BN13))*(1+$AR13)*$Q13*(1+IF(VLOOKUP($R13,武学奇术!$A:$ZZ,30,FALSE)="蓄力技",$B$21,0))*(1+IF(VLOOKUP($R13,武学奇术!$A:$ZZ,30,FALSE)="派生技",$B$20,0))*(1+$BW13)*(1+$BX13)</f>
        <v>35767.4318442376</v>
      </c>
      <c r="P13" s="46">
        <f>((($AT13*$AN13+$AO13)*(1+$AV13)*(1+$AW13)+($AY13*IF($G$1="鸣金",$AP13,$AN13)+IF($G$1="鸣金",$AQ13*1.5,0))*(1+$BA13)*(1+$BB13)+($BC13*IF($G$1="裂石",$AP13,$AN13)+IF($G$1="裂石",$AQ13*1.5,0))*(1+$BE13)*(1+$BF13)+($BG13*IF($G$1="牵丝",$AP13,$AN13)+IF($G$1="牵丝",$AQ13*1.5,0))*(1+$BI13)*(1+$BJ13)+($BK13*IF($G$1="破竹",$AP13,$AN13)+IF($G$1="破竹",$AQ13*1.5,0))*(1+$BM13)*(1+$BN13))*(1+$AR13))*$Q13*(1+IF(VLOOKUP($R13,武学奇术!$A:$ZZ,30,FALSE)="蓄力技",$B$21,0))*(1+IF(VLOOKUP($R13,武学奇术!$A:$ZZ,30,FALSE)="派生技",$B$20,0))*(1+$BW13)*(1+$BX13)</f>
        <v>31483.9209401356</v>
      </c>
      <c r="Q13" s="47">
        <f t="shared" si="1"/>
        <v>1</v>
      </c>
      <c r="R13" s="48" t="s">
        <v>119</v>
      </c>
      <c r="S13" s="48" t="s">
        <v>77</v>
      </c>
      <c r="T13" s="48" t="s">
        <v>78</v>
      </c>
      <c r="U13" s="48" t="s">
        <v>79</v>
      </c>
      <c r="V13" s="48" t="s">
        <v>80</v>
      </c>
      <c r="W13" s="48" t="s">
        <v>80</v>
      </c>
      <c r="X13" s="48" t="s">
        <v>80</v>
      </c>
      <c r="Y13" s="48" t="s">
        <v>74</v>
      </c>
      <c r="Z13" s="48" t="s">
        <v>81</v>
      </c>
      <c r="AA13" s="48" t="s">
        <v>80</v>
      </c>
      <c r="AB13" s="48" t="s">
        <v>80</v>
      </c>
      <c r="AC13" s="48" t="s">
        <v>80</v>
      </c>
      <c r="AD13" s="48" t="s">
        <v>80</v>
      </c>
      <c r="AE13" s="48" t="s">
        <v>82</v>
      </c>
      <c r="AF13" s="48" t="s">
        <v>83</v>
      </c>
      <c r="AG13" s="48" t="s">
        <v>84</v>
      </c>
      <c r="AH13" s="48" t="s">
        <v>80</v>
      </c>
      <c r="AI13" s="48" t="s">
        <v>80</v>
      </c>
      <c r="AJ13" s="48" t="s">
        <v>80</v>
      </c>
      <c r="AK13" s="48" t="s">
        <v>80</v>
      </c>
      <c r="AL13" s="48" t="s">
        <v>85</v>
      </c>
      <c r="AM13" t="str">
        <f>VLOOKUP($R13,武学奇术!$A:$ZZ,25,FALSE)</f>
        <v>横刀</v>
      </c>
      <c r="AN13" s="33">
        <f>VLOOKUP($R13,武学奇术!$A:$ZZ,26,FALSE)</f>
        <v>2.1324</v>
      </c>
      <c r="AO13" s="34">
        <f>VLOOKUP($R13,武学奇术!$A:$ZZ,27,FALSE)*(1+IF(OR($AM13=$F$4,$AM13=$F$5),$B$22,0))</f>
        <v>944</v>
      </c>
      <c r="AP13" s="33">
        <f>VLOOKUP($R13,武学奇术!$A:$ZZ,28,FALSE)</f>
        <v>3.1986</v>
      </c>
      <c r="AQ13" s="34">
        <f>VLOOKUP($R13,武学奇术!$A:$ZZ,29,FALSE)*(1+IF(OR($AM13=$F$4,$AM13=$F$5),$B$22,0))</f>
        <v>515.2</v>
      </c>
      <c r="AR13" s="33" cm="1">
        <f t="array" ref="AR13">$G$3+IFERROR(VLOOKUP($AM13,$F$4:$G$7,2,FALSE),0)+VLOOKUP($R13,武学奇术!$A:$ZZ,2,FALSE)+SUM(_xlfn.XLOOKUP($S13:$AL13,增益!$A:$A,增益!$B:$B,0))</f>
        <v>0.5189</v>
      </c>
      <c r="AS13" s="33" cm="1">
        <f t="array" ref="AS13">VLOOKUP($R13,武学奇术!$A:$ZZ,5,FALSE)+SUM(_xlfn.XLOOKUP($S13:$AL13,增益!$A:$A,增益!$E:$E,0))</f>
        <v>0</v>
      </c>
      <c r="AT13" cm="1">
        <f t="array" ref="AT13">$D$10*(1+$AS13)+VLOOKUP($R13,武学奇术!$A:$ZZ,3,FALSE)+SUM(_xlfn.XLOOKUP($S13:$AL13,增益!$A:$A,增益!$C:$C,0))-$I$2</f>
        <v>4094.7</v>
      </c>
      <c r="AU13" cm="1">
        <f t="array" ref="AU13">$E$10*(1+$AS13)+VLOOKUP($R13,武学奇术!$A:$ZZ,4,FALSE)+SUM(_xlfn.XLOOKUP($S13:$AL13,增益!$A:$A,增益!$D:$D,0))-$I$2</f>
        <v>4094.7</v>
      </c>
      <c r="AV13" s="40" cm="1">
        <f t="array" ref="AV13">IF($F$10-$I$3+VLOOKUP($R13,武学奇术!$A:$ZZ,6,FALSE)+SUM(_xlfn.XLOOKUP($S13:$AL13,增益!$A:$A,增益!$F:$F,0))&gt;0,($F$10-$I$3+VLOOKUP($R13,武学奇术!$A:$ZZ,6,FALSE)+SUM(_xlfn.XLOOKUP($S13:$AL13,增益!$A:$A,增益!$F:$F,0)))/200,($F$10-$I$3+VLOOKUP($R13,武学奇术!$A:$ZZ,6,FALSE)+SUM(_xlfn.XLOOKUP($S13:$AL13,增益!$A:$A,增益!$F:$F,0)))/100)</f>
        <v>0.3334</v>
      </c>
      <c r="AW13" s="40" cm="1">
        <f t="array" ref="AW13">$G$10+VLOOKUP($R13,武学奇术!$A:$ZZ,7,FALSE)+SUM(_xlfn.XLOOKUP($S13:$AL13,增益!$A:$A,增益!$G:$G,0))</f>
        <v>0.14</v>
      </c>
      <c r="AX13" s="33" cm="1">
        <f t="array" ref="AX13">VLOOKUP($R13,武学奇术!$A:$ZZ,8,FALSE)+SUM(_xlfn.XLOOKUP($S13:$AL13,增益!$A:$A,增益!$H:$H,0))</f>
        <v>0</v>
      </c>
      <c r="AY13">
        <f t="shared" si="2"/>
        <v>0</v>
      </c>
      <c r="AZ13">
        <f t="shared" si="3"/>
        <v>0</v>
      </c>
      <c r="BA13" s="40" cm="1">
        <f t="array" ref="BA13">IF($F$11-$I$4+VLOOKUP($R13,武学奇术!$A:$ZZ,9,FALSE)+SUM(_xlfn.XLOOKUP($S13:$AL13,增益!$A:$A,增益!$I:$I,0))&gt;0,($F$11-$I$4+VLOOKUP($R13,武学奇术!$A:$ZZ,9,FALSE)+SUM(_xlfn.XLOOKUP($S13:$AL13,增益!$A:$A,增益!$I:$I,0)))/200,($F$11-$I$4+VLOOKUP($R13,武学奇术!$A:$ZZ,9,FALSE)+SUM(_xlfn.XLOOKUP($S13:$AL13,增益!$A:$A,增益!$I:$I,0)))/100)</f>
        <v>-0.3</v>
      </c>
      <c r="BB13" s="40" cm="1">
        <f t="array" ref="BB13">$G$11+VLOOKUP($R13,武学奇术!$A:$ZZ,10,FALSE)+SUM(_xlfn.XLOOKUP($S13:$AL13,增益!$A:$A,增益!$J:$J,0))</f>
        <v>0.02</v>
      </c>
      <c r="BC13">
        <f t="shared" si="4"/>
        <v>640.3</v>
      </c>
      <c r="BD13">
        <f t="shared" si="5"/>
        <v>1770.1</v>
      </c>
      <c r="BE13" s="40" cm="1">
        <f t="array" ref="BE13">IF($F$12-$I$4+VLOOKUP($R13,武学奇术!$A:$ZZ,11,FALSE)+SUM(_xlfn.XLOOKUP($S13:$AL13,增益!$A:$A,增益!$K:$K,0))&gt;0,($F$12-$I$4+VLOOKUP($R13,武学奇术!$A:$ZZ,11,FALSE)+SUM(_xlfn.XLOOKUP($S13:$AL13,增益!$A:$A,增益!$K:$K,0)))/200,($F$12-$I$4+VLOOKUP($R13,武学奇术!$A:$ZZ,11,FALSE)+SUM(_xlfn.XLOOKUP($S13:$AL13,增益!$A:$A,增益!$K:$K,0)))/100)</f>
        <v>0.09</v>
      </c>
      <c r="BF13" s="40" cm="1">
        <f t="array" ref="BF13">$G$12+VLOOKUP($R13,武学奇术!$A:$ZZ,12,FALSE)+SUM(_xlfn.XLOOKUP($S13:$AL13,增益!$A:$A,增益!$L:$L,0))</f>
        <v>0.29</v>
      </c>
      <c r="BG13">
        <f t="shared" si="6"/>
        <v>0</v>
      </c>
      <c r="BH13">
        <f t="shared" si="7"/>
        <v>0</v>
      </c>
      <c r="BI13" s="40" cm="1">
        <f t="array" ref="BI13">IF($F$13-$I$4+VLOOKUP($R13,武学奇术!$A:$ZZ,13,FALSE)+SUM(_xlfn.XLOOKUP($S13:$AL13,增益!$A:$A,增益!$M:$M,0))&gt;0,($F$13-$I$4+VLOOKUP($R13,武学奇术!$A:$ZZ,13,FALSE)+SUM(_xlfn.XLOOKUP($S13:$AL13,增益!$A:$A,增益!$K:$K,0)))/200,($F$13-$I$4+VLOOKUP($R13,武学奇术!$A:$ZZ,13,FALSE)+SUM(_xlfn.XLOOKUP($S13:$AL13,增益!$A:$A,增益!$M:$M,0)))/100)</f>
        <v>-0.3</v>
      </c>
      <c r="BJ13" s="40" cm="1">
        <f t="array" ref="BJ13">$G$13+VLOOKUP($R13,武学奇术!$A:$ZZ,14,FALSE)+SUM(_xlfn.XLOOKUP($S13:$AL13,增益!$A:$A,增益!$N:$N,0))</f>
        <v>0.02</v>
      </c>
      <c r="BK13">
        <f t="shared" si="8"/>
        <v>0</v>
      </c>
      <c r="BL13">
        <f t="shared" si="9"/>
        <v>0</v>
      </c>
      <c r="BM13" s="40" cm="1">
        <f t="array" ref="BM13">IF($F$14-$I$4+VLOOKUP($R13,武学奇术!$A:$ZZ,15,FALSE)+SUM(_xlfn.XLOOKUP($S13:$AL13,增益!$A:$A,增益!$O:$O,0))&gt;0,($F$14-$I$4+VLOOKUP($R13,武学奇术!$A:$ZZ,15,FALSE)+SUM(_xlfn.XLOOKUP($S13:$AL13,增益!$A:$A,增益!$O:$O,0)))/200,($F$14-$I$4+VLOOKUP($R13,武学奇术!$A:$ZZ,15,FALSE)+SUM(_xlfn.XLOOKUP($S13:$AL13,增益!$A:$A,增益!$O:$O,0)))/100)</f>
        <v>-0.3</v>
      </c>
      <c r="BN13" s="40" cm="1">
        <f t="array" ref="BN13">$G$14+VLOOKUP($R13,武学奇术!$A:$ZZ,16,FALSE)+SUM(_xlfn.XLOOKUP($S13:$AL13,增益!$A:$A,增益!$P:$P,0))</f>
        <v>0.02</v>
      </c>
      <c r="BO13" s="33">
        <f>MIN(IF(VLOOKUP($R13,武学奇术!$A:$ZZ,23,FALSE)=1,100%,$B$8),100%)</f>
        <v>0.9771</v>
      </c>
      <c r="BP13" s="33" cm="1">
        <f t="array" ref="BP13">IF(VLOOKUP($R13,武学奇术!$A:$ZZ,23,FALSE)=1,100%,MIN(80%,$B$9+VLOOKUP($R13,武学奇术!$A:$ZZ,17,FALSE)+SUM(_xlfn.XLOOKUP($S13:$AL13,增益!$A:$A,增益!$Q:$Q,0)))+$B$11+SUM(_xlfn.XLOOKUP($S13:$AL13,增益!$A:$A,增益!$U:$U,0)))*IF(VLOOKUP($R13,武学奇术!$A:$ZZ,24,FALSE)=1,0,1)</f>
        <v>0.8861</v>
      </c>
      <c r="BQ13" s="33" cm="1">
        <f t="array" ref="BQ13">1+$B$13+VLOOKUP($R13,武学奇术!$A:$ZZ,18,FALSE)+SUM(_xlfn.XLOOKUP($S13:$AL13,增益!$A:$A,增益!$R:$R,0))</f>
        <v>1.76</v>
      </c>
      <c r="BR13" s="33" cm="1">
        <f t="array" ref="BR13">IF(VLOOKUP($R13,武学奇术!$A:$ZZ,24,FALSE)=1,100%,MIN(40%,$B$10+VLOOKUP($R13,武学奇术!$A:$ZZ,19,FALSE)+SUM(_xlfn.XLOOKUP($S13:$AL13,增益!$A:$A,增益!$S:$S,0)))+$B$12+SUM(_xlfn.XLOOKUP($S13:$AL13,增益!$A:$A,增益!$V:$V,0)))*IF(VLOOKUP($R13,武学奇术!$A:$ZZ,23,FALSE)=1,0,1)</f>
        <v>0.0913</v>
      </c>
      <c r="BS13" s="33" cm="1">
        <f t="array" ref="BS13">1+$B$14+VLOOKUP($R13,武学奇术!$A:$ZZ,20,FALSE)+SUM(_xlfn.XLOOKUP($S13:$AL13,增益!$A:$A,增益!$T:$T,0))</f>
        <v>1.35</v>
      </c>
      <c r="BT13" s="33">
        <f t="shared" si="10"/>
        <v>0.86580831</v>
      </c>
      <c r="BU13" s="33">
        <f t="shared" si="11"/>
        <v>0.02208246</v>
      </c>
      <c r="BV13" s="33">
        <f>IF(VLOOKUP($R13,武学奇术!$A:$ZZ,22,FALSE)=1,0,(1-$BO13))*(1-$BR13)</f>
        <v>0.02080923</v>
      </c>
      <c r="BW13" s="33" cm="1">
        <f t="array" ref="BW13">SUM(_xlfn.XLOOKUP($S13:$AL13,增益!$A:$A,增益!$W:$W,0))+$I$5</f>
        <v>0.11</v>
      </c>
      <c r="BX13" s="33" cm="1">
        <f t="array" ref="BX13">VLOOKUP($R13,武学奇术!$A:$ZZ,32,FALSE)+SUM(_xlfn.XLOOKUP($S13:$AL13,增益!$A:$A,增益!$X:$X,0))</f>
        <v>0</v>
      </c>
    </row>
    <row r="14" ht="14.25" spans="1:76">
      <c r="A14" s="49" t="s">
        <v>120</v>
      </c>
      <c r="B14" s="78">
        <v>0.35</v>
      </c>
      <c r="C14" s="13" t="s">
        <v>101</v>
      </c>
      <c r="D14" s="13">
        <f>B6+IF($G$1=$C14,B7,0)</f>
        <v>0</v>
      </c>
      <c r="E14" s="13">
        <f>MAX(B6,C6)+IF($G$1=$C14,$C$7,0)</f>
        <v>0</v>
      </c>
      <c r="F14" s="13">
        <f>D6</f>
        <v>0</v>
      </c>
      <c r="G14" s="97">
        <f>E6</f>
        <v>0</v>
      </c>
      <c r="H14" s="44" t="s">
        <v>121</v>
      </c>
      <c r="I14" s="24">
        <f>RD!I14</f>
        <v>169951.242010472</v>
      </c>
      <c r="J14" s="81"/>
      <c r="K14" s="46"/>
      <c r="L14" s="46">
        <f t="shared" si="0"/>
        <v>10234.6384599259</v>
      </c>
      <c r="M14" s="46">
        <f>((($AT14+$AU14)/2*$AN14+$AO14)*(1+$AV14)*(1+$AW14)+(($AY14+$AZ14)/2*IF($G$1="鸣金",$AP14,$AN14)+IF($G$1="鸣金",$AQ14*1.5,0))*(1+$BA14)*(1+$BB14)+(($BC14+$BD14)/2*IF($G$1="裂石",$AP14,$AN14)+IF($G$1="裂石",$AQ14*1.5,0))*(1+$BE14)*(1+$BF14)+(($BG14+$BH14)/2*IF($G$1="牵丝",$AP14,$AN14)+IF($G$1="牵丝",$AQ14*1.5,0))*(1+$BI14)*(1+$BJ14)+(($BK14+$BL14)/2*IF($G$1="破竹",$AP14,$AN14)+IF($G$1="破竹",$AQ14*1.5,0))*(1+$BM14)*(1+$BN14))*(1+$AR14)*$BQ14*$Q14*(1+IF(VLOOKUP($R14,武学奇术!$A:$ZZ,30,FALSE)="蓄力技",$B$21,0))*(1+IF(VLOOKUP($R14,武学奇术!$A:$ZZ,30,FALSE)="派生技",$B$20,0))*(1+$BW14)*(1+$BX14)</f>
        <v>10592.8992119763</v>
      </c>
      <c r="N14" s="46">
        <f>(($AU14*$AN14+$AO14)*(1+$AV14)*(1+$AW14)+($AZ14*IF($G$1="鸣金",$AP14,$AN14)+IF($G$1="鸣金",$AQ14*1.5,0))*(1+$BA14)*(1+$BB14)+($BD14*IF($G$1="裂石",$AP14,$AN14)+IF($G$1="裂石",$AQ14*1.5,0))*(1+$BE14)*(1+$BF14)+($BH14*IF($G$1="牵丝",$AP14,$AN14)+IF($G$1="牵丝",$AQ14*1.5,0))*(1+$BI14)*(1+$BJ14)+($BL14*IF($G$1="破竹",$AP14,$AN14)+IF($G$1="破竹",$AQ14*1.5,0))*(1+$BM14)*(1+$BN14))*(1+$AR14)*$BS14*$Q14*(1+IF(VLOOKUP($R14,武学奇术!$A:$ZZ,30,FALSE)="蓄力技",$B$21,0))*(1+IF(VLOOKUP($R14,武学奇术!$A:$ZZ,30,FALSE)="派生技",$B$20,0))*(1+$BW14)*(1+$BX14)</f>
        <v>9070.76621683074</v>
      </c>
      <c r="O14" s="46">
        <f>((($AT14+$AU14)/2*$AN14+$AO14)*(1+$AV14)*(1+$AW14)+(($AY14+$AZ14)/2*IF($G$1="鸣金",$AP14,$AN14)+IF($G$1="鸣金",$AQ14*1.5,0))*(1+$BA14)*(1+$BB14)+(($BC14+$BD14)/2*IF($G$1="裂石",$AP14,$AN14)+IF($G$1="裂石",$AQ14*1.5,0))*(1+$BE14)*(1+$BF14)+(($BG14+$BH14)/2*IF($G$1="牵丝",$AP14,$AN14)+IF($G$1="牵丝",$AQ14*1.5,0))*(1+$BI14)*(1+$BJ14)+(($BK14+$BL14)/2*IF($G$1="破竹",$AP14,$AN14)+IF($G$1="破竹",$AQ14*1.5,0))*(1+$BM14)*(1+$BN14))*(1+$AR14)*$Q14*(1+IF(VLOOKUP($R14,武学奇术!$A:$ZZ,30,FALSE)="蓄力技",$B$21,0))*(1+IF(VLOOKUP($R14,武学奇术!$A:$ZZ,30,FALSE)="派生技",$B$20,0))*(1+$BW14)*(1+$BX14)</f>
        <v>5884.94400665352</v>
      </c>
      <c r="P14" s="46">
        <f>((($AT14*$AN14+$AO14)*(1+$AV14)*(1+$AW14)+($AY14*IF($G$1="鸣金",$AP14,$AN14)+IF($G$1="鸣金",$AQ14*1.5,0))*(1+$BA14)*(1+$BB14)+($BC14*IF($G$1="裂石",$AP14,$AN14)+IF($G$1="裂石",$AQ14*1.5,0))*(1+$BE14)*(1+$BF14)+($BG14*IF($G$1="牵丝",$AP14,$AN14)+IF($G$1="牵丝",$AQ14*1.5,0))*(1+$BI14)*(1+$BJ14)+($BK14*IF($G$1="破竹",$AP14,$AN14)+IF($G$1="破竹",$AQ14*1.5,0))*(1+$BM14)*(1+$BN14))*(1+$AR14))*$Q14*(1+IF(VLOOKUP($R14,武学奇术!$A:$ZZ,30,FALSE)="蓄力技",$B$21,0))*(1+IF(VLOOKUP($R14,武学奇术!$A:$ZZ,30,FALSE)="派生技",$B$20,0))*(1+$BW14)*(1+$BX14)</f>
        <v>5050.80192676575</v>
      </c>
      <c r="Q14" s="47">
        <f>IF($E$24="陌刀",0.25,0)</f>
        <v>0.25</v>
      </c>
      <c r="R14" s="48" t="s">
        <v>122</v>
      </c>
      <c r="S14" s="48" t="s">
        <v>77</v>
      </c>
      <c r="T14" s="48" t="s">
        <v>89</v>
      </c>
      <c r="U14" s="48" t="s">
        <v>79</v>
      </c>
      <c r="V14" s="48" t="s">
        <v>90</v>
      </c>
      <c r="W14" s="48" t="s">
        <v>123</v>
      </c>
      <c r="X14" s="48" t="s">
        <v>80</v>
      </c>
      <c r="Y14" s="48" t="s">
        <v>74</v>
      </c>
      <c r="Z14" s="48" t="s">
        <v>81</v>
      </c>
      <c r="AA14" s="48" t="s">
        <v>80</v>
      </c>
      <c r="AB14" s="48" t="s">
        <v>80</v>
      </c>
      <c r="AC14" s="48" t="s">
        <v>80</v>
      </c>
      <c r="AD14" s="48" t="s">
        <v>80</v>
      </c>
      <c r="AE14" s="48" t="s">
        <v>82</v>
      </c>
      <c r="AF14" s="48" t="s">
        <v>83</v>
      </c>
      <c r="AG14" s="48" t="s">
        <v>84</v>
      </c>
      <c r="AH14" s="48" t="s">
        <v>80</v>
      </c>
      <c r="AI14" s="48" t="s">
        <v>80</v>
      </c>
      <c r="AJ14" s="48" t="s">
        <v>80</v>
      </c>
      <c r="AK14" s="48" t="s">
        <v>80</v>
      </c>
      <c r="AL14" s="48" t="s">
        <v>85</v>
      </c>
      <c r="AM14" t="str">
        <f>VLOOKUP($R14,武学奇术!$A:$ZZ,25,FALSE)</f>
        <v>横刀</v>
      </c>
      <c r="AN14" s="33">
        <f>VLOOKUP($R14,武学奇术!$A:$ZZ,26,FALSE)</f>
        <v>1.47</v>
      </c>
      <c r="AO14" s="34">
        <f>VLOOKUP($R14,武学奇术!$A:$ZZ,27,FALSE)*(1+IF(OR($AM14=$F$4,$AM14=$F$5),$B$22,0))</f>
        <v>0</v>
      </c>
      <c r="AP14" s="33">
        <f>VLOOKUP($R14,武学奇术!$A:$ZZ,28,FALSE)</f>
        <v>2.205</v>
      </c>
      <c r="AQ14" s="34">
        <f>VLOOKUP($R14,武学奇术!$A:$ZZ,29,FALSE)*(1+IF(OR($AM14=$F$4,$AM14=$F$5),$B$22,0))</f>
        <v>0</v>
      </c>
      <c r="AR14" s="33" cm="1">
        <f t="array" ref="AR14">$G$3+IFERROR(VLOOKUP($AM14,$F$4:$G$7,2,FALSE),0)+VLOOKUP($R14,武学奇术!$A:$ZZ,2,FALSE)+SUM(_xlfn.XLOOKUP($S14:$AL14,增益!$A:$A,增益!$B:$B,0))</f>
        <v>0.5989</v>
      </c>
      <c r="AS14" s="33" cm="1">
        <f t="array" ref="AS14">VLOOKUP($R14,武学奇术!$A:$ZZ,5,FALSE)+SUM(_xlfn.XLOOKUP($S14:$AL14,增益!$A:$A,增益!$E:$E,0))</f>
        <v>0</v>
      </c>
      <c r="AT14" cm="1">
        <f t="array" ref="AT14">$D$10*(1+$AS14)+VLOOKUP($R14,武学奇术!$A:$ZZ,3,FALSE)+SUM(_xlfn.XLOOKUP($S14:$AL14,增益!$A:$A,增益!$C:$C,0))-$I$2</f>
        <v>4094.7</v>
      </c>
      <c r="AU14" cm="1">
        <f t="array" ref="AU14">$E$10*(1+$AS14)+VLOOKUP($R14,武学奇术!$A:$ZZ,4,FALSE)+SUM(_xlfn.XLOOKUP($S14:$AL14,增益!$A:$A,增益!$D:$D,0))-$I$2</f>
        <v>4094.7</v>
      </c>
      <c r="AV14" s="40" cm="1">
        <f t="array" ref="AV14">IF($F$10-$I$3+VLOOKUP($R14,武学奇术!$A:$ZZ,6,FALSE)+SUM(_xlfn.XLOOKUP($S14:$AL14,增益!$A:$A,增益!$F:$F,0))&gt;0,($F$10-$I$3+VLOOKUP($R14,武学奇术!$A:$ZZ,6,FALSE)+SUM(_xlfn.XLOOKUP($S14:$AL14,增益!$A:$A,增益!$F:$F,0)))/200,($F$10-$I$3+VLOOKUP($R14,武学奇术!$A:$ZZ,6,FALSE)+SUM(_xlfn.XLOOKUP($S14:$AL14,增益!$A:$A,增益!$F:$F,0)))/100)</f>
        <v>0.3484</v>
      </c>
      <c r="AW14" s="40" cm="1">
        <f t="array" ref="AW14">$G$10+VLOOKUP($R14,武学奇术!$A:$ZZ,7,FALSE)+SUM(_xlfn.XLOOKUP($S14:$AL14,增益!$A:$A,增益!$G:$G,0))</f>
        <v>0.14</v>
      </c>
      <c r="AX14" s="33" cm="1">
        <f t="array" ref="AX14">VLOOKUP($R14,武学奇术!$A:$ZZ,8,FALSE)+SUM(_xlfn.XLOOKUP($S14:$AL14,增益!$A:$A,增益!$H:$H,0))</f>
        <v>0</v>
      </c>
      <c r="AY14">
        <f t="shared" si="2"/>
        <v>0</v>
      </c>
      <c r="AZ14">
        <f t="shared" si="3"/>
        <v>0</v>
      </c>
      <c r="BA14" s="40" cm="1">
        <f t="array" ref="BA14">IF($F$11-$I$4+VLOOKUP($R14,武学奇术!$A:$ZZ,9,FALSE)+SUM(_xlfn.XLOOKUP($S14:$AL14,增益!$A:$A,增益!$I:$I,0))&gt;0,($F$11-$I$4+VLOOKUP($R14,武学奇术!$A:$ZZ,9,FALSE)+SUM(_xlfn.XLOOKUP($S14:$AL14,增益!$A:$A,增益!$I:$I,0)))/200,($F$11-$I$4+VLOOKUP($R14,武学奇术!$A:$ZZ,9,FALSE)+SUM(_xlfn.XLOOKUP($S14:$AL14,增益!$A:$A,增益!$I:$I,0)))/100)</f>
        <v>-0.14</v>
      </c>
      <c r="BB14" s="40" cm="1">
        <f t="array" ref="BB14">$G$11+VLOOKUP($R14,武学奇术!$A:$ZZ,10,FALSE)+SUM(_xlfn.XLOOKUP($S14:$AL14,增益!$A:$A,增益!$J:$J,0))</f>
        <v>0.02</v>
      </c>
      <c r="BC14">
        <f t="shared" si="4"/>
        <v>640.3</v>
      </c>
      <c r="BD14">
        <f t="shared" si="5"/>
        <v>1770.1</v>
      </c>
      <c r="BE14" s="40" cm="1">
        <f t="array" ref="BE14">IF($F$12-$I$4+VLOOKUP($R14,武学奇术!$A:$ZZ,11,FALSE)+SUM(_xlfn.XLOOKUP($S14:$AL14,增益!$A:$A,增益!$K:$K,0))&gt;0,($F$12-$I$4+VLOOKUP($R14,武学奇术!$A:$ZZ,11,FALSE)+SUM(_xlfn.XLOOKUP($S14:$AL14,增益!$A:$A,增益!$K:$K,0)))/200,($F$12-$I$4+VLOOKUP($R14,武学奇术!$A:$ZZ,11,FALSE)+SUM(_xlfn.XLOOKUP($S14:$AL14,增益!$A:$A,增益!$K:$K,0)))/100)</f>
        <v>0.17</v>
      </c>
      <c r="BF14" s="40" cm="1">
        <f t="array" ref="BF14">$G$12+VLOOKUP($R14,武学奇术!$A:$ZZ,12,FALSE)+SUM(_xlfn.XLOOKUP($S14:$AL14,增益!$A:$A,增益!$L:$L,0))</f>
        <v>0.29</v>
      </c>
      <c r="BG14">
        <f t="shared" si="6"/>
        <v>0</v>
      </c>
      <c r="BH14">
        <f t="shared" si="7"/>
        <v>0</v>
      </c>
      <c r="BI14" s="40" cm="1">
        <f t="array" ref="BI14">IF($F$13-$I$4+VLOOKUP($R14,武学奇术!$A:$ZZ,13,FALSE)+SUM(_xlfn.XLOOKUP($S14:$AL14,增益!$A:$A,增益!$M:$M,0))&gt;0,($F$13-$I$4+VLOOKUP($R14,武学奇术!$A:$ZZ,13,FALSE)+SUM(_xlfn.XLOOKUP($S14:$AL14,增益!$A:$A,增益!$K:$K,0)))/200,($F$13-$I$4+VLOOKUP($R14,武学奇术!$A:$ZZ,13,FALSE)+SUM(_xlfn.XLOOKUP($S14:$AL14,增益!$A:$A,增益!$M:$M,0)))/100)</f>
        <v>-0.14</v>
      </c>
      <c r="BJ14" s="40" cm="1">
        <f t="array" ref="BJ14">$G$13+VLOOKUP($R14,武学奇术!$A:$ZZ,14,FALSE)+SUM(_xlfn.XLOOKUP($S14:$AL14,增益!$A:$A,增益!$N:$N,0))</f>
        <v>0.02</v>
      </c>
      <c r="BK14">
        <f t="shared" si="8"/>
        <v>0</v>
      </c>
      <c r="BL14">
        <f t="shared" si="9"/>
        <v>0</v>
      </c>
      <c r="BM14" s="40" cm="1">
        <f t="array" ref="BM14">IF($F$14-$I$4+VLOOKUP($R14,武学奇术!$A:$ZZ,15,FALSE)+SUM(_xlfn.XLOOKUP($S14:$AL14,增益!$A:$A,增益!$O:$O,0))&gt;0,($F$14-$I$4+VLOOKUP($R14,武学奇术!$A:$ZZ,15,FALSE)+SUM(_xlfn.XLOOKUP($S14:$AL14,增益!$A:$A,增益!$O:$O,0)))/200,($F$14-$I$4+VLOOKUP($R14,武学奇术!$A:$ZZ,15,FALSE)+SUM(_xlfn.XLOOKUP($S14:$AL14,增益!$A:$A,增益!$O:$O,0)))/100)</f>
        <v>-0.14</v>
      </c>
      <c r="BN14" s="40" cm="1">
        <f t="array" ref="BN14">$G$14+VLOOKUP($R14,武学奇术!$A:$ZZ,16,FALSE)+SUM(_xlfn.XLOOKUP($S14:$AL14,增益!$A:$A,增益!$P:$P,0))</f>
        <v>0.02</v>
      </c>
      <c r="BO14" s="33">
        <f>MIN(IF(VLOOKUP($R14,武学奇术!$A:$ZZ,23,FALSE)=1,100%,$B$8),100%)</f>
        <v>0.9771</v>
      </c>
      <c r="BP14" s="33" cm="1">
        <f t="array" ref="BP14">IF(VLOOKUP($R14,武学奇术!$A:$ZZ,23,FALSE)=1,100%,MIN(80%,$B$9+VLOOKUP($R14,武学奇术!$A:$ZZ,17,FALSE)+SUM(_xlfn.XLOOKUP($S14:$AL14,增益!$A:$A,增益!$Q:$Q,0)))+$B$11+SUM(_xlfn.XLOOKUP($S14:$AL14,增益!$A:$A,增益!$U:$U,0)))*IF(VLOOKUP($R14,武学奇术!$A:$ZZ,24,FALSE)=1,0,1)</f>
        <v>0.8861</v>
      </c>
      <c r="BQ14" s="33" cm="1">
        <f t="array" ref="BQ14">1+$B$13+VLOOKUP($R14,武学奇术!$A:$ZZ,18,FALSE)+SUM(_xlfn.XLOOKUP($S14:$AL14,增益!$A:$A,增益!$R:$R,0))</f>
        <v>1.8</v>
      </c>
      <c r="BR14" s="33" cm="1">
        <f t="array" ref="BR14">IF(VLOOKUP($R14,武学奇术!$A:$ZZ,24,FALSE)=1,100%,MIN(40%,$B$10+VLOOKUP($R14,武学奇术!$A:$ZZ,19,FALSE)+SUM(_xlfn.XLOOKUP($S14:$AL14,增益!$A:$A,增益!$S:$S,0)))+$B$12+SUM(_xlfn.XLOOKUP($S14:$AL14,增益!$A:$A,增益!$V:$V,0)))*IF(VLOOKUP($R14,武学奇术!$A:$ZZ,23,FALSE)=1,0,1)</f>
        <v>0.0913</v>
      </c>
      <c r="BS14" s="33" cm="1">
        <f t="array" ref="BS14">1+$B$14+VLOOKUP($R14,武学奇术!$A:$ZZ,20,FALSE)+SUM(_xlfn.XLOOKUP($S14:$AL14,增益!$A:$A,增益!$T:$T,0))</f>
        <v>1.35</v>
      </c>
      <c r="BT14" s="33">
        <f t="shared" si="10"/>
        <v>0.86580831</v>
      </c>
      <c r="BU14" s="33">
        <f t="shared" si="11"/>
        <v>0.02208246</v>
      </c>
      <c r="BV14" s="33">
        <f>IF(VLOOKUP($R14,武学奇术!$A:$ZZ,22,FALSE)=1,0,(1-$BO14))*(1-$BR14)</f>
        <v>0.02080923</v>
      </c>
      <c r="BW14" s="33" cm="1">
        <f t="array" ref="BW14">SUM(_xlfn.XLOOKUP($S14:$AL14,增益!$A:$A,增益!$W:$W,0))+$I$5</f>
        <v>0.11</v>
      </c>
      <c r="BX14" s="33" cm="1">
        <f t="array" ref="BX14">VLOOKUP($R14,武学奇术!$A:$ZZ,32,FALSE)+SUM(_xlfn.XLOOKUP($S14:$AL14,增益!$A:$A,增益!$X:$X,0))</f>
        <v>0</v>
      </c>
    </row>
    <row r="15" ht="14.25" spans="1:76">
      <c r="A15" s="49" t="s">
        <v>124</v>
      </c>
      <c r="B15" s="78">
        <v>0.0847</v>
      </c>
      <c r="C15" s="47" t="s">
        <v>125</v>
      </c>
      <c r="D15" s="47"/>
      <c r="F15" s="85"/>
      <c r="H15" s="86"/>
      <c r="I15" s="25"/>
      <c r="J15" s="82"/>
      <c r="K15" s="46"/>
      <c r="L15" s="46">
        <f t="shared" si="0"/>
        <v>10467.4422043395</v>
      </c>
      <c r="M15" s="46">
        <f>((($AT15+$AU15)/2*$AN15+$AO15)*(1+$AV15)*(1+$AW15)+(($AY15+$AZ15)/2*IF($G$1="鸣金",$AP15,$AN15)+IF($G$1="鸣金",$AQ15*1.5,0))*(1+$BA15)*(1+$BB15)+(($BC15+$BD15)/2*IF($G$1="裂石",$AP15,$AN15)+IF($G$1="裂石",$AQ15*1.5,0))*(1+$BE15)*(1+$BF15)+(($BG15+$BH15)/2*IF($G$1="牵丝",$AP15,$AN15)+IF($G$1="牵丝",$AQ15*1.5,0))*(1+$BI15)*(1+$BJ15)+(($BK15+$BL15)/2*IF($G$1="破竹",$AP15,$AN15)+IF($G$1="破竹",$AQ15*1.5,0))*(1+$BM15)*(1+$BN15))*(1+$AR15)*$BQ15*$Q15*(1+IF(VLOOKUP($R15,武学奇术!$A:$ZZ,30,FALSE)="蓄力技",$B$21,0))*(1+IF(VLOOKUP($R15,武学奇术!$A:$ZZ,30,FALSE)="派生技",$B$20,0))*(1+$BW15)*(1+$BX15)</f>
        <v>10853.0214791717</v>
      </c>
      <c r="N15" s="46">
        <f>(($AU15*$AN15+$AO15)*(1+$AV15)*(1+$AW15)+($AZ15*IF($G$1="鸣金",$AP15,$AN15)+IF($G$1="鸣金",$AQ15*1.5,0))*(1+$BA15)*(1+$BB15)+($BD15*IF($G$1="裂石",$AP15,$AN15)+IF($G$1="裂石",$AQ15*1.5,0))*(1+$BE15)*(1+$BF15)+($BH15*IF($G$1="牵丝",$AP15,$AN15)+IF($G$1="牵丝",$AQ15*1.5,0))*(1+$BI15)*(1+$BJ15)+($BL15*IF($G$1="破竹",$AP15,$AN15)+IF($G$1="破竹",$AQ15*1.5,0))*(1+$BM15)*(1+$BN15))*(1+$AR15)*$BS15*$Q15*(1+IF(VLOOKUP($R15,武学奇术!$A:$ZZ,30,FALSE)="蓄力技",$B$21,0))*(1+IF(VLOOKUP($R15,武学奇术!$A:$ZZ,30,FALSE)="派生技",$B$20,0))*(1+$BW15)*(1+$BX15)</f>
        <v>9132.41912854891</v>
      </c>
      <c r="O15" s="46">
        <f>((($AT15+$AU15)/2*$AN15+$AO15)*(1+$AV15)*(1+$AW15)+(($AY15+$AZ15)/2*IF($G$1="鸣金",$AP15,$AN15)+IF($G$1="鸣金",$AQ15*1.5,0))*(1+$BA15)*(1+$BB15)+(($BC15+$BD15)/2*IF($G$1="裂石",$AP15,$AN15)+IF($G$1="裂石",$AQ15*1.5,0))*(1+$BE15)*(1+$BF15)+(($BG15+$BH15)/2*IF($G$1="牵丝",$AP15,$AN15)+IF($G$1="牵丝",$AQ15*1.5,0))*(1+$BI15)*(1+$BJ15)+(($BK15+$BL15)/2*IF($G$1="破竹",$AP15,$AN15)+IF($G$1="破竹",$AQ15*1.5,0))*(1+$BM15)*(1+$BN15))*(1+$AR15)*$Q15*(1+IF(VLOOKUP($R15,武学奇术!$A:$ZZ,30,FALSE)="蓄力技",$B$21,0))*(1+IF(VLOOKUP($R15,武学奇术!$A:$ZZ,30,FALSE)="派生技",$B$20,0))*(1+$BW15)*(1+$BX15)</f>
        <v>5930.61283014846</v>
      </c>
      <c r="P15" s="46">
        <f>((($AT15*$AN15+$AO15)*(1+$AV15)*(1+$AW15)+($AY15*IF($G$1="鸣金",$AP15,$AN15)+IF($G$1="鸣金",$AQ15*1.5,0))*(1+$BA15)*(1+$BB15)+($BC15*IF($G$1="裂石",$AP15,$AN15)+IF($G$1="裂石",$AQ15*1.5,0))*(1+$BE15)*(1+$BF15)+($BG15*IF($G$1="牵丝",$AP15,$AN15)+IF($G$1="牵丝",$AQ15*1.5,0))*(1+$BI15)*(1+$BJ15)+($BK15*IF($G$1="破竹",$AP15,$AN15)+IF($G$1="破竹",$AQ15*1.5,0))*(1+$BM15)*(1+$BN15))*(1+$AR15))*$Q15*(1+IF(VLOOKUP($R15,武学奇术!$A:$ZZ,30,FALSE)="蓄力技",$B$21,0))*(1+IF(VLOOKUP($R15,武学奇术!$A:$ZZ,30,FALSE)="派生技",$B$20,0))*(1+$BW15)*(1+$BX15)</f>
        <v>5096.4707502607</v>
      </c>
      <c r="Q15" s="47">
        <f>IF($E$24="陌刀",0.25,0)</f>
        <v>0.25</v>
      </c>
      <c r="R15" s="48" t="s">
        <v>122</v>
      </c>
      <c r="S15" s="48" t="s">
        <v>77</v>
      </c>
      <c r="T15" s="48" t="s">
        <v>89</v>
      </c>
      <c r="U15" s="48" t="s">
        <v>79</v>
      </c>
      <c r="V15" s="48" t="s">
        <v>90</v>
      </c>
      <c r="W15" s="48" t="s">
        <v>126</v>
      </c>
      <c r="X15" s="48" t="s">
        <v>80</v>
      </c>
      <c r="Y15" s="48" t="s">
        <v>74</v>
      </c>
      <c r="Z15" s="48" t="s">
        <v>81</v>
      </c>
      <c r="AA15" s="48" t="s">
        <v>80</v>
      </c>
      <c r="AB15" s="48" t="s">
        <v>80</v>
      </c>
      <c r="AC15" s="48" t="s">
        <v>80</v>
      </c>
      <c r="AD15" s="48" t="s">
        <v>80</v>
      </c>
      <c r="AE15" s="48" t="s">
        <v>82</v>
      </c>
      <c r="AF15" s="48" t="s">
        <v>83</v>
      </c>
      <c r="AG15" s="48" t="s">
        <v>84</v>
      </c>
      <c r="AH15" s="48" t="s">
        <v>80</v>
      </c>
      <c r="AI15" s="48" t="s">
        <v>80</v>
      </c>
      <c r="AJ15" s="48" t="s">
        <v>80</v>
      </c>
      <c r="AK15" s="48" t="s">
        <v>80</v>
      </c>
      <c r="AL15" s="48" t="s">
        <v>85</v>
      </c>
      <c r="AM15" t="str">
        <f>VLOOKUP($R15,武学奇术!$A:$ZZ,25,FALSE)</f>
        <v>横刀</v>
      </c>
      <c r="AN15" s="33">
        <f>VLOOKUP($R15,武学奇术!$A:$ZZ,26,FALSE)</f>
        <v>1.47</v>
      </c>
      <c r="AO15" s="34">
        <f>VLOOKUP($R15,武学奇术!$A:$ZZ,27,FALSE)*(1+IF(OR($AM15=$F$4,$AM15=$F$5),$B$22,0))</f>
        <v>0</v>
      </c>
      <c r="AP15" s="33">
        <f>VLOOKUP($R15,武学奇术!$A:$ZZ,28,FALSE)</f>
        <v>2.205</v>
      </c>
      <c r="AQ15" s="34">
        <f>VLOOKUP($R15,武学奇术!$A:$ZZ,29,FALSE)*(1+IF(OR($AM15=$F$4,$AM15=$F$5),$B$22,0))</f>
        <v>0</v>
      </c>
      <c r="AR15" s="33" cm="1">
        <f t="array" ref="AR15">$G$3+IFERROR(VLOOKUP($AM15,$F$4:$G$7,2,FALSE),0)+VLOOKUP($R15,武学奇术!$A:$ZZ,2,FALSE)+SUM(_xlfn.XLOOKUP($S15:$AL15,增益!$A:$A,增益!$B:$B,0))</f>
        <v>0.5989</v>
      </c>
      <c r="AS15" s="33" cm="1">
        <f t="array" ref="AS15">VLOOKUP($R15,武学奇术!$A:$ZZ,5,FALSE)+SUM(_xlfn.XLOOKUP($S15:$AL15,增益!$A:$A,增益!$E:$E,0))</f>
        <v>0</v>
      </c>
      <c r="AT15" cm="1">
        <f t="array" ref="AT15">$D$10*(1+$AS15)+VLOOKUP($R15,武学奇术!$A:$ZZ,3,FALSE)+SUM(_xlfn.XLOOKUP($S15:$AL15,增益!$A:$A,增益!$C:$C,0))-$I$2</f>
        <v>4094.7</v>
      </c>
      <c r="AU15" cm="1">
        <f t="array" ref="AU15">$E$10*(1+$AS15)+VLOOKUP($R15,武学奇术!$A:$ZZ,4,FALSE)+SUM(_xlfn.XLOOKUP($S15:$AL15,增益!$A:$A,增益!$D:$D,0))-$I$2</f>
        <v>4094.7</v>
      </c>
      <c r="AV15" s="40" cm="1">
        <f t="array" ref="AV15">IF($F$10-$I$3+VLOOKUP($R15,武学奇术!$A:$ZZ,6,FALSE)+SUM(_xlfn.XLOOKUP($S15:$AL15,增益!$A:$A,增益!$F:$F,0))&gt;0,($F$10-$I$3+VLOOKUP($R15,武学奇术!$A:$ZZ,6,FALSE)+SUM(_xlfn.XLOOKUP($S15:$AL15,增益!$A:$A,增益!$F:$F,0)))/200,($F$10-$I$3+VLOOKUP($R15,武学奇术!$A:$ZZ,6,FALSE)+SUM(_xlfn.XLOOKUP($S15:$AL15,增益!$A:$A,增益!$F:$F,0)))/100)</f>
        <v>0.3634</v>
      </c>
      <c r="AW15" s="40" cm="1">
        <f t="array" ref="AW15">$G$10+VLOOKUP($R15,武学奇术!$A:$ZZ,7,FALSE)+SUM(_xlfn.XLOOKUP($S15:$AL15,增益!$A:$A,增益!$G:$G,0))</f>
        <v>0.14</v>
      </c>
      <c r="AX15" s="33" cm="1">
        <f t="array" ref="AX15">VLOOKUP($R15,武学奇术!$A:$ZZ,8,FALSE)+SUM(_xlfn.XLOOKUP($S15:$AL15,增益!$A:$A,增益!$H:$H,0))</f>
        <v>0</v>
      </c>
      <c r="AY15">
        <f t="shared" si="2"/>
        <v>0</v>
      </c>
      <c r="AZ15">
        <f t="shared" si="3"/>
        <v>0</v>
      </c>
      <c r="BA15" s="40" cm="1">
        <f t="array" ref="BA15">IF($F$11-$I$4+VLOOKUP($R15,武学奇术!$A:$ZZ,9,FALSE)+SUM(_xlfn.XLOOKUP($S15:$AL15,增益!$A:$A,增益!$I:$I,0))&gt;0,($F$11-$I$4+VLOOKUP($R15,武学奇术!$A:$ZZ,9,FALSE)+SUM(_xlfn.XLOOKUP($S15:$AL15,增益!$A:$A,增益!$I:$I,0)))/200,($F$11-$I$4+VLOOKUP($R15,武学奇术!$A:$ZZ,9,FALSE)+SUM(_xlfn.XLOOKUP($S15:$AL15,增益!$A:$A,增益!$I:$I,0)))/100)</f>
        <v>-0.14</v>
      </c>
      <c r="BB15" s="40" cm="1">
        <f t="array" ref="BB15">$G$11+VLOOKUP($R15,武学奇术!$A:$ZZ,10,FALSE)+SUM(_xlfn.XLOOKUP($S15:$AL15,增益!$A:$A,增益!$J:$J,0))</f>
        <v>0.02</v>
      </c>
      <c r="BC15">
        <f t="shared" si="4"/>
        <v>640.3</v>
      </c>
      <c r="BD15">
        <f t="shared" si="5"/>
        <v>1770.1</v>
      </c>
      <c r="BE15" s="40" cm="1">
        <f t="array" ref="BE15">IF($F$12-$I$4+VLOOKUP($R15,武学奇术!$A:$ZZ,11,FALSE)+SUM(_xlfn.XLOOKUP($S15:$AL15,增益!$A:$A,增益!$K:$K,0))&gt;0,($F$12-$I$4+VLOOKUP($R15,武学奇术!$A:$ZZ,11,FALSE)+SUM(_xlfn.XLOOKUP($S15:$AL15,增益!$A:$A,增益!$K:$K,0)))/200,($F$12-$I$4+VLOOKUP($R15,武学奇术!$A:$ZZ,11,FALSE)+SUM(_xlfn.XLOOKUP($S15:$AL15,增益!$A:$A,增益!$K:$K,0)))/100)</f>
        <v>0.17</v>
      </c>
      <c r="BF15" s="40" cm="1">
        <f t="array" ref="BF15">$G$12+VLOOKUP($R15,武学奇术!$A:$ZZ,12,FALSE)+SUM(_xlfn.XLOOKUP($S15:$AL15,增益!$A:$A,增益!$L:$L,0))</f>
        <v>0.29</v>
      </c>
      <c r="BG15">
        <f t="shared" si="6"/>
        <v>0</v>
      </c>
      <c r="BH15">
        <f t="shared" si="7"/>
        <v>0</v>
      </c>
      <c r="BI15" s="40" cm="1">
        <f t="array" ref="BI15">IF($F$13-$I$4+VLOOKUP($R15,武学奇术!$A:$ZZ,13,FALSE)+SUM(_xlfn.XLOOKUP($S15:$AL15,增益!$A:$A,增益!$M:$M,0))&gt;0,($F$13-$I$4+VLOOKUP($R15,武学奇术!$A:$ZZ,13,FALSE)+SUM(_xlfn.XLOOKUP($S15:$AL15,增益!$A:$A,增益!$K:$K,0)))/200,($F$13-$I$4+VLOOKUP($R15,武学奇术!$A:$ZZ,13,FALSE)+SUM(_xlfn.XLOOKUP($S15:$AL15,增益!$A:$A,增益!$M:$M,0)))/100)</f>
        <v>-0.14</v>
      </c>
      <c r="BJ15" s="40" cm="1">
        <f t="array" ref="BJ15">$G$13+VLOOKUP($R15,武学奇术!$A:$ZZ,14,FALSE)+SUM(_xlfn.XLOOKUP($S15:$AL15,增益!$A:$A,增益!$N:$N,0))</f>
        <v>0.02</v>
      </c>
      <c r="BK15">
        <f t="shared" si="8"/>
        <v>0</v>
      </c>
      <c r="BL15">
        <f t="shared" si="9"/>
        <v>0</v>
      </c>
      <c r="BM15" s="40" cm="1">
        <f t="array" ref="BM15">IF($F$14-$I$4+VLOOKUP($R15,武学奇术!$A:$ZZ,15,FALSE)+SUM(_xlfn.XLOOKUP($S15:$AL15,增益!$A:$A,增益!$O:$O,0))&gt;0,($F$14-$I$4+VLOOKUP($R15,武学奇术!$A:$ZZ,15,FALSE)+SUM(_xlfn.XLOOKUP($S15:$AL15,增益!$A:$A,增益!$O:$O,0)))/200,($F$14-$I$4+VLOOKUP($R15,武学奇术!$A:$ZZ,15,FALSE)+SUM(_xlfn.XLOOKUP($S15:$AL15,增益!$A:$A,增益!$O:$O,0)))/100)</f>
        <v>-0.14</v>
      </c>
      <c r="BN15" s="40" cm="1">
        <f t="array" ref="BN15">$G$14+VLOOKUP($R15,武学奇术!$A:$ZZ,16,FALSE)+SUM(_xlfn.XLOOKUP($S15:$AL15,增益!$A:$A,增益!$P:$P,0))</f>
        <v>0.02</v>
      </c>
      <c r="BO15" s="33">
        <f>MIN(IF(VLOOKUP($R15,武学奇术!$A:$ZZ,23,FALSE)=1,100%,$B$8),100%)</f>
        <v>0.9771</v>
      </c>
      <c r="BP15" s="33" cm="1">
        <f t="array" ref="BP15">IF(VLOOKUP($R15,武学奇术!$A:$ZZ,23,FALSE)=1,100%,MIN(80%,$B$9+VLOOKUP($R15,武学奇术!$A:$ZZ,17,FALSE)+SUM(_xlfn.XLOOKUP($S15:$AL15,增益!$A:$A,增益!$Q:$Q,0)))+$B$11+SUM(_xlfn.XLOOKUP($S15:$AL15,增益!$A:$A,增益!$U:$U,0)))*IF(VLOOKUP($R15,武学奇术!$A:$ZZ,24,FALSE)=1,0,1)</f>
        <v>0.8861</v>
      </c>
      <c r="BQ15" s="33" cm="1">
        <f t="array" ref="BQ15">1+$B$13+VLOOKUP($R15,武学奇术!$A:$ZZ,18,FALSE)+SUM(_xlfn.XLOOKUP($S15:$AL15,增益!$A:$A,增益!$R:$R,0))</f>
        <v>1.83</v>
      </c>
      <c r="BR15" s="33" cm="1">
        <f t="array" ref="BR15">IF(VLOOKUP($R15,武学奇术!$A:$ZZ,24,FALSE)=1,100%,MIN(40%,$B$10+VLOOKUP($R15,武学奇术!$A:$ZZ,19,FALSE)+SUM(_xlfn.XLOOKUP($S15:$AL15,增益!$A:$A,增益!$S:$S,0)))+$B$12+SUM(_xlfn.XLOOKUP($S15:$AL15,增益!$A:$A,增益!$V:$V,0)))*IF(VLOOKUP($R15,武学奇术!$A:$ZZ,23,FALSE)=1,0,1)</f>
        <v>0.0913</v>
      </c>
      <c r="BS15" s="33" cm="1">
        <f t="array" ref="BS15">1+$B$14+VLOOKUP($R15,武学奇术!$A:$ZZ,20,FALSE)+SUM(_xlfn.XLOOKUP($S15:$AL15,增益!$A:$A,增益!$T:$T,0))</f>
        <v>1.35</v>
      </c>
      <c r="BT15" s="33">
        <f t="shared" si="10"/>
        <v>0.86580831</v>
      </c>
      <c r="BU15" s="33">
        <f t="shared" si="11"/>
        <v>0.02208246</v>
      </c>
      <c r="BV15" s="33">
        <f>IF(VLOOKUP($R15,武学奇术!$A:$ZZ,22,FALSE)=1,0,(1-$BO15))*(1-$BR15)</f>
        <v>0.02080923</v>
      </c>
      <c r="BW15" s="33" cm="1">
        <f t="array" ref="BW15">SUM(_xlfn.XLOOKUP($S15:$AL15,增益!$A:$A,增益!$W:$W,0))+$I$5</f>
        <v>0.11</v>
      </c>
      <c r="BX15" s="33" cm="1">
        <f t="array" ref="BX15">VLOOKUP($R15,武学奇术!$A:$ZZ,32,FALSE)+SUM(_xlfn.XLOOKUP($S15:$AL15,增益!$A:$A,增益!$X:$X,0))</f>
        <v>0</v>
      </c>
    </row>
    <row r="16" spans="1:76">
      <c r="A16" s="49" t="s">
        <v>127</v>
      </c>
      <c r="B16" s="78">
        <v>0.0892</v>
      </c>
      <c r="C16" s="47" t="s">
        <v>128</v>
      </c>
      <c r="D16" s="85" t="s">
        <v>129</v>
      </c>
      <c r="E16" s="47" t="s">
        <v>130</v>
      </c>
      <c r="F16" s="85" t="s">
        <v>129</v>
      </c>
      <c r="H16" s="75" t="s">
        <v>131</v>
      </c>
      <c r="I16" s="87">
        <f>I12/IF($E$24="陌刀",183893.43,175385.32)</f>
        <v>0.999999981832443</v>
      </c>
      <c r="J16" s="88"/>
      <c r="K16" s="89"/>
      <c r="L16" s="46">
        <f t="shared" si="0"/>
        <v>10702.6183755666</v>
      </c>
      <c r="M16" s="46">
        <f>((($AT16+$AU16)/2*$AN16+$AO16)*(1+$AV16)*(1+$AW16)+(($AY16+$AZ16)/2*IF($G$1="鸣金",$AP16,$AN16)+IF($G$1="鸣金",$AQ16*1.5,0))*(1+$BA16)*(1+$BB16)+(($BC16+$BD16)/2*IF($G$1="裂石",$AP16,$AN16)+IF($G$1="裂石",$AQ16*1.5,0))*(1+$BE16)*(1+$BF16)+(($BG16+$BH16)/2*IF($G$1="牵丝",$AP16,$AN16)+IF($G$1="牵丝",$AQ16*1.5,0))*(1+$BI16)*(1+$BJ16)+(($BK16+$BL16)/2*IF($G$1="破竹",$AP16,$AN16)+IF($G$1="破竹",$AQ16*1.5,0))*(1+$BM16)*(1+$BN16))*(1+$AR16)*$BQ16*$Q16*(1+IF(VLOOKUP($R16,武学奇术!$A:$ZZ,30,FALSE)="蓄力技",$B$21,0))*(1+IF(VLOOKUP($R16,武学奇术!$A:$ZZ,30,FALSE)="派生技",$B$20,0))*(1+$BW16)*(1+$BX16)</f>
        <v>11115.8838757767</v>
      </c>
      <c r="N16" s="46">
        <f>(($AU16*$AN16+$AO16)*(1+$AV16)*(1+$AW16)+($AZ16*IF($G$1="鸣金",$AP16,$AN16)+IF($G$1="鸣金",$AQ16*1.5,0))*(1+$BA16)*(1+$BB16)+($BD16*IF($G$1="裂石",$AP16,$AN16)+IF($G$1="裂石",$AQ16*1.5,0))*(1+$BE16)*(1+$BF16)+($BH16*IF($G$1="牵丝",$AP16,$AN16)+IF($G$1="牵丝",$AQ16*1.5,0))*(1+$BI16)*(1+$BJ16)+($BL16*IF($G$1="破竹",$AP16,$AN16)+IF($G$1="破竹",$AQ16*1.5,0))*(1+$BM16)*(1+$BN16))*(1+$AR16)*$BS16*$Q16*(1+IF(VLOOKUP($R16,武学奇术!$A:$ZZ,30,FALSE)="蓄力技",$B$21,0))*(1+IF(VLOOKUP($R16,武学奇术!$A:$ZZ,30,FALSE)="派生技",$B$20,0))*(1+$BW16)*(1+$BX16)</f>
        <v>9194.07204026708</v>
      </c>
      <c r="O16" s="46">
        <f>((($AT16+$AU16)/2*$AN16+$AO16)*(1+$AV16)*(1+$AW16)+(($AY16+$AZ16)/2*IF($G$1="鸣金",$AP16,$AN16)+IF($G$1="鸣金",$AQ16*1.5,0))*(1+$BA16)*(1+$BB16)+(($BC16+$BD16)/2*IF($G$1="裂石",$AP16,$AN16)+IF($G$1="裂石",$AQ16*1.5,0))*(1+$BE16)*(1+$BF16)+(($BG16+$BH16)/2*IF($G$1="牵丝",$AP16,$AN16)+IF($G$1="牵丝",$AQ16*1.5,0))*(1+$BI16)*(1+$BJ16)+(($BK16+$BL16)/2*IF($G$1="破竹",$AP16,$AN16)+IF($G$1="破竹",$AQ16*1.5,0))*(1+$BM16)*(1+$BN16))*(1+$AR16)*$Q16*(1+IF(VLOOKUP($R16,武学奇术!$A:$ZZ,30,FALSE)="蓄力技",$B$21,0))*(1+IF(VLOOKUP($R16,武学奇术!$A:$ZZ,30,FALSE)="派生技",$B$20,0))*(1+$BW16)*(1+$BX16)</f>
        <v>5976.28165364341</v>
      </c>
      <c r="P16" s="46">
        <f>((($AT16*$AN16+$AO16)*(1+$AV16)*(1+$AW16)+($AY16*IF($G$1="鸣金",$AP16,$AN16)+IF($G$1="鸣金",$AQ16*1.5,0))*(1+$BA16)*(1+$BB16)+($BC16*IF($G$1="裂石",$AP16,$AN16)+IF($G$1="裂石",$AQ16*1.5,0))*(1+$BE16)*(1+$BF16)+($BG16*IF($G$1="牵丝",$AP16,$AN16)+IF($G$1="牵丝",$AQ16*1.5,0))*(1+$BI16)*(1+$BJ16)+($BK16*IF($G$1="破竹",$AP16,$AN16)+IF($G$1="破竹",$AQ16*1.5,0))*(1+$BM16)*(1+$BN16))*(1+$AR16))*$Q16*(1+IF(VLOOKUP($R16,武学奇术!$A:$ZZ,30,FALSE)="蓄力技",$B$21,0))*(1+IF(VLOOKUP($R16,武学奇术!$A:$ZZ,30,FALSE)="派生技",$B$20,0))*(1+$BW16)*(1+$BX16)</f>
        <v>5142.13957375564</v>
      </c>
      <c r="Q16" s="47">
        <f>IF($E$24="陌刀",0.25,0)</f>
        <v>0.25</v>
      </c>
      <c r="R16" s="48" t="s">
        <v>122</v>
      </c>
      <c r="S16" s="48" t="s">
        <v>77</v>
      </c>
      <c r="T16" s="48" t="s">
        <v>89</v>
      </c>
      <c r="U16" s="48" t="s">
        <v>79</v>
      </c>
      <c r="V16" s="48" t="s">
        <v>90</v>
      </c>
      <c r="W16" s="48" t="s">
        <v>132</v>
      </c>
      <c r="X16" s="48" t="s">
        <v>80</v>
      </c>
      <c r="Y16" s="48" t="s">
        <v>74</v>
      </c>
      <c r="Z16" s="48" t="s">
        <v>81</v>
      </c>
      <c r="AA16" s="48" t="s">
        <v>80</v>
      </c>
      <c r="AB16" s="48" t="s">
        <v>80</v>
      </c>
      <c r="AC16" s="48" t="s">
        <v>80</v>
      </c>
      <c r="AD16" s="48" t="s">
        <v>80</v>
      </c>
      <c r="AE16" s="48" t="s">
        <v>82</v>
      </c>
      <c r="AF16" s="48" t="s">
        <v>83</v>
      </c>
      <c r="AG16" s="48" t="s">
        <v>84</v>
      </c>
      <c r="AH16" s="48" t="s">
        <v>80</v>
      </c>
      <c r="AI16" s="48" t="s">
        <v>80</v>
      </c>
      <c r="AJ16" s="48" t="s">
        <v>80</v>
      </c>
      <c r="AK16" s="48" t="s">
        <v>80</v>
      </c>
      <c r="AL16" s="48" t="s">
        <v>85</v>
      </c>
      <c r="AM16" t="str">
        <f>VLOOKUP($R16,武学奇术!$A:$ZZ,25,FALSE)</f>
        <v>横刀</v>
      </c>
      <c r="AN16" s="33">
        <f>VLOOKUP($R16,武学奇术!$A:$ZZ,26,FALSE)</f>
        <v>1.47</v>
      </c>
      <c r="AO16" s="34">
        <f>VLOOKUP($R16,武学奇术!$A:$ZZ,27,FALSE)*(1+IF(OR($AM16=$F$4,$AM16=$F$5),$B$22,0))</f>
        <v>0</v>
      </c>
      <c r="AP16" s="33">
        <f>VLOOKUP($R16,武学奇术!$A:$ZZ,28,FALSE)</f>
        <v>2.205</v>
      </c>
      <c r="AQ16" s="34">
        <f>VLOOKUP($R16,武学奇术!$A:$ZZ,29,FALSE)*(1+IF(OR($AM16=$F$4,$AM16=$F$5),$B$22,0))</f>
        <v>0</v>
      </c>
      <c r="AR16" s="33" cm="1">
        <f t="array" ref="AR16">$G$3+IFERROR(VLOOKUP($AM16,$F$4:$G$7,2,FALSE),0)+VLOOKUP($R16,武学奇术!$A:$ZZ,2,FALSE)+SUM(_xlfn.XLOOKUP($S16:$AL16,增益!$A:$A,增益!$B:$B,0))</f>
        <v>0.5989</v>
      </c>
      <c r="AS16" s="33" cm="1">
        <f t="array" ref="AS16">VLOOKUP($R16,武学奇术!$A:$ZZ,5,FALSE)+SUM(_xlfn.XLOOKUP($S16:$AL16,增益!$A:$A,增益!$E:$E,0))</f>
        <v>0</v>
      </c>
      <c r="AT16" cm="1">
        <f t="array" ref="AT16">$D$10*(1+$AS16)+VLOOKUP($R16,武学奇术!$A:$ZZ,3,FALSE)+SUM(_xlfn.XLOOKUP($S16:$AL16,增益!$A:$A,增益!$C:$C,0))-$I$2</f>
        <v>4094.7</v>
      </c>
      <c r="AU16" cm="1">
        <f t="array" ref="AU16">$E$10*(1+$AS16)+VLOOKUP($R16,武学奇术!$A:$ZZ,4,FALSE)+SUM(_xlfn.XLOOKUP($S16:$AL16,增益!$A:$A,增益!$D:$D,0))-$I$2</f>
        <v>4094.7</v>
      </c>
      <c r="AV16" s="40" cm="1">
        <f t="array" ref="AV16">IF($F$10-$I$3+VLOOKUP($R16,武学奇术!$A:$ZZ,6,FALSE)+SUM(_xlfn.XLOOKUP($S16:$AL16,增益!$A:$A,增益!$F:$F,0))&gt;0,($F$10-$I$3+VLOOKUP($R16,武学奇术!$A:$ZZ,6,FALSE)+SUM(_xlfn.XLOOKUP($S16:$AL16,增益!$A:$A,增益!$F:$F,0)))/200,($F$10-$I$3+VLOOKUP($R16,武学奇术!$A:$ZZ,6,FALSE)+SUM(_xlfn.XLOOKUP($S16:$AL16,增益!$A:$A,增益!$F:$F,0)))/100)</f>
        <v>0.3784</v>
      </c>
      <c r="AW16" s="40" cm="1">
        <f t="array" ref="AW16">$G$10+VLOOKUP($R16,武学奇术!$A:$ZZ,7,FALSE)+SUM(_xlfn.XLOOKUP($S16:$AL16,增益!$A:$A,增益!$G:$G,0))</f>
        <v>0.14</v>
      </c>
      <c r="AX16" s="33" cm="1">
        <f t="array" ref="AX16">VLOOKUP($R16,武学奇术!$A:$ZZ,8,FALSE)+SUM(_xlfn.XLOOKUP($S16:$AL16,增益!$A:$A,增益!$H:$H,0))</f>
        <v>0</v>
      </c>
      <c r="AY16">
        <f t="shared" si="2"/>
        <v>0</v>
      </c>
      <c r="AZ16">
        <f t="shared" si="3"/>
        <v>0</v>
      </c>
      <c r="BA16" s="40" cm="1">
        <f t="array" ref="BA16">IF($F$11-$I$4+VLOOKUP($R16,武学奇术!$A:$ZZ,9,FALSE)+SUM(_xlfn.XLOOKUP($S16:$AL16,增益!$A:$A,增益!$I:$I,0))&gt;0,($F$11-$I$4+VLOOKUP($R16,武学奇术!$A:$ZZ,9,FALSE)+SUM(_xlfn.XLOOKUP($S16:$AL16,增益!$A:$A,增益!$I:$I,0)))/200,($F$11-$I$4+VLOOKUP($R16,武学奇术!$A:$ZZ,9,FALSE)+SUM(_xlfn.XLOOKUP($S16:$AL16,增益!$A:$A,增益!$I:$I,0)))/100)</f>
        <v>-0.14</v>
      </c>
      <c r="BB16" s="40" cm="1">
        <f t="array" ref="BB16">$G$11+VLOOKUP($R16,武学奇术!$A:$ZZ,10,FALSE)+SUM(_xlfn.XLOOKUP($S16:$AL16,增益!$A:$A,增益!$J:$J,0))</f>
        <v>0.02</v>
      </c>
      <c r="BC16">
        <f t="shared" si="4"/>
        <v>640.3</v>
      </c>
      <c r="BD16">
        <f t="shared" si="5"/>
        <v>1770.1</v>
      </c>
      <c r="BE16" s="40" cm="1">
        <f t="array" ref="BE16">IF($F$12-$I$4+VLOOKUP($R16,武学奇术!$A:$ZZ,11,FALSE)+SUM(_xlfn.XLOOKUP($S16:$AL16,增益!$A:$A,增益!$K:$K,0))&gt;0,($F$12-$I$4+VLOOKUP($R16,武学奇术!$A:$ZZ,11,FALSE)+SUM(_xlfn.XLOOKUP($S16:$AL16,增益!$A:$A,增益!$K:$K,0)))/200,($F$12-$I$4+VLOOKUP($R16,武学奇术!$A:$ZZ,11,FALSE)+SUM(_xlfn.XLOOKUP($S16:$AL16,增益!$A:$A,增益!$K:$K,0)))/100)</f>
        <v>0.17</v>
      </c>
      <c r="BF16" s="40" cm="1">
        <f t="array" ref="BF16">$G$12+VLOOKUP($R16,武学奇术!$A:$ZZ,12,FALSE)+SUM(_xlfn.XLOOKUP($S16:$AL16,增益!$A:$A,增益!$L:$L,0))</f>
        <v>0.29</v>
      </c>
      <c r="BG16">
        <f t="shared" si="6"/>
        <v>0</v>
      </c>
      <c r="BH16">
        <f t="shared" si="7"/>
        <v>0</v>
      </c>
      <c r="BI16" s="40" cm="1">
        <f t="array" ref="BI16">IF($F$13-$I$4+VLOOKUP($R16,武学奇术!$A:$ZZ,13,FALSE)+SUM(_xlfn.XLOOKUP($S16:$AL16,增益!$A:$A,增益!$M:$M,0))&gt;0,($F$13-$I$4+VLOOKUP($R16,武学奇术!$A:$ZZ,13,FALSE)+SUM(_xlfn.XLOOKUP($S16:$AL16,增益!$A:$A,增益!$K:$K,0)))/200,($F$13-$I$4+VLOOKUP($R16,武学奇术!$A:$ZZ,13,FALSE)+SUM(_xlfn.XLOOKUP($S16:$AL16,增益!$A:$A,增益!$M:$M,0)))/100)</f>
        <v>-0.14</v>
      </c>
      <c r="BJ16" s="40" cm="1">
        <f t="array" ref="BJ16">$G$13+VLOOKUP($R16,武学奇术!$A:$ZZ,14,FALSE)+SUM(_xlfn.XLOOKUP($S16:$AL16,增益!$A:$A,增益!$N:$N,0))</f>
        <v>0.02</v>
      </c>
      <c r="BK16">
        <f t="shared" si="8"/>
        <v>0</v>
      </c>
      <c r="BL16">
        <f t="shared" si="9"/>
        <v>0</v>
      </c>
      <c r="BM16" s="40" cm="1">
        <f t="array" ref="BM16">IF($F$14-$I$4+VLOOKUP($R16,武学奇术!$A:$ZZ,15,FALSE)+SUM(_xlfn.XLOOKUP($S16:$AL16,增益!$A:$A,增益!$O:$O,0))&gt;0,($F$14-$I$4+VLOOKUP($R16,武学奇术!$A:$ZZ,15,FALSE)+SUM(_xlfn.XLOOKUP($S16:$AL16,增益!$A:$A,增益!$O:$O,0)))/200,($F$14-$I$4+VLOOKUP($R16,武学奇术!$A:$ZZ,15,FALSE)+SUM(_xlfn.XLOOKUP($S16:$AL16,增益!$A:$A,增益!$O:$O,0)))/100)</f>
        <v>-0.14</v>
      </c>
      <c r="BN16" s="40" cm="1">
        <f t="array" ref="BN16">$G$14+VLOOKUP($R16,武学奇术!$A:$ZZ,16,FALSE)+SUM(_xlfn.XLOOKUP($S16:$AL16,增益!$A:$A,增益!$P:$P,0))</f>
        <v>0.02</v>
      </c>
      <c r="BO16" s="33">
        <f>MIN(IF(VLOOKUP($R16,武学奇术!$A:$ZZ,23,FALSE)=1,100%,$B$8),100%)</f>
        <v>0.9771</v>
      </c>
      <c r="BP16" s="33" cm="1">
        <f t="array" ref="BP16">IF(VLOOKUP($R16,武学奇术!$A:$ZZ,23,FALSE)=1,100%,MIN(80%,$B$9+VLOOKUP($R16,武学奇术!$A:$ZZ,17,FALSE)+SUM(_xlfn.XLOOKUP($S16:$AL16,增益!$A:$A,增益!$Q:$Q,0)))+$B$11+SUM(_xlfn.XLOOKUP($S16:$AL16,增益!$A:$A,增益!$U:$U,0)))*IF(VLOOKUP($R16,武学奇术!$A:$ZZ,24,FALSE)=1,0,1)</f>
        <v>0.8861</v>
      </c>
      <c r="BQ16" s="33" cm="1">
        <f t="array" ref="BQ16">1+$B$13+VLOOKUP($R16,武学奇术!$A:$ZZ,18,FALSE)+SUM(_xlfn.XLOOKUP($S16:$AL16,增益!$A:$A,增益!$R:$R,0))</f>
        <v>1.86</v>
      </c>
      <c r="BR16" s="33" cm="1">
        <f t="array" ref="BR16">IF(VLOOKUP($R16,武学奇术!$A:$ZZ,24,FALSE)=1,100%,MIN(40%,$B$10+VLOOKUP($R16,武学奇术!$A:$ZZ,19,FALSE)+SUM(_xlfn.XLOOKUP($S16:$AL16,增益!$A:$A,增益!$S:$S,0)))+$B$12+SUM(_xlfn.XLOOKUP($S16:$AL16,增益!$A:$A,增益!$V:$V,0)))*IF(VLOOKUP($R16,武学奇术!$A:$ZZ,23,FALSE)=1,0,1)</f>
        <v>0.0913</v>
      </c>
      <c r="BS16" s="33" cm="1">
        <f t="array" ref="BS16">1+$B$14+VLOOKUP($R16,武学奇术!$A:$ZZ,20,FALSE)+SUM(_xlfn.XLOOKUP($S16:$AL16,增益!$A:$A,增益!$T:$T,0))</f>
        <v>1.35</v>
      </c>
      <c r="BT16" s="33">
        <f t="shared" si="10"/>
        <v>0.86580831</v>
      </c>
      <c r="BU16" s="33">
        <f t="shared" si="11"/>
        <v>0.02208246</v>
      </c>
      <c r="BV16" s="33">
        <f>IF(VLOOKUP($R16,武学奇术!$A:$ZZ,22,FALSE)=1,0,(1-$BO16))*(1-$BR16)</f>
        <v>0.02080923</v>
      </c>
      <c r="BW16" s="33" cm="1">
        <f t="array" ref="BW16">SUM(_xlfn.XLOOKUP($S16:$AL16,增益!$A:$A,增益!$W:$W,0))+$I$5</f>
        <v>0.11</v>
      </c>
      <c r="BX16" s="33" cm="1">
        <f t="array" ref="BX16">VLOOKUP($R16,武学奇术!$A:$ZZ,32,FALSE)+SUM(_xlfn.XLOOKUP($S16:$AL16,增益!$A:$A,增益!$X:$X,0))</f>
        <v>0</v>
      </c>
    </row>
    <row r="17" ht="14.25" spans="1:76">
      <c r="A17" s="49" t="s">
        <v>133</v>
      </c>
      <c r="B17" s="78">
        <f>IF($E$24="陌刀",8.54%,0)</f>
        <v>0.0854</v>
      </c>
      <c r="C17" s="47" t="s">
        <v>134</v>
      </c>
      <c r="D17" s="85" t="s">
        <v>129</v>
      </c>
      <c r="E17" s="47" t="s">
        <v>135</v>
      </c>
      <c r="F17" s="85" t="s">
        <v>129</v>
      </c>
      <c r="H17" s="79"/>
      <c r="I17" s="90"/>
      <c r="J17" s="91"/>
      <c r="K17" s="89"/>
      <c r="L17" s="46">
        <f t="shared" si="0"/>
        <v>10940.166973607</v>
      </c>
      <c r="M17" s="46">
        <f>((($AT17+$AU17)/2*$AN17+$AO17)*(1+$AV17)*(1+$AW17)+(($AY17+$AZ17)/2*IF($G$1="鸣金",$AP17,$AN17)+IF($G$1="鸣金",$AQ17*1.5,0))*(1+$BA17)*(1+$BB17)+(($BC17+$BD17)/2*IF($G$1="裂石",$AP17,$AN17)+IF($G$1="裂石",$AQ17*1.5,0))*(1+$BE17)*(1+$BF17)+(($BG17+$BH17)/2*IF($G$1="牵丝",$AP17,$AN17)+IF($G$1="牵丝",$AQ17*1.5,0))*(1+$BI17)*(1+$BJ17)+(($BK17+$BL17)/2*IF($G$1="破竹",$AP17,$AN17)+IF($G$1="破竹",$AQ17*1.5,0))*(1+$BM17)*(1+$BN17))*(1+$AR17)*$BQ17*$Q17*(1+IF(VLOOKUP($R17,武学奇术!$A:$ZZ,30,FALSE)="蓄力技",$B$21,0))*(1+IF(VLOOKUP($R17,武学奇术!$A:$ZZ,30,FALSE)="派生技",$B$20,0))*(1+$BW17)*(1+$BX17)</f>
        <v>11381.4864017915</v>
      </c>
      <c r="N17" s="46">
        <f>(($AU17*$AN17+$AO17)*(1+$AV17)*(1+$AW17)+($AZ17*IF($G$1="鸣金",$AP17,$AN17)+IF($G$1="鸣金",$AQ17*1.5,0))*(1+$BA17)*(1+$BB17)+($BD17*IF($G$1="裂石",$AP17,$AN17)+IF($G$1="裂石",$AQ17*1.5,0))*(1+$BE17)*(1+$BF17)+($BH17*IF($G$1="牵丝",$AP17,$AN17)+IF($G$1="牵丝",$AQ17*1.5,0))*(1+$BI17)*(1+$BJ17)+($BL17*IF($G$1="破竹",$AP17,$AN17)+IF($G$1="破竹",$AQ17*1.5,0))*(1+$BM17)*(1+$BN17))*(1+$AR17)*$BS17*$Q17*(1+IF(VLOOKUP($R17,武学奇术!$A:$ZZ,30,FALSE)="蓄力技",$B$21,0))*(1+IF(VLOOKUP($R17,武学奇术!$A:$ZZ,30,FALSE)="派生技",$B$20,0))*(1+$BW17)*(1+$BX17)</f>
        <v>9255.72495198526</v>
      </c>
      <c r="O17" s="46">
        <f>((($AT17+$AU17)/2*$AN17+$AO17)*(1+$AV17)*(1+$AW17)+(($AY17+$AZ17)/2*IF($G$1="鸣金",$AP17,$AN17)+IF($G$1="鸣金",$AQ17*1.5,0))*(1+$BA17)*(1+$BB17)+(($BC17+$BD17)/2*IF($G$1="裂石",$AP17,$AN17)+IF($G$1="裂石",$AQ17*1.5,0))*(1+$BE17)*(1+$BF17)+(($BG17+$BH17)/2*IF($G$1="牵丝",$AP17,$AN17)+IF($G$1="牵丝",$AQ17*1.5,0))*(1+$BI17)*(1+$BJ17)+(($BK17+$BL17)/2*IF($G$1="破竹",$AP17,$AN17)+IF($G$1="破竹",$AQ17*1.5,0))*(1+$BM17)*(1+$BN17))*(1+$AR17)*$Q17*(1+IF(VLOOKUP($R17,武学奇术!$A:$ZZ,30,FALSE)="蓄力技",$B$21,0))*(1+IF(VLOOKUP($R17,武学奇术!$A:$ZZ,30,FALSE)="派生技",$B$20,0))*(1+$BW17)*(1+$BX17)</f>
        <v>6021.95047713835</v>
      </c>
      <c r="P17" s="46">
        <f>((($AT17*$AN17+$AO17)*(1+$AV17)*(1+$AW17)+($AY17*IF($G$1="鸣金",$AP17,$AN17)+IF($G$1="鸣金",$AQ17*1.5,0))*(1+$BA17)*(1+$BB17)+($BC17*IF($G$1="裂石",$AP17,$AN17)+IF($G$1="裂石",$AQ17*1.5,0))*(1+$BE17)*(1+$BF17)+($BG17*IF($G$1="牵丝",$AP17,$AN17)+IF($G$1="牵丝",$AQ17*1.5,0))*(1+$BI17)*(1+$BJ17)+($BK17*IF($G$1="破竹",$AP17,$AN17)+IF($G$1="破竹",$AQ17*1.5,0))*(1+$BM17)*(1+$BN17))*(1+$AR17))*$Q17*(1+IF(VLOOKUP($R17,武学奇术!$A:$ZZ,30,FALSE)="蓄力技",$B$21,0))*(1+IF(VLOOKUP($R17,武学奇术!$A:$ZZ,30,FALSE)="派生技",$B$20,0))*(1+$BW17)*(1+$BX17)</f>
        <v>5187.80839725058</v>
      </c>
      <c r="Q17" s="47">
        <f>IF($E$24="陌刀",0.25,0)</f>
        <v>0.25</v>
      </c>
      <c r="R17" s="48" t="s">
        <v>122</v>
      </c>
      <c r="S17" s="48" t="s">
        <v>77</v>
      </c>
      <c r="T17" s="48" t="s">
        <v>89</v>
      </c>
      <c r="U17" s="48" t="s">
        <v>79</v>
      </c>
      <c r="V17" s="48" t="s">
        <v>90</v>
      </c>
      <c r="W17" s="48" t="s">
        <v>136</v>
      </c>
      <c r="X17" s="48" t="s">
        <v>80</v>
      </c>
      <c r="Y17" s="48" t="s">
        <v>74</v>
      </c>
      <c r="Z17" s="48" t="s">
        <v>81</v>
      </c>
      <c r="AA17" s="48" t="s">
        <v>80</v>
      </c>
      <c r="AB17" s="48" t="s">
        <v>80</v>
      </c>
      <c r="AC17" s="48" t="s">
        <v>80</v>
      </c>
      <c r="AD17" s="48" t="s">
        <v>80</v>
      </c>
      <c r="AE17" s="48" t="s">
        <v>82</v>
      </c>
      <c r="AF17" s="48" t="s">
        <v>83</v>
      </c>
      <c r="AG17" s="48" t="s">
        <v>84</v>
      </c>
      <c r="AH17" s="48" t="s">
        <v>80</v>
      </c>
      <c r="AI17" s="48" t="s">
        <v>80</v>
      </c>
      <c r="AJ17" s="48" t="s">
        <v>80</v>
      </c>
      <c r="AK17" s="48" t="s">
        <v>80</v>
      </c>
      <c r="AL17" s="48" t="s">
        <v>85</v>
      </c>
      <c r="AM17" t="str">
        <f>VLOOKUP($R17,武学奇术!$A:$ZZ,25,FALSE)</f>
        <v>横刀</v>
      </c>
      <c r="AN17" s="33">
        <f>VLOOKUP($R17,武学奇术!$A:$ZZ,26,FALSE)</f>
        <v>1.47</v>
      </c>
      <c r="AO17" s="34">
        <f>VLOOKUP($R17,武学奇术!$A:$ZZ,27,FALSE)*(1+IF(OR($AM17=$F$4,$AM17=$F$5),$B$22,0))</f>
        <v>0</v>
      </c>
      <c r="AP17" s="33">
        <f>VLOOKUP($R17,武学奇术!$A:$ZZ,28,FALSE)</f>
        <v>2.205</v>
      </c>
      <c r="AQ17" s="34">
        <f>VLOOKUP($R17,武学奇术!$A:$ZZ,29,FALSE)*(1+IF(OR($AM17=$F$4,$AM17=$F$5),$B$22,0))</f>
        <v>0</v>
      </c>
      <c r="AR17" s="33" cm="1">
        <f t="array" ref="AR17">$G$3+IFERROR(VLOOKUP($AM17,$F$4:$G$7,2,FALSE),0)+VLOOKUP($R17,武学奇术!$A:$ZZ,2,FALSE)+SUM(_xlfn.XLOOKUP($S17:$AL17,增益!$A:$A,增益!$B:$B,0))</f>
        <v>0.5989</v>
      </c>
      <c r="AS17" s="33" cm="1">
        <f t="array" ref="AS17">VLOOKUP($R17,武学奇术!$A:$ZZ,5,FALSE)+SUM(_xlfn.XLOOKUP($S17:$AL17,增益!$A:$A,增益!$E:$E,0))</f>
        <v>0</v>
      </c>
      <c r="AT17" cm="1">
        <f t="array" ref="AT17">$D$10*(1+$AS17)+VLOOKUP($R17,武学奇术!$A:$ZZ,3,FALSE)+SUM(_xlfn.XLOOKUP($S17:$AL17,增益!$A:$A,增益!$C:$C,0))-$I$2</f>
        <v>4094.7</v>
      </c>
      <c r="AU17" cm="1">
        <f t="array" ref="AU17">$E$10*(1+$AS17)+VLOOKUP($R17,武学奇术!$A:$ZZ,4,FALSE)+SUM(_xlfn.XLOOKUP($S17:$AL17,增益!$A:$A,增益!$D:$D,0))-$I$2</f>
        <v>4094.7</v>
      </c>
      <c r="AV17" s="40" cm="1">
        <f t="array" ref="AV17">IF($F$10-$I$3+VLOOKUP($R17,武学奇术!$A:$ZZ,6,FALSE)+SUM(_xlfn.XLOOKUP($S17:$AL17,增益!$A:$A,增益!$F:$F,0))&gt;0,($F$10-$I$3+VLOOKUP($R17,武学奇术!$A:$ZZ,6,FALSE)+SUM(_xlfn.XLOOKUP($S17:$AL17,增益!$A:$A,增益!$F:$F,0)))/200,($F$10-$I$3+VLOOKUP($R17,武学奇术!$A:$ZZ,6,FALSE)+SUM(_xlfn.XLOOKUP($S17:$AL17,增益!$A:$A,增益!$F:$F,0)))/100)</f>
        <v>0.3934</v>
      </c>
      <c r="AW17" s="40" cm="1">
        <f t="array" ref="AW17">$G$10+VLOOKUP($R17,武学奇术!$A:$ZZ,7,FALSE)+SUM(_xlfn.XLOOKUP($S17:$AL17,增益!$A:$A,增益!$G:$G,0))</f>
        <v>0.14</v>
      </c>
      <c r="AX17" s="33" cm="1">
        <f t="array" ref="AX17">VLOOKUP($R17,武学奇术!$A:$ZZ,8,FALSE)+SUM(_xlfn.XLOOKUP($S17:$AL17,增益!$A:$A,增益!$H:$H,0))</f>
        <v>0</v>
      </c>
      <c r="AY17">
        <f t="shared" si="2"/>
        <v>0</v>
      </c>
      <c r="AZ17">
        <f t="shared" si="3"/>
        <v>0</v>
      </c>
      <c r="BA17" s="40" cm="1">
        <f t="array" ref="BA17">IF($F$11-$I$4+VLOOKUP($R17,武学奇术!$A:$ZZ,9,FALSE)+SUM(_xlfn.XLOOKUP($S17:$AL17,增益!$A:$A,增益!$I:$I,0))&gt;0,($F$11-$I$4+VLOOKUP($R17,武学奇术!$A:$ZZ,9,FALSE)+SUM(_xlfn.XLOOKUP($S17:$AL17,增益!$A:$A,增益!$I:$I,0)))/200,($F$11-$I$4+VLOOKUP($R17,武学奇术!$A:$ZZ,9,FALSE)+SUM(_xlfn.XLOOKUP($S17:$AL17,增益!$A:$A,增益!$I:$I,0)))/100)</f>
        <v>-0.14</v>
      </c>
      <c r="BB17" s="40" cm="1">
        <f t="array" ref="BB17">$G$11+VLOOKUP($R17,武学奇术!$A:$ZZ,10,FALSE)+SUM(_xlfn.XLOOKUP($S17:$AL17,增益!$A:$A,增益!$J:$J,0))</f>
        <v>0.02</v>
      </c>
      <c r="BC17">
        <f t="shared" si="4"/>
        <v>640.3</v>
      </c>
      <c r="BD17">
        <f t="shared" si="5"/>
        <v>1770.1</v>
      </c>
      <c r="BE17" s="40" cm="1">
        <f t="array" ref="BE17">IF($F$12-$I$4+VLOOKUP($R17,武学奇术!$A:$ZZ,11,FALSE)+SUM(_xlfn.XLOOKUP($S17:$AL17,增益!$A:$A,增益!$K:$K,0))&gt;0,($F$12-$I$4+VLOOKUP($R17,武学奇术!$A:$ZZ,11,FALSE)+SUM(_xlfn.XLOOKUP($S17:$AL17,增益!$A:$A,增益!$K:$K,0)))/200,($F$12-$I$4+VLOOKUP($R17,武学奇术!$A:$ZZ,11,FALSE)+SUM(_xlfn.XLOOKUP($S17:$AL17,增益!$A:$A,增益!$K:$K,0)))/100)</f>
        <v>0.17</v>
      </c>
      <c r="BF17" s="40" cm="1">
        <f t="array" ref="BF17">$G$12+VLOOKUP($R17,武学奇术!$A:$ZZ,12,FALSE)+SUM(_xlfn.XLOOKUP($S17:$AL17,增益!$A:$A,增益!$L:$L,0))</f>
        <v>0.29</v>
      </c>
      <c r="BG17">
        <f t="shared" si="6"/>
        <v>0</v>
      </c>
      <c r="BH17">
        <f t="shared" si="7"/>
        <v>0</v>
      </c>
      <c r="BI17" s="40" cm="1">
        <f t="array" ref="BI17">IF($F$13-$I$4+VLOOKUP($R17,武学奇术!$A:$ZZ,13,FALSE)+SUM(_xlfn.XLOOKUP($S17:$AL17,增益!$A:$A,增益!$M:$M,0))&gt;0,($F$13-$I$4+VLOOKUP($R17,武学奇术!$A:$ZZ,13,FALSE)+SUM(_xlfn.XLOOKUP($S17:$AL17,增益!$A:$A,增益!$K:$K,0)))/200,($F$13-$I$4+VLOOKUP($R17,武学奇术!$A:$ZZ,13,FALSE)+SUM(_xlfn.XLOOKUP($S17:$AL17,增益!$A:$A,增益!$M:$M,0)))/100)</f>
        <v>-0.14</v>
      </c>
      <c r="BJ17" s="40" cm="1">
        <f t="array" ref="BJ17">$G$13+VLOOKUP($R17,武学奇术!$A:$ZZ,14,FALSE)+SUM(_xlfn.XLOOKUP($S17:$AL17,增益!$A:$A,增益!$N:$N,0))</f>
        <v>0.02</v>
      </c>
      <c r="BK17">
        <f t="shared" si="8"/>
        <v>0</v>
      </c>
      <c r="BL17">
        <f t="shared" si="9"/>
        <v>0</v>
      </c>
      <c r="BM17" s="40" cm="1">
        <f t="array" ref="BM17">IF($F$14-$I$4+VLOOKUP($R17,武学奇术!$A:$ZZ,15,FALSE)+SUM(_xlfn.XLOOKUP($S17:$AL17,增益!$A:$A,增益!$O:$O,0))&gt;0,($F$14-$I$4+VLOOKUP($R17,武学奇术!$A:$ZZ,15,FALSE)+SUM(_xlfn.XLOOKUP($S17:$AL17,增益!$A:$A,增益!$O:$O,0)))/200,($F$14-$I$4+VLOOKUP($R17,武学奇术!$A:$ZZ,15,FALSE)+SUM(_xlfn.XLOOKUP($S17:$AL17,增益!$A:$A,增益!$O:$O,0)))/100)</f>
        <v>-0.14</v>
      </c>
      <c r="BN17" s="40" cm="1">
        <f t="array" ref="BN17">$G$14+VLOOKUP($R17,武学奇术!$A:$ZZ,16,FALSE)+SUM(_xlfn.XLOOKUP($S17:$AL17,增益!$A:$A,增益!$P:$P,0))</f>
        <v>0.02</v>
      </c>
      <c r="BO17" s="33">
        <f>MIN(IF(VLOOKUP($R17,武学奇术!$A:$ZZ,23,FALSE)=1,100%,$B$8),100%)</f>
        <v>0.9771</v>
      </c>
      <c r="BP17" s="33" cm="1">
        <f t="array" ref="BP17">IF(VLOOKUP($R17,武学奇术!$A:$ZZ,23,FALSE)=1,100%,MIN(80%,$B$9+VLOOKUP($R17,武学奇术!$A:$ZZ,17,FALSE)+SUM(_xlfn.XLOOKUP($S17:$AL17,增益!$A:$A,增益!$Q:$Q,0)))+$B$11+SUM(_xlfn.XLOOKUP($S17:$AL17,增益!$A:$A,增益!$U:$U,0)))*IF(VLOOKUP($R17,武学奇术!$A:$ZZ,24,FALSE)=1,0,1)</f>
        <v>0.8861</v>
      </c>
      <c r="BQ17" s="33" cm="1">
        <f t="array" ref="BQ17">1+$B$13+VLOOKUP($R17,武学奇术!$A:$ZZ,18,FALSE)+SUM(_xlfn.XLOOKUP($S17:$AL17,增益!$A:$A,增益!$R:$R,0))</f>
        <v>1.89</v>
      </c>
      <c r="BR17" s="33" cm="1">
        <f t="array" ref="BR17">IF(VLOOKUP($R17,武学奇术!$A:$ZZ,24,FALSE)=1,100%,MIN(40%,$B$10+VLOOKUP($R17,武学奇术!$A:$ZZ,19,FALSE)+SUM(_xlfn.XLOOKUP($S17:$AL17,增益!$A:$A,增益!$S:$S,0)))+$B$12+SUM(_xlfn.XLOOKUP($S17:$AL17,增益!$A:$A,增益!$V:$V,0)))*IF(VLOOKUP($R17,武学奇术!$A:$ZZ,23,FALSE)=1,0,1)</f>
        <v>0.0913</v>
      </c>
      <c r="BS17" s="33" cm="1">
        <f t="array" ref="BS17">1+$B$14+VLOOKUP($R17,武学奇术!$A:$ZZ,20,FALSE)+SUM(_xlfn.XLOOKUP($S17:$AL17,增益!$A:$A,增益!$T:$T,0))</f>
        <v>1.35</v>
      </c>
      <c r="BT17" s="33">
        <f t="shared" si="10"/>
        <v>0.86580831</v>
      </c>
      <c r="BU17" s="33">
        <f t="shared" si="11"/>
        <v>0.02208246</v>
      </c>
      <c r="BV17" s="33">
        <f>IF(VLOOKUP($R17,武学奇术!$A:$ZZ,22,FALSE)=1,0,(1-$BO17))*(1-$BR17)</f>
        <v>0.02080923</v>
      </c>
      <c r="BW17" s="33" cm="1">
        <f t="array" ref="BW17">SUM(_xlfn.XLOOKUP($S17:$AL17,增益!$A:$A,增益!$W:$W,0))+$I$5</f>
        <v>0.11</v>
      </c>
      <c r="BX17" s="33" cm="1">
        <f t="array" ref="BX17">VLOOKUP($R17,武学奇术!$A:$ZZ,32,FALSE)+SUM(_xlfn.XLOOKUP($S17:$AL17,增益!$A:$A,增益!$X:$X,0))</f>
        <v>0</v>
      </c>
    </row>
    <row r="18" ht="14.25" spans="1:76">
      <c r="A18" s="49" t="s">
        <v>137</v>
      </c>
      <c r="B18" s="78">
        <f>IF($E$24="唐刀",8.54%,0)</f>
        <v>0</v>
      </c>
      <c r="C18" s="47" t="s">
        <v>138</v>
      </c>
      <c r="D18" s="85" t="s">
        <v>129</v>
      </c>
      <c r="E18" s="47" t="s">
        <v>63</v>
      </c>
      <c r="F18" s="92">
        <f>MIN(1,$B$8)*($B$9+$B$11)</f>
        <v>0.86580831</v>
      </c>
      <c r="H18" s="75" t="s">
        <v>139</v>
      </c>
      <c r="I18" s="44">
        <v>2</v>
      </c>
      <c r="J18" s="45"/>
      <c r="K18" s="47"/>
      <c r="L18" s="46">
        <f t="shared" si="0"/>
        <v>22859.5230581288</v>
      </c>
      <c r="M18" s="46">
        <f>((($AT18+$AU18)/2*$AN18+$AO18)*(1+$AV18)*(1+$AW18)+(($AY18+$AZ18)/2*IF($G$1="鸣金",$AP18,$AN18)+IF($G$1="鸣金",$AQ18*1.5,0))*(1+$BA18)*(1+$BB18)+(($BC18+$BD18)/2*IF($G$1="裂石",$AP18,$AN18)+IF($G$1="裂石",$AQ18*1.5,0))*(1+$BE18)*(1+$BF18)+(($BG18+$BH18)/2*IF($G$1="牵丝",$AP18,$AN18)+IF($G$1="牵丝",$AQ18*1.5,0))*(1+$BI18)*(1+$BJ18)+(($BK18+$BL18)/2*IF($G$1="破竹",$AP18,$AN18)+IF($G$1="破竹",$AQ18*1.5,0))*(1+$BM18)*(1+$BN18))*(1+$AR18)*$BQ18*$Q18*(1+IF(VLOOKUP($R18,武学奇术!$A:$ZZ,30,FALSE)="蓄力技",$B$21,0))*(1+IF(VLOOKUP($R18,武学奇术!$A:$ZZ,30,FALSE)="派生技",$B$20,0))*(1+$BW18)*(1+$BX18)</f>
        <v>23820.8947148112</v>
      </c>
      <c r="N18" s="46">
        <f>(($AU18*$AN18+$AO18)*(1+$AV18)*(1+$AW18)+($AZ18*IF($G$1="鸣金",$AP18,$AN18)+IF($G$1="鸣金",$AQ18*1.5,0))*(1+$BA18)*(1+$BB18)+($BD18*IF($G$1="裂石",$AP18,$AN18)+IF($G$1="裂石",$AQ18*1.5,0))*(1+$BE18)*(1+$BF18)+($BH18*IF($G$1="牵丝",$AP18,$AN18)+IF($G$1="牵丝",$AQ18*1.5,0))*(1+$BI18)*(1+$BJ18)+($BL18*IF($G$1="破竹",$AP18,$AN18)+IF($G$1="破竹",$AQ18*1.5,0))*(1+$BM18)*(1+$BN18))*(1+$AR18)*$BS18*$Q18*(1+IF(VLOOKUP($R18,武学奇术!$A:$ZZ,30,FALSE)="蓄力技",$B$21,0))*(1+IF(VLOOKUP($R18,武学奇术!$A:$ZZ,30,FALSE)="派生技",$B$20,0))*(1+$BW18)*(1+$BX18)</f>
        <v>19040.137752149</v>
      </c>
      <c r="O18" s="46">
        <f>((($AT18+$AU18)/2*$AN18+$AO18)*(1+$AV18)*(1+$AW18)+(($AY18+$AZ18)/2*IF($G$1="鸣金",$AP18,$AN18)+IF($G$1="鸣金",$AQ18*1.5,0))*(1+$BA18)*(1+$BB18)+(($BC18+$BD18)/2*IF($G$1="裂石",$AP18,$AN18)+IF($G$1="裂石",$AQ18*1.5,0))*(1+$BE18)*(1+$BF18)+(($BG18+$BH18)/2*IF($G$1="牵丝",$AP18,$AN18)+IF($G$1="牵丝",$AQ18*1.5,0))*(1+$BI18)*(1+$BJ18)+(($BK18+$BL18)/2*IF($G$1="破竹",$AP18,$AN18)+IF($G$1="破竹",$AQ18*1.5,0))*(1+$BM18)*(1+$BN18))*(1+$AR18)*$Q18*(1+IF(VLOOKUP($R18,武学奇术!$A:$ZZ,30,FALSE)="蓄力技",$B$21,0))*(1+IF(VLOOKUP($R18,武学奇术!$A:$ZZ,30,FALSE)="派生技",$B$20,0))*(1+$BW18)*(1+$BX18)</f>
        <v>12406.7159972975</v>
      </c>
      <c r="P18" s="46">
        <f>((($AT18*$AN18+$AO18)*(1+$AV18)*(1+$AW18)+($AY18*IF($G$1="鸣金",$AP18,$AN18)+IF($G$1="鸣金",$AQ18*1.5,0))*(1+$BA18)*(1+$BB18)+($BC18*IF($G$1="裂石",$AP18,$AN18)+IF($G$1="裂石",$AQ18*1.5,0))*(1+$BE18)*(1+$BF18)+($BG18*IF($G$1="牵丝",$AP18,$AN18)+IF($G$1="牵丝",$AQ18*1.5,0))*(1+$BI18)*(1+$BJ18)+($BK18*IF($G$1="破竹",$AP18,$AN18)+IF($G$1="破竹",$AQ18*1.5,0))*(1+$BM18)*(1+$BN18))*(1+$AR18))*$Q18*(1+IF(VLOOKUP($R18,武学奇术!$A:$ZZ,30,FALSE)="蓄力技",$B$21,0))*(1+IF(VLOOKUP($R18,武学奇术!$A:$ZZ,30,FALSE)="派生技",$B$20,0))*(1+$BW18)*(1+$BX18)</f>
        <v>10709.6262522624</v>
      </c>
      <c r="Q18" s="47">
        <f>IF($E$24="陌刀",1,0)</f>
        <v>1</v>
      </c>
      <c r="R18" s="48" t="s">
        <v>140</v>
      </c>
      <c r="S18" s="48" t="s">
        <v>88</v>
      </c>
      <c r="T18" s="48" t="s">
        <v>89</v>
      </c>
      <c r="U18" s="48" t="s">
        <v>79</v>
      </c>
      <c r="V18" s="48" t="s">
        <v>90</v>
      </c>
      <c r="W18" s="48" t="s">
        <v>141</v>
      </c>
      <c r="X18" s="48" t="s">
        <v>80</v>
      </c>
      <c r="Y18" s="48" t="s">
        <v>74</v>
      </c>
      <c r="Z18" s="48" t="s">
        <v>142</v>
      </c>
      <c r="AA18" s="48" t="s">
        <v>80</v>
      </c>
      <c r="AB18" s="48" t="s">
        <v>80</v>
      </c>
      <c r="AC18" s="48" t="s">
        <v>80</v>
      </c>
      <c r="AD18" s="48" t="s">
        <v>80</v>
      </c>
      <c r="AE18" s="48" t="s">
        <v>82</v>
      </c>
      <c r="AF18" s="48" t="s">
        <v>83</v>
      </c>
      <c r="AG18" s="48" t="s">
        <v>84</v>
      </c>
      <c r="AH18" s="48" t="s">
        <v>80</v>
      </c>
      <c r="AI18" s="48" t="s">
        <v>80</v>
      </c>
      <c r="AJ18" s="48" t="s">
        <v>80</v>
      </c>
      <c r="AK18" s="48" t="s">
        <v>80</v>
      </c>
      <c r="AL18" s="48" t="s">
        <v>85</v>
      </c>
      <c r="AM18" t="str">
        <f>VLOOKUP($R18,武学奇术!$A:$ZZ,25,FALSE)</f>
        <v>陌刀</v>
      </c>
      <c r="AN18" s="33">
        <f>VLOOKUP($R18,武学奇术!$A:$ZZ,26,FALSE)</f>
        <v>0.525</v>
      </c>
      <c r="AO18" s="34">
        <f>VLOOKUP($R18,武学奇术!$A:$ZZ,27,FALSE)*(1+IF(OR($AM18=$F$4,$AM18=$F$5),$B$22,0))</f>
        <v>0</v>
      </c>
      <c r="AP18" s="33">
        <f>VLOOKUP($R18,武学奇术!$A:$ZZ,28,FALSE)</f>
        <v>0.7875</v>
      </c>
      <c r="AQ18" s="34">
        <f>VLOOKUP($R18,武学奇术!$A:$ZZ,29,FALSE)*(1+IF(OR($AM18=$F$4,$AM18=$F$5),$B$22,0))</f>
        <v>0</v>
      </c>
      <c r="AR18" s="33" cm="1">
        <f t="array" ref="AR18">$G$3+IFERROR(VLOOKUP($AM18,$F$4:$G$7,2,FALSE),0)+VLOOKUP($R18,武学奇术!$A:$ZZ,2,FALSE)+SUM(_xlfn.XLOOKUP($S18:$AL18,增益!$A:$A,增益!$B:$B,0))</f>
        <v>0.7243</v>
      </c>
      <c r="AS18" s="33" cm="1">
        <f t="array" ref="AS18">VLOOKUP($R18,武学奇术!$A:$ZZ,5,FALSE)+SUM(_xlfn.XLOOKUP($S18:$AL18,增益!$A:$A,增益!$E:$E,0))</f>
        <v>0</v>
      </c>
      <c r="AT18" cm="1">
        <f t="array" ref="AT18">$D$10*(1+$AS18)+VLOOKUP($R18,武学奇术!$A:$ZZ,3,FALSE)+SUM(_xlfn.XLOOKUP($S18:$AL18,增益!$A:$A,增益!$C:$C,0))-$I$2</f>
        <v>4094.7</v>
      </c>
      <c r="AU18" cm="1">
        <f t="array" ref="AU18">$E$10*(1+$AS18)+VLOOKUP($R18,武学奇术!$A:$ZZ,4,FALSE)+SUM(_xlfn.XLOOKUP($S18:$AL18,增益!$A:$A,增益!$D:$D,0))-$I$2</f>
        <v>4094.7</v>
      </c>
      <c r="AV18" s="40" cm="1">
        <f t="array" ref="AV18">IF($F$10-$I$3+VLOOKUP($R18,武学奇术!$A:$ZZ,6,FALSE)+SUM(_xlfn.XLOOKUP($S18:$AL18,增益!$A:$A,增益!$F:$F,0))&gt;0,($F$10-$I$3+VLOOKUP($R18,武学奇术!$A:$ZZ,6,FALSE)+SUM(_xlfn.XLOOKUP($S18:$AL18,增益!$A:$A,增益!$F:$F,0)))/200,($F$10-$I$3+VLOOKUP($R18,武学奇术!$A:$ZZ,6,FALSE)+SUM(_xlfn.XLOOKUP($S18:$AL18,增益!$A:$A,增益!$F:$F,0)))/100)</f>
        <v>0.4184</v>
      </c>
      <c r="AW18" s="40" cm="1">
        <f t="array" ref="AW18">$G$10+VLOOKUP($R18,武学奇术!$A:$ZZ,7,FALSE)+SUM(_xlfn.XLOOKUP($S18:$AL18,增益!$A:$A,增益!$G:$G,0))</f>
        <v>0.14</v>
      </c>
      <c r="AX18" s="33" cm="1">
        <f t="array" ref="AX18">VLOOKUP($R18,武学奇术!$A:$ZZ,8,FALSE)+SUM(_xlfn.XLOOKUP($S18:$AL18,增益!$A:$A,增益!$H:$H,0))</f>
        <v>0</v>
      </c>
      <c r="AY18">
        <f t="shared" si="2"/>
        <v>0</v>
      </c>
      <c r="AZ18">
        <f t="shared" si="3"/>
        <v>0</v>
      </c>
      <c r="BA18" s="40" cm="1">
        <f t="array" ref="BA18">IF($F$11-$I$4+VLOOKUP($R18,武学奇术!$A:$ZZ,9,FALSE)+SUM(_xlfn.XLOOKUP($S18:$AL18,增益!$A:$A,增益!$I:$I,0))&gt;0,($F$11-$I$4+VLOOKUP($R18,武学奇术!$A:$ZZ,9,FALSE)+SUM(_xlfn.XLOOKUP($S18:$AL18,增益!$A:$A,增益!$I:$I,0)))/200,($F$11-$I$4+VLOOKUP($R18,武学奇术!$A:$ZZ,9,FALSE)+SUM(_xlfn.XLOOKUP($S18:$AL18,增益!$A:$A,增益!$I:$I,0)))/100)</f>
        <v>-0.14</v>
      </c>
      <c r="BB18" s="40" cm="1">
        <f t="array" ref="BB18">$G$11+VLOOKUP($R18,武学奇术!$A:$ZZ,10,FALSE)+SUM(_xlfn.XLOOKUP($S18:$AL18,增益!$A:$A,增益!$J:$J,0))</f>
        <v>0.02</v>
      </c>
      <c r="BC18">
        <f t="shared" si="4"/>
        <v>640.3</v>
      </c>
      <c r="BD18">
        <f t="shared" si="5"/>
        <v>1770.1</v>
      </c>
      <c r="BE18" s="40" cm="1">
        <f t="array" ref="BE18">IF($F$12-$I$4+VLOOKUP($R18,武学奇术!$A:$ZZ,11,FALSE)+SUM(_xlfn.XLOOKUP($S18:$AL18,增益!$A:$A,增益!$K:$K,0))&gt;0,($F$12-$I$4+VLOOKUP($R18,武学奇术!$A:$ZZ,11,FALSE)+SUM(_xlfn.XLOOKUP($S18:$AL18,增益!$A:$A,增益!$K:$K,0)))/200,($F$12-$I$4+VLOOKUP($R18,武学奇术!$A:$ZZ,11,FALSE)+SUM(_xlfn.XLOOKUP($S18:$AL18,增益!$A:$A,增益!$K:$K,0)))/100)</f>
        <v>0.17</v>
      </c>
      <c r="BF18" s="40" cm="1">
        <f t="array" ref="BF18">$G$12+VLOOKUP($R18,武学奇术!$A:$ZZ,12,FALSE)+SUM(_xlfn.XLOOKUP($S18:$AL18,增益!$A:$A,增益!$L:$L,0))</f>
        <v>0.29</v>
      </c>
      <c r="BG18">
        <f t="shared" si="6"/>
        <v>0</v>
      </c>
      <c r="BH18">
        <f t="shared" si="7"/>
        <v>0</v>
      </c>
      <c r="BI18" s="40" cm="1">
        <f t="array" ref="BI18">IF($F$13-$I$4+VLOOKUP($R18,武学奇术!$A:$ZZ,13,FALSE)+SUM(_xlfn.XLOOKUP($S18:$AL18,增益!$A:$A,增益!$M:$M,0))&gt;0,($F$13-$I$4+VLOOKUP($R18,武学奇术!$A:$ZZ,13,FALSE)+SUM(_xlfn.XLOOKUP($S18:$AL18,增益!$A:$A,增益!$K:$K,0)))/200,($F$13-$I$4+VLOOKUP($R18,武学奇术!$A:$ZZ,13,FALSE)+SUM(_xlfn.XLOOKUP($S18:$AL18,增益!$A:$A,增益!$M:$M,0)))/100)</f>
        <v>-0.14</v>
      </c>
      <c r="BJ18" s="40" cm="1">
        <f t="array" ref="BJ18">$G$13+VLOOKUP($R18,武学奇术!$A:$ZZ,14,FALSE)+SUM(_xlfn.XLOOKUP($S18:$AL18,增益!$A:$A,增益!$N:$N,0))</f>
        <v>0.02</v>
      </c>
      <c r="BK18">
        <f t="shared" si="8"/>
        <v>0</v>
      </c>
      <c r="BL18">
        <f t="shared" si="9"/>
        <v>0</v>
      </c>
      <c r="BM18" s="40" cm="1">
        <f t="array" ref="BM18">IF($F$14-$I$4+VLOOKUP($R18,武学奇术!$A:$ZZ,15,FALSE)+SUM(_xlfn.XLOOKUP($S18:$AL18,增益!$A:$A,增益!$O:$O,0))&gt;0,($F$14-$I$4+VLOOKUP($R18,武学奇术!$A:$ZZ,15,FALSE)+SUM(_xlfn.XLOOKUP($S18:$AL18,增益!$A:$A,增益!$O:$O,0)))/200,($F$14-$I$4+VLOOKUP($R18,武学奇术!$A:$ZZ,15,FALSE)+SUM(_xlfn.XLOOKUP($S18:$AL18,增益!$A:$A,增益!$O:$O,0)))/100)</f>
        <v>-0.14</v>
      </c>
      <c r="BN18" s="40" cm="1">
        <f t="array" ref="BN18">$G$14+VLOOKUP($R18,武学奇术!$A:$ZZ,16,FALSE)+SUM(_xlfn.XLOOKUP($S18:$AL18,增益!$A:$A,增益!$P:$P,0))</f>
        <v>0.02</v>
      </c>
      <c r="BO18" s="33">
        <f>MIN(IF(VLOOKUP($R18,武学奇术!$A:$ZZ,23,FALSE)=1,100%,$B$8),100%)</f>
        <v>0.9771</v>
      </c>
      <c r="BP18" s="33" cm="1">
        <f t="array" ref="BP18">IF(VLOOKUP($R18,武学奇术!$A:$ZZ,23,FALSE)=1,100%,MIN(80%,$B$9+VLOOKUP($R18,武学奇术!$A:$ZZ,17,FALSE)+SUM(_xlfn.XLOOKUP($S18:$AL18,增益!$A:$A,增益!$Q:$Q,0)))+$B$11+SUM(_xlfn.XLOOKUP($S18:$AL18,增益!$A:$A,增益!$U:$U,0)))*IF(VLOOKUP($R18,武学奇术!$A:$ZZ,24,FALSE)=1,0,1)</f>
        <v>0.8861</v>
      </c>
      <c r="BQ18" s="33" cm="1">
        <f t="array" ref="BQ18">1+$B$13+VLOOKUP($R18,武学奇术!$A:$ZZ,18,FALSE)+SUM(_xlfn.XLOOKUP($S18:$AL18,增益!$A:$A,增益!$R:$R,0))</f>
        <v>1.92</v>
      </c>
      <c r="BR18" s="33" cm="1">
        <f t="array" ref="BR18">IF(VLOOKUP($R18,武学奇术!$A:$ZZ,24,FALSE)=1,100%,MIN(40%,$B$10+VLOOKUP($R18,武学奇术!$A:$ZZ,19,FALSE)+SUM(_xlfn.XLOOKUP($S18:$AL18,增益!$A:$A,增益!$S:$S,0)))+$B$12+SUM(_xlfn.XLOOKUP($S18:$AL18,增益!$A:$A,增益!$V:$V,0)))*IF(VLOOKUP($R18,武学奇术!$A:$ZZ,23,FALSE)=1,0,1)</f>
        <v>0.0913</v>
      </c>
      <c r="BS18" s="33" cm="1">
        <f t="array" ref="BS18">1+$B$14+VLOOKUP($R18,武学奇术!$A:$ZZ,20,FALSE)+SUM(_xlfn.XLOOKUP($S18:$AL18,增益!$A:$A,增益!$T:$T,0))</f>
        <v>1.35</v>
      </c>
      <c r="BT18" s="33">
        <f t="shared" si="10"/>
        <v>0.86580831</v>
      </c>
      <c r="BU18" s="33">
        <f t="shared" si="11"/>
        <v>0.02208246</v>
      </c>
      <c r="BV18" s="33">
        <f>IF(VLOOKUP($R18,武学奇术!$A:$ZZ,22,FALSE)=1,0,(1-$BO18))*(1-$BR18)</f>
        <v>0.02080923</v>
      </c>
      <c r="BW18" s="33" cm="1">
        <f t="array" ref="BW18">SUM(_xlfn.XLOOKUP($S18:$AL18,增益!$A:$A,增益!$W:$W,0))+$I$5</f>
        <v>0.11</v>
      </c>
      <c r="BX18" s="33" cm="1">
        <f t="array" ref="BX18">VLOOKUP($R18,武学奇术!$A:$ZZ,32,FALSE)+SUM(_xlfn.XLOOKUP($S18:$AL18,增益!$A:$A,增益!$X:$X,0))</f>
        <v>0</v>
      </c>
    </row>
    <row r="19" ht="14.25" spans="1:76">
      <c r="A19" s="49" t="s">
        <v>143</v>
      </c>
      <c r="B19" s="78">
        <v>0</v>
      </c>
      <c r="H19" s="79"/>
      <c r="I19" s="86"/>
      <c r="J19" s="98"/>
      <c r="K19" s="47"/>
      <c r="L19" s="46">
        <f t="shared" si="0"/>
        <v>45110.8193661736</v>
      </c>
      <c r="M19" s="46">
        <f>((($AT19+$AU19)/2*$AN19+$AO19)*(1+$AV19)*(1+$AW19)+(($AY19+$AZ19)/2*IF($G$1="鸣金",$AP19,$AN19)+IF($G$1="鸣金",$AQ19*1.5,0))*(1+$BA19)*(1+$BB19)+(($BC19+$BD19)/2*IF($G$1="裂石",$AP19,$AN19)+IF($G$1="裂石",$AQ19*1.5,0))*(1+$BE19)*(1+$BF19)+(($BG19+$BH19)/2*IF($G$1="牵丝",$AP19,$AN19)+IF($G$1="牵丝",$AQ19*1.5,0))*(1+$BI19)*(1+$BJ19)+(($BK19+$BL19)/2*IF($G$1="破竹",$AP19,$AN19)+IF($G$1="破竹",$AQ19*1.5,0))*(1+$BM19)*(1+$BN19))*(1+$AR19)*$BQ19*$Q19*(1+IF(VLOOKUP($R19,武学奇术!$A:$ZZ,30,FALSE)="蓄力技",$B$21,0))*(1+IF(VLOOKUP($R19,武学奇术!$A:$ZZ,30,FALSE)="派生技",$B$20,0))*(1+$BW19)*(1+$BX19)</f>
        <v>45110.8193661736</v>
      </c>
      <c r="N19" s="46">
        <f>(($AU19*$AN19+$AO19)*(1+$AV19)*(1+$AW19)+($AZ19*IF($G$1="鸣金",$AP19,$AN19)+IF($G$1="鸣金",$AQ19*1.5,0))*(1+$BA19)*(1+$BB19)+($BD19*IF($G$1="裂石",$AP19,$AN19)+IF($G$1="裂石",$AQ19*1.5,0))*(1+$BE19)*(1+$BF19)+($BH19*IF($G$1="牵丝",$AP19,$AN19)+IF($G$1="牵丝",$AQ19*1.5,0))*(1+$BI19)*(1+$BJ19)+($BL19*IF($G$1="破竹",$AP19,$AN19)+IF($G$1="破竹",$AQ19*1.5,0))*(1+$BM19)*(1+$BN19))*(1+$AR19)*$BS19*$Q19*(1+IF(VLOOKUP($R19,武学奇术!$A:$ZZ,30,FALSE)="蓄力技",$B$21,0))*(1+IF(VLOOKUP($R19,武学奇术!$A:$ZZ,30,FALSE)="派生技",$B$20,0))*(1+$BW19)*(1+$BX19)</f>
        <v>34272.2479538682</v>
      </c>
      <c r="O19" s="46">
        <f>((($AT19+$AU19)/2*$AN19+$AO19)*(1+$AV19)*(1+$AW19)+(($AY19+$AZ19)/2*IF($G$1="鸣金",$AP19,$AN19)+IF($G$1="鸣金",$AQ19*1.5,0))*(1+$BA19)*(1+$BB19)+(($BC19+$BD19)/2*IF($G$1="裂石",$AP19,$AN19)+IF($G$1="裂石",$AQ19*1.5,0))*(1+$BE19)*(1+$BF19)+(($BG19+$BH19)/2*IF($G$1="牵丝",$AP19,$AN19)+IF($G$1="牵丝",$AQ19*1.5,0))*(1+$BI19)*(1+$BJ19)+(($BK19+$BL19)/2*IF($G$1="破竹",$AP19,$AN19)+IF($G$1="破竹",$AQ19*1.5,0))*(1+$BM19)*(1+$BN19))*(1+$AR19)*$Q19*(1+IF(VLOOKUP($R19,武学奇术!$A:$ZZ,30,FALSE)="蓄力技",$B$21,0))*(1+IF(VLOOKUP($R19,武学奇术!$A:$ZZ,30,FALSE)="派生技",$B$20,0))*(1+$BW19)*(1+$BX19)</f>
        <v>22332.0887951355</v>
      </c>
      <c r="P19" s="46">
        <f>((($AT19*$AN19+$AO19)*(1+$AV19)*(1+$AW19)+($AY19*IF($G$1="鸣金",$AP19,$AN19)+IF($G$1="鸣金",$AQ19*1.5,0))*(1+$BA19)*(1+$BB19)+($BC19*IF($G$1="裂石",$AP19,$AN19)+IF($G$1="裂石",$AQ19*1.5,0))*(1+$BE19)*(1+$BF19)+($BG19*IF($G$1="牵丝",$AP19,$AN19)+IF($G$1="牵丝",$AQ19*1.5,0))*(1+$BI19)*(1+$BJ19)+($BK19*IF($G$1="破竹",$AP19,$AN19)+IF($G$1="破竹",$AQ19*1.5,0))*(1+$BM19)*(1+$BN19))*(1+$AR19))*$Q19*(1+IF(VLOOKUP($R19,武学奇术!$A:$ZZ,30,FALSE)="蓄力技",$B$21,0))*(1+IF(VLOOKUP($R19,武学奇术!$A:$ZZ,30,FALSE)="派生技",$B$20,0))*(1+$BW19)*(1+$BX19)</f>
        <v>19277.3272540723</v>
      </c>
      <c r="Q19" s="47">
        <f t="shared" ref="Q19:Q28" si="12">IF($E$24="陌刀",1,0)</f>
        <v>1</v>
      </c>
      <c r="R19" s="48" t="s">
        <v>144</v>
      </c>
      <c r="S19" s="48" t="s">
        <v>88</v>
      </c>
      <c r="T19" s="48" t="s">
        <v>89</v>
      </c>
      <c r="U19" s="48" t="s">
        <v>79</v>
      </c>
      <c r="V19" s="48" t="s">
        <v>90</v>
      </c>
      <c r="W19" s="48" t="s">
        <v>141</v>
      </c>
      <c r="X19" s="48" t="s">
        <v>145</v>
      </c>
      <c r="Y19" s="48" t="s">
        <v>74</v>
      </c>
      <c r="Z19" s="48" t="s">
        <v>142</v>
      </c>
      <c r="AA19" s="48" t="s">
        <v>80</v>
      </c>
      <c r="AB19" s="48" t="s">
        <v>80</v>
      </c>
      <c r="AC19" s="48" t="s">
        <v>80</v>
      </c>
      <c r="AD19" s="48" t="s">
        <v>80</v>
      </c>
      <c r="AE19" s="48" t="s">
        <v>82</v>
      </c>
      <c r="AF19" s="48" t="s">
        <v>83</v>
      </c>
      <c r="AG19" s="48" t="s">
        <v>84</v>
      </c>
      <c r="AH19" s="48" t="s">
        <v>80</v>
      </c>
      <c r="AI19" s="48" t="s">
        <v>80</v>
      </c>
      <c r="AJ19" s="48" t="s">
        <v>80</v>
      </c>
      <c r="AK19" s="48" t="s">
        <v>80</v>
      </c>
      <c r="AL19" s="48" t="s">
        <v>85</v>
      </c>
      <c r="AM19" t="str">
        <f>VLOOKUP($R19,武学奇术!$A:$ZZ,25,FALSE)</f>
        <v>陌刀</v>
      </c>
      <c r="AN19" s="33">
        <f>VLOOKUP($R19,武学奇术!$A:$ZZ,26,FALSE)</f>
        <v>0.945</v>
      </c>
      <c r="AO19" s="34">
        <f>VLOOKUP($R19,武学奇术!$A:$ZZ,27,FALSE)*(1+IF(OR($AM19=$F$4,$AM19=$F$5),$B$22,0))</f>
        <v>0</v>
      </c>
      <c r="AP19" s="33">
        <f>VLOOKUP($R19,武学奇术!$A:$ZZ,28,FALSE)</f>
        <v>1.4175</v>
      </c>
      <c r="AQ19" s="34">
        <f>VLOOKUP($R19,武学奇术!$A:$ZZ,29,FALSE)*(1+IF(OR($AM19=$F$4,$AM19=$F$5),$B$22,0))</f>
        <v>0</v>
      </c>
      <c r="AR19" s="33" cm="1">
        <f t="array" ref="AR19">$G$3+IFERROR(VLOOKUP($AM19,$F$4:$G$7,2,FALSE),0)+VLOOKUP($R19,武学奇术!$A:$ZZ,2,FALSE)+SUM(_xlfn.XLOOKUP($S19:$AL19,增益!$A:$A,增益!$B:$B,0))</f>
        <v>0.7243</v>
      </c>
      <c r="AS19" s="33" cm="1">
        <f t="array" ref="AS19">VLOOKUP($R19,武学奇术!$A:$ZZ,5,FALSE)+SUM(_xlfn.XLOOKUP($S19:$AL19,增益!$A:$A,增益!$E:$E,0))</f>
        <v>0</v>
      </c>
      <c r="AT19" cm="1">
        <f t="array" ref="AT19">$D$10*(1+$AS19)+VLOOKUP($R19,武学奇术!$A:$ZZ,3,FALSE)+SUM(_xlfn.XLOOKUP($S19:$AL19,增益!$A:$A,增益!$C:$C,0))-$I$2</f>
        <v>4094.7</v>
      </c>
      <c r="AU19" cm="1">
        <f t="array" ref="AU19">$E$10*(1+$AS19)+VLOOKUP($R19,武学奇术!$A:$ZZ,4,FALSE)+SUM(_xlfn.XLOOKUP($S19:$AL19,增益!$A:$A,增益!$D:$D,0))-$I$2</f>
        <v>4094.7</v>
      </c>
      <c r="AV19" s="40" cm="1">
        <f t="array" ref="AV19">IF($F$10-$I$3+VLOOKUP($R19,武学奇术!$A:$ZZ,6,FALSE)+SUM(_xlfn.XLOOKUP($S19:$AL19,增益!$A:$A,增益!$F:$F,0))&gt;0,($F$10-$I$3+VLOOKUP($R19,武学奇术!$A:$ZZ,6,FALSE)+SUM(_xlfn.XLOOKUP($S19:$AL19,增益!$A:$A,增益!$F:$F,0)))/200,($F$10-$I$3+VLOOKUP($R19,武学奇术!$A:$ZZ,6,FALSE)+SUM(_xlfn.XLOOKUP($S19:$AL19,增益!$A:$A,增益!$F:$F,0)))/100)</f>
        <v>0.4184</v>
      </c>
      <c r="AW19" s="40" cm="1">
        <f t="array" ref="AW19">$G$10+VLOOKUP($R19,武学奇术!$A:$ZZ,7,FALSE)+SUM(_xlfn.XLOOKUP($S19:$AL19,增益!$A:$A,增益!$G:$G,0))</f>
        <v>0.14</v>
      </c>
      <c r="AX19" s="33" cm="1">
        <f t="array" ref="AX19">VLOOKUP($R19,武学奇术!$A:$ZZ,8,FALSE)+SUM(_xlfn.XLOOKUP($S19:$AL19,增益!$A:$A,增益!$H:$H,0))</f>
        <v>0</v>
      </c>
      <c r="AY19">
        <f t="shared" si="2"/>
        <v>0</v>
      </c>
      <c r="AZ19">
        <f t="shared" si="3"/>
        <v>0</v>
      </c>
      <c r="BA19" s="40" cm="1">
        <f t="array" ref="BA19">IF($F$11-$I$4+VLOOKUP($R19,武学奇术!$A:$ZZ,9,FALSE)+SUM(_xlfn.XLOOKUP($S19:$AL19,增益!$A:$A,增益!$I:$I,0))&gt;0,($F$11-$I$4+VLOOKUP($R19,武学奇术!$A:$ZZ,9,FALSE)+SUM(_xlfn.XLOOKUP($S19:$AL19,增益!$A:$A,增益!$I:$I,0)))/200,($F$11-$I$4+VLOOKUP($R19,武学奇术!$A:$ZZ,9,FALSE)+SUM(_xlfn.XLOOKUP($S19:$AL19,增益!$A:$A,增益!$I:$I,0)))/100)</f>
        <v>-0.14</v>
      </c>
      <c r="BB19" s="40" cm="1">
        <f t="array" ref="BB19">$G$11+VLOOKUP($R19,武学奇术!$A:$ZZ,10,FALSE)+SUM(_xlfn.XLOOKUP($S19:$AL19,增益!$A:$A,增益!$J:$J,0))</f>
        <v>0.02</v>
      </c>
      <c r="BC19">
        <f t="shared" si="4"/>
        <v>640.3</v>
      </c>
      <c r="BD19">
        <f t="shared" si="5"/>
        <v>1770.1</v>
      </c>
      <c r="BE19" s="40" cm="1">
        <f t="array" ref="BE19">IF($F$12-$I$4+VLOOKUP($R19,武学奇术!$A:$ZZ,11,FALSE)+SUM(_xlfn.XLOOKUP($S19:$AL19,增益!$A:$A,增益!$K:$K,0))&gt;0,($F$12-$I$4+VLOOKUP($R19,武学奇术!$A:$ZZ,11,FALSE)+SUM(_xlfn.XLOOKUP($S19:$AL19,增益!$A:$A,增益!$K:$K,0)))/200,($F$12-$I$4+VLOOKUP($R19,武学奇术!$A:$ZZ,11,FALSE)+SUM(_xlfn.XLOOKUP($S19:$AL19,增益!$A:$A,增益!$K:$K,0)))/100)</f>
        <v>0.17</v>
      </c>
      <c r="BF19" s="40" cm="1">
        <f t="array" ref="BF19">$G$12+VLOOKUP($R19,武学奇术!$A:$ZZ,12,FALSE)+SUM(_xlfn.XLOOKUP($S19:$AL19,增益!$A:$A,增益!$L:$L,0))</f>
        <v>0.29</v>
      </c>
      <c r="BG19">
        <f t="shared" si="6"/>
        <v>0</v>
      </c>
      <c r="BH19">
        <f t="shared" si="7"/>
        <v>0</v>
      </c>
      <c r="BI19" s="40" cm="1">
        <f t="array" ref="BI19">IF($F$13-$I$4+VLOOKUP($R19,武学奇术!$A:$ZZ,13,FALSE)+SUM(_xlfn.XLOOKUP($S19:$AL19,增益!$A:$A,增益!$M:$M,0))&gt;0,($F$13-$I$4+VLOOKUP($R19,武学奇术!$A:$ZZ,13,FALSE)+SUM(_xlfn.XLOOKUP($S19:$AL19,增益!$A:$A,增益!$K:$K,0)))/200,($F$13-$I$4+VLOOKUP($R19,武学奇术!$A:$ZZ,13,FALSE)+SUM(_xlfn.XLOOKUP($S19:$AL19,增益!$A:$A,增益!$M:$M,0)))/100)</f>
        <v>-0.14</v>
      </c>
      <c r="BJ19" s="40" cm="1">
        <f t="array" ref="BJ19">$G$13+VLOOKUP($R19,武学奇术!$A:$ZZ,14,FALSE)+SUM(_xlfn.XLOOKUP($S19:$AL19,增益!$A:$A,增益!$N:$N,0))</f>
        <v>0.02</v>
      </c>
      <c r="BK19">
        <f t="shared" si="8"/>
        <v>0</v>
      </c>
      <c r="BL19">
        <f t="shared" si="9"/>
        <v>0</v>
      </c>
      <c r="BM19" s="40" cm="1">
        <f t="array" ref="BM19">IF($F$14-$I$4+VLOOKUP($R19,武学奇术!$A:$ZZ,15,FALSE)+SUM(_xlfn.XLOOKUP($S19:$AL19,增益!$A:$A,增益!$O:$O,0))&gt;0,($F$14-$I$4+VLOOKUP($R19,武学奇术!$A:$ZZ,15,FALSE)+SUM(_xlfn.XLOOKUP($S19:$AL19,增益!$A:$A,增益!$O:$O,0)))/200,($F$14-$I$4+VLOOKUP($R19,武学奇术!$A:$ZZ,15,FALSE)+SUM(_xlfn.XLOOKUP($S19:$AL19,增益!$A:$A,增益!$O:$O,0)))/100)</f>
        <v>-0.14</v>
      </c>
      <c r="BN19" s="40" cm="1">
        <f t="array" ref="BN19">$G$14+VLOOKUP($R19,武学奇术!$A:$ZZ,16,FALSE)+SUM(_xlfn.XLOOKUP($S19:$AL19,增益!$A:$A,增益!$P:$P,0))</f>
        <v>0.02</v>
      </c>
      <c r="BO19" s="33">
        <f>MIN(IF(VLOOKUP($R19,武学奇术!$A:$ZZ,23,FALSE)=1,100%,$B$8),100%)</f>
        <v>1</v>
      </c>
      <c r="BP19" s="33" cm="1">
        <f t="array" ref="BP19">IF(VLOOKUP($R19,武学奇术!$A:$ZZ,23,FALSE)=1,100%,MIN(80%,$B$9+VLOOKUP($R19,武学奇术!$A:$ZZ,17,FALSE)+SUM(_xlfn.XLOOKUP($S19:$AL19,增益!$A:$A,增益!$Q:$Q,0)))+$B$11+SUM(_xlfn.XLOOKUP($S19:$AL19,增益!$A:$A,增益!$U:$U,0)))*IF(VLOOKUP($R19,武学奇术!$A:$ZZ,24,FALSE)=1,0,1)</f>
        <v>1</v>
      </c>
      <c r="BQ19" s="33" cm="1">
        <f t="array" ref="BQ19">1+$B$13+VLOOKUP($R19,武学奇术!$A:$ZZ,18,FALSE)+SUM(_xlfn.XLOOKUP($S19:$AL19,增益!$A:$A,增益!$R:$R,0))</f>
        <v>2.02</v>
      </c>
      <c r="BR19" s="33" cm="1">
        <f t="array" ref="BR19">IF(VLOOKUP($R19,武学奇术!$A:$ZZ,24,FALSE)=1,100%,MIN(40%,$B$10+VLOOKUP($R19,武学奇术!$A:$ZZ,19,FALSE)+SUM(_xlfn.XLOOKUP($S19:$AL19,增益!$A:$A,增益!$S:$S,0)))+$B$12+SUM(_xlfn.XLOOKUP($S19:$AL19,增益!$A:$A,增益!$V:$V,0)))*IF(VLOOKUP($R19,武学奇术!$A:$ZZ,23,FALSE)=1,0,1)</f>
        <v>0</v>
      </c>
      <c r="BS19" s="33" cm="1">
        <f t="array" ref="BS19">1+$B$14+VLOOKUP($R19,武学奇术!$A:$ZZ,20,FALSE)+SUM(_xlfn.XLOOKUP($S19:$AL19,增益!$A:$A,增益!$T:$T,0))</f>
        <v>1.35</v>
      </c>
      <c r="BT19" s="33">
        <f t="shared" si="10"/>
        <v>1</v>
      </c>
      <c r="BU19" s="33">
        <f t="shared" si="11"/>
        <v>0</v>
      </c>
      <c r="BV19" s="33">
        <f>IF(VLOOKUP($R19,武学奇术!$A:$ZZ,22,FALSE)=1,0,(1-$BO19))*(1-$BR19)</f>
        <v>0</v>
      </c>
      <c r="BW19" s="33" cm="1">
        <f t="array" ref="BW19">SUM(_xlfn.XLOOKUP($S19:$AL19,增益!$A:$A,增益!$W:$W,0))+$I$5</f>
        <v>0.11</v>
      </c>
      <c r="BX19" s="33" cm="1">
        <f t="array" ref="BX19">VLOOKUP($R19,武学奇术!$A:$ZZ,32,FALSE)+SUM(_xlfn.XLOOKUP($S19:$AL19,增益!$A:$A,增益!$X:$X,0))</f>
        <v>0</v>
      </c>
    </row>
    <row r="20" spans="1:76">
      <c r="A20" s="49" t="s">
        <v>146</v>
      </c>
      <c r="B20" s="78">
        <f>IF($E$24="唐刀",32.06%,0)</f>
        <v>0</v>
      </c>
      <c r="C20" s="47" t="s">
        <v>147</v>
      </c>
      <c r="D20" s="85" t="s">
        <v>129</v>
      </c>
      <c r="H20" s="75"/>
      <c r="I20" s="44"/>
      <c r="J20" s="45"/>
      <c r="K20" s="47"/>
      <c r="L20" s="46">
        <f t="shared" si="0"/>
        <v>405216.573420267</v>
      </c>
      <c r="M20" s="46">
        <f>((($AT20+$AU20)/2*$AN20+$AO20)*(1+$AV20)*(1+$AW20)+(($AY20+$AZ20)/2*IF($G$1="鸣金",$AP20,$AN20)+IF($G$1="鸣金",$AQ20*1.5,0))*(1+$BA20)*(1+$BB20)+(($BC20+$BD20)/2*IF($G$1="裂石",$AP20,$AN20)+IF($G$1="裂石",$AQ20*1.5,0))*(1+$BE20)*(1+$BF20)+(($BG20+$BH20)/2*IF($G$1="牵丝",$AP20,$AN20)+IF($G$1="牵丝",$AQ20*1.5,0))*(1+$BI20)*(1+$BJ20)+(($BK20+$BL20)/2*IF($G$1="破竹",$AP20,$AN20)+IF($G$1="破竹",$AQ20*1.5,0))*(1+$BM20)*(1+$BN20))*(1+$AR20)*$BQ20*$Q20*(1+IF(VLOOKUP($R20,武学奇术!$A:$ZZ,30,FALSE)="蓄力技",$B$21,0))*(1+IF(VLOOKUP($R20,武学奇术!$A:$ZZ,30,FALSE)="派生技",$B$20,0))*(1+$BW20)*(1+$BX20)</f>
        <v>405216.573420267</v>
      </c>
      <c r="N20" s="46">
        <f>(($AU20*$AN20+$AO20)*(1+$AV20)*(1+$AW20)+($AZ20*IF($G$1="鸣金",$AP20,$AN20)+IF($G$1="鸣金",$AQ20*1.5,0))*(1+$BA20)*(1+$BB20)+($BD20*IF($G$1="裂石",$AP20,$AN20)+IF($G$1="裂石",$AQ20*1.5,0))*(1+$BE20)*(1+$BF20)+($BH20*IF($G$1="牵丝",$AP20,$AN20)+IF($G$1="牵丝",$AQ20*1.5,0))*(1+$BI20)*(1+$BJ20)+($BL20*IF($G$1="破竹",$AP20,$AN20)+IF($G$1="破竹",$AQ20*1.5,0))*(1+$BM20)*(1+$BN20))*(1+$AR20)*$BS20*$Q20*(1+IF(VLOOKUP($R20,武学奇术!$A:$ZZ,30,FALSE)="蓄力技",$B$21,0))*(1+IF(VLOOKUP($R20,武学奇术!$A:$ZZ,30,FALSE)="派生技",$B$20,0))*(1+$BW20)*(1+$BX20)</f>
        <v>303454.022764632</v>
      </c>
      <c r="O20" s="46">
        <f>((($AT20+$AU20)/2*$AN20+$AO20)*(1+$AV20)*(1+$AW20)+(($AY20+$AZ20)/2*IF($G$1="鸣金",$AP20,$AN20)+IF($G$1="鸣金",$AQ20*1.5,0))*(1+$BA20)*(1+$BB20)+(($BC20+$BD20)/2*IF($G$1="裂石",$AP20,$AN20)+IF($G$1="裂石",$AQ20*1.5,0))*(1+$BE20)*(1+$BF20)+(($BG20+$BH20)/2*IF($G$1="牵丝",$AP20,$AN20)+IF($G$1="牵丝",$AQ20*1.5,0))*(1+$BI20)*(1+$BJ20)+(($BK20+$BL20)/2*IF($G$1="破竹",$AP20,$AN20)+IF($G$1="破竹",$AQ20*1.5,0))*(1+$BM20)*(1+$BN20))*(1+$AR20)*$Q20*(1+IF(VLOOKUP($R20,武学奇术!$A:$ZZ,30,FALSE)="蓄力技",$B$21,0))*(1+IF(VLOOKUP($R20,武学奇术!$A:$ZZ,30,FALSE)="派生技",$B$20,0))*(1+$BW20)*(1+$BX20)</f>
        <v>200602.264069439</v>
      </c>
      <c r="P20" s="46">
        <f>((($AT20*$AN20+$AO20)*(1+$AV20)*(1+$AW20)+($AY20*IF($G$1="鸣金",$AP20,$AN20)+IF($G$1="鸣金",$AQ20*1.5,0))*(1+$BA20)*(1+$BB20)+($BC20*IF($G$1="裂石",$AP20,$AN20)+IF($G$1="裂石",$AQ20*1.5,0))*(1+$BE20)*(1+$BF20)+($BG20*IF($G$1="牵丝",$AP20,$AN20)+IF($G$1="牵丝",$AQ20*1.5,0))*(1+$BI20)*(1+$BJ20)+($BK20*IF($G$1="破竹",$AP20,$AN20)+IF($G$1="破竹",$AQ20*1.5,0))*(1+$BM20)*(1+$BN20))*(1+$AR20))*$Q20*(1+IF(VLOOKUP($R20,武学奇术!$A:$ZZ,30,FALSE)="蓄力技",$B$21,0))*(1+IF(VLOOKUP($R20,武学奇术!$A:$ZZ,30,FALSE)="派生技",$B$20,0))*(1+$BW20)*(1+$BX20)</f>
        <v>176423.770535447</v>
      </c>
      <c r="Q20" s="47">
        <f t="shared" si="12"/>
        <v>1</v>
      </c>
      <c r="R20" s="48" t="s">
        <v>148</v>
      </c>
      <c r="S20" s="48" t="s">
        <v>88</v>
      </c>
      <c r="T20" s="48" t="s">
        <v>89</v>
      </c>
      <c r="U20" s="48" t="s">
        <v>79</v>
      </c>
      <c r="V20" s="48" t="s">
        <v>90</v>
      </c>
      <c r="W20" s="48" t="s">
        <v>141</v>
      </c>
      <c r="X20" s="48" t="s">
        <v>145</v>
      </c>
      <c r="Y20" s="48" t="s">
        <v>74</v>
      </c>
      <c r="Z20" s="48" t="s">
        <v>149</v>
      </c>
      <c r="AA20" s="48" t="s">
        <v>80</v>
      </c>
      <c r="AB20" s="48" t="s">
        <v>80</v>
      </c>
      <c r="AC20" s="48" t="s">
        <v>80</v>
      </c>
      <c r="AD20" s="48" t="s">
        <v>80</v>
      </c>
      <c r="AE20" s="48" t="s">
        <v>82</v>
      </c>
      <c r="AF20" s="48" t="s">
        <v>83</v>
      </c>
      <c r="AG20" s="48" t="s">
        <v>84</v>
      </c>
      <c r="AH20" s="48" t="s">
        <v>80</v>
      </c>
      <c r="AI20" s="48" t="s">
        <v>80</v>
      </c>
      <c r="AJ20" s="48" t="s">
        <v>80</v>
      </c>
      <c r="AK20" s="48" t="s">
        <v>80</v>
      </c>
      <c r="AL20" s="48" t="s">
        <v>85</v>
      </c>
      <c r="AM20" t="str">
        <f>VLOOKUP($R20,武学奇术!$A:$ZZ,25,FALSE)</f>
        <v>陌刀</v>
      </c>
      <c r="AN20" s="33">
        <f>VLOOKUP($R20,武学奇术!$A:$ZZ,26,FALSE)</f>
        <v>7.5674</v>
      </c>
      <c r="AO20" s="34">
        <f>VLOOKUP($R20,武学奇术!$A:$ZZ,27,FALSE)*(1+IF(OR($AM20=$F$4,$AM20=$F$5),$B$22,0))</f>
        <v>3348.8</v>
      </c>
      <c r="AP20" s="33">
        <f>VLOOKUP($R20,武学奇术!$A:$ZZ,28,FALSE)</f>
        <v>11.3512</v>
      </c>
      <c r="AQ20" s="34">
        <f>VLOOKUP($R20,武学奇术!$A:$ZZ,29,FALSE)*(1+IF(OR($AM20=$F$4,$AM20=$F$5),$B$22,0))</f>
        <v>1824</v>
      </c>
      <c r="AR20" s="33" cm="1">
        <f t="array" ref="AR20">$G$3+IFERROR(VLOOKUP($AM20,$F$4:$G$7,2,FALSE),0)+VLOOKUP($R20,武学奇术!$A:$ZZ,2,FALSE)+SUM(_xlfn.XLOOKUP($S20:$AL20,增益!$A:$A,增益!$B:$B,0))</f>
        <v>0.7043</v>
      </c>
      <c r="AS20" s="33" cm="1">
        <f t="array" ref="AS20">VLOOKUP($R20,武学奇术!$A:$ZZ,5,FALSE)+SUM(_xlfn.XLOOKUP($S20:$AL20,增益!$A:$A,增益!$E:$E,0))</f>
        <v>0</v>
      </c>
      <c r="AT20" cm="1">
        <f t="array" ref="AT20">$D$10*(1+$AS20)+VLOOKUP($R20,武学奇术!$A:$ZZ,3,FALSE)+SUM(_xlfn.XLOOKUP($S20:$AL20,增益!$A:$A,增益!$C:$C,0))-$I$2</f>
        <v>4094.7</v>
      </c>
      <c r="AU20" cm="1">
        <f t="array" ref="AU20">$E$10*(1+$AS20)+VLOOKUP($R20,武学奇术!$A:$ZZ,4,FALSE)+SUM(_xlfn.XLOOKUP($S20:$AL20,增益!$A:$A,增益!$D:$D,0))-$I$2</f>
        <v>4094.7</v>
      </c>
      <c r="AV20" s="40" cm="1">
        <f t="array" ref="AV20">IF($F$10-$I$3+VLOOKUP($R20,武学奇术!$A:$ZZ,6,FALSE)+SUM(_xlfn.XLOOKUP($S20:$AL20,增益!$A:$A,增益!$F:$F,0))&gt;0,($F$10-$I$3+VLOOKUP($R20,武学奇术!$A:$ZZ,6,FALSE)+SUM(_xlfn.XLOOKUP($S20:$AL20,增益!$A:$A,增益!$F:$F,0)))/200,($F$10-$I$3+VLOOKUP($R20,武学奇术!$A:$ZZ,6,FALSE)+SUM(_xlfn.XLOOKUP($S20:$AL20,增益!$A:$A,增益!$F:$F,0)))/100)</f>
        <v>0.4184</v>
      </c>
      <c r="AW20" s="40" cm="1">
        <f t="array" ref="AW20">$G$10+VLOOKUP($R20,武学奇术!$A:$ZZ,7,FALSE)+SUM(_xlfn.XLOOKUP($S20:$AL20,增益!$A:$A,增益!$G:$G,0))</f>
        <v>0.14</v>
      </c>
      <c r="AX20" s="33" cm="1">
        <f t="array" ref="AX20">VLOOKUP($R20,武学奇术!$A:$ZZ,8,FALSE)+SUM(_xlfn.XLOOKUP($S20:$AL20,增益!$A:$A,增益!$H:$H,0))</f>
        <v>0</v>
      </c>
      <c r="AY20">
        <f t="shared" si="2"/>
        <v>0</v>
      </c>
      <c r="AZ20">
        <f t="shared" si="3"/>
        <v>0</v>
      </c>
      <c r="BA20" s="40" cm="1">
        <f t="array" ref="BA20">IF($F$11-$I$4+VLOOKUP($R20,武学奇术!$A:$ZZ,9,FALSE)+SUM(_xlfn.XLOOKUP($S20:$AL20,增益!$A:$A,增益!$I:$I,0))&gt;0,($F$11-$I$4+VLOOKUP($R20,武学奇术!$A:$ZZ,9,FALSE)+SUM(_xlfn.XLOOKUP($S20:$AL20,增益!$A:$A,增益!$I:$I,0)))/200,($F$11-$I$4+VLOOKUP($R20,武学奇术!$A:$ZZ,9,FALSE)+SUM(_xlfn.XLOOKUP($S20:$AL20,增益!$A:$A,增益!$I:$I,0)))/100)</f>
        <v>-0.14</v>
      </c>
      <c r="BB20" s="40" cm="1">
        <f t="array" ref="BB20">$G$11+VLOOKUP($R20,武学奇术!$A:$ZZ,10,FALSE)+SUM(_xlfn.XLOOKUP($S20:$AL20,增益!$A:$A,增益!$J:$J,0))</f>
        <v>0.02</v>
      </c>
      <c r="BC20">
        <f t="shared" si="4"/>
        <v>640.3</v>
      </c>
      <c r="BD20">
        <f t="shared" si="5"/>
        <v>1770.1</v>
      </c>
      <c r="BE20" s="40" cm="1">
        <f t="array" ref="BE20">IF($F$12-$I$4+VLOOKUP($R20,武学奇术!$A:$ZZ,11,FALSE)+SUM(_xlfn.XLOOKUP($S20:$AL20,增益!$A:$A,增益!$K:$K,0))&gt;0,($F$12-$I$4+VLOOKUP($R20,武学奇术!$A:$ZZ,11,FALSE)+SUM(_xlfn.XLOOKUP($S20:$AL20,增益!$A:$A,增益!$K:$K,0)))/200,($F$12-$I$4+VLOOKUP($R20,武学奇术!$A:$ZZ,11,FALSE)+SUM(_xlfn.XLOOKUP($S20:$AL20,增益!$A:$A,增益!$K:$K,0)))/100)</f>
        <v>0.17</v>
      </c>
      <c r="BF20" s="40" cm="1">
        <f t="array" ref="BF20">$G$12+VLOOKUP($R20,武学奇术!$A:$ZZ,12,FALSE)+SUM(_xlfn.XLOOKUP($S20:$AL20,增益!$A:$A,增益!$L:$L,0))</f>
        <v>0.29</v>
      </c>
      <c r="BG20">
        <f t="shared" si="6"/>
        <v>0</v>
      </c>
      <c r="BH20">
        <f t="shared" si="7"/>
        <v>0</v>
      </c>
      <c r="BI20" s="40" cm="1">
        <f t="array" ref="BI20">IF($F$13-$I$4+VLOOKUP($R20,武学奇术!$A:$ZZ,13,FALSE)+SUM(_xlfn.XLOOKUP($S20:$AL20,增益!$A:$A,增益!$M:$M,0))&gt;0,($F$13-$I$4+VLOOKUP($R20,武学奇术!$A:$ZZ,13,FALSE)+SUM(_xlfn.XLOOKUP($S20:$AL20,增益!$A:$A,增益!$K:$K,0)))/200,($F$13-$I$4+VLOOKUP($R20,武学奇术!$A:$ZZ,13,FALSE)+SUM(_xlfn.XLOOKUP($S20:$AL20,增益!$A:$A,增益!$M:$M,0)))/100)</f>
        <v>-0.14</v>
      </c>
      <c r="BJ20" s="40" cm="1">
        <f t="array" ref="BJ20">$G$13+VLOOKUP($R20,武学奇术!$A:$ZZ,14,FALSE)+SUM(_xlfn.XLOOKUP($S20:$AL20,增益!$A:$A,增益!$N:$N,0))</f>
        <v>0.02</v>
      </c>
      <c r="BK20">
        <f t="shared" si="8"/>
        <v>0</v>
      </c>
      <c r="BL20">
        <f t="shared" si="9"/>
        <v>0</v>
      </c>
      <c r="BM20" s="40" cm="1">
        <f t="array" ref="BM20">IF($F$14-$I$4+VLOOKUP($R20,武学奇术!$A:$ZZ,15,FALSE)+SUM(_xlfn.XLOOKUP($S20:$AL20,增益!$A:$A,增益!$O:$O,0))&gt;0,($F$14-$I$4+VLOOKUP($R20,武学奇术!$A:$ZZ,15,FALSE)+SUM(_xlfn.XLOOKUP($S20:$AL20,增益!$A:$A,增益!$O:$O,0)))/200,($F$14-$I$4+VLOOKUP($R20,武学奇术!$A:$ZZ,15,FALSE)+SUM(_xlfn.XLOOKUP($S20:$AL20,增益!$A:$A,增益!$O:$O,0)))/100)</f>
        <v>-0.14</v>
      </c>
      <c r="BN20" s="40" cm="1">
        <f t="array" ref="BN20">$G$14+VLOOKUP($R20,武学奇术!$A:$ZZ,16,FALSE)+SUM(_xlfn.XLOOKUP($S20:$AL20,增益!$A:$A,增益!$P:$P,0))</f>
        <v>0.02</v>
      </c>
      <c r="BO20" s="33">
        <f>MIN(IF(VLOOKUP($R20,武学奇术!$A:$ZZ,23,FALSE)=1,100%,$B$8),100%)</f>
        <v>1</v>
      </c>
      <c r="BP20" s="33" cm="1">
        <f t="array" ref="BP20">IF(VLOOKUP($R20,武学奇术!$A:$ZZ,23,FALSE)=1,100%,MIN(80%,$B$9+VLOOKUP($R20,武学奇术!$A:$ZZ,17,FALSE)+SUM(_xlfn.XLOOKUP($S20:$AL20,增益!$A:$A,增益!$Q:$Q,0)))+$B$11+SUM(_xlfn.XLOOKUP($S20:$AL20,增益!$A:$A,增益!$U:$U,0)))*IF(VLOOKUP($R20,武学奇术!$A:$ZZ,24,FALSE)=1,0,1)</f>
        <v>1</v>
      </c>
      <c r="BQ20" s="33" cm="1">
        <f t="array" ref="BQ20">1+$B$13+VLOOKUP($R20,武学奇术!$A:$ZZ,18,FALSE)+SUM(_xlfn.XLOOKUP($S20:$AL20,增益!$A:$A,增益!$R:$R,0))</f>
        <v>2.02</v>
      </c>
      <c r="BR20" s="33" cm="1">
        <f t="array" ref="BR20">IF(VLOOKUP($R20,武学奇术!$A:$ZZ,24,FALSE)=1,100%,MIN(40%,$B$10+VLOOKUP($R20,武学奇术!$A:$ZZ,19,FALSE)+SUM(_xlfn.XLOOKUP($S20:$AL20,增益!$A:$A,增益!$S:$S,0)))+$B$12+SUM(_xlfn.XLOOKUP($S20:$AL20,增益!$A:$A,增益!$V:$V,0)))*IF(VLOOKUP($R20,武学奇术!$A:$ZZ,23,FALSE)=1,0,1)</f>
        <v>0</v>
      </c>
      <c r="BS20" s="33" cm="1">
        <f t="array" ref="BS20">1+$B$14+VLOOKUP($R20,武学奇术!$A:$ZZ,20,FALSE)+SUM(_xlfn.XLOOKUP($S20:$AL20,增益!$A:$A,增益!$T:$T,0))</f>
        <v>1.35</v>
      </c>
      <c r="BT20" s="33">
        <f t="shared" si="10"/>
        <v>1</v>
      </c>
      <c r="BU20" s="33">
        <f t="shared" si="11"/>
        <v>0</v>
      </c>
      <c r="BV20" s="33">
        <f>IF(VLOOKUP($R20,武学奇术!$A:$ZZ,22,FALSE)=1,0,(1-$BO20))*(1-$BR20)</f>
        <v>0</v>
      </c>
      <c r="BW20" s="33" cm="1">
        <f t="array" ref="BW20">SUM(_xlfn.XLOOKUP($S20:$AL20,增益!$A:$A,增益!$W:$W,0))+$I$5</f>
        <v>0.11</v>
      </c>
      <c r="BX20" s="33" cm="1">
        <f t="array" ref="BX20">VLOOKUP($R20,武学奇术!$A:$ZZ,32,FALSE)+SUM(_xlfn.XLOOKUP($S20:$AL20,增益!$A:$A,增益!$X:$X,0))</f>
        <v>0</v>
      </c>
    </row>
    <row r="21" ht="14.25" spans="1:76">
      <c r="A21" s="93" t="s">
        <v>150</v>
      </c>
      <c r="B21" s="94">
        <f>IF($E$24="陌刀",32.06%,0)</f>
        <v>0.3206</v>
      </c>
      <c r="C21" s="47" t="s">
        <v>151</v>
      </c>
      <c r="D21" s="85" t="s">
        <v>152</v>
      </c>
      <c r="E21" s="47" t="s">
        <v>153</v>
      </c>
      <c r="F21" s="47"/>
      <c r="H21" s="79"/>
      <c r="I21" s="86"/>
      <c r="J21" s="98"/>
      <c r="K21" s="47"/>
      <c r="L21" s="46">
        <f t="shared" si="0"/>
        <v>25458.1702797599</v>
      </c>
      <c r="M21" s="46">
        <f>((($AT21+$AU21)/2*$AN21+$AO21)*(1+$AV21)*(1+$AW21)+(($AY21+$AZ21)/2*IF($G$1="鸣金",$AP21,$AN21)+IF($G$1="鸣金",$AQ21*1.5,0))*(1+$BA21)*(1+$BB21)+(($BC21+$BD21)/2*IF($G$1="裂石",$AP21,$AN21)+IF($G$1="裂石",$AQ21*1.5,0))*(1+$BE21)*(1+$BF21)+(($BG21+$BH21)/2*IF($G$1="牵丝",$AP21,$AN21)+IF($G$1="牵丝",$AQ21*1.5,0))*(1+$BI21)*(1+$BJ21)+(($BK21+$BL21)/2*IF($G$1="破竹",$AP21,$AN21)+IF($G$1="破竹",$AQ21*1.5,0))*(1+$BM21)*(1+$BN21))*(1+$AR21)*$BQ21*$Q21*(1+IF(VLOOKUP($R21,武学奇术!$A:$ZZ,30,FALSE)="蓄力技",$B$21,0))*(1+IF(VLOOKUP($R21,武学奇术!$A:$ZZ,30,FALSE)="派生技",$B$20,0))*(1+$BW21)*(1+$BX21)</f>
        <v>25458.1702797599</v>
      </c>
      <c r="N21" s="46">
        <f>(($AU21*$AN21+$AO21)*(1+$AV21)*(1+$AW21)+($AZ21*IF($G$1="鸣金",$AP21,$AN21)+IF($G$1="鸣金",$AQ21*1.5,0))*(1+$BA21)*(1+$BB21)+($BD21*IF($G$1="裂石",$AP21,$AN21)+IF($G$1="裂石",$AQ21*1.5,0))*(1+$BE21)*(1+$BF21)+($BH21*IF($G$1="牵丝",$AP21,$AN21)+IF($G$1="牵丝",$AQ21*1.5,0))*(1+$BI21)*(1+$BJ21)+($BL21*IF($G$1="破竹",$AP21,$AN21)+IF($G$1="破竹",$AQ21*1.5,0))*(1+$BM21)*(1+$BN21))*(1+$AR21)*$BS21*$Q21*(1+IF(VLOOKUP($R21,武学奇术!$A:$ZZ,30,FALSE)="蓄力技",$B$21,0))*(1+IF(VLOOKUP($R21,武学奇术!$A:$ZZ,30,FALSE)="派生技",$B$20,0))*(1+$BW21)*(1+$BX21)</f>
        <v>19234.6684040958</v>
      </c>
      <c r="O21" s="46">
        <f>((($AT21+$AU21)/2*$AN21+$AO21)*(1+$AV21)*(1+$AW21)+(($AY21+$AZ21)/2*IF($G$1="鸣金",$AP21,$AN21)+IF($G$1="鸣金",$AQ21*1.5,0))*(1+$BA21)*(1+$BB21)+(($BC21+$BD21)/2*IF($G$1="裂石",$AP21,$AN21)+IF($G$1="裂石",$AQ21*1.5,0))*(1+$BE21)*(1+$BF21)+(($BG21+$BH21)/2*IF($G$1="牵丝",$AP21,$AN21)+IF($G$1="牵丝",$AQ21*1.5,0))*(1+$BI21)*(1+$BJ21)+(($BK21+$BL21)/2*IF($G$1="破竹",$AP21,$AN21)+IF($G$1="破竹",$AQ21*1.5,0))*(1+$BM21)*(1+$BN21))*(1+$AR21)*$Q21*(1+IF(VLOOKUP($R21,武学奇术!$A:$ZZ,30,FALSE)="蓄力技",$B$21,0))*(1+IF(VLOOKUP($R21,武学奇术!$A:$ZZ,30,FALSE)="派生技",$B$20,0))*(1+$BW21)*(1+$BX21)</f>
        <v>12540.9705811625</v>
      </c>
      <c r="P21" s="46">
        <f>((($AT21*$AN21+$AO21)*(1+$AV21)*(1+$AW21)+($AY21*IF($G$1="鸣金",$AP21,$AN21)+IF($G$1="鸣金",$AQ21*1.5,0))*(1+$BA21)*(1+$BB21)+($BC21*IF($G$1="裂石",$AP21,$AN21)+IF($G$1="裂石",$AQ21*1.5,0))*(1+$BE21)*(1+$BF21)+($BG21*IF($G$1="牵丝",$AP21,$AN21)+IF($G$1="牵丝",$AQ21*1.5,0))*(1+$BI21)*(1+$BJ21)+($BK21*IF($G$1="破竹",$AP21,$AN21)+IF($G$1="破竹",$AQ21*1.5,0))*(1+$BM21)*(1+$BN21))*(1+$AR21))*$Q21*(1+IF(VLOOKUP($R21,武学奇术!$A:$ZZ,30,FALSE)="蓄力技",$B$21,0))*(1+IF(VLOOKUP($R21,武学奇术!$A:$ZZ,30,FALSE)="派生技",$B$20,0))*(1+$BW21)*(1+$BX21)</f>
        <v>10834.0386407726</v>
      </c>
      <c r="Q21" s="47">
        <f t="shared" si="12"/>
        <v>1</v>
      </c>
      <c r="R21" s="48" t="s">
        <v>154</v>
      </c>
      <c r="S21" s="48" t="s">
        <v>94</v>
      </c>
      <c r="T21" s="48" t="s">
        <v>95</v>
      </c>
      <c r="U21" s="48" t="s">
        <v>79</v>
      </c>
      <c r="V21" s="48" t="s">
        <v>90</v>
      </c>
      <c r="W21" s="48" t="s">
        <v>141</v>
      </c>
      <c r="X21" s="48" t="s">
        <v>145</v>
      </c>
      <c r="Y21" s="48" t="s">
        <v>74</v>
      </c>
      <c r="Z21" s="48" t="s">
        <v>142</v>
      </c>
      <c r="AA21" s="48" t="s">
        <v>80</v>
      </c>
      <c r="AB21" s="48" t="s">
        <v>80</v>
      </c>
      <c r="AC21" s="48" t="s">
        <v>80</v>
      </c>
      <c r="AD21" s="48" t="s">
        <v>80</v>
      </c>
      <c r="AE21" s="48" t="s">
        <v>82</v>
      </c>
      <c r="AF21" s="48" t="s">
        <v>83</v>
      </c>
      <c r="AG21" s="48" t="s">
        <v>84</v>
      </c>
      <c r="AH21" s="48" t="s">
        <v>80</v>
      </c>
      <c r="AI21" s="48" t="s">
        <v>80</v>
      </c>
      <c r="AJ21" s="48" t="s">
        <v>80</v>
      </c>
      <c r="AK21" s="48" t="s">
        <v>80</v>
      </c>
      <c r="AL21" s="48" t="s">
        <v>85</v>
      </c>
      <c r="AM21" t="str">
        <f>VLOOKUP($R21,武学奇术!$A:$ZZ,25,FALSE)</f>
        <v>陌刀</v>
      </c>
      <c r="AN21" s="33">
        <f>VLOOKUP($R21,武学奇术!$A:$ZZ,26,FALSE)</f>
        <v>0.525</v>
      </c>
      <c r="AO21" s="34">
        <f>VLOOKUP($R21,武学奇术!$A:$ZZ,27,FALSE)*(1+IF(OR($AM21=$F$4,$AM21=$F$5),$B$22,0))</f>
        <v>0</v>
      </c>
      <c r="AP21" s="33">
        <f>VLOOKUP($R21,武学奇术!$A:$ZZ,28,FALSE)</f>
        <v>0.7875</v>
      </c>
      <c r="AQ21" s="34">
        <f>VLOOKUP($R21,武学奇术!$A:$ZZ,29,FALSE)*(1+IF(OR($AM21=$F$4,$AM21=$F$5),$B$22,0))</f>
        <v>0</v>
      </c>
      <c r="AR21" s="33" cm="1">
        <f t="array" ref="AR21">$G$3+IFERROR(VLOOKUP($AM21,$F$4:$G$7,2,FALSE),0)+VLOOKUP($R21,武学奇术!$A:$ZZ,2,FALSE)+SUM(_xlfn.XLOOKUP($S21:$AL21,增益!$A:$A,增益!$B:$B,0))</f>
        <v>0.7343</v>
      </c>
      <c r="AS21" s="33" cm="1">
        <f t="array" ref="AS21">VLOOKUP($R21,武学奇术!$A:$ZZ,5,FALSE)+SUM(_xlfn.XLOOKUP($S21:$AL21,增益!$A:$A,增益!$E:$E,0))</f>
        <v>0</v>
      </c>
      <c r="AT21" cm="1">
        <f t="array" ref="AT21">$D$10*(1+$AS21)+VLOOKUP($R21,武学奇术!$A:$ZZ,3,FALSE)+SUM(_xlfn.XLOOKUP($S21:$AL21,增益!$A:$A,增益!$C:$C,0))-$I$2</f>
        <v>4094.7</v>
      </c>
      <c r="AU21" cm="1">
        <f t="array" ref="AU21">$E$10*(1+$AS21)+VLOOKUP($R21,武学奇术!$A:$ZZ,4,FALSE)+SUM(_xlfn.XLOOKUP($S21:$AL21,增益!$A:$A,增益!$D:$D,0))-$I$2</f>
        <v>4094.7</v>
      </c>
      <c r="AV21" s="40" cm="1">
        <f t="array" ref="AV21">IF($F$10-$I$3+VLOOKUP($R21,武学奇术!$A:$ZZ,6,FALSE)+SUM(_xlfn.XLOOKUP($S21:$AL21,增益!$A:$A,增益!$F:$F,0))&gt;0,($F$10-$I$3+VLOOKUP($R21,武学奇术!$A:$ZZ,6,FALSE)+SUM(_xlfn.XLOOKUP($S21:$AL21,增益!$A:$A,增益!$F:$F,0)))/200,($F$10-$I$3+VLOOKUP($R21,武学奇术!$A:$ZZ,6,FALSE)+SUM(_xlfn.XLOOKUP($S21:$AL21,增益!$A:$A,增益!$F:$F,0)))/100)</f>
        <v>0.4284</v>
      </c>
      <c r="AW21" s="40" cm="1">
        <f t="array" ref="AW21">$G$10+VLOOKUP($R21,武学奇术!$A:$ZZ,7,FALSE)+SUM(_xlfn.XLOOKUP($S21:$AL21,增益!$A:$A,增益!$G:$G,0))</f>
        <v>0.14</v>
      </c>
      <c r="AX21" s="33" cm="1">
        <f t="array" ref="AX21">VLOOKUP($R21,武学奇术!$A:$ZZ,8,FALSE)+SUM(_xlfn.XLOOKUP($S21:$AL21,增益!$A:$A,增益!$H:$H,0))</f>
        <v>0</v>
      </c>
      <c r="AY21">
        <f t="shared" si="2"/>
        <v>0</v>
      </c>
      <c r="AZ21">
        <f t="shared" si="3"/>
        <v>0</v>
      </c>
      <c r="BA21" s="40" cm="1">
        <f t="array" ref="BA21">IF($F$11-$I$4+VLOOKUP($R21,武学奇术!$A:$ZZ,9,FALSE)+SUM(_xlfn.XLOOKUP($S21:$AL21,增益!$A:$A,增益!$I:$I,0))&gt;0,($F$11-$I$4+VLOOKUP($R21,武学奇术!$A:$ZZ,9,FALSE)+SUM(_xlfn.XLOOKUP($S21:$AL21,增益!$A:$A,增益!$I:$I,0)))/200,($F$11-$I$4+VLOOKUP($R21,武学奇术!$A:$ZZ,9,FALSE)+SUM(_xlfn.XLOOKUP($S21:$AL21,增益!$A:$A,增益!$I:$I,0)))/100)</f>
        <v>-0.14</v>
      </c>
      <c r="BB21" s="40" cm="1">
        <f t="array" ref="BB21">$G$11+VLOOKUP($R21,武学奇术!$A:$ZZ,10,FALSE)+SUM(_xlfn.XLOOKUP($S21:$AL21,增益!$A:$A,增益!$J:$J,0))</f>
        <v>0.02</v>
      </c>
      <c r="BC21">
        <f t="shared" si="4"/>
        <v>640.3</v>
      </c>
      <c r="BD21">
        <f t="shared" si="5"/>
        <v>1770.1</v>
      </c>
      <c r="BE21" s="40" cm="1">
        <f t="array" ref="BE21">IF($F$12-$I$4+VLOOKUP($R21,武学奇术!$A:$ZZ,11,FALSE)+SUM(_xlfn.XLOOKUP($S21:$AL21,增益!$A:$A,增益!$K:$K,0))&gt;0,($F$12-$I$4+VLOOKUP($R21,武学奇术!$A:$ZZ,11,FALSE)+SUM(_xlfn.XLOOKUP($S21:$AL21,增益!$A:$A,增益!$K:$K,0)))/200,($F$12-$I$4+VLOOKUP($R21,武学奇术!$A:$ZZ,11,FALSE)+SUM(_xlfn.XLOOKUP($S21:$AL21,增益!$A:$A,增益!$K:$K,0)))/100)</f>
        <v>0.17</v>
      </c>
      <c r="BF21" s="40" cm="1">
        <f t="array" ref="BF21">$G$12+VLOOKUP($R21,武学奇术!$A:$ZZ,12,FALSE)+SUM(_xlfn.XLOOKUP($S21:$AL21,增益!$A:$A,增益!$L:$L,0))</f>
        <v>0.29</v>
      </c>
      <c r="BG21">
        <f t="shared" si="6"/>
        <v>0</v>
      </c>
      <c r="BH21">
        <f t="shared" si="7"/>
        <v>0</v>
      </c>
      <c r="BI21" s="40" cm="1">
        <f t="array" ref="BI21">IF($F$13-$I$4+VLOOKUP($R21,武学奇术!$A:$ZZ,13,FALSE)+SUM(_xlfn.XLOOKUP($S21:$AL21,增益!$A:$A,增益!$M:$M,0))&gt;0,($F$13-$I$4+VLOOKUP($R21,武学奇术!$A:$ZZ,13,FALSE)+SUM(_xlfn.XLOOKUP($S21:$AL21,增益!$A:$A,增益!$K:$K,0)))/200,($F$13-$I$4+VLOOKUP($R21,武学奇术!$A:$ZZ,13,FALSE)+SUM(_xlfn.XLOOKUP($S21:$AL21,增益!$A:$A,增益!$M:$M,0)))/100)</f>
        <v>-0.14</v>
      </c>
      <c r="BJ21" s="40" cm="1">
        <f t="array" ref="BJ21">$G$13+VLOOKUP($R21,武学奇术!$A:$ZZ,14,FALSE)+SUM(_xlfn.XLOOKUP($S21:$AL21,增益!$A:$A,增益!$N:$N,0))</f>
        <v>0.02</v>
      </c>
      <c r="BK21">
        <f t="shared" si="8"/>
        <v>0</v>
      </c>
      <c r="BL21">
        <f t="shared" si="9"/>
        <v>0</v>
      </c>
      <c r="BM21" s="40" cm="1">
        <f t="array" ref="BM21">IF($F$14-$I$4+VLOOKUP($R21,武学奇术!$A:$ZZ,15,FALSE)+SUM(_xlfn.XLOOKUP($S21:$AL21,增益!$A:$A,增益!$O:$O,0))&gt;0,($F$14-$I$4+VLOOKUP($R21,武学奇术!$A:$ZZ,15,FALSE)+SUM(_xlfn.XLOOKUP($S21:$AL21,增益!$A:$A,增益!$O:$O,0)))/200,($F$14-$I$4+VLOOKUP($R21,武学奇术!$A:$ZZ,15,FALSE)+SUM(_xlfn.XLOOKUP($S21:$AL21,增益!$A:$A,增益!$O:$O,0)))/100)</f>
        <v>-0.14</v>
      </c>
      <c r="BN21" s="40" cm="1">
        <f t="array" ref="BN21">$G$14+VLOOKUP($R21,武学奇术!$A:$ZZ,16,FALSE)+SUM(_xlfn.XLOOKUP($S21:$AL21,增益!$A:$A,增益!$P:$P,0))</f>
        <v>0.02</v>
      </c>
      <c r="BO21" s="33">
        <f>MIN(IF(VLOOKUP($R21,武学奇术!$A:$ZZ,23,FALSE)=1,100%,$B$8),100%)</f>
        <v>1</v>
      </c>
      <c r="BP21" s="33" cm="1">
        <f t="array" ref="BP21">IF(VLOOKUP($R21,武学奇术!$A:$ZZ,23,FALSE)=1,100%,MIN(80%,$B$9+VLOOKUP($R21,武学奇术!$A:$ZZ,17,FALSE)+SUM(_xlfn.XLOOKUP($S21:$AL21,增益!$A:$A,增益!$Q:$Q,0)))+$B$11+SUM(_xlfn.XLOOKUP($S21:$AL21,增益!$A:$A,增益!$U:$U,0)))*IF(VLOOKUP($R21,武学奇术!$A:$ZZ,24,FALSE)=1,0,1)</f>
        <v>1</v>
      </c>
      <c r="BQ21" s="33" cm="1">
        <f t="array" ref="BQ21">1+$B$13+VLOOKUP($R21,武学奇术!$A:$ZZ,18,FALSE)+SUM(_xlfn.XLOOKUP($S21:$AL21,增益!$A:$A,增益!$R:$R,0))</f>
        <v>2.03</v>
      </c>
      <c r="BR21" s="33" cm="1">
        <f t="array" ref="BR21">IF(VLOOKUP($R21,武学奇术!$A:$ZZ,24,FALSE)=1,100%,MIN(40%,$B$10+VLOOKUP($R21,武学奇术!$A:$ZZ,19,FALSE)+SUM(_xlfn.XLOOKUP($S21:$AL21,增益!$A:$A,增益!$S:$S,0)))+$B$12+SUM(_xlfn.XLOOKUP($S21:$AL21,增益!$A:$A,增益!$V:$V,0)))*IF(VLOOKUP($R21,武学奇术!$A:$ZZ,23,FALSE)=1,0,1)</f>
        <v>0</v>
      </c>
      <c r="BS21" s="33" cm="1">
        <f t="array" ref="BS21">1+$B$14+VLOOKUP($R21,武学奇术!$A:$ZZ,20,FALSE)+SUM(_xlfn.XLOOKUP($S21:$AL21,增益!$A:$A,增益!$T:$T,0))</f>
        <v>1.35</v>
      </c>
      <c r="BT21" s="33">
        <f t="shared" si="10"/>
        <v>1</v>
      </c>
      <c r="BU21" s="33">
        <f t="shared" si="11"/>
        <v>0</v>
      </c>
      <c r="BV21" s="33">
        <f>IF(VLOOKUP($R21,武学奇术!$A:$ZZ,22,FALSE)=1,0,(1-$BO21))*(1-$BR21)</f>
        <v>0</v>
      </c>
      <c r="BW21" s="33" cm="1">
        <f t="array" ref="BW21">SUM(_xlfn.XLOOKUP($S21:$AL21,增益!$A:$A,增益!$W:$W,0))+$I$5</f>
        <v>0.11</v>
      </c>
      <c r="BX21" s="33" cm="1">
        <f t="array" ref="BX21">VLOOKUP($R21,武学奇术!$A:$ZZ,32,FALSE)+SUM(_xlfn.XLOOKUP($S21:$AL21,增益!$A:$A,增益!$X:$X,0))</f>
        <v>0</v>
      </c>
    </row>
    <row r="22" spans="1:76">
      <c r="A22" t="s">
        <v>155</v>
      </c>
      <c r="B22" s="35">
        <v>0.6</v>
      </c>
      <c r="C22" s="47" t="s">
        <v>156</v>
      </c>
      <c r="D22" s="85" t="s">
        <v>129</v>
      </c>
      <c r="E22" s="48" t="s">
        <v>157</v>
      </c>
      <c r="F22" s="48"/>
      <c r="L22" s="46">
        <f t="shared" si="0"/>
        <v>45824.7065035678</v>
      </c>
      <c r="M22" s="46">
        <f>((($AT22+$AU22)/2*$AN22+$AO22)*(1+$AV22)*(1+$AW22)+(($AY22+$AZ22)/2*IF($G$1="鸣金",$AP22,$AN22)+IF($G$1="鸣金",$AQ22*1.5,0))*(1+$BA22)*(1+$BB22)+(($BC22+$BD22)/2*IF($G$1="裂石",$AP22,$AN22)+IF($G$1="裂石",$AQ22*1.5,0))*(1+$BE22)*(1+$BF22)+(($BG22+$BH22)/2*IF($G$1="牵丝",$AP22,$AN22)+IF($G$1="牵丝",$AQ22*1.5,0))*(1+$BI22)*(1+$BJ22)+(($BK22+$BL22)/2*IF($G$1="破竹",$AP22,$AN22)+IF($G$1="破竹",$AQ22*1.5,0))*(1+$BM22)*(1+$BN22))*(1+$AR22)*$BQ22*$Q22*(1+IF(VLOOKUP($R22,武学奇术!$A:$ZZ,30,FALSE)="蓄力技",$B$21,0))*(1+IF(VLOOKUP($R22,武学奇术!$A:$ZZ,30,FALSE)="派生技",$B$20,0))*(1+$BW22)*(1+$BX22)</f>
        <v>45824.7065035678</v>
      </c>
      <c r="N22" s="46">
        <f>(($AU22*$AN22+$AO22)*(1+$AV22)*(1+$AW22)+($AZ22*IF($G$1="鸣金",$AP22,$AN22)+IF($G$1="鸣金",$AQ22*1.5,0))*(1+$BA22)*(1+$BB22)+($BD22*IF($G$1="裂石",$AP22,$AN22)+IF($G$1="裂石",$AQ22*1.5,0))*(1+$BE22)*(1+$BF22)+($BH22*IF($G$1="牵丝",$AP22,$AN22)+IF($G$1="牵丝",$AQ22*1.5,0))*(1+$BI22)*(1+$BJ22)+($BL22*IF($G$1="破竹",$AP22,$AN22)+IF($G$1="破竹",$AQ22*1.5,0))*(1+$BM22)*(1+$BN22))*(1+$AR22)*$BS22*$Q22*(1+IF(VLOOKUP($R22,武学奇术!$A:$ZZ,30,FALSE)="蓄力技",$B$21,0))*(1+IF(VLOOKUP($R22,武学奇术!$A:$ZZ,30,FALSE)="派生技",$B$20,0))*(1+$BW22)*(1+$BX22)</f>
        <v>34622.4031273724</v>
      </c>
      <c r="O22" s="46">
        <f>((($AT22+$AU22)/2*$AN22+$AO22)*(1+$AV22)*(1+$AW22)+(($AY22+$AZ22)/2*IF($G$1="鸣金",$AP22,$AN22)+IF($G$1="鸣金",$AQ22*1.5,0))*(1+$BA22)*(1+$BB22)+(($BC22+$BD22)/2*IF($G$1="裂石",$AP22,$AN22)+IF($G$1="裂石",$AQ22*1.5,0))*(1+$BE22)*(1+$BF22)+(($BG22+$BH22)/2*IF($G$1="牵丝",$AP22,$AN22)+IF($G$1="牵丝",$AQ22*1.5,0))*(1+$BI22)*(1+$BJ22)+(($BK22+$BL22)/2*IF($G$1="破竹",$AP22,$AN22)+IF($G$1="破竹",$AQ22*1.5,0))*(1+$BM22)*(1+$BN22))*(1+$AR22)*$Q22*(1+IF(VLOOKUP($R22,武学奇术!$A:$ZZ,30,FALSE)="蓄力技",$B$21,0))*(1+IF(VLOOKUP($R22,武学奇术!$A:$ZZ,30,FALSE)="派生技",$B$20,0))*(1+$BW22)*(1+$BX22)</f>
        <v>22573.7470460925</v>
      </c>
      <c r="P22" s="46">
        <f>((($AT22*$AN22+$AO22)*(1+$AV22)*(1+$AW22)+($AY22*IF($G$1="鸣金",$AP22,$AN22)+IF($G$1="鸣金",$AQ22*1.5,0))*(1+$BA22)*(1+$BB22)+($BC22*IF($G$1="裂石",$AP22,$AN22)+IF($G$1="裂石",$AQ22*1.5,0))*(1+$BE22)*(1+$BF22)+($BG22*IF($G$1="牵丝",$AP22,$AN22)+IF($G$1="牵丝",$AQ22*1.5,0))*(1+$BI22)*(1+$BJ22)+($BK22*IF($G$1="破竹",$AP22,$AN22)+IF($G$1="破竹",$AQ22*1.5,0))*(1+$BM22)*(1+$BN22))*(1+$AR22))*$Q22*(1+IF(VLOOKUP($R22,武学奇术!$A:$ZZ,30,FALSE)="蓄力技",$B$21,0))*(1+IF(VLOOKUP($R22,武学奇术!$A:$ZZ,30,FALSE)="派生技",$B$20,0))*(1+$BW22)*(1+$BX22)</f>
        <v>19501.2695533906</v>
      </c>
      <c r="Q22" s="47">
        <f t="shared" si="12"/>
        <v>1</v>
      </c>
      <c r="R22" s="48" t="s">
        <v>144</v>
      </c>
      <c r="S22" s="48" t="s">
        <v>94</v>
      </c>
      <c r="T22" s="48" t="s">
        <v>95</v>
      </c>
      <c r="U22" s="48" t="s">
        <v>79</v>
      </c>
      <c r="V22" s="48" t="s">
        <v>90</v>
      </c>
      <c r="W22" s="48" t="s">
        <v>141</v>
      </c>
      <c r="X22" s="48" t="s">
        <v>145</v>
      </c>
      <c r="Y22" s="48" t="s">
        <v>74</v>
      </c>
      <c r="Z22" s="48" t="s">
        <v>142</v>
      </c>
      <c r="AA22" s="48" t="s">
        <v>80</v>
      </c>
      <c r="AB22" s="48" t="s">
        <v>80</v>
      </c>
      <c r="AC22" s="48" t="s">
        <v>80</v>
      </c>
      <c r="AD22" s="48" t="s">
        <v>80</v>
      </c>
      <c r="AE22" s="48" t="s">
        <v>82</v>
      </c>
      <c r="AF22" s="48" t="s">
        <v>83</v>
      </c>
      <c r="AG22" s="48" t="s">
        <v>84</v>
      </c>
      <c r="AH22" s="48" t="s">
        <v>80</v>
      </c>
      <c r="AI22" s="48" t="s">
        <v>80</v>
      </c>
      <c r="AJ22" s="48" t="s">
        <v>80</v>
      </c>
      <c r="AK22" s="48" t="s">
        <v>80</v>
      </c>
      <c r="AL22" s="48" t="s">
        <v>85</v>
      </c>
      <c r="AM22" t="str">
        <f>VLOOKUP($R22,武学奇术!$A:$ZZ,25,FALSE)</f>
        <v>陌刀</v>
      </c>
      <c r="AN22" s="33">
        <f>VLOOKUP($R22,武学奇术!$A:$ZZ,26,FALSE)</f>
        <v>0.945</v>
      </c>
      <c r="AO22" s="34">
        <f>VLOOKUP($R22,武学奇术!$A:$ZZ,27,FALSE)*(1+IF(OR($AM22=$F$4,$AM22=$F$5),$B$22,0))</f>
        <v>0</v>
      </c>
      <c r="AP22" s="33">
        <f>VLOOKUP($R22,武学奇术!$A:$ZZ,28,FALSE)</f>
        <v>1.4175</v>
      </c>
      <c r="AQ22" s="34">
        <f>VLOOKUP($R22,武学奇术!$A:$ZZ,29,FALSE)*(1+IF(OR($AM22=$F$4,$AM22=$F$5),$B$22,0))</f>
        <v>0</v>
      </c>
      <c r="AR22" s="33" cm="1">
        <f t="array" ref="AR22">$G$3+IFERROR(VLOOKUP($AM22,$F$4:$G$7,2,FALSE),0)+VLOOKUP($R22,武学奇术!$A:$ZZ,2,FALSE)+SUM(_xlfn.XLOOKUP($S22:$AL22,增益!$A:$A,增益!$B:$B,0))</f>
        <v>0.7343</v>
      </c>
      <c r="AS22" s="33" cm="1">
        <f t="array" ref="AS22">VLOOKUP($R22,武学奇术!$A:$ZZ,5,FALSE)+SUM(_xlfn.XLOOKUP($S22:$AL22,增益!$A:$A,增益!$E:$E,0))</f>
        <v>0</v>
      </c>
      <c r="AT22" cm="1">
        <f t="array" ref="AT22">$D$10*(1+$AS22)+VLOOKUP($R22,武学奇术!$A:$ZZ,3,FALSE)+SUM(_xlfn.XLOOKUP($S22:$AL22,增益!$A:$A,增益!$C:$C,0))-$I$2</f>
        <v>4094.7</v>
      </c>
      <c r="AU22" cm="1">
        <f t="array" ref="AU22">$E$10*(1+$AS22)+VLOOKUP($R22,武学奇术!$A:$ZZ,4,FALSE)+SUM(_xlfn.XLOOKUP($S22:$AL22,增益!$A:$A,增益!$D:$D,0))-$I$2</f>
        <v>4094.7</v>
      </c>
      <c r="AV22" s="40" cm="1">
        <f t="array" ref="AV22">IF($F$10-$I$3+VLOOKUP($R22,武学奇术!$A:$ZZ,6,FALSE)+SUM(_xlfn.XLOOKUP($S22:$AL22,增益!$A:$A,增益!$F:$F,0))&gt;0,($F$10-$I$3+VLOOKUP($R22,武学奇术!$A:$ZZ,6,FALSE)+SUM(_xlfn.XLOOKUP($S22:$AL22,增益!$A:$A,增益!$F:$F,0)))/200,($F$10-$I$3+VLOOKUP($R22,武学奇术!$A:$ZZ,6,FALSE)+SUM(_xlfn.XLOOKUP($S22:$AL22,增益!$A:$A,增益!$F:$F,0)))/100)</f>
        <v>0.4284</v>
      </c>
      <c r="AW22" s="40" cm="1">
        <f t="array" ref="AW22">$G$10+VLOOKUP($R22,武学奇术!$A:$ZZ,7,FALSE)+SUM(_xlfn.XLOOKUP($S22:$AL22,增益!$A:$A,增益!$G:$G,0))</f>
        <v>0.14</v>
      </c>
      <c r="AX22" s="33" cm="1">
        <f t="array" ref="AX22">VLOOKUP($R22,武学奇术!$A:$ZZ,8,FALSE)+SUM(_xlfn.XLOOKUP($S22:$AL22,增益!$A:$A,增益!$H:$H,0))</f>
        <v>0</v>
      </c>
      <c r="AY22">
        <f t="shared" si="2"/>
        <v>0</v>
      </c>
      <c r="AZ22">
        <f t="shared" si="3"/>
        <v>0</v>
      </c>
      <c r="BA22" s="40" cm="1">
        <f t="array" ref="BA22">IF($F$11-$I$4+VLOOKUP($R22,武学奇术!$A:$ZZ,9,FALSE)+SUM(_xlfn.XLOOKUP($S22:$AL22,增益!$A:$A,增益!$I:$I,0))&gt;0,($F$11-$I$4+VLOOKUP($R22,武学奇术!$A:$ZZ,9,FALSE)+SUM(_xlfn.XLOOKUP($S22:$AL22,增益!$A:$A,增益!$I:$I,0)))/200,($F$11-$I$4+VLOOKUP($R22,武学奇术!$A:$ZZ,9,FALSE)+SUM(_xlfn.XLOOKUP($S22:$AL22,增益!$A:$A,增益!$I:$I,0)))/100)</f>
        <v>-0.14</v>
      </c>
      <c r="BB22" s="40" cm="1">
        <f t="array" ref="BB22">$G$11+VLOOKUP($R22,武学奇术!$A:$ZZ,10,FALSE)+SUM(_xlfn.XLOOKUP($S22:$AL22,增益!$A:$A,增益!$J:$J,0))</f>
        <v>0.02</v>
      </c>
      <c r="BC22">
        <f t="shared" si="4"/>
        <v>640.3</v>
      </c>
      <c r="BD22">
        <f t="shared" si="5"/>
        <v>1770.1</v>
      </c>
      <c r="BE22" s="40" cm="1">
        <f t="array" ref="BE22">IF($F$12-$I$4+VLOOKUP($R22,武学奇术!$A:$ZZ,11,FALSE)+SUM(_xlfn.XLOOKUP($S22:$AL22,增益!$A:$A,增益!$K:$K,0))&gt;0,($F$12-$I$4+VLOOKUP($R22,武学奇术!$A:$ZZ,11,FALSE)+SUM(_xlfn.XLOOKUP($S22:$AL22,增益!$A:$A,增益!$K:$K,0)))/200,($F$12-$I$4+VLOOKUP($R22,武学奇术!$A:$ZZ,11,FALSE)+SUM(_xlfn.XLOOKUP($S22:$AL22,增益!$A:$A,增益!$K:$K,0)))/100)</f>
        <v>0.17</v>
      </c>
      <c r="BF22" s="40" cm="1">
        <f t="array" ref="BF22">$G$12+VLOOKUP($R22,武学奇术!$A:$ZZ,12,FALSE)+SUM(_xlfn.XLOOKUP($S22:$AL22,增益!$A:$A,增益!$L:$L,0))</f>
        <v>0.29</v>
      </c>
      <c r="BG22">
        <f t="shared" si="6"/>
        <v>0</v>
      </c>
      <c r="BH22">
        <f t="shared" si="7"/>
        <v>0</v>
      </c>
      <c r="BI22" s="40" cm="1">
        <f t="array" ref="BI22">IF($F$13-$I$4+VLOOKUP($R22,武学奇术!$A:$ZZ,13,FALSE)+SUM(_xlfn.XLOOKUP($S22:$AL22,增益!$A:$A,增益!$M:$M,0))&gt;0,($F$13-$I$4+VLOOKUP($R22,武学奇术!$A:$ZZ,13,FALSE)+SUM(_xlfn.XLOOKUP($S22:$AL22,增益!$A:$A,增益!$K:$K,0)))/200,($F$13-$I$4+VLOOKUP($R22,武学奇术!$A:$ZZ,13,FALSE)+SUM(_xlfn.XLOOKUP($S22:$AL22,增益!$A:$A,增益!$M:$M,0)))/100)</f>
        <v>-0.14</v>
      </c>
      <c r="BJ22" s="40" cm="1">
        <f t="array" ref="BJ22">$G$13+VLOOKUP($R22,武学奇术!$A:$ZZ,14,FALSE)+SUM(_xlfn.XLOOKUP($S22:$AL22,增益!$A:$A,增益!$N:$N,0))</f>
        <v>0.02</v>
      </c>
      <c r="BK22">
        <f t="shared" si="8"/>
        <v>0</v>
      </c>
      <c r="BL22">
        <f t="shared" si="9"/>
        <v>0</v>
      </c>
      <c r="BM22" s="40" cm="1">
        <f t="array" ref="BM22">IF($F$14-$I$4+VLOOKUP($R22,武学奇术!$A:$ZZ,15,FALSE)+SUM(_xlfn.XLOOKUP($S22:$AL22,增益!$A:$A,增益!$O:$O,0))&gt;0,($F$14-$I$4+VLOOKUP($R22,武学奇术!$A:$ZZ,15,FALSE)+SUM(_xlfn.XLOOKUP($S22:$AL22,增益!$A:$A,增益!$O:$O,0)))/200,($F$14-$I$4+VLOOKUP($R22,武学奇术!$A:$ZZ,15,FALSE)+SUM(_xlfn.XLOOKUP($S22:$AL22,增益!$A:$A,增益!$O:$O,0)))/100)</f>
        <v>-0.14</v>
      </c>
      <c r="BN22" s="40" cm="1">
        <f t="array" ref="BN22">$G$14+VLOOKUP($R22,武学奇术!$A:$ZZ,16,FALSE)+SUM(_xlfn.XLOOKUP($S22:$AL22,增益!$A:$A,增益!$P:$P,0))</f>
        <v>0.02</v>
      </c>
      <c r="BO22" s="33">
        <f>MIN(IF(VLOOKUP($R22,武学奇术!$A:$ZZ,23,FALSE)=1,100%,$B$8),100%)</f>
        <v>1</v>
      </c>
      <c r="BP22" s="33" cm="1">
        <f t="array" ref="BP22">IF(VLOOKUP($R22,武学奇术!$A:$ZZ,23,FALSE)=1,100%,MIN(80%,$B$9+VLOOKUP($R22,武学奇术!$A:$ZZ,17,FALSE)+SUM(_xlfn.XLOOKUP($S22:$AL22,增益!$A:$A,增益!$Q:$Q,0)))+$B$11+SUM(_xlfn.XLOOKUP($S22:$AL22,增益!$A:$A,增益!$U:$U,0)))*IF(VLOOKUP($R22,武学奇术!$A:$ZZ,24,FALSE)=1,0,1)</f>
        <v>1</v>
      </c>
      <c r="BQ22" s="33" cm="1">
        <f t="array" ref="BQ22">1+$B$13+VLOOKUP($R22,武学奇术!$A:$ZZ,18,FALSE)+SUM(_xlfn.XLOOKUP($S22:$AL22,增益!$A:$A,增益!$R:$R,0))</f>
        <v>2.03</v>
      </c>
      <c r="BR22" s="33" cm="1">
        <f t="array" ref="BR22">IF(VLOOKUP($R22,武学奇术!$A:$ZZ,24,FALSE)=1,100%,MIN(40%,$B$10+VLOOKUP($R22,武学奇术!$A:$ZZ,19,FALSE)+SUM(_xlfn.XLOOKUP($S22:$AL22,增益!$A:$A,增益!$S:$S,0)))+$B$12+SUM(_xlfn.XLOOKUP($S22:$AL22,增益!$A:$A,增益!$V:$V,0)))*IF(VLOOKUP($R22,武学奇术!$A:$ZZ,23,FALSE)=1,0,1)</f>
        <v>0</v>
      </c>
      <c r="BS22" s="33" cm="1">
        <f t="array" ref="BS22">1+$B$14+VLOOKUP($R22,武学奇术!$A:$ZZ,20,FALSE)+SUM(_xlfn.XLOOKUP($S22:$AL22,增益!$A:$A,增益!$T:$T,0))</f>
        <v>1.35</v>
      </c>
      <c r="BT22" s="33">
        <f t="shared" si="10"/>
        <v>1</v>
      </c>
      <c r="BU22" s="33">
        <f t="shared" si="11"/>
        <v>0</v>
      </c>
      <c r="BV22" s="33">
        <f>IF(VLOOKUP($R22,武学奇术!$A:$ZZ,22,FALSE)=1,0,(1-$BO22))*(1-$BR22)</f>
        <v>0</v>
      </c>
      <c r="BW22" s="33" cm="1">
        <f t="array" ref="BW22">SUM(_xlfn.XLOOKUP($S22:$AL22,增益!$A:$A,增益!$W:$W,0))+$I$5</f>
        <v>0.11</v>
      </c>
      <c r="BX22" s="33" cm="1">
        <f t="array" ref="BX22">VLOOKUP($R22,武学奇术!$A:$ZZ,32,FALSE)+SUM(_xlfn.XLOOKUP($S22:$AL22,增益!$A:$A,增益!$X:$X,0))</f>
        <v>0</v>
      </c>
    </row>
    <row r="23" spans="1:76">
      <c r="A23" s="47" t="s">
        <v>158</v>
      </c>
      <c r="B23">
        <v>240</v>
      </c>
      <c r="E23" s="47" t="s">
        <v>159</v>
      </c>
      <c r="F23" s="47"/>
      <c r="L23" s="46">
        <f t="shared" si="0"/>
        <v>411608.709865358</v>
      </c>
      <c r="M23" s="46">
        <f>((($AT23+$AU23)/2*$AN23+$AO23)*(1+$AV23)*(1+$AW23)+(($AY23+$AZ23)/2*IF($G$1="鸣金",$AP23,$AN23)+IF($G$1="鸣金",$AQ23*1.5,0))*(1+$BA23)*(1+$BB23)+(($BC23+$BD23)/2*IF($G$1="裂石",$AP23,$AN23)+IF($G$1="裂石",$AQ23*1.5,0))*(1+$BE23)*(1+$BF23)+(($BG23+$BH23)/2*IF($G$1="牵丝",$AP23,$AN23)+IF($G$1="牵丝",$AQ23*1.5,0))*(1+$BI23)*(1+$BJ23)+(($BK23+$BL23)/2*IF($G$1="破竹",$AP23,$AN23)+IF($G$1="破竹",$AQ23*1.5,0))*(1+$BM23)*(1+$BN23))*(1+$AR23)*$BQ23*$Q23*(1+IF(VLOOKUP($R23,武学奇术!$A:$ZZ,30,FALSE)="蓄力技",$B$21,0))*(1+IF(VLOOKUP($R23,武学奇术!$A:$ZZ,30,FALSE)="派生技",$B$20,0))*(1+$BW23)*(1+$BX23)</f>
        <v>411608.709865358</v>
      </c>
      <c r="N23" s="46">
        <f>(($AU23*$AN23+$AO23)*(1+$AV23)*(1+$AW23)+($AZ23*IF($G$1="鸣金",$AP23,$AN23)+IF($G$1="鸣金",$AQ23*1.5,0))*(1+$BA23)*(1+$BB23)+($BD23*IF($G$1="裂石",$AP23,$AN23)+IF($G$1="裂石",$AQ23*1.5,0))*(1+$BE23)*(1+$BF23)+($BH23*IF($G$1="牵丝",$AP23,$AN23)+IF($G$1="牵丝",$AQ23*1.5,0))*(1+$BI23)*(1+$BJ23)+($BL23*IF($G$1="破竹",$AP23,$AN23)+IF($G$1="破竹",$AQ23*1.5,0))*(1+$BM23)*(1+$BN23))*(1+$AR23)*$BS23*$Q23*(1+IF(VLOOKUP($R23,武学奇术!$A:$ZZ,30,FALSE)="蓄力技",$B$21,0))*(1+IF(VLOOKUP($R23,武学奇术!$A:$ZZ,30,FALSE)="派生技",$B$20,0))*(1+$BW23)*(1+$BX23)</f>
        <v>306562.417724765</v>
      </c>
      <c r="O23" s="46">
        <f>((($AT23+$AU23)/2*$AN23+$AO23)*(1+$AV23)*(1+$AW23)+(($AY23+$AZ23)/2*IF($G$1="鸣金",$AP23,$AN23)+IF($G$1="鸣金",$AQ23*1.5,0))*(1+$BA23)*(1+$BB23)+(($BC23+$BD23)/2*IF($G$1="裂石",$AP23,$AN23)+IF($G$1="裂石",$AQ23*1.5,0))*(1+$BE23)*(1+$BF23)+(($BG23+$BH23)/2*IF($G$1="牵丝",$AP23,$AN23)+IF($G$1="牵丝",$AQ23*1.5,0))*(1+$BI23)*(1+$BJ23)+(($BK23+$BL23)/2*IF($G$1="破竹",$AP23,$AN23)+IF($G$1="破竹",$AQ23*1.5,0))*(1+$BM23)*(1+$BN23))*(1+$AR23)*$Q23*(1+IF(VLOOKUP($R23,武学奇术!$A:$ZZ,30,FALSE)="蓄力技",$B$21,0))*(1+IF(VLOOKUP($R23,武学奇术!$A:$ZZ,30,FALSE)="派生技",$B$20,0))*(1+$BW23)*(1+$BX23)</f>
        <v>202762.911263723</v>
      </c>
      <c r="P23" s="46">
        <f>((($AT23*$AN23+$AO23)*(1+$AV23)*(1+$AW23)+($AY23*IF($G$1="鸣金",$AP23,$AN23)+IF($G$1="鸣金",$AQ23*1.5,0))*(1+$BA23)*(1+$BB23)+($BC23*IF($G$1="裂石",$AP23,$AN23)+IF($G$1="裂石",$AQ23*1.5,0))*(1+$BE23)*(1+$BF23)+($BG23*IF($G$1="牵丝",$AP23,$AN23)+IF($G$1="牵丝",$AQ23*1.5,0))*(1+$BI23)*(1+$BJ23)+($BK23*IF($G$1="破竹",$AP23,$AN23)+IF($G$1="破竹",$AQ23*1.5,0))*(1+$BM23)*(1+$BN23))*(1+$AR23))*$Q23*(1+IF(VLOOKUP($R23,武学奇术!$A:$ZZ,30,FALSE)="蓄力技",$B$21,0))*(1+IF(VLOOKUP($R23,武学奇术!$A:$ZZ,30,FALSE)="派生技",$B$20,0))*(1+$BW23)*(1+$BX23)</f>
        <v>178442.550138732</v>
      </c>
      <c r="Q23" s="47">
        <f t="shared" si="12"/>
        <v>1</v>
      </c>
      <c r="R23" s="48" t="s">
        <v>148</v>
      </c>
      <c r="S23" s="48" t="s">
        <v>94</v>
      </c>
      <c r="T23" s="48" t="s">
        <v>95</v>
      </c>
      <c r="U23" s="48" t="s">
        <v>79</v>
      </c>
      <c r="V23" s="48" t="s">
        <v>90</v>
      </c>
      <c r="W23" s="48" t="s">
        <v>141</v>
      </c>
      <c r="X23" s="48" t="s">
        <v>145</v>
      </c>
      <c r="Y23" s="48" t="s">
        <v>74</v>
      </c>
      <c r="Z23" s="48" t="s">
        <v>149</v>
      </c>
      <c r="AA23" s="48" t="s">
        <v>80</v>
      </c>
      <c r="AB23" s="48" t="s">
        <v>80</v>
      </c>
      <c r="AC23" s="48" t="s">
        <v>80</v>
      </c>
      <c r="AD23" s="48" t="s">
        <v>80</v>
      </c>
      <c r="AE23" s="48" t="s">
        <v>82</v>
      </c>
      <c r="AF23" s="48" t="s">
        <v>83</v>
      </c>
      <c r="AG23" s="48" t="s">
        <v>84</v>
      </c>
      <c r="AH23" s="48" t="s">
        <v>80</v>
      </c>
      <c r="AI23" s="48" t="s">
        <v>80</v>
      </c>
      <c r="AJ23" s="48" t="s">
        <v>80</v>
      </c>
      <c r="AK23" s="48" t="s">
        <v>80</v>
      </c>
      <c r="AL23" s="48" t="s">
        <v>85</v>
      </c>
      <c r="AM23" t="str">
        <f>VLOOKUP($R23,武学奇术!$A:$ZZ,25,FALSE)</f>
        <v>陌刀</v>
      </c>
      <c r="AN23" s="33">
        <f>VLOOKUP($R23,武学奇术!$A:$ZZ,26,FALSE)</f>
        <v>7.5674</v>
      </c>
      <c r="AO23" s="34">
        <f>VLOOKUP($R23,武学奇术!$A:$ZZ,27,FALSE)*(1+IF(OR($AM23=$F$4,$AM23=$F$5),$B$22,0))</f>
        <v>3348.8</v>
      </c>
      <c r="AP23" s="33">
        <f>VLOOKUP($R23,武学奇术!$A:$ZZ,28,FALSE)</f>
        <v>11.3512</v>
      </c>
      <c r="AQ23" s="34">
        <f>VLOOKUP($R23,武学奇术!$A:$ZZ,29,FALSE)*(1+IF(OR($AM23=$F$4,$AM23=$F$5),$B$22,0))</f>
        <v>1824</v>
      </c>
      <c r="AR23" s="33" cm="1">
        <f t="array" ref="AR23">$G$3+IFERROR(VLOOKUP($AM23,$F$4:$G$7,2,FALSE),0)+VLOOKUP($R23,武学奇术!$A:$ZZ,2,FALSE)+SUM(_xlfn.XLOOKUP($S23:$AL23,增益!$A:$A,增益!$B:$B,0))</f>
        <v>0.7143</v>
      </c>
      <c r="AS23" s="33" cm="1">
        <f t="array" ref="AS23">VLOOKUP($R23,武学奇术!$A:$ZZ,5,FALSE)+SUM(_xlfn.XLOOKUP($S23:$AL23,增益!$A:$A,增益!$E:$E,0))</f>
        <v>0</v>
      </c>
      <c r="AT23" cm="1">
        <f t="array" ref="AT23">$D$10*(1+$AS23)+VLOOKUP($R23,武学奇术!$A:$ZZ,3,FALSE)+SUM(_xlfn.XLOOKUP($S23:$AL23,增益!$A:$A,增益!$C:$C,0))-$I$2</f>
        <v>4094.7</v>
      </c>
      <c r="AU23" cm="1">
        <f t="array" ref="AU23">$E$10*(1+$AS23)+VLOOKUP($R23,武学奇术!$A:$ZZ,4,FALSE)+SUM(_xlfn.XLOOKUP($S23:$AL23,增益!$A:$A,增益!$D:$D,0))-$I$2</f>
        <v>4094.7</v>
      </c>
      <c r="AV23" s="40" cm="1">
        <f t="array" ref="AV23">IF($F$10-$I$3+VLOOKUP($R23,武学奇术!$A:$ZZ,6,FALSE)+SUM(_xlfn.XLOOKUP($S23:$AL23,增益!$A:$A,增益!$F:$F,0))&gt;0,($F$10-$I$3+VLOOKUP($R23,武学奇术!$A:$ZZ,6,FALSE)+SUM(_xlfn.XLOOKUP($S23:$AL23,增益!$A:$A,增益!$F:$F,0)))/200,($F$10-$I$3+VLOOKUP($R23,武学奇术!$A:$ZZ,6,FALSE)+SUM(_xlfn.XLOOKUP($S23:$AL23,增益!$A:$A,增益!$F:$F,0)))/100)</f>
        <v>0.4284</v>
      </c>
      <c r="AW23" s="40" cm="1">
        <f t="array" ref="AW23">$G$10+VLOOKUP($R23,武学奇术!$A:$ZZ,7,FALSE)+SUM(_xlfn.XLOOKUP($S23:$AL23,增益!$A:$A,增益!$G:$G,0))</f>
        <v>0.14</v>
      </c>
      <c r="AX23" s="33" cm="1">
        <f t="array" ref="AX23">VLOOKUP($R23,武学奇术!$A:$ZZ,8,FALSE)+SUM(_xlfn.XLOOKUP($S23:$AL23,增益!$A:$A,增益!$H:$H,0))</f>
        <v>0</v>
      </c>
      <c r="AY23">
        <f t="shared" si="2"/>
        <v>0</v>
      </c>
      <c r="AZ23">
        <f t="shared" si="3"/>
        <v>0</v>
      </c>
      <c r="BA23" s="40" cm="1">
        <f t="array" ref="BA23">IF($F$11-$I$4+VLOOKUP($R23,武学奇术!$A:$ZZ,9,FALSE)+SUM(_xlfn.XLOOKUP($S23:$AL23,增益!$A:$A,增益!$I:$I,0))&gt;0,($F$11-$I$4+VLOOKUP($R23,武学奇术!$A:$ZZ,9,FALSE)+SUM(_xlfn.XLOOKUP($S23:$AL23,增益!$A:$A,增益!$I:$I,0)))/200,($F$11-$I$4+VLOOKUP($R23,武学奇术!$A:$ZZ,9,FALSE)+SUM(_xlfn.XLOOKUP($S23:$AL23,增益!$A:$A,增益!$I:$I,0)))/100)</f>
        <v>-0.14</v>
      </c>
      <c r="BB23" s="40" cm="1">
        <f t="array" ref="BB23">$G$11+VLOOKUP($R23,武学奇术!$A:$ZZ,10,FALSE)+SUM(_xlfn.XLOOKUP($S23:$AL23,增益!$A:$A,增益!$J:$J,0))</f>
        <v>0.02</v>
      </c>
      <c r="BC23">
        <f t="shared" si="4"/>
        <v>640.3</v>
      </c>
      <c r="BD23">
        <f t="shared" si="5"/>
        <v>1770.1</v>
      </c>
      <c r="BE23" s="40" cm="1">
        <f t="array" ref="BE23">IF($F$12-$I$4+VLOOKUP($R23,武学奇术!$A:$ZZ,11,FALSE)+SUM(_xlfn.XLOOKUP($S23:$AL23,增益!$A:$A,增益!$K:$K,0))&gt;0,($F$12-$I$4+VLOOKUP($R23,武学奇术!$A:$ZZ,11,FALSE)+SUM(_xlfn.XLOOKUP($S23:$AL23,增益!$A:$A,增益!$K:$K,0)))/200,($F$12-$I$4+VLOOKUP($R23,武学奇术!$A:$ZZ,11,FALSE)+SUM(_xlfn.XLOOKUP($S23:$AL23,增益!$A:$A,增益!$K:$K,0)))/100)</f>
        <v>0.17</v>
      </c>
      <c r="BF23" s="40" cm="1">
        <f t="array" ref="BF23">$G$12+VLOOKUP($R23,武学奇术!$A:$ZZ,12,FALSE)+SUM(_xlfn.XLOOKUP($S23:$AL23,增益!$A:$A,增益!$L:$L,0))</f>
        <v>0.29</v>
      </c>
      <c r="BG23">
        <f t="shared" si="6"/>
        <v>0</v>
      </c>
      <c r="BH23">
        <f t="shared" si="7"/>
        <v>0</v>
      </c>
      <c r="BI23" s="40" cm="1">
        <f t="array" ref="BI23">IF($F$13-$I$4+VLOOKUP($R23,武学奇术!$A:$ZZ,13,FALSE)+SUM(_xlfn.XLOOKUP($S23:$AL23,增益!$A:$A,增益!$M:$M,0))&gt;0,($F$13-$I$4+VLOOKUP($R23,武学奇术!$A:$ZZ,13,FALSE)+SUM(_xlfn.XLOOKUP($S23:$AL23,增益!$A:$A,增益!$K:$K,0)))/200,($F$13-$I$4+VLOOKUP($R23,武学奇术!$A:$ZZ,13,FALSE)+SUM(_xlfn.XLOOKUP($S23:$AL23,增益!$A:$A,增益!$M:$M,0)))/100)</f>
        <v>-0.14</v>
      </c>
      <c r="BJ23" s="40" cm="1">
        <f t="array" ref="BJ23">$G$13+VLOOKUP($R23,武学奇术!$A:$ZZ,14,FALSE)+SUM(_xlfn.XLOOKUP($S23:$AL23,增益!$A:$A,增益!$N:$N,0))</f>
        <v>0.02</v>
      </c>
      <c r="BK23">
        <f t="shared" si="8"/>
        <v>0</v>
      </c>
      <c r="BL23">
        <f t="shared" si="9"/>
        <v>0</v>
      </c>
      <c r="BM23" s="40" cm="1">
        <f t="array" ref="BM23">IF($F$14-$I$4+VLOOKUP($R23,武学奇术!$A:$ZZ,15,FALSE)+SUM(_xlfn.XLOOKUP($S23:$AL23,增益!$A:$A,增益!$O:$O,0))&gt;0,($F$14-$I$4+VLOOKUP($R23,武学奇术!$A:$ZZ,15,FALSE)+SUM(_xlfn.XLOOKUP($S23:$AL23,增益!$A:$A,增益!$O:$O,0)))/200,($F$14-$I$4+VLOOKUP($R23,武学奇术!$A:$ZZ,15,FALSE)+SUM(_xlfn.XLOOKUP($S23:$AL23,增益!$A:$A,增益!$O:$O,0)))/100)</f>
        <v>-0.14</v>
      </c>
      <c r="BN23" s="40" cm="1">
        <f t="array" ref="BN23">$G$14+VLOOKUP($R23,武学奇术!$A:$ZZ,16,FALSE)+SUM(_xlfn.XLOOKUP($S23:$AL23,增益!$A:$A,增益!$P:$P,0))</f>
        <v>0.02</v>
      </c>
      <c r="BO23" s="33">
        <f>MIN(IF(VLOOKUP($R23,武学奇术!$A:$ZZ,23,FALSE)=1,100%,$B$8),100%)</f>
        <v>1</v>
      </c>
      <c r="BP23" s="33" cm="1">
        <f t="array" ref="BP23">IF(VLOOKUP($R23,武学奇术!$A:$ZZ,23,FALSE)=1,100%,MIN(80%,$B$9+VLOOKUP($R23,武学奇术!$A:$ZZ,17,FALSE)+SUM(_xlfn.XLOOKUP($S23:$AL23,增益!$A:$A,增益!$Q:$Q,0)))+$B$11+SUM(_xlfn.XLOOKUP($S23:$AL23,增益!$A:$A,增益!$U:$U,0)))*IF(VLOOKUP($R23,武学奇术!$A:$ZZ,24,FALSE)=1,0,1)</f>
        <v>1</v>
      </c>
      <c r="BQ23" s="33" cm="1">
        <f t="array" ref="BQ23">1+$B$13+VLOOKUP($R23,武学奇术!$A:$ZZ,18,FALSE)+SUM(_xlfn.XLOOKUP($S23:$AL23,增益!$A:$A,增益!$R:$R,0))</f>
        <v>2.03</v>
      </c>
      <c r="BR23" s="33" cm="1">
        <f t="array" ref="BR23">IF(VLOOKUP($R23,武学奇术!$A:$ZZ,24,FALSE)=1,100%,MIN(40%,$B$10+VLOOKUP($R23,武学奇术!$A:$ZZ,19,FALSE)+SUM(_xlfn.XLOOKUP($S23:$AL23,增益!$A:$A,增益!$S:$S,0)))+$B$12+SUM(_xlfn.XLOOKUP($S23:$AL23,增益!$A:$A,增益!$V:$V,0)))*IF(VLOOKUP($R23,武学奇术!$A:$ZZ,23,FALSE)=1,0,1)</f>
        <v>0</v>
      </c>
      <c r="BS23" s="33" cm="1">
        <f t="array" ref="BS23">1+$B$14+VLOOKUP($R23,武学奇术!$A:$ZZ,20,FALSE)+SUM(_xlfn.XLOOKUP($S23:$AL23,增益!$A:$A,增益!$T:$T,0))</f>
        <v>1.35</v>
      </c>
      <c r="BT23" s="33">
        <f t="shared" si="10"/>
        <v>1</v>
      </c>
      <c r="BU23" s="33">
        <f t="shared" si="11"/>
        <v>0</v>
      </c>
      <c r="BV23" s="33">
        <f>IF(VLOOKUP($R23,武学奇术!$A:$ZZ,22,FALSE)=1,0,(1-$BO23))*(1-$BR23)</f>
        <v>0</v>
      </c>
      <c r="BW23" s="33" cm="1">
        <f t="array" ref="BW23">SUM(_xlfn.XLOOKUP($S23:$AL23,增益!$A:$A,增益!$W:$W,0))+$I$5</f>
        <v>0.11</v>
      </c>
      <c r="BX23" s="33" cm="1">
        <f t="array" ref="BX23">VLOOKUP($R23,武学奇术!$A:$ZZ,32,FALSE)+SUM(_xlfn.XLOOKUP($S23:$AL23,增益!$A:$A,增益!$X:$X,0))</f>
        <v>0</v>
      </c>
    </row>
    <row r="24" spans="1:76">
      <c r="A24" s="47"/>
      <c r="B24">
        <v>480</v>
      </c>
      <c r="E24" s="48" t="s">
        <v>92</v>
      </c>
      <c r="F24" s="48"/>
      <c r="L24" s="46">
        <f t="shared" si="0"/>
        <v>25732.1655853923</v>
      </c>
      <c r="M24" s="46">
        <f>((($AT24+$AU24)/2*$AN24+$AO24)*(1+$AV24)*(1+$AW24)+(($AY24+$AZ24)/2*IF($G$1="鸣金",$AP24,$AN24)+IF($G$1="鸣金",$AQ24*1.5,0))*(1+$BA24)*(1+$BB24)+(($BC24+$BD24)/2*IF($G$1="裂石",$AP24,$AN24)+IF($G$1="裂石",$AQ24*1.5,0))*(1+$BE24)*(1+$BF24)+(($BG24+$BH24)/2*IF($G$1="牵丝",$AP24,$AN24)+IF($G$1="牵丝",$AQ24*1.5,0))*(1+$BI24)*(1+$BJ24)+(($BK24+$BL24)/2*IF($G$1="破竹",$AP24,$AN24)+IF($G$1="破竹",$AQ24*1.5,0))*(1+$BM24)*(1+$BN24))*(1+$AR24)*$BQ24*$Q24*(1+IF(VLOOKUP($R24,武学奇术!$A:$ZZ,30,FALSE)="蓄力技",$B$21,0))*(1+IF(VLOOKUP($R24,武学奇术!$A:$ZZ,30,FALSE)="派生技",$B$20,0))*(1+$BW24)*(1+$BX24)</f>
        <v>25732.1655853923</v>
      </c>
      <c r="N24" s="46">
        <f>(($AU24*$AN24+$AO24)*(1+$AV24)*(1+$AW24)+($AZ24*IF($G$1="鸣金",$AP24,$AN24)+IF($G$1="鸣金",$AQ24*1.5,0))*(1+$BA24)*(1+$BB24)+($BD24*IF($G$1="裂石",$AP24,$AN24)+IF($G$1="裂石",$AQ24*1.5,0))*(1+$BE24)*(1+$BF24)+($BH24*IF($G$1="牵丝",$AP24,$AN24)+IF($G$1="牵丝",$AQ24*1.5,0))*(1+$BI24)*(1+$BJ24)+($BL24*IF($G$1="破竹",$AP24,$AN24)+IF($G$1="破竹",$AQ24*1.5,0))*(1+$BM24)*(1+$BN24))*(1+$AR24)*$BS24*$Q24*(1+IF(VLOOKUP($R24,武学奇术!$A:$ZZ,30,FALSE)="蓄力技",$B$21,0))*(1+IF(VLOOKUP($R24,武学奇术!$A:$ZZ,30,FALSE)="派生技",$B$20,0))*(1+$BW24)*(1+$BX24)</f>
        <v>19430.1689947233</v>
      </c>
      <c r="O24" s="46">
        <f>((($AT24+$AU24)/2*$AN24+$AO24)*(1+$AV24)*(1+$AW24)+(($AY24+$AZ24)/2*IF($G$1="鸣金",$AP24,$AN24)+IF($G$1="鸣金",$AQ24*1.5,0))*(1+$BA24)*(1+$BB24)+(($BC24+$BD24)/2*IF($G$1="裂石",$AP24,$AN24)+IF($G$1="裂石",$AQ24*1.5,0))*(1+$BE24)*(1+$BF24)+(($BG24+$BH24)/2*IF($G$1="牵丝",$AP24,$AN24)+IF($G$1="牵丝",$AQ24*1.5,0))*(1+$BI24)*(1+$BJ24)+(($BK24+$BL24)/2*IF($G$1="破竹",$AP24,$AN24)+IF($G$1="破竹",$AQ24*1.5,0))*(1+$BM24)*(1+$BN24))*(1+$AR24)*$Q24*(1+IF(VLOOKUP($R24,武学奇术!$A:$ZZ,30,FALSE)="蓄力技",$B$21,0))*(1+IF(VLOOKUP($R24,武学奇术!$A:$ZZ,30,FALSE)="派生技",$B$20,0))*(1+$BW24)*(1+$BX24)</f>
        <v>12675.9436381243</v>
      </c>
      <c r="P24" s="46">
        <f>((($AT24*$AN24+$AO24)*(1+$AV24)*(1+$AW24)+($AY24*IF($G$1="鸣金",$AP24,$AN24)+IF($G$1="鸣金",$AQ24*1.5,0))*(1+$BA24)*(1+$BB24)+($BC24*IF($G$1="裂石",$AP24,$AN24)+IF($G$1="裂石",$AQ24*1.5,0))*(1+$BE24)*(1+$BF24)+($BG24*IF($G$1="牵丝",$AP24,$AN24)+IF($G$1="牵丝",$AQ24*1.5,0))*(1+$BI24)*(1+$BJ24)+($BK24*IF($G$1="破竹",$AP24,$AN24)+IF($G$1="破竹",$AQ24*1.5,0))*(1+$BM24)*(1+$BN24))*(1+$AR24))*$Q24*(1+IF(VLOOKUP($R24,武学奇术!$A:$ZZ,30,FALSE)="蓄力技",$B$21,0))*(1+IF(VLOOKUP($R24,武学奇术!$A:$ZZ,30,FALSE)="派生技",$B$20,0))*(1+$BW24)*(1+$BX24)</f>
        <v>10959.1695023795</v>
      </c>
      <c r="Q24" s="47">
        <f t="shared" si="12"/>
        <v>1</v>
      </c>
      <c r="R24" s="48" t="s">
        <v>154</v>
      </c>
      <c r="S24" s="48" t="s">
        <v>99</v>
      </c>
      <c r="T24" s="48" t="s">
        <v>95</v>
      </c>
      <c r="U24" s="48" t="s">
        <v>79</v>
      </c>
      <c r="V24" s="48" t="s">
        <v>90</v>
      </c>
      <c r="W24" s="48" t="s">
        <v>141</v>
      </c>
      <c r="X24" s="48" t="s">
        <v>145</v>
      </c>
      <c r="Y24" s="48" t="s">
        <v>74</v>
      </c>
      <c r="Z24" s="48" t="s">
        <v>142</v>
      </c>
      <c r="AA24" s="48" t="s">
        <v>80</v>
      </c>
      <c r="AB24" s="48" t="s">
        <v>80</v>
      </c>
      <c r="AC24" s="48" t="s">
        <v>80</v>
      </c>
      <c r="AD24" s="48" t="s">
        <v>80</v>
      </c>
      <c r="AE24" s="48" t="s">
        <v>82</v>
      </c>
      <c r="AF24" s="48" t="s">
        <v>83</v>
      </c>
      <c r="AG24" s="48" t="s">
        <v>84</v>
      </c>
      <c r="AH24" s="48" t="s">
        <v>80</v>
      </c>
      <c r="AI24" s="48" t="s">
        <v>80</v>
      </c>
      <c r="AJ24" s="48" t="s">
        <v>80</v>
      </c>
      <c r="AK24" s="48" t="s">
        <v>80</v>
      </c>
      <c r="AL24" s="48" t="s">
        <v>85</v>
      </c>
      <c r="AM24" t="str">
        <f>VLOOKUP($R24,武学奇术!$A:$ZZ,25,FALSE)</f>
        <v>陌刀</v>
      </c>
      <c r="AN24" s="33">
        <f>VLOOKUP($R24,武学奇术!$A:$ZZ,26,FALSE)</f>
        <v>0.525</v>
      </c>
      <c r="AO24" s="34">
        <f>VLOOKUP($R24,武学奇术!$A:$ZZ,27,FALSE)*(1+IF(OR($AM24=$F$4,$AM24=$F$5),$B$22,0))</f>
        <v>0</v>
      </c>
      <c r="AP24" s="33">
        <f>VLOOKUP($R24,武学奇术!$A:$ZZ,28,FALSE)</f>
        <v>0.7875</v>
      </c>
      <c r="AQ24" s="34">
        <f>VLOOKUP($R24,武学奇术!$A:$ZZ,29,FALSE)*(1+IF(OR($AM24=$F$4,$AM24=$F$5),$B$22,0))</f>
        <v>0</v>
      </c>
      <c r="AR24" s="33" cm="1">
        <f t="array" ref="AR24">$G$3+IFERROR(VLOOKUP($AM24,$F$4:$G$7,2,FALSE),0)+VLOOKUP($R24,武学奇术!$A:$ZZ,2,FALSE)+SUM(_xlfn.XLOOKUP($S24:$AL24,增益!$A:$A,增益!$B:$B,0))</f>
        <v>0.7443</v>
      </c>
      <c r="AS24" s="33" cm="1">
        <f t="array" ref="AS24">VLOOKUP($R24,武学奇术!$A:$ZZ,5,FALSE)+SUM(_xlfn.XLOOKUP($S24:$AL24,增益!$A:$A,增益!$E:$E,0))</f>
        <v>0</v>
      </c>
      <c r="AT24" cm="1">
        <f t="array" ref="AT24">$D$10*(1+$AS24)+VLOOKUP($R24,武学奇术!$A:$ZZ,3,FALSE)+SUM(_xlfn.XLOOKUP($S24:$AL24,增益!$A:$A,增益!$C:$C,0))-$I$2</f>
        <v>4094.7</v>
      </c>
      <c r="AU24" cm="1">
        <f t="array" ref="AU24">$E$10*(1+$AS24)+VLOOKUP($R24,武学奇术!$A:$ZZ,4,FALSE)+SUM(_xlfn.XLOOKUP($S24:$AL24,增益!$A:$A,增益!$D:$D,0))-$I$2</f>
        <v>4094.7</v>
      </c>
      <c r="AV24" s="40" cm="1">
        <f t="array" ref="AV24">IF($F$10-$I$3+VLOOKUP($R24,武学奇术!$A:$ZZ,6,FALSE)+SUM(_xlfn.XLOOKUP($S24:$AL24,增益!$A:$A,增益!$F:$F,0))&gt;0,($F$10-$I$3+VLOOKUP($R24,武学奇术!$A:$ZZ,6,FALSE)+SUM(_xlfn.XLOOKUP($S24:$AL24,增益!$A:$A,增益!$F:$F,0)))/200,($F$10-$I$3+VLOOKUP($R24,武学奇术!$A:$ZZ,6,FALSE)+SUM(_xlfn.XLOOKUP($S24:$AL24,增益!$A:$A,增益!$F:$F,0)))/100)</f>
        <v>0.4384</v>
      </c>
      <c r="AW24" s="40" cm="1">
        <f t="array" ref="AW24">$G$10+VLOOKUP($R24,武学奇术!$A:$ZZ,7,FALSE)+SUM(_xlfn.XLOOKUP($S24:$AL24,增益!$A:$A,增益!$G:$G,0))</f>
        <v>0.14</v>
      </c>
      <c r="AX24" s="33" cm="1">
        <f t="array" ref="AX24">VLOOKUP($R24,武学奇术!$A:$ZZ,8,FALSE)+SUM(_xlfn.XLOOKUP($S24:$AL24,增益!$A:$A,增益!$H:$H,0))</f>
        <v>0</v>
      </c>
      <c r="AY24">
        <f t="shared" si="2"/>
        <v>0</v>
      </c>
      <c r="AZ24">
        <f t="shared" si="3"/>
        <v>0</v>
      </c>
      <c r="BA24" s="40" cm="1">
        <f t="array" ref="BA24">IF($F$11-$I$4+VLOOKUP($R24,武学奇术!$A:$ZZ,9,FALSE)+SUM(_xlfn.XLOOKUP($S24:$AL24,增益!$A:$A,增益!$I:$I,0))&gt;0,($F$11-$I$4+VLOOKUP($R24,武学奇术!$A:$ZZ,9,FALSE)+SUM(_xlfn.XLOOKUP($S24:$AL24,增益!$A:$A,增益!$I:$I,0)))/200,($F$11-$I$4+VLOOKUP($R24,武学奇术!$A:$ZZ,9,FALSE)+SUM(_xlfn.XLOOKUP($S24:$AL24,增益!$A:$A,增益!$I:$I,0)))/100)</f>
        <v>-0.14</v>
      </c>
      <c r="BB24" s="40" cm="1">
        <f t="array" ref="BB24">$G$11+VLOOKUP($R24,武学奇术!$A:$ZZ,10,FALSE)+SUM(_xlfn.XLOOKUP($S24:$AL24,增益!$A:$A,增益!$J:$J,0))</f>
        <v>0.02</v>
      </c>
      <c r="BC24">
        <f t="shared" si="4"/>
        <v>640.3</v>
      </c>
      <c r="BD24">
        <f t="shared" si="5"/>
        <v>1770.1</v>
      </c>
      <c r="BE24" s="40" cm="1">
        <f t="array" ref="BE24">IF($F$12-$I$4+VLOOKUP($R24,武学奇术!$A:$ZZ,11,FALSE)+SUM(_xlfn.XLOOKUP($S24:$AL24,增益!$A:$A,增益!$K:$K,0))&gt;0,($F$12-$I$4+VLOOKUP($R24,武学奇术!$A:$ZZ,11,FALSE)+SUM(_xlfn.XLOOKUP($S24:$AL24,增益!$A:$A,增益!$K:$K,0)))/200,($F$12-$I$4+VLOOKUP($R24,武学奇术!$A:$ZZ,11,FALSE)+SUM(_xlfn.XLOOKUP($S24:$AL24,增益!$A:$A,增益!$K:$K,0)))/100)</f>
        <v>0.17</v>
      </c>
      <c r="BF24" s="40" cm="1">
        <f t="array" ref="BF24">$G$12+VLOOKUP($R24,武学奇术!$A:$ZZ,12,FALSE)+SUM(_xlfn.XLOOKUP($S24:$AL24,增益!$A:$A,增益!$L:$L,0))</f>
        <v>0.29</v>
      </c>
      <c r="BG24">
        <f t="shared" si="6"/>
        <v>0</v>
      </c>
      <c r="BH24">
        <f t="shared" si="7"/>
        <v>0</v>
      </c>
      <c r="BI24" s="40" cm="1">
        <f t="array" ref="BI24">IF($F$13-$I$4+VLOOKUP($R24,武学奇术!$A:$ZZ,13,FALSE)+SUM(_xlfn.XLOOKUP($S24:$AL24,增益!$A:$A,增益!$M:$M,0))&gt;0,($F$13-$I$4+VLOOKUP($R24,武学奇术!$A:$ZZ,13,FALSE)+SUM(_xlfn.XLOOKUP($S24:$AL24,增益!$A:$A,增益!$K:$K,0)))/200,($F$13-$I$4+VLOOKUP($R24,武学奇术!$A:$ZZ,13,FALSE)+SUM(_xlfn.XLOOKUP($S24:$AL24,增益!$A:$A,增益!$M:$M,0)))/100)</f>
        <v>-0.14</v>
      </c>
      <c r="BJ24" s="40" cm="1">
        <f t="array" ref="BJ24">$G$13+VLOOKUP($R24,武学奇术!$A:$ZZ,14,FALSE)+SUM(_xlfn.XLOOKUP($S24:$AL24,增益!$A:$A,增益!$N:$N,0))</f>
        <v>0.02</v>
      </c>
      <c r="BK24">
        <f t="shared" si="8"/>
        <v>0</v>
      </c>
      <c r="BL24">
        <f t="shared" si="9"/>
        <v>0</v>
      </c>
      <c r="BM24" s="40" cm="1">
        <f t="array" ref="BM24">IF($F$14-$I$4+VLOOKUP($R24,武学奇术!$A:$ZZ,15,FALSE)+SUM(_xlfn.XLOOKUP($S24:$AL24,增益!$A:$A,增益!$O:$O,0))&gt;0,($F$14-$I$4+VLOOKUP($R24,武学奇术!$A:$ZZ,15,FALSE)+SUM(_xlfn.XLOOKUP($S24:$AL24,增益!$A:$A,增益!$O:$O,0)))/200,($F$14-$I$4+VLOOKUP($R24,武学奇术!$A:$ZZ,15,FALSE)+SUM(_xlfn.XLOOKUP($S24:$AL24,增益!$A:$A,增益!$O:$O,0)))/100)</f>
        <v>-0.14</v>
      </c>
      <c r="BN24" s="40" cm="1">
        <f t="array" ref="BN24">$G$14+VLOOKUP($R24,武学奇术!$A:$ZZ,16,FALSE)+SUM(_xlfn.XLOOKUP($S24:$AL24,增益!$A:$A,增益!$P:$P,0))</f>
        <v>0.02</v>
      </c>
      <c r="BO24" s="33">
        <f>MIN(IF(VLOOKUP($R24,武学奇术!$A:$ZZ,23,FALSE)=1,100%,$B$8),100%)</f>
        <v>1</v>
      </c>
      <c r="BP24" s="33" cm="1">
        <f t="array" ref="BP24">IF(VLOOKUP($R24,武学奇术!$A:$ZZ,23,FALSE)=1,100%,MIN(80%,$B$9+VLOOKUP($R24,武学奇术!$A:$ZZ,17,FALSE)+SUM(_xlfn.XLOOKUP($S24:$AL24,增益!$A:$A,增益!$Q:$Q,0)))+$B$11+SUM(_xlfn.XLOOKUP($S24:$AL24,增益!$A:$A,增益!$U:$U,0)))*IF(VLOOKUP($R24,武学奇术!$A:$ZZ,24,FALSE)=1,0,1)</f>
        <v>1</v>
      </c>
      <c r="BQ24" s="33" cm="1">
        <f t="array" ref="BQ24">1+$B$13+VLOOKUP($R24,武学奇术!$A:$ZZ,18,FALSE)+SUM(_xlfn.XLOOKUP($S24:$AL24,增益!$A:$A,增益!$R:$R,0))</f>
        <v>2.03</v>
      </c>
      <c r="BR24" s="33" cm="1">
        <f t="array" ref="BR24">IF(VLOOKUP($R24,武学奇术!$A:$ZZ,24,FALSE)=1,100%,MIN(40%,$B$10+VLOOKUP($R24,武学奇术!$A:$ZZ,19,FALSE)+SUM(_xlfn.XLOOKUP($S24:$AL24,增益!$A:$A,增益!$S:$S,0)))+$B$12+SUM(_xlfn.XLOOKUP($S24:$AL24,增益!$A:$A,增益!$V:$V,0)))*IF(VLOOKUP($R24,武学奇术!$A:$ZZ,23,FALSE)=1,0,1)</f>
        <v>0</v>
      </c>
      <c r="BS24" s="33" cm="1">
        <f t="array" ref="BS24">1+$B$14+VLOOKUP($R24,武学奇术!$A:$ZZ,20,FALSE)+SUM(_xlfn.XLOOKUP($S24:$AL24,增益!$A:$A,增益!$T:$T,0))</f>
        <v>1.35</v>
      </c>
      <c r="BT24" s="33">
        <f t="shared" si="10"/>
        <v>1</v>
      </c>
      <c r="BU24" s="33">
        <f t="shared" si="11"/>
        <v>0</v>
      </c>
      <c r="BV24" s="33">
        <f>IF(VLOOKUP($R24,武学奇术!$A:$ZZ,22,FALSE)=1,0,(1-$BO24))*(1-$BR24)</f>
        <v>0</v>
      </c>
      <c r="BW24" s="33" cm="1">
        <f t="array" ref="BW24">SUM(_xlfn.XLOOKUP($S24:$AL24,增益!$A:$A,增益!$W:$W,0))+$I$5</f>
        <v>0.11</v>
      </c>
      <c r="BX24" s="33" cm="1">
        <f t="array" ref="BX24">VLOOKUP($R24,武学奇术!$A:$ZZ,32,FALSE)+SUM(_xlfn.XLOOKUP($S24:$AL24,增益!$A:$A,增益!$X:$X,0))</f>
        <v>0</v>
      </c>
    </row>
    <row r="25" spans="1:76">
      <c r="L25" s="46">
        <f t="shared" si="0"/>
        <v>46317.8980537062</v>
      </c>
      <c r="M25" s="46">
        <f>((($AT25+$AU25)/2*$AN25+$AO25)*(1+$AV25)*(1+$AW25)+(($AY25+$AZ25)/2*IF($G$1="鸣金",$AP25,$AN25)+IF($G$1="鸣金",$AQ25*1.5,0))*(1+$BA25)*(1+$BB25)+(($BC25+$BD25)/2*IF($G$1="裂石",$AP25,$AN25)+IF($G$1="裂石",$AQ25*1.5,0))*(1+$BE25)*(1+$BF25)+(($BG25+$BH25)/2*IF($G$1="牵丝",$AP25,$AN25)+IF($G$1="牵丝",$AQ25*1.5,0))*(1+$BI25)*(1+$BJ25)+(($BK25+$BL25)/2*IF($G$1="破竹",$AP25,$AN25)+IF($G$1="破竹",$AQ25*1.5,0))*(1+$BM25)*(1+$BN25))*(1+$AR25)*$BQ25*$Q25*(1+IF(VLOOKUP($R25,武学奇术!$A:$ZZ,30,FALSE)="蓄力技",$B$21,0))*(1+IF(VLOOKUP($R25,武学奇术!$A:$ZZ,30,FALSE)="派生技",$B$20,0))*(1+$BW25)*(1+$BX25)</f>
        <v>46317.8980537062</v>
      </c>
      <c r="N25" s="46">
        <f>(($AU25*$AN25+$AO25)*(1+$AV25)*(1+$AW25)+($AZ25*IF($G$1="鸣金",$AP25,$AN25)+IF($G$1="鸣金",$AQ25*1.5,0))*(1+$BA25)*(1+$BB25)+($BD25*IF($G$1="裂石",$AP25,$AN25)+IF($G$1="裂石",$AQ25*1.5,0))*(1+$BE25)*(1+$BF25)+($BH25*IF($G$1="牵丝",$AP25,$AN25)+IF($G$1="牵丝",$AQ25*1.5,0))*(1+$BI25)*(1+$BJ25)+($BL25*IF($G$1="破竹",$AP25,$AN25)+IF($G$1="破竹",$AQ25*1.5,0))*(1+$BM25)*(1+$BN25))*(1+$AR25)*$BS25*$Q25*(1+IF(VLOOKUP($R25,武学奇术!$A:$ZZ,30,FALSE)="蓄力技",$B$21,0))*(1+IF(VLOOKUP($R25,武学奇术!$A:$ZZ,30,FALSE)="派生技",$B$20,0))*(1+$BW25)*(1+$BX25)</f>
        <v>34974.3041905019</v>
      </c>
      <c r="O25" s="46">
        <f>((($AT25+$AU25)/2*$AN25+$AO25)*(1+$AV25)*(1+$AW25)+(($AY25+$AZ25)/2*IF($G$1="鸣金",$AP25,$AN25)+IF($G$1="鸣金",$AQ25*1.5,0))*(1+$BA25)*(1+$BB25)+(($BC25+$BD25)/2*IF($G$1="裂石",$AP25,$AN25)+IF($G$1="裂石",$AQ25*1.5,0))*(1+$BE25)*(1+$BF25)+(($BG25+$BH25)/2*IF($G$1="牵丝",$AP25,$AN25)+IF($G$1="牵丝",$AQ25*1.5,0))*(1+$BI25)*(1+$BJ25)+(($BK25+$BL25)/2*IF($G$1="破竹",$AP25,$AN25)+IF($G$1="破竹",$AQ25*1.5,0))*(1+$BM25)*(1+$BN25))*(1+$AR25)*$Q25*(1+IF(VLOOKUP($R25,武学奇术!$A:$ZZ,30,FALSE)="蓄力技",$B$21,0))*(1+IF(VLOOKUP($R25,武学奇术!$A:$ZZ,30,FALSE)="派生技",$B$20,0))*(1+$BW25)*(1+$BX25)</f>
        <v>22816.6985486237</v>
      </c>
      <c r="P25" s="46">
        <f>((($AT25*$AN25+$AO25)*(1+$AV25)*(1+$AW25)+($AY25*IF($G$1="鸣金",$AP25,$AN25)+IF($G$1="鸣金",$AQ25*1.5,0))*(1+$BA25)*(1+$BB25)+($BC25*IF($G$1="裂石",$AP25,$AN25)+IF($G$1="裂石",$AQ25*1.5,0))*(1+$BE25)*(1+$BF25)+($BG25*IF($G$1="牵丝",$AP25,$AN25)+IF($G$1="牵丝",$AQ25*1.5,0))*(1+$BI25)*(1+$BJ25)+($BK25*IF($G$1="破竹",$AP25,$AN25)+IF($G$1="破竹",$AQ25*1.5,0))*(1+$BM25)*(1+$BN25))*(1+$AR25))*$Q25*(1+IF(VLOOKUP($R25,武学奇术!$A:$ZZ,30,FALSE)="蓄力技",$B$21,0))*(1+IF(VLOOKUP($R25,武学奇术!$A:$ZZ,30,FALSE)="派生技",$B$20,0))*(1+$BW25)*(1+$BX25)</f>
        <v>19726.5051042831</v>
      </c>
      <c r="Q25" s="47">
        <f t="shared" si="12"/>
        <v>1</v>
      </c>
      <c r="R25" s="48" t="s">
        <v>144</v>
      </c>
      <c r="S25" s="48" t="s">
        <v>99</v>
      </c>
      <c r="T25" s="48" t="s">
        <v>95</v>
      </c>
      <c r="U25" s="48" t="s">
        <v>79</v>
      </c>
      <c r="V25" s="48" t="s">
        <v>90</v>
      </c>
      <c r="W25" s="48" t="s">
        <v>141</v>
      </c>
      <c r="X25" s="48" t="s">
        <v>145</v>
      </c>
      <c r="Y25" s="48" t="s">
        <v>74</v>
      </c>
      <c r="Z25" s="48" t="s">
        <v>142</v>
      </c>
      <c r="AA25" s="48" t="s">
        <v>80</v>
      </c>
      <c r="AB25" s="48" t="s">
        <v>80</v>
      </c>
      <c r="AC25" s="48" t="s">
        <v>80</v>
      </c>
      <c r="AD25" s="48" t="s">
        <v>80</v>
      </c>
      <c r="AE25" s="48" t="s">
        <v>82</v>
      </c>
      <c r="AF25" s="48" t="s">
        <v>83</v>
      </c>
      <c r="AG25" s="48" t="s">
        <v>84</v>
      </c>
      <c r="AH25" s="48" t="s">
        <v>80</v>
      </c>
      <c r="AI25" s="48" t="s">
        <v>80</v>
      </c>
      <c r="AJ25" s="48" t="s">
        <v>80</v>
      </c>
      <c r="AK25" s="48" t="s">
        <v>80</v>
      </c>
      <c r="AL25" s="48" t="s">
        <v>85</v>
      </c>
      <c r="AM25" t="str">
        <f>VLOOKUP($R25,武学奇术!$A:$ZZ,25,FALSE)</f>
        <v>陌刀</v>
      </c>
      <c r="AN25" s="33">
        <f>VLOOKUP($R25,武学奇术!$A:$ZZ,26,FALSE)</f>
        <v>0.945</v>
      </c>
      <c r="AO25" s="34">
        <f>VLOOKUP($R25,武学奇术!$A:$ZZ,27,FALSE)*(1+IF(OR($AM25=$F$4,$AM25=$F$5),$B$22,0))</f>
        <v>0</v>
      </c>
      <c r="AP25" s="33">
        <f>VLOOKUP($R25,武学奇术!$A:$ZZ,28,FALSE)</f>
        <v>1.4175</v>
      </c>
      <c r="AQ25" s="34">
        <f>VLOOKUP($R25,武学奇术!$A:$ZZ,29,FALSE)*(1+IF(OR($AM25=$F$4,$AM25=$F$5),$B$22,0))</f>
        <v>0</v>
      </c>
      <c r="AR25" s="33" cm="1">
        <f t="array" ref="AR25">$G$3+IFERROR(VLOOKUP($AM25,$F$4:$G$7,2,FALSE),0)+VLOOKUP($R25,武学奇术!$A:$ZZ,2,FALSE)+SUM(_xlfn.XLOOKUP($S25:$AL25,增益!$A:$A,增益!$B:$B,0))</f>
        <v>0.7443</v>
      </c>
      <c r="AS25" s="33" cm="1">
        <f t="array" ref="AS25">VLOOKUP($R25,武学奇术!$A:$ZZ,5,FALSE)+SUM(_xlfn.XLOOKUP($S25:$AL25,增益!$A:$A,增益!$E:$E,0))</f>
        <v>0</v>
      </c>
      <c r="AT25" cm="1">
        <f t="array" ref="AT25">$D$10*(1+$AS25)+VLOOKUP($R25,武学奇术!$A:$ZZ,3,FALSE)+SUM(_xlfn.XLOOKUP($S25:$AL25,增益!$A:$A,增益!$C:$C,0))-$I$2</f>
        <v>4094.7</v>
      </c>
      <c r="AU25" cm="1">
        <f t="array" ref="AU25">$E$10*(1+$AS25)+VLOOKUP($R25,武学奇术!$A:$ZZ,4,FALSE)+SUM(_xlfn.XLOOKUP($S25:$AL25,增益!$A:$A,增益!$D:$D,0))-$I$2</f>
        <v>4094.7</v>
      </c>
      <c r="AV25" s="40" cm="1">
        <f t="array" ref="AV25">IF($F$10-$I$3+VLOOKUP($R25,武学奇术!$A:$ZZ,6,FALSE)+SUM(_xlfn.XLOOKUP($S25:$AL25,增益!$A:$A,增益!$F:$F,0))&gt;0,($F$10-$I$3+VLOOKUP($R25,武学奇术!$A:$ZZ,6,FALSE)+SUM(_xlfn.XLOOKUP($S25:$AL25,增益!$A:$A,增益!$F:$F,0)))/200,($F$10-$I$3+VLOOKUP($R25,武学奇术!$A:$ZZ,6,FALSE)+SUM(_xlfn.XLOOKUP($S25:$AL25,增益!$A:$A,增益!$F:$F,0)))/100)</f>
        <v>0.4384</v>
      </c>
      <c r="AW25" s="40" cm="1">
        <f t="array" ref="AW25">$G$10+VLOOKUP($R25,武学奇术!$A:$ZZ,7,FALSE)+SUM(_xlfn.XLOOKUP($S25:$AL25,增益!$A:$A,增益!$G:$G,0))</f>
        <v>0.14</v>
      </c>
      <c r="AX25" s="33" cm="1">
        <f t="array" ref="AX25">VLOOKUP($R25,武学奇术!$A:$ZZ,8,FALSE)+SUM(_xlfn.XLOOKUP($S25:$AL25,增益!$A:$A,增益!$H:$H,0))</f>
        <v>0</v>
      </c>
      <c r="AY25">
        <f t="shared" si="2"/>
        <v>0</v>
      </c>
      <c r="AZ25">
        <f t="shared" si="3"/>
        <v>0</v>
      </c>
      <c r="BA25" s="40" cm="1">
        <f t="array" ref="BA25">IF($F$11-$I$4+VLOOKUP($R25,武学奇术!$A:$ZZ,9,FALSE)+SUM(_xlfn.XLOOKUP($S25:$AL25,增益!$A:$A,增益!$I:$I,0))&gt;0,($F$11-$I$4+VLOOKUP($R25,武学奇术!$A:$ZZ,9,FALSE)+SUM(_xlfn.XLOOKUP($S25:$AL25,增益!$A:$A,增益!$I:$I,0)))/200,($F$11-$I$4+VLOOKUP($R25,武学奇术!$A:$ZZ,9,FALSE)+SUM(_xlfn.XLOOKUP($S25:$AL25,增益!$A:$A,增益!$I:$I,0)))/100)</f>
        <v>-0.14</v>
      </c>
      <c r="BB25" s="40" cm="1">
        <f t="array" ref="BB25">$G$11+VLOOKUP($R25,武学奇术!$A:$ZZ,10,FALSE)+SUM(_xlfn.XLOOKUP($S25:$AL25,增益!$A:$A,增益!$J:$J,0))</f>
        <v>0.02</v>
      </c>
      <c r="BC25">
        <f t="shared" si="4"/>
        <v>640.3</v>
      </c>
      <c r="BD25">
        <f t="shared" si="5"/>
        <v>1770.1</v>
      </c>
      <c r="BE25" s="40" cm="1">
        <f t="array" ref="BE25">IF($F$12-$I$4+VLOOKUP($R25,武学奇术!$A:$ZZ,11,FALSE)+SUM(_xlfn.XLOOKUP($S25:$AL25,增益!$A:$A,增益!$K:$K,0))&gt;0,($F$12-$I$4+VLOOKUP($R25,武学奇术!$A:$ZZ,11,FALSE)+SUM(_xlfn.XLOOKUP($S25:$AL25,增益!$A:$A,增益!$K:$K,0)))/200,($F$12-$I$4+VLOOKUP($R25,武学奇术!$A:$ZZ,11,FALSE)+SUM(_xlfn.XLOOKUP($S25:$AL25,增益!$A:$A,增益!$K:$K,0)))/100)</f>
        <v>0.17</v>
      </c>
      <c r="BF25" s="40" cm="1">
        <f t="array" ref="BF25">$G$12+VLOOKUP($R25,武学奇术!$A:$ZZ,12,FALSE)+SUM(_xlfn.XLOOKUP($S25:$AL25,增益!$A:$A,增益!$L:$L,0))</f>
        <v>0.29</v>
      </c>
      <c r="BG25">
        <f t="shared" si="6"/>
        <v>0</v>
      </c>
      <c r="BH25">
        <f t="shared" si="7"/>
        <v>0</v>
      </c>
      <c r="BI25" s="40" cm="1">
        <f t="array" ref="BI25">IF($F$13-$I$4+VLOOKUP($R25,武学奇术!$A:$ZZ,13,FALSE)+SUM(_xlfn.XLOOKUP($S25:$AL25,增益!$A:$A,增益!$M:$M,0))&gt;0,($F$13-$I$4+VLOOKUP($R25,武学奇术!$A:$ZZ,13,FALSE)+SUM(_xlfn.XLOOKUP($S25:$AL25,增益!$A:$A,增益!$K:$K,0)))/200,($F$13-$I$4+VLOOKUP($R25,武学奇术!$A:$ZZ,13,FALSE)+SUM(_xlfn.XLOOKUP($S25:$AL25,增益!$A:$A,增益!$M:$M,0)))/100)</f>
        <v>-0.14</v>
      </c>
      <c r="BJ25" s="40" cm="1">
        <f t="array" ref="BJ25">$G$13+VLOOKUP($R25,武学奇术!$A:$ZZ,14,FALSE)+SUM(_xlfn.XLOOKUP($S25:$AL25,增益!$A:$A,增益!$N:$N,0))</f>
        <v>0.02</v>
      </c>
      <c r="BK25">
        <f t="shared" si="8"/>
        <v>0</v>
      </c>
      <c r="BL25">
        <f t="shared" si="9"/>
        <v>0</v>
      </c>
      <c r="BM25" s="40" cm="1">
        <f t="array" ref="BM25">IF($F$14-$I$4+VLOOKUP($R25,武学奇术!$A:$ZZ,15,FALSE)+SUM(_xlfn.XLOOKUP($S25:$AL25,增益!$A:$A,增益!$O:$O,0))&gt;0,($F$14-$I$4+VLOOKUP($R25,武学奇术!$A:$ZZ,15,FALSE)+SUM(_xlfn.XLOOKUP($S25:$AL25,增益!$A:$A,增益!$O:$O,0)))/200,($F$14-$I$4+VLOOKUP($R25,武学奇术!$A:$ZZ,15,FALSE)+SUM(_xlfn.XLOOKUP($S25:$AL25,增益!$A:$A,增益!$O:$O,0)))/100)</f>
        <v>-0.14</v>
      </c>
      <c r="BN25" s="40" cm="1">
        <f t="array" ref="BN25">$G$14+VLOOKUP($R25,武学奇术!$A:$ZZ,16,FALSE)+SUM(_xlfn.XLOOKUP($S25:$AL25,增益!$A:$A,增益!$P:$P,0))</f>
        <v>0.02</v>
      </c>
      <c r="BO25" s="33">
        <f>MIN(IF(VLOOKUP($R25,武学奇术!$A:$ZZ,23,FALSE)=1,100%,$B$8),100%)</f>
        <v>1</v>
      </c>
      <c r="BP25" s="33" cm="1">
        <f t="array" ref="BP25">IF(VLOOKUP($R25,武学奇术!$A:$ZZ,23,FALSE)=1,100%,MIN(80%,$B$9+VLOOKUP($R25,武学奇术!$A:$ZZ,17,FALSE)+SUM(_xlfn.XLOOKUP($S25:$AL25,增益!$A:$A,增益!$Q:$Q,0)))+$B$11+SUM(_xlfn.XLOOKUP($S25:$AL25,增益!$A:$A,增益!$U:$U,0)))*IF(VLOOKUP($R25,武学奇术!$A:$ZZ,24,FALSE)=1,0,1)</f>
        <v>1</v>
      </c>
      <c r="BQ25" s="33" cm="1">
        <f t="array" ref="BQ25">1+$B$13+VLOOKUP($R25,武学奇术!$A:$ZZ,18,FALSE)+SUM(_xlfn.XLOOKUP($S25:$AL25,增益!$A:$A,增益!$R:$R,0))</f>
        <v>2.03</v>
      </c>
      <c r="BR25" s="33" cm="1">
        <f t="array" ref="BR25">IF(VLOOKUP($R25,武学奇术!$A:$ZZ,24,FALSE)=1,100%,MIN(40%,$B$10+VLOOKUP($R25,武学奇术!$A:$ZZ,19,FALSE)+SUM(_xlfn.XLOOKUP($S25:$AL25,增益!$A:$A,增益!$S:$S,0)))+$B$12+SUM(_xlfn.XLOOKUP($S25:$AL25,增益!$A:$A,增益!$V:$V,0)))*IF(VLOOKUP($R25,武学奇术!$A:$ZZ,23,FALSE)=1,0,1)</f>
        <v>0</v>
      </c>
      <c r="BS25" s="33" cm="1">
        <f t="array" ref="BS25">1+$B$14+VLOOKUP($R25,武学奇术!$A:$ZZ,20,FALSE)+SUM(_xlfn.XLOOKUP($S25:$AL25,增益!$A:$A,增益!$T:$T,0))</f>
        <v>1.35</v>
      </c>
      <c r="BT25" s="33">
        <f t="shared" si="10"/>
        <v>1</v>
      </c>
      <c r="BU25" s="33">
        <f t="shared" si="11"/>
        <v>0</v>
      </c>
      <c r="BV25" s="33">
        <f>IF(VLOOKUP($R25,武学奇术!$A:$ZZ,22,FALSE)=1,0,(1-$BO25))*(1-$BR25)</f>
        <v>0</v>
      </c>
      <c r="BW25" s="33" cm="1">
        <f t="array" ref="BW25">SUM(_xlfn.XLOOKUP($S25:$AL25,增益!$A:$A,增益!$W:$W,0))+$I$5</f>
        <v>0.11</v>
      </c>
      <c r="BX25" s="33" cm="1">
        <f t="array" ref="BX25">VLOOKUP($R25,武学奇术!$A:$ZZ,32,FALSE)+SUM(_xlfn.XLOOKUP($S25:$AL25,增益!$A:$A,增益!$X:$X,0))</f>
        <v>0</v>
      </c>
    </row>
    <row r="26" spans="1:76">
      <c r="A26" t="s">
        <v>160</v>
      </c>
      <c r="B26">
        <v>1.1</v>
      </c>
      <c r="L26" s="46">
        <f t="shared" si="0"/>
        <v>418067.469003082</v>
      </c>
      <c r="M26" s="46">
        <f>((($AT26+$AU26)/2*$AN26+$AO26)*(1+$AV26)*(1+$AW26)+(($AY26+$AZ26)/2*IF($G$1="鸣金",$AP26,$AN26)+IF($G$1="鸣金",$AQ26*1.5,0))*(1+$BA26)*(1+$BB26)+(($BC26+$BD26)/2*IF($G$1="裂石",$AP26,$AN26)+IF($G$1="裂石",$AQ26*1.5,0))*(1+$BE26)*(1+$BF26)+(($BG26+$BH26)/2*IF($G$1="牵丝",$AP26,$AN26)+IF($G$1="牵丝",$AQ26*1.5,0))*(1+$BI26)*(1+$BJ26)+(($BK26+$BL26)/2*IF($G$1="破竹",$AP26,$AN26)+IF($G$1="破竹",$AQ26*1.5,0))*(1+$BM26)*(1+$BN26))*(1+$AR26)*$BQ26*$Q26*(1+IF(VLOOKUP($R26,武学奇术!$A:$ZZ,30,FALSE)="蓄力技",$B$21,0))*(1+IF(VLOOKUP($R26,武学奇术!$A:$ZZ,30,FALSE)="派生技",$B$20,0))*(1+$BW26)*(1+$BX26)</f>
        <v>418067.469003082</v>
      </c>
      <c r="N26" s="46">
        <f>(($AU26*$AN26+$AO26)*(1+$AV26)*(1+$AW26)+($AZ26*IF($G$1="鸣金",$AP26,$AN26)+IF($G$1="鸣金",$AQ26*1.5,0))*(1+$BA26)*(1+$BB26)+($BD26*IF($G$1="裂石",$AP26,$AN26)+IF($G$1="裂石",$AQ26*1.5,0))*(1+$BE26)*(1+$BF26)+($BH26*IF($G$1="牵丝",$AP26,$AN26)+IF($G$1="牵丝",$AQ26*1.5,0))*(1+$BI26)*(1+$BJ26)+($BL26*IF($G$1="破竹",$AP26,$AN26)+IF($G$1="破竹",$AQ26*1.5,0))*(1+$BM26)*(1+$BN26))*(1+$AR26)*$BS26*$Q26*(1+IF(VLOOKUP($R26,武学奇术!$A:$ZZ,30,FALSE)="蓄力技",$B$21,0))*(1+IF(VLOOKUP($R26,武学奇术!$A:$ZZ,30,FALSE)="派生技",$B$20,0))*(1+$BW26)*(1+$BX26)</f>
        <v>309686.304430391</v>
      </c>
      <c r="O26" s="46">
        <f>((($AT26+$AU26)/2*$AN26+$AO26)*(1+$AV26)*(1+$AW26)+(($AY26+$AZ26)/2*IF($G$1="鸣金",$AP26,$AN26)+IF($G$1="鸣金",$AQ26*1.5,0))*(1+$BA26)*(1+$BB26)+(($BC26+$BD26)/2*IF($G$1="裂石",$AP26,$AN26)+IF($G$1="裂石",$AQ26*1.5,0))*(1+$BE26)*(1+$BF26)+(($BG26+$BH26)/2*IF($G$1="牵丝",$AP26,$AN26)+IF($G$1="牵丝",$AQ26*1.5,0))*(1+$BI26)*(1+$BJ26)+(($BK26+$BL26)/2*IF($G$1="破竹",$AP26,$AN26)+IF($G$1="破竹",$AQ26*1.5,0))*(1+$BM26)*(1+$BN26))*(1+$AR26)*$Q26*(1+IF(VLOOKUP($R26,武学奇术!$A:$ZZ,30,FALSE)="蓄力技",$B$21,0))*(1+IF(VLOOKUP($R26,武学奇术!$A:$ZZ,30,FALSE)="派生技",$B$20,0))*(1+$BW26)*(1+$BX26)</f>
        <v>204935.03382504</v>
      </c>
      <c r="P26" s="46">
        <f>((($AT26*$AN26+$AO26)*(1+$AV26)*(1+$AW26)+($AY26*IF($G$1="鸣金",$AP26,$AN26)+IF($G$1="鸣金",$AQ26*1.5,0))*(1+$BA26)*(1+$BB26)+($BC26*IF($G$1="裂石",$AP26,$AN26)+IF($G$1="裂石",$AQ26*1.5,0))*(1+$BE26)*(1+$BF26)+($BG26*IF($G$1="牵丝",$AP26,$AN26)+IF($G$1="牵丝",$AQ26*1.5,0))*(1+$BI26)*(1+$BJ26)+($BK26*IF($G$1="破竹",$AP26,$AN26)+IF($G$1="破竹",$AQ26*1.5,0))*(1+$BM26)*(1+$BN26))*(1+$AR26))*$Q26*(1+IF(VLOOKUP($R26,武学奇术!$A:$ZZ,30,FALSE)="蓄力技",$B$21,0))*(1+IF(VLOOKUP($R26,武学奇术!$A:$ZZ,30,FALSE)="派生技",$B$20,0))*(1+$BW26)*(1+$BX26)</f>
        <v>180472.80510905</v>
      </c>
      <c r="Q26" s="47">
        <f t="shared" si="12"/>
        <v>1</v>
      </c>
      <c r="R26" s="48" t="s">
        <v>148</v>
      </c>
      <c r="S26" s="48" t="s">
        <v>99</v>
      </c>
      <c r="T26" s="48" t="s">
        <v>100</v>
      </c>
      <c r="U26" s="48" t="s">
        <v>79</v>
      </c>
      <c r="V26" s="48" t="s">
        <v>90</v>
      </c>
      <c r="W26" s="48" t="s">
        <v>141</v>
      </c>
      <c r="X26" s="48" t="s">
        <v>145</v>
      </c>
      <c r="Y26" s="48" t="s">
        <v>74</v>
      </c>
      <c r="Z26" s="48" t="s">
        <v>149</v>
      </c>
      <c r="AA26" s="48" t="s">
        <v>80</v>
      </c>
      <c r="AB26" s="48" t="s">
        <v>80</v>
      </c>
      <c r="AC26" s="48" t="s">
        <v>80</v>
      </c>
      <c r="AD26" s="48" t="s">
        <v>80</v>
      </c>
      <c r="AE26" s="48" t="s">
        <v>82</v>
      </c>
      <c r="AF26" s="48" t="s">
        <v>83</v>
      </c>
      <c r="AG26" s="48" t="s">
        <v>84</v>
      </c>
      <c r="AH26" s="48" t="s">
        <v>80</v>
      </c>
      <c r="AI26" s="48" t="s">
        <v>80</v>
      </c>
      <c r="AJ26" s="48" t="s">
        <v>80</v>
      </c>
      <c r="AK26" s="48" t="s">
        <v>80</v>
      </c>
      <c r="AL26" s="48" t="s">
        <v>85</v>
      </c>
      <c r="AM26" t="str">
        <f>VLOOKUP($R26,武学奇术!$A:$ZZ,25,FALSE)</f>
        <v>陌刀</v>
      </c>
      <c r="AN26" s="33">
        <f>VLOOKUP($R26,武学奇术!$A:$ZZ,26,FALSE)</f>
        <v>7.5674</v>
      </c>
      <c r="AO26" s="34">
        <f>VLOOKUP($R26,武学奇术!$A:$ZZ,27,FALSE)*(1+IF(OR($AM26=$F$4,$AM26=$F$5),$B$22,0))</f>
        <v>3348.8</v>
      </c>
      <c r="AP26" s="33">
        <f>VLOOKUP($R26,武学奇术!$A:$ZZ,28,FALSE)</f>
        <v>11.3512</v>
      </c>
      <c r="AQ26" s="34">
        <f>VLOOKUP($R26,武学奇术!$A:$ZZ,29,FALSE)*(1+IF(OR($AM26=$F$4,$AM26=$F$5),$B$22,0))</f>
        <v>1824</v>
      </c>
      <c r="AR26" s="33" cm="1">
        <f t="array" ref="AR26">$G$3+IFERROR(VLOOKUP($AM26,$F$4:$G$7,2,FALSE),0)+VLOOKUP($R26,武学奇术!$A:$ZZ,2,FALSE)+SUM(_xlfn.XLOOKUP($S26:$AL26,增益!$A:$A,增益!$B:$B,0))</f>
        <v>0.7243</v>
      </c>
      <c r="AS26" s="33" cm="1">
        <f t="array" ref="AS26">VLOOKUP($R26,武学奇术!$A:$ZZ,5,FALSE)+SUM(_xlfn.XLOOKUP($S26:$AL26,增益!$A:$A,增益!$E:$E,0))</f>
        <v>0</v>
      </c>
      <c r="AT26" cm="1">
        <f t="array" ref="AT26">$D$10*(1+$AS26)+VLOOKUP($R26,武学奇术!$A:$ZZ,3,FALSE)+SUM(_xlfn.XLOOKUP($S26:$AL26,增益!$A:$A,增益!$C:$C,0))-$I$2</f>
        <v>4094.7</v>
      </c>
      <c r="AU26" cm="1">
        <f t="array" ref="AU26">$E$10*(1+$AS26)+VLOOKUP($R26,武学奇术!$A:$ZZ,4,FALSE)+SUM(_xlfn.XLOOKUP($S26:$AL26,增益!$A:$A,增益!$D:$D,0))-$I$2</f>
        <v>4094.7</v>
      </c>
      <c r="AV26" s="40" cm="1">
        <f t="array" ref="AV26">IF($F$10-$I$3+VLOOKUP($R26,武学奇术!$A:$ZZ,6,FALSE)+SUM(_xlfn.XLOOKUP($S26:$AL26,增益!$A:$A,增益!$F:$F,0))&gt;0,($F$10-$I$3+VLOOKUP($R26,武学奇术!$A:$ZZ,6,FALSE)+SUM(_xlfn.XLOOKUP($S26:$AL26,增益!$A:$A,增益!$F:$F,0)))/200,($F$10-$I$3+VLOOKUP($R26,武学奇术!$A:$ZZ,6,FALSE)+SUM(_xlfn.XLOOKUP($S26:$AL26,增益!$A:$A,增益!$F:$F,0)))/100)</f>
        <v>0.4384</v>
      </c>
      <c r="AW26" s="40" cm="1">
        <f t="array" ref="AW26">$G$10+VLOOKUP($R26,武学奇术!$A:$ZZ,7,FALSE)+SUM(_xlfn.XLOOKUP($S26:$AL26,增益!$A:$A,增益!$G:$G,0))</f>
        <v>0.14</v>
      </c>
      <c r="AX26" s="33" cm="1">
        <f t="array" ref="AX26">VLOOKUP($R26,武学奇术!$A:$ZZ,8,FALSE)+SUM(_xlfn.XLOOKUP($S26:$AL26,增益!$A:$A,增益!$H:$H,0))</f>
        <v>0</v>
      </c>
      <c r="AY26">
        <f t="shared" si="2"/>
        <v>0</v>
      </c>
      <c r="AZ26">
        <f t="shared" si="3"/>
        <v>0</v>
      </c>
      <c r="BA26" s="40" cm="1">
        <f t="array" ref="BA26">IF($F$11-$I$4+VLOOKUP($R26,武学奇术!$A:$ZZ,9,FALSE)+SUM(_xlfn.XLOOKUP($S26:$AL26,增益!$A:$A,增益!$I:$I,0))&gt;0,($F$11-$I$4+VLOOKUP($R26,武学奇术!$A:$ZZ,9,FALSE)+SUM(_xlfn.XLOOKUP($S26:$AL26,增益!$A:$A,增益!$I:$I,0)))/200,($F$11-$I$4+VLOOKUP($R26,武学奇术!$A:$ZZ,9,FALSE)+SUM(_xlfn.XLOOKUP($S26:$AL26,增益!$A:$A,增益!$I:$I,0)))/100)</f>
        <v>-0.14</v>
      </c>
      <c r="BB26" s="40" cm="1">
        <f t="array" ref="BB26">$G$11+VLOOKUP($R26,武学奇术!$A:$ZZ,10,FALSE)+SUM(_xlfn.XLOOKUP($S26:$AL26,增益!$A:$A,增益!$J:$J,0))</f>
        <v>0.02</v>
      </c>
      <c r="BC26">
        <f t="shared" si="4"/>
        <v>640.3</v>
      </c>
      <c r="BD26">
        <f t="shared" si="5"/>
        <v>1770.1</v>
      </c>
      <c r="BE26" s="40" cm="1">
        <f t="array" ref="BE26">IF($F$12-$I$4+VLOOKUP($R26,武学奇术!$A:$ZZ,11,FALSE)+SUM(_xlfn.XLOOKUP($S26:$AL26,增益!$A:$A,增益!$K:$K,0))&gt;0,($F$12-$I$4+VLOOKUP($R26,武学奇术!$A:$ZZ,11,FALSE)+SUM(_xlfn.XLOOKUP($S26:$AL26,增益!$A:$A,增益!$K:$K,0)))/200,($F$12-$I$4+VLOOKUP($R26,武学奇术!$A:$ZZ,11,FALSE)+SUM(_xlfn.XLOOKUP($S26:$AL26,增益!$A:$A,增益!$K:$K,0)))/100)</f>
        <v>0.17</v>
      </c>
      <c r="BF26" s="40" cm="1">
        <f t="array" ref="BF26">$G$12+VLOOKUP($R26,武学奇术!$A:$ZZ,12,FALSE)+SUM(_xlfn.XLOOKUP($S26:$AL26,增益!$A:$A,增益!$L:$L,0))</f>
        <v>0.29</v>
      </c>
      <c r="BG26">
        <f t="shared" si="6"/>
        <v>0</v>
      </c>
      <c r="BH26">
        <f t="shared" si="7"/>
        <v>0</v>
      </c>
      <c r="BI26" s="40" cm="1">
        <f t="array" ref="BI26">IF($F$13-$I$4+VLOOKUP($R26,武学奇术!$A:$ZZ,13,FALSE)+SUM(_xlfn.XLOOKUP($S26:$AL26,增益!$A:$A,增益!$M:$M,0))&gt;0,($F$13-$I$4+VLOOKUP($R26,武学奇术!$A:$ZZ,13,FALSE)+SUM(_xlfn.XLOOKUP($S26:$AL26,增益!$A:$A,增益!$K:$K,0)))/200,($F$13-$I$4+VLOOKUP($R26,武学奇术!$A:$ZZ,13,FALSE)+SUM(_xlfn.XLOOKUP($S26:$AL26,增益!$A:$A,增益!$M:$M,0)))/100)</f>
        <v>-0.14</v>
      </c>
      <c r="BJ26" s="40" cm="1">
        <f t="array" ref="BJ26">$G$13+VLOOKUP($R26,武学奇术!$A:$ZZ,14,FALSE)+SUM(_xlfn.XLOOKUP($S26:$AL26,增益!$A:$A,增益!$N:$N,0))</f>
        <v>0.02</v>
      </c>
      <c r="BK26">
        <f t="shared" si="8"/>
        <v>0</v>
      </c>
      <c r="BL26">
        <f t="shared" si="9"/>
        <v>0</v>
      </c>
      <c r="BM26" s="40" cm="1">
        <f t="array" ref="BM26">IF($F$14-$I$4+VLOOKUP($R26,武学奇术!$A:$ZZ,15,FALSE)+SUM(_xlfn.XLOOKUP($S26:$AL26,增益!$A:$A,增益!$O:$O,0))&gt;0,($F$14-$I$4+VLOOKUP($R26,武学奇术!$A:$ZZ,15,FALSE)+SUM(_xlfn.XLOOKUP($S26:$AL26,增益!$A:$A,增益!$O:$O,0)))/200,($F$14-$I$4+VLOOKUP($R26,武学奇术!$A:$ZZ,15,FALSE)+SUM(_xlfn.XLOOKUP($S26:$AL26,增益!$A:$A,增益!$O:$O,0)))/100)</f>
        <v>-0.14</v>
      </c>
      <c r="BN26" s="40" cm="1">
        <f t="array" ref="BN26">$G$14+VLOOKUP($R26,武学奇术!$A:$ZZ,16,FALSE)+SUM(_xlfn.XLOOKUP($S26:$AL26,增益!$A:$A,增益!$P:$P,0))</f>
        <v>0.02</v>
      </c>
      <c r="BO26" s="33">
        <f>MIN(IF(VLOOKUP($R26,武学奇术!$A:$ZZ,23,FALSE)=1,100%,$B$8),100%)</f>
        <v>1</v>
      </c>
      <c r="BP26" s="33" cm="1">
        <f t="array" ref="BP26">IF(VLOOKUP($R26,武学奇术!$A:$ZZ,23,FALSE)=1,100%,MIN(80%,$B$9+VLOOKUP($R26,武学奇术!$A:$ZZ,17,FALSE)+SUM(_xlfn.XLOOKUP($S26:$AL26,增益!$A:$A,增益!$Q:$Q,0)))+$B$11+SUM(_xlfn.XLOOKUP($S26:$AL26,增益!$A:$A,增益!$U:$U,0)))*IF(VLOOKUP($R26,武学奇术!$A:$ZZ,24,FALSE)=1,0,1)</f>
        <v>1</v>
      </c>
      <c r="BQ26" s="33" cm="1">
        <f t="array" ref="BQ26">1+$B$13+VLOOKUP($R26,武学奇术!$A:$ZZ,18,FALSE)+SUM(_xlfn.XLOOKUP($S26:$AL26,增益!$A:$A,增益!$R:$R,0))</f>
        <v>2.04</v>
      </c>
      <c r="BR26" s="33" cm="1">
        <f t="array" ref="BR26">IF(VLOOKUP($R26,武学奇术!$A:$ZZ,24,FALSE)=1,100%,MIN(40%,$B$10+VLOOKUP($R26,武学奇术!$A:$ZZ,19,FALSE)+SUM(_xlfn.XLOOKUP($S26:$AL26,增益!$A:$A,增益!$S:$S,0)))+$B$12+SUM(_xlfn.XLOOKUP($S26:$AL26,增益!$A:$A,增益!$V:$V,0)))*IF(VLOOKUP($R26,武学奇术!$A:$ZZ,23,FALSE)=1,0,1)</f>
        <v>0</v>
      </c>
      <c r="BS26" s="33" cm="1">
        <f t="array" ref="BS26">1+$B$14+VLOOKUP($R26,武学奇术!$A:$ZZ,20,FALSE)+SUM(_xlfn.XLOOKUP($S26:$AL26,增益!$A:$A,增益!$T:$T,0))</f>
        <v>1.35</v>
      </c>
      <c r="BT26" s="33">
        <f t="shared" si="10"/>
        <v>1</v>
      </c>
      <c r="BU26" s="33">
        <f t="shared" si="11"/>
        <v>0</v>
      </c>
      <c r="BV26" s="33">
        <f>IF(VLOOKUP($R26,武学奇术!$A:$ZZ,22,FALSE)=1,0,(1-$BO26))*(1-$BR26)</f>
        <v>0</v>
      </c>
      <c r="BW26" s="33" cm="1">
        <f t="array" ref="BW26">SUM(_xlfn.XLOOKUP($S26:$AL26,增益!$A:$A,增益!$W:$W,0))+$I$5</f>
        <v>0.11</v>
      </c>
      <c r="BX26" s="33" cm="1">
        <f t="array" ref="BX26">VLOOKUP($R26,武学奇术!$A:$ZZ,32,FALSE)+SUM(_xlfn.XLOOKUP($S26:$AL26,增益!$A:$A,增益!$X:$X,0))</f>
        <v>0</v>
      </c>
    </row>
    <row r="27" spans="1:76">
      <c r="A27" t="s">
        <v>161</v>
      </c>
      <c r="B27">
        <v>2</v>
      </c>
      <c r="C27" s="47" t="s">
        <v>162</v>
      </c>
      <c r="L27" s="46">
        <f t="shared" si="0"/>
        <v>25858.9250217736</v>
      </c>
      <c r="M27" s="46">
        <f>((($AT27+$AU27)/2*$AN27+$AO27)*(1+$AV27)*(1+$AW27)+(($AY27+$AZ27)/2*IF($G$1="鸣金",$AP27,$AN27)+IF($G$1="鸣金",$AQ27*1.5,0))*(1+$BA27)*(1+$BB27)+(($BC27+$BD27)/2*IF($G$1="裂石",$AP27,$AN27)+IF($G$1="裂石",$AQ27*1.5,0))*(1+$BE27)*(1+$BF27)+(($BG27+$BH27)/2*IF($G$1="牵丝",$AP27,$AN27)+IF($G$1="牵丝",$AQ27*1.5,0))*(1+$BI27)*(1+$BJ27)+(($BK27+$BL27)/2*IF($G$1="破竹",$AP27,$AN27)+IF($G$1="破竹",$AQ27*1.5,0))*(1+$BM27)*(1+$BN27))*(1+$AR27)*$BQ27*$Q27*(1+IF(VLOOKUP($R27,武学奇术!$A:$ZZ,30,FALSE)="蓄力技",$B$21,0))*(1+IF(VLOOKUP($R27,武学奇术!$A:$ZZ,30,FALSE)="派生技",$B$20,0))*(1+$BW27)*(1+$BX27)</f>
        <v>25858.9250217736</v>
      </c>
      <c r="N27" s="46">
        <f>(($AU27*$AN27+$AO27)*(1+$AV27)*(1+$AW27)+($AZ27*IF($G$1="鸣金",$AP27,$AN27)+IF($G$1="鸣金",$AQ27*1.5,0))*(1+$BA27)*(1+$BB27)+($BD27*IF($G$1="裂石",$AP27,$AN27)+IF($G$1="裂石",$AQ27*1.5,0))*(1+$BE27)*(1+$BF27)+($BH27*IF($G$1="牵丝",$AP27,$AN27)+IF($G$1="牵丝",$AQ27*1.5,0))*(1+$BI27)*(1+$BJ27)+($BL27*IF($G$1="破竹",$AP27,$AN27)+IF($G$1="破竹",$AQ27*1.5,0))*(1+$BM27)*(1+$BN27))*(1+$AR27)*$BS27*$Q27*(1+IF(VLOOKUP($R27,武学奇术!$A:$ZZ,30,FALSE)="蓄力技",$B$21,0))*(1+IF(VLOOKUP($R27,武学奇术!$A:$ZZ,30,FALSE)="派生技",$B$20,0))*(1+$BW27)*(1+$BX27)</f>
        <v>19430.1689947233</v>
      </c>
      <c r="O27" s="46">
        <f>((($AT27+$AU27)/2*$AN27+$AO27)*(1+$AV27)*(1+$AW27)+(($AY27+$AZ27)/2*IF($G$1="鸣金",$AP27,$AN27)+IF($G$1="鸣金",$AQ27*1.5,0))*(1+$BA27)*(1+$BB27)+(($BC27+$BD27)/2*IF($G$1="裂石",$AP27,$AN27)+IF($G$1="裂石",$AQ27*1.5,0))*(1+$BE27)*(1+$BF27)+(($BG27+$BH27)/2*IF($G$1="牵丝",$AP27,$AN27)+IF($G$1="牵丝",$AQ27*1.5,0))*(1+$BI27)*(1+$BJ27)+(($BK27+$BL27)/2*IF($G$1="破竹",$AP27,$AN27)+IF($G$1="破竹",$AQ27*1.5,0))*(1+$BM27)*(1+$BN27))*(1+$AR27)*$Q27*(1+IF(VLOOKUP($R27,武学奇术!$A:$ZZ,30,FALSE)="蓄力技",$B$21,0))*(1+IF(VLOOKUP($R27,武学奇术!$A:$ZZ,30,FALSE)="派生技",$B$20,0))*(1+$BW27)*(1+$BX27)</f>
        <v>12675.9436381243</v>
      </c>
      <c r="P27" s="46">
        <f>((($AT27*$AN27+$AO27)*(1+$AV27)*(1+$AW27)+($AY27*IF($G$1="鸣金",$AP27,$AN27)+IF($G$1="鸣金",$AQ27*1.5,0))*(1+$BA27)*(1+$BB27)+($BC27*IF($G$1="裂石",$AP27,$AN27)+IF($G$1="裂石",$AQ27*1.5,0))*(1+$BE27)*(1+$BF27)+($BG27*IF($G$1="牵丝",$AP27,$AN27)+IF($G$1="牵丝",$AQ27*1.5,0))*(1+$BI27)*(1+$BJ27)+($BK27*IF($G$1="破竹",$AP27,$AN27)+IF($G$1="破竹",$AQ27*1.5,0))*(1+$BM27)*(1+$BN27))*(1+$AR27))*$Q27*(1+IF(VLOOKUP($R27,武学奇术!$A:$ZZ,30,FALSE)="蓄力技",$B$21,0))*(1+IF(VLOOKUP($R27,武学奇术!$A:$ZZ,30,FALSE)="派生技",$B$20,0))*(1+$BW27)*(1+$BX27)</f>
        <v>10959.1695023795</v>
      </c>
      <c r="Q27" s="47">
        <f t="shared" si="12"/>
        <v>1</v>
      </c>
      <c r="R27" s="48" t="s">
        <v>154</v>
      </c>
      <c r="S27" s="48" t="s">
        <v>99</v>
      </c>
      <c r="T27" s="48" t="s">
        <v>100</v>
      </c>
      <c r="U27" s="48" t="s">
        <v>79</v>
      </c>
      <c r="V27" s="48" t="s">
        <v>90</v>
      </c>
      <c r="W27" s="48" t="s">
        <v>141</v>
      </c>
      <c r="X27" s="48" t="s">
        <v>145</v>
      </c>
      <c r="Y27" s="48" t="s">
        <v>74</v>
      </c>
      <c r="Z27" s="48" t="s">
        <v>142</v>
      </c>
      <c r="AA27" s="48" t="s">
        <v>80</v>
      </c>
      <c r="AB27" s="48" t="s">
        <v>80</v>
      </c>
      <c r="AC27" s="48" t="s">
        <v>80</v>
      </c>
      <c r="AD27" s="48" t="s">
        <v>80</v>
      </c>
      <c r="AE27" s="48" t="s">
        <v>82</v>
      </c>
      <c r="AF27" s="48" t="s">
        <v>83</v>
      </c>
      <c r="AG27" s="48" t="s">
        <v>84</v>
      </c>
      <c r="AH27" s="48" t="s">
        <v>80</v>
      </c>
      <c r="AI27" s="48" t="s">
        <v>80</v>
      </c>
      <c r="AJ27" s="48" t="s">
        <v>80</v>
      </c>
      <c r="AK27" s="48" t="s">
        <v>80</v>
      </c>
      <c r="AL27" s="48" t="s">
        <v>85</v>
      </c>
      <c r="AM27" t="str">
        <f>VLOOKUP($R27,武学奇术!$A:$ZZ,25,FALSE)</f>
        <v>陌刀</v>
      </c>
      <c r="AN27" s="33">
        <f>VLOOKUP($R27,武学奇术!$A:$ZZ,26,FALSE)</f>
        <v>0.525</v>
      </c>
      <c r="AO27" s="34">
        <f>VLOOKUP($R27,武学奇术!$A:$ZZ,27,FALSE)*(1+IF(OR($AM27=$F$4,$AM27=$F$5),$B$22,0))</f>
        <v>0</v>
      </c>
      <c r="AP27" s="33">
        <f>VLOOKUP($R27,武学奇术!$A:$ZZ,28,FALSE)</f>
        <v>0.7875</v>
      </c>
      <c r="AQ27" s="34">
        <f>VLOOKUP($R27,武学奇术!$A:$ZZ,29,FALSE)*(1+IF(OR($AM27=$F$4,$AM27=$F$5),$B$22,0))</f>
        <v>0</v>
      </c>
      <c r="AR27" s="33" cm="1">
        <f t="array" ref="AR27">$G$3+IFERROR(VLOOKUP($AM27,$F$4:$G$7,2,FALSE),0)+VLOOKUP($R27,武学奇术!$A:$ZZ,2,FALSE)+SUM(_xlfn.XLOOKUP($S27:$AL27,增益!$A:$A,增益!$B:$B,0))</f>
        <v>0.7443</v>
      </c>
      <c r="AS27" s="33" cm="1">
        <f t="array" ref="AS27">VLOOKUP($R27,武学奇术!$A:$ZZ,5,FALSE)+SUM(_xlfn.XLOOKUP($S27:$AL27,增益!$A:$A,增益!$E:$E,0))</f>
        <v>0</v>
      </c>
      <c r="AT27" cm="1">
        <f t="array" ref="AT27">$D$10*(1+$AS27)+VLOOKUP($R27,武学奇术!$A:$ZZ,3,FALSE)+SUM(_xlfn.XLOOKUP($S27:$AL27,增益!$A:$A,增益!$C:$C,0))-$I$2</f>
        <v>4094.7</v>
      </c>
      <c r="AU27" cm="1">
        <f t="array" ref="AU27">$E$10*(1+$AS27)+VLOOKUP($R27,武学奇术!$A:$ZZ,4,FALSE)+SUM(_xlfn.XLOOKUP($S27:$AL27,增益!$A:$A,增益!$D:$D,0))-$I$2</f>
        <v>4094.7</v>
      </c>
      <c r="AV27" s="40" cm="1">
        <f t="array" ref="AV27">IF($F$10-$I$3+VLOOKUP($R27,武学奇术!$A:$ZZ,6,FALSE)+SUM(_xlfn.XLOOKUP($S27:$AL27,增益!$A:$A,增益!$F:$F,0))&gt;0,($F$10-$I$3+VLOOKUP($R27,武学奇术!$A:$ZZ,6,FALSE)+SUM(_xlfn.XLOOKUP($S27:$AL27,增益!$A:$A,增益!$F:$F,0)))/200,($F$10-$I$3+VLOOKUP($R27,武学奇术!$A:$ZZ,6,FALSE)+SUM(_xlfn.XLOOKUP($S27:$AL27,增益!$A:$A,增益!$F:$F,0)))/100)</f>
        <v>0.4384</v>
      </c>
      <c r="AW27" s="40" cm="1">
        <f t="array" ref="AW27">$G$10+VLOOKUP($R27,武学奇术!$A:$ZZ,7,FALSE)+SUM(_xlfn.XLOOKUP($S27:$AL27,增益!$A:$A,增益!$G:$G,0))</f>
        <v>0.14</v>
      </c>
      <c r="AX27" s="33" cm="1">
        <f t="array" ref="AX27">VLOOKUP($R27,武学奇术!$A:$ZZ,8,FALSE)+SUM(_xlfn.XLOOKUP($S27:$AL27,增益!$A:$A,增益!$H:$H,0))</f>
        <v>0</v>
      </c>
      <c r="AY27">
        <f t="shared" si="2"/>
        <v>0</v>
      </c>
      <c r="AZ27">
        <f t="shared" si="3"/>
        <v>0</v>
      </c>
      <c r="BA27" s="40" cm="1">
        <f t="array" ref="BA27">IF($F$11-$I$4+VLOOKUP($R27,武学奇术!$A:$ZZ,9,FALSE)+SUM(_xlfn.XLOOKUP($S27:$AL27,增益!$A:$A,增益!$I:$I,0))&gt;0,($F$11-$I$4+VLOOKUP($R27,武学奇术!$A:$ZZ,9,FALSE)+SUM(_xlfn.XLOOKUP($S27:$AL27,增益!$A:$A,增益!$I:$I,0)))/200,($F$11-$I$4+VLOOKUP($R27,武学奇术!$A:$ZZ,9,FALSE)+SUM(_xlfn.XLOOKUP($S27:$AL27,增益!$A:$A,增益!$I:$I,0)))/100)</f>
        <v>-0.14</v>
      </c>
      <c r="BB27" s="40" cm="1">
        <f t="array" ref="BB27">$G$11+VLOOKUP($R27,武学奇术!$A:$ZZ,10,FALSE)+SUM(_xlfn.XLOOKUP($S27:$AL27,增益!$A:$A,增益!$J:$J,0))</f>
        <v>0.02</v>
      </c>
      <c r="BC27">
        <f t="shared" si="4"/>
        <v>640.3</v>
      </c>
      <c r="BD27">
        <f t="shared" si="5"/>
        <v>1770.1</v>
      </c>
      <c r="BE27" s="40" cm="1">
        <f t="array" ref="BE27">IF($F$12-$I$4+VLOOKUP($R27,武学奇术!$A:$ZZ,11,FALSE)+SUM(_xlfn.XLOOKUP($S27:$AL27,增益!$A:$A,增益!$K:$K,0))&gt;0,($F$12-$I$4+VLOOKUP($R27,武学奇术!$A:$ZZ,11,FALSE)+SUM(_xlfn.XLOOKUP($S27:$AL27,增益!$A:$A,增益!$K:$K,0)))/200,($F$12-$I$4+VLOOKUP($R27,武学奇术!$A:$ZZ,11,FALSE)+SUM(_xlfn.XLOOKUP($S27:$AL27,增益!$A:$A,增益!$K:$K,0)))/100)</f>
        <v>0.17</v>
      </c>
      <c r="BF27" s="40" cm="1">
        <f t="array" ref="BF27">$G$12+VLOOKUP($R27,武学奇术!$A:$ZZ,12,FALSE)+SUM(_xlfn.XLOOKUP($S27:$AL27,增益!$A:$A,增益!$L:$L,0))</f>
        <v>0.29</v>
      </c>
      <c r="BG27">
        <f t="shared" si="6"/>
        <v>0</v>
      </c>
      <c r="BH27">
        <f t="shared" si="7"/>
        <v>0</v>
      </c>
      <c r="BI27" s="40" cm="1">
        <f t="array" ref="BI27">IF($F$13-$I$4+VLOOKUP($R27,武学奇术!$A:$ZZ,13,FALSE)+SUM(_xlfn.XLOOKUP($S27:$AL27,增益!$A:$A,增益!$M:$M,0))&gt;0,($F$13-$I$4+VLOOKUP($R27,武学奇术!$A:$ZZ,13,FALSE)+SUM(_xlfn.XLOOKUP($S27:$AL27,增益!$A:$A,增益!$K:$K,0)))/200,($F$13-$I$4+VLOOKUP($R27,武学奇术!$A:$ZZ,13,FALSE)+SUM(_xlfn.XLOOKUP($S27:$AL27,增益!$A:$A,增益!$M:$M,0)))/100)</f>
        <v>-0.14</v>
      </c>
      <c r="BJ27" s="40" cm="1">
        <f t="array" ref="BJ27">$G$13+VLOOKUP($R27,武学奇术!$A:$ZZ,14,FALSE)+SUM(_xlfn.XLOOKUP($S27:$AL27,增益!$A:$A,增益!$N:$N,0))</f>
        <v>0.02</v>
      </c>
      <c r="BK27">
        <f t="shared" si="8"/>
        <v>0</v>
      </c>
      <c r="BL27">
        <f t="shared" si="9"/>
        <v>0</v>
      </c>
      <c r="BM27" s="40" cm="1">
        <f t="array" ref="BM27">IF($F$14-$I$4+VLOOKUP($R27,武学奇术!$A:$ZZ,15,FALSE)+SUM(_xlfn.XLOOKUP($S27:$AL27,增益!$A:$A,增益!$O:$O,0))&gt;0,($F$14-$I$4+VLOOKUP($R27,武学奇术!$A:$ZZ,15,FALSE)+SUM(_xlfn.XLOOKUP($S27:$AL27,增益!$A:$A,增益!$O:$O,0)))/200,($F$14-$I$4+VLOOKUP($R27,武学奇术!$A:$ZZ,15,FALSE)+SUM(_xlfn.XLOOKUP($S27:$AL27,增益!$A:$A,增益!$O:$O,0)))/100)</f>
        <v>-0.14</v>
      </c>
      <c r="BN27" s="40" cm="1">
        <f t="array" ref="BN27">$G$14+VLOOKUP($R27,武学奇术!$A:$ZZ,16,FALSE)+SUM(_xlfn.XLOOKUP($S27:$AL27,增益!$A:$A,增益!$P:$P,0))</f>
        <v>0.02</v>
      </c>
      <c r="BO27" s="33">
        <f>MIN(IF(VLOOKUP($R27,武学奇术!$A:$ZZ,23,FALSE)=1,100%,$B$8),100%)</f>
        <v>1</v>
      </c>
      <c r="BP27" s="33" cm="1">
        <f t="array" ref="BP27">IF(VLOOKUP($R27,武学奇术!$A:$ZZ,23,FALSE)=1,100%,MIN(80%,$B$9+VLOOKUP($R27,武学奇术!$A:$ZZ,17,FALSE)+SUM(_xlfn.XLOOKUP($S27:$AL27,增益!$A:$A,增益!$Q:$Q,0)))+$B$11+SUM(_xlfn.XLOOKUP($S27:$AL27,增益!$A:$A,增益!$U:$U,0)))*IF(VLOOKUP($R27,武学奇术!$A:$ZZ,24,FALSE)=1,0,1)</f>
        <v>1</v>
      </c>
      <c r="BQ27" s="33" cm="1">
        <f t="array" ref="BQ27">1+$B$13+VLOOKUP($R27,武学奇术!$A:$ZZ,18,FALSE)+SUM(_xlfn.XLOOKUP($S27:$AL27,增益!$A:$A,增益!$R:$R,0))</f>
        <v>2.04</v>
      </c>
      <c r="BR27" s="33" cm="1">
        <f t="array" ref="BR27">IF(VLOOKUP($R27,武学奇术!$A:$ZZ,24,FALSE)=1,100%,MIN(40%,$B$10+VLOOKUP($R27,武学奇术!$A:$ZZ,19,FALSE)+SUM(_xlfn.XLOOKUP($S27:$AL27,增益!$A:$A,增益!$S:$S,0)))+$B$12+SUM(_xlfn.XLOOKUP($S27:$AL27,增益!$A:$A,增益!$V:$V,0)))*IF(VLOOKUP($R27,武学奇术!$A:$ZZ,23,FALSE)=1,0,1)</f>
        <v>0</v>
      </c>
      <c r="BS27" s="33" cm="1">
        <f t="array" ref="BS27">1+$B$14+VLOOKUP($R27,武学奇术!$A:$ZZ,20,FALSE)+SUM(_xlfn.XLOOKUP($S27:$AL27,增益!$A:$A,增益!$T:$T,0))</f>
        <v>1.35</v>
      </c>
      <c r="BT27" s="33">
        <f t="shared" si="10"/>
        <v>1</v>
      </c>
      <c r="BU27" s="33">
        <f t="shared" si="11"/>
        <v>0</v>
      </c>
      <c r="BV27" s="33">
        <f>IF(VLOOKUP($R27,武学奇术!$A:$ZZ,22,FALSE)=1,0,(1-$BO27))*(1-$BR27)</f>
        <v>0</v>
      </c>
      <c r="BW27" s="33" cm="1">
        <f t="array" ref="BW27">SUM(_xlfn.XLOOKUP($S27:$AL27,增益!$A:$A,增益!$W:$W,0))+$I$5</f>
        <v>0.11</v>
      </c>
      <c r="BX27" s="33" cm="1">
        <f t="array" ref="BX27">VLOOKUP($R27,武学奇术!$A:$ZZ,32,FALSE)+SUM(_xlfn.XLOOKUP($S27:$AL27,增益!$A:$A,增益!$X:$X,0))</f>
        <v>0</v>
      </c>
    </row>
    <row r="28" spans="1:76">
      <c r="A28" t="s">
        <v>163</v>
      </c>
      <c r="B28">
        <v>1.3</v>
      </c>
      <c r="C28" s="47"/>
      <c r="L28" s="46">
        <f t="shared" si="0"/>
        <v>46546.0650391924</v>
      </c>
      <c r="M28" s="46">
        <f>((($AT28+$AU28)/2*$AN28+$AO28)*(1+$AV28)*(1+$AW28)+(($AY28+$AZ28)/2*IF($G$1="鸣金",$AP28,$AN28)+IF($G$1="鸣金",$AQ28*1.5,0))*(1+$BA28)*(1+$BB28)+(($BC28+$BD28)/2*IF($G$1="裂石",$AP28,$AN28)+IF($G$1="裂石",$AQ28*1.5,0))*(1+$BE28)*(1+$BF28)+(($BG28+$BH28)/2*IF($G$1="牵丝",$AP28,$AN28)+IF($G$1="牵丝",$AQ28*1.5,0))*(1+$BI28)*(1+$BJ28)+(($BK28+$BL28)/2*IF($G$1="破竹",$AP28,$AN28)+IF($G$1="破竹",$AQ28*1.5,0))*(1+$BM28)*(1+$BN28))*(1+$AR28)*$BQ28*$Q28*(1+IF(VLOOKUP($R28,武学奇术!$A:$ZZ,30,FALSE)="蓄力技",$B$21,0))*(1+IF(VLOOKUP($R28,武学奇术!$A:$ZZ,30,FALSE)="派生技",$B$20,0))*(1+$BW28)*(1+$BX28)</f>
        <v>46546.0650391924</v>
      </c>
      <c r="N28" s="46">
        <f>(($AU28*$AN28+$AO28)*(1+$AV28)*(1+$AW28)+($AZ28*IF($G$1="鸣金",$AP28,$AN28)+IF($G$1="鸣金",$AQ28*1.5,0))*(1+$BA28)*(1+$BB28)+($BD28*IF($G$1="裂石",$AP28,$AN28)+IF($G$1="裂石",$AQ28*1.5,0))*(1+$BE28)*(1+$BF28)+($BH28*IF($G$1="牵丝",$AP28,$AN28)+IF($G$1="牵丝",$AQ28*1.5,0))*(1+$BI28)*(1+$BJ28)+($BL28*IF($G$1="破竹",$AP28,$AN28)+IF($G$1="破竹",$AQ28*1.5,0))*(1+$BM28)*(1+$BN28))*(1+$AR28)*$BS28*$Q28*(1+IF(VLOOKUP($R28,武学奇术!$A:$ZZ,30,FALSE)="蓄力技",$B$21,0))*(1+IF(VLOOKUP($R28,武学奇术!$A:$ZZ,30,FALSE)="派生技",$B$20,0))*(1+$BW28)*(1+$BX28)</f>
        <v>34974.3041905019</v>
      </c>
      <c r="O28" s="46">
        <f>((($AT28+$AU28)/2*$AN28+$AO28)*(1+$AV28)*(1+$AW28)+(($AY28+$AZ28)/2*IF($G$1="鸣金",$AP28,$AN28)+IF($G$1="鸣金",$AQ28*1.5,0))*(1+$BA28)*(1+$BB28)+(($BC28+$BD28)/2*IF($G$1="裂石",$AP28,$AN28)+IF($G$1="裂石",$AQ28*1.5,0))*(1+$BE28)*(1+$BF28)+(($BG28+$BH28)/2*IF($G$1="牵丝",$AP28,$AN28)+IF($G$1="牵丝",$AQ28*1.5,0))*(1+$BI28)*(1+$BJ28)+(($BK28+$BL28)/2*IF($G$1="破竹",$AP28,$AN28)+IF($G$1="破竹",$AQ28*1.5,0))*(1+$BM28)*(1+$BN28))*(1+$AR28)*$Q28*(1+IF(VLOOKUP($R28,武学奇术!$A:$ZZ,30,FALSE)="蓄力技",$B$21,0))*(1+IF(VLOOKUP($R28,武学奇术!$A:$ZZ,30,FALSE)="派生技",$B$20,0))*(1+$BW28)*(1+$BX28)</f>
        <v>22816.6985486237</v>
      </c>
      <c r="P28" s="46">
        <f>((($AT28*$AN28+$AO28)*(1+$AV28)*(1+$AW28)+($AY28*IF($G$1="鸣金",$AP28,$AN28)+IF($G$1="鸣金",$AQ28*1.5,0))*(1+$BA28)*(1+$BB28)+($BC28*IF($G$1="裂石",$AP28,$AN28)+IF($G$1="裂石",$AQ28*1.5,0))*(1+$BE28)*(1+$BF28)+($BG28*IF($G$1="牵丝",$AP28,$AN28)+IF($G$1="牵丝",$AQ28*1.5,0))*(1+$BI28)*(1+$BJ28)+($BK28*IF($G$1="破竹",$AP28,$AN28)+IF($G$1="破竹",$AQ28*1.5,0))*(1+$BM28)*(1+$BN28))*(1+$AR28))*$Q28*(1+IF(VLOOKUP($R28,武学奇术!$A:$ZZ,30,FALSE)="蓄力技",$B$21,0))*(1+IF(VLOOKUP($R28,武学奇术!$A:$ZZ,30,FALSE)="派生技",$B$20,0))*(1+$BW28)*(1+$BX28)</f>
        <v>19726.5051042831</v>
      </c>
      <c r="Q28" s="47">
        <f t="shared" si="12"/>
        <v>1</v>
      </c>
      <c r="R28" s="48" t="s">
        <v>144</v>
      </c>
      <c r="S28" s="48" t="s">
        <v>99</v>
      </c>
      <c r="T28" s="48" t="s">
        <v>100</v>
      </c>
      <c r="U28" s="48" t="s">
        <v>79</v>
      </c>
      <c r="V28" s="48" t="s">
        <v>90</v>
      </c>
      <c r="W28" s="48" t="s">
        <v>141</v>
      </c>
      <c r="X28" s="48" t="s">
        <v>145</v>
      </c>
      <c r="Y28" s="48" t="s">
        <v>74</v>
      </c>
      <c r="Z28" s="48" t="s">
        <v>142</v>
      </c>
      <c r="AA28" s="48" t="s">
        <v>80</v>
      </c>
      <c r="AB28" s="48" t="s">
        <v>80</v>
      </c>
      <c r="AC28" s="48" t="s">
        <v>80</v>
      </c>
      <c r="AD28" s="48" t="s">
        <v>80</v>
      </c>
      <c r="AE28" s="48" t="s">
        <v>82</v>
      </c>
      <c r="AF28" s="48" t="s">
        <v>83</v>
      </c>
      <c r="AG28" s="48" t="s">
        <v>84</v>
      </c>
      <c r="AH28" s="48" t="s">
        <v>80</v>
      </c>
      <c r="AI28" s="48" t="s">
        <v>80</v>
      </c>
      <c r="AJ28" s="48" t="s">
        <v>80</v>
      </c>
      <c r="AK28" s="48" t="s">
        <v>80</v>
      </c>
      <c r="AL28" s="48" t="s">
        <v>85</v>
      </c>
      <c r="AM28" t="str">
        <f>VLOOKUP($R28,武学奇术!$A:$ZZ,25,FALSE)</f>
        <v>陌刀</v>
      </c>
      <c r="AN28" s="33">
        <f>VLOOKUP($R28,武学奇术!$A:$ZZ,26,FALSE)</f>
        <v>0.945</v>
      </c>
      <c r="AO28" s="34">
        <f>VLOOKUP($R28,武学奇术!$A:$ZZ,27,FALSE)*(1+IF(OR($AM28=$F$4,$AM28=$F$5),$B$22,0))</f>
        <v>0</v>
      </c>
      <c r="AP28" s="33">
        <f>VLOOKUP($R28,武学奇术!$A:$ZZ,28,FALSE)</f>
        <v>1.4175</v>
      </c>
      <c r="AQ28" s="34">
        <f>VLOOKUP($R28,武学奇术!$A:$ZZ,29,FALSE)*(1+IF(OR($AM28=$F$4,$AM28=$F$5),$B$22,0))</f>
        <v>0</v>
      </c>
      <c r="AR28" s="33" cm="1">
        <f t="array" ref="AR28">$G$3+IFERROR(VLOOKUP($AM28,$F$4:$G$7,2,FALSE),0)+VLOOKUP($R28,武学奇术!$A:$ZZ,2,FALSE)+SUM(_xlfn.XLOOKUP($S28:$AL28,增益!$A:$A,增益!$B:$B,0))</f>
        <v>0.7443</v>
      </c>
      <c r="AS28" s="33" cm="1">
        <f t="array" ref="AS28">VLOOKUP($R28,武学奇术!$A:$ZZ,5,FALSE)+SUM(_xlfn.XLOOKUP($S28:$AL28,增益!$A:$A,增益!$E:$E,0))</f>
        <v>0</v>
      </c>
      <c r="AT28" cm="1">
        <f t="array" ref="AT28">$D$10*(1+$AS28)+VLOOKUP($R28,武学奇术!$A:$ZZ,3,FALSE)+SUM(_xlfn.XLOOKUP($S28:$AL28,增益!$A:$A,增益!$C:$C,0))-$I$2</f>
        <v>4094.7</v>
      </c>
      <c r="AU28" cm="1">
        <f t="array" ref="AU28">$E$10*(1+$AS28)+VLOOKUP($R28,武学奇术!$A:$ZZ,4,FALSE)+SUM(_xlfn.XLOOKUP($S28:$AL28,增益!$A:$A,增益!$D:$D,0))-$I$2</f>
        <v>4094.7</v>
      </c>
      <c r="AV28" s="40" cm="1">
        <f t="array" ref="AV28">IF($F$10-$I$3+VLOOKUP($R28,武学奇术!$A:$ZZ,6,FALSE)+SUM(_xlfn.XLOOKUP($S28:$AL28,增益!$A:$A,增益!$F:$F,0))&gt;0,($F$10-$I$3+VLOOKUP($R28,武学奇术!$A:$ZZ,6,FALSE)+SUM(_xlfn.XLOOKUP($S28:$AL28,增益!$A:$A,增益!$F:$F,0)))/200,($F$10-$I$3+VLOOKUP($R28,武学奇术!$A:$ZZ,6,FALSE)+SUM(_xlfn.XLOOKUP($S28:$AL28,增益!$A:$A,增益!$F:$F,0)))/100)</f>
        <v>0.4384</v>
      </c>
      <c r="AW28" s="40" cm="1">
        <f t="array" ref="AW28">$G$10+VLOOKUP($R28,武学奇术!$A:$ZZ,7,FALSE)+SUM(_xlfn.XLOOKUP($S28:$AL28,增益!$A:$A,增益!$G:$G,0))</f>
        <v>0.14</v>
      </c>
      <c r="AX28" s="33" cm="1">
        <f t="array" ref="AX28">VLOOKUP($R28,武学奇术!$A:$ZZ,8,FALSE)+SUM(_xlfn.XLOOKUP($S28:$AL28,增益!$A:$A,增益!$H:$H,0))</f>
        <v>0</v>
      </c>
      <c r="AY28">
        <f t="shared" si="2"/>
        <v>0</v>
      </c>
      <c r="AZ28">
        <f t="shared" si="3"/>
        <v>0</v>
      </c>
      <c r="BA28" s="40" cm="1">
        <f t="array" ref="BA28">IF($F$11-$I$4+VLOOKUP($R28,武学奇术!$A:$ZZ,9,FALSE)+SUM(_xlfn.XLOOKUP($S28:$AL28,增益!$A:$A,增益!$I:$I,0))&gt;0,($F$11-$I$4+VLOOKUP($R28,武学奇术!$A:$ZZ,9,FALSE)+SUM(_xlfn.XLOOKUP($S28:$AL28,增益!$A:$A,增益!$I:$I,0)))/200,($F$11-$I$4+VLOOKUP($R28,武学奇术!$A:$ZZ,9,FALSE)+SUM(_xlfn.XLOOKUP($S28:$AL28,增益!$A:$A,增益!$I:$I,0)))/100)</f>
        <v>-0.14</v>
      </c>
      <c r="BB28" s="40" cm="1">
        <f t="array" ref="BB28">$G$11+VLOOKUP($R28,武学奇术!$A:$ZZ,10,FALSE)+SUM(_xlfn.XLOOKUP($S28:$AL28,增益!$A:$A,增益!$J:$J,0))</f>
        <v>0.02</v>
      </c>
      <c r="BC28">
        <f t="shared" si="4"/>
        <v>640.3</v>
      </c>
      <c r="BD28">
        <f t="shared" si="5"/>
        <v>1770.1</v>
      </c>
      <c r="BE28" s="40" cm="1">
        <f t="array" ref="BE28">IF($F$12-$I$4+VLOOKUP($R28,武学奇术!$A:$ZZ,11,FALSE)+SUM(_xlfn.XLOOKUP($S28:$AL28,增益!$A:$A,增益!$K:$K,0))&gt;0,($F$12-$I$4+VLOOKUP($R28,武学奇术!$A:$ZZ,11,FALSE)+SUM(_xlfn.XLOOKUP($S28:$AL28,增益!$A:$A,增益!$K:$K,0)))/200,($F$12-$I$4+VLOOKUP($R28,武学奇术!$A:$ZZ,11,FALSE)+SUM(_xlfn.XLOOKUP($S28:$AL28,增益!$A:$A,增益!$K:$K,0)))/100)</f>
        <v>0.17</v>
      </c>
      <c r="BF28" s="40" cm="1">
        <f t="array" ref="BF28">$G$12+VLOOKUP($R28,武学奇术!$A:$ZZ,12,FALSE)+SUM(_xlfn.XLOOKUP($S28:$AL28,增益!$A:$A,增益!$L:$L,0))</f>
        <v>0.29</v>
      </c>
      <c r="BG28">
        <f t="shared" si="6"/>
        <v>0</v>
      </c>
      <c r="BH28">
        <f t="shared" si="7"/>
        <v>0</v>
      </c>
      <c r="BI28" s="40" cm="1">
        <f t="array" ref="BI28">IF($F$13-$I$4+VLOOKUP($R28,武学奇术!$A:$ZZ,13,FALSE)+SUM(_xlfn.XLOOKUP($S28:$AL28,增益!$A:$A,增益!$M:$M,0))&gt;0,($F$13-$I$4+VLOOKUP($R28,武学奇术!$A:$ZZ,13,FALSE)+SUM(_xlfn.XLOOKUP($S28:$AL28,增益!$A:$A,增益!$K:$K,0)))/200,($F$13-$I$4+VLOOKUP($R28,武学奇术!$A:$ZZ,13,FALSE)+SUM(_xlfn.XLOOKUP($S28:$AL28,增益!$A:$A,增益!$M:$M,0)))/100)</f>
        <v>-0.14</v>
      </c>
      <c r="BJ28" s="40" cm="1">
        <f t="array" ref="BJ28">$G$13+VLOOKUP($R28,武学奇术!$A:$ZZ,14,FALSE)+SUM(_xlfn.XLOOKUP($S28:$AL28,增益!$A:$A,增益!$N:$N,0))</f>
        <v>0.02</v>
      </c>
      <c r="BK28">
        <f t="shared" si="8"/>
        <v>0</v>
      </c>
      <c r="BL28">
        <f t="shared" si="9"/>
        <v>0</v>
      </c>
      <c r="BM28" s="40" cm="1">
        <f t="array" ref="BM28">IF($F$14-$I$4+VLOOKUP($R28,武学奇术!$A:$ZZ,15,FALSE)+SUM(_xlfn.XLOOKUP($S28:$AL28,增益!$A:$A,增益!$O:$O,0))&gt;0,($F$14-$I$4+VLOOKUP($R28,武学奇术!$A:$ZZ,15,FALSE)+SUM(_xlfn.XLOOKUP($S28:$AL28,增益!$A:$A,增益!$O:$O,0)))/200,($F$14-$I$4+VLOOKUP($R28,武学奇术!$A:$ZZ,15,FALSE)+SUM(_xlfn.XLOOKUP($S28:$AL28,增益!$A:$A,增益!$O:$O,0)))/100)</f>
        <v>-0.14</v>
      </c>
      <c r="BN28" s="40" cm="1">
        <f t="array" ref="BN28">$G$14+VLOOKUP($R28,武学奇术!$A:$ZZ,16,FALSE)+SUM(_xlfn.XLOOKUP($S28:$AL28,增益!$A:$A,增益!$P:$P,0))</f>
        <v>0.02</v>
      </c>
      <c r="BO28" s="33">
        <f>MIN(IF(VLOOKUP($R28,武学奇术!$A:$ZZ,23,FALSE)=1,100%,$B$8),100%)</f>
        <v>1</v>
      </c>
      <c r="BP28" s="33" cm="1">
        <f t="array" ref="BP28">IF(VLOOKUP($R28,武学奇术!$A:$ZZ,23,FALSE)=1,100%,MIN(80%,$B$9+VLOOKUP($R28,武学奇术!$A:$ZZ,17,FALSE)+SUM(_xlfn.XLOOKUP($S28:$AL28,增益!$A:$A,增益!$Q:$Q,0)))+$B$11+SUM(_xlfn.XLOOKUP($S28:$AL28,增益!$A:$A,增益!$U:$U,0)))*IF(VLOOKUP($R28,武学奇术!$A:$ZZ,24,FALSE)=1,0,1)</f>
        <v>1</v>
      </c>
      <c r="BQ28" s="33" cm="1">
        <f t="array" ref="BQ28">1+$B$13+VLOOKUP($R28,武学奇术!$A:$ZZ,18,FALSE)+SUM(_xlfn.XLOOKUP($S28:$AL28,增益!$A:$A,增益!$R:$R,0))</f>
        <v>2.04</v>
      </c>
      <c r="BR28" s="33" cm="1">
        <f t="array" ref="BR28">IF(VLOOKUP($R28,武学奇术!$A:$ZZ,24,FALSE)=1,100%,MIN(40%,$B$10+VLOOKUP($R28,武学奇术!$A:$ZZ,19,FALSE)+SUM(_xlfn.XLOOKUP($S28:$AL28,增益!$A:$A,增益!$S:$S,0)))+$B$12+SUM(_xlfn.XLOOKUP($S28:$AL28,增益!$A:$A,增益!$V:$V,0)))*IF(VLOOKUP($R28,武学奇术!$A:$ZZ,23,FALSE)=1,0,1)</f>
        <v>0</v>
      </c>
      <c r="BS28" s="33" cm="1">
        <f t="array" ref="BS28">1+$B$14+VLOOKUP($R28,武学奇术!$A:$ZZ,20,FALSE)+SUM(_xlfn.XLOOKUP($S28:$AL28,增益!$A:$A,增益!$T:$T,0))</f>
        <v>1.35</v>
      </c>
      <c r="BT28" s="33">
        <f t="shared" si="10"/>
        <v>1</v>
      </c>
      <c r="BU28" s="33">
        <f t="shared" si="11"/>
        <v>0</v>
      </c>
      <c r="BV28" s="33">
        <f>IF(VLOOKUP($R28,武学奇术!$A:$ZZ,22,FALSE)=1,0,(1-$BO28))*(1-$BR28)</f>
        <v>0</v>
      </c>
      <c r="BW28" s="33" cm="1">
        <f t="array" ref="BW28">SUM(_xlfn.XLOOKUP($S28:$AL28,增益!$A:$A,增益!$W:$W,0))+$I$5</f>
        <v>0.11</v>
      </c>
      <c r="BX28" s="33" cm="1">
        <f t="array" ref="BX28">VLOOKUP($R28,武学奇术!$A:$ZZ,32,FALSE)+SUM(_xlfn.XLOOKUP($S28:$AL28,增益!$A:$A,增益!$X:$X,0))</f>
        <v>0</v>
      </c>
    </row>
    <row r="29" spans="1:76">
      <c r="A29" t="s">
        <v>116</v>
      </c>
      <c r="B29">
        <v>2.3</v>
      </c>
      <c r="L29" s="46">
        <f t="shared" si="0"/>
        <v>420116.819341332</v>
      </c>
      <c r="M29" s="46">
        <f>((($AT29+$AU29)/2*$AN29+$AO29)*(1+$AV29)*(1+$AW29)+(($AY29+$AZ29)/2*IF($G$1="鸣金",$AP29,$AN29)+IF($G$1="鸣金",$AQ29*1.5,0))*(1+$BA29)*(1+$BB29)+(($BC29+$BD29)/2*IF($G$1="裂石",$AP29,$AN29)+IF($G$1="裂石",$AQ29*1.5,0))*(1+$BE29)*(1+$BF29)+(($BG29+$BH29)/2*IF($G$1="牵丝",$AP29,$AN29)+IF($G$1="牵丝",$AQ29*1.5,0))*(1+$BI29)*(1+$BJ29)+(($BK29+$BL29)/2*IF($G$1="破竹",$AP29,$AN29)+IF($G$1="破竹",$AQ29*1.5,0))*(1+$BM29)*(1+$BN29))*(1+$AR29)*$BQ29*$Q29*(1+IF(VLOOKUP($R29,武学奇术!$A:$ZZ,30,FALSE)="蓄力技",$B$21,0))*(1+IF(VLOOKUP($R29,武学奇术!$A:$ZZ,30,FALSE)="派生技",$B$20,0))*(1+$BW29)*(1+$BX29)</f>
        <v>420116.819341332</v>
      </c>
      <c r="N29" s="46">
        <f>(($AU29*$AN29+$AO29)*(1+$AV29)*(1+$AW29)+($AZ29*IF($G$1="鸣金",$AP29,$AN29)+IF($G$1="鸣金",$AQ29*1.5,0))*(1+$BA29)*(1+$BB29)+($BD29*IF($G$1="裂石",$AP29,$AN29)+IF($G$1="裂石",$AQ29*1.5,0))*(1+$BE29)*(1+$BF29)+($BH29*IF($G$1="牵丝",$AP29,$AN29)+IF($G$1="牵丝",$AQ29*1.5,0))*(1+$BI29)*(1+$BJ29)+($BL29*IF($G$1="破竹",$AP29,$AN29)+IF($G$1="破竹",$AQ29*1.5,0))*(1+$BM29)*(1+$BN29))*(1+$AR29)*$BS29*$Q29*(1+IF(VLOOKUP($R29,武学奇术!$A:$ZZ,30,FALSE)="蓄力技",$B$21,0))*(1+IF(VLOOKUP($R29,武学奇术!$A:$ZZ,30,FALSE)="派生技",$B$20,0))*(1+$BW29)*(1+$BX29)</f>
        <v>309686.304430391</v>
      </c>
      <c r="O29" s="46">
        <f>((($AT29+$AU29)/2*$AN29+$AO29)*(1+$AV29)*(1+$AW29)+(($AY29+$AZ29)/2*IF($G$1="鸣金",$AP29,$AN29)+IF($G$1="鸣金",$AQ29*1.5,0))*(1+$BA29)*(1+$BB29)+(($BC29+$BD29)/2*IF($G$1="裂石",$AP29,$AN29)+IF($G$1="裂石",$AQ29*1.5,0))*(1+$BE29)*(1+$BF29)+(($BG29+$BH29)/2*IF($G$1="牵丝",$AP29,$AN29)+IF($G$1="牵丝",$AQ29*1.5,0))*(1+$BI29)*(1+$BJ29)+(($BK29+$BL29)/2*IF($G$1="破竹",$AP29,$AN29)+IF($G$1="破竹",$AQ29*1.5,0))*(1+$BM29)*(1+$BN29))*(1+$AR29)*$Q29*(1+IF(VLOOKUP($R29,武学奇术!$A:$ZZ,30,FALSE)="蓄力技",$B$21,0))*(1+IF(VLOOKUP($R29,武学奇术!$A:$ZZ,30,FALSE)="派生技",$B$20,0))*(1+$BW29)*(1+$BX29)</f>
        <v>204935.03382504</v>
      </c>
      <c r="P29" s="46">
        <f>((($AT29*$AN29+$AO29)*(1+$AV29)*(1+$AW29)+($AY29*IF($G$1="鸣金",$AP29,$AN29)+IF($G$1="鸣金",$AQ29*1.5,0))*(1+$BA29)*(1+$BB29)+($BC29*IF($G$1="裂石",$AP29,$AN29)+IF($G$1="裂石",$AQ29*1.5,0))*(1+$BE29)*(1+$BF29)+($BG29*IF($G$1="牵丝",$AP29,$AN29)+IF($G$1="牵丝",$AQ29*1.5,0))*(1+$BI29)*(1+$BJ29)+($BK29*IF($G$1="破竹",$AP29,$AN29)+IF($G$1="破竹",$AQ29*1.5,0))*(1+$BM29)*(1+$BN29))*(1+$AR29))*$Q29*(1+IF(VLOOKUP($R29,武学奇术!$A:$ZZ,30,FALSE)="蓄力技",$B$21,0))*(1+IF(VLOOKUP($R29,武学奇术!$A:$ZZ,30,FALSE)="派生技",$B$20,0))*(1+$BW29)*(1+$BX29)</f>
        <v>180472.80510905</v>
      </c>
      <c r="Q29" s="47">
        <f t="shared" ref="Q29:Q36" si="13">IF($E$24="陌刀",1,0)</f>
        <v>1</v>
      </c>
      <c r="R29" s="48" t="s">
        <v>148</v>
      </c>
      <c r="S29" s="48" t="s">
        <v>99</v>
      </c>
      <c r="T29" s="48" t="s">
        <v>103</v>
      </c>
      <c r="U29" s="48" t="s">
        <v>79</v>
      </c>
      <c r="V29" s="48" t="s">
        <v>90</v>
      </c>
      <c r="W29" s="48" t="s">
        <v>141</v>
      </c>
      <c r="X29" s="48" t="s">
        <v>145</v>
      </c>
      <c r="Y29" s="48" t="s">
        <v>74</v>
      </c>
      <c r="Z29" s="48" t="s">
        <v>149</v>
      </c>
      <c r="AA29" s="48" t="s">
        <v>80</v>
      </c>
      <c r="AB29" s="48" t="s">
        <v>80</v>
      </c>
      <c r="AC29" s="48" t="s">
        <v>80</v>
      </c>
      <c r="AD29" s="48" t="s">
        <v>80</v>
      </c>
      <c r="AE29" s="48" t="s">
        <v>82</v>
      </c>
      <c r="AF29" s="48" t="s">
        <v>83</v>
      </c>
      <c r="AG29" s="48" t="s">
        <v>84</v>
      </c>
      <c r="AH29" s="48" t="s">
        <v>80</v>
      </c>
      <c r="AI29" s="48" t="s">
        <v>80</v>
      </c>
      <c r="AJ29" s="48" t="s">
        <v>80</v>
      </c>
      <c r="AK29" s="48" t="s">
        <v>80</v>
      </c>
      <c r="AL29" s="48" t="s">
        <v>85</v>
      </c>
      <c r="AM29" t="str">
        <f>VLOOKUP($R29,武学奇术!$A:$ZZ,25,FALSE)</f>
        <v>陌刀</v>
      </c>
      <c r="AN29" s="33">
        <f>VLOOKUP($R29,武学奇术!$A:$ZZ,26,FALSE)</f>
        <v>7.5674</v>
      </c>
      <c r="AO29" s="34">
        <f>VLOOKUP($R29,武学奇术!$A:$ZZ,27,FALSE)*(1+IF(OR($AM29=$F$4,$AM29=$F$5),$B$22,0))</f>
        <v>3348.8</v>
      </c>
      <c r="AP29" s="33">
        <f>VLOOKUP($R29,武学奇术!$A:$ZZ,28,FALSE)</f>
        <v>11.3512</v>
      </c>
      <c r="AQ29" s="34">
        <f>VLOOKUP($R29,武学奇术!$A:$ZZ,29,FALSE)*(1+IF(OR($AM29=$F$4,$AM29=$F$5),$B$22,0))</f>
        <v>1824</v>
      </c>
      <c r="AR29" s="33" cm="1">
        <f t="array" ref="AR29">$G$3+IFERROR(VLOOKUP($AM29,$F$4:$G$7,2,FALSE),0)+VLOOKUP($R29,武学奇术!$A:$ZZ,2,FALSE)+SUM(_xlfn.XLOOKUP($S29:$AL29,增益!$A:$A,增益!$B:$B,0))</f>
        <v>0.7243</v>
      </c>
      <c r="AS29" s="33" cm="1">
        <f t="array" ref="AS29">VLOOKUP($R29,武学奇术!$A:$ZZ,5,FALSE)+SUM(_xlfn.XLOOKUP($S29:$AL29,增益!$A:$A,增益!$E:$E,0))</f>
        <v>0</v>
      </c>
      <c r="AT29" cm="1">
        <f t="array" ref="AT29">$D$10*(1+$AS29)+VLOOKUP($R29,武学奇术!$A:$ZZ,3,FALSE)+SUM(_xlfn.XLOOKUP($S29:$AL29,增益!$A:$A,增益!$C:$C,0))-$I$2</f>
        <v>4094.7</v>
      </c>
      <c r="AU29" cm="1">
        <f t="array" ref="AU29">$E$10*(1+$AS29)+VLOOKUP($R29,武学奇术!$A:$ZZ,4,FALSE)+SUM(_xlfn.XLOOKUP($S29:$AL29,增益!$A:$A,增益!$D:$D,0))-$I$2</f>
        <v>4094.7</v>
      </c>
      <c r="AV29" s="40" cm="1">
        <f t="array" ref="AV29">IF($F$10-$I$3+VLOOKUP($R29,武学奇术!$A:$ZZ,6,FALSE)+SUM(_xlfn.XLOOKUP($S29:$AL29,增益!$A:$A,增益!$F:$F,0))&gt;0,($F$10-$I$3+VLOOKUP($R29,武学奇术!$A:$ZZ,6,FALSE)+SUM(_xlfn.XLOOKUP($S29:$AL29,增益!$A:$A,增益!$F:$F,0)))/200,($F$10-$I$3+VLOOKUP($R29,武学奇术!$A:$ZZ,6,FALSE)+SUM(_xlfn.XLOOKUP($S29:$AL29,增益!$A:$A,增益!$F:$F,0)))/100)</f>
        <v>0.4384</v>
      </c>
      <c r="AW29" s="40" cm="1">
        <f t="array" ref="AW29">$G$10+VLOOKUP($R29,武学奇术!$A:$ZZ,7,FALSE)+SUM(_xlfn.XLOOKUP($S29:$AL29,增益!$A:$A,增益!$G:$G,0))</f>
        <v>0.14</v>
      </c>
      <c r="AX29" s="33" cm="1">
        <f t="array" ref="AX29">VLOOKUP($R29,武学奇术!$A:$ZZ,8,FALSE)+SUM(_xlfn.XLOOKUP($S29:$AL29,增益!$A:$A,增益!$H:$H,0))</f>
        <v>0</v>
      </c>
      <c r="AY29">
        <f t="shared" si="2"/>
        <v>0</v>
      </c>
      <c r="AZ29">
        <f t="shared" si="3"/>
        <v>0</v>
      </c>
      <c r="BA29" s="40" cm="1">
        <f t="array" ref="BA29">IF($F$11-$I$4+VLOOKUP($R29,武学奇术!$A:$ZZ,9,FALSE)+SUM(_xlfn.XLOOKUP($S29:$AL29,增益!$A:$A,增益!$I:$I,0))&gt;0,($F$11-$I$4+VLOOKUP($R29,武学奇术!$A:$ZZ,9,FALSE)+SUM(_xlfn.XLOOKUP($S29:$AL29,增益!$A:$A,增益!$I:$I,0)))/200,($F$11-$I$4+VLOOKUP($R29,武学奇术!$A:$ZZ,9,FALSE)+SUM(_xlfn.XLOOKUP($S29:$AL29,增益!$A:$A,增益!$I:$I,0)))/100)</f>
        <v>-0.14</v>
      </c>
      <c r="BB29" s="40" cm="1">
        <f t="array" ref="BB29">$G$11+VLOOKUP($R29,武学奇术!$A:$ZZ,10,FALSE)+SUM(_xlfn.XLOOKUP($S29:$AL29,增益!$A:$A,增益!$J:$J,0))</f>
        <v>0.02</v>
      </c>
      <c r="BC29">
        <f t="shared" si="4"/>
        <v>640.3</v>
      </c>
      <c r="BD29">
        <f t="shared" si="5"/>
        <v>1770.1</v>
      </c>
      <c r="BE29" s="40" cm="1">
        <f t="array" ref="BE29">IF($F$12-$I$4+VLOOKUP($R29,武学奇术!$A:$ZZ,11,FALSE)+SUM(_xlfn.XLOOKUP($S29:$AL29,增益!$A:$A,增益!$K:$K,0))&gt;0,($F$12-$I$4+VLOOKUP($R29,武学奇术!$A:$ZZ,11,FALSE)+SUM(_xlfn.XLOOKUP($S29:$AL29,增益!$A:$A,增益!$K:$K,0)))/200,($F$12-$I$4+VLOOKUP($R29,武学奇术!$A:$ZZ,11,FALSE)+SUM(_xlfn.XLOOKUP($S29:$AL29,增益!$A:$A,增益!$K:$K,0)))/100)</f>
        <v>0.17</v>
      </c>
      <c r="BF29" s="40" cm="1">
        <f t="array" ref="BF29">$G$12+VLOOKUP($R29,武学奇术!$A:$ZZ,12,FALSE)+SUM(_xlfn.XLOOKUP($S29:$AL29,增益!$A:$A,增益!$L:$L,0))</f>
        <v>0.29</v>
      </c>
      <c r="BG29">
        <f t="shared" si="6"/>
        <v>0</v>
      </c>
      <c r="BH29">
        <f t="shared" si="7"/>
        <v>0</v>
      </c>
      <c r="BI29" s="40" cm="1">
        <f t="array" ref="BI29">IF($F$13-$I$4+VLOOKUP($R29,武学奇术!$A:$ZZ,13,FALSE)+SUM(_xlfn.XLOOKUP($S29:$AL29,增益!$A:$A,增益!$M:$M,0))&gt;0,($F$13-$I$4+VLOOKUP($R29,武学奇术!$A:$ZZ,13,FALSE)+SUM(_xlfn.XLOOKUP($S29:$AL29,增益!$A:$A,增益!$K:$K,0)))/200,($F$13-$I$4+VLOOKUP($R29,武学奇术!$A:$ZZ,13,FALSE)+SUM(_xlfn.XLOOKUP($S29:$AL29,增益!$A:$A,增益!$M:$M,0)))/100)</f>
        <v>-0.14</v>
      </c>
      <c r="BJ29" s="40" cm="1">
        <f t="array" ref="BJ29">$G$13+VLOOKUP($R29,武学奇术!$A:$ZZ,14,FALSE)+SUM(_xlfn.XLOOKUP($S29:$AL29,增益!$A:$A,增益!$N:$N,0))</f>
        <v>0.02</v>
      </c>
      <c r="BK29">
        <f t="shared" si="8"/>
        <v>0</v>
      </c>
      <c r="BL29">
        <f t="shared" si="9"/>
        <v>0</v>
      </c>
      <c r="BM29" s="40" cm="1">
        <f t="array" ref="BM29">IF($F$14-$I$4+VLOOKUP($R29,武学奇术!$A:$ZZ,15,FALSE)+SUM(_xlfn.XLOOKUP($S29:$AL29,增益!$A:$A,增益!$O:$O,0))&gt;0,($F$14-$I$4+VLOOKUP($R29,武学奇术!$A:$ZZ,15,FALSE)+SUM(_xlfn.XLOOKUP($S29:$AL29,增益!$A:$A,增益!$O:$O,0)))/200,($F$14-$I$4+VLOOKUP($R29,武学奇术!$A:$ZZ,15,FALSE)+SUM(_xlfn.XLOOKUP($S29:$AL29,增益!$A:$A,增益!$O:$O,0)))/100)</f>
        <v>-0.14</v>
      </c>
      <c r="BN29" s="40" cm="1">
        <f t="array" ref="BN29">$G$14+VLOOKUP($R29,武学奇术!$A:$ZZ,16,FALSE)+SUM(_xlfn.XLOOKUP($S29:$AL29,增益!$A:$A,增益!$P:$P,0))</f>
        <v>0.02</v>
      </c>
      <c r="BO29" s="33">
        <f>MIN(IF(VLOOKUP($R29,武学奇术!$A:$ZZ,23,FALSE)=1,100%,$B$8),100%)</f>
        <v>1</v>
      </c>
      <c r="BP29" s="33" cm="1">
        <f t="array" ref="BP29">IF(VLOOKUP($R29,武学奇术!$A:$ZZ,23,FALSE)=1,100%,MIN(80%,$B$9+VLOOKUP($R29,武学奇术!$A:$ZZ,17,FALSE)+SUM(_xlfn.XLOOKUP($S29:$AL29,增益!$A:$A,增益!$Q:$Q,0)))+$B$11+SUM(_xlfn.XLOOKUP($S29:$AL29,增益!$A:$A,增益!$U:$U,0)))*IF(VLOOKUP($R29,武学奇术!$A:$ZZ,24,FALSE)=1,0,1)</f>
        <v>1</v>
      </c>
      <c r="BQ29" s="33" cm="1">
        <f t="array" ref="BQ29">1+$B$13+VLOOKUP($R29,武学奇术!$A:$ZZ,18,FALSE)+SUM(_xlfn.XLOOKUP($S29:$AL29,增益!$A:$A,增益!$R:$R,0))</f>
        <v>2.05</v>
      </c>
      <c r="BR29" s="33" cm="1">
        <f t="array" ref="BR29">IF(VLOOKUP($R29,武学奇术!$A:$ZZ,24,FALSE)=1,100%,MIN(40%,$B$10+VLOOKUP($R29,武学奇术!$A:$ZZ,19,FALSE)+SUM(_xlfn.XLOOKUP($S29:$AL29,增益!$A:$A,增益!$S:$S,0)))+$B$12+SUM(_xlfn.XLOOKUP($S29:$AL29,增益!$A:$A,增益!$V:$V,0)))*IF(VLOOKUP($R29,武学奇术!$A:$ZZ,23,FALSE)=1,0,1)</f>
        <v>0</v>
      </c>
      <c r="BS29" s="33" cm="1">
        <f t="array" ref="BS29">1+$B$14+VLOOKUP($R29,武学奇术!$A:$ZZ,20,FALSE)+SUM(_xlfn.XLOOKUP($S29:$AL29,增益!$A:$A,增益!$T:$T,0))</f>
        <v>1.35</v>
      </c>
      <c r="BT29" s="33">
        <f t="shared" si="10"/>
        <v>1</v>
      </c>
      <c r="BU29" s="33">
        <f t="shared" si="11"/>
        <v>0</v>
      </c>
      <c r="BV29" s="33">
        <f>IF(VLOOKUP($R29,武学奇术!$A:$ZZ,22,FALSE)=1,0,(1-$BO29))*(1-$BR29)</f>
        <v>0</v>
      </c>
      <c r="BW29" s="33" cm="1">
        <f t="array" ref="BW29">SUM(_xlfn.XLOOKUP($S29:$AL29,增益!$A:$A,增益!$W:$W,0))+$I$5</f>
        <v>0.11</v>
      </c>
      <c r="BX29" s="33" cm="1">
        <f t="array" ref="BX29">VLOOKUP($R29,武学奇术!$A:$ZZ,32,FALSE)+SUM(_xlfn.XLOOKUP($S29:$AL29,增益!$A:$A,增益!$X:$X,0))</f>
        <v>0</v>
      </c>
    </row>
    <row r="30" spans="1:76">
      <c r="A30" t="s">
        <v>164</v>
      </c>
      <c r="B30">
        <v>1</v>
      </c>
      <c r="C30" s="47" t="s">
        <v>163</v>
      </c>
      <c r="L30" s="46">
        <f t="shared" si="0"/>
        <v>203423.644280546</v>
      </c>
      <c r="M30" s="46">
        <f>((($AT30+$AU30)/2*$AN30+$AO30)*(1+$AV30)*(1+$AW30)+(($AY30+$AZ30)/2*IF($G$1="鸣金",$AP30,$AN30)+IF($G$1="鸣金",$AQ30*1.5,0))*(1+$BA30)*(1+$BB30)+(($BC30+$BD30)/2*IF($G$1="裂石",$AP30,$AN30)+IF($G$1="裂石",$AQ30*1.5,0))*(1+$BE30)*(1+$BF30)+(($BG30+$BH30)/2*IF($G$1="牵丝",$AP30,$AN30)+IF($G$1="牵丝",$AQ30*1.5,0))*(1+$BI30)*(1+$BJ30)+(($BK30+$BL30)/2*IF($G$1="破竹",$AP30,$AN30)+IF($G$1="破竹",$AQ30*1.5,0))*(1+$BM30)*(1+$BN30))*(1+$AR30)*$BQ30*$Q30*(1+IF(VLOOKUP($R30,武学奇术!$A:$ZZ,30,FALSE)="蓄力技",$B$21,0))*(1+IF(VLOOKUP($R30,武学奇术!$A:$ZZ,30,FALSE)="派生技",$B$20,0))*(1+$BW30)*(1+$BX30)</f>
        <v>211811.109236088</v>
      </c>
      <c r="N30" s="46">
        <f>(($AU30*$AN30+$AO30)*(1+$AV30)*(1+$AW30)+($AZ30*IF($G$1="鸣金",$AP30,$AN30)+IF($G$1="鸣金",$AQ30*1.5,0))*(1+$BA30)*(1+$BB30)+($BD30*IF($G$1="裂石",$AP30,$AN30)+IF($G$1="裂石",$AQ30*1.5,0))*(1+$BE30)*(1+$BF30)+($BH30*IF($G$1="牵丝",$AP30,$AN30)+IF($G$1="牵丝",$AQ30*1.5,0))*(1+$BI30)*(1+$BJ30)+($BL30*IF($G$1="破竹",$AP30,$AN30)+IF($G$1="破竹",$AQ30*1.5,0))*(1+$BM30)*(1+$BN30))*(1+$AR30)*$BS30*$Q30*(1+IF(VLOOKUP($R30,武学奇术!$A:$ZZ,30,FALSE)="蓄力技",$B$21,0))*(1+IF(VLOOKUP($R30,武学奇术!$A:$ZZ,30,FALSE)="派生技",$B$20,0))*(1+$BW30)*(1+$BX30)</f>
        <v>170446.705864553</v>
      </c>
      <c r="O30" s="46">
        <f>((($AT30+$AU30)/2*$AN30+$AO30)*(1+$AV30)*(1+$AW30)+(($AY30+$AZ30)/2*IF($G$1="鸣金",$AP30,$AN30)+IF($G$1="鸣金",$AQ30*1.5,0))*(1+$BA30)*(1+$BB30)+(($BC30+$BD30)/2*IF($G$1="裂石",$AP30,$AN30)+IF($G$1="裂石",$AQ30*1.5,0))*(1+$BE30)*(1+$BF30)+(($BG30+$BH30)/2*IF($G$1="牵丝",$AP30,$AN30)+IF($G$1="牵丝",$AQ30*1.5,0))*(1+$BI30)*(1+$BJ30)+(($BK30+$BL30)/2*IF($G$1="破竹",$AP30,$AN30)+IF($G$1="破竹",$AQ30*1.5,0))*(1+$BM30)*(1+$BN30))*(1+$AR30)*$Q30*(1+IF(VLOOKUP($R30,武学奇术!$A:$ZZ,30,FALSE)="蓄力技",$B$21,0))*(1+IF(VLOOKUP($R30,武学奇术!$A:$ZZ,30,FALSE)="派生技",$B$20,0))*(1+$BW30)*(1+$BX30)</f>
        <v>111479.531176888</v>
      </c>
      <c r="P30" s="46">
        <f>((($AT30*$AN30+$AO30)*(1+$AV30)*(1+$AW30)+($AY30*IF($G$1="鸣金",$AP30,$AN30)+IF($G$1="鸣金",$AQ30*1.5,0))*(1+$BA30)*(1+$BB30)+($BC30*IF($G$1="裂石",$AP30,$AN30)+IF($G$1="裂石",$AQ30*1.5,0))*(1+$BE30)*(1+$BF30)+($BG30*IF($G$1="牵丝",$AP30,$AN30)+IF($G$1="牵丝",$AQ30*1.5,0))*(1+$BI30)*(1+$BJ30)+($BK30*IF($G$1="破竹",$AP30,$AN30)+IF($G$1="破竹",$AQ30*1.5,0))*(1+$BM30)*(1+$BN30))*(1+$AR30))*$Q30*(1+IF(VLOOKUP($R30,武学奇术!$A:$ZZ,30,FALSE)="蓄力技",$B$21,0))*(1+IF(VLOOKUP($R30,武学奇术!$A:$ZZ,30,FALSE)="派生技",$B$20,0))*(1+$BW30)*(1+$BX30)</f>
        <v>96702.2431948488</v>
      </c>
      <c r="Q30" s="47">
        <f t="shared" si="13"/>
        <v>1</v>
      </c>
      <c r="R30" s="48" t="s">
        <v>165</v>
      </c>
      <c r="S30" s="48" t="s">
        <v>99</v>
      </c>
      <c r="T30" s="48" t="s">
        <v>103</v>
      </c>
      <c r="U30" s="48" t="s">
        <v>79</v>
      </c>
      <c r="V30" s="48" t="s">
        <v>90</v>
      </c>
      <c r="W30" s="48" t="s">
        <v>91</v>
      </c>
      <c r="X30" s="48" t="s">
        <v>80</v>
      </c>
      <c r="Y30" s="48" t="s">
        <v>80</v>
      </c>
      <c r="Z30" s="48" t="s">
        <v>81</v>
      </c>
      <c r="AA30" s="48" t="s">
        <v>80</v>
      </c>
      <c r="AB30" s="48" t="s">
        <v>80</v>
      </c>
      <c r="AC30" s="48" t="s">
        <v>80</v>
      </c>
      <c r="AD30" s="48" t="s">
        <v>80</v>
      </c>
      <c r="AE30" s="48" t="s">
        <v>82</v>
      </c>
      <c r="AF30" s="48" t="s">
        <v>83</v>
      </c>
      <c r="AG30" s="48" t="s">
        <v>84</v>
      </c>
      <c r="AH30" s="48" t="s">
        <v>80</v>
      </c>
      <c r="AI30" s="48" t="s">
        <v>80</v>
      </c>
      <c r="AJ30" s="48" t="s">
        <v>80</v>
      </c>
      <c r="AK30" s="48" t="s">
        <v>80</v>
      </c>
      <c r="AL30" s="48" t="s">
        <v>85</v>
      </c>
      <c r="AM30" t="str">
        <f>VLOOKUP($R30,武学奇术!$A:$ZZ,25,FALSE)</f>
        <v>单体奇术</v>
      </c>
      <c r="AN30" s="33">
        <f>VLOOKUP($R30,武学奇术!$A:$ZZ,26,FALSE)</f>
        <v>7.1094</v>
      </c>
      <c r="AO30" s="34">
        <f>VLOOKUP($R30,武学奇术!$A:$ZZ,27,FALSE)*(1+IF(OR($AM30=$F$4,$AM30=$F$5),$B$22,0))</f>
        <v>1420</v>
      </c>
      <c r="AP30" s="33">
        <f>VLOOKUP($R30,武学奇术!$A:$ZZ,28,FALSE)</f>
        <v>10.6641</v>
      </c>
      <c r="AQ30" s="34">
        <f>VLOOKUP($R30,武学奇术!$A:$ZZ,29,FALSE)*(1+IF(OR($AM30=$F$4,$AM30=$F$5),$B$22,0))</f>
        <v>0</v>
      </c>
      <c r="AR30" s="33" cm="1">
        <f t="array" ref="AR30">$G$3+IFERROR(VLOOKUP($AM30,$F$4:$G$7,2,FALSE),0)+VLOOKUP($R30,武学奇术!$A:$ZZ,2,FALSE)+SUM(_xlfn.XLOOKUP($S30:$AL30,增益!$A:$A,增益!$B:$B,0))</f>
        <v>0.4642</v>
      </c>
      <c r="AS30" s="33" cm="1">
        <f t="array" ref="AS30">VLOOKUP($R30,武学奇术!$A:$ZZ,5,FALSE)+SUM(_xlfn.XLOOKUP($S30:$AL30,增益!$A:$A,增益!$E:$E,0))</f>
        <v>0</v>
      </c>
      <c r="AT30" cm="1">
        <f t="array" ref="AT30">$D$10*(1+$AS30)+VLOOKUP($R30,武学奇术!$A:$ZZ,3,FALSE)+SUM(_xlfn.XLOOKUP($S30:$AL30,增益!$A:$A,增益!$C:$C,0))-$I$2</f>
        <v>4094.7</v>
      </c>
      <c r="AU30" cm="1">
        <f t="array" ref="AU30">$E$10*(1+$AS30)+VLOOKUP($R30,武学奇术!$A:$ZZ,4,FALSE)+SUM(_xlfn.XLOOKUP($S30:$AL30,增益!$A:$A,增益!$D:$D,0))-$I$2</f>
        <v>4094.7</v>
      </c>
      <c r="AV30" s="40" cm="1">
        <f t="array" ref="AV30">IF($F$10-$I$3+VLOOKUP($R30,武学奇术!$A:$ZZ,6,FALSE)+SUM(_xlfn.XLOOKUP($S30:$AL30,增益!$A:$A,增益!$F:$F,0))&gt;0,($F$10-$I$3+VLOOKUP($R30,武学奇术!$A:$ZZ,6,FALSE)+SUM(_xlfn.XLOOKUP($S30:$AL30,增益!$A:$A,增益!$F:$F,0)))/200,($F$10-$I$3+VLOOKUP($R30,武学奇术!$A:$ZZ,6,FALSE)+SUM(_xlfn.XLOOKUP($S30:$AL30,增益!$A:$A,增益!$F:$F,0)))/100)</f>
        <v>0.4134</v>
      </c>
      <c r="AW30" s="40" cm="1">
        <f t="array" ref="AW30">$G$10+VLOOKUP($R30,武学奇术!$A:$ZZ,7,FALSE)+SUM(_xlfn.XLOOKUP($S30:$AL30,增益!$A:$A,增益!$G:$G,0))</f>
        <v>0.14</v>
      </c>
      <c r="AX30" s="33" cm="1">
        <f t="array" ref="AX30">VLOOKUP($R30,武学奇术!$A:$ZZ,8,FALSE)+SUM(_xlfn.XLOOKUP($S30:$AL30,增益!$A:$A,增益!$H:$H,0))</f>
        <v>0</v>
      </c>
      <c r="AY30">
        <f t="shared" si="2"/>
        <v>0</v>
      </c>
      <c r="AZ30">
        <f t="shared" si="3"/>
        <v>0</v>
      </c>
      <c r="BA30" s="40" cm="1">
        <f t="array" ref="BA30">IF($F$11-$I$4+VLOOKUP($R30,武学奇术!$A:$ZZ,9,FALSE)+SUM(_xlfn.XLOOKUP($S30:$AL30,增益!$A:$A,增益!$I:$I,0))&gt;0,($F$11-$I$4+VLOOKUP($R30,武学奇术!$A:$ZZ,9,FALSE)+SUM(_xlfn.XLOOKUP($S30:$AL30,增益!$A:$A,增益!$I:$I,0)))/200,($F$11-$I$4+VLOOKUP($R30,武学奇术!$A:$ZZ,9,FALSE)+SUM(_xlfn.XLOOKUP($S30:$AL30,增益!$A:$A,增益!$I:$I,0)))/100)</f>
        <v>-0.14</v>
      </c>
      <c r="BB30" s="40" cm="1">
        <f t="array" ref="BB30">$G$11+VLOOKUP($R30,武学奇术!$A:$ZZ,10,FALSE)+SUM(_xlfn.XLOOKUP($S30:$AL30,增益!$A:$A,增益!$J:$J,0))</f>
        <v>0.02</v>
      </c>
      <c r="BC30">
        <f t="shared" si="4"/>
        <v>640.3</v>
      </c>
      <c r="BD30">
        <f t="shared" si="5"/>
        <v>1770.1</v>
      </c>
      <c r="BE30" s="40" cm="1">
        <f t="array" ref="BE30">IF($F$12-$I$4+VLOOKUP($R30,武学奇术!$A:$ZZ,11,FALSE)+SUM(_xlfn.XLOOKUP($S30:$AL30,增益!$A:$A,增益!$K:$K,0))&gt;0,($F$12-$I$4+VLOOKUP($R30,武学奇术!$A:$ZZ,11,FALSE)+SUM(_xlfn.XLOOKUP($S30:$AL30,增益!$A:$A,增益!$K:$K,0)))/200,($F$12-$I$4+VLOOKUP($R30,武学奇术!$A:$ZZ,11,FALSE)+SUM(_xlfn.XLOOKUP($S30:$AL30,增益!$A:$A,增益!$K:$K,0)))/100)</f>
        <v>0.17</v>
      </c>
      <c r="BF30" s="40" cm="1">
        <f t="array" ref="BF30">$G$12+VLOOKUP($R30,武学奇术!$A:$ZZ,12,FALSE)+SUM(_xlfn.XLOOKUP($S30:$AL30,增益!$A:$A,增益!$L:$L,0))</f>
        <v>0.29</v>
      </c>
      <c r="BG30">
        <f t="shared" si="6"/>
        <v>0</v>
      </c>
      <c r="BH30">
        <f t="shared" si="7"/>
        <v>0</v>
      </c>
      <c r="BI30" s="40" cm="1">
        <f t="array" ref="BI30">IF($F$13-$I$4+VLOOKUP($R30,武学奇术!$A:$ZZ,13,FALSE)+SUM(_xlfn.XLOOKUP($S30:$AL30,增益!$A:$A,增益!$M:$M,0))&gt;0,($F$13-$I$4+VLOOKUP($R30,武学奇术!$A:$ZZ,13,FALSE)+SUM(_xlfn.XLOOKUP($S30:$AL30,增益!$A:$A,增益!$K:$K,0)))/200,($F$13-$I$4+VLOOKUP($R30,武学奇术!$A:$ZZ,13,FALSE)+SUM(_xlfn.XLOOKUP($S30:$AL30,增益!$A:$A,增益!$M:$M,0)))/100)</f>
        <v>-0.14</v>
      </c>
      <c r="BJ30" s="40" cm="1">
        <f t="array" ref="BJ30">$G$13+VLOOKUP($R30,武学奇术!$A:$ZZ,14,FALSE)+SUM(_xlfn.XLOOKUP($S30:$AL30,增益!$A:$A,增益!$N:$N,0))</f>
        <v>0.02</v>
      </c>
      <c r="BK30">
        <f t="shared" si="8"/>
        <v>0</v>
      </c>
      <c r="BL30">
        <f t="shared" si="9"/>
        <v>0</v>
      </c>
      <c r="BM30" s="40" cm="1">
        <f t="array" ref="BM30">IF($F$14-$I$4+VLOOKUP($R30,武学奇术!$A:$ZZ,15,FALSE)+SUM(_xlfn.XLOOKUP($S30:$AL30,增益!$A:$A,增益!$O:$O,0))&gt;0,($F$14-$I$4+VLOOKUP($R30,武学奇术!$A:$ZZ,15,FALSE)+SUM(_xlfn.XLOOKUP($S30:$AL30,增益!$A:$A,增益!$O:$O,0)))/200,($F$14-$I$4+VLOOKUP($R30,武学奇术!$A:$ZZ,15,FALSE)+SUM(_xlfn.XLOOKUP($S30:$AL30,增益!$A:$A,增益!$O:$O,0)))/100)</f>
        <v>-0.14</v>
      </c>
      <c r="BN30" s="40" cm="1">
        <f t="array" ref="BN30">$G$14+VLOOKUP($R30,武学奇术!$A:$ZZ,16,FALSE)+SUM(_xlfn.XLOOKUP($S30:$AL30,增益!$A:$A,增益!$P:$P,0))</f>
        <v>0.02</v>
      </c>
      <c r="BO30" s="33">
        <f>MIN(IF(VLOOKUP($R30,武学奇术!$A:$ZZ,23,FALSE)=1,100%,$B$8),100%)</f>
        <v>0.9771</v>
      </c>
      <c r="BP30" s="33" cm="1">
        <f t="array" ref="BP30">IF(VLOOKUP($R30,武学奇术!$A:$ZZ,23,FALSE)=1,100%,MIN(80%,$B$9+VLOOKUP($R30,武学奇术!$A:$ZZ,17,FALSE)+SUM(_xlfn.XLOOKUP($S30:$AL30,增益!$A:$A,增益!$Q:$Q,0)))+$B$11+SUM(_xlfn.XLOOKUP($S30:$AL30,增益!$A:$A,增益!$U:$U,0)))*IF(VLOOKUP($R30,武学奇术!$A:$ZZ,24,FALSE)=1,0,1)</f>
        <v>0.8861</v>
      </c>
      <c r="BQ30" s="33" cm="1">
        <f t="array" ref="BQ30">1+$B$13+VLOOKUP($R30,武学奇术!$A:$ZZ,18,FALSE)+SUM(_xlfn.XLOOKUP($S30:$AL30,增益!$A:$A,增益!$R:$R,0))</f>
        <v>1.9</v>
      </c>
      <c r="BR30" s="33" cm="1">
        <f t="array" ref="BR30">IF(VLOOKUP($R30,武学奇术!$A:$ZZ,24,FALSE)=1,100%,MIN(40%,$B$10+VLOOKUP($R30,武学奇术!$A:$ZZ,19,FALSE)+SUM(_xlfn.XLOOKUP($S30:$AL30,增益!$A:$A,增益!$S:$S,0)))+$B$12+SUM(_xlfn.XLOOKUP($S30:$AL30,增益!$A:$A,增益!$V:$V,0)))*IF(VLOOKUP($R30,武学奇术!$A:$ZZ,23,FALSE)=1,0,1)</f>
        <v>0.0913</v>
      </c>
      <c r="BS30" s="33" cm="1">
        <f t="array" ref="BS30">1+$B$14+VLOOKUP($R30,武学奇术!$A:$ZZ,20,FALSE)+SUM(_xlfn.XLOOKUP($S30:$AL30,增益!$A:$A,增益!$T:$T,0))</f>
        <v>1.35</v>
      </c>
      <c r="BT30" s="33">
        <f t="shared" si="10"/>
        <v>0.86580831</v>
      </c>
      <c r="BU30" s="33">
        <f t="shared" si="11"/>
        <v>0.02208246</v>
      </c>
      <c r="BV30" s="33">
        <f>IF(VLOOKUP($R30,武学奇术!$A:$ZZ,22,FALSE)=1,0,(1-$BO30))*(1-$BR30)</f>
        <v>0.02080923</v>
      </c>
      <c r="BW30" s="33" cm="1">
        <f t="array" ref="BW30">SUM(_xlfn.XLOOKUP($S30:$AL30,增益!$A:$A,增益!$W:$W,0))+$I$5</f>
        <v>0.11</v>
      </c>
      <c r="BX30" s="33" cm="1">
        <f t="array" ref="BX30">VLOOKUP($R30,武学奇术!$A:$ZZ,32,FALSE)+SUM(_xlfn.XLOOKUP($S30:$AL30,增益!$A:$A,增益!$X:$X,0))</f>
        <v>0</v>
      </c>
    </row>
    <row r="31" spans="1:76">
      <c r="A31" s="4" t="s">
        <v>166</v>
      </c>
      <c r="B31" s="4">
        <v>0.1</v>
      </c>
      <c r="C31" s="47"/>
      <c r="D31" s="47" t="s">
        <v>167</v>
      </c>
      <c r="L31" s="46">
        <f t="shared" si="0"/>
        <v>23004.1998129538</v>
      </c>
      <c r="M31" s="46">
        <f>((($AT31+$AU31)/2*$AN31+$AO31)*(1+$AV31)*(1+$AW31)+(($AY31+$AZ31)/2*IF($G$1="鸣金",$AP31,$AN31)+IF($G$1="鸣金",$AQ31*1.5,0))*(1+$BA31)*(1+$BB31)+(($BC31+$BD31)/2*IF($G$1="裂石",$AP31,$AN31)+IF($G$1="裂石",$AQ31*1.5,0))*(1+$BE31)*(1+$BF31)+(($BG31+$BH31)/2*IF($G$1="牵丝",$AP31,$AN31)+IF($G$1="牵丝",$AQ31*1.5,0))*(1+$BI31)*(1+$BJ31)+(($BK31+$BL31)/2*IF($G$1="破竹",$AP31,$AN31)+IF($G$1="破竹",$AQ31*1.5,0))*(1+$BM31)*(1+$BN31))*(1+$AR31)*$BQ31*$Q31*(1+IF(VLOOKUP($R31,武学奇术!$A:$ZZ,30,FALSE)="蓄力技",$B$21,0))*(1+IF(VLOOKUP($R31,武学奇术!$A:$ZZ,30,FALSE)="派生技",$B$20,0))*(1+$BW31)*(1+$BX31)</f>
        <v>24009.5511361832</v>
      </c>
      <c r="N31" s="46">
        <f>(($AU31*$AN31+$AO31)*(1+$AV31)*(1+$AW31)+($AZ31*IF($G$1="鸣金",$AP31,$AN31)+IF($G$1="鸣金",$AQ31*1.5,0))*(1+$BA31)*(1+$BB31)+($BD31*IF($G$1="裂石",$AP31,$AN31)+IF($G$1="裂石",$AQ31*1.5,0))*(1+$BE31)*(1+$BF31)+($BH31*IF($G$1="牵丝",$AP31,$AN31)+IF($G$1="牵丝",$AQ31*1.5,0))*(1+$BI31)*(1+$BJ31)+($BL31*IF($G$1="破竹",$AP31,$AN31)+IF($G$1="破竹",$AQ31*1.5,0))*(1+$BM31)*(1+$BN31))*(1+$AR31)*$BS31*$Q31*(1+IF(VLOOKUP($R31,武学奇术!$A:$ZZ,30,FALSE)="蓄力技",$B$21,0))*(1+IF(VLOOKUP($R31,武学奇术!$A:$ZZ,30,FALSE)="派生技",$B$20,0))*(1+$BW31)*(1+$BX31)</f>
        <v>18873.2072050448</v>
      </c>
      <c r="O31" s="46">
        <f>((($AT31+$AU31)/2*$AN31+$AO31)*(1+$AV31)*(1+$AW31)+(($AY31+$AZ31)/2*IF($G$1="鸣金",$AP31,$AN31)+IF($G$1="鸣金",$AQ31*1.5,0))*(1+$BA31)*(1+$BB31)+(($BC31+$BD31)/2*IF($G$1="裂石",$AP31,$AN31)+IF($G$1="裂石",$AQ31*1.5,0))*(1+$BE31)*(1+$BF31)+(($BG31+$BH31)/2*IF($G$1="牵丝",$AP31,$AN31)+IF($G$1="牵丝",$AQ31*1.5,0))*(1+$BI31)*(1+$BJ31)+(($BK31+$BL31)/2*IF($G$1="破竹",$AP31,$AN31)+IF($G$1="破竹",$AQ31*1.5,0))*(1+$BM31)*(1+$BN31))*(1+$AR31)*$Q31*(1+IF(VLOOKUP($R31,武学奇术!$A:$ZZ,30,FALSE)="蓄力技",$B$21,0))*(1+IF(VLOOKUP($R31,武学奇术!$A:$ZZ,30,FALSE)="派生技",$B$20,0))*(1+$BW31)*(1+$BX31)</f>
        <v>12312.5903262478</v>
      </c>
      <c r="P31" s="46">
        <f>((($AT31*$AN31+$AO31)*(1+$AV31)*(1+$AW31)+($AY31*IF($G$1="鸣金",$AP31,$AN31)+IF($G$1="鸣金",$AQ31*1.5,0))*(1+$BA31)*(1+$BB31)+($BC31*IF($G$1="裂石",$AP31,$AN31)+IF($G$1="裂石",$AQ31*1.5,0))*(1+$BE31)*(1+$BF31)+($BG31*IF($G$1="牵丝",$AP31,$AN31)+IF($G$1="牵丝",$AQ31*1.5,0))*(1+$BI31)*(1+$BJ31)+($BK31*IF($G$1="破竹",$AP31,$AN31)+IF($G$1="破竹",$AQ31*1.5,0))*(1+$BM31)*(1+$BN31))*(1+$AR31))*$Q31*(1+IF(VLOOKUP($R31,武学奇术!$A:$ZZ,30,FALSE)="蓄力技",$B$21,0))*(1+IF(VLOOKUP($R31,武学奇术!$A:$ZZ,30,FALSE)="派生技",$B$20,0))*(1+$BW31)*(1+$BX31)</f>
        <v>10645.0271672772</v>
      </c>
      <c r="Q31" s="47">
        <f t="shared" si="13"/>
        <v>1</v>
      </c>
      <c r="R31" s="48" t="s">
        <v>140</v>
      </c>
      <c r="S31" s="48" t="s">
        <v>99</v>
      </c>
      <c r="T31" s="48" t="s">
        <v>103</v>
      </c>
      <c r="U31" s="48" t="s">
        <v>79</v>
      </c>
      <c r="V31" s="48" t="s">
        <v>90</v>
      </c>
      <c r="W31" s="48" t="s">
        <v>141</v>
      </c>
      <c r="X31" s="48" t="s">
        <v>80</v>
      </c>
      <c r="Y31" s="48" t="s">
        <v>74</v>
      </c>
      <c r="Z31" s="48" t="s">
        <v>80</v>
      </c>
      <c r="AA31" s="48" t="s">
        <v>80</v>
      </c>
      <c r="AB31" s="48" t="s">
        <v>80</v>
      </c>
      <c r="AC31" s="48" t="s">
        <v>80</v>
      </c>
      <c r="AD31" s="48" t="s">
        <v>80</v>
      </c>
      <c r="AE31" s="48" t="s">
        <v>82</v>
      </c>
      <c r="AF31" s="48" t="s">
        <v>83</v>
      </c>
      <c r="AG31" s="48" t="s">
        <v>84</v>
      </c>
      <c r="AH31" s="48" t="s">
        <v>80</v>
      </c>
      <c r="AI31" s="48" t="s">
        <v>80</v>
      </c>
      <c r="AJ31" s="48" t="s">
        <v>80</v>
      </c>
      <c r="AK31" s="48" t="s">
        <v>80</v>
      </c>
      <c r="AL31" s="48" t="s">
        <v>85</v>
      </c>
      <c r="AM31" t="str">
        <f>VLOOKUP($R31,武学奇术!$A:$ZZ,25,FALSE)</f>
        <v>陌刀</v>
      </c>
      <c r="AN31" s="33">
        <f>VLOOKUP($R31,武学奇术!$A:$ZZ,26,FALSE)</f>
        <v>0.525</v>
      </c>
      <c r="AO31" s="34">
        <f>VLOOKUP($R31,武学奇术!$A:$ZZ,27,FALSE)*(1+IF(OR($AM31=$F$4,$AM31=$F$5),$B$22,0))</f>
        <v>0</v>
      </c>
      <c r="AP31" s="33">
        <f>VLOOKUP($R31,武学奇术!$A:$ZZ,28,FALSE)</f>
        <v>0.7875</v>
      </c>
      <c r="AQ31" s="34">
        <f>VLOOKUP($R31,武学奇术!$A:$ZZ,29,FALSE)*(1+IF(OR($AM31=$F$4,$AM31=$F$5),$B$22,0))</f>
        <v>0</v>
      </c>
      <c r="AR31" s="33" cm="1">
        <f t="array" ref="AR31">$G$3+IFERROR(VLOOKUP($AM31,$F$4:$G$7,2,FALSE),0)+VLOOKUP($R31,武学奇术!$A:$ZZ,2,FALSE)+SUM(_xlfn.XLOOKUP($S31:$AL31,增益!$A:$A,增益!$B:$B,0))</f>
        <v>0.6943</v>
      </c>
      <c r="AS31" s="33" cm="1">
        <f t="array" ref="AS31">VLOOKUP($R31,武学奇术!$A:$ZZ,5,FALSE)+SUM(_xlfn.XLOOKUP($S31:$AL31,增益!$A:$A,增益!$E:$E,0))</f>
        <v>0</v>
      </c>
      <c r="AT31" cm="1">
        <f t="array" ref="AT31">$D$10*(1+$AS31)+VLOOKUP($R31,武学奇术!$A:$ZZ,3,FALSE)+SUM(_xlfn.XLOOKUP($S31:$AL31,增益!$A:$A,增益!$C:$C,0))-$I$2</f>
        <v>4094.7</v>
      </c>
      <c r="AU31" cm="1">
        <f t="array" ref="AU31">$E$10*(1+$AS31)+VLOOKUP($R31,武学奇术!$A:$ZZ,4,FALSE)+SUM(_xlfn.XLOOKUP($S31:$AL31,增益!$A:$A,增益!$D:$D,0))-$I$2</f>
        <v>4094.7</v>
      </c>
      <c r="AV31" s="40" cm="1">
        <f t="array" ref="AV31">IF($F$10-$I$3+VLOOKUP($R31,武学奇术!$A:$ZZ,6,FALSE)+SUM(_xlfn.XLOOKUP($S31:$AL31,增益!$A:$A,增益!$F:$F,0))&gt;0,($F$10-$I$3+VLOOKUP($R31,武学奇术!$A:$ZZ,6,FALSE)+SUM(_xlfn.XLOOKUP($S31:$AL31,增益!$A:$A,增益!$F:$F,0)))/200,($F$10-$I$3+VLOOKUP($R31,武学奇术!$A:$ZZ,6,FALSE)+SUM(_xlfn.XLOOKUP($S31:$AL31,增益!$A:$A,增益!$F:$F,0)))/100)</f>
        <v>0.4384</v>
      </c>
      <c r="AW31" s="40" cm="1">
        <f t="array" ref="AW31">$G$10+VLOOKUP($R31,武学奇术!$A:$ZZ,7,FALSE)+SUM(_xlfn.XLOOKUP($S31:$AL31,增益!$A:$A,增益!$G:$G,0))</f>
        <v>0.14</v>
      </c>
      <c r="AX31" s="33" cm="1">
        <f t="array" ref="AX31">VLOOKUP($R31,武学奇术!$A:$ZZ,8,FALSE)+SUM(_xlfn.XLOOKUP($S31:$AL31,增益!$A:$A,增益!$H:$H,0))</f>
        <v>0</v>
      </c>
      <c r="AY31">
        <f t="shared" si="2"/>
        <v>0</v>
      </c>
      <c r="AZ31">
        <f t="shared" si="3"/>
        <v>0</v>
      </c>
      <c r="BA31" s="40" cm="1">
        <f t="array" ref="BA31">IF($F$11-$I$4+VLOOKUP($R31,武学奇术!$A:$ZZ,9,FALSE)+SUM(_xlfn.XLOOKUP($S31:$AL31,增益!$A:$A,增益!$I:$I,0))&gt;0,($F$11-$I$4+VLOOKUP($R31,武学奇术!$A:$ZZ,9,FALSE)+SUM(_xlfn.XLOOKUP($S31:$AL31,增益!$A:$A,增益!$I:$I,0)))/200,($F$11-$I$4+VLOOKUP($R31,武学奇术!$A:$ZZ,9,FALSE)+SUM(_xlfn.XLOOKUP($S31:$AL31,增益!$A:$A,增益!$I:$I,0)))/100)</f>
        <v>-0.14</v>
      </c>
      <c r="BB31" s="40" cm="1">
        <f t="array" ref="BB31">$G$11+VLOOKUP($R31,武学奇术!$A:$ZZ,10,FALSE)+SUM(_xlfn.XLOOKUP($S31:$AL31,增益!$A:$A,增益!$J:$J,0))</f>
        <v>0.02</v>
      </c>
      <c r="BC31">
        <f t="shared" si="4"/>
        <v>640.3</v>
      </c>
      <c r="BD31">
        <f t="shared" si="5"/>
        <v>1770.1</v>
      </c>
      <c r="BE31" s="40" cm="1">
        <f t="array" ref="BE31">IF($F$12-$I$4+VLOOKUP($R31,武学奇术!$A:$ZZ,11,FALSE)+SUM(_xlfn.XLOOKUP($S31:$AL31,增益!$A:$A,增益!$K:$K,0))&gt;0,($F$12-$I$4+VLOOKUP($R31,武学奇术!$A:$ZZ,11,FALSE)+SUM(_xlfn.XLOOKUP($S31:$AL31,增益!$A:$A,增益!$K:$K,0)))/200,($F$12-$I$4+VLOOKUP($R31,武学奇术!$A:$ZZ,11,FALSE)+SUM(_xlfn.XLOOKUP($S31:$AL31,增益!$A:$A,增益!$K:$K,0)))/100)</f>
        <v>0.17</v>
      </c>
      <c r="BF31" s="40" cm="1">
        <f t="array" ref="BF31">$G$12+VLOOKUP($R31,武学奇术!$A:$ZZ,12,FALSE)+SUM(_xlfn.XLOOKUP($S31:$AL31,增益!$A:$A,增益!$L:$L,0))</f>
        <v>0.29</v>
      </c>
      <c r="BG31">
        <f t="shared" si="6"/>
        <v>0</v>
      </c>
      <c r="BH31">
        <f t="shared" si="7"/>
        <v>0</v>
      </c>
      <c r="BI31" s="40" cm="1">
        <f t="array" ref="BI31">IF($F$13-$I$4+VLOOKUP($R31,武学奇术!$A:$ZZ,13,FALSE)+SUM(_xlfn.XLOOKUP($S31:$AL31,增益!$A:$A,增益!$M:$M,0))&gt;0,($F$13-$I$4+VLOOKUP($R31,武学奇术!$A:$ZZ,13,FALSE)+SUM(_xlfn.XLOOKUP($S31:$AL31,增益!$A:$A,增益!$K:$K,0)))/200,($F$13-$I$4+VLOOKUP($R31,武学奇术!$A:$ZZ,13,FALSE)+SUM(_xlfn.XLOOKUP($S31:$AL31,增益!$A:$A,增益!$M:$M,0)))/100)</f>
        <v>-0.14</v>
      </c>
      <c r="BJ31" s="40" cm="1">
        <f t="array" ref="BJ31">$G$13+VLOOKUP($R31,武学奇术!$A:$ZZ,14,FALSE)+SUM(_xlfn.XLOOKUP($S31:$AL31,增益!$A:$A,增益!$N:$N,0))</f>
        <v>0.02</v>
      </c>
      <c r="BK31">
        <f t="shared" si="8"/>
        <v>0</v>
      </c>
      <c r="BL31">
        <f t="shared" si="9"/>
        <v>0</v>
      </c>
      <c r="BM31" s="40" cm="1">
        <f t="array" ref="BM31">IF($F$14-$I$4+VLOOKUP($R31,武学奇术!$A:$ZZ,15,FALSE)+SUM(_xlfn.XLOOKUP($S31:$AL31,增益!$A:$A,增益!$O:$O,0))&gt;0,($F$14-$I$4+VLOOKUP($R31,武学奇术!$A:$ZZ,15,FALSE)+SUM(_xlfn.XLOOKUP($S31:$AL31,增益!$A:$A,增益!$O:$O,0)))/200,($F$14-$I$4+VLOOKUP($R31,武学奇术!$A:$ZZ,15,FALSE)+SUM(_xlfn.XLOOKUP($S31:$AL31,增益!$A:$A,增益!$O:$O,0)))/100)</f>
        <v>-0.14</v>
      </c>
      <c r="BN31" s="40" cm="1">
        <f t="array" ref="BN31">$G$14+VLOOKUP($R31,武学奇术!$A:$ZZ,16,FALSE)+SUM(_xlfn.XLOOKUP($S31:$AL31,增益!$A:$A,增益!$P:$P,0))</f>
        <v>0.02</v>
      </c>
      <c r="BO31" s="33">
        <f>MIN(IF(VLOOKUP($R31,武学奇术!$A:$ZZ,23,FALSE)=1,100%,$B$8),100%)</f>
        <v>0.9771</v>
      </c>
      <c r="BP31" s="33" cm="1">
        <f t="array" ref="BP31">IF(VLOOKUP($R31,武学奇术!$A:$ZZ,23,FALSE)=1,100%,MIN(80%,$B$9+VLOOKUP($R31,武学奇术!$A:$ZZ,17,FALSE)+SUM(_xlfn.XLOOKUP($S31:$AL31,增益!$A:$A,增益!$Q:$Q,0)))+$B$11+SUM(_xlfn.XLOOKUP($S31:$AL31,增益!$A:$A,增益!$U:$U,0)))*IF(VLOOKUP($R31,武学奇术!$A:$ZZ,24,FALSE)=1,0,1)</f>
        <v>0.8861</v>
      </c>
      <c r="BQ31" s="33" cm="1">
        <f t="array" ref="BQ31">1+$B$13+VLOOKUP($R31,武学奇术!$A:$ZZ,18,FALSE)+SUM(_xlfn.XLOOKUP($S31:$AL31,增益!$A:$A,增益!$R:$R,0))</f>
        <v>1.95</v>
      </c>
      <c r="BR31" s="33" cm="1">
        <f t="array" ref="BR31">IF(VLOOKUP($R31,武学奇术!$A:$ZZ,24,FALSE)=1,100%,MIN(40%,$B$10+VLOOKUP($R31,武学奇术!$A:$ZZ,19,FALSE)+SUM(_xlfn.XLOOKUP($S31:$AL31,增益!$A:$A,增益!$S:$S,0)))+$B$12+SUM(_xlfn.XLOOKUP($S31:$AL31,增益!$A:$A,增益!$V:$V,0)))*IF(VLOOKUP($R31,武学奇术!$A:$ZZ,23,FALSE)=1,0,1)</f>
        <v>0.0913</v>
      </c>
      <c r="BS31" s="33" cm="1">
        <f t="array" ref="BS31">1+$B$14+VLOOKUP($R31,武学奇术!$A:$ZZ,20,FALSE)+SUM(_xlfn.XLOOKUP($S31:$AL31,增益!$A:$A,增益!$T:$T,0))</f>
        <v>1.35</v>
      </c>
      <c r="BT31" s="33">
        <f t="shared" si="10"/>
        <v>0.86580831</v>
      </c>
      <c r="BU31" s="33">
        <f t="shared" si="11"/>
        <v>0.02208246</v>
      </c>
      <c r="BV31" s="33">
        <f>IF(VLOOKUP($R31,武学奇术!$A:$ZZ,22,FALSE)=1,0,(1-$BO31))*(1-$BR31)</f>
        <v>0.02080923</v>
      </c>
      <c r="BW31" s="33" cm="1">
        <f t="array" ref="BW31">SUM(_xlfn.XLOOKUP($S31:$AL31,增益!$A:$A,增益!$W:$W,0))+$I$5</f>
        <v>0.11</v>
      </c>
      <c r="BX31" s="33" cm="1">
        <f t="array" ref="BX31">VLOOKUP($R31,武学奇术!$A:$ZZ,32,FALSE)+SUM(_xlfn.XLOOKUP($S31:$AL31,增益!$A:$A,增益!$X:$X,0))</f>
        <v>0</v>
      </c>
    </row>
    <row r="32" spans="1:76">
      <c r="A32" s="4" t="s">
        <v>168</v>
      </c>
      <c r="B32" s="4">
        <v>2.3</v>
      </c>
      <c r="C32" s="47"/>
      <c r="D32" s="47"/>
      <c r="L32" s="46">
        <f t="shared" si="0"/>
        <v>41599.4458377144</v>
      </c>
      <c r="M32" s="46">
        <f>((($AT32+$AU32)/2*$AN32+$AO32)*(1+$AV32)*(1+$AW32)+(($AY32+$AZ32)/2*IF($G$1="鸣金",$AP32,$AN32)+IF($G$1="鸣金",$AQ32*1.5,0))*(1+$BA32)*(1+$BB32)+(($BC32+$BD32)/2*IF($G$1="裂石",$AP32,$AN32)+IF($G$1="裂石",$AQ32*1.5,0))*(1+$BE32)*(1+$BF32)+(($BG32+$BH32)/2*IF($G$1="牵丝",$AP32,$AN32)+IF($G$1="牵丝",$AQ32*1.5,0))*(1+$BI32)*(1+$BJ32)+(($BK32+$BL32)/2*IF($G$1="破竹",$AP32,$AN32)+IF($G$1="破竹",$AQ32*1.5,0))*(1+$BM32)*(1+$BN32))*(1+$AR32)*$BQ32*$Q32*(1+IF(VLOOKUP($R32,武学奇术!$A:$ZZ,30,FALSE)="蓄力技",$B$21,0))*(1+IF(VLOOKUP($R32,武学奇术!$A:$ZZ,30,FALSE)="派生技",$B$20,0))*(1+$BW32)*(1+$BX32)</f>
        <v>43438.8186710021</v>
      </c>
      <c r="N32" s="46">
        <f>(($AU32*$AN32+$AO32)*(1+$AV32)*(1+$AW32)+($AZ32*IF($G$1="鸣金",$AP32,$AN32)+IF($G$1="鸣金",$AQ32*1.5,0))*(1+$BA32)*(1+$BB32)+($BD32*IF($G$1="裂石",$AP32,$AN32)+IF($G$1="裂石",$AQ32*1.5,0))*(1+$BE32)*(1+$BF32)+($BH32*IF($G$1="牵丝",$AP32,$AN32)+IF($G$1="牵丝",$AQ32*1.5,0))*(1+$BI32)*(1+$BJ32)+($BL32*IF($G$1="破竹",$AP32,$AN32)+IF($G$1="破竹",$AQ32*1.5,0))*(1+$BM32)*(1+$BN32))*(1+$AR32)*$BS32*$Q32*(1+IF(VLOOKUP($R32,武学奇术!$A:$ZZ,30,FALSE)="蓄力技",$B$21,0))*(1+IF(VLOOKUP($R32,武学奇术!$A:$ZZ,30,FALSE)="派生技",$B$20,0))*(1+$BW32)*(1+$BX32)</f>
        <v>33971.7729690806</v>
      </c>
      <c r="O32" s="46">
        <f>((($AT32+$AU32)/2*$AN32+$AO32)*(1+$AV32)*(1+$AW32)+(($AY32+$AZ32)/2*IF($G$1="鸣金",$AP32,$AN32)+IF($G$1="鸣金",$AQ32*1.5,0))*(1+$BA32)*(1+$BB32)+(($BC32+$BD32)/2*IF($G$1="裂石",$AP32,$AN32)+IF($G$1="裂石",$AQ32*1.5,0))*(1+$BE32)*(1+$BF32)+(($BG32+$BH32)/2*IF($G$1="牵丝",$AP32,$AN32)+IF($G$1="牵丝",$AQ32*1.5,0))*(1+$BI32)*(1+$BJ32)+(($BK32+$BL32)/2*IF($G$1="破竹",$AP32,$AN32)+IF($G$1="破竹",$AQ32*1.5,0))*(1+$BM32)*(1+$BN32))*(1+$AR32)*$Q32*(1+IF(VLOOKUP($R32,武学奇术!$A:$ZZ,30,FALSE)="蓄力技",$B$21,0))*(1+IF(VLOOKUP($R32,武学奇术!$A:$ZZ,30,FALSE)="派生技",$B$20,0))*(1+$BW32)*(1+$BX32)</f>
        <v>22162.662587246</v>
      </c>
      <c r="P32" s="46">
        <f>((($AT32*$AN32+$AO32)*(1+$AV32)*(1+$AW32)+($AY32*IF($G$1="鸣金",$AP32,$AN32)+IF($G$1="鸣金",$AQ32*1.5,0))*(1+$BA32)*(1+$BB32)+($BC32*IF($G$1="裂石",$AP32,$AN32)+IF($G$1="裂石",$AQ32*1.5,0))*(1+$BE32)*(1+$BF32)+($BG32*IF($G$1="牵丝",$AP32,$AN32)+IF($G$1="牵丝",$AQ32*1.5,0))*(1+$BI32)*(1+$BJ32)+($BK32*IF($G$1="破竹",$AP32,$AN32)+IF($G$1="破竹",$AQ32*1.5,0))*(1+$BM32)*(1+$BN32))*(1+$AR32))*$Q32*(1+IF(VLOOKUP($R32,武学奇术!$A:$ZZ,30,FALSE)="蓄力技",$B$21,0))*(1+IF(VLOOKUP($R32,武学奇术!$A:$ZZ,30,FALSE)="派生技",$B$20,0))*(1+$BW32)*(1+$BX32)</f>
        <v>19161.0489010989</v>
      </c>
      <c r="Q32" s="47">
        <f t="shared" si="13"/>
        <v>1</v>
      </c>
      <c r="R32" s="48" t="s">
        <v>169</v>
      </c>
      <c r="S32" s="48" t="s">
        <v>99</v>
      </c>
      <c r="T32" s="48" t="s">
        <v>170</v>
      </c>
      <c r="U32" s="48" t="s">
        <v>79</v>
      </c>
      <c r="V32" s="48" t="s">
        <v>90</v>
      </c>
      <c r="W32" s="48" t="s">
        <v>141</v>
      </c>
      <c r="X32" s="48" t="s">
        <v>80</v>
      </c>
      <c r="Y32" s="48" t="s">
        <v>74</v>
      </c>
      <c r="Z32" s="48" t="s">
        <v>80</v>
      </c>
      <c r="AA32" s="48" t="s">
        <v>80</v>
      </c>
      <c r="AB32" s="48" t="s">
        <v>80</v>
      </c>
      <c r="AC32" s="48" t="s">
        <v>80</v>
      </c>
      <c r="AD32" s="48" t="s">
        <v>80</v>
      </c>
      <c r="AE32" s="48" t="s">
        <v>82</v>
      </c>
      <c r="AF32" s="48" t="s">
        <v>83</v>
      </c>
      <c r="AG32" s="48" t="s">
        <v>84</v>
      </c>
      <c r="AH32" s="48" t="s">
        <v>80</v>
      </c>
      <c r="AI32" s="48" t="s">
        <v>80</v>
      </c>
      <c r="AJ32" s="48" t="s">
        <v>80</v>
      </c>
      <c r="AK32" s="48" t="s">
        <v>80</v>
      </c>
      <c r="AL32" s="48" t="s">
        <v>85</v>
      </c>
      <c r="AM32" t="str">
        <f>VLOOKUP($R32,武学奇术!$A:$ZZ,25,FALSE)</f>
        <v>陌刀</v>
      </c>
      <c r="AN32" s="33">
        <f>VLOOKUP($R32,武学奇术!$A:$ZZ,26,FALSE)</f>
        <v>0.945</v>
      </c>
      <c r="AO32" s="34">
        <f>VLOOKUP($R32,武学奇术!$A:$ZZ,27,FALSE)*(1+IF(OR($AM32=$F$4,$AM32=$F$5),$B$22,0))</f>
        <v>0</v>
      </c>
      <c r="AP32" s="33">
        <f>VLOOKUP($R32,武学奇术!$A:$ZZ,28,FALSE)</f>
        <v>1.4175</v>
      </c>
      <c r="AQ32" s="34">
        <f>VLOOKUP($R32,武学奇术!$A:$ZZ,29,FALSE)*(1+IF(OR($AM32=$F$4,$AM32=$F$5),$B$22,0))</f>
        <v>0</v>
      </c>
      <c r="AR32" s="33" cm="1">
        <f t="array" ref="AR32">$G$3+IFERROR(VLOOKUP($AM32,$F$4:$G$7,2,FALSE),0)+VLOOKUP($R32,武学奇术!$A:$ZZ,2,FALSE)+SUM(_xlfn.XLOOKUP($S32:$AL32,增益!$A:$A,增益!$B:$B,0))</f>
        <v>0.6943</v>
      </c>
      <c r="AS32" s="33" cm="1">
        <f t="array" ref="AS32">VLOOKUP($R32,武学奇术!$A:$ZZ,5,FALSE)+SUM(_xlfn.XLOOKUP($S32:$AL32,增益!$A:$A,增益!$E:$E,0))</f>
        <v>0</v>
      </c>
      <c r="AT32" cm="1">
        <f t="array" ref="AT32">$D$10*(1+$AS32)+VLOOKUP($R32,武学奇术!$A:$ZZ,3,FALSE)+SUM(_xlfn.XLOOKUP($S32:$AL32,增益!$A:$A,增益!$C:$C,0))-$I$2</f>
        <v>4094.7</v>
      </c>
      <c r="AU32" cm="1">
        <f t="array" ref="AU32">$E$10*(1+$AS32)+VLOOKUP($R32,武学奇术!$A:$ZZ,4,FALSE)+SUM(_xlfn.XLOOKUP($S32:$AL32,增益!$A:$A,增益!$D:$D,0))-$I$2</f>
        <v>4094.7</v>
      </c>
      <c r="AV32" s="40" cm="1">
        <f t="array" ref="AV32">IF($F$10-$I$3+VLOOKUP($R32,武学奇术!$A:$ZZ,6,FALSE)+SUM(_xlfn.XLOOKUP($S32:$AL32,增益!$A:$A,增益!$F:$F,0))&gt;0,($F$10-$I$3+VLOOKUP($R32,武学奇术!$A:$ZZ,6,FALSE)+SUM(_xlfn.XLOOKUP($S32:$AL32,增益!$A:$A,增益!$F:$F,0)))/200,($F$10-$I$3+VLOOKUP($R32,武学奇术!$A:$ZZ,6,FALSE)+SUM(_xlfn.XLOOKUP($S32:$AL32,增益!$A:$A,增益!$F:$F,0)))/100)</f>
        <v>0.4384</v>
      </c>
      <c r="AW32" s="40" cm="1">
        <f t="array" ref="AW32">$G$10+VLOOKUP($R32,武学奇术!$A:$ZZ,7,FALSE)+SUM(_xlfn.XLOOKUP($S32:$AL32,增益!$A:$A,增益!$G:$G,0))</f>
        <v>0.14</v>
      </c>
      <c r="AX32" s="33" cm="1">
        <f t="array" ref="AX32">VLOOKUP($R32,武学奇术!$A:$ZZ,8,FALSE)+SUM(_xlfn.XLOOKUP($S32:$AL32,增益!$A:$A,增益!$H:$H,0))</f>
        <v>0</v>
      </c>
      <c r="AY32">
        <f t="shared" si="2"/>
        <v>0</v>
      </c>
      <c r="AZ32">
        <f t="shared" si="3"/>
        <v>0</v>
      </c>
      <c r="BA32" s="40" cm="1">
        <f t="array" ref="BA32">IF($F$11-$I$4+VLOOKUP($R32,武学奇术!$A:$ZZ,9,FALSE)+SUM(_xlfn.XLOOKUP($S32:$AL32,增益!$A:$A,增益!$I:$I,0))&gt;0,($F$11-$I$4+VLOOKUP($R32,武学奇术!$A:$ZZ,9,FALSE)+SUM(_xlfn.XLOOKUP($S32:$AL32,增益!$A:$A,增益!$I:$I,0)))/200,($F$11-$I$4+VLOOKUP($R32,武学奇术!$A:$ZZ,9,FALSE)+SUM(_xlfn.XLOOKUP($S32:$AL32,增益!$A:$A,增益!$I:$I,0)))/100)</f>
        <v>-0.14</v>
      </c>
      <c r="BB32" s="40" cm="1">
        <f t="array" ref="BB32">$G$11+VLOOKUP($R32,武学奇术!$A:$ZZ,10,FALSE)+SUM(_xlfn.XLOOKUP($S32:$AL32,增益!$A:$A,增益!$J:$J,0))</f>
        <v>0.02</v>
      </c>
      <c r="BC32">
        <f t="shared" si="4"/>
        <v>640.3</v>
      </c>
      <c r="BD32">
        <f t="shared" si="5"/>
        <v>1770.1</v>
      </c>
      <c r="BE32" s="40" cm="1">
        <f t="array" ref="BE32">IF($F$12-$I$4+VLOOKUP($R32,武学奇术!$A:$ZZ,11,FALSE)+SUM(_xlfn.XLOOKUP($S32:$AL32,增益!$A:$A,增益!$K:$K,0))&gt;0,($F$12-$I$4+VLOOKUP($R32,武学奇术!$A:$ZZ,11,FALSE)+SUM(_xlfn.XLOOKUP($S32:$AL32,增益!$A:$A,增益!$K:$K,0)))/200,($F$12-$I$4+VLOOKUP($R32,武学奇术!$A:$ZZ,11,FALSE)+SUM(_xlfn.XLOOKUP($S32:$AL32,增益!$A:$A,增益!$K:$K,0)))/100)</f>
        <v>0.17</v>
      </c>
      <c r="BF32" s="40" cm="1">
        <f t="array" ref="BF32">$G$12+VLOOKUP($R32,武学奇术!$A:$ZZ,12,FALSE)+SUM(_xlfn.XLOOKUP($S32:$AL32,增益!$A:$A,增益!$L:$L,0))</f>
        <v>0.29</v>
      </c>
      <c r="BG32">
        <f t="shared" si="6"/>
        <v>0</v>
      </c>
      <c r="BH32">
        <f t="shared" si="7"/>
        <v>0</v>
      </c>
      <c r="BI32" s="40" cm="1">
        <f t="array" ref="BI32">IF($F$13-$I$4+VLOOKUP($R32,武学奇术!$A:$ZZ,13,FALSE)+SUM(_xlfn.XLOOKUP($S32:$AL32,增益!$A:$A,增益!$M:$M,0))&gt;0,($F$13-$I$4+VLOOKUP($R32,武学奇术!$A:$ZZ,13,FALSE)+SUM(_xlfn.XLOOKUP($S32:$AL32,增益!$A:$A,增益!$K:$K,0)))/200,($F$13-$I$4+VLOOKUP($R32,武学奇术!$A:$ZZ,13,FALSE)+SUM(_xlfn.XLOOKUP($S32:$AL32,增益!$A:$A,增益!$M:$M,0)))/100)</f>
        <v>-0.14</v>
      </c>
      <c r="BJ32" s="40" cm="1">
        <f t="array" ref="BJ32">$G$13+VLOOKUP($R32,武学奇术!$A:$ZZ,14,FALSE)+SUM(_xlfn.XLOOKUP($S32:$AL32,增益!$A:$A,增益!$N:$N,0))</f>
        <v>0.02</v>
      </c>
      <c r="BK32">
        <f t="shared" si="8"/>
        <v>0</v>
      </c>
      <c r="BL32">
        <f t="shared" si="9"/>
        <v>0</v>
      </c>
      <c r="BM32" s="40" cm="1">
        <f t="array" ref="BM32">IF($F$14-$I$4+VLOOKUP($R32,武学奇术!$A:$ZZ,15,FALSE)+SUM(_xlfn.XLOOKUP($S32:$AL32,增益!$A:$A,增益!$O:$O,0))&gt;0,($F$14-$I$4+VLOOKUP($R32,武学奇术!$A:$ZZ,15,FALSE)+SUM(_xlfn.XLOOKUP($S32:$AL32,增益!$A:$A,增益!$O:$O,0)))/200,($F$14-$I$4+VLOOKUP($R32,武学奇术!$A:$ZZ,15,FALSE)+SUM(_xlfn.XLOOKUP($S32:$AL32,增益!$A:$A,增益!$O:$O,0)))/100)</f>
        <v>-0.14</v>
      </c>
      <c r="BN32" s="40" cm="1">
        <f t="array" ref="BN32">$G$14+VLOOKUP($R32,武学奇术!$A:$ZZ,16,FALSE)+SUM(_xlfn.XLOOKUP($S32:$AL32,增益!$A:$A,增益!$P:$P,0))</f>
        <v>0.02</v>
      </c>
      <c r="BO32" s="33">
        <f>MIN(IF(VLOOKUP($R32,武学奇术!$A:$ZZ,23,FALSE)=1,100%,$B$8),100%)</f>
        <v>0.9771</v>
      </c>
      <c r="BP32" s="33" cm="1">
        <f t="array" ref="BP32">IF(VLOOKUP($R32,武学奇术!$A:$ZZ,23,FALSE)=1,100%,MIN(80%,$B$9+VLOOKUP($R32,武学奇术!$A:$ZZ,17,FALSE)+SUM(_xlfn.XLOOKUP($S32:$AL32,增益!$A:$A,增益!$Q:$Q,0)))+$B$11+SUM(_xlfn.XLOOKUP($S32:$AL32,增益!$A:$A,增益!$U:$U,0)))*IF(VLOOKUP($R32,武学奇术!$A:$ZZ,24,FALSE)=1,0,1)</f>
        <v>0.8861</v>
      </c>
      <c r="BQ32" s="33" cm="1">
        <f t="array" ref="BQ32">1+$B$13+VLOOKUP($R32,武学奇术!$A:$ZZ,18,FALSE)+SUM(_xlfn.XLOOKUP($S32:$AL32,增益!$A:$A,增益!$R:$R,0))</f>
        <v>1.96</v>
      </c>
      <c r="BR32" s="33" cm="1">
        <f t="array" ref="BR32">IF(VLOOKUP($R32,武学奇术!$A:$ZZ,24,FALSE)=1,100%,MIN(40%,$B$10+VLOOKUP($R32,武学奇术!$A:$ZZ,19,FALSE)+SUM(_xlfn.XLOOKUP($S32:$AL32,增益!$A:$A,增益!$S:$S,0)))+$B$12+SUM(_xlfn.XLOOKUP($S32:$AL32,增益!$A:$A,增益!$V:$V,0)))*IF(VLOOKUP($R32,武学奇术!$A:$ZZ,23,FALSE)=1,0,1)</f>
        <v>0.0913</v>
      </c>
      <c r="BS32" s="33" cm="1">
        <f t="array" ref="BS32">1+$B$14+VLOOKUP($R32,武学奇术!$A:$ZZ,20,FALSE)+SUM(_xlfn.XLOOKUP($S32:$AL32,增益!$A:$A,增益!$T:$T,0))</f>
        <v>1.35</v>
      </c>
      <c r="BT32" s="33">
        <f t="shared" si="10"/>
        <v>0.86580831</v>
      </c>
      <c r="BU32" s="33">
        <f t="shared" si="11"/>
        <v>0.02208246</v>
      </c>
      <c r="BV32" s="33">
        <f>IF(VLOOKUP($R32,武学奇术!$A:$ZZ,22,FALSE)=1,0,(1-$BO32))*(1-$BR32)</f>
        <v>0.02080923</v>
      </c>
      <c r="BW32" s="33" cm="1">
        <f t="array" ref="BW32">SUM(_xlfn.XLOOKUP($S32:$AL32,增益!$A:$A,增益!$W:$W,0))+$I$5</f>
        <v>0.11</v>
      </c>
      <c r="BX32" s="33" cm="1">
        <f t="array" ref="BX32">VLOOKUP($R32,武学奇术!$A:$ZZ,32,FALSE)+SUM(_xlfn.XLOOKUP($S32:$AL32,增益!$A:$A,增益!$X:$X,0))</f>
        <v>0</v>
      </c>
    </row>
    <row r="33" spans="1:76">
      <c r="A33" s="4" t="s">
        <v>168</v>
      </c>
      <c r="B33" s="4">
        <v>2.3</v>
      </c>
      <c r="C33" s="47"/>
      <c r="D33" s="47"/>
      <c r="L33" s="46">
        <f t="shared" si="0"/>
        <v>286076.856885344</v>
      </c>
      <c r="M33" s="46">
        <f>((($AT33+$AU33)/2*$AN33+$AO33)*(1+$AV33)*(1+$AW33)+(($AY33+$AZ33)/2*IF($G$1="鸣金",$AP33,$AN33)+IF($G$1="鸣金",$AQ33*1.5,0))*(1+$BA33)*(1+$BB33)+(($BC33+$BD33)/2*IF($G$1="裂石",$AP33,$AN33)+IF($G$1="裂石",$AQ33*1.5,0))*(1+$BE33)*(1+$BF33)+(($BG33+$BH33)/2*IF($G$1="牵丝",$AP33,$AN33)+IF($G$1="牵丝",$AQ33*1.5,0))*(1+$BI33)*(1+$BJ33)+(($BK33+$BL33)/2*IF($G$1="破竹",$AP33,$AN33)+IF($G$1="破竹",$AQ33*1.5,0))*(1+$BM33)*(1+$BN33))*(1+$AR33)*$BQ33*$Q33*(1+IF(VLOOKUP($R33,武学奇术!$A:$ZZ,30,FALSE)="蓄力技",$B$21,0))*(1+IF(VLOOKUP($R33,武学奇术!$A:$ZZ,30,FALSE)="派生技",$B$20,0))*(1+$BW33)*(1+$BX33)</f>
        <v>298988.250152398</v>
      </c>
      <c r="N33" s="46">
        <f>(($AU33*$AN33+$AO33)*(1+$AV33)*(1+$AW33)+($AZ33*IF($G$1="鸣金",$AP33,$AN33)+IF($G$1="鸣金",$AQ33*1.5,0))*(1+$BA33)*(1+$BB33)+($BD33*IF($G$1="裂石",$AP33,$AN33)+IF($G$1="裂石",$AQ33*1.5,0))*(1+$BE33)*(1+$BF33)+($BH33*IF($G$1="牵丝",$AP33,$AN33)+IF($G$1="牵丝",$AQ33*1.5,0))*(1+$BI33)*(1+$BJ33)+($BL33*IF($G$1="破竹",$AP33,$AN33)+IF($G$1="破竹",$AQ33*1.5,0))*(1+$BM33)*(1+$BN33))*(1+$AR33)*$BS33*$Q33*(1+IF(VLOOKUP($R33,武学奇术!$A:$ZZ,30,FALSE)="蓄力技",$B$21,0))*(1+IF(VLOOKUP($R33,武学奇术!$A:$ZZ,30,FALSE)="派生技",$B$20,0))*(1+$BW33)*(1+$BX33)</f>
        <v>230518.714765318</v>
      </c>
      <c r="O33" s="46">
        <f>((($AT33+$AU33)/2*$AN33+$AO33)*(1+$AV33)*(1+$AW33)+(($AY33+$AZ33)/2*IF($G$1="鸣金",$AP33,$AN33)+IF($G$1="鸣金",$AQ33*1.5,0))*(1+$BA33)*(1+$BB33)+(($BC33+$BD33)/2*IF($G$1="裂石",$AP33,$AN33)+IF($G$1="裂石",$AQ33*1.5,0))*(1+$BE33)*(1+$BF33)+(($BG33+$BH33)/2*IF($G$1="牵丝",$AP33,$AN33)+IF($G$1="牵丝",$AQ33*1.5,0))*(1+$BI33)*(1+$BJ33)+(($BK33+$BL33)/2*IF($G$1="破竹",$AP33,$AN33)+IF($G$1="破竹",$AQ33*1.5,0))*(1+$BM33)*(1+$BN33))*(1+$AR33)*$Q33*(1+IF(VLOOKUP($R33,武学奇术!$A:$ZZ,30,FALSE)="蓄力技",$B$21,0))*(1+IF(VLOOKUP($R33,武学奇术!$A:$ZZ,30,FALSE)="派生技",$B$20,0))*(1+$BW33)*(1+$BX33)</f>
        <v>152545.025587958</v>
      </c>
      <c r="P33" s="46">
        <f>((($AT33*$AN33+$AO33)*(1+$AV33)*(1+$AW33)+($AY33*IF($G$1="鸣金",$AP33,$AN33)+IF($G$1="鸣金",$AQ33*1.5,0))*(1+$BA33)*(1+$BB33)+($BC33*IF($G$1="裂石",$AP33,$AN33)+IF($G$1="裂石",$AQ33*1.5,0))*(1+$BE33)*(1+$BF33)+($BG33*IF($G$1="牵丝",$AP33,$AN33)+IF($G$1="牵丝",$AQ33*1.5,0))*(1+$BI33)*(1+$BJ33)+($BK33*IF($G$1="破竹",$AP33,$AN33)+IF($G$1="破竹",$AQ33*1.5,0))*(1+$BM33)*(1+$BN33))*(1+$AR33))*$Q33*(1+IF(VLOOKUP($R33,武学奇术!$A:$ZZ,30,FALSE)="蓄力技",$B$21,0))*(1+IF(VLOOKUP($R33,武学奇术!$A:$ZZ,30,FALSE)="派生技",$B$20,0))*(1+$BW33)*(1+$BX33)</f>
        <v>134335.447646051</v>
      </c>
      <c r="Q33" s="47">
        <f t="shared" si="13"/>
        <v>1</v>
      </c>
      <c r="R33" s="48" t="s">
        <v>171</v>
      </c>
      <c r="S33" s="48" t="s">
        <v>99</v>
      </c>
      <c r="T33" s="48" t="s">
        <v>170</v>
      </c>
      <c r="U33" s="48" t="s">
        <v>79</v>
      </c>
      <c r="V33" s="48" t="s">
        <v>90</v>
      </c>
      <c r="W33" s="48" t="s">
        <v>141</v>
      </c>
      <c r="X33" s="48" t="s">
        <v>80</v>
      </c>
      <c r="Y33" s="48" t="s">
        <v>74</v>
      </c>
      <c r="Z33" s="48" t="s">
        <v>80</v>
      </c>
      <c r="AA33" s="48" t="s">
        <v>80</v>
      </c>
      <c r="AB33" s="48" t="s">
        <v>80</v>
      </c>
      <c r="AC33" s="48" t="s">
        <v>80</v>
      </c>
      <c r="AD33" s="48" t="s">
        <v>80</v>
      </c>
      <c r="AE33" s="48" t="s">
        <v>82</v>
      </c>
      <c r="AF33" s="48" t="s">
        <v>83</v>
      </c>
      <c r="AG33" s="48" t="s">
        <v>84</v>
      </c>
      <c r="AH33" s="48" t="s">
        <v>80</v>
      </c>
      <c r="AI33" s="48" t="s">
        <v>80</v>
      </c>
      <c r="AJ33" s="48" t="s">
        <v>80</v>
      </c>
      <c r="AK33" s="48" t="s">
        <v>80</v>
      </c>
      <c r="AL33" s="48" t="s">
        <v>85</v>
      </c>
      <c r="AM33" t="str">
        <f>VLOOKUP($R33,武学奇术!$A:$ZZ,25,FALSE)</f>
        <v>陌刀</v>
      </c>
      <c r="AN33" s="33">
        <f>VLOOKUP($R33,武学奇术!$A:$ZZ,26,FALSE)</f>
        <v>5.733</v>
      </c>
      <c r="AO33" s="34">
        <f>VLOOKUP($R33,武学奇术!$A:$ZZ,27,FALSE)*(1+IF(OR($AM33=$F$4,$AM33=$F$5),$B$22,0))</f>
        <v>2536</v>
      </c>
      <c r="AP33" s="33">
        <f>VLOOKUP($R33,武学奇术!$A:$ZZ,28,FALSE)</f>
        <v>8.5994</v>
      </c>
      <c r="AQ33" s="34">
        <f>VLOOKUP($R33,武学奇术!$A:$ZZ,29,FALSE)*(1+IF(OR($AM33=$F$4,$AM33=$F$5),$B$22,0))</f>
        <v>1380.8</v>
      </c>
      <c r="AR33" s="33" cm="1">
        <f t="array" ref="AR33">$G$3+IFERROR(VLOOKUP($AM33,$F$4:$G$7,2,FALSE),0)+VLOOKUP($R33,武学奇术!$A:$ZZ,2,FALSE)+SUM(_xlfn.XLOOKUP($S33:$AL33,增益!$A:$A,增益!$B:$B,0))</f>
        <v>0.6943</v>
      </c>
      <c r="AS33" s="33" cm="1">
        <f t="array" ref="AS33">VLOOKUP($R33,武学奇术!$A:$ZZ,5,FALSE)+SUM(_xlfn.XLOOKUP($S33:$AL33,增益!$A:$A,增益!$E:$E,0))</f>
        <v>0</v>
      </c>
      <c r="AT33" cm="1">
        <f t="array" ref="AT33">$D$10*(1+$AS33)+VLOOKUP($R33,武学奇术!$A:$ZZ,3,FALSE)+SUM(_xlfn.XLOOKUP($S33:$AL33,增益!$A:$A,增益!$C:$C,0))-$I$2</f>
        <v>4094.7</v>
      </c>
      <c r="AU33" cm="1">
        <f t="array" ref="AU33">$E$10*(1+$AS33)+VLOOKUP($R33,武学奇术!$A:$ZZ,4,FALSE)+SUM(_xlfn.XLOOKUP($S33:$AL33,增益!$A:$A,增益!$D:$D,0))-$I$2</f>
        <v>4094.7</v>
      </c>
      <c r="AV33" s="40" cm="1">
        <f t="array" ref="AV33">IF($F$10-$I$3+VLOOKUP($R33,武学奇术!$A:$ZZ,6,FALSE)+SUM(_xlfn.XLOOKUP($S33:$AL33,增益!$A:$A,增益!$F:$F,0))&gt;0,($F$10-$I$3+VLOOKUP($R33,武学奇术!$A:$ZZ,6,FALSE)+SUM(_xlfn.XLOOKUP($S33:$AL33,增益!$A:$A,增益!$F:$F,0)))/200,($F$10-$I$3+VLOOKUP($R33,武学奇术!$A:$ZZ,6,FALSE)+SUM(_xlfn.XLOOKUP($S33:$AL33,增益!$A:$A,增益!$F:$F,0)))/100)</f>
        <v>0.4384</v>
      </c>
      <c r="AW33" s="40" cm="1">
        <f t="array" ref="AW33">$G$10+VLOOKUP($R33,武学奇术!$A:$ZZ,7,FALSE)+SUM(_xlfn.XLOOKUP($S33:$AL33,增益!$A:$A,增益!$G:$G,0))</f>
        <v>0.14</v>
      </c>
      <c r="AX33" s="33" cm="1">
        <f t="array" ref="AX33">VLOOKUP($R33,武学奇术!$A:$ZZ,8,FALSE)+SUM(_xlfn.XLOOKUP($S33:$AL33,增益!$A:$A,增益!$H:$H,0))</f>
        <v>0</v>
      </c>
      <c r="AY33">
        <f t="shared" si="2"/>
        <v>0</v>
      </c>
      <c r="AZ33">
        <f t="shared" si="3"/>
        <v>0</v>
      </c>
      <c r="BA33" s="40" cm="1">
        <f t="array" ref="BA33">IF($F$11-$I$4+VLOOKUP($R33,武学奇术!$A:$ZZ,9,FALSE)+SUM(_xlfn.XLOOKUP($S33:$AL33,增益!$A:$A,增益!$I:$I,0))&gt;0,($F$11-$I$4+VLOOKUP($R33,武学奇术!$A:$ZZ,9,FALSE)+SUM(_xlfn.XLOOKUP($S33:$AL33,增益!$A:$A,增益!$I:$I,0)))/200,($F$11-$I$4+VLOOKUP($R33,武学奇术!$A:$ZZ,9,FALSE)+SUM(_xlfn.XLOOKUP($S33:$AL33,增益!$A:$A,增益!$I:$I,0)))/100)</f>
        <v>-0.14</v>
      </c>
      <c r="BB33" s="40" cm="1">
        <f t="array" ref="BB33">$G$11+VLOOKUP($R33,武学奇术!$A:$ZZ,10,FALSE)+SUM(_xlfn.XLOOKUP($S33:$AL33,增益!$A:$A,增益!$J:$J,0))</f>
        <v>0.02</v>
      </c>
      <c r="BC33">
        <f t="shared" si="4"/>
        <v>640.3</v>
      </c>
      <c r="BD33">
        <f t="shared" si="5"/>
        <v>1770.1</v>
      </c>
      <c r="BE33" s="40" cm="1">
        <f t="array" ref="BE33">IF($F$12-$I$4+VLOOKUP($R33,武学奇术!$A:$ZZ,11,FALSE)+SUM(_xlfn.XLOOKUP($S33:$AL33,增益!$A:$A,增益!$K:$K,0))&gt;0,($F$12-$I$4+VLOOKUP($R33,武学奇术!$A:$ZZ,11,FALSE)+SUM(_xlfn.XLOOKUP($S33:$AL33,增益!$A:$A,增益!$K:$K,0)))/200,($F$12-$I$4+VLOOKUP($R33,武学奇术!$A:$ZZ,11,FALSE)+SUM(_xlfn.XLOOKUP($S33:$AL33,增益!$A:$A,增益!$K:$K,0)))/100)</f>
        <v>0.17</v>
      </c>
      <c r="BF33" s="40" cm="1">
        <f t="array" ref="BF33">$G$12+VLOOKUP($R33,武学奇术!$A:$ZZ,12,FALSE)+SUM(_xlfn.XLOOKUP($S33:$AL33,增益!$A:$A,增益!$L:$L,0))</f>
        <v>0.29</v>
      </c>
      <c r="BG33">
        <f t="shared" si="6"/>
        <v>0</v>
      </c>
      <c r="BH33">
        <f t="shared" si="7"/>
        <v>0</v>
      </c>
      <c r="BI33" s="40" cm="1">
        <f t="array" ref="BI33">IF($F$13-$I$4+VLOOKUP($R33,武学奇术!$A:$ZZ,13,FALSE)+SUM(_xlfn.XLOOKUP($S33:$AL33,增益!$A:$A,增益!$M:$M,0))&gt;0,($F$13-$I$4+VLOOKUP($R33,武学奇术!$A:$ZZ,13,FALSE)+SUM(_xlfn.XLOOKUP($S33:$AL33,增益!$A:$A,增益!$K:$K,0)))/200,($F$13-$I$4+VLOOKUP($R33,武学奇术!$A:$ZZ,13,FALSE)+SUM(_xlfn.XLOOKUP($S33:$AL33,增益!$A:$A,增益!$M:$M,0)))/100)</f>
        <v>-0.14</v>
      </c>
      <c r="BJ33" s="40" cm="1">
        <f t="array" ref="BJ33">$G$13+VLOOKUP($R33,武学奇术!$A:$ZZ,14,FALSE)+SUM(_xlfn.XLOOKUP($S33:$AL33,增益!$A:$A,增益!$N:$N,0))</f>
        <v>0.02</v>
      </c>
      <c r="BK33">
        <f t="shared" si="8"/>
        <v>0</v>
      </c>
      <c r="BL33">
        <f t="shared" si="9"/>
        <v>0</v>
      </c>
      <c r="BM33" s="40" cm="1">
        <f t="array" ref="BM33">IF($F$14-$I$4+VLOOKUP($R33,武学奇术!$A:$ZZ,15,FALSE)+SUM(_xlfn.XLOOKUP($S33:$AL33,增益!$A:$A,增益!$O:$O,0))&gt;0,($F$14-$I$4+VLOOKUP($R33,武学奇术!$A:$ZZ,15,FALSE)+SUM(_xlfn.XLOOKUP($S33:$AL33,增益!$A:$A,增益!$O:$O,0)))/200,($F$14-$I$4+VLOOKUP($R33,武学奇术!$A:$ZZ,15,FALSE)+SUM(_xlfn.XLOOKUP($S33:$AL33,增益!$A:$A,增益!$O:$O,0)))/100)</f>
        <v>-0.14</v>
      </c>
      <c r="BN33" s="40" cm="1">
        <f t="array" ref="BN33">$G$14+VLOOKUP($R33,武学奇术!$A:$ZZ,16,FALSE)+SUM(_xlfn.XLOOKUP($S33:$AL33,增益!$A:$A,增益!$P:$P,0))</f>
        <v>0.02</v>
      </c>
      <c r="BO33" s="33">
        <f>MIN(IF(VLOOKUP($R33,武学奇术!$A:$ZZ,23,FALSE)=1,100%,$B$8),100%)</f>
        <v>0.9771</v>
      </c>
      <c r="BP33" s="33" cm="1">
        <f t="array" ref="BP33">IF(VLOOKUP($R33,武学奇术!$A:$ZZ,23,FALSE)=1,100%,MIN(80%,$B$9+VLOOKUP($R33,武学奇术!$A:$ZZ,17,FALSE)+SUM(_xlfn.XLOOKUP($S33:$AL33,增益!$A:$A,增益!$Q:$Q,0)))+$B$11+SUM(_xlfn.XLOOKUP($S33:$AL33,增益!$A:$A,增益!$U:$U,0)))*IF(VLOOKUP($R33,武学奇术!$A:$ZZ,24,FALSE)=1,0,1)</f>
        <v>0.8861</v>
      </c>
      <c r="BQ33" s="33" cm="1">
        <f t="array" ref="BQ33">1+$B$13+VLOOKUP($R33,武学奇术!$A:$ZZ,18,FALSE)+SUM(_xlfn.XLOOKUP($S33:$AL33,增益!$A:$A,增益!$R:$R,0))</f>
        <v>1.96</v>
      </c>
      <c r="BR33" s="33" cm="1">
        <f t="array" ref="BR33">IF(VLOOKUP($R33,武学奇术!$A:$ZZ,24,FALSE)=1,100%,MIN(40%,$B$10+VLOOKUP($R33,武学奇术!$A:$ZZ,19,FALSE)+SUM(_xlfn.XLOOKUP($S33:$AL33,增益!$A:$A,增益!$S:$S,0)))+$B$12+SUM(_xlfn.XLOOKUP($S33:$AL33,增益!$A:$A,增益!$V:$V,0)))*IF(VLOOKUP($R33,武学奇术!$A:$ZZ,23,FALSE)=1,0,1)</f>
        <v>0.0913</v>
      </c>
      <c r="BS33" s="33" cm="1">
        <f t="array" ref="BS33">1+$B$14+VLOOKUP($R33,武学奇术!$A:$ZZ,20,FALSE)+SUM(_xlfn.XLOOKUP($S33:$AL33,增益!$A:$A,增益!$T:$T,0))</f>
        <v>1.35</v>
      </c>
      <c r="BT33" s="33">
        <f t="shared" si="10"/>
        <v>0.86580831</v>
      </c>
      <c r="BU33" s="33">
        <f t="shared" si="11"/>
        <v>0.02208246</v>
      </c>
      <c r="BV33" s="33">
        <f>IF(VLOOKUP($R33,武学奇术!$A:$ZZ,22,FALSE)=1,0,(1-$BO33))*(1-$BR33)</f>
        <v>0.02080923</v>
      </c>
      <c r="BW33" s="33" cm="1">
        <f t="array" ref="BW33">SUM(_xlfn.XLOOKUP($S33:$AL33,增益!$A:$A,增益!$W:$W,0))+$I$5</f>
        <v>0.11</v>
      </c>
      <c r="BX33" s="33" cm="1">
        <f t="array" ref="BX33">VLOOKUP($R33,武学奇术!$A:$ZZ,32,FALSE)+SUM(_xlfn.XLOOKUP($S33:$AL33,增益!$A:$A,增益!$X:$X,0))</f>
        <v>0</v>
      </c>
    </row>
    <row r="34" spans="1:76">
      <c r="A34" s="4" t="s">
        <v>168</v>
      </c>
      <c r="B34" s="4">
        <v>2.3</v>
      </c>
      <c r="C34" s="47"/>
      <c r="D34" s="47"/>
      <c r="L34" s="46">
        <f t="shared" si="0"/>
        <v>129135.564839665</v>
      </c>
      <c r="M34" s="46">
        <f>((($AT34+$AU34)/2*$AN34+$AO34)*(1+$AV34)*(1+$AW34)+(($AY34+$AZ34)/2*IF($G$1="鸣金",$AP34,$AN34)+IF($G$1="鸣金",$AQ34*1.5,0))*(1+$BA34)*(1+$BB34)+(($BC34+$BD34)/2*IF($G$1="裂石",$AP34,$AN34)+IF($G$1="裂石",$AQ34*1.5,0))*(1+$BE34)*(1+$BF34)+(($BG34+$BH34)/2*IF($G$1="牵丝",$AP34,$AN34)+IF($G$1="牵丝",$AQ34*1.5,0))*(1+$BI34)*(1+$BJ34)+(($BK34+$BL34)/2*IF($G$1="破竹",$AP34,$AN34)+IF($G$1="破竹",$AQ34*1.5,0))*(1+$BM34)*(1+$BN34))*(1+$AR34)*$BQ34*$Q34*(1+IF(VLOOKUP($R34,武学奇术!$A:$ZZ,30,FALSE)="蓄力技",$B$21,0))*(1+IF(VLOOKUP($R34,武学奇术!$A:$ZZ,30,FALSE)="派生技",$B$20,0))*(1+$BW34)*(1+$BX34)</f>
        <v>134935.773731924</v>
      </c>
      <c r="N34" s="46">
        <f>(($AU34*$AN34+$AO34)*(1+$AV34)*(1+$AW34)+($AZ34*IF($G$1="鸣金",$AP34,$AN34)+IF($G$1="鸣金",$AQ34*1.5,0))*(1+$BA34)*(1+$BB34)+($BD34*IF($G$1="裂石",$AP34,$AN34)+IF($G$1="裂石",$AQ34*1.5,0))*(1+$BE34)*(1+$BF34)+($BH34*IF($G$1="牵丝",$AP34,$AN34)+IF($G$1="牵丝",$AQ34*1.5,0))*(1+$BI34)*(1+$BJ34)+($BL34*IF($G$1="破竹",$AP34,$AN34)+IF($G$1="破竹",$AQ34*1.5,0))*(1+$BM34)*(1+$BN34))*(1+$AR34)*$BS34*$Q34*(1+IF(VLOOKUP($R34,武学奇术!$A:$ZZ,30,FALSE)="蓄力技",$B$21,0))*(1+IF(VLOOKUP($R34,武学奇术!$A:$ZZ,30,FALSE)="派生技",$B$20,0))*(1+$BW34)*(1+$BX34)</f>
        <v>104388.16329632</v>
      </c>
      <c r="O34" s="46">
        <f>((($AT34+$AU34)/2*$AN34+$AO34)*(1+$AV34)*(1+$AW34)+(($AY34+$AZ34)/2*IF($G$1="鸣金",$AP34,$AN34)+IF($G$1="鸣金",$AQ34*1.5,0))*(1+$BA34)*(1+$BB34)+(($BC34+$BD34)/2*IF($G$1="裂石",$AP34,$AN34)+IF($G$1="裂石",$AQ34*1.5,0))*(1+$BE34)*(1+$BF34)+(($BG34+$BH34)/2*IF($G$1="牵丝",$AP34,$AN34)+IF($G$1="牵丝",$AQ34*1.5,0))*(1+$BI34)*(1+$BJ34)+(($BK34+$BL34)/2*IF($G$1="破竹",$AP34,$AN34)+IF($G$1="破竹",$AQ34*1.5,0))*(1+$BM34)*(1+$BN34))*(1+$AR34)*$Q34*(1+IF(VLOOKUP($R34,武学奇术!$A:$ZZ,30,FALSE)="蓄力技",$B$21,0))*(1+IF(VLOOKUP($R34,武学奇术!$A:$ZZ,30,FALSE)="派生技",$B$20,0))*(1+$BW34)*(1+$BX34)</f>
        <v>68844.7825162876</v>
      </c>
      <c r="P34" s="46">
        <f>((($AT34*$AN34+$AO34)*(1+$AV34)*(1+$AW34)+($AY34*IF($G$1="鸣金",$AP34,$AN34)+IF($G$1="鸣金",$AQ34*1.5,0))*(1+$BA34)*(1+$BB34)+($BC34*IF($G$1="裂石",$AP34,$AN34)+IF($G$1="裂石",$AQ34*1.5,0))*(1+$BE34)*(1+$BF34)+($BG34*IF($G$1="牵丝",$AP34,$AN34)+IF($G$1="牵丝",$AQ34*1.5,0))*(1+$BI34)*(1+$BJ34)+($BK34*IF($G$1="破竹",$AP34,$AN34)+IF($G$1="破竹",$AQ34*1.5,0))*(1+$BM34)*(1+$BN34))*(1+$AR34))*$Q34*(1+IF(VLOOKUP($R34,武学奇术!$A:$ZZ,30,FALSE)="蓄力技",$B$21,0))*(1+IF(VLOOKUP($R34,武学奇术!$A:$ZZ,30,FALSE)="派生技",$B$20,0))*(1+$BW34)*(1+$BX34)</f>
        <v>60364.9996278938</v>
      </c>
      <c r="Q34" s="47">
        <f t="shared" si="13"/>
        <v>1</v>
      </c>
      <c r="R34" s="48" t="s">
        <v>172</v>
      </c>
      <c r="S34" s="48" t="s">
        <v>99</v>
      </c>
      <c r="T34" s="48" t="s">
        <v>170</v>
      </c>
      <c r="U34" s="48" t="s">
        <v>79</v>
      </c>
      <c r="V34" s="48" t="s">
        <v>90</v>
      </c>
      <c r="W34" s="48" t="s">
        <v>141</v>
      </c>
      <c r="X34" s="48" t="s">
        <v>80</v>
      </c>
      <c r="Y34" s="48" t="s">
        <v>74</v>
      </c>
      <c r="Z34" s="48" t="s">
        <v>80</v>
      </c>
      <c r="AA34" s="48" t="s">
        <v>80</v>
      </c>
      <c r="AB34" s="48" t="s">
        <v>80</v>
      </c>
      <c r="AC34" s="48" t="s">
        <v>80</v>
      </c>
      <c r="AD34" s="48" t="s">
        <v>80</v>
      </c>
      <c r="AE34" s="48" t="s">
        <v>82</v>
      </c>
      <c r="AF34" s="48" t="s">
        <v>83</v>
      </c>
      <c r="AG34" s="48" t="s">
        <v>84</v>
      </c>
      <c r="AH34" s="48" t="s">
        <v>80</v>
      </c>
      <c r="AI34" s="48" t="s">
        <v>80</v>
      </c>
      <c r="AJ34" s="48" t="s">
        <v>80</v>
      </c>
      <c r="AK34" s="48" t="s">
        <v>80</v>
      </c>
      <c r="AL34" s="48" t="s">
        <v>85</v>
      </c>
      <c r="AM34" t="str">
        <f>VLOOKUP($R34,武学奇术!$A:$ZZ,25,FALSE)</f>
        <v>陌刀</v>
      </c>
      <c r="AN34" s="33">
        <f>VLOOKUP($R34,武学奇术!$A:$ZZ,26,FALSE)</f>
        <v>3.5256</v>
      </c>
      <c r="AO34" s="34">
        <f>VLOOKUP($R34,武学奇术!$A:$ZZ,27,FALSE)*(1+IF(OR($AM34=$F$4,$AM34=$F$5),$B$22,0))</f>
        <v>846.144</v>
      </c>
      <c r="AP34" s="33">
        <f>VLOOKUP($R34,武学奇术!$A:$ZZ,28,FALSE)</f>
        <v>5.2884</v>
      </c>
      <c r="AQ34" s="34">
        <f>VLOOKUP($R34,武学奇术!$A:$ZZ,29,FALSE)*(1+IF(OR($AM34=$F$4,$AM34=$F$5),$B$22,0))</f>
        <v>851.2</v>
      </c>
      <c r="AR34" s="33" cm="1">
        <f t="array" ref="AR34">$G$3+IFERROR(VLOOKUP($AM34,$F$4:$G$7,2,FALSE),0)+VLOOKUP($R34,武学奇术!$A:$ZZ,2,FALSE)+SUM(_xlfn.XLOOKUP($S34:$AL34,增益!$A:$A,增益!$B:$B,0))</f>
        <v>0.6943</v>
      </c>
      <c r="AS34" s="33" cm="1">
        <f t="array" ref="AS34">VLOOKUP($R34,武学奇术!$A:$ZZ,5,FALSE)+SUM(_xlfn.XLOOKUP($S34:$AL34,增益!$A:$A,增益!$E:$E,0))</f>
        <v>0</v>
      </c>
      <c r="AT34" cm="1">
        <f t="array" ref="AT34">$D$10*(1+$AS34)+VLOOKUP($R34,武学奇术!$A:$ZZ,3,FALSE)+SUM(_xlfn.XLOOKUP($S34:$AL34,增益!$A:$A,增益!$C:$C,0))-$I$2</f>
        <v>4094.7</v>
      </c>
      <c r="AU34" cm="1">
        <f t="array" ref="AU34">$E$10*(1+$AS34)+VLOOKUP($R34,武学奇术!$A:$ZZ,4,FALSE)+SUM(_xlfn.XLOOKUP($S34:$AL34,增益!$A:$A,增益!$D:$D,0))-$I$2</f>
        <v>4094.7</v>
      </c>
      <c r="AV34" s="40" cm="1">
        <f t="array" ref="AV34">IF($F$10-$I$3+VLOOKUP($R34,武学奇术!$A:$ZZ,6,FALSE)+SUM(_xlfn.XLOOKUP($S34:$AL34,增益!$A:$A,增益!$F:$F,0))&gt;0,($F$10-$I$3+VLOOKUP($R34,武学奇术!$A:$ZZ,6,FALSE)+SUM(_xlfn.XLOOKUP($S34:$AL34,增益!$A:$A,增益!$F:$F,0)))/200,($F$10-$I$3+VLOOKUP($R34,武学奇术!$A:$ZZ,6,FALSE)+SUM(_xlfn.XLOOKUP($S34:$AL34,增益!$A:$A,增益!$F:$F,0)))/100)</f>
        <v>0.4384</v>
      </c>
      <c r="AW34" s="40" cm="1">
        <f t="array" ref="AW34">$G$10+VLOOKUP($R34,武学奇术!$A:$ZZ,7,FALSE)+SUM(_xlfn.XLOOKUP($S34:$AL34,增益!$A:$A,增益!$G:$G,0))</f>
        <v>0.14</v>
      </c>
      <c r="AX34" s="33" cm="1">
        <f t="array" ref="AX34">VLOOKUP($R34,武学奇术!$A:$ZZ,8,FALSE)+SUM(_xlfn.XLOOKUP($S34:$AL34,增益!$A:$A,增益!$H:$H,0))</f>
        <v>0</v>
      </c>
      <c r="AY34">
        <f t="shared" si="2"/>
        <v>0</v>
      </c>
      <c r="AZ34">
        <f t="shared" si="3"/>
        <v>0</v>
      </c>
      <c r="BA34" s="40" cm="1">
        <f t="array" ref="BA34">IF($F$11-$I$4+VLOOKUP($R34,武学奇术!$A:$ZZ,9,FALSE)+SUM(_xlfn.XLOOKUP($S34:$AL34,增益!$A:$A,增益!$I:$I,0))&gt;0,($F$11-$I$4+VLOOKUP($R34,武学奇术!$A:$ZZ,9,FALSE)+SUM(_xlfn.XLOOKUP($S34:$AL34,增益!$A:$A,增益!$I:$I,0)))/200,($F$11-$I$4+VLOOKUP($R34,武学奇术!$A:$ZZ,9,FALSE)+SUM(_xlfn.XLOOKUP($S34:$AL34,增益!$A:$A,增益!$I:$I,0)))/100)</f>
        <v>-0.14</v>
      </c>
      <c r="BB34" s="40" cm="1">
        <f t="array" ref="BB34">$G$11+VLOOKUP($R34,武学奇术!$A:$ZZ,10,FALSE)+SUM(_xlfn.XLOOKUP($S34:$AL34,增益!$A:$A,增益!$J:$J,0))</f>
        <v>0.02</v>
      </c>
      <c r="BC34">
        <f t="shared" si="4"/>
        <v>640.3</v>
      </c>
      <c r="BD34">
        <f t="shared" si="5"/>
        <v>1770.1</v>
      </c>
      <c r="BE34" s="40" cm="1">
        <f t="array" ref="BE34">IF($F$12-$I$4+VLOOKUP($R34,武学奇术!$A:$ZZ,11,FALSE)+SUM(_xlfn.XLOOKUP($S34:$AL34,增益!$A:$A,增益!$K:$K,0))&gt;0,($F$12-$I$4+VLOOKUP($R34,武学奇术!$A:$ZZ,11,FALSE)+SUM(_xlfn.XLOOKUP($S34:$AL34,增益!$A:$A,增益!$K:$K,0)))/200,($F$12-$I$4+VLOOKUP($R34,武学奇术!$A:$ZZ,11,FALSE)+SUM(_xlfn.XLOOKUP($S34:$AL34,增益!$A:$A,增益!$K:$K,0)))/100)</f>
        <v>0.17</v>
      </c>
      <c r="BF34" s="40" cm="1">
        <f t="array" ref="BF34">$G$12+VLOOKUP($R34,武学奇术!$A:$ZZ,12,FALSE)+SUM(_xlfn.XLOOKUP($S34:$AL34,增益!$A:$A,增益!$L:$L,0))</f>
        <v>0.29</v>
      </c>
      <c r="BG34">
        <f t="shared" si="6"/>
        <v>0</v>
      </c>
      <c r="BH34">
        <f t="shared" si="7"/>
        <v>0</v>
      </c>
      <c r="BI34" s="40" cm="1">
        <f t="array" ref="BI34">IF($F$13-$I$4+VLOOKUP($R34,武学奇术!$A:$ZZ,13,FALSE)+SUM(_xlfn.XLOOKUP($S34:$AL34,增益!$A:$A,增益!$M:$M,0))&gt;0,($F$13-$I$4+VLOOKUP($R34,武学奇术!$A:$ZZ,13,FALSE)+SUM(_xlfn.XLOOKUP($S34:$AL34,增益!$A:$A,增益!$K:$K,0)))/200,($F$13-$I$4+VLOOKUP($R34,武学奇术!$A:$ZZ,13,FALSE)+SUM(_xlfn.XLOOKUP($S34:$AL34,增益!$A:$A,增益!$M:$M,0)))/100)</f>
        <v>-0.14</v>
      </c>
      <c r="BJ34" s="40" cm="1">
        <f t="array" ref="BJ34">$G$13+VLOOKUP($R34,武学奇术!$A:$ZZ,14,FALSE)+SUM(_xlfn.XLOOKUP($S34:$AL34,增益!$A:$A,增益!$N:$N,0))</f>
        <v>0.02</v>
      </c>
      <c r="BK34">
        <f t="shared" si="8"/>
        <v>0</v>
      </c>
      <c r="BL34">
        <f t="shared" si="9"/>
        <v>0</v>
      </c>
      <c r="BM34" s="40" cm="1">
        <f t="array" ref="BM34">IF($F$14-$I$4+VLOOKUP($R34,武学奇术!$A:$ZZ,15,FALSE)+SUM(_xlfn.XLOOKUP($S34:$AL34,增益!$A:$A,增益!$O:$O,0))&gt;0,($F$14-$I$4+VLOOKUP($R34,武学奇术!$A:$ZZ,15,FALSE)+SUM(_xlfn.XLOOKUP($S34:$AL34,增益!$A:$A,增益!$O:$O,0)))/200,($F$14-$I$4+VLOOKUP($R34,武学奇术!$A:$ZZ,15,FALSE)+SUM(_xlfn.XLOOKUP($S34:$AL34,增益!$A:$A,增益!$O:$O,0)))/100)</f>
        <v>-0.14</v>
      </c>
      <c r="BN34" s="40" cm="1">
        <f t="array" ref="BN34">$G$14+VLOOKUP($R34,武学奇术!$A:$ZZ,16,FALSE)+SUM(_xlfn.XLOOKUP($S34:$AL34,增益!$A:$A,增益!$P:$P,0))</f>
        <v>0.02</v>
      </c>
      <c r="BO34" s="33">
        <f>MIN(IF(VLOOKUP($R34,武学奇术!$A:$ZZ,23,FALSE)=1,100%,$B$8),100%)</f>
        <v>0.9771</v>
      </c>
      <c r="BP34" s="33" cm="1">
        <f t="array" ref="BP34">IF(VLOOKUP($R34,武学奇术!$A:$ZZ,23,FALSE)=1,100%,MIN(80%,$B$9+VLOOKUP($R34,武学奇术!$A:$ZZ,17,FALSE)+SUM(_xlfn.XLOOKUP($S34:$AL34,增益!$A:$A,增益!$Q:$Q,0)))+$B$11+SUM(_xlfn.XLOOKUP($S34:$AL34,增益!$A:$A,增益!$U:$U,0)))*IF(VLOOKUP($R34,武学奇术!$A:$ZZ,24,FALSE)=1,0,1)</f>
        <v>0.8861</v>
      </c>
      <c r="BQ34" s="33" cm="1">
        <f t="array" ref="BQ34">1+$B$13+VLOOKUP($R34,武学奇术!$A:$ZZ,18,FALSE)+SUM(_xlfn.XLOOKUP($S34:$AL34,增益!$A:$A,增益!$R:$R,0))</f>
        <v>1.96</v>
      </c>
      <c r="BR34" s="33" cm="1">
        <f t="array" ref="BR34">IF(VLOOKUP($R34,武学奇术!$A:$ZZ,24,FALSE)=1,100%,MIN(40%,$B$10+VLOOKUP($R34,武学奇术!$A:$ZZ,19,FALSE)+SUM(_xlfn.XLOOKUP($S34:$AL34,增益!$A:$A,增益!$S:$S,0)))+$B$12+SUM(_xlfn.XLOOKUP($S34:$AL34,增益!$A:$A,增益!$V:$V,0)))*IF(VLOOKUP($R34,武学奇术!$A:$ZZ,23,FALSE)=1,0,1)</f>
        <v>0.0913</v>
      </c>
      <c r="BS34" s="33" cm="1">
        <f t="array" ref="BS34">1+$B$14+VLOOKUP($R34,武学奇术!$A:$ZZ,20,FALSE)+SUM(_xlfn.XLOOKUP($S34:$AL34,增益!$A:$A,增益!$T:$T,0))</f>
        <v>1.35</v>
      </c>
      <c r="BT34" s="33">
        <f t="shared" si="10"/>
        <v>0.86580831</v>
      </c>
      <c r="BU34" s="33">
        <f t="shared" si="11"/>
        <v>0.02208246</v>
      </c>
      <c r="BV34" s="33">
        <f>IF(VLOOKUP($R34,武学奇术!$A:$ZZ,22,FALSE)=1,0,(1-$BO34))*(1-$BR34)</f>
        <v>0.02080923</v>
      </c>
      <c r="BW34" s="33" cm="1">
        <f t="array" ref="BW34">SUM(_xlfn.XLOOKUP($S34:$AL34,增益!$A:$A,增益!$W:$W,0))+$I$5</f>
        <v>0.11</v>
      </c>
      <c r="BX34" s="33" cm="1">
        <f t="array" ref="BX34">VLOOKUP($R34,武学奇术!$A:$ZZ,32,FALSE)+SUM(_xlfn.XLOOKUP($S34:$AL34,增益!$A:$A,增益!$X:$X,0))</f>
        <v>0</v>
      </c>
    </row>
    <row r="35" spans="1:76">
      <c r="A35" s="4" t="s">
        <v>168</v>
      </c>
      <c r="B35" s="4">
        <v>2.3</v>
      </c>
      <c r="C35" s="47"/>
      <c r="D35" s="47"/>
      <c r="L35" s="46">
        <f t="shared" ref="L35:L60" si="14">($M35*$BT35+$N35*$BR35+$O35*$BU35+$P35*$BV35)</f>
        <v>32676.9941862934</v>
      </c>
      <c r="M35" s="46">
        <f>((($AT35+$AU35)/2*$AN35+$AO35)*(1+$AV35)*(1+$AW35)+(($AY35+$AZ35)/2*IF($G$1="鸣金",$AP35,$AN35)+IF($G$1="鸣金",$AQ35*1.5,0))*(1+$BA35)*(1+$BB35)+(($BC35+$BD35)/2*IF($G$1="裂石",$AP35,$AN35)+IF($G$1="裂石",$AQ35*1.5,0))*(1+$BE35)*(1+$BF35)+(($BG35+$BH35)/2*IF($G$1="牵丝",$AP35,$AN35)+IF($G$1="牵丝",$AQ35*1.5,0))*(1+$BI35)*(1+$BJ35)+(($BK35+$BL35)/2*IF($G$1="破竹",$AP35,$AN35)+IF($G$1="破竹",$AQ35*1.5,0))*(1+$BM35)*(1+$BN35))*(1+$AR35)*$BQ35*$Q35*(1+IF(VLOOKUP($R35,武学奇术!$A:$ZZ,30,FALSE)="蓄力技",$B$21,0))*(1+IF(VLOOKUP($R35,武学奇术!$A:$ZZ,30,FALSE)="派生技",$B$20,0))*(1+$BW35)*(1+$BX35)</f>
        <v>34134.3642004444</v>
      </c>
      <c r="N35" s="46">
        <f>(($AU35*$AN35+$AO35)*(1+$AV35)*(1+$AW35)+($AZ35*IF($G$1="鸣金",$AP35,$AN35)+IF($G$1="鸣金",$AQ35*1.5,0))*(1+$BA35)*(1+$BB35)+($BD35*IF($G$1="裂石",$AP35,$AN35)+IF($G$1="裂石",$AQ35*1.5,0))*(1+$BE35)*(1+$BF35)+($BH35*IF($G$1="牵丝",$AP35,$AN35)+IF($G$1="牵丝",$AQ35*1.5,0))*(1+$BI35)*(1+$BJ35)+($BL35*IF($G$1="破竹",$AP35,$AN35)+IF($G$1="破竹",$AQ35*1.5,0))*(1+$BM35)*(1+$BN35))*(1+$AR35)*$BS35*$Q35*(1+IF(VLOOKUP($R35,武学奇术!$A:$ZZ,30,FALSE)="蓄力技",$B$21,0))*(1+IF(VLOOKUP($R35,武学奇术!$A:$ZZ,30,FALSE)="派生技",$B$20,0))*(1+$BW35)*(1+$BX35)</f>
        <v>26537.1957025685</v>
      </c>
      <c r="O35" s="46">
        <f>((($AT35+$AU35)/2*$AN35+$AO35)*(1+$AV35)*(1+$AW35)+(($AY35+$AZ35)/2*IF($G$1="鸣金",$AP35,$AN35)+IF($G$1="鸣金",$AQ35*1.5,0))*(1+$BA35)*(1+$BB35)+(($BC35+$BD35)/2*IF($G$1="裂石",$AP35,$AN35)+IF($G$1="裂石",$AQ35*1.5,0))*(1+$BE35)*(1+$BF35)+(($BG35+$BH35)/2*IF($G$1="牵丝",$AP35,$AN35)+IF($G$1="牵丝",$AQ35*1.5,0))*(1+$BI35)*(1+$BJ35)+(($BK35+$BL35)/2*IF($G$1="破竹",$AP35,$AN35)+IF($G$1="破竹",$AQ35*1.5,0))*(1+$BM35)*(1+$BN35))*(1+$AR35)*$Q35*(1+IF(VLOOKUP($R35,武学奇术!$A:$ZZ,30,FALSE)="蓄力技",$B$21,0))*(1+IF(VLOOKUP($R35,武学奇术!$A:$ZZ,30,FALSE)="派生技",$B$20,0))*(1+$BW35)*(1+$BX35)</f>
        <v>17415.4919390023</v>
      </c>
      <c r="P35" s="46">
        <f>((($AT35*$AN35+$AO35)*(1+$AV35)*(1+$AW35)+($AY35*IF($G$1="鸣金",$AP35,$AN35)+IF($G$1="鸣金",$AQ35*1.5,0))*(1+$BA35)*(1+$BB35)+($BC35*IF($G$1="裂石",$AP35,$AN35)+IF($G$1="裂石",$AQ35*1.5,0))*(1+$BE35)*(1+$BF35)+($BG35*IF($G$1="牵丝",$AP35,$AN35)+IF($G$1="牵丝",$AQ35*1.5,0))*(1+$BI35)*(1+$BJ35)+($BK35*IF($G$1="破竹",$AP35,$AN35)+IF($G$1="破竹",$AQ35*1.5,0))*(1+$BM35)*(1+$BN35))*(1+$AR35))*$Q35*(1+IF(VLOOKUP($R35,武学奇术!$A:$ZZ,30,FALSE)="蓄力技",$B$21,0))*(1+IF(VLOOKUP($R35,武学奇术!$A:$ZZ,30,FALSE)="派生技",$B$20,0))*(1+$BW35)*(1+$BX35)</f>
        <v>15173.8018761019</v>
      </c>
      <c r="Q35" s="47">
        <f t="shared" si="13"/>
        <v>1</v>
      </c>
      <c r="R35" s="48" t="s">
        <v>173</v>
      </c>
      <c r="S35" s="48" t="s">
        <v>99</v>
      </c>
      <c r="T35" s="48" t="s">
        <v>170</v>
      </c>
      <c r="U35" s="48" t="s">
        <v>79</v>
      </c>
      <c r="V35" s="48" t="s">
        <v>80</v>
      </c>
      <c r="W35" s="48" t="s">
        <v>141</v>
      </c>
      <c r="X35" s="48" t="s">
        <v>80</v>
      </c>
      <c r="Y35" s="48" t="s">
        <v>74</v>
      </c>
      <c r="Z35" s="48" t="s">
        <v>80</v>
      </c>
      <c r="AA35" s="48" t="s">
        <v>80</v>
      </c>
      <c r="AB35" s="48" t="s">
        <v>80</v>
      </c>
      <c r="AC35" s="48" t="s">
        <v>80</v>
      </c>
      <c r="AD35" s="48" t="s">
        <v>80</v>
      </c>
      <c r="AE35" s="48" t="s">
        <v>82</v>
      </c>
      <c r="AF35" s="48" t="s">
        <v>83</v>
      </c>
      <c r="AG35" s="48" t="s">
        <v>84</v>
      </c>
      <c r="AH35" s="48" t="s">
        <v>80</v>
      </c>
      <c r="AI35" s="48" t="s">
        <v>80</v>
      </c>
      <c r="AJ35" s="48" t="s">
        <v>80</v>
      </c>
      <c r="AK35" s="48" t="s">
        <v>80</v>
      </c>
      <c r="AL35" s="48" t="s">
        <v>85</v>
      </c>
      <c r="AM35" t="str">
        <f>VLOOKUP($R35,武学奇术!$A:$ZZ,25,FALSE)</f>
        <v>陌刀</v>
      </c>
      <c r="AN35" s="33">
        <f>VLOOKUP($R35,武学奇术!$A:$ZZ,26,FALSE)</f>
        <v>1.05</v>
      </c>
      <c r="AO35" s="34">
        <f>VLOOKUP($R35,武学奇术!$A:$ZZ,27,FALSE)*(1+IF(OR($AM35=$F$4,$AM35=$F$5),$B$22,0))</f>
        <v>0</v>
      </c>
      <c r="AP35" s="33">
        <f>VLOOKUP($R35,武学奇术!$A:$ZZ,28,FALSE)</f>
        <v>1.575</v>
      </c>
      <c r="AQ35" s="34">
        <f>VLOOKUP($R35,武学奇术!$A:$ZZ,29,FALSE)*(1+IF(OR($AM35=$F$4,$AM35=$F$5),$B$22,0))</f>
        <v>0</v>
      </c>
      <c r="AR35" s="33" cm="1">
        <f t="array" ref="AR35">$G$3+IFERROR(VLOOKUP($AM35,$F$4:$G$7,2,FALSE),0)+VLOOKUP($R35,武学奇术!$A:$ZZ,2,FALSE)+SUM(_xlfn.XLOOKUP($S35:$AL35,增益!$A:$A,增益!$B:$B,0))</f>
        <v>0.6143</v>
      </c>
      <c r="AS35" s="33" cm="1">
        <f t="array" ref="AS35">VLOOKUP($R35,武学奇术!$A:$ZZ,5,FALSE)+SUM(_xlfn.XLOOKUP($S35:$AL35,增益!$A:$A,增益!$E:$E,0))</f>
        <v>0</v>
      </c>
      <c r="AT35" cm="1">
        <f t="array" ref="AT35">$D$10*(1+$AS35)+VLOOKUP($R35,武学奇术!$A:$ZZ,3,FALSE)+SUM(_xlfn.XLOOKUP($S35:$AL35,增益!$A:$A,增益!$C:$C,0))-$I$2</f>
        <v>4094.7</v>
      </c>
      <c r="AU35" cm="1">
        <f t="array" ref="AU35">$E$10*(1+$AS35)+VLOOKUP($R35,武学奇术!$A:$ZZ,4,FALSE)+SUM(_xlfn.XLOOKUP($S35:$AL35,增益!$A:$A,增益!$D:$D,0))-$I$2</f>
        <v>4094.7</v>
      </c>
      <c r="AV35" s="40" cm="1">
        <f t="array" ref="AV35">IF($F$10-$I$3+VLOOKUP($R35,武学奇术!$A:$ZZ,6,FALSE)+SUM(_xlfn.XLOOKUP($S35:$AL35,增益!$A:$A,增益!$F:$F,0))&gt;0,($F$10-$I$3+VLOOKUP($R35,武学奇术!$A:$ZZ,6,FALSE)+SUM(_xlfn.XLOOKUP($S35:$AL35,增益!$A:$A,增益!$F:$F,0)))/200,($F$10-$I$3+VLOOKUP($R35,武学奇术!$A:$ZZ,6,FALSE)+SUM(_xlfn.XLOOKUP($S35:$AL35,增益!$A:$A,增益!$F:$F,0)))/100)</f>
        <v>0.4384</v>
      </c>
      <c r="AW35" s="40" cm="1">
        <f t="array" ref="AW35">$G$10+VLOOKUP($R35,武学奇术!$A:$ZZ,7,FALSE)+SUM(_xlfn.XLOOKUP($S35:$AL35,增益!$A:$A,增益!$G:$G,0))</f>
        <v>0.14</v>
      </c>
      <c r="AX35" s="33" cm="1">
        <f t="array" ref="AX35">VLOOKUP($R35,武学奇术!$A:$ZZ,8,FALSE)+SUM(_xlfn.XLOOKUP($S35:$AL35,增益!$A:$A,增益!$H:$H,0))</f>
        <v>0</v>
      </c>
      <c r="AY35">
        <f t="shared" ref="AY35:AY66" si="15">$D$11*(1+$AX35)</f>
        <v>0</v>
      </c>
      <c r="AZ35">
        <f t="shared" ref="AZ35:AZ66" si="16">$E$11*(1+$AX35)</f>
        <v>0</v>
      </c>
      <c r="BA35" s="40" cm="1">
        <f t="array" ref="BA35">IF($F$11-$I$4+VLOOKUP($R35,武学奇术!$A:$ZZ,9,FALSE)+SUM(_xlfn.XLOOKUP($S35:$AL35,增益!$A:$A,增益!$I:$I,0))&gt;0,($F$11-$I$4+VLOOKUP($R35,武学奇术!$A:$ZZ,9,FALSE)+SUM(_xlfn.XLOOKUP($S35:$AL35,增益!$A:$A,增益!$I:$I,0)))/200,($F$11-$I$4+VLOOKUP($R35,武学奇术!$A:$ZZ,9,FALSE)+SUM(_xlfn.XLOOKUP($S35:$AL35,增益!$A:$A,增益!$I:$I,0)))/100)</f>
        <v>-0.3</v>
      </c>
      <c r="BB35" s="40" cm="1">
        <f t="array" ref="BB35">$G$11+VLOOKUP($R35,武学奇术!$A:$ZZ,10,FALSE)+SUM(_xlfn.XLOOKUP($S35:$AL35,增益!$A:$A,增益!$J:$J,0))</f>
        <v>0.02</v>
      </c>
      <c r="BC35">
        <f t="shared" ref="BC35:BC66" si="17">$D$12*(1+$AX35)</f>
        <v>640.3</v>
      </c>
      <c r="BD35">
        <f t="shared" ref="BD35:BD66" si="18">$E$12*(1+$AX35)</f>
        <v>1770.1</v>
      </c>
      <c r="BE35" s="40" cm="1">
        <f t="array" ref="BE35">IF($F$12-$I$4+VLOOKUP($R35,武学奇术!$A:$ZZ,11,FALSE)+SUM(_xlfn.XLOOKUP($S35:$AL35,增益!$A:$A,增益!$K:$K,0))&gt;0,($F$12-$I$4+VLOOKUP($R35,武学奇术!$A:$ZZ,11,FALSE)+SUM(_xlfn.XLOOKUP($S35:$AL35,增益!$A:$A,增益!$K:$K,0)))/200,($F$12-$I$4+VLOOKUP($R35,武学奇术!$A:$ZZ,11,FALSE)+SUM(_xlfn.XLOOKUP($S35:$AL35,增益!$A:$A,增益!$K:$K,0)))/100)</f>
        <v>0.09</v>
      </c>
      <c r="BF35" s="40" cm="1">
        <f t="array" ref="BF35">$G$12+VLOOKUP($R35,武学奇术!$A:$ZZ,12,FALSE)+SUM(_xlfn.XLOOKUP($S35:$AL35,增益!$A:$A,增益!$L:$L,0))</f>
        <v>0.29</v>
      </c>
      <c r="BG35">
        <f t="shared" ref="BG35:BG66" si="19">$D$13*(1+$AX35)</f>
        <v>0</v>
      </c>
      <c r="BH35">
        <f t="shared" ref="BH35:BH66" si="20">$E$13*(1+$AX35)</f>
        <v>0</v>
      </c>
      <c r="BI35" s="40" cm="1">
        <f t="array" ref="BI35">IF($F$13-$I$4+VLOOKUP($R35,武学奇术!$A:$ZZ,13,FALSE)+SUM(_xlfn.XLOOKUP($S35:$AL35,增益!$A:$A,增益!$M:$M,0))&gt;0,($F$13-$I$4+VLOOKUP($R35,武学奇术!$A:$ZZ,13,FALSE)+SUM(_xlfn.XLOOKUP($S35:$AL35,增益!$A:$A,增益!$K:$K,0)))/200,($F$13-$I$4+VLOOKUP($R35,武学奇术!$A:$ZZ,13,FALSE)+SUM(_xlfn.XLOOKUP($S35:$AL35,增益!$A:$A,增益!$M:$M,0)))/100)</f>
        <v>-0.3</v>
      </c>
      <c r="BJ35" s="40" cm="1">
        <f t="array" ref="BJ35">$G$13+VLOOKUP($R35,武学奇术!$A:$ZZ,14,FALSE)+SUM(_xlfn.XLOOKUP($S35:$AL35,增益!$A:$A,增益!$N:$N,0))</f>
        <v>0.02</v>
      </c>
      <c r="BK35">
        <f t="shared" ref="BK35:BK66" si="21">$D$14*(1+$AX35)</f>
        <v>0</v>
      </c>
      <c r="BL35">
        <f t="shared" ref="BL35:BL66" si="22">$E$14*(1+$AX35)</f>
        <v>0</v>
      </c>
      <c r="BM35" s="40" cm="1">
        <f t="array" ref="BM35">IF($F$14-$I$4+VLOOKUP($R35,武学奇术!$A:$ZZ,15,FALSE)+SUM(_xlfn.XLOOKUP($S35:$AL35,增益!$A:$A,增益!$O:$O,0))&gt;0,($F$14-$I$4+VLOOKUP($R35,武学奇术!$A:$ZZ,15,FALSE)+SUM(_xlfn.XLOOKUP($S35:$AL35,增益!$A:$A,增益!$O:$O,0)))/200,($F$14-$I$4+VLOOKUP($R35,武学奇术!$A:$ZZ,15,FALSE)+SUM(_xlfn.XLOOKUP($S35:$AL35,增益!$A:$A,增益!$O:$O,0)))/100)</f>
        <v>-0.3</v>
      </c>
      <c r="BN35" s="40" cm="1">
        <f t="array" ref="BN35">$G$14+VLOOKUP($R35,武学奇术!$A:$ZZ,16,FALSE)+SUM(_xlfn.XLOOKUP($S35:$AL35,增益!$A:$A,增益!$P:$P,0))</f>
        <v>0.02</v>
      </c>
      <c r="BO35" s="33">
        <f>MIN(IF(VLOOKUP($R35,武学奇术!$A:$ZZ,23,FALSE)=1,100%,$B$8),100%)</f>
        <v>0.9771</v>
      </c>
      <c r="BP35" s="33" cm="1">
        <f t="array" ref="BP35">IF(VLOOKUP($R35,武学奇术!$A:$ZZ,23,FALSE)=1,100%,MIN(80%,$B$9+VLOOKUP($R35,武学奇术!$A:$ZZ,17,FALSE)+SUM(_xlfn.XLOOKUP($S35:$AL35,增益!$A:$A,增益!$Q:$Q,0)))+$B$11+SUM(_xlfn.XLOOKUP($S35:$AL35,增益!$A:$A,增益!$U:$U,0)))*IF(VLOOKUP($R35,武学奇术!$A:$ZZ,24,FALSE)=1,0,1)</f>
        <v>0.8861</v>
      </c>
      <c r="BQ35" s="33" cm="1">
        <f t="array" ref="BQ35">1+$B$13+VLOOKUP($R35,武学奇术!$A:$ZZ,18,FALSE)+SUM(_xlfn.XLOOKUP($S35:$AL35,增益!$A:$A,增益!$R:$R,0))</f>
        <v>1.96</v>
      </c>
      <c r="BR35" s="33" cm="1">
        <f t="array" ref="BR35">IF(VLOOKUP($R35,武学奇术!$A:$ZZ,24,FALSE)=1,100%,MIN(40%,$B$10+VLOOKUP($R35,武学奇术!$A:$ZZ,19,FALSE)+SUM(_xlfn.XLOOKUP($S35:$AL35,增益!$A:$A,增益!$S:$S,0)))+$B$12+SUM(_xlfn.XLOOKUP($S35:$AL35,增益!$A:$A,增益!$V:$V,0)))*IF(VLOOKUP($R35,武学奇术!$A:$ZZ,23,FALSE)=1,0,1)</f>
        <v>0.0913</v>
      </c>
      <c r="BS35" s="33" cm="1">
        <f t="array" ref="BS35">1+$B$14+VLOOKUP($R35,武学奇术!$A:$ZZ,20,FALSE)+SUM(_xlfn.XLOOKUP($S35:$AL35,增益!$A:$A,增益!$T:$T,0))</f>
        <v>1.35</v>
      </c>
      <c r="BT35" s="33">
        <f t="shared" ref="BT35:BT66" si="23">MIN((1-BR35)*BO35,BO35*BP35)</f>
        <v>0.86580831</v>
      </c>
      <c r="BU35" s="33">
        <f t="shared" ref="BU35:BU66" si="24">1-BR35-BT35-BV35</f>
        <v>0.02208246</v>
      </c>
      <c r="BV35" s="33">
        <f>IF(VLOOKUP($R35,武学奇术!$A:$ZZ,22,FALSE)=1,0,(1-$BO35))*(1-$BR35)</f>
        <v>0.02080923</v>
      </c>
      <c r="BW35" s="33" cm="1">
        <f t="array" ref="BW35">SUM(_xlfn.XLOOKUP($S35:$AL35,增益!$A:$A,增益!$W:$W,0))+$I$5</f>
        <v>0.11</v>
      </c>
      <c r="BX35" s="33" cm="1">
        <f t="array" ref="BX35">VLOOKUP($R35,武学奇术!$A:$ZZ,32,FALSE)+SUM(_xlfn.XLOOKUP($S35:$AL35,增益!$A:$A,增益!$X:$X,0))</f>
        <v>0</v>
      </c>
    </row>
    <row r="36" spans="1:76">
      <c r="A36" s="4" t="s">
        <v>174</v>
      </c>
      <c r="B36" s="4">
        <v>2</v>
      </c>
      <c r="C36" s="47"/>
      <c r="D36" s="47"/>
      <c r="L36" s="46">
        <f t="shared" si="14"/>
        <v>33997.1144436642</v>
      </c>
      <c r="M36" s="46">
        <f>((($AT36+$AU36)/2*$AN36+$AO36)*(1+$AV36)*(1+$AW36)+(($AY36+$AZ36)/2*IF($G$1="鸣金",$AP36,$AN36)+IF($G$1="鸣金",$AQ36*1.5,0))*(1+$BA36)*(1+$BB36)+(($BC36+$BD36)/2*IF($G$1="裂石",$AP36,$AN36)+IF($G$1="裂石",$AQ36*1.5,0))*(1+$BE36)*(1+$BF36)+(($BG36+$BH36)/2*IF($G$1="牵丝",$AP36,$AN36)+IF($G$1="牵丝",$AQ36*1.5,0))*(1+$BI36)*(1+$BJ36)+(($BK36+$BL36)/2*IF($G$1="破竹",$AP36,$AN36)+IF($G$1="破竹",$AQ36*1.5,0))*(1+$BM36)*(1+$BN36))*(1+$AR36)*$BQ36*$Q36*(1+IF(VLOOKUP($R36,武学奇术!$A:$ZZ,30,FALSE)="蓄力技",$B$21,0))*(1+IF(VLOOKUP($R36,武学奇术!$A:$ZZ,30,FALSE)="派生技",$B$20,0))*(1+$BW36)*(1+$BX36)</f>
        <v>35467.7259423014</v>
      </c>
      <c r="N36" s="46">
        <f>(($AU36*$AN36+$AO36)*(1+$AV36)*(1+$AW36)+($AZ36*IF($G$1="鸣金",$AP36,$AN36)+IF($G$1="鸣金",$AQ36*1.5,0))*(1+$BA36)*(1+$BB36)+($BD36*IF($G$1="裂石",$AP36,$AN36)+IF($G$1="裂石",$AQ36*1.5,0))*(1+$BE36)*(1+$BF36)+($BH36*IF($G$1="牵丝",$AP36,$AN36)+IF($G$1="牵丝",$AQ36*1.5,0))*(1+$BI36)*(1+$BJ36)+($BL36*IF($G$1="破竹",$AP36,$AN36)+IF($G$1="破竹",$AQ36*1.5,0))*(1+$BM36)*(1+$BN36))*(1+$AR36)*$BS36*$Q36*(1+IF(VLOOKUP($R36,武学奇术!$A:$ZZ,30,FALSE)="蓄力技",$B$21,0))*(1+IF(VLOOKUP($R36,武学奇术!$A:$ZZ,30,FALSE)="派生技",$B$20,0))*(1+$BW36)*(1+$BX36)</f>
        <v>27833.0218414595</v>
      </c>
      <c r="O36" s="46">
        <f>((($AT36+$AU36)/2*$AN36+$AO36)*(1+$AV36)*(1+$AW36)+(($AY36+$AZ36)/2*IF($G$1="鸣金",$AP36,$AN36)+IF($G$1="鸣金",$AQ36*1.5,0))*(1+$BA36)*(1+$BB36)+(($BC36+$BD36)/2*IF($G$1="裂石",$AP36,$AN36)+IF($G$1="裂石",$AQ36*1.5,0))*(1+$BE36)*(1+$BF36)+(($BG36+$BH36)/2*IF($G$1="牵丝",$AP36,$AN36)+IF($G$1="牵丝",$AQ36*1.5,0))*(1+$BI36)*(1+$BJ36)+(($BK36+$BL36)/2*IF($G$1="破竹",$AP36,$AN36)+IF($G$1="破竹",$AQ36*1.5,0))*(1+$BM36)*(1+$BN36))*(1+$AR36)*$Q36*(1+IF(VLOOKUP($R36,武学奇术!$A:$ZZ,30,FALSE)="蓄力技",$B$21,0))*(1+IF(VLOOKUP($R36,武学奇术!$A:$ZZ,30,FALSE)="派生技",$B$20,0))*(1+$BW36)*(1+$BX36)</f>
        <v>18472.773928282</v>
      </c>
      <c r="P36" s="46">
        <f>((($AT36*$AN36+$AO36)*(1+$AV36)*(1+$AW36)+($AY36*IF($G$1="鸣金",$AP36,$AN36)+IF($G$1="鸣金",$AQ36*1.5,0))*(1+$BA36)*(1+$BB36)+($BC36*IF($G$1="裂石",$AP36,$AN36)+IF($G$1="裂石",$AQ36*1.5,0))*(1+$BE36)*(1+$BF36)+($BG36*IF($G$1="牵丝",$AP36,$AN36)+IF($G$1="牵丝",$AQ36*1.5,0))*(1+$BI36)*(1+$BJ36)+($BK36*IF($G$1="破竹",$AP36,$AN36)+IF($G$1="破竹",$AQ36*1.5,0))*(1+$BM36)*(1+$BN36))*(1+$AR36))*$Q36*(1+IF(VLOOKUP($R36,武学奇术!$A:$ZZ,30,FALSE)="蓄力技",$B$21,0))*(1+IF(VLOOKUP($R36,武学奇术!$A:$ZZ,30,FALSE)="派生技",$B$20,0))*(1+$BW36)*(1+$BX36)</f>
        <v>16328.4946406681</v>
      </c>
      <c r="Q36" s="47">
        <f t="shared" si="13"/>
        <v>1</v>
      </c>
      <c r="R36" s="48" t="s">
        <v>175</v>
      </c>
      <c r="S36" s="48" t="s">
        <v>99</v>
      </c>
      <c r="T36" s="48" t="s">
        <v>176</v>
      </c>
      <c r="U36" s="48" t="s">
        <v>80</v>
      </c>
      <c r="V36" s="48" t="s">
        <v>80</v>
      </c>
      <c r="W36" s="48" t="s">
        <v>91</v>
      </c>
      <c r="X36" s="48" t="s">
        <v>80</v>
      </c>
      <c r="Y36" s="48" t="s">
        <v>80</v>
      </c>
      <c r="Z36" s="48" t="s">
        <v>80</v>
      </c>
      <c r="AA36" s="48" t="s">
        <v>80</v>
      </c>
      <c r="AB36" s="48" t="s">
        <v>80</v>
      </c>
      <c r="AC36" s="48" t="s">
        <v>80</v>
      </c>
      <c r="AD36" s="48" t="s">
        <v>80</v>
      </c>
      <c r="AE36" s="48" t="s">
        <v>82</v>
      </c>
      <c r="AF36" s="48" t="s">
        <v>83</v>
      </c>
      <c r="AG36" s="48" t="s">
        <v>84</v>
      </c>
      <c r="AH36" s="48" t="s">
        <v>80</v>
      </c>
      <c r="AI36" s="48" t="s">
        <v>80</v>
      </c>
      <c r="AJ36" s="48" t="s">
        <v>80</v>
      </c>
      <c r="AK36" s="48" t="s">
        <v>80</v>
      </c>
      <c r="AL36" s="48" t="s">
        <v>85</v>
      </c>
      <c r="AM36" t="str">
        <f>VLOOKUP($R36,武学奇术!$A:$ZZ,25,FALSE)</f>
        <v>横刀</v>
      </c>
      <c r="AN36" s="33">
        <f>VLOOKUP($R36,武学奇术!$A:$ZZ,26,FALSE)</f>
        <v>1.2338</v>
      </c>
      <c r="AO36" s="34">
        <f>VLOOKUP($R36,武学奇术!$A:$ZZ,27,FALSE)*(1+IF(OR($AM36=$F$4,$AM36=$F$5),$B$22,0))</f>
        <v>547.2</v>
      </c>
      <c r="AP36" s="33">
        <f>VLOOKUP($R36,武学奇术!$A:$ZZ,28,FALSE)</f>
        <v>1.8507</v>
      </c>
      <c r="AQ36" s="34">
        <f>VLOOKUP($R36,武学奇术!$A:$ZZ,29,FALSE)*(1+IF(OR($AM36=$F$4,$AM36=$F$5),$B$22,0))</f>
        <v>297.6</v>
      </c>
      <c r="AR36" s="33" cm="1">
        <f t="array" ref="AR36">$G$3+IFERROR(VLOOKUP($AM36,$F$4:$G$7,2,FALSE),0)+VLOOKUP($R36,武学奇术!$A:$ZZ,2,FALSE)+SUM(_xlfn.XLOOKUP($S36:$AL36,增益!$A:$A,增益!$B:$B,0))</f>
        <v>0.4489</v>
      </c>
      <c r="AS36" s="33" cm="1">
        <f t="array" ref="AS36">VLOOKUP($R36,武学奇术!$A:$ZZ,5,FALSE)+SUM(_xlfn.XLOOKUP($S36:$AL36,增益!$A:$A,增益!$E:$E,0))</f>
        <v>0</v>
      </c>
      <c r="AT36" cm="1">
        <f t="array" ref="AT36">$D$10*(1+$AS36)+VLOOKUP($R36,武学奇术!$A:$ZZ,3,FALSE)+SUM(_xlfn.XLOOKUP($S36:$AL36,增益!$A:$A,增益!$C:$C,0))-$I$2</f>
        <v>4094.7</v>
      </c>
      <c r="AU36" cm="1">
        <f t="array" ref="AU36">$E$10*(1+$AS36)+VLOOKUP($R36,武学奇术!$A:$ZZ,4,FALSE)+SUM(_xlfn.XLOOKUP($S36:$AL36,增益!$A:$A,增益!$D:$D,0))-$I$2</f>
        <v>4094.7</v>
      </c>
      <c r="AV36" s="40" cm="1">
        <f t="array" ref="AV36">IF($F$10-$I$3+VLOOKUP($R36,武学奇术!$A:$ZZ,6,FALSE)+SUM(_xlfn.XLOOKUP($S36:$AL36,增益!$A:$A,增益!$F:$F,0))&gt;0,($F$10-$I$3+VLOOKUP($R36,武学奇术!$A:$ZZ,6,FALSE)+SUM(_xlfn.XLOOKUP($S36:$AL36,增益!$A:$A,增益!$F:$F,0)))/200,($F$10-$I$3+VLOOKUP($R36,武学奇术!$A:$ZZ,6,FALSE)+SUM(_xlfn.XLOOKUP($S36:$AL36,增益!$A:$A,增益!$F:$F,0)))/100)</f>
        <v>0.4134</v>
      </c>
      <c r="AW36" s="40" cm="1">
        <f t="array" ref="AW36">$G$10+VLOOKUP($R36,武学奇术!$A:$ZZ,7,FALSE)+SUM(_xlfn.XLOOKUP($S36:$AL36,增益!$A:$A,增益!$G:$G,0))</f>
        <v>0.02</v>
      </c>
      <c r="AX36" s="33" cm="1">
        <f t="array" ref="AX36">VLOOKUP($R36,武学奇术!$A:$ZZ,8,FALSE)+SUM(_xlfn.XLOOKUP($S36:$AL36,增益!$A:$A,增益!$H:$H,0))</f>
        <v>0</v>
      </c>
      <c r="AY36">
        <f t="shared" si="15"/>
        <v>0</v>
      </c>
      <c r="AZ36">
        <f t="shared" si="16"/>
        <v>0</v>
      </c>
      <c r="BA36" s="40" cm="1">
        <f t="array" ref="BA36">IF($F$11-$I$4+VLOOKUP($R36,武学奇术!$A:$ZZ,9,FALSE)+SUM(_xlfn.XLOOKUP($S36:$AL36,增益!$A:$A,增益!$I:$I,0))&gt;0,($F$11-$I$4+VLOOKUP($R36,武学奇术!$A:$ZZ,9,FALSE)+SUM(_xlfn.XLOOKUP($S36:$AL36,增益!$A:$A,增益!$I:$I,0)))/200,($F$11-$I$4+VLOOKUP($R36,武学奇术!$A:$ZZ,9,FALSE)+SUM(_xlfn.XLOOKUP($S36:$AL36,增益!$A:$A,增益!$I:$I,0)))/100)</f>
        <v>-0.3</v>
      </c>
      <c r="BB36" s="40" cm="1">
        <f t="array" ref="BB36">$G$11+VLOOKUP($R36,武学奇术!$A:$ZZ,10,FALSE)+SUM(_xlfn.XLOOKUP($S36:$AL36,增益!$A:$A,增益!$J:$J,0))</f>
        <v>0.02</v>
      </c>
      <c r="BC36">
        <f t="shared" si="17"/>
        <v>640.3</v>
      </c>
      <c r="BD36">
        <f t="shared" si="18"/>
        <v>1770.1</v>
      </c>
      <c r="BE36" s="40" cm="1">
        <f t="array" ref="BE36">IF($F$12-$I$4+VLOOKUP($R36,武学奇术!$A:$ZZ,11,FALSE)+SUM(_xlfn.XLOOKUP($S36:$AL36,增益!$A:$A,增益!$K:$K,0))&gt;0,($F$12-$I$4+VLOOKUP($R36,武学奇术!$A:$ZZ,11,FALSE)+SUM(_xlfn.XLOOKUP($S36:$AL36,增益!$A:$A,增益!$K:$K,0)))/200,($F$12-$I$4+VLOOKUP($R36,武学奇术!$A:$ZZ,11,FALSE)+SUM(_xlfn.XLOOKUP($S36:$AL36,增益!$A:$A,增益!$K:$K,0)))/100)</f>
        <v>0.09</v>
      </c>
      <c r="BF36" s="40" cm="1">
        <f t="array" ref="BF36">$G$12+VLOOKUP($R36,武学奇术!$A:$ZZ,12,FALSE)+SUM(_xlfn.XLOOKUP($S36:$AL36,增益!$A:$A,增益!$L:$L,0))</f>
        <v>0.17</v>
      </c>
      <c r="BG36">
        <f t="shared" si="19"/>
        <v>0</v>
      </c>
      <c r="BH36">
        <f t="shared" si="20"/>
        <v>0</v>
      </c>
      <c r="BI36" s="40" cm="1">
        <f t="array" ref="BI36">IF($F$13-$I$4+VLOOKUP($R36,武学奇术!$A:$ZZ,13,FALSE)+SUM(_xlfn.XLOOKUP($S36:$AL36,增益!$A:$A,增益!$M:$M,0))&gt;0,($F$13-$I$4+VLOOKUP($R36,武学奇术!$A:$ZZ,13,FALSE)+SUM(_xlfn.XLOOKUP($S36:$AL36,增益!$A:$A,增益!$K:$K,0)))/200,($F$13-$I$4+VLOOKUP($R36,武学奇术!$A:$ZZ,13,FALSE)+SUM(_xlfn.XLOOKUP($S36:$AL36,增益!$A:$A,增益!$M:$M,0)))/100)</f>
        <v>-0.3</v>
      </c>
      <c r="BJ36" s="40" cm="1">
        <f t="array" ref="BJ36">$G$13+VLOOKUP($R36,武学奇术!$A:$ZZ,14,FALSE)+SUM(_xlfn.XLOOKUP($S36:$AL36,增益!$A:$A,增益!$N:$N,0))</f>
        <v>0.02</v>
      </c>
      <c r="BK36">
        <f t="shared" si="21"/>
        <v>0</v>
      </c>
      <c r="BL36">
        <f t="shared" si="22"/>
        <v>0</v>
      </c>
      <c r="BM36" s="40" cm="1">
        <f t="array" ref="BM36">IF($F$14-$I$4+VLOOKUP($R36,武学奇术!$A:$ZZ,15,FALSE)+SUM(_xlfn.XLOOKUP($S36:$AL36,增益!$A:$A,增益!$O:$O,0))&gt;0,($F$14-$I$4+VLOOKUP($R36,武学奇术!$A:$ZZ,15,FALSE)+SUM(_xlfn.XLOOKUP($S36:$AL36,增益!$A:$A,增益!$O:$O,0)))/200,($F$14-$I$4+VLOOKUP($R36,武学奇术!$A:$ZZ,15,FALSE)+SUM(_xlfn.XLOOKUP($S36:$AL36,增益!$A:$A,增益!$O:$O,0)))/100)</f>
        <v>-0.3</v>
      </c>
      <c r="BN36" s="40" cm="1">
        <f t="array" ref="BN36">$G$14+VLOOKUP($R36,武学奇术!$A:$ZZ,16,FALSE)+SUM(_xlfn.XLOOKUP($S36:$AL36,增益!$A:$A,增益!$P:$P,0))</f>
        <v>0.02</v>
      </c>
      <c r="BO36" s="33">
        <f>MIN(IF(VLOOKUP($R36,武学奇术!$A:$ZZ,23,FALSE)=1,100%,$B$8),100%)</f>
        <v>0.9771</v>
      </c>
      <c r="BP36" s="33" cm="1">
        <f t="array" ref="BP36">IF(VLOOKUP($R36,武学奇术!$A:$ZZ,23,FALSE)=1,100%,MIN(80%,$B$9+VLOOKUP($R36,武学奇术!$A:$ZZ,17,FALSE)+SUM(_xlfn.XLOOKUP($S36:$AL36,增益!$A:$A,增益!$Q:$Q,0)))+$B$11+SUM(_xlfn.XLOOKUP($S36:$AL36,增益!$A:$A,增益!$U:$U,0)))*IF(VLOOKUP($R36,武学奇术!$A:$ZZ,24,FALSE)=1,0,1)</f>
        <v>0.8861</v>
      </c>
      <c r="BQ36" s="33" cm="1">
        <f t="array" ref="BQ36">1+$B$13+VLOOKUP($R36,武学奇术!$A:$ZZ,18,FALSE)+SUM(_xlfn.XLOOKUP($S36:$AL36,增益!$A:$A,增益!$R:$R,0))</f>
        <v>1.92</v>
      </c>
      <c r="BR36" s="33" cm="1">
        <f t="array" ref="BR36">IF(VLOOKUP($R36,武学奇术!$A:$ZZ,24,FALSE)=1,100%,MIN(40%,$B$10+VLOOKUP($R36,武学奇术!$A:$ZZ,19,FALSE)+SUM(_xlfn.XLOOKUP($S36:$AL36,增益!$A:$A,增益!$S:$S,0)))+$B$12+SUM(_xlfn.XLOOKUP($S36:$AL36,增益!$A:$A,增益!$V:$V,0)))*IF(VLOOKUP($R36,武学奇术!$A:$ZZ,23,FALSE)=1,0,1)</f>
        <v>0.0913</v>
      </c>
      <c r="BS36" s="33" cm="1">
        <f t="array" ref="BS36">1+$B$14+VLOOKUP($R36,武学奇术!$A:$ZZ,20,FALSE)+SUM(_xlfn.XLOOKUP($S36:$AL36,增益!$A:$A,增益!$T:$T,0))</f>
        <v>1.35</v>
      </c>
      <c r="BT36" s="33">
        <f t="shared" si="23"/>
        <v>0.86580831</v>
      </c>
      <c r="BU36" s="33">
        <f t="shared" si="24"/>
        <v>0.02208246</v>
      </c>
      <c r="BV36" s="33">
        <f>IF(VLOOKUP($R36,武学奇术!$A:$ZZ,22,FALSE)=1,0,(1-$BO36))*(1-$BR36)</f>
        <v>0.02080923</v>
      </c>
      <c r="BW36" s="33" cm="1">
        <f t="array" ref="BW36">SUM(_xlfn.XLOOKUP($S36:$AL36,增益!$A:$A,增益!$W:$W,0))+$I$5</f>
        <v>0.11</v>
      </c>
      <c r="BX36" s="33" cm="1">
        <f t="array" ref="BX36">VLOOKUP($R36,武学奇术!$A:$ZZ,32,FALSE)+SUM(_xlfn.XLOOKUP($S36:$AL36,增益!$A:$A,增益!$X:$X,0))</f>
        <v>0</v>
      </c>
    </row>
    <row r="37" spans="1:76">
      <c r="A37" s="4" t="s">
        <v>177</v>
      </c>
      <c r="B37" s="4">
        <v>3.3</v>
      </c>
      <c r="D37" s="47"/>
      <c r="L37" s="46">
        <f t="shared" si="14"/>
        <v>104622.426144287</v>
      </c>
      <c r="M37" s="46">
        <f>((($AT37+$AU37)/2*$AN37+$AO37)*(1+$AV37)*(1+$AW37)+(($AY37+$AZ37)/2*IF($G$1="鸣金",$AP37,$AN37)+IF($G$1="鸣金",$AQ37*1.5,0))*(1+$BA37)*(1+$BB37)+(($BC37+$BD37)/2*IF($G$1="裂石",$AP37,$AN37)+IF($G$1="裂石",$AQ37*1.5,0))*(1+$BE37)*(1+$BF37)+(($BG37+$BH37)/2*IF($G$1="牵丝",$AP37,$AN37)+IF($G$1="牵丝",$AQ37*1.5,0))*(1+$BI37)*(1+$BJ37)+(($BK37+$BL37)/2*IF($G$1="破竹",$AP37,$AN37)+IF($G$1="破竹",$AQ37*1.5,0))*(1+$BM37)*(1+$BN37))*(1+$AR37)*$BQ37*$Q37*(1+IF(VLOOKUP($R37,武学奇术!$A:$ZZ,30,FALSE)="蓄力技",$B$21,0))*(1+IF(VLOOKUP($R37,武学奇术!$A:$ZZ,30,FALSE)="派生技",$B$20,0))*(1+$BW37)*(1+$BX37)</f>
        <v>109202.692952355</v>
      </c>
      <c r="N37" s="46">
        <f>(($AU37*$AN37+$AO37)*(1+$AV37)*(1+$AW37)+($AZ37*IF($G$1="鸣金",$AP37,$AN37)+IF($G$1="鸣金",$AQ37*1.5,0))*(1+$BA37)*(1+$BB37)+($BD37*IF($G$1="裂石",$AP37,$AN37)+IF($G$1="裂石",$AQ37*1.5,0))*(1+$BE37)*(1+$BF37)+($BH37*IF($G$1="牵丝",$AP37,$AN37)+IF($G$1="牵丝",$AQ37*1.5,0))*(1+$BI37)*(1+$BJ37)+($BL37*IF($G$1="破竹",$AP37,$AN37)+IF($G$1="破竹",$AQ37*1.5,0))*(1+$BM37)*(1+$BN37))*(1+$AR37)*$BS37*$Q37*(1+IF(VLOOKUP($R37,武学奇术!$A:$ZZ,30,FALSE)="蓄力技",$B$21,0))*(1+IF(VLOOKUP($R37,武学奇术!$A:$ZZ,30,FALSE)="派生技",$B$20,0))*(1+$BW37)*(1+$BX37)</f>
        <v>85253.4223944563</v>
      </c>
      <c r="O37" s="46">
        <f>((($AT37+$AU37)/2*$AN37+$AO37)*(1+$AV37)*(1+$AW37)+(($AY37+$AZ37)/2*IF($G$1="鸣金",$AP37,$AN37)+IF($G$1="鸣金",$AQ37*1.5,0))*(1+$BA37)*(1+$BB37)+(($BC37+$BD37)/2*IF($G$1="裂石",$AP37,$AN37)+IF($G$1="裂石",$AQ37*1.5,0))*(1+$BE37)*(1+$BF37)+(($BG37+$BH37)/2*IF($G$1="牵丝",$AP37,$AN37)+IF($G$1="牵丝",$AQ37*1.5,0))*(1+$BI37)*(1+$BJ37)+(($BK37+$BL37)/2*IF($G$1="破竹",$AP37,$AN37)+IF($G$1="破竹",$AQ37*1.5,0))*(1+$BM37)*(1+$BN37))*(1+$AR37)*$Q37*(1+IF(VLOOKUP($R37,武学奇术!$A:$ZZ,30,FALSE)="蓄力技",$B$21,0))*(1+IF(VLOOKUP($R37,武学奇术!$A:$ZZ,30,FALSE)="派生技",$B$20,0))*(1+$BW37)*(1+$BX37)</f>
        <v>56581.7061929299</v>
      </c>
      <c r="P37" s="46">
        <f>((($AT37*$AN37+$AO37)*(1+$AV37)*(1+$AW37)+($AY37*IF($G$1="鸣金",$AP37,$AN37)+IF($G$1="鸣金",$AQ37*1.5,0))*(1+$BA37)*(1+$BB37)+($BC37*IF($G$1="裂石",$AP37,$AN37)+IF($G$1="裂石",$AQ37*1.5,0))*(1+$BE37)*(1+$BF37)+($BG37*IF($G$1="牵丝",$AP37,$AN37)+IF($G$1="牵丝",$AQ37*1.5,0))*(1+$BI37)*(1+$BJ37)+($BK37*IF($G$1="破竹",$AP37,$AN37)+IF($G$1="破竹",$AQ37*1.5,0))*(1+$BM37)*(1+$BN37))*(1+$AR37))*$Q37*(1+IF(VLOOKUP($R37,武学奇术!$A:$ZZ,30,FALSE)="蓄力技",$B$21,0))*(1+IF(VLOOKUP($R37,武学奇术!$A:$ZZ,30,FALSE)="派生技",$B$20,0))*(1+$BW37)*(1+$BX37)</f>
        <v>50012.729130707</v>
      </c>
      <c r="Q37" s="47">
        <f t="shared" ref="Q37:Q46" si="25">IF($E$24="陌刀",1,0)</f>
        <v>1</v>
      </c>
      <c r="R37" s="48" t="s">
        <v>116</v>
      </c>
      <c r="S37" s="48" t="s">
        <v>99</v>
      </c>
      <c r="T37" s="48" t="s">
        <v>178</v>
      </c>
      <c r="U37" s="48" t="s">
        <v>80</v>
      </c>
      <c r="V37" s="48" t="s">
        <v>80</v>
      </c>
      <c r="W37" s="48" t="s">
        <v>91</v>
      </c>
      <c r="X37" s="48" t="s">
        <v>80</v>
      </c>
      <c r="Y37" s="48" t="s">
        <v>80</v>
      </c>
      <c r="Z37" s="48" t="s">
        <v>80</v>
      </c>
      <c r="AA37" s="48" t="s">
        <v>80</v>
      </c>
      <c r="AB37" s="48" t="s">
        <v>80</v>
      </c>
      <c r="AC37" s="48" t="s">
        <v>80</v>
      </c>
      <c r="AD37" s="48" t="s">
        <v>80</v>
      </c>
      <c r="AE37" s="48" t="s">
        <v>82</v>
      </c>
      <c r="AF37" s="48" t="s">
        <v>83</v>
      </c>
      <c r="AG37" s="48" t="s">
        <v>84</v>
      </c>
      <c r="AH37" s="48" t="s">
        <v>80</v>
      </c>
      <c r="AI37" s="48" t="s">
        <v>80</v>
      </c>
      <c r="AJ37" s="48" t="s">
        <v>80</v>
      </c>
      <c r="AK37" s="48" t="s">
        <v>80</v>
      </c>
      <c r="AL37" s="48" t="s">
        <v>85</v>
      </c>
      <c r="AM37" t="str">
        <f>VLOOKUP($R37,武学奇术!$A:$ZZ,25,FALSE)</f>
        <v>横刀</v>
      </c>
      <c r="AN37" s="33">
        <f>VLOOKUP($R37,武学奇术!$A:$ZZ,26,FALSE)</f>
        <v>3.7797</v>
      </c>
      <c r="AO37" s="34">
        <f>VLOOKUP($R37,武学奇术!$A:$ZZ,27,FALSE)*(1+IF(OR($AM37=$F$4,$AM37=$F$5),$B$22,0))</f>
        <v>1672</v>
      </c>
      <c r="AP37" s="33">
        <f>VLOOKUP($R37,武学奇术!$A:$ZZ,28,FALSE)</f>
        <v>5.6696</v>
      </c>
      <c r="AQ37" s="34">
        <f>VLOOKUP($R37,武学奇术!$A:$ZZ,29,FALSE)*(1+IF(OR($AM37=$F$4,$AM37=$F$5),$B$22,0))</f>
        <v>912</v>
      </c>
      <c r="AR37" s="33" cm="1">
        <f t="array" ref="AR37">$G$3+IFERROR(VLOOKUP($AM37,$F$4:$G$7,2,FALSE),0)+VLOOKUP($R37,武学奇术!$A:$ZZ,2,FALSE)+SUM(_xlfn.XLOOKUP($S37:$AL37,增益!$A:$A,增益!$B:$B,0))</f>
        <v>0.4489</v>
      </c>
      <c r="AS37" s="33" cm="1">
        <f t="array" ref="AS37">VLOOKUP($R37,武学奇术!$A:$ZZ,5,FALSE)+SUM(_xlfn.XLOOKUP($S37:$AL37,增益!$A:$A,增益!$E:$E,0))</f>
        <v>0</v>
      </c>
      <c r="AT37" cm="1">
        <f t="array" ref="AT37">$D$10*(1+$AS37)+VLOOKUP($R37,武学奇术!$A:$ZZ,3,FALSE)+SUM(_xlfn.XLOOKUP($S37:$AL37,增益!$A:$A,增益!$C:$C,0))-$I$2</f>
        <v>4094.7</v>
      </c>
      <c r="AU37" cm="1">
        <f t="array" ref="AU37">$E$10*(1+$AS37)+VLOOKUP($R37,武学奇术!$A:$ZZ,4,FALSE)+SUM(_xlfn.XLOOKUP($S37:$AL37,增益!$A:$A,增益!$D:$D,0))-$I$2</f>
        <v>4094.7</v>
      </c>
      <c r="AV37" s="40" cm="1">
        <f t="array" ref="AV37">IF($F$10-$I$3+VLOOKUP($R37,武学奇术!$A:$ZZ,6,FALSE)+SUM(_xlfn.XLOOKUP($S37:$AL37,增益!$A:$A,增益!$F:$F,0))&gt;0,($F$10-$I$3+VLOOKUP($R37,武学奇术!$A:$ZZ,6,FALSE)+SUM(_xlfn.XLOOKUP($S37:$AL37,增益!$A:$A,增益!$F:$F,0)))/200,($F$10-$I$3+VLOOKUP($R37,武学奇术!$A:$ZZ,6,FALSE)+SUM(_xlfn.XLOOKUP($S37:$AL37,增益!$A:$A,增益!$F:$F,0)))/100)</f>
        <v>0.4134</v>
      </c>
      <c r="AW37" s="40" cm="1">
        <f t="array" ref="AW37">$G$10+VLOOKUP($R37,武学奇术!$A:$ZZ,7,FALSE)+SUM(_xlfn.XLOOKUP($S37:$AL37,增益!$A:$A,增益!$G:$G,0))</f>
        <v>0.02</v>
      </c>
      <c r="AX37" s="33" cm="1">
        <f t="array" ref="AX37">VLOOKUP($R37,武学奇术!$A:$ZZ,8,FALSE)+SUM(_xlfn.XLOOKUP($S37:$AL37,增益!$A:$A,增益!$H:$H,0))</f>
        <v>0</v>
      </c>
      <c r="AY37">
        <f t="shared" si="15"/>
        <v>0</v>
      </c>
      <c r="AZ37">
        <f t="shared" si="16"/>
        <v>0</v>
      </c>
      <c r="BA37" s="40" cm="1">
        <f t="array" ref="BA37">IF($F$11-$I$4+VLOOKUP($R37,武学奇术!$A:$ZZ,9,FALSE)+SUM(_xlfn.XLOOKUP($S37:$AL37,增益!$A:$A,增益!$I:$I,0))&gt;0,($F$11-$I$4+VLOOKUP($R37,武学奇术!$A:$ZZ,9,FALSE)+SUM(_xlfn.XLOOKUP($S37:$AL37,增益!$A:$A,增益!$I:$I,0)))/200,($F$11-$I$4+VLOOKUP($R37,武学奇术!$A:$ZZ,9,FALSE)+SUM(_xlfn.XLOOKUP($S37:$AL37,增益!$A:$A,增益!$I:$I,0)))/100)</f>
        <v>-0.3</v>
      </c>
      <c r="BB37" s="40" cm="1">
        <f t="array" ref="BB37">$G$11+VLOOKUP($R37,武学奇术!$A:$ZZ,10,FALSE)+SUM(_xlfn.XLOOKUP($S37:$AL37,增益!$A:$A,增益!$J:$J,0))</f>
        <v>0.02</v>
      </c>
      <c r="BC37">
        <f t="shared" si="17"/>
        <v>640.3</v>
      </c>
      <c r="BD37">
        <f t="shared" si="18"/>
        <v>1770.1</v>
      </c>
      <c r="BE37" s="40" cm="1">
        <f t="array" ref="BE37">IF($F$12-$I$4+VLOOKUP($R37,武学奇术!$A:$ZZ,11,FALSE)+SUM(_xlfn.XLOOKUP($S37:$AL37,增益!$A:$A,增益!$K:$K,0))&gt;0,($F$12-$I$4+VLOOKUP($R37,武学奇术!$A:$ZZ,11,FALSE)+SUM(_xlfn.XLOOKUP($S37:$AL37,增益!$A:$A,增益!$K:$K,0)))/200,($F$12-$I$4+VLOOKUP($R37,武学奇术!$A:$ZZ,11,FALSE)+SUM(_xlfn.XLOOKUP($S37:$AL37,增益!$A:$A,增益!$K:$K,0)))/100)</f>
        <v>0.09</v>
      </c>
      <c r="BF37" s="40" cm="1">
        <f t="array" ref="BF37">$G$12+VLOOKUP($R37,武学奇术!$A:$ZZ,12,FALSE)+SUM(_xlfn.XLOOKUP($S37:$AL37,增益!$A:$A,增益!$L:$L,0))</f>
        <v>0.17</v>
      </c>
      <c r="BG37">
        <f t="shared" si="19"/>
        <v>0</v>
      </c>
      <c r="BH37">
        <f t="shared" si="20"/>
        <v>0</v>
      </c>
      <c r="BI37" s="40" cm="1">
        <f t="array" ref="BI37">IF($F$13-$I$4+VLOOKUP($R37,武学奇术!$A:$ZZ,13,FALSE)+SUM(_xlfn.XLOOKUP($S37:$AL37,增益!$A:$A,增益!$M:$M,0))&gt;0,($F$13-$I$4+VLOOKUP($R37,武学奇术!$A:$ZZ,13,FALSE)+SUM(_xlfn.XLOOKUP($S37:$AL37,增益!$A:$A,增益!$K:$K,0)))/200,($F$13-$I$4+VLOOKUP($R37,武学奇术!$A:$ZZ,13,FALSE)+SUM(_xlfn.XLOOKUP($S37:$AL37,增益!$A:$A,增益!$M:$M,0)))/100)</f>
        <v>-0.3</v>
      </c>
      <c r="BJ37" s="40" cm="1">
        <f t="array" ref="BJ37">$G$13+VLOOKUP($R37,武学奇术!$A:$ZZ,14,FALSE)+SUM(_xlfn.XLOOKUP($S37:$AL37,增益!$A:$A,增益!$N:$N,0))</f>
        <v>0.02</v>
      </c>
      <c r="BK37">
        <f t="shared" si="21"/>
        <v>0</v>
      </c>
      <c r="BL37">
        <f t="shared" si="22"/>
        <v>0</v>
      </c>
      <c r="BM37" s="40" cm="1">
        <f t="array" ref="BM37">IF($F$14-$I$4+VLOOKUP($R37,武学奇术!$A:$ZZ,15,FALSE)+SUM(_xlfn.XLOOKUP($S37:$AL37,增益!$A:$A,增益!$O:$O,0))&gt;0,($F$14-$I$4+VLOOKUP($R37,武学奇术!$A:$ZZ,15,FALSE)+SUM(_xlfn.XLOOKUP($S37:$AL37,增益!$A:$A,增益!$O:$O,0)))/200,($F$14-$I$4+VLOOKUP($R37,武学奇术!$A:$ZZ,15,FALSE)+SUM(_xlfn.XLOOKUP($S37:$AL37,增益!$A:$A,增益!$O:$O,0)))/100)</f>
        <v>-0.3</v>
      </c>
      <c r="BN37" s="40" cm="1">
        <f t="array" ref="BN37">$G$14+VLOOKUP($R37,武学奇术!$A:$ZZ,16,FALSE)+SUM(_xlfn.XLOOKUP($S37:$AL37,增益!$A:$A,增益!$P:$P,0))</f>
        <v>0.02</v>
      </c>
      <c r="BO37" s="33">
        <f>MIN(IF(VLOOKUP($R37,武学奇术!$A:$ZZ,23,FALSE)=1,100%,$B$8),100%)</f>
        <v>0.9771</v>
      </c>
      <c r="BP37" s="33" cm="1">
        <f t="array" ref="BP37">IF(VLOOKUP($R37,武学奇术!$A:$ZZ,23,FALSE)=1,100%,MIN(80%,$B$9+VLOOKUP($R37,武学奇术!$A:$ZZ,17,FALSE)+SUM(_xlfn.XLOOKUP($S37:$AL37,增益!$A:$A,增益!$Q:$Q,0)))+$B$11+SUM(_xlfn.XLOOKUP($S37:$AL37,增益!$A:$A,增益!$U:$U,0)))*IF(VLOOKUP($R37,武学奇术!$A:$ZZ,24,FALSE)=1,0,1)</f>
        <v>0.8861</v>
      </c>
      <c r="BQ37" s="33" cm="1">
        <f t="array" ref="BQ37">1+$B$13+VLOOKUP($R37,武学奇术!$A:$ZZ,18,FALSE)+SUM(_xlfn.XLOOKUP($S37:$AL37,增益!$A:$A,增益!$R:$R,0))</f>
        <v>1.93</v>
      </c>
      <c r="BR37" s="33" cm="1">
        <f t="array" ref="BR37">IF(VLOOKUP($R37,武学奇术!$A:$ZZ,24,FALSE)=1,100%,MIN(40%,$B$10+VLOOKUP($R37,武学奇术!$A:$ZZ,19,FALSE)+SUM(_xlfn.XLOOKUP($S37:$AL37,增益!$A:$A,增益!$S:$S,0)))+$B$12+SUM(_xlfn.XLOOKUP($S37:$AL37,增益!$A:$A,增益!$V:$V,0)))*IF(VLOOKUP($R37,武学奇术!$A:$ZZ,23,FALSE)=1,0,1)</f>
        <v>0.0913</v>
      </c>
      <c r="BS37" s="33" cm="1">
        <f t="array" ref="BS37">1+$B$14+VLOOKUP($R37,武学奇术!$A:$ZZ,20,FALSE)+SUM(_xlfn.XLOOKUP($S37:$AL37,增益!$A:$A,增益!$T:$T,0))</f>
        <v>1.35</v>
      </c>
      <c r="BT37" s="33">
        <f t="shared" si="23"/>
        <v>0.86580831</v>
      </c>
      <c r="BU37" s="33">
        <f t="shared" si="24"/>
        <v>0.02208246</v>
      </c>
      <c r="BV37" s="33">
        <f>IF(VLOOKUP($R37,武学奇术!$A:$ZZ,22,FALSE)=1,0,(1-$BO37))*(1-$BR37)</f>
        <v>0.02080923</v>
      </c>
      <c r="BW37" s="33" cm="1">
        <f t="array" ref="BW37">SUM(_xlfn.XLOOKUP($S37:$AL37,增益!$A:$A,增益!$W:$W,0))+$I$5</f>
        <v>0.11</v>
      </c>
      <c r="BX37" s="33" cm="1">
        <f t="array" ref="BX37">VLOOKUP($R37,武学奇术!$A:$ZZ,32,FALSE)+SUM(_xlfn.XLOOKUP($S37:$AL37,增益!$A:$A,增益!$X:$X,0))</f>
        <v>0</v>
      </c>
    </row>
    <row r="38" spans="1:76">
      <c r="A38" s="4" t="s">
        <v>179</v>
      </c>
      <c r="B38" s="4">
        <v>1</v>
      </c>
      <c r="L38" s="46">
        <f t="shared" si="14"/>
        <v>71839.2984410313</v>
      </c>
      <c r="M38" s="46">
        <f>((($AT38+$AU38)/2*$AN38+$AO38)*(1+$AV38)*(1+$AW38)+(($AY38+$AZ38)/2*IF($G$1="鸣金",$AP38,$AN38)+IF($G$1="鸣金",$AQ38*1.5,0))*(1+$BA38)*(1+$BB38)+(($BC38+$BD38)/2*IF($G$1="裂石",$AP38,$AN38)+IF($G$1="裂石",$AQ38*1.5,0))*(1+$BE38)*(1+$BF38)+(($BG38+$BH38)/2*IF($G$1="牵丝",$AP38,$AN38)+IF($G$1="牵丝",$AQ38*1.5,0))*(1+$BI38)*(1+$BJ38)+(($BK38+$BL38)/2*IF($G$1="破竹",$AP38,$AN38)+IF($G$1="破竹",$AQ38*1.5,0))*(1+$BM38)*(1+$BN38))*(1+$AR38)*$BQ38*$Q38*(1+IF(VLOOKUP($R38,武学奇术!$A:$ZZ,30,FALSE)="蓄力技",$B$21,0))*(1+IF(VLOOKUP($R38,武学奇术!$A:$ZZ,30,FALSE)="派生技",$B$20,0))*(1+$BW38)*(1+$BX38)</f>
        <v>75177.445076674</v>
      </c>
      <c r="N38" s="46">
        <f>(($AU38*$AN38+$AO38)*(1+$AV38)*(1+$AW38)+($AZ38*IF($G$1="鸣金",$AP38,$AN38)+IF($G$1="鸣金",$AQ38*1.5,0))*(1+$BA38)*(1+$BB38)+($BD38*IF($G$1="裂石",$AP38,$AN38)+IF($G$1="裂石",$AQ38*1.5,0))*(1+$BE38)*(1+$BF38)+($BH38*IF($G$1="牵丝",$AP38,$AN38)+IF($G$1="牵丝",$AQ38*1.5,0))*(1+$BI38)*(1+$BJ38)+($BL38*IF($G$1="破竹",$AP38,$AN38)+IF($G$1="破竹",$AQ38*1.5,0))*(1+$BM38)*(1+$BN38))*(1+$AR38)*$BS38*$Q38*(1+IF(VLOOKUP($R38,武学奇术!$A:$ZZ,30,FALSE)="蓄力技",$B$21,0))*(1+IF(VLOOKUP($R38,武学奇术!$A:$ZZ,30,FALSE)="派生技",$B$20,0))*(1+$BW38)*(1+$BX38)</f>
        <v>57078.1605287459</v>
      </c>
      <c r="O38" s="46">
        <f>((($AT38+$AU38)/2*$AN38+$AO38)*(1+$AV38)*(1+$AW38)+(($AY38+$AZ38)/2*IF($G$1="鸣金",$AP38,$AN38)+IF($G$1="鸣金",$AQ38*1.5,0))*(1+$BA38)*(1+$BB38)+(($BC38+$BD38)/2*IF($G$1="裂石",$AP38,$AN38)+IF($G$1="裂石",$AQ38*1.5,0))*(1+$BE38)*(1+$BF38)+(($BG38+$BH38)/2*IF($G$1="牵丝",$AP38,$AN38)+IF($G$1="牵丝",$AQ38*1.5,0))*(1+$BI38)*(1+$BJ38)+(($BK38+$BL38)/2*IF($G$1="破竹",$AP38,$AN38)+IF($G$1="破竹",$AQ38*1.5,0))*(1+$BM38)*(1+$BN38))*(1+$AR38)*$Q38*(1+IF(VLOOKUP($R38,武学奇术!$A:$ZZ,30,FALSE)="蓄力技",$B$21,0))*(1+IF(VLOOKUP($R38,武学奇术!$A:$ZZ,30,FALSE)="派生技",$B$20,0))*(1+$BW38)*(1+$BX38)</f>
        <v>37968.4066043808</v>
      </c>
      <c r="P38" s="46">
        <f>((($AT38*$AN38+$AO38)*(1+$AV38)*(1+$AW38)+($AY38*IF($G$1="鸣金",$AP38,$AN38)+IF($G$1="鸣金",$AQ38*1.5,0))*(1+$BA38)*(1+$BB38)+($BC38*IF($G$1="裂石",$AP38,$AN38)+IF($G$1="裂石",$AQ38*1.5,0))*(1+$BE38)*(1+$BF38)+($BG38*IF($G$1="牵丝",$AP38,$AN38)+IF($G$1="牵丝",$AQ38*1.5,0))*(1+$BI38)*(1+$BJ38)+($BK38*IF($G$1="破竹",$AP38,$AN38)+IF($G$1="破竹",$AQ38*1.5,0))*(1+$BM38)*(1+$BN38))*(1+$AR38))*$Q38*(1+IF(VLOOKUP($R38,武学奇术!$A:$ZZ,30,FALSE)="蓄力技",$B$21,0))*(1+IF(VLOOKUP($R38,武学奇术!$A:$ZZ,30,FALSE)="派生技",$B$20,0))*(1+$BW38)*(1+$BX38)</f>
        <v>33656.6942985795</v>
      </c>
      <c r="Q38" s="47">
        <f t="shared" si="25"/>
        <v>1</v>
      </c>
      <c r="R38" s="48" t="s">
        <v>119</v>
      </c>
      <c r="S38" s="48" t="s">
        <v>99</v>
      </c>
      <c r="T38" s="48" t="s">
        <v>178</v>
      </c>
      <c r="U38" s="48" t="s">
        <v>79</v>
      </c>
      <c r="V38" s="48" t="s">
        <v>80</v>
      </c>
      <c r="W38" s="48" t="s">
        <v>141</v>
      </c>
      <c r="X38" s="48" t="s">
        <v>80</v>
      </c>
      <c r="Y38" s="48" t="s">
        <v>74</v>
      </c>
      <c r="Z38" s="48" t="s">
        <v>80</v>
      </c>
      <c r="AA38" s="48" t="s">
        <v>80</v>
      </c>
      <c r="AB38" s="48" t="s">
        <v>80</v>
      </c>
      <c r="AC38" s="48" t="s">
        <v>80</v>
      </c>
      <c r="AD38" s="48" t="s">
        <v>80</v>
      </c>
      <c r="AE38" s="48" t="s">
        <v>82</v>
      </c>
      <c r="AF38" s="48" t="s">
        <v>83</v>
      </c>
      <c r="AG38" s="48" t="s">
        <v>84</v>
      </c>
      <c r="AH38" s="48" t="s">
        <v>80</v>
      </c>
      <c r="AI38" s="48" t="s">
        <v>80</v>
      </c>
      <c r="AJ38" s="48" t="s">
        <v>80</v>
      </c>
      <c r="AK38" s="48" t="s">
        <v>80</v>
      </c>
      <c r="AL38" s="48" t="s">
        <v>85</v>
      </c>
      <c r="AM38" t="str">
        <f>VLOOKUP($R38,武学奇术!$A:$ZZ,25,FALSE)</f>
        <v>横刀</v>
      </c>
      <c r="AN38" s="33">
        <f>VLOOKUP($R38,武学奇术!$A:$ZZ,26,FALSE)</f>
        <v>2.1324</v>
      </c>
      <c r="AO38" s="34">
        <f>VLOOKUP($R38,武学奇术!$A:$ZZ,27,FALSE)*(1+IF(OR($AM38=$F$4,$AM38=$F$5),$B$22,0))</f>
        <v>944</v>
      </c>
      <c r="AP38" s="33">
        <f>VLOOKUP($R38,武学奇术!$A:$ZZ,28,FALSE)</f>
        <v>3.1986</v>
      </c>
      <c r="AQ38" s="34">
        <f>VLOOKUP($R38,武学奇术!$A:$ZZ,29,FALSE)*(1+IF(OR($AM38=$F$4,$AM38=$F$5),$B$22,0))</f>
        <v>515.2</v>
      </c>
      <c r="AR38" s="33" cm="1">
        <f t="array" ref="AR38">$G$3+IFERROR(VLOOKUP($AM38,$F$4:$G$7,2,FALSE),0)+VLOOKUP($R38,武学奇术!$A:$ZZ,2,FALSE)+SUM(_xlfn.XLOOKUP($S38:$AL38,增益!$A:$A,增益!$B:$B,0))</f>
        <v>0.5289</v>
      </c>
      <c r="AS38" s="33" cm="1">
        <f t="array" ref="AS38">VLOOKUP($R38,武学奇术!$A:$ZZ,5,FALSE)+SUM(_xlfn.XLOOKUP($S38:$AL38,增益!$A:$A,增益!$E:$E,0))</f>
        <v>0</v>
      </c>
      <c r="AT38" cm="1">
        <f t="array" ref="AT38">$D$10*(1+$AS38)+VLOOKUP($R38,武学奇术!$A:$ZZ,3,FALSE)+SUM(_xlfn.XLOOKUP($S38:$AL38,增益!$A:$A,增益!$C:$C,0))-$I$2</f>
        <v>4094.7</v>
      </c>
      <c r="AU38" cm="1">
        <f t="array" ref="AU38">$E$10*(1+$AS38)+VLOOKUP($R38,武学奇术!$A:$ZZ,4,FALSE)+SUM(_xlfn.XLOOKUP($S38:$AL38,增益!$A:$A,增益!$D:$D,0))-$I$2</f>
        <v>4094.7</v>
      </c>
      <c r="AV38" s="40" cm="1">
        <f t="array" ref="AV38">IF($F$10-$I$3+VLOOKUP($R38,武学奇术!$A:$ZZ,6,FALSE)+SUM(_xlfn.XLOOKUP($S38:$AL38,增益!$A:$A,增益!$F:$F,0))&gt;0,($F$10-$I$3+VLOOKUP($R38,武学奇术!$A:$ZZ,6,FALSE)+SUM(_xlfn.XLOOKUP($S38:$AL38,增益!$A:$A,增益!$F:$F,0)))/200,($F$10-$I$3+VLOOKUP($R38,武学奇术!$A:$ZZ,6,FALSE)+SUM(_xlfn.XLOOKUP($S38:$AL38,增益!$A:$A,增益!$F:$F,0)))/100)</f>
        <v>0.4384</v>
      </c>
      <c r="AW38" s="40" cm="1">
        <f t="array" ref="AW38">$G$10+VLOOKUP($R38,武学奇术!$A:$ZZ,7,FALSE)+SUM(_xlfn.XLOOKUP($S38:$AL38,增益!$A:$A,增益!$G:$G,0))</f>
        <v>0.14</v>
      </c>
      <c r="AX38" s="33" cm="1">
        <f t="array" ref="AX38">VLOOKUP($R38,武学奇术!$A:$ZZ,8,FALSE)+SUM(_xlfn.XLOOKUP($S38:$AL38,增益!$A:$A,增益!$H:$H,0))</f>
        <v>0</v>
      </c>
      <c r="AY38">
        <f t="shared" si="15"/>
        <v>0</v>
      </c>
      <c r="AZ38">
        <f t="shared" si="16"/>
        <v>0</v>
      </c>
      <c r="BA38" s="40" cm="1">
        <f t="array" ref="BA38">IF($F$11-$I$4+VLOOKUP($R38,武学奇术!$A:$ZZ,9,FALSE)+SUM(_xlfn.XLOOKUP($S38:$AL38,增益!$A:$A,增益!$I:$I,0))&gt;0,($F$11-$I$4+VLOOKUP($R38,武学奇术!$A:$ZZ,9,FALSE)+SUM(_xlfn.XLOOKUP($S38:$AL38,增益!$A:$A,增益!$I:$I,0)))/200,($F$11-$I$4+VLOOKUP($R38,武学奇术!$A:$ZZ,9,FALSE)+SUM(_xlfn.XLOOKUP($S38:$AL38,增益!$A:$A,增益!$I:$I,0)))/100)</f>
        <v>-0.3</v>
      </c>
      <c r="BB38" s="40" cm="1">
        <f t="array" ref="BB38">$G$11+VLOOKUP($R38,武学奇术!$A:$ZZ,10,FALSE)+SUM(_xlfn.XLOOKUP($S38:$AL38,增益!$A:$A,增益!$J:$J,0))</f>
        <v>0.02</v>
      </c>
      <c r="BC38">
        <f t="shared" si="17"/>
        <v>640.3</v>
      </c>
      <c r="BD38">
        <f t="shared" si="18"/>
        <v>1770.1</v>
      </c>
      <c r="BE38" s="40" cm="1">
        <f t="array" ref="BE38">IF($F$12-$I$4+VLOOKUP($R38,武学奇术!$A:$ZZ,11,FALSE)+SUM(_xlfn.XLOOKUP($S38:$AL38,增益!$A:$A,增益!$K:$K,0))&gt;0,($F$12-$I$4+VLOOKUP($R38,武学奇术!$A:$ZZ,11,FALSE)+SUM(_xlfn.XLOOKUP($S38:$AL38,增益!$A:$A,增益!$K:$K,0)))/200,($F$12-$I$4+VLOOKUP($R38,武学奇术!$A:$ZZ,11,FALSE)+SUM(_xlfn.XLOOKUP($S38:$AL38,增益!$A:$A,增益!$K:$K,0)))/100)</f>
        <v>0.09</v>
      </c>
      <c r="BF38" s="40" cm="1">
        <f t="array" ref="BF38">$G$12+VLOOKUP($R38,武学奇术!$A:$ZZ,12,FALSE)+SUM(_xlfn.XLOOKUP($S38:$AL38,增益!$A:$A,增益!$L:$L,0))</f>
        <v>0.29</v>
      </c>
      <c r="BG38">
        <f t="shared" si="19"/>
        <v>0</v>
      </c>
      <c r="BH38">
        <f t="shared" si="20"/>
        <v>0</v>
      </c>
      <c r="BI38" s="40" cm="1">
        <f t="array" ref="BI38">IF($F$13-$I$4+VLOOKUP($R38,武学奇术!$A:$ZZ,13,FALSE)+SUM(_xlfn.XLOOKUP($S38:$AL38,增益!$A:$A,增益!$M:$M,0))&gt;0,($F$13-$I$4+VLOOKUP($R38,武学奇术!$A:$ZZ,13,FALSE)+SUM(_xlfn.XLOOKUP($S38:$AL38,增益!$A:$A,增益!$K:$K,0)))/200,($F$13-$I$4+VLOOKUP($R38,武学奇术!$A:$ZZ,13,FALSE)+SUM(_xlfn.XLOOKUP($S38:$AL38,增益!$A:$A,增益!$M:$M,0)))/100)</f>
        <v>-0.3</v>
      </c>
      <c r="BJ38" s="40" cm="1">
        <f t="array" ref="BJ38">$G$13+VLOOKUP($R38,武学奇术!$A:$ZZ,14,FALSE)+SUM(_xlfn.XLOOKUP($S38:$AL38,增益!$A:$A,增益!$N:$N,0))</f>
        <v>0.02</v>
      </c>
      <c r="BK38">
        <f t="shared" si="21"/>
        <v>0</v>
      </c>
      <c r="BL38">
        <f t="shared" si="22"/>
        <v>0</v>
      </c>
      <c r="BM38" s="40" cm="1">
        <f t="array" ref="BM38">IF($F$14-$I$4+VLOOKUP($R38,武学奇术!$A:$ZZ,15,FALSE)+SUM(_xlfn.XLOOKUP($S38:$AL38,增益!$A:$A,增益!$O:$O,0))&gt;0,($F$14-$I$4+VLOOKUP($R38,武学奇术!$A:$ZZ,15,FALSE)+SUM(_xlfn.XLOOKUP($S38:$AL38,增益!$A:$A,增益!$O:$O,0)))/200,($F$14-$I$4+VLOOKUP($R38,武学奇术!$A:$ZZ,15,FALSE)+SUM(_xlfn.XLOOKUP($S38:$AL38,增益!$A:$A,增益!$O:$O,0)))/100)</f>
        <v>-0.3</v>
      </c>
      <c r="BN38" s="40" cm="1">
        <f t="array" ref="BN38">$G$14+VLOOKUP($R38,武学奇术!$A:$ZZ,16,FALSE)+SUM(_xlfn.XLOOKUP($S38:$AL38,增益!$A:$A,增益!$P:$P,0))</f>
        <v>0.02</v>
      </c>
      <c r="BO38" s="33">
        <f>MIN(IF(VLOOKUP($R38,武学奇术!$A:$ZZ,23,FALSE)=1,100%,$B$8),100%)</f>
        <v>0.9771</v>
      </c>
      <c r="BP38" s="33" cm="1">
        <f t="array" ref="BP38">IF(VLOOKUP($R38,武学奇术!$A:$ZZ,23,FALSE)=1,100%,MIN(80%,$B$9+VLOOKUP($R38,武学奇术!$A:$ZZ,17,FALSE)+SUM(_xlfn.XLOOKUP($S38:$AL38,增益!$A:$A,增益!$Q:$Q,0)))+$B$11+SUM(_xlfn.XLOOKUP($S38:$AL38,增益!$A:$A,增益!$U:$U,0)))*IF(VLOOKUP($R38,武学奇术!$A:$ZZ,24,FALSE)=1,0,1)</f>
        <v>0.8861</v>
      </c>
      <c r="BQ38" s="33" cm="1">
        <f t="array" ref="BQ38">1+$B$13+VLOOKUP($R38,武学奇术!$A:$ZZ,18,FALSE)+SUM(_xlfn.XLOOKUP($S38:$AL38,增益!$A:$A,增益!$R:$R,0))</f>
        <v>1.98</v>
      </c>
      <c r="BR38" s="33" cm="1">
        <f t="array" ref="BR38">IF(VLOOKUP($R38,武学奇术!$A:$ZZ,24,FALSE)=1,100%,MIN(40%,$B$10+VLOOKUP($R38,武学奇术!$A:$ZZ,19,FALSE)+SUM(_xlfn.XLOOKUP($S38:$AL38,增益!$A:$A,增益!$S:$S,0)))+$B$12+SUM(_xlfn.XLOOKUP($S38:$AL38,增益!$A:$A,增益!$V:$V,0)))*IF(VLOOKUP($R38,武学奇术!$A:$ZZ,23,FALSE)=1,0,1)</f>
        <v>0.0913</v>
      </c>
      <c r="BS38" s="33" cm="1">
        <f t="array" ref="BS38">1+$B$14+VLOOKUP($R38,武学奇术!$A:$ZZ,20,FALSE)+SUM(_xlfn.XLOOKUP($S38:$AL38,增益!$A:$A,增益!$T:$T,0))</f>
        <v>1.35</v>
      </c>
      <c r="BT38" s="33">
        <f t="shared" si="23"/>
        <v>0.86580831</v>
      </c>
      <c r="BU38" s="33">
        <f t="shared" si="24"/>
        <v>0.02208246</v>
      </c>
      <c r="BV38" s="33">
        <f>IF(VLOOKUP($R38,武学奇术!$A:$ZZ,22,FALSE)=1,0,(1-$BO38))*(1-$BR38)</f>
        <v>0.02080923</v>
      </c>
      <c r="BW38" s="33" cm="1">
        <f t="array" ref="BW38">SUM(_xlfn.XLOOKUP($S38:$AL38,增益!$A:$A,增益!$W:$W,0))+$I$5</f>
        <v>0.11</v>
      </c>
      <c r="BX38" s="33" cm="1">
        <f t="array" ref="BX38">VLOOKUP($R38,武学奇术!$A:$ZZ,32,FALSE)+SUM(_xlfn.XLOOKUP($S38:$AL38,增益!$A:$A,增益!$X:$X,0))</f>
        <v>0</v>
      </c>
    </row>
    <row r="39" spans="1:76">
      <c r="A39" s="4" t="s">
        <v>166</v>
      </c>
      <c r="B39" s="4">
        <v>0.1</v>
      </c>
      <c r="C39" s="4"/>
      <c r="L39" s="46">
        <f t="shared" si="14"/>
        <v>46960.0661629833</v>
      </c>
      <c r="M39" s="46">
        <f>((($AT39+$AU39)/2*$AN39+$AO39)*(1+$AV39)*(1+$AW39)+(($AY39+$AZ39)/2*IF($G$1="鸣金",$AP39,$AN39)+IF($G$1="鸣金",$AQ39*1.5,0))*(1+$BA39)*(1+$BB39)+(($BC39+$BD39)/2*IF($G$1="裂石",$AP39,$AN39)+IF($G$1="裂石",$AQ39*1.5,0))*(1+$BE39)*(1+$BF39)+(($BG39+$BH39)/2*IF($G$1="牵丝",$AP39,$AN39)+IF($G$1="牵丝",$AQ39*1.5,0))*(1+$BI39)*(1+$BJ39)+(($BK39+$BL39)/2*IF($G$1="破竹",$AP39,$AN39)+IF($G$1="破竹",$AQ39*1.5,0))*(1+$BM39)*(1+$BN39))*(1+$AR39)*$BQ39*$Q39*(1+IF(VLOOKUP($R39,武学奇术!$A:$ZZ,30,FALSE)="蓄力技",$B$21,0))*(1+IF(VLOOKUP($R39,武学奇术!$A:$ZZ,30,FALSE)="派生技",$B$20,0))*(1+$BW39)*(1+$BX39)</f>
        <v>49084.0171352836</v>
      </c>
      <c r="N39" s="46">
        <f>(($AU39*$AN39+$AO39)*(1+$AV39)*(1+$AW39)+($AZ39*IF($G$1="鸣金",$AP39,$AN39)+IF($G$1="鸣金",$AQ39*1.5,0))*(1+$BA39)*(1+$BB39)+($BD39*IF($G$1="裂石",$AP39,$AN39)+IF($G$1="裂石",$AQ39*1.5,0))*(1+$BE39)*(1+$BF39)+($BH39*IF($G$1="牵丝",$AP39,$AN39)+IF($G$1="牵丝",$AQ39*1.5,0))*(1+$BI39)*(1+$BJ39)+($BL39*IF($G$1="破竹",$AP39,$AN39)+IF($G$1="破竹",$AQ39*1.5,0))*(1+$BM39)*(1+$BN39))*(1+$AR39)*$BS39*$Q39*(1+IF(VLOOKUP($R39,武学奇术!$A:$ZZ,30,FALSE)="蓄力技",$B$21,0))*(1+IF(VLOOKUP($R39,武学奇术!$A:$ZZ,30,FALSE)="派生技",$B$20,0))*(1+$BW39)*(1+$BX39)</f>
        <v>37998.9142141202</v>
      </c>
      <c r="O39" s="46">
        <f>((($AT39+$AU39)/2*$AN39+$AO39)*(1+$AV39)*(1+$AW39)+(($AY39+$AZ39)/2*IF($G$1="鸣金",$AP39,$AN39)+IF($G$1="鸣金",$AQ39*1.5,0))*(1+$BA39)*(1+$BB39)+(($BC39+$BD39)/2*IF($G$1="裂石",$AP39,$AN39)+IF($G$1="裂石",$AQ39*1.5,0))*(1+$BE39)*(1+$BF39)+(($BG39+$BH39)/2*IF($G$1="牵丝",$AP39,$AN39)+IF($G$1="牵丝",$AQ39*1.5,0))*(1+$BI39)*(1+$BJ39)+(($BK39+$BL39)/2*IF($G$1="破竹",$AP39,$AN39)+IF($G$1="破竹",$AQ39*1.5,0))*(1+$BM39)*(1+$BN39))*(1+$AR39)*$Q39*(1+IF(VLOOKUP($R39,武学奇术!$A:$ZZ,30,FALSE)="蓄力技",$B$21,0))*(1+IF(VLOOKUP($R39,武学奇术!$A:$ZZ,30,FALSE)="派生技",$B$20,0))*(1+$BW39)*(1+$BX39)</f>
        <v>24789.9076440826</v>
      </c>
      <c r="P39" s="46">
        <f>((($AT39*$AN39+$AO39)*(1+$AV39)*(1+$AW39)+($AY39*IF($G$1="鸣金",$AP39,$AN39)+IF($G$1="鸣金",$AQ39*1.5,0))*(1+$BA39)*(1+$BB39)+($BC39*IF($G$1="裂石",$AP39,$AN39)+IF($G$1="裂石",$AQ39*1.5,0))*(1+$BE39)*(1+$BF39)+($BG39*IF($G$1="牵丝",$AP39,$AN39)+IF($G$1="牵丝",$AQ39*1.5,0))*(1+$BI39)*(1+$BJ39)+($BK39*IF($G$1="破竹",$AP39,$AN39)+IF($G$1="破竹",$AQ39*1.5,0))*(1+$BM39)*(1+$BN39))*(1+$AR39))*$Q39*(1+IF(VLOOKUP($R39,武学奇术!$A:$ZZ,30,FALSE)="蓄力技",$B$21,0))*(1+IF(VLOOKUP($R39,武学奇术!$A:$ZZ,30,FALSE)="派生技",$B$20,0))*(1+$BW39)*(1+$BX39)</f>
        <v>21432.471425854</v>
      </c>
      <c r="Q39" s="47">
        <f t="shared" si="25"/>
        <v>1</v>
      </c>
      <c r="R39" s="48" t="s">
        <v>122</v>
      </c>
      <c r="S39" s="48" t="s">
        <v>99</v>
      </c>
      <c r="T39" s="48" t="s">
        <v>178</v>
      </c>
      <c r="U39" s="48" t="s">
        <v>79</v>
      </c>
      <c r="V39" s="48" t="s">
        <v>90</v>
      </c>
      <c r="W39" s="48" t="s">
        <v>141</v>
      </c>
      <c r="X39" s="48" t="s">
        <v>80</v>
      </c>
      <c r="Y39" s="48" t="s">
        <v>74</v>
      </c>
      <c r="Z39" s="48" t="s">
        <v>80</v>
      </c>
      <c r="AA39" s="48" t="s">
        <v>80</v>
      </c>
      <c r="AB39" s="48" t="s">
        <v>80</v>
      </c>
      <c r="AC39" s="48" t="s">
        <v>80</v>
      </c>
      <c r="AD39" s="48" t="s">
        <v>80</v>
      </c>
      <c r="AE39" s="48" t="s">
        <v>82</v>
      </c>
      <c r="AF39" s="48" t="s">
        <v>83</v>
      </c>
      <c r="AG39" s="48" t="s">
        <v>84</v>
      </c>
      <c r="AH39" s="48" t="s">
        <v>80</v>
      </c>
      <c r="AI39" s="48" t="s">
        <v>80</v>
      </c>
      <c r="AJ39" s="48" t="s">
        <v>80</v>
      </c>
      <c r="AK39" s="48" t="s">
        <v>80</v>
      </c>
      <c r="AL39" s="48" t="s">
        <v>85</v>
      </c>
      <c r="AM39" t="str">
        <f>VLOOKUP($R39,武学奇术!$A:$ZZ,25,FALSE)</f>
        <v>横刀</v>
      </c>
      <c r="AN39" s="33">
        <f>VLOOKUP($R39,武学奇术!$A:$ZZ,26,FALSE)</f>
        <v>1.47</v>
      </c>
      <c r="AO39" s="34">
        <f>VLOOKUP($R39,武学奇术!$A:$ZZ,27,FALSE)*(1+IF(OR($AM39=$F$4,$AM39=$F$5),$B$22,0))</f>
        <v>0</v>
      </c>
      <c r="AP39" s="33">
        <f>VLOOKUP($R39,武学奇术!$A:$ZZ,28,FALSE)</f>
        <v>2.205</v>
      </c>
      <c r="AQ39" s="34">
        <f>VLOOKUP($R39,武学奇术!$A:$ZZ,29,FALSE)*(1+IF(OR($AM39=$F$4,$AM39=$F$5),$B$22,0))</f>
        <v>0</v>
      </c>
      <c r="AR39" s="33" cm="1">
        <f t="array" ref="AR39">$G$3+IFERROR(VLOOKUP($AM39,$F$4:$G$7,2,FALSE),0)+VLOOKUP($R39,武学奇术!$A:$ZZ,2,FALSE)+SUM(_xlfn.XLOOKUP($S39:$AL39,增益!$A:$A,增益!$B:$B,0))</f>
        <v>0.6089</v>
      </c>
      <c r="AS39" s="33" cm="1">
        <f t="array" ref="AS39">VLOOKUP($R39,武学奇术!$A:$ZZ,5,FALSE)+SUM(_xlfn.XLOOKUP($S39:$AL39,增益!$A:$A,增益!$E:$E,0))</f>
        <v>0</v>
      </c>
      <c r="AT39" cm="1">
        <f t="array" ref="AT39">$D$10*(1+$AS39)+VLOOKUP($R39,武学奇术!$A:$ZZ,3,FALSE)+SUM(_xlfn.XLOOKUP($S39:$AL39,增益!$A:$A,增益!$C:$C,0))-$I$2</f>
        <v>4094.7</v>
      </c>
      <c r="AU39" cm="1">
        <f t="array" ref="AU39">$E$10*(1+$AS39)+VLOOKUP($R39,武学奇术!$A:$ZZ,4,FALSE)+SUM(_xlfn.XLOOKUP($S39:$AL39,增益!$A:$A,增益!$D:$D,0))-$I$2</f>
        <v>4094.7</v>
      </c>
      <c r="AV39" s="40" cm="1">
        <f t="array" ref="AV39">IF($F$10-$I$3+VLOOKUP($R39,武学奇术!$A:$ZZ,6,FALSE)+SUM(_xlfn.XLOOKUP($S39:$AL39,增益!$A:$A,增益!$F:$F,0))&gt;0,($F$10-$I$3+VLOOKUP($R39,武学奇术!$A:$ZZ,6,FALSE)+SUM(_xlfn.XLOOKUP($S39:$AL39,增益!$A:$A,增益!$F:$F,0)))/200,($F$10-$I$3+VLOOKUP($R39,武学奇术!$A:$ZZ,6,FALSE)+SUM(_xlfn.XLOOKUP($S39:$AL39,增益!$A:$A,增益!$F:$F,0)))/100)</f>
        <v>0.4384</v>
      </c>
      <c r="AW39" s="40" cm="1">
        <f t="array" ref="AW39">$G$10+VLOOKUP($R39,武学奇术!$A:$ZZ,7,FALSE)+SUM(_xlfn.XLOOKUP($S39:$AL39,增益!$A:$A,增益!$G:$G,0))</f>
        <v>0.14</v>
      </c>
      <c r="AX39" s="33" cm="1">
        <f t="array" ref="AX39">VLOOKUP($R39,武学奇术!$A:$ZZ,8,FALSE)+SUM(_xlfn.XLOOKUP($S39:$AL39,增益!$A:$A,增益!$H:$H,0))</f>
        <v>0</v>
      </c>
      <c r="AY39">
        <f t="shared" si="15"/>
        <v>0</v>
      </c>
      <c r="AZ39">
        <f t="shared" si="16"/>
        <v>0</v>
      </c>
      <c r="BA39" s="40" cm="1">
        <f t="array" ref="BA39">IF($F$11-$I$4+VLOOKUP($R39,武学奇术!$A:$ZZ,9,FALSE)+SUM(_xlfn.XLOOKUP($S39:$AL39,增益!$A:$A,增益!$I:$I,0))&gt;0,($F$11-$I$4+VLOOKUP($R39,武学奇术!$A:$ZZ,9,FALSE)+SUM(_xlfn.XLOOKUP($S39:$AL39,增益!$A:$A,增益!$I:$I,0)))/200,($F$11-$I$4+VLOOKUP($R39,武学奇术!$A:$ZZ,9,FALSE)+SUM(_xlfn.XLOOKUP($S39:$AL39,增益!$A:$A,增益!$I:$I,0)))/100)</f>
        <v>-0.14</v>
      </c>
      <c r="BB39" s="40" cm="1">
        <f t="array" ref="BB39">$G$11+VLOOKUP($R39,武学奇术!$A:$ZZ,10,FALSE)+SUM(_xlfn.XLOOKUP($S39:$AL39,增益!$A:$A,增益!$J:$J,0))</f>
        <v>0.02</v>
      </c>
      <c r="BC39">
        <f t="shared" si="17"/>
        <v>640.3</v>
      </c>
      <c r="BD39">
        <f t="shared" si="18"/>
        <v>1770.1</v>
      </c>
      <c r="BE39" s="40" cm="1">
        <f t="array" ref="BE39">IF($F$12-$I$4+VLOOKUP($R39,武学奇术!$A:$ZZ,11,FALSE)+SUM(_xlfn.XLOOKUP($S39:$AL39,增益!$A:$A,增益!$K:$K,0))&gt;0,($F$12-$I$4+VLOOKUP($R39,武学奇术!$A:$ZZ,11,FALSE)+SUM(_xlfn.XLOOKUP($S39:$AL39,增益!$A:$A,增益!$K:$K,0)))/200,($F$12-$I$4+VLOOKUP($R39,武学奇术!$A:$ZZ,11,FALSE)+SUM(_xlfn.XLOOKUP($S39:$AL39,增益!$A:$A,增益!$K:$K,0)))/100)</f>
        <v>0.17</v>
      </c>
      <c r="BF39" s="40" cm="1">
        <f t="array" ref="BF39">$G$12+VLOOKUP($R39,武学奇术!$A:$ZZ,12,FALSE)+SUM(_xlfn.XLOOKUP($S39:$AL39,增益!$A:$A,增益!$L:$L,0))</f>
        <v>0.29</v>
      </c>
      <c r="BG39">
        <f t="shared" si="19"/>
        <v>0</v>
      </c>
      <c r="BH39">
        <f t="shared" si="20"/>
        <v>0</v>
      </c>
      <c r="BI39" s="40" cm="1">
        <f t="array" ref="BI39">IF($F$13-$I$4+VLOOKUP($R39,武学奇术!$A:$ZZ,13,FALSE)+SUM(_xlfn.XLOOKUP($S39:$AL39,增益!$A:$A,增益!$M:$M,0))&gt;0,($F$13-$I$4+VLOOKUP($R39,武学奇术!$A:$ZZ,13,FALSE)+SUM(_xlfn.XLOOKUP($S39:$AL39,增益!$A:$A,增益!$K:$K,0)))/200,($F$13-$I$4+VLOOKUP($R39,武学奇术!$A:$ZZ,13,FALSE)+SUM(_xlfn.XLOOKUP($S39:$AL39,增益!$A:$A,增益!$M:$M,0)))/100)</f>
        <v>-0.14</v>
      </c>
      <c r="BJ39" s="40" cm="1">
        <f t="array" ref="BJ39">$G$13+VLOOKUP($R39,武学奇术!$A:$ZZ,14,FALSE)+SUM(_xlfn.XLOOKUP($S39:$AL39,增益!$A:$A,增益!$N:$N,0))</f>
        <v>0.02</v>
      </c>
      <c r="BK39">
        <f t="shared" si="21"/>
        <v>0</v>
      </c>
      <c r="BL39">
        <f t="shared" si="22"/>
        <v>0</v>
      </c>
      <c r="BM39" s="40" cm="1">
        <f t="array" ref="BM39">IF($F$14-$I$4+VLOOKUP($R39,武学奇术!$A:$ZZ,15,FALSE)+SUM(_xlfn.XLOOKUP($S39:$AL39,增益!$A:$A,增益!$O:$O,0))&gt;0,($F$14-$I$4+VLOOKUP($R39,武学奇术!$A:$ZZ,15,FALSE)+SUM(_xlfn.XLOOKUP($S39:$AL39,增益!$A:$A,增益!$O:$O,0)))/200,($F$14-$I$4+VLOOKUP($R39,武学奇术!$A:$ZZ,15,FALSE)+SUM(_xlfn.XLOOKUP($S39:$AL39,增益!$A:$A,增益!$O:$O,0)))/100)</f>
        <v>-0.14</v>
      </c>
      <c r="BN39" s="40" cm="1">
        <f t="array" ref="BN39">$G$14+VLOOKUP($R39,武学奇术!$A:$ZZ,16,FALSE)+SUM(_xlfn.XLOOKUP($S39:$AL39,增益!$A:$A,增益!$P:$P,0))</f>
        <v>0.02</v>
      </c>
      <c r="BO39" s="33">
        <f>MIN(IF(VLOOKUP($R39,武学奇术!$A:$ZZ,23,FALSE)=1,100%,$B$8),100%)</f>
        <v>0.9771</v>
      </c>
      <c r="BP39" s="33" cm="1">
        <f t="array" ref="BP39">IF(VLOOKUP($R39,武学奇术!$A:$ZZ,23,FALSE)=1,100%,MIN(80%,$B$9+VLOOKUP($R39,武学奇术!$A:$ZZ,17,FALSE)+SUM(_xlfn.XLOOKUP($S39:$AL39,增益!$A:$A,增益!$Q:$Q,0)))+$B$11+SUM(_xlfn.XLOOKUP($S39:$AL39,增益!$A:$A,增益!$U:$U,0)))*IF(VLOOKUP($R39,武学奇术!$A:$ZZ,24,FALSE)=1,0,1)</f>
        <v>0.8861</v>
      </c>
      <c r="BQ39" s="33" cm="1">
        <f t="array" ref="BQ39">1+$B$13+VLOOKUP($R39,武学奇术!$A:$ZZ,18,FALSE)+SUM(_xlfn.XLOOKUP($S39:$AL39,增益!$A:$A,增益!$R:$R,0))</f>
        <v>1.98</v>
      </c>
      <c r="BR39" s="33" cm="1">
        <f t="array" ref="BR39">IF(VLOOKUP($R39,武学奇术!$A:$ZZ,24,FALSE)=1,100%,MIN(40%,$B$10+VLOOKUP($R39,武学奇术!$A:$ZZ,19,FALSE)+SUM(_xlfn.XLOOKUP($S39:$AL39,增益!$A:$A,增益!$S:$S,0)))+$B$12+SUM(_xlfn.XLOOKUP($S39:$AL39,增益!$A:$A,增益!$V:$V,0)))*IF(VLOOKUP($R39,武学奇术!$A:$ZZ,23,FALSE)=1,0,1)</f>
        <v>0.0913</v>
      </c>
      <c r="BS39" s="33" cm="1">
        <f t="array" ref="BS39">1+$B$14+VLOOKUP($R39,武学奇术!$A:$ZZ,20,FALSE)+SUM(_xlfn.XLOOKUP($S39:$AL39,增益!$A:$A,增益!$T:$T,0))</f>
        <v>1.35</v>
      </c>
      <c r="BT39" s="33">
        <f t="shared" si="23"/>
        <v>0.86580831</v>
      </c>
      <c r="BU39" s="33">
        <f t="shared" si="24"/>
        <v>0.02208246</v>
      </c>
      <c r="BV39" s="33">
        <f>IF(VLOOKUP($R39,武学奇术!$A:$ZZ,22,FALSE)=1,0,(1-$BO39))*(1-$BR39)</f>
        <v>0.02080923</v>
      </c>
      <c r="BW39" s="33" cm="1">
        <f t="array" ref="BW39">SUM(_xlfn.XLOOKUP($S39:$AL39,增益!$A:$A,增益!$W:$W,0))+$I$5</f>
        <v>0.11</v>
      </c>
      <c r="BX39" s="33" cm="1">
        <f t="array" ref="BX39">VLOOKUP($R39,武学奇术!$A:$ZZ,32,FALSE)+SUM(_xlfn.XLOOKUP($S39:$AL39,增益!$A:$A,增益!$X:$X,0))</f>
        <v>0</v>
      </c>
    </row>
    <row r="40" spans="1:76">
      <c r="A40" t="s">
        <v>180</v>
      </c>
      <c r="B40">
        <v>1</v>
      </c>
      <c r="H40" s="4"/>
      <c r="I40" s="4"/>
      <c r="L40" s="46">
        <f t="shared" si="14"/>
        <v>23430.6135338374</v>
      </c>
      <c r="M40" s="46">
        <f>((($AT40+$AU40)/2*$AN40+$AO40)*(1+$AV40)*(1+$AW40)+(($AY40+$AZ40)/2*IF($G$1="鸣金",$AP40,$AN40)+IF($G$1="鸣金",$AQ40*1.5,0))*(1+$BA40)*(1+$BB40)+(($BC40+$BD40)/2*IF($G$1="裂石",$AP40,$AN40)+IF($G$1="裂石",$AQ40*1.5,0))*(1+$BE40)*(1+$BF40)+(($BG40+$BH40)/2*IF($G$1="牵丝",$AP40,$AN40)+IF($G$1="牵丝",$AQ40*1.5,0))*(1+$BI40)*(1+$BJ40)+(($BK40+$BL40)/2*IF($G$1="破竹",$AP40,$AN40)+IF($G$1="破竹",$AQ40*1.5,0))*(1+$BM40)*(1+$BN40))*(1+$AR40)*$BQ40*$Q40*(1+IF(VLOOKUP($R40,武学奇术!$A:$ZZ,30,FALSE)="蓄力技",$B$21,0))*(1+IF(VLOOKUP($R40,武学奇术!$A:$ZZ,30,FALSE)="派生技",$B$20,0))*(1+$BW40)*(1+$BX40)</f>
        <v>24502.0547492331</v>
      </c>
      <c r="N40" s="46">
        <f>(($AU40*$AN40+$AO40)*(1+$AV40)*(1+$AW40)+($AZ40*IF($G$1="鸣金",$AP40,$AN40)+IF($G$1="鸣金",$AQ40*1.5,0))*(1+$BA40)*(1+$BB40)+($BD40*IF($G$1="裂石",$AP40,$AN40)+IF($G$1="裂石",$AQ40*1.5,0))*(1+$BE40)*(1+$BF40)+($BH40*IF($G$1="牵丝",$AP40,$AN40)+IF($G$1="牵丝",$AQ40*1.5,0))*(1+$BI40)*(1+$BJ40)+($BL40*IF($G$1="破竹",$AP40,$AN40)+IF($G$1="破竹",$AQ40*1.5,0))*(1+$BM40)*(1+$BN40))*(1+$AR40)*$BS40*$Q40*(1+IF(VLOOKUP($R40,武学奇术!$A:$ZZ,30,FALSE)="蓄力技",$B$21,0))*(1+IF(VLOOKUP($R40,武学奇术!$A:$ZZ,30,FALSE)="派生技",$B$20,0))*(1+$BW40)*(1+$BX40)</f>
        <v>18873.2072050448</v>
      </c>
      <c r="O40" s="46">
        <f>((($AT40+$AU40)/2*$AN40+$AO40)*(1+$AV40)*(1+$AW40)+(($AY40+$AZ40)/2*IF($G$1="鸣金",$AP40,$AN40)+IF($G$1="鸣金",$AQ40*1.5,0))*(1+$BA40)*(1+$BB40)+(($BC40+$BD40)/2*IF($G$1="裂石",$AP40,$AN40)+IF($G$1="裂石",$AQ40*1.5,0))*(1+$BE40)*(1+$BF40)+(($BG40+$BH40)/2*IF($G$1="牵丝",$AP40,$AN40)+IF($G$1="牵丝",$AQ40*1.5,0))*(1+$BI40)*(1+$BJ40)+(($BK40+$BL40)/2*IF($G$1="破竹",$AP40,$AN40)+IF($G$1="破竹",$AQ40*1.5,0))*(1+$BM40)*(1+$BN40))*(1+$AR40)*$Q40*(1+IF(VLOOKUP($R40,武学奇术!$A:$ZZ,30,FALSE)="蓄力技",$B$21,0))*(1+IF(VLOOKUP($R40,武学奇术!$A:$ZZ,30,FALSE)="派生技",$B$20,0))*(1+$BW40)*(1+$BX40)</f>
        <v>12312.5903262478</v>
      </c>
      <c r="P40" s="46">
        <f>((($AT40*$AN40+$AO40)*(1+$AV40)*(1+$AW40)+($AY40*IF($G$1="鸣金",$AP40,$AN40)+IF($G$1="鸣金",$AQ40*1.5,0))*(1+$BA40)*(1+$BB40)+($BC40*IF($G$1="裂石",$AP40,$AN40)+IF($G$1="裂石",$AQ40*1.5,0))*(1+$BE40)*(1+$BF40)+($BG40*IF($G$1="牵丝",$AP40,$AN40)+IF($G$1="牵丝",$AQ40*1.5,0))*(1+$BI40)*(1+$BJ40)+($BK40*IF($G$1="破竹",$AP40,$AN40)+IF($G$1="破竹",$AQ40*1.5,0))*(1+$BM40)*(1+$BN40))*(1+$AR40))*$Q40*(1+IF(VLOOKUP($R40,武学奇术!$A:$ZZ,30,FALSE)="蓄力技",$B$21,0))*(1+IF(VLOOKUP($R40,武学奇术!$A:$ZZ,30,FALSE)="派生技",$B$20,0))*(1+$BW40)*(1+$BX40)</f>
        <v>10645.0271672772</v>
      </c>
      <c r="Q40" s="47">
        <f t="shared" si="25"/>
        <v>1</v>
      </c>
      <c r="R40" s="48" t="s">
        <v>140</v>
      </c>
      <c r="S40" s="48" t="s">
        <v>99</v>
      </c>
      <c r="T40" s="48" t="s">
        <v>181</v>
      </c>
      <c r="U40" s="48" t="s">
        <v>79</v>
      </c>
      <c r="V40" s="48" t="s">
        <v>90</v>
      </c>
      <c r="W40" s="48" t="s">
        <v>141</v>
      </c>
      <c r="X40" s="48" t="s">
        <v>80</v>
      </c>
      <c r="Y40" s="48" t="s">
        <v>74</v>
      </c>
      <c r="Z40" s="48" t="s">
        <v>80</v>
      </c>
      <c r="AA40" s="48" t="s">
        <v>80</v>
      </c>
      <c r="AB40" s="48" t="s">
        <v>80</v>
      </c>
      <c r="AC40" s="48" t="s">
        <v>80</v>
      </c>
      <c r="AD40" s="48" t="s">
        <v>80</v>
      </c>
      <c r="AE40" s="48" t="s">
        <v>82</v>
      </c>
      <c r="AF40" s="48" t="s">
        <v>83</v>
      </c>
      <c r="AG40" s="48" t="s">
        <v>84</v>
      </c>
      <c r="AH40" s="48" t="s">
        <v>80</v>
      </c>
      <c r="AI40" s="48" t="s">
        <v>80</v>
      </c>
      <c r="AJ40" s="48" t="s">
        <v>80</v>
      </c>
      <c r="AK40" s="48" t="s">
        <v>80</v>
      </c>
      <c r="AL40" s="48" t="s">
        <v>85</v>
      </c>
      <c r="AM40" t="str">
        <f>VLOOKUP($R40,武学奇术!$A:$ZZ,25,FALSE)</f>
        <v>陌刀</v>
      </c>
      <c r="AN40" s="33">
        <f>VLOOKUP($R40,武学奇术!$A:$ZZ,26,FALSE)</f>
        <v>0.525</v>
      </c>
      <c r="AO40" s="34">
        <f>VLOOKUP($R40,武学奇术!$A:$ZZ,27,FALSE)*(1+IF(OR($AM40=$F$4,$AM40=$F$5),$B$22,0))</f>
        <v>0</v>
      </c>
      <c r="AP40" s="33">
        <f>VLOOKUP($R40,武学奇术!$A:$ZZ,28,FALSE)</f>
        <v>0.7875</v>
      </c>
      <c r="AQ40" s="34">
        <f>VLOOKUP($R40,武学奇术!$A:$ZZ,29,FALSE)*(1+IF(OR($AM40=$F$4,$AM40=$F$5),$B$22,0))</f>
        <v>0</v>
      </c>
      <c r="AR40" s="33" cm="1">
        <f t="array" ref="AR40">$G$3+IFERROR(VLOOKUP($AM40,$F$4:$G$7,2,FALSE),0)+VLOOKUP($R40,武学奇术!$A:$ZZ,2,FALSE)+SUM(_xlfn.XLOOKUP($S40:$AL40,增益!$A:$A,增益!$B:$B,0))</f>
        <v>0.6943</v>
      </c>
      <c r="AS40" s="33" cm="1">
        <f t="array" ref="AS40">VLOOKUP($R40,武学奇术!$A:$ZZ,5,FALSE)+SUM(_xlfn.XLOOKUP($S40:$AL40,增益!$A:$A,增益!$E:$E,0))</f>
        <v>0</v>
      </c>
      <c r="AT40" cm="1">
        <f t="array" ref="AT40">$D$10*(1+$AS40)+VLOOKUP($R40,武学奇术!$A:$ZZ,3,FALSE)+SUM(_xlfn.XLOOKUP($S40:$AL40,增益!$A:$A,增益!$C:$C,0))-$I$2</f>
        <v>4094.7</v>
      </c>
      <c r="AU40" cm="1">
        <f t="array" ref="AU40">$E$10*(1+$AS40)+VLOOKUP($R40,武学奇术!$A:$ZZ,4,FALSE)+SUM(_xlfn.XLOOKUP($S40:$AL40,增益!$A:$A,增益!$D:$D,0))-$I$2</f>
        <v>4094.7</v>
      </c>
      <c r="AV40" s="40" cm="1">
        <f t="array" ref="AV40">IF($F$10-$I$3+VLOOKUP($R40,武学奇术!$A:$ZZ,6,FALSE)+SUM(_xlfn.XLOOKUP($S40:$AL40,增益!$A:$A,增益!$F:$F,0))&gt;0,($F$10-$I$3+VLOOKUP($R40,武学奇术!$A:$ZZ,6,FALSE)+SUM(_xlfn.XLOOKUP($S40:$AL40,增益!$A:$A,增益!$F:$F,0)))/200,($F$10-$I$3+VLOOKUP($R40,武学奇术!$A:$ZZ,6,FALSE)+SUM(_xlfn.XLOOKUP($S40:$AL40,增益!$A:$A,增益!$F:$F,0)))/100)</f>
        <v>0.4384</v>
      </c>
      <c r="AW40" s="40" cm="1">
        <f t="array" ref="AW40">$G$10+VLOOKUP($R40,武学奇术!$A:$ZZ,7,FALSE)+SUM(_xlfn.XLOOKUP($S40:$AL40,增益!$A:$A,增益!$G:$G,0))</f>
        <v>0.14</v>
      </c>
      <c r="AX40" s="33" cm="1">
        <f t="array" ref="AX40">VLOOKUP($R40,武学奇术!$A:$ZZ,8,FALSE)+SUM(_xlfn.XLOOKUP($S40:$AL40,增益!$A:$A,增益!$H:$H,0))</f>
        <v>0</v>
      </c>
      <c r="AY40">
        <f t="shared" si="15"/>
        <v>0</v>
      </c>
      <c r="AZ40">
        <f t="shared" si="16"/>
        <v>0</v>
      </c>
      <c r="BA40" s="40" cm="1">
        <f t="array" ref="BA40">IF($F$11-$I$4+VLOOKUP($R40,武学奇术!$A:$ZZ,9,FALSE)+SUM(_xlfn.XLOOKUP($S40:$AL40,增益!$A:$A,增益!$I:$I,0))&gt;0,($F$11-$I$4+VLOOKUP($R40,武学奇术!$A:$ZZ,9,FALSE)+SUM(_xlfn.XLOOKUP($S40:$AL40,增益!$A:$A,增益!$I:$I,0)))/200,($F$11-$I$4+VLOOKUP($R40,武学奇术!$A:$ZZ,9,FALSE)+SUM(_xlfn.XLOOKUP($S40:$AL40,增益!$A:$A,增益!$I:$I,0)))/100)</f>
        <v>-0.14</v>
      </c>
      <c r="BB40" s="40" cm="1">
        <f t="array" ref="BB40">$G$11+VLOOKUP($R40,武学奇术!$A:$ZZ,10,FALSE)+SUM(_xlfn.XLOOKUP($S40:$AL40,增益!$A:$A,增益!$J:$J,0))</f>
        <v>0.02</v>
      </c>
      <c r="BC40">
        <f t="shared" si="17"/>
        <v>640.3</v>
      </c>
      <c r="BD40">
        <f t="shared" si="18"/>
        <v>1770.1</v>
      </c>
      <c r="BE40" s="40" cm="1">
        <f t="array" ref="BE40">IF($F$12-$I$4+VLOOKUP($R40,武学奇术!$A:$ZZ,11,FALSE)+SUM(_xlfn.XLOOKUP($S40:$AL40,增益!$A:$A,增益!$K:$K,0))&gt;0,($F$12-$I$4+VLOOKUP($R40,武学奇术!$A:$ZZ,11,FALSE)+SUM(_xlfn.XLOOKUP($S40:$AL40,增益!$A:$A,增益!$K:$K,0)))/200,($F$12-$I$4+VLOOKUP($R40,武学奇术!$A:$ZZ,11,FALSE)+SUM(_xlfn.XLOOKUP($S40:$AL40,增益!$A:$A,增益!$K:$K,0)))/100)</f>
        <v>0.17</v>
      </c>
      <c r="BF40" s="40" cm="1">
        <f t="array" ref="BF40">$G$12+VLOOKUP($R40,武学奇术!$A:$ZZ,12,FALSE)+SUM(_xlfn.XLOOKUP($S40:$AL40,增益!$A:$A,增益!$L:$L,0))</f>
        <v>0.29</v>
      </c>
      <c r="BG40">
        <f t="shared" si="19"/>
        <v>0</v>
      </c>
      <c r="BH40">
        <f t="shared" si="20"/>
        <v>0</v>
      </c>
      <c r="BI40" s="40" cm="1">
        <f t="array" ref="BI40">IF($F$13-$I$4+VLOOKUP($R40,武学奇术!$A:$ZZ,13,FALSE)+SUM(_xlfn.XLOOKUP($S40:$AL40,增益!$A:$A,增益!$M:$M,0))&gt;0,($F$13-$I$4+VLOOKUP($R40,武学奇术!$A:$ZZ,13,FALSE)+SUM(_xlfn.XLOOKUP($S40:$AL40,增益!$A:$A,增益!$K:$K,0)))/200,($F$13-$I$4+VLOOKUP($R40,武学奇术!$A:$ZZ,13,FALSE)+SUM(_xlfn.XLOOKUP($S40:$AL40,增益!$A:$A,增益!$M:$M,0)))/100)</f>
        <v>-0.14</v>
      </c>
      <c r="BJ40" s="40" cm="1">
        <f t="array" ref="BJ40">$G$13+VLOOKUP($R40,武学奇术!$A:$ZZ,14,FALSE)+SUM(_xlfn.XLOOKUP($S40:$AL40,增益!$A:$A,增益!$N:$N,0))</f>
        <v>0.02</v>
      </c>
      <c r="BK40">
        <f t="shared" si="21"/>
        <v>0</v>
      </c>
      <c r="BL40">
        <f t="shared" si="22"/>
        <v>0</v>
      </c>
      <c r="BM40" s="40" cm="1">
        <f t="array" ref="BM40">IF($F$14-$I$4+VLOOKUP($R40,武学奇术!$A:$ZZ,15,FALSE)+SUM(_xlfn.XLOOKUP($S40:$AL40,增益!$A:$A,增益!$O:$O,0))&gt;0,($F$14-$I$4+VLOOKUP($R40,武学奇术!$A:$ZZ,15,FALSE)+SUM(_xlfn.XLOOKUP($S40:$AL40,增益!$A:$A,增益!$O:$O,0)))/200,($F$14-$I$4+VLOOKUP($R40,武学奇术!$A:$ZZ,15,FALSE)+SUM(_xlfn.XLOOKUP($S40:$AL40,增益!$A:$A,增益!$O:$O,0)))/100)</f>
        <v>-0.14</v>
      </c>
      <c r="BN40" s="40" cm="1">
        <f t="array" ref="BN40">$G$14+VLOOKUP($R40,武学奇术!$A:$ZZ,16,FALSE)+SUM(_xlfn.XLOOKUP($S40:$AL40,增益!$A:$A,增益!$P:$P,0))</f>
        <v>0.02</v>
      </c>
      <c r="BO40" s="33">
        <f>MIN(IF(VLOOKUP($R40,武学奇术!$A:$ZZ,23,FALSE)=1,100%,$B$8),100%)</f>
        <v>0.9771</v>
      </c>
      <c r="BP40" s="33" cm="1">
        <f t="array" ref="BP40">IF(VLOOKUP($R40,武学奇术!$A:$ZZ,23,FALSE)=1,100%,MIN(80%,$B$9+VLOOKUP($R40,武学奇术!$A:$ZZ,17,FALSE)+SUM(_xlfn.XLOOKUP($S40:$AL40,增益!$A:$A,增益!$Q:$Q,0)))+$B$11+SUM(_xlfn.XLOOKUP($S40:$AL40,增益!$A:$A,增益!$U:$U,0)))*IF(VLOOKUP($R40,武学奇术!$A:$ZZ,24,FALSE)=1,0,1)</f>
        <v>0.8861</v>
      </c>
      <c r="BQ40" s="33" cm="1">
        <f t="array" ref="BQ40">1+$B$13+VLOOKUP($R40,武学奇术!$A:$ZZ,18,FALSE)+SUM(_xlfn.XLOOKUP($S40:$AL40,增益!$A:$A,增益!$R:$R,0))</f>
        <v>1.99</v>
      </c>
      <c r="BR40" s="33" cm="1">
        <f t="array" ref="BR40">IF(VLOOKUP($R40,武学奇术!$A:$ZZ,24,FALSE)=1,100%,MIN(40%,$B$10+VLOOKUP($R40,武学奇术!$A:$ZZ,19,FALSE)+SUM(_xlfn.XLOOKUP($S40:$AL40,增益!$A:$A,增益!$S:$S,0)))+$B$12+SUM(_xlfn.XLOOKUP($S40:$AL40,增益!$A:$A,增益!$V:$V,0)))*IF(VLOOKUP($R40,武学奇术!$A:$ZZ,23,FALSE)=1,0,1)</f>
        <v>0.0913</v>
      </c>
      <c r="BS40" s="33" cm="1">
        <f t="array" ref="BS40">1+$B$14+VLOOKUP($R40,武学奇术!$A:$ZZ,20,FALSE)+SUM(_xlfn.XLOOKUP($S40:$AL40,增益!$A:$A,增益!$T:$T,0))</f>
        <v>1.35</v>
      </c>
      <c r="BT40" s="33">
        <f t="shared" si="23"/>
        <v>0.86580831</v>
      </c>
      <c r="BU40" s="33">
        <f t="shared" si="24"/>
        <v>0.02208246</v>
      </c>
      <c r="BV40" s="33">
        <f>IF(VLOOKUP($R40,武学奇术!$A:$ZZ,22,FALSE)=1,0,(1-$BO40))*(1-$BR40)</f>
        <v>0.02080923</v>
      </c>
      <c r="BW40" s="33" cm="1">
        <f t="array" ref="BW40">SUM(_xlfn.XLOOKUP($S40:$AL40,增益!$A:$A,增益!$W:$W,0))+$I$5</f>
        <v>0.11</v>
      </c>
      <c r="BX40" s="33" cm="1">
        <f t="array" ref="BX40">VLOOKUP($R40,武学奇术!$A:$ZZ,32,FALSE)+SUM(_xlfn.XLOOKUP($S40:$AL40,增益!$A:$A,增益!$X:$X,0))</f>
        <v>0</v>
      </c>
    </row>
    <row r="41" spans="1:76">
      <c r="A41" t="s">
        <v>116</v>
      </c>
      <c r="B41">
        <v>2.3</v>
      </c>
      <c r="H41" s="4"/>
      <c r="I41" s="4"/>
      <c r="L41" s="46">
        <f t="shared" si="14"/>
        <v>46319.9648073441</v>
      </c>
      <c r="M41" s="46">
        <f>((($AT41+$AU41)/2*$AN41+$AO41)*(1+$AV41)*(1+$AW41)+(($AY41+$AZ41)/2*IF($G$1="鸣金",$AP41,$AN41)+IF($G$1="鸣金",$AQ41*1.5,0))*(1+$BA41)*(1+$BB41)+(($BC41+$BD41)/2*IF($G$1="裂石",$AP41,$AN41)+IF($G$1="裂石",$AQ41*1.5,0))*(1+$BE41)*(1+$BF41)+(($BG41+$BH41)/2*IF($G$1="牵丝",$AP41,$AN41)+IF($G$1="牵丝",$AQ41*1.5,0))*(1+$BI41)*(1+$BJ41)+(($BK41+$BL41)/2*IF($G$1="破竹",$AP41,$AN41)+IF($G$1="破竹",$AQ41*1.5,0))*(1+$BM41)*(1+$BN41))*(1+$AR41)*$BQ41*$Q41*(1+IF(VLOOKUP($R41,武学奇术!$A:$ZZ,30,FALSE)="蓄力技",$B$21,0))*(1+IF(VLOOKUP($R41,武学奇术!$A:$ZZ,30,FALSE)="派生技",$B$20,0))*(1+$BW41)*(1+$BX41)</f>
        <v>46319.9648073441</v>
      </c>
      <c r="N41" s="46">
        <f>(($AU41*$AN41+$AO41)*(1+$AV41)*(1+$AW41)+($AZ41*IF($G$1="鸣金",$AP41,$AN41)+IF($G$1="鸣金",$AQ41*1.5,0))*(1+$BA41)*(1+$BB41)+($BD41*IF($G$1="裂石",$AP41,$AN41)+IF($G$1="裂石",$AQ41*1.5,0))*(1+$BE41)*(1+$BF41)+($BH41*IF($G$1="牵丝",$AP41,$AN41)+IF($G$1="牵丝",$AQ41*1.5,0))*(1+$BI41)*(1+$BJ41)+($BL41*IF($G$1="破竹",$AP41,$AN41)+IF($G$1="破竹",$AQ41*1.5,0))*(1+$BM41)*(1+$BN41))*(1+$AR41)*$BS41*$Q41*(1+IF(VLOOKUP($R41,武学奇术!$A:$ZZ,30,FALSE)="蓄力技",$B$21,0))*(1+IF(VLOOKUP($R41,武学奇术!$A:$ZZ,30,FALSE)="派生技",$B$20,0))*(1+$BW41)*(1+$BX41)</f>
        <v>33971.7729690806</v>
      </c>
      <c r="O41" s="46">
        <f>((($AT41+$AU41)/2*$AN41+$AO41)*(1+$AV41)*(1+$AW41)+(($AY41+$AZ41)/2*IF($G$1="鸣金",$AP41,$AN41)+IF($G$1="鸣金",$AQ41*1.5,0))*(1+$BA41)*(1+$BB41)+(($BC41+$BD41)/2*IF($G$1="裂石",$AP41,$AN41)+IF($G$1="裂石",$AQ41*1.5,0))*(1+$BE41)*(1+$BF41)+(($BG41+$BH41)/2*IF($G$1="牵丝",$AP41,$AN41)+IF($G$1="牵丝",$AQ41*1.5,0))*(1+$BI41)*(1+$BJ41)+(($BK41+$BL41)/2*IF($G$1="破竹",$AP41,$AN41)+IF($G$1="破竹",$AQ41*1.5,0))*(1+$BM41)*(1+$BN41))*(1+$AR41)*$Q41*(1+IF(VLOOKUP($R41,武学奇术!$A:$ZZ,30,FALSE)="蓄力技",$B$21,0))*(1+IF(VLOOKUP($R41,武学奇术!$A:$ZZ,30,FALSE)="派生技",$B$20,0))*(1+$BW41)*(1+$BX41)</f>
        <v>22162.662587246</v>
      </c>
      <c r="P41" s="46">
        <f>((($AT41*$AN41+$AO41)*(1+$AV41)*(1+$AW41)+($AY41*IF($G$1="鸣金",$AP41,$AN41)+IF($G$1="鸣金",$AQ41*1.5,0))*(1+$BA41)*(1+$BB41)+($BC41*IF($G$1="裂石",$AP41,$AN41)+IF($G$1="裂石",$AQ41*1.5,0))*(1+$BE41)*(1+$BF41)+($BG41*IF($G$1="牵丝",$AP41,$AN41)+IF($G$1="牵丝",$AQ41*1.5,0))*(1+$BI41)*(1+$BJ41)+($BK41*IF($G$1="破竹",$AP41,$AN41)+IF($G$1="破竹",$AQ41*1.5,0))*(1+$BM41)*(1+$BN41))*(1+$AR41))*$Q41*(1+IF(VLOOKUP($R41,武学奇术!$A:$ZZ,30,FALSE)="蓄力技",$B$21,0))*(1+IF(VLOOKUP($R41,武学奇术!$A:$ZZ,30,FALSE)="派生技",$B$20,0))*(1+$BW41)*(1+$BX41)</f>
        <v>19161.0489010989</v>
      </c>
      <c r="Q41" s="47">
        <f t="shared" si="25"/>
        <v>1</v>
      </c>
      <c r="R41" s="48" t="s">
        <v>144</v>
      </c>
      <c r="S41" s="48" t="s">
        <v>99</v>
      </c>
      <c r="T41" s="48" t="s">
        <v>181</v>
      </c>
      <c r="U41" s="48" t="s">
        <v>79</v>
      </c>
      <c r="V41" s="48" t="s">
        <v>90</v>
      </c>
      <c r="W41" s="48" t="s">
        <v>141</v>
      </c>
      <c r="X41" s="48" t="s">
        <v>145</v>
      </c>
      <c r="Y41" s="48" t="s">
        <v>74</v>
      </c>
      <c r="Z41" s="48" t="s">
        <v>80</v>
      </c>
      <c r="AA41" s="48" t="s">
        <v>80</v>
      </c>
      <c r="AB41" s="48" t="s">
        <v>80</v>
      </c>
      <c r="AC41" s="48" t="s">
        <v>80</v>
      </c>
      <c r="AD41" s="48" t="s">
        <v>80</v>
      </c>
      <c r="AE41" s="48" t="s">
        <v>82</v>
      </c>
      <c r="AF41" s="48" t="s">
        <v>83</v>
      </c>
      <c r="AG41" s="48" t="s">
        <v>84</v>
      </c>
      <c r="AH41" s="48" t="s">
        <v>80</v>
      </c>
      <c r="AI41" s="48" t="s">
        <v>80</v>
      </c>
      <c r="AJ41" s="48" t="s">
        <v>80</v>
      </c>
      <c r="AK41" s="48" t="s">
        <v>80</v>
      </c>
      <c r="AL41" s="48" t="s">
        <v>85</v>
      </c>
      <c r="AM41" t="str">
        <f>VLOOKUP($R41,武学奇术!$A:$ZZ,25,FALSE)</f>
        <v>陌刀</v>
      </c>
      <c r="AN41" s="33">
        <f>VLOOKUP($R41,武学奇术!$A:$ZZ,26,FALSE)</f>
        <v>0.945</v>
      </c>
      <c r="AO41" s="34">
        <f>VLOOKUP($R41,武学奇术!$A:$ZZ,27,FALSE)*(1+IF(OR($AM41=$F$4,$AM41=$F$5),$B$22,0))</f>
        <v>0</v>
      </c>
      <c r="AP41" s="33">
        <f>VLOOKUP($R41,武学奇术!$A:$ZZ,28,FALSE)</f>
        <v>1.4175</v>
      </c>
      <c r="AQ41" s="34">
        <f>VLOOKUP($R41,武学奇术!$A:$ZZ,29,FALSE)*(1+IF(OR($AM41=$F$4,$AM41=$F$5),$B$22,0))</f>
        <v>0</v>
      </c>
      <c r="AR41" s="33" cm="1">
        <f t="array" ref="AR41">$G$3+IFERROR(VLOOKUP($AM41,$F$4:$G$7,2,FALSE),0)+VLOOKUP($R41,武学奇术!$A:$ZZ,2,FALSE)+SUM(_xlfn.XLOOKUP($S41:$AL41,增益!$A:$A,增益!$B:$B,0))</f>
        <v>0.6943</v>
      </c>
      <c r="AS41" s="33" cm="1">
        <f t="array" ref="AS41">VLOOKUP($R41,武学奇术!$A:$ZZ,5,FALSE)+SUM(_xlfn.XLOOKUP($S41:$AL41,增益!$A:$A,增益!$E:$E,0))</f>
        <v>0</v>
      </c>
      <c r="AT41" cm="1">
        <f t="array" ref="AT41">$D$10*(1+$AS41)+VLOOKUP($R41,武学奇术!$A:$ZZ,3,FALSE)+SUM(_xlfn.XLOOKUP($S41:$AL41,增益!$A:$A,增益!$C:$C,0))-$I$2</f>
        <v>4094.7</v>
      </c>
      <c r="AU41" cm="1">
        <f t="array" ref="AU41">$E$10*(1+$AS41)+VLOOKUP($R41,武学奇术!$A:$ZZ,4,FALSE)+SUM(_xlfn.XLOOKUP($S41:$AL41,增益!$A:$A,增益!$D:$D,0))-$I$2</f>
        <v>4094.7</v>
      </c>
      <c r="AV41" s="40" cm="1">
        <f t="array" ref="AV41">IF($F$10-$I$3+VLOOKUP($R41,武学奇术!$A:$ZZ,6,FALSE)+SUM(_xlfn.XLOOKUP($S41:$AL41,增益!$A:$A,增益!$F:$F,0))&gt;0,($F$10-$I$3+VLOOKUP($R41,武学奇术!$A:$ZZ,6,FALSE)+SUM(_xlfn.XLOOKUP($S41:$AL41,增益!$A:$A,增益!$F:$F,0)))/200,($F$10-$I$3+VLOOKUP($R41,武学奇术!$A:$ZZ,6,FALSE)+SUM(_xlfn.XLOOKUP($S41:$AL41,增益!$A:$A,增益!$F:$F,0)))/100)</f>
        <v>0.4384</v>
      </c>
      <c r="AW41" s="40" cm="1">
        <f t="array" ref="AW41">$G$10+VLOOKUP($R41,武学奇术!$A:$ZZ,7,FALSE)+SUM(_xlfn.XLOOKUP($S41:$AL41,增益!$A:$A,增益!$G:$G,0))</f>
        <v>0.14</v>
      </c>
      <c r="AX41" s="33" cm="1">
        <f t="array" ref="AX41">VLOOKUP($R41,武学奇术!$A:$ZZ,8,FALSE)+SUM(_xlfn.XLOOKUP($S41:$AL41,增益!$A:$A,增益!$H:$H,0))</f>
        <v>0</v>
      </c>
      <c r="AY41">
        <f t="shared" si="15"/>
        <v>0</v>
      </c>
      <c r="AZ41">
        <f t="shared" si="16"/>
        <v>0</v>
      </c>
      <c r="BA41" s="40" cm="1">
        <f t="array" ref="BA41">IF($F$11-$I$4+VLOOKUP($R41,武学奇术!$A:$ZZ,9,FALSE)+SUM(_xlfn.XLOOKUP($S41:$AL41,增益!$A:$A,增益!$I:$I,0))&gt;0,($F$11-$I$4+VLOOKUP($R41,武学奇术!$A:$ZZ,9,FALSE)+SUM(_xlfn.XLOOKUP($S41:$AL41,增益!$A:$A,增益!$I:$I,0)))/200,($F$11-$I$4+VLOOKUP($R41,武学奇术!$A:$ZZ,9,FALSE)+SUM(_xlfn.XLOOKUP($S41:$AL41,增益!$A:$A,增益!$I:$I,0)))/100)</f>
        <v>-0.14</v>
      </c>
      <c r="BB41" s="40" cm="1">
        <f t="array" ref="BB41">$G$11+VLOOKUP($R41,武学奇术!$A:$ZZ,10,FALSE)+SUM(_xlfn.XLOOKUP($S41:$AL41,增益!$A:$A,增益!$J:$J,0))</f>
        <v>0.02</v>
      </c>
      <c r="BC41">
        <f t="shared" si="17"/>
        <v>640.3</v>
      </c>
      <c r="BD41">
        <f t="shared" si="18"/>
        <v>1770.1</v>
      </c>
      <c r="BE41" s="40" cm="1">
        <f t="array" ref="BE41">IF($F$12-$I$4+VLOOKUP($R41,武学奇术!$A:$ZZ,11,FALSE)+SUM(_xlfn.XLOOKUP($S41:$AL41,增益!$A:$A,增益!$K:$K,0))&gt;0,($F$12-$I$4+VLOOKUP($R41,武学奇术!$A:$ZZ,11,FALSE)+SUM(_xlfn.XLOOKUP($S41:$AL41,增益!$A:$A,增益!$K:$K,0)))/200,($F$12-$I$4+VLOOKUP($R41,武学奇术!$A:$ZZ,11,FALSE)+SUM(_xlfn.XLOOKUP($S41:$AL41,增益!$A:$A,增益!$K:$K,0)))/100)</f>
        <v>0.17</v>
      </c>
      <c r="BF41" s="40" cm="1">
        <f t="array" ref="BF41">$G$12+VLOOKUP($R41,武学奇术!$A:$ZZ,12,FALSE)+SUM(_xlfn.XLOOKUP($S41:$AL41,增益!$A:$A,增益!$L:$L,0))</f>
        <v>0.29</v>
      </c>
      <c r="BG41">
        <f t="shared" si="19"/>
        <v>0</v>
      </c>
      <c r="BH41">
        <f t="shared" si="20"/>
        <v>0</v>
      </c>
      <c r="BI41" s="40" cm="1">
        <f t="array" ref="BI41">IF($F$13-$I$4+VLOOKUP($R41,武学奇术!$A:$ZZ,13,FALSE)+SUM(_xlfn.XLOOKUP($S41:$AL41,增益!$A:$A,增益!$M:$M,0))&gt;0,($F$13-$I$4+VLOOKUP($R41,武学奇术!$A:$ZZ,13,FALSE)+SUM(_xlfn.XLOOKUP($S41:$AL41,增益!$A:$A,增益!$K:$K,0)))/200,($F$13-$I$4+VLOOKUP($R41,武学奇术!$A:$ZZ,13,FALSE)+SUM(_xlfn.XLOOKUP($S41:$AL41,增益!$A:$A,增益!$M:$M,0)))/100)</f>
        <v>-0.14</v>
      </c>
      <c r="BJ41" s="40" cm="1">
        <f t="array" ref="BJ41">$G$13+VLOOKUP($R41,武学奇术!$A:$ZZ,14,FALSE)+SUM(_xlfn.XLOOKUP($S41:$AL41,增益!$A:$A,增益!$N:$N,0))</f>
        <v>0.02</v>
      </c>
      <c r="BK41">
        <f t="shared" si="21"/>
        <v>0</v>
      </c>
      <c r="BL41">
        <f t="shared" si="22"/>
        <v>0</v>
      </c>
      <c r="BM41" s="40" cm="1">
        <f t="array" ref="BM41">IF($F$14-$I$4+VLOOKUP($R41,武学奇术!$A:$ZZ,15,FALSE)+SUM(_xlfn.XLOOKUP($S41:$AL41,增益!$A:$A,增益!$O:$O,0))&gt;0,($F$14-$I$4+VLOOKUP($R41,武学奇术!$A:$ZZ,15,FALSE)+SUM(_xlfn.XLOOKUP($S41:$AL41,增益!$A:$A,增益!$O:$O,0)))/200,($F$14-$I$4+VLOOKUP($R41,武学奇术!$A:$ZZ,15,FALSE)+SUM(_xlfn.XLOOKUP($S41:$AL41,增益!$A:$A,增益!$O:$O,0)))/100)</f>
        <v>-0.14</v>
      </c>
      <c r="BN41" s="40" cm="1">
        <f t="array" ref="BN41">$G$14+VLOOKUP($R41,武学奇术!$A:$ZZ,16,FALSE)+SUM(_xlfn.XLOOKUP($S41:$AL41,增益!$A:$A,增益!$P:$P,0))</f>
        <v>0.02</v>
      </c>
      <c r="BO41" s="33">
        <f>MIN(IF(VLOOKUP($R41,武学奇术!$A:$ZZ,23,FALSE)=1,100%,$B$8),100%)</f>
        <v>1</v>
      </c>
      <c r="BP41" s="33" cm="1">
        <f t="array" ref="BP41">IF(VLOOKUP($R41,武学奇术!$A:$ZZ,23,FALSE)=1,100%,MIN(80%,$B$9+VLOOKUP($R41,武学奇术!$A:$ZZ,17,FALSE)+SUM(_xlfn.XLOOKUP($S41:$AL41,增益!$A:$A,增益!$Q:$Q,0)))+$B$11+SUM(_xlfn.XLOOKUP($S41:$AL41,增益!$A:$A,增益!$U:$U,0)))*IF(VLOOKUP($R41,武学奇术!$A:$ZZ,24,FALSE)=1,0,1)</f>
        <v>1</v>
      </c>
      <c r="BQ41" s="33" cm="1">
        <f t="array" ref="BQ41">1+$B$13+VLOOKUP($R41,武学奇术!$A:$ZZ,18,FALSE)+SUM(_xlfn.XLOOKUP($S41:$AL41,增益!$A:$A,增益!$R:$R,0))</f>
        <v>2.09</v>
      </c>
      <c r="BR41" s="33" cm="1">
        <f t="array" ref="BR41">IF(VLOOKUP($R41,武学奇术!$A:$ZZ,24,FALSE)=1,100%,MIN(40%,$B$10+VLOOKUP($R41,武学奇术!$A:$ZZ,19,FALSE)+SUM(_xlfn.XLOOKUP($S41:$AL41,增益!$A:$A,增益!$S:$S,0)))+$B$12+SUM(_xlfn.XLOOKUP($S41:$AL41,增益!$A:$A,增益!$V:$V,0)))*IF(VLOOKUP($R41,武学奇术!$A:$ZZ,23,FALSE)=1,0,1)</f>
        <v>0</v>
      </c>
      <c r="BS41" s="33" cm="1">
        <f t="array" ref="BS41">1+$B$14+VLOOKUP($R41,武学奇术!$A:$ZZ,20,FALSE)+SUM(_xlfn.XLOOKUP($S41:$AL41,增益!$A:$A,增益!$T:$T,0))</f>
        <v>1.35</v>
      </c>
      <c r="BT41" s="33">
        <f t="shared" si="23"/>
        <v>1</v>
      </c>
      <c r="BU41" s="33">
        <f t="shared" si="24"/>
        <v>0</v>
      </c>
      <c r="BV41" s="33">
        <f>IF(VLOOKUP($R41,武学奇术!$A:$ZZ,22,FALSE)=1,0,(1-$BO41))*(1-$BR41)</f>
        <v>0</v>
      </c>
      <c r="BW41" s="33" cm="1">
        <f t="array" ref="BW41">SUM(_xlfn.XLOOKUP($S41:$AL41,增益!$A:$A,增益!$W:$W,0))+$I$5</f>
        <v>0.11</v>
      </c>
      <c r="BX41" s="33" cm="1">
        <f t="array" ref="BX41">VLOOKUP($R41,武学奇术!$A:$ZZ,32,FALSE)+SUM(_xlfn.XLOOKUP($S41:$AL41,增益!$A:$A,增益!$X:$X,0))</f>
        <v>0</v>
      </c>
    </row>
    <row r="42" spans="1:76">
      <c r="A42" t="s">
        <v>164</v>
      </c>
      <c r="B42">
        <v>1</v>
      </c>
      <c r="H42" s="4"/>
      <c r="I42" s="4"/>
      <c r="L42" s="46">
        <f t="shared" si="14"/>
        <v>420862.253739146</v>
      </c>
      <c r="M42" s="46">
        <f>((($AT42+$AU42)/2*$AN42+$AO42)*(1+$AV42)*(1+$AW42)+(($AY42+$AZ42)/2*IF($G$1="鸣金",$AP42,$AN42)+IF($G$1="鸣金",$AQ42*1.5,0))*(1+$BA42)*(1+$BB42)+(($BC42+$BD42)/2*IF($G$1="裂石",$AP42,$AN42)+IF($G$1="裂石",$AQ42*1.5,0))*(1+$BE42)*(1+$BF42)+(($BG42+$BH42)/2*IF($G$1="牵丝",$AP42,$AN42)+IF($G$1="牵丝",$AQ42*1.5,0))*(1+$BI42)*(1+$BJ42)+(($BK42+$BL42)/2*IF($G$1="破竹",$AP42,$AN42)+IF($G$1="破竹",$AQ42*1.5,0))*(1+$BM42)*(1+$BN42))*(1+$AR42)*$BQ42*$Q42*(1+IF(VLOOKUP($R42,武学奇术!$A:$ZZ,30,FALSE)="蓄力技",$B$21,0))*(1+IF(VLOOKUP($R42,武学奇术!$A:$ZZ,30,FALSE)="派生技",$B$20,0))*(1+$BW42)*(1+$BX42)</f>
        <v>420862.253739146</v>
      </c>
      <c r="N42" s="46">
        <f>(($AU42*$AN42+$AO42)*(1+$AV42)*(1+$AW42)+($AZ42*IF($G$1="鸣金",$AP42,$AN42)+IF($G$1="鸣金",$AQ42*1.5,0))*(1+$BA42)*(1+$BB42)+($BD42*IF($G$1="裂石",$AP42,$AN42)+IF($G$1="裂石",$AQ42*1.5,0))*(1+$BE42)*(1+$BF42)+($BH42*IF($G$1="牵丝",$AP42,$AN42)+IF($G$1="牵丝",$AQ42*1.5,0))*(1+$BI42)*(1+$BJ42)+($BL42*IF($G$1="破竹",$AP42,$AN42)+IF($G$1="破竹",$AQ42*1.5,0))*(1+$BM42)*(1+$BN42))*(1+$AR42)*$BS42*$Q42*(1+IF(VLOOKUP($R42,武学奇术!$A:$ZZ,30,FALSE)="蓄力技",$B$21,0))*(1+IF(VLOOKUP($R42,武学奇术!$A:$ZZ,30,FALSE)="派生技",$B$20,0))*(1+$BW42)*(1+$BX42)</f>
        <v>304298.269208613</v>
      </c>
      <c r="O42" s="46">
        <f>((($AT42+$AU42)/2*$AN42+$AO42)*(1+$AV42)*(1+$AW42)+(($AY42+$AZ42)/2*IF($G$1="鸣金",$AP42,$AN42)+IF($G$1="鸣金",$AQ42*1.5,0))*(1+$BA42)*(1+$BB42)+(($BC42+$BD42)/2*IF($G$1="裂石",$AP42,$AN42)+IF($G$1="裂石",$AQ42*1.5,0))*(1+$BE42)*(1+$BF42)+(($BG42+$BH42)/2*IF($G$1="牵丝",$AP42,$AN42)+IF($G$1="牵丝",$AQ42*1.5,0))*(1+$BI42)*(1+$BJ42)+(($BK42+$BL42)/2*IF($G$1="破竹",$AP42,$AN42)+IF($G$1="破竹",$AQ42*1.5,0))*(1+$BM42)*(1+$BN42))*(1+$AR42)*$Q42*(1+IF(VLOOKUP($R42,武学奇术!$A:$ZZ,30,FALSE)="蓄力技",$B$21,0))*(1+IF(VLOOKUP($R42,武学奇术!$A:$ZZ,30,FALSE)="派生技",$B$20,0))*(1+$BW42)*(1+$BX42)</f>
        <v>201369.499396721</v>
      </c>
      <c r="P42" s="46">
        <f>((($AT42*$AN42+$AO42)*(1+$AV42)*(1+$AW42)+($AY42*IF($G$1="鸣金",$AP42,$AN42)+IF($G$1="鸣金",$AQ42*1.5,0))*(1+$BA42)*(1+$BB42)+($BC42*IF($G$1="裂石",$AP42,$AN42)+IF($G$1="裂石",$AQ42*1.5,0))*(1+$BE42)*(1+$BF42)+($BG42*IF($G$1="牵丝",$AP42,$AN42)+IF($G$1="牵丝",$AQ42*1.5,0))*(1+$BI42)*(1+$BJ42)+($BK42*IF($G$1="破竹",$AP42,$AN42)+IF($G$1="破竹",$AQ42*1.5,0))*(1+$BM42)*(1+$BN42))*(1+$AR42))*$Q42*(1+IF(VLOOKUP($R42,武学奇术!$A:$ZZ,30,FALSE)="蓄力技",$B$21,0))*(1+IF(VLOOKUP($R42,武学奇术!$A:$ZZ,30,FALSE)="派生技",$B$20,0))*(1+$BW42)*(1+$BX42)</f>
        <v>177332.873453728</v>
      </c>
      <c r="Q42" s="47">
        <f t="shared" si="25"/>
        <v>1</v>
      </c>
      <c r="R42" s="48" t="s">
        <v>148</v>
      </c>
      <c r="S42" s="48" t="s">
        <v>99</v>
      </c>
      <c r="T42" s="48" t="s">
        <v>181</v>
      </c>
      <c r="U42" s="48" t="s">
        <v>79</v>
      </c>
      <c r="V42" s="48" t="s">
        <v>90</v>
      </c>
      <c r="W42" s="48" t="s">
        <v>141</v>
      </c>
      <c r="X42" s="48" t="s">
        <v>145</v>
      </c>
      <c r="Y42" s="48" t="s">
        <v>74</v>
      </c>
      <c r="Z42" s="48" t="s">
        <v>80</v>
      </c>
      <c r="AA42" s="48" t="s">
        <v>80</v>
      </c>
      <c r="AB42" s="48" t="s">
        <v>80</v>
      </c>
      <c r="AC42" s="48" t="s">
        <v>80</v>
      </c>
      <c r="AD42" s="48" t="s">
        <v>80</v>
      </c>
      <c r="AE42" s="48" t="s">
        <v>82</v>
      </c>
      <c r="AF42" s="48" t="s">
        <v>83</v>
      </c>
      <c r="AG42" s="48" t="s">
        <v>84</v>
      </c>
      <c r="AH42" s="48" t="s">
        <v>80</v>
      </c>
      <c r="AI42" s="48" t="s">
        <v>80</v>
      </c>
      <c r="AJ42" s="48" t="s">
        <v>80</v>
      </c>
      <c r="AK42" s="48" t="s">
        <v>80</v>
      </c>
      <c r="AL42" s="48" t="s">
        <v>85</v>
      </c>
      <c r="AM42" t="str">
        <f>VLOOKUP($R42,武学奇术!$A:$ZZ,25,FALSE)</f>
        <v>陌刀</v>
      </c>
      <c r="AN42" s="33">
        <f>VLOOKUP($R42,武学奇术!$A:$ZZ,26,FALSE)</f>
        <v>7.5674</v>
      </c>
      <c r="AO42" s="34">
        <f>VLOOKUP($R42,武学奇术!$A:$ZZ,27,FALSE)*(1+IF(OR($AM42=$F$4,$AM42=$F$5),$B$22,0))</f>
        <v>3348.8</v>
      </c>
      <c r="AP42" s="33">
        <f>VLOOKUP($R42,武学奇术!$A:$ZZ,28,FALSE)</f>
        <v>11.3512</v>
      </c>
      <c r="AQ42" s="34">
        <f>VLOOKUP($R42,武学奇术!$A:$ZZ,29,FALSE)*(1+IF(OR($AM42=$F$4,$AM42=$F$5),$B$22,0))</f>
        <v>1824</v>
      </c>
      <c r="AR42" s="33" cm="1">
        <f t="array" ref="AR42">$G$3+IFERROR(VLOOKUP($AM42,$F$4:$G$7,2,FALSE),0)+VLOOKUP($R42,武学奇术!$A:$ZZ,2,FALSE)+SUM(_xlfn.XLOOKUP($S42:$AL42,增益!$A:$A,增益!$B:$B,0))</f>
        <v>0.6943</v>
      </c>
      <c r="AS42" s="33" cm="1">
        <f t="array" ref="AS42">VLOOKUP($R42,武学奇术!$A:$ZZ,5,FALSE)+SUM(_xlfn.XLOOKUP($S42:$AL42,增益!$A:$A,增益!$E:$E,0))</f>
        <v>0</v>
      </c>
      <c r="AT42" cm="1">
        <f t="array" ref="AT42">$D$10*(1+$AS42)+VLOOKUP($R42,武学奇术!$A:$ZZ,3,FALSE)+SUM(_xlfn.XLOOKUP($S42:$AL42,增益!$A:$A,增益!$C:$C,0))-$I$2</f>
        <v>4094.7</v>
      </c>
      <c r="AU42" cm="1">
        <f t="array" ref="AU42">$E$10*(1+$AS42)+VLOOKUP($R42,武学奇术!$A:$ZZ,4,FALSE)+SUM(_xlfn.XLOOKUP($S42:$AL42,增益!$A:$A,增益!$D:$D,0))-$I$2</f>
        <v>4094.7</v>
      </c>
      <c r="AV42" s="40" cm="1">
        <f t="array" ref="AV42">IF($F$10-$I$3+VLOOKUP($R42,武学奇术!$A:$ZZ,6,FALSE)+SUM(_xlfn.XLOOKUP($S42:$AL42,增益!$A:$A,增益!$F:$F,0))&gt;0,($F$10-$I$3+VLOOKUP($R42,武学奇术!$A:$ZZ,6,FALSE)+SUM(_xlfn.XLOOKUP($S42:$AL42,增益!$A:$A,增益!$F:$F,0)))/200,($F$10-$I$3+VLOOKUP($R42,武学奇术!$A:$ZZ,6,FALSE)+SUM(_xlfn.XLOOKUP($S42:$AL42,增益!$A:$A,增益!$F:$F,0)))/100)</f>
        <v>0.4384</v>
      </c>
      <c r="AW42" s="40" cm="1">
        <f t="array" ref="AW42">$G$10+VLOOKUP($R42,武学奇术!$A:$ZZ,7,FALSE)+SUM(_xlfn.XLOOKUP($S42:$AL42,增益!$A:$A,增益!$G:$G,0))</f>
        <v>0.14</v>
      </c>
      <c r="AX42" s="33" cm="1">
        <f t="array" ref="AX42">VLOOKUP($R42,武学奇术!$A:$ZZ,8,FALSE)+SUM(_xlfn.XLOOKUP($S42:$AL42,增益!$A:$A,增益!$H:$H,0))</f>
        <v>0</v>
      </c>
      <c r="AY42">
        <f t="shared" si="15"/>
        <v>0</v>
      </c>
      <c r="AZ42">
        <f t="shared" si="16"/>
        <v>0</v>
      </c>
      <c r="BA42" s="40" cm="1">
        <f t="array" ref="BA42">IF($F$11-$I$4+VLOOKUP($R42,武学奇术!$A:$ZZ,9,FALSE)+SUM(_xlfn.XLOOKUP($S42:$AL42,增益!$A:$A,增益!$I:$I,0))&gt;0,($F$11-$I$4+VLOOKUP($R42,武学奇术!$A:$ZZ,9,FALSE)+SUM(_xlfn.XLOOKUP($S42:$AL42,增益!$A:$A,增益!$I:$I,0)))/200,($F$11-$I$4+VLOOKUP($R42,武学奇术!$A:$ZZ,9,FALSE)+SUM(_xlfn.XLOOKUP($S42:$AL42,增益!$A:$A,增益!$I:$I,0)))/100)</f>
        <v>-0.14</v>
      </c>
      <c r="BB42" s="40" cm="1">
        <f t="array" ref="BB42">$G$11+VLOOKUP($R42,武学奇术!$A:$ZZ,10,FALSE)+SUM(_xlfn.XLOOKUP($S42:$AL42,增益!$A:$A,增益!$J:$J,0))</f>
        <v>0.02</v>
      </c>
      <c r="BC42">
        <f t="shared" si="17"/>
        <v>640.3</v>
      </c>
      <c r="BD42">
        <f t="shared" si="18"/>
        <v>1770.1</v>
      </c>
      <c r="BE42" s="40" cm="1">
        <f t="array" ref="BE42">IF($F$12-$I$4+VLOOKUP($R42,武学奇术!$A:$ZZ,11,FALSE)+SUM(_xlfn.XLOOKUP($S42:$AL42,增益!$A:$A,增益!$K:$K,0))&gt;0,($F$12-$I$4+VLOOKUP($R42,武学奇术!$A:$ZZ,11,FALSE)+SUM(_xlfn.XLOOKUP($S42:$AL42,增益!$A:$A,增益!$K:$K,0)))/200,($F$12-$I$4+VLOOKUP($R42,武学奇术!$A:$ZZ,11,FALSE)+SUM(_xlfn.XLOOKUP($S42:$AL42,增益!$A:$A,增益!$K:$K,0)))/100)</f>
        <v>0.17</v>
      </c>
      <c r="BF42" s="40" cm="1">
        <f t="array" ref="BF42">$G$12+VLOOKUP($R42,武学奇术!$A:$ZZ,12,FALSE)+SUM(_xlfn.XLOOKUP($S42:$AL42,增益!$A:$A,增益!$L:$L,0))</f>
        <v>0.29</v>
      </c>
      <c r="BG42">
        <f t="shared" si="19"/>
        <v>0</v>
      </c>
      <c r="BH42">
        <f t="shared" si="20"/>
        <v>0</v>
      </c>
      <c r="BI42" s="40" cm="1">
        <f t="array" ref="BI42">IF($F$13-$I$4+VLOOKUP($R42,武学奇术!$A:$ZZ,13,FALSE)+SUM(_xlfn.XLOOKUP($S42:$AL42,增益!$A:$A,增益!$M:$M,0))&gt;0,($F$13-$I$4+VLOOKUP($R42,武学奇术!$A:$ZZ,13,FALSE)+SUM(_xlfn.XLOOKUP($S42:$AL42,增益!$A:$A,增益!$K:$K,0)))/200,($F$13-$I$4+VLOOKUP($R42,武学奇术!$A:$ZZ,13,FALSE)+SUM(_xlfn.XLOOKUP($S42:$AL42,增益!$A:$A,增益!$M:$M,0)))/100)</f>
        <v>-0.14</v>
      </c>
      <c r="BJ42" s="40" cm="1">
        <f t="array" ref="BJ42">$G$13+VLOOKUP($R42,武学奇术!$A:$ZZ,14,FALSE)+SUM(_xlfn.XLOOKUP($S42:$AL42,增益!$A:$A,增益!$N:$N,0))</f>
        <v>0.02</v>
      </c>
      <c r="BK42">
        <f t="shared" si="21"/>
        <v>0</v>
      </c>
      <c r="BL42">
        <f t="shared" si="22"/>
        <v>0</v>
      </c>
      <c r="BM42" s="40" cm="1">
        <f t="array" ref="BM42">IF($F$14-$I$4+VLOOKUP($R42,武学奇术!$A:$ZZ,15,FALSE)+SUM(_xlfn.XLOOKUP($S42:$AL42,增益!$A:$A,增益!$O:$O,0))&gt;0,($F$14-$I$4+VLOOKUP($R42,武学奇术!$A:$ZZ,15,FALSE)+SUM(_xlfn.XLOOKUP($S42:$AL42,增益!$A:$A,增益!$O:$O,0)))/200,($F$14-$I$4+VLOOKUP($R42,武学奇术!$A:$ZZ,15,FALSE)+SUM(_xlfn.XLOOKUP($S42:$AL42,增益!$A:$A,增益!$O:$O,0)))/100)</f>
        <v>-0.14</v>
      </c>
      <c r="BN42" s="40" cm="1">
        <f t="array" ref="BN42">$G$14+VLOOKUP($R42,武学奇术!$A:$ZZ,16,FALSE)+SUM(_xlfn.XLOOKUP($S42:$AL42,增益!$A:$A,增益!$P:$P,0))</f>
        <v>0.02</v>
      </c>
      <c r="BO42" s="33">
        <f>MIN(IF(VLOOKUP($R42,武学奇术!$A:$ZZ,23,FALSE)=1,100%,$B$8),100%)</f>
        <v>1</v>
      </c>
      <c r="BP42" s="33" cm="1">
        <f t="array" ref="BP42">IF(VLOOKUP($R42,武学奇术!$A:$ZZ,23,FALSE)=1,100%,MIN(80%,$B$9+VLOOKUP($R42,武学奇术!$A:$ZZ,17,FALSE)+SUM(_xlfn.XLOOKUP($S42:$AL42,增益!$A:$A,增益!$Q:$Q,0)))+$B$11+SUM(_xlfn.XLOOKUP($S42:$AL42,增益!$A:$A,增益!$U:$U,0)))*IF(VLOOKUP($R42,武学奇术!$A:$ZZ,24,FALSE)=1,0,1)</f>
        <v>1</v>
      </c>
      <c r="BQ42" s="33" cm="1">
        <f t="array" ref="BQ42">1+$B$13+VLOOKUP($R42,武学奇术!$A:$ZZ,18,FALSE)+SUM(_xlfn.XLOOKUP($S42:$AL42,增益!$A:$A,增益!$R:$R,0))</f>
        <v>2.09</v>
      </c>
      <c r="BR42" s="33" cm="1">
        <f t="array" ref="BR42">IF(VLOOKUP($R42,武学奇术!$A:$ZZ,24,FALSE)=1,100%,MIN(40%,$B$10+VLOOKUP($R42,武学奇术!$A:$ZZ,19,FALSE)+SUM(_xlfn.XLOOKUP($S42:$AL42,增益!$A:$A,增益!$S:$S,0)))+$B$12+SUM(_xlfn.XLOOKUP($S42:$AL42,增益!$A:$A,增益!$V:$V,0)))*IF(VLOOKUP($R42,武学奇术!$A:$ZZ,23,FALSE)=1,0,1)</f>
        <v>0</v>
      </c>
      <c r="BS42" s="33" cm="1">
        <f t="array" ref="BS42">1+$B$14+VLOOKUP($R42,武学奇术!$A:$ZZ,20,FALSE)+SUM(_xlfn.XLOOKUP($S42:$AL42,增益!$A:$A,增益!$T:$T,0))</f>
        <v>1.35</v>
      </c>
      <c r="BT42" s="33">
        <f t="shared" si="23"/>
        <v>1</v>
      </c>
      <c r="BU42" s="33">
        <f t="shared" si="24"/>
        <v>0</v>
      </c>
      <c r="BV42" s="33">
        <f>IF(VLOOKUP($R42,武学奇术!$A:$ZZ,22,FALSE)=1,0,(1-$BO42))*(1-$BR42)</f>
        <v>0</v>
      </c>
      <c r="BW42" s="33" cm="1">
        <f t="array" ref="BW42">SUM(_xlfn.XLOOKUP($S42:$AL42,增益!$A:$A,增益!$W:$W,0))+$I$5</f>
        <v>0.11</v>
      </c>
      <c r="BX42" s="33" cm="1">
        <f t="array" ref="BX42">VLOOKUP($R42,武学奇术!$A:$ZZ,32,FALSE)+SUM(_xlfn.XLOOKUP($S42:$AL42,增益!$A:$A,增益!$X:$X,0))</f>
        <v>0</v>
      </c>
    </row>
    <row r="43" spans="1:76">
      <c r="A43" s="4" t="s">
        <v>166</v>
      </c>
      <c r="B43" s="4">
        <v>0.1</v>
      </c>
      <c r="D43" s="47" t="s">
        <v>167</v>
      </c>
      <c r="L43" s="46">
        <f t="shared" si="14"/>
        <v>25733.3137818579</v>
      </c>
      <c r="M43" s="46">
        <f>((($AT43+$AU43)/2*$AN43+$AO43)*(1+$AV43)*(1+$AW43)+(($AY43+$AZ43)/2*IF($G$1="鸣金",$AP43,$AN43)+IF($G$1="鸣金",$AQ43*1.5,0))*(1+$BA43)*(1+$BB43)+(($BC43+$BD43)/2*IF($G$1="裂石",$AP43,$AN43)+IF($G$1="裂石",$AQ43*1.5,0))*(1+$BE43)*(1+$BF43)+(($BG43+$BH43)/2*IF($G$1="牵丝",$AP43,$AN43)+IF($G$1="牵丝",$AQ43*1.5,0))*(1+$BI43)*(1+$BJ43)+(($BK43+$BL43)/2*IF($G$1="破竹",$AP43,$AN43)+IF($G$1="破竹",$AQ43*1.5,0))*(1+$BM43)*(1+$BN43))*(1+$AR43)*$BQ43*$Q43*(1+IF(VLOOKUP($R43,武学奇术!$A:$ZZ,30,FALSE)="蓄力技",$B$21,0))*(1+IF(VLOOKUP($R43,武学奇术!$A:$ZZ,30,FALSE)="派生技",$B$20,0))*(1+$BW43)*(1+$BX43)</f>
        <v>25733.3137818579</v>
      </c>
      <c r="N43" s="46">
        <f>(($AU43*$AN43+$AO43)*(1+$AV43)*(1+$AW43)+($AZ43*IF($G$1="鸣金",$AP43,$AN43)+IF($G$1="鸣金",$AQ43*1.5,0))*(1+$BA43)*(1+$BB43)+($BD43*IF($G$1="裂石",$AP43,$AN43)+IF($G$1="裂石",$AQ43*1.5,0))*(1+$BE43)*(1+$BF43)+($BH43*IF($G$1="牵丝",$AP43,$AN43)+IF($G$1="牵丝",$AQ43*1.5,0))*(1+$BI43)*(1+$BJ43)+($BL43*IF($G$1="破竹",$AP43,$AN43)+IF($G$1="破竹",$AQ43*1.5,0))*(1+$BM43)*(1+$BN43))*(1+$AR43)*$BS43*$Q43*(1+IF(VLOOKUP($R43,武学奇术!$A:$ZZ,30,FALSE)="蓄力技",$B$21,0))*(1+IF(VLOOKUP($R43,武学奇术!$A:$ZZ,30,FALSE)="派生技",$B$20,0))*(1+$BW43)*(1+$BX43)</f>
        <v>18873.2072050448</v>
      </c>
      <c r="O43" s="46">
        <f>((($AT43+$AU43)/2*$AN43+$AO43)*(1+$AV43)*(1+$AW43)+(($AY43+$AZ43)/2*IF($G$1="鸣金",$AP43,$AN43)+IF($G$1="鸣金",$AQ43*1.5,0))*(1+$BA43)*(1+$BB43)+(($BC43+$BD43)/2*IF($G$1="裂石",$AP43,$AN43)+IF($G$1="裂石",$AQ43*1.5,0))*(1+$BE43)*(1+$BF43)+(($BG43+$BH43)/2*IF($G$1="牵丝",$AP43,$AN43)+IF($G$1="牵丝",$AQ43*1.5,0))*(1+$BI43)*(1+$BJ43)+(($BK43+$BL43)/2*IF($G$1="破竹",$AP43,$AN43)+IF($G$1="破竹",$AQ43*1.5,0))*(1+$BM43)*(1+$BN43))*(1+$AR43)*$Q43*(1+IF(VLOOKUP($R43,武学奇术!$A:$ZZ,30,FALSE)="蓄力技",$B$21,0))*(1+IF(VLOOKUP($R43,武学奇术!$A:$ZZ,30,FALSE)="派生技",$B$20,0))*(1+$BW43)*(1+$BX43)</f>
        <v>12312.5903262478</v>
      </c>
      <c r="P43" s="46">
        <f>((($AT43*$AN43+$AO43)*(1+$AV43)*(1+$AW43)+($AY43*IF($G$1="鸣金",$AP43,$AN43)+IF($G$1="鸣金",$AQ43*1.5,0))*(1+$BA43)*(1+$BB43)+($BC43*IF($G$1="裂石",$AP43,$AN43)+IF($G$1="裂石",$AQ43*1.5,0))*(1+$BE43)*(1+$BF43)+($BG43*IF($G$1="牵丝",$AP43,$AN43)+IF($G$1="牵丝",$AQ43*1.5,0))*(1+$BI43)*(1+$BJ43)+($BK43*IF($G$1="破竹",$AP43,$AN43)+IF($G$1="破竹",$AQ43*1.5,0))*(1+$BM43)*(1+$BN43))*(1+$AR43))*$Q43*(1+IF(VLOOKUP($R43,武学奇术!$A:$ZZ,30,FALSE)="蓄力技",$B$21,0))*(1+IF(VLOOKUP($R43,武学奇术!$A:$ZZ,30,FALSE)="派生技",$B$20,0))*(1+$BW43)*(1+$BX43)</f>
        <v>10645.0271672772</v>
      </c>
      <c r="Q43" s="47">
        <f t="shared" si="25"/>
        <v>1</v>
      </c>
      <c r="R43" s="48" t="s">
        <v>154</v>
      </c>
      <c r="S43" s="48" t="s">
        <v>99</v>
      </c>
      <c r="T43" s="48" t="s">
        <v>181</v>
      </c>
      <c r="U43" s="48" t="s">
        <v>79</v>
      </c>
      <c r="V43" s="48" t="s">
        <v>90</v>
      </c>
      <c r="W43" s="48" t="s">
        <v>141</v>
      </c>
      <c r="X43" s="48" t="s">
        <v>145</v>
      </c>
      <c r="Y43" s="48" t="s">
        <v>74</v>
      </c>
      <c r="Z43" s="48" t="s">
        <v>80</v>
      </c>
      <c r="AA43" s="48" t="s">
        <v>80</v>
      </c>
      <c r="AB43" s="48" t="s">
        <v>80</v>
      </c>
      <c r="AC43" s="48" t="s">
        <v>80</v>
      </c>
      <c r="AD43" s="48" t="s">
        <v>80</v>
      </c>
      <c r="AE43" s="48" t="s">
        <v>82</v>
      </c>
      <c r="AF43" s="48" t="s">
        <v>83</v>
      </c>
      <c r="AG43" s="48" t="s">
        <v>84</v>
      </c>
      <c r="AH43" s="48" t="s">
        <v>80</v>
      </c>
      <c r="AI43" s="48" t="s">
        <v>80</v>
      </c>
      <c r="AJ43" s="48" t="s">
        <v>80</v>
      </c>
      <c r="AK43" s="48" t="s">
        <v>80</v>
      </c>
      <c r="AL43" s="48" t="s">
        <v>85</v>
      </c>
      <c r="AM43" t="str">
        <f>VLOOKUP($R43,武学奇术!$A:$ZZ,25,FALSE)</f>
        <v>陌刀</v>
      </c>
      <c r="AN43" s="33">
        <f>VLOOKUP($R43,武学奇术!$A:$ZZ,26,FALSE)</f>
        <v>0.525</v>
      </c>
      <c r="AO43" s="34">
        <f>VLOOKUP($R43,武学奇术!$A:$ZZ,27,FALSE)*(1+IF(OR($AM43=$F$4,$AM43=$F$5),$B$22,0))</f>
        <v>0</v>
      </c>
      <c r="AP43" s="33">
        <f>VLOOKUP($R43,武学奇术!$A:$ZZ,28,FALSE)</f>
        <v>0.7875</v>
      </c>
      <c r="AQ43" s="34">
        <f>VLOOKUP($R43,武学奇术!$A:$ZZ,29,FALSE)*(1+IF(OR($AM43=$F$4,$AM43=$F$5),$B$22,0))</f>
        <v>0</v>
      </c>
      <c r="AR43" s="33" cm="1">
        <f t="array" ref="AR43">$G$3+IFERROR(VLOOKUP($AM43,$F$4:$G$7,2,FALSE),0)+VLOOKUP($R43,武学奇术!$A:$ZZ,2,FALSE)+SUM(_xlfn.XLOOKUP($S43:$AL43,增益!$A:$A,增益!$B:$B,0))</f>
        <v>0.6943</v>
      </c>
      <c r="AS43" s="33" cm="1">
        <f t="array" ref="AS43">VLOOKUP($R43,武学奇术!$A:$ZZ,5,FALSE)+SUM(_xlfn.XLOOKUP($S43:$AL43,增益!$A:$A,增益!$E:$E,0))</f>
        <v>0</v>
      </c>
      <c r="AT43" cm="1">
        <f t="array" ref="AT43">$D$10*(1+$AS43)+VLOOKUP($R43,武学奇术!$A:$ZZ,3,FALSE)+SUM(_xlfn.XLOOKUP($S43:$AL43,增益!$A:$A,增益!$C:$C,0))-$I$2</f>
        <v>4094.7</v>
      </c>
      <c r="AU43" cm="1">
        <f t="array" ref="AU43">$E$10*(1+$AS43)+VLOOKUP($R43,武学奇术!$A:$ZZ,4,FALSE)+SUM(_xlfn.XLOOKUP($S43:$AL43,增益!$A:$A,增益!$D:$D,0))-$I$2</f>
        <v>4094.7</v>
      </c>
      <c r="AV43" s="40" cm="1">
        <f t="array" ref="AV43">IF($F$10-$I$3+VLOOKUP($R43,武学奇术!$A:$ZZ,6,FALSE)+SUM(_xlfn.XLOOKUP($S43:$AL43,增益!$A:$A,增益!$F:$F,0))&gt;0,($F$10-$I$3+VLOOKUP($R43,武学奇术!$A:$ZZ,6,FALSE)+SUM(_xlfn.XLOOKUP($S43:$AL43,增益!$A:$A,增益!$F:$F,0)))/200,($F$10-$I$3+VLOOKUP($R43,武学奇术!$A:$ZZ,6,FALSE)+SUM(_xlfn.XLOOKUP($S43:$AL43,增益!$A:$A,增益!$F:$F,0)))/100)</f>
        <v>0.4384</v>
      </c>
      <c r="AW43" s="40" cm="1">
        <f t="array" ref="AW43">$G$10+VLOOKUP($R43,武学奇术!$A:$ZZ,7,FALSE)+SUM(_xlfn.XLOOKUP($S43:$AL43,增益!$A:$A,增益!$G:$G,0))</f>
        <v>0.14</v>
      </c>
      <c r="AX43" s="33" cm="1">
        <f t="array" ref="AX43">VLOOKUP($R43,武学奇术!$A:$ZZ,8,FALSE)+SUM(_xlfn.XLOOKUP($S43:$AL43,增益!$A:$A,增益!$H:$H,0))</f>
        <v>0</v>
      </c>
      <c r="AY43">
        <f t="shared" si="15"/>
        <v>0</v>
      </c>
      <c r="AZ43">
        <f t="shared" si="16"/>
        <v>0</v>
      </c>
      <c r="BA43" s="40" cm="1">
        <f t="array" ref="BA43">IF($F$11-$I$4+VLOOKUP($R43,武学奇术!$A:$ZZ,9,FALSE)+SUM(_xlfn.XLOOKUP($S43:$AL43,增益!$A:$A,增益!$I:$I,0))&gt;0,($F$11-$I$4+VLOOKUP($R43,武学奇术!$A:$ZZ,9,FALSE)+SUM(_xlfn.XLOOKUP($S43:$AL43,增益!$A:$A,增益!$I:$I,0)))/200,($F$11-$I$4+VLOOKUP($R43,武学奇术!$A:$ZZ,9,FALSE)+SUM(_xlfn.XLOOKUP($S43:$AL43,增益!$A:$A,增益!$I:$I,0)))/100)</f>
        <v>-0.14</v>
      </c>
      <c r="BB43" s="40" cm="1">
        <f t="array" ref="BB43">$G$11+VLOOKUP($R43,武学奇术!$A:$ZZ,10,FALSE)+SUM(_xlfn.XLOOKUP($S43:$AL43,增益!$A:$A,增益!$J:$J,0))</f>
        <v>0.02</v>
      </c>
      <c r="BC43">
        <f t="shared" si="17"/>
        <v>640.3</v>
      </c>
      <c r="BD43">
        <f t="shared" si="18"/>
        <v>1770.1</v>
      </c>
      <c r="BE43" s="40" cm="1">
        <f t="array" ref="BE43">IF($F$12-$I$4+VLOOKUP($R43,武学奇术!$A:$ZZ,11,FALSE)+SUM(_xlfn.XLOOKUP($S43:$AL43,增益!$A:$A,增益!$K:$K,0))&gt;0,($F$12-$I$4+VLOOKUP($R43,武学奇术!$A:$ZZ,11,FALSE)+SUM(_xlfn.XLOOKUP($S43:$AL43,增益!$A:$A,增益!$K:$K,0)))/200,($F$12-$I$4+VLOOKUP($R43,武学奇术!$A:$ZZ,11,FALSE)+SUM(_xlfn.XLOOKUP($S43:$AL43,增益!$A:$A,增益!$K:$K,0)))/100)</f>
        <v>0.17</v>
      </c>
      <c r="BF43" s="40" cm="1">
        <f t="array" ref="BF43">$G$12+VLOOKUP($R43,武学奇术!$A:$ZZ,12,FALSE)+SUM(_xlfn.XLOOKUP($S43:$AL43,增益!$A:$A,增益!$L:$L,0))</f>
        <v>0.29</v>
      </c>
      <c r="BG43">
        <f t="shared" si="19"/>
        <v>0</v>
      </c>
      <c r="BH43">
        <f t="shared" si="20"/>
        <v>0</v>
      </c>
      <c r="BI43" s="40" cm="1">
        <f t="array" ref="BI43">IF($F$13-$I$4+VLOOKUP($R43,武学奇术!$A:$ZZ,13,FALSE)+SUM(_xlfn.XLOOKUP($S43:$AL43,增益!$A:$A,增益!$M:$M,0))&gt;0,($F$13-$I$4+VLOOKUP($R43,武学奇术!$A:$ZZ,13,FALSE)+SUM(_xlfn.XLOOKUP($S43:$AL43,增益!$A:$A,增益!$K:$K,0)))/200,($F$13-$I$4+VLOOKUP($R43,武学奇术!$A:$ZZ,13,FALSE)+SUM(_xlfn.XLOOKUP($S43:$AL43,增益!$A:$A,增益!$M:$M,0)))/100)</f>
        <v>-0.14</v>
      </c>
      <c r="BJ43" s="40" cm="1">
        <f t="array" ref="BJ43">$G$13+VLOOKUP($R43,武学奇术!$A:$ZZ,14,FALSE)+SUM(_xlfn.XLOOKUP($S43:$AL43,增益!$A:$A,增益!$N:$N,0))</f>
        <v>0.02</v>
      </c>
      <c r="BK43">
        <f t="shared" si="21"/>
        <v>0</v>
      </c>
      <c r="BL43">
        <f t="shared" si="22"/>
        <v>0</v>
      </c>
      <c r="BM43" s="40" cm="1">
        <f t="array" ref="BM43">IF($F$14-$I$4+VLOOKUP($R43,武学奇术!$A:$ZZ,15,FALSE)+SUM(_xlfn.XLOOKUP($S43:$AL43,增益!$A:$A,增益!$O:$O,0))&gt;0,($F$14-$I$4+VLOOKUP($R43,武学奇术!$A:$ZZ,15,FALSE)+SUM(_xlfn.XLOOKUP($S43:$AL43,增益!$A:$A,增益!$O:$O,0)))/200,($F$14-$I$4+VLOOKUP($R43,武学奇术!$A:$ZZ,15,FALSE)+SUM(_xlfn.XLOOKUP($S43:$AL43,增益!$A:$A,增益!$O:$O,0)))/100)</f>
        <v>-0.14</v>
      </c>
      <c r="BN43" s="40" cm="1">
        <f t="array" ref="BN43">$G$14+VLOOKUP($R43,武学奇术!$A:$ZZ,16,FALSE)+SUM(_xlfn.XLOOKUP($S43:$AL43,增益!$A:$A,增益!$P:$P,0))</f>
        <v>0.02</v>
      </c>
      <c r="BO43" s="33">
        <f>MIN(IF(VLOOKUP($R43,武学奇术!$A:$ZZ,23,FALSE)=1,100%,$B$8),100%)</f>
        <v>1</v>
      </c>
      <c r="BP43" s="33" cm="1">
        <f t="array" ref="BP43">IF(VLOOKUP($R43,武学奇术!$A:$ZZ,23,FALSE)=1,100%,MIN(80%,$B$9+VLOOKUP($R43,武学奇术!$A:$ZZ,17,FALSE)+SUM(_xlfn.XLOOKUP($S43:$AL43,增益!$A:$A,增益!$Q:$Q,0)))+$B$11+SUM(_xlfn.XLOOKUP($S43:$AL43,增益!$A:$A,增益!$U:$U,0)))*IF(VLOOKUP($R43,武学奇术!$A:$ZZ,24,FALSE)=1,0,1)</f>
        <v>1</v>
      </c>
      <c r="BQ43" s="33" cm="1">
        <f t="array" ref="BQ43">1+$B$13+VLOOKUP($R43,武学奇术!$A:$ZZ,18,FALSE)+SUM(_xlfn.XLOOKUP($S43:$AL43,增益!$A:$A,增益!$R:$R,0))</f>
        <v>2.09</v>
      </c>
      <c r="BR43" s="33" cm="1">
        <f t="array" ref="BR43">IF(VLOOKUP($R43,武学奇术!$A:$ZZ,24,FALSE)=1,100%,MIN(40%,$B$10+VLOOKUP($R43,武学奇术!$A:$ZZ,19,FALSE)+SUM(_xlfn.XLOOKUP($S43:$AL43,增益!$A:$A,增益!$S:$S,0)))+$B$12+SUM(_xlfn.XLOOKUP($S43:$AL43,增益!$A:$A,增益!$V:$V,0)))*IF(VLOOKUP($R43,武学奇术!$A:$ZZ,23,FALSE)=1,0,1)</f>
        <v>0</v>
      </c>
      <c r="BS43" s="33" cm="1">
        <f t="array" ref="BS43">1+$B$14+VLOOKUP($R43,武学奇术!$A:$ZZ,20,FALSE)+SUM(_xlfn.XLOOKUP($S43:$AL43,增益!$A:$A,增益!$T:$T,0))</f>
        <v>1.35</v>
      </c>
      <c r="BT43" s="33">
        <f t="shared" si="23"/>
        <v>1</v>
      </c>
      <c r="BU43" s="33">
        <f t="shared" si="24"/>
        <v>0</v>
      </c>
      <c r="BV43" s="33">
        <f>IF(VLOOKUP($R43,武学奇术!$A:$ZZ,22,FALSE)=1,0,(1-$BO43))*(1-$BR43)</f>
        <v>0</v>
      </c>
      <c r="BW43" s="33" cm="1">
        <f t="array" ref="BW43">SUM(_xlfn.XLOOKUP($S43:$AL43,增益!$A:$A,增益!$W:$W,0))+$I$5</f>
        <v>0.11</v>
      </c>
      <c r="BX43" s="33" cm="1">
        <f t="array" ref="BX43">VLOOKUP($R43,武学奇术!$A:$ZZ,32,FALSE)+SUM(_xlfn.XLOOKUP($S43:$AL43,增益!$A:$A,增益!$X:$X,0))</f>
        <v>0</v>
      </c>
    </row>
    <row r="44" spans="1:76">
      <c r="A44" s="4" t="s">
        <v>168</v>
      </c>
      <c r="B44" s="4">
        <v>2.3</v>
      </c>
      <c r="D44" s="47"/>
      <c r="L44" s="46">
        <f t="shared" si="14"/>
        <v>46319.9648073441</v>
      </c>
      <c r="M44" s="46">
        <f>((($AT44+$AU44)/2*$AN44+$AO44)*(1+$AV44)*(1+$AW44)+(($AY44+$AZ44)/2*IF($G$1="鸣金",$AP44,$AN44)+IF($G$1="鸣金",$AQ44*1.5,0))*(1+$BA44)*(1+$BB44)+(($BC44+$BD44)/2*IF($G$1="裂石",$AP44,$AN44)+IF($G$1="裂石",$AQ44*1.5,0))*(1+$BE44)*(1+$BF44)+(($BG44+$BH44)/2*IF($G$1="牵丝",$AP44,$AN44)+IF($G$1="牵丝",$AQ44*1.5,0))*(1+$BI44)*(1+$BJ44)+(($BK44+$BL44)/2*IF($G$1="破竹",$AP44,$AN44)+IF($G$1="破竹",$AQ44*1.5,0))*(1+$BM44)*(1+$BN44))*(1+$AR44)*$BQ44*$Q44*(1+IF(VLOOKUP($R44,武学奇术!$A:$ZZ,30,FALSE)="蓄力技",$B$21,0))*(1+IF(VLOOKUP($R44,武学奇术!$A:$ZZ,30,FALSE)="派生技",$B$20,0))*(1+$BW44)*(1+$BX44)</f>
        <v>46319.9648073441</v>
      </c>
      <c r="N44" s="46">
        <f>(($AU44*$AN44+$AO44)*(1+$AV44)*(1+$AW44)+($AZ44*IF($G$1="鸣金",$AP44,$AN44)+IF($G$1="鸣金",$AQ44*1.5,0))*(1+$BA44)*(1+$BB44)+($BD44*IF($G$1="裂石",$AP44,$AN44)+IF($G$1="裂石",$AQ44*1.5,0))*(1+$BE44)*(1+$BF44)+($BH44*IF($G$1="牵丝",$AP44,$AN44)+IF($G$1="牵丝",$AQ44*1.5,0))*(1+$BI44)*(1+$BJ44)+($BL44*IF($G$1="破竹",$AP44,$AN44)+IF($G$1="破竹",$AQ44*1.5,0))*(1+$BM44)*(1+$BN44))*(1+$AR44)*$BS44*$Q44*(1+IF(VLOOKUP($R44,武学奇术!$A:$ZZ,30,FALSE)="蓄力技",$B$21,0))*(1+IF(VLOOKUP($R44,武学奇术!$A:$ZZ,30,FALSE)="派生技",$B$20,0))*(1+$BW44)*(1+$BX44)</f>
        <v>33971.7729690806</v>
      </c>
      <c r="O44" s="46">
        <f>((($AT44+$AU44)/2*$AN44+$AO44)*(1+$AV44)*(1+$AW44)+(($AY44+$AZ44)/2*IF($G$1="鸣金",$AP44,$AN44)+IF($G$1="鸣金",$AQ44*1.5,0))*(1+$BA44)*(1+$BB44)+(($BC44+$BD44)/2*IF($G$1="裂石",$AP44,$AN44)+IF($G$1="裂石",$AQ44*1.5,0))*(1+$BE44)*(1+$BF44)+(($BG44+$BH44)/2*IF($G$1="牵丝",$AP44,$AN44)+IF($G$1="牵丝",$AQ44*1.5,0))*(1+$BI44)*(1+$BJ44)+(($BK44+$BL44)/2*IF($G$1="破竹",$AP44,$AN44)+IF($G$1="破竹",$AQ44*1.5,0))*(1+$BM44)*(1+$BN44))*(1+$AR44)*$Q44*(1+IF(VLOOKUP($R44,武学奇术!$A:$ZZ,30,FALSE)="蓄力技",$B$21,0))*(1+IF(VLOOKUP($R44,武学奇术!$A:$ZZ,30,FALSE)="派生技",$B$20,0))*(1+$BW44)*(1+$BX44)</f>
        <v>22162.662587246</v>
      </c>
      <c r="P44" s="46">
        <f>((($AT44*$AN44+$AO44)*(1+$AV44)*(1+$AW44)+($AY44*IF($G$1="鸣金",$AP44,$AN44)+IF($G$1="鸣金",$AQ44*1.5,0))*(1+$BA44)*(1+$BB44)+($BC44*IF($G$1="裂石",$AP44,$AN44)+IF($G$1="裂石",$AQ44*1.5,0))*(1+$BE44)*(1+$BF44)+($BG44*IF($G$1="牵丝",$AP44,$AN44)+IF($G$1="牵丝",$AQ44*1.5,0))*(1+$BI44)*(1+$BJ44)+($BK44*IF($G$1="破竹",$AP44,$AN44)+IF($G$1="破竹",$AQ44*1.5,0))*(1+$BM44)*(1+$BN44))*(1+$AR44))*$Q44*(1+IF(VLOOKUP($R44,武学奇术!$A:$ZZ,30,FALSE)="蓄力技",$B$21,0))*(1+IF(VLOOKUP($R44,武学奇术!$A:$ZZ,30,FALSE)="派生技",$B$20,0))*(1+$BW44)*(1+$BX44)</f>
        <v>19161.0489010989</v>
      </c>
      <c r="Q44" s="47">
        <f t="shared" si="25"/>
        <v>1</v>
      </c>
      <c r="R44" s="48" t="s">
        <v>144</v>
      </c>
      <c r="S44" s="48" t="s">
        <v>99</v>
      </c>
      <c r="T44" s="48" t="s">
        <v>181</v>
      </c>
      <c r="U44" s="48" t="s">
        <v>79</v>
      </c>
      <c r="V44" s="48" t="s">
        <v>90</v>
      </c>
      <c r="W44" s="48" t="s">
        <v>141</v>
      </c>
      <c r="X44" s="48" t="s">
        <v>145</v>
      </c>
      <c r="Y44" s="48" t="s">
        <v>74</v>
      </c>
      <c r="Z44" s="48" t="s">
        <v>80</v>
      </c>
      <c r="AA44" s="48" t="s">
        <v>80</v>
      </c>
      <c r="AB44" s="48" t="s">
        <v>80</v>
      </c>
      <c r="AC44" s="48" t="s">
        <v>80</v>
      </c>
      <c r="AD44" s="48" t="s">
        <v>80</v>
      </c>
      <c r="AE44" s="48" t="s">
        <v>82</v>
      </c>
      <c r="AF44" s="48" t="s">
        <v>83</v>
      </c>
      <c r="AG44" s="48" t="s">
        <v>84</v>
      </c>
      <c r="AH44" s="48" t="s">
        <v>80</v>
      </c>
      <c r="AI44" s="48" t="s">
        <v>80</v>
      </c>
      <c r="AJ44" s="48" t="s">
        <v>80</v>
      </c>
      <c r="AK44" s="48" t="s">
        <v>80</v>
      </c>
      <c r="AL44" s="48" t="s">
        <v>85</v>
      </c>
      <c r="AM44" t="str">
        <f>VLOOKUP($R44,武学奇术!$A:$ZZ,25,FALSE)</f>
        <v>陌刀</v>
      </c>
      <c r="AN44" s="33">
        <f>VLOOKUP($R44,武学奇术!$A:$ZZ,26,FALSE)</f>
        <v>0.945</v>
      </c>
      <c r="AO44" s="34">
        <f>VLOOKUP($R44,武学奇术!$A:$ZZ,27,FALSE)*(1+IF(OR($AM44=$F$4,$AM44=$F$5),$B$22,0))</f>
        <v>0</v>
      </c>
      <c r="AP44" s="33">
        <f>VLOOKUP($R44,武学奇术!$A:$ZZ,28,FALSE)</f>
        <v>1.4175</v>
      </c>
      <c r="AQ44" s="34">
        <f>VLOOKUP($R44,武学奇术!$A:$ZZ,29,FALSE)*(1+IF(OR($AM44=$F$4,$AM44=$F$5),$B$22,0))</f>
        <v>0</v>
      </c>
      <c r="AR44" s="33" cm="1">
        <f t="array" ref="AR44">$G$3+IFERROR(VLOOKUP($AM44,$F$4:$G$7,2,FALSE),0)+VLOOKUP($R44,武学奇术!$A:$ZZ,2,FALSE)+SUM(_xlfn.XLOOKUP($S44:$AL44,增益!$A:$A,增益!$B:$B,0))</f>
        <v>0.6943</v>
      </c>
      <c r="AS44" s="33" cm="1">
        <f t="array" ref="AS44">VLOOKUP($R44,武学奇术!$A:$ZZ,5,FALSE)+SUM(_xlfn.XLOOKUP($S44:$AL44,增益!$A:$A,增益!$E:$E,0))</f>
        <v>0</v>
      </c>
      <c r="AT44" cm="1">
        <f t="array" ref="AT44">$D$10*(1+$AS44)+VLOOKUP($R44,武学奇术!$A:$ZZ,3,FALSE)+SUM(_xlfn.XLOOKUP($S44:$AL44,增益!$A:$A,增益!$C:$C,0))-$I$2</f>
        <v>4094.7</v>
      </c>
      <c r="AU44" cm="1">
        <f t="array" ref="AU44">$E$10*(1+$AS44)+VLOOKUP($R44,武学奇术!$A:$ZZ,4,FALSE)+SUM(_xlfn.XLOOKUP($S44:$AL44,增益!$A:$A,增益!$D:$D,0))-$I$2</f>
        <v>4094.7</v>
      </c>
      <c r="AV44" s="40" cm="1">
        <f t="array" ref="AV44">IF($F$10-$I$3+VLOOKUP($R44,武学奇术!$A:$ZZ,6,FALSE)+SUM(_xlfn.XLOOKUP($S44:$AL44,增益!$A:$A,增益!$F:$F,0))&gt;0,($F$10-$I$3+VLOOKUP($R44,武学奇术!$A:$ZZ,6,FALSE)+SUM(_xlfn.XLOOKUP($S44:$AL44,增益!$A:$A,增益!$F:$F,0)))/200,($F$10-$I$3+VLOOKUP($R44,武学奇术!$A:$ZZ,6,FALSE)+SUM(_xlfn.XLOOKUP($S44:$AL44,增益!$A:$A,增益!$F:$F,0)))/100)</f>
        <v>0.4384</v>
      </c>
      <c r="AW44" s="40" cm="1">
        <f t="array" ref="AW44">$G$10+VLOOKUP($R44,武学奇术!$A:$ZZ,7,FALSE)+SUM(_xlfn.XLOOKUP($S44:$AL44,增益!$A:$A,增益!$G:$G,0))</f>
        <v>0.14</v>
      </c>
      <c r="AX44" s="33" cm="1">
        <f t="array" ref="AX44">VLOOKUP($R44,武学奇术!$A:$ZZ,8,FALSE)+SUM(_xlfn.XLOOKUP($S44:$AL44,增益!$A:$A,增益!$H:$H,0))</f>
        <v>0</v>
      </c>
      <c r="AY44">
        <f t="shared" si="15"/>
        <v>0</v>
      </c>
      <c r="AZ44">
        <f t="shared" si="16"/>
        <v>0</v>
      </c>
      <c r="BA44" s="40" cm="1">
        <f t="array" ref="BA44">IF($F$11-$I$4+VLOOKUP($R44,武学奇术!$A:$ZZ,9,FALSE)+SUM(_xlfn.XLOOKUP($S44:$AL44,增益!$A:$A,增益!$I:$I,0))&gt;0,($F$11-$I$4+VLOOKUP($R44,武学奇术!$A:$ZZ,9,FALSE)+SUM(_xlfn.XLOOKUP($S44:$AL44,增益!$A:$A,增益!$I:$I,0)))/200,($F$11-$I$4+VLOOKUP($R44,武学奇术!$A:$ZZ,9,FALSE)+SUM(_xlfn.XLOOKUP($S44:$AL44,增益!$A:$A,增益!$I:$I,0)))/100)</f>
        <v>-0.14</v>
      </c>
      <c r="BB44" s="40" cm="1">
        <f t="array" ref="BB44">$G$11+VLOOKUP($R44,武学奇术!$A:$ZZ,10,FALSE)+SUM(_xlfn.XLOOKUP($S44:$AL44,增益!$A:$A,增益!$J:$J,0))</f>
        <v>0.02</v>
      </c>
      <c r="BC44">
        <f t="shared" si="17"/>
        <v>640.3</v>
      </c>
      <c r="BD44">
        <f t="shared" si="18"/>
        <v>1770.1</v>
      </c>
      <c r="BE44" s="40" cm="1">
        <f t="array" ref="BE44">IF($F$12-$I$4+VLOOKUP($R44,武学奇术!$A:$ZZ,11,FALSE)+SUM(_xlfn.XLOOKUP($S44:$AL44,增益!$A:$A,增益!$K:$K,0))&gt;0,($F$12-$I$4+VLOOKUP($R44,武学奇术!$A:$ZZ,11,FALSE)+SUM(_xlfn.XLOOKUP($S44:$AL44,增益!$A:$A,增益!$K:$K,0)))/200,($F$12-$I$4+VLOOKUP($R44,武学奇术!$A:$ZZ,11,FALSE)+SUM(_xlfn.XLOOKUP($S44:$AL44,增益!$A:$A,增益!$K:$K,0)))/100)</f>
        <v>0.17</v>
      </c>
      <c r="BF44" s="40" cm="1">
        <f t="array" ref="BF44">$G$12+VLOOKUP($R44,武学奇术!$A:$ZZ,12,FALSE)+SUM(_xlfn.XLOOKUP($S44:$AL44,增益!$A:$A,增益!$L:$L,0))</f>
        <v>0.29</v>
      </c>
      <c r="BG44">
        <f t="shared" si="19"/>
        <v>0</v>
      </c>
      <c r="BH44">
        <f t="shared" si="20"/>
        <v>0</v>
      </c>
      <c r="BI44" s="40" cm="1">
        <f t="array" ref="BI44">IF($F$13-$I$4+VLOOKUP($R44,武学奇术!$A:$ZZ,13,FALSE)+SUM(_xlfn.XLOOKUP($S44:$AL44,增益!$A:$A,增益!$M:$M,0))&gt;0,($F$13-$I$4+VLOOKUP($R44,武学奇术!$A:$ZZ,13,FALSE)+SUM(_xlfn.XLOOKUP($S44:$AL44,增益!$A:$A,增益!$K:$K,0)))/200,($F$13-$I$4+VLOOKUP($R44,武学奇术!$A:$ZZ,13,FALSE)+SUM(_xlfn.XLOOKUP($S44:$AL44,增益!$A:$A,增益!$M:$M,0)))/100)</f>
        <v>-0.14</v>
      </c>
      <c r="BJ44" s="40" cm="1">
        <f t="array" ref="BJ44">$G$13+VLOOKUP($R44,武学奇术!$A:$ZZ,14,FALSE)+SUM(_xlfn.XLOOKUP($S44:$AL44,增益!$A:$A,增益!$N:$N,0))</f>
        <v>0.02</v>
      </c>
      <c r="BK44">
        <f t="shared" si="21"/>
        <v>0</v>
      </c>
      <c r="BL44">
        <f t="shared" si="22"/>
        <v>0</v>
      </c>
      <c r="BM44" s="40" cm="1">
        <f t="array" ref="BM44">IF($F$14-$I$4+VLOOKUP($R44,武学奇术!$A:$ZZ,15,FALSE)+SUM(_xlfn.XLOOKUP($S44:$AL44,增益!$A:$A,增益!$O:$O,0))&gt;0,($F$14-$I$4+VLOOKUP($R44,武学奇术!$A:$ZZ,15,FALSE)+SUM(_xlfn.XLOOKUP($S44:$AL44,增益!$A:$A,增益!$O:$O,0)))/200,($F$14-$I$4+VLOOKUP($R44,武学奇术!$A:$ZZ,15,FALSE)+SUM(_xlfn.XLOOKUP($S44:$AL44,增益!$A:$A,增益!$O:$O,0)))/100)</f>
        <v>-0.14</v>
      </c>
      <c r="BN44" s="40" cm="1">
        <f t="array" ref="BN44">$G$14+VLOOKUP($R44,武学奇术!$A:$ZZ,16,FALSE)+SUM(_xlfn.XLOOKUP($S44:$AL44,增益!$A:$A,增益!$P:$P,0))</f>
        <v>0.02</v>
      </c>
      <c r="BO44" s="33">
        <f>MIN(IF(VLOOKUP($R44,武学奇术!$A:$ZZ,23,FALSE)=1,100%,$B$8),100%)</f>
        <v>1</v>
      </c>
      <c r="BP44" s="33" cm="1">
        <f t="array" ref="BP44">IF(VLOOKUP($R44,武学奇术!$A:$ZZ,23,FALSE)=1,100%,MIN(80%,$B$9+VLOOKUP($R44,武学奇术!$A:$ZZ,17,FALSE)+SUM(_xlfn.XLOOKUP($S44:$AL44,增益!$A:$A,增益!$Q:$Q,0)))+$B$11+SUM(_xlfn.XLOOKUP($S44:$AL44,增益!$A:$A,增益!$U:$U,0)))*IF(VLOOKUP($R44,武学奇术!$A:$ZZ,24,FALSE)=1,0,1)</f>
        <v>1</v>
      </c>
      <c r="BQ44" s="33" cm="1">
        <f t="array" ref="BQ44">1+$B$13+VLOOKUP($R44,武学奇术!$A:$ZZ,18,FALSE)+SUM(_xlfn.XLOOKUP($S44:$AL44,增益!$A:$A,增益!$R:$R,0))</f>
        <v>2.09</v>
      </c>
      <c r="BR44" s="33" cm="1">
        <f t="array" ref="BR44">IF(VLOOKUP($R44,武学奇术!$A:$ZZ,24,FALSE)=1,100%,MIN(40%,$B$10+VLOOKUP($R44,武学奇术!$A:$ZZ,19,FALSE)+SUM(_xlfn.XLOOKUP($S44:$AL44,增益!$A:$A,增益!$S:$S,0)))+$B$12+SUM(_xlfn.XLOOKUP($S44:$AL44,增益!$A:$A,增益!$V:$V,0)))*IF(VLOOKUP($R44,武学奇术!$A:$ZZ,23,FALSE)=1,0,1)</f>
        <v>0</v>
      </c>
      <c r="BS44" s="33" cm="1">
        <f t="array" ref="BS44">1+$B$14+VLOOKUP($R44,武学奇术!$A:$ZZ,20,FALSE)+SUM(_xlfn.XLOOKUP($S44:$AL44,增益!$A:$A,增益!$T:$T,0))</f>
        <v>1.35</v>
      </c>
      <c r="BT44" s="33">
        <f t="shared" si="23"/>
        <v>1</v>
      </c>
      <c r="BU44" s="33">
        <f t="shared" si="24"/>
        <v>0</v>
      </c>
      <c r="BV44" s="33">
        <f>IF(VLOOKUP($R44,武学奇术!$A:$ZZ,22,FALSE)=1,0,(1-$BO44))*(1-$BR44)</f>
        <v>0</v>
      </c>
      <c r="BW44" s="33" cm="1">
        <f t="array" ref="BW44">SUM(_xlfn.XLOOKUP($S44:$AL44,增益!$A:$A,增益!$W:$W,0))+$I$5</f>
        <v>0.11</v>
      </c>
      <c r="BX44" s="33" cm="1">
        <f t="array" ref="BX44">VLOOKUP($R44,武学奇术!$A:$ZZ,32,FALSE)+SUM(_xlfn.XLOOKUP($S44:$AL44,增益!$A:$A,增益!$X:$X,0))</f>
        <v>0</v>
      </c>
    </row>
    <row r="45" spans="1:76">
      <c r="A45" s="4" t="s">
        <v>168</v>
      </c>
      <c r="B45" s="4">
        <v>2.3</v>
      </c>
      <c r="D45" s="47"/>
      <c r="L45" s="46">
        <f t="shared" si="14"/>
        <v>422875.948733113</v>
      </c>
      <c r="M45" s="46">
        <f>((($AT45+$AU45)/2*$AN45+$AO45)*(1+$AV45)*(1+$AW45)+(($AY45+$AZ45)/2*IF($G$1="鸣金",$AP45,$AN45)+IF($G$1="鸣金",$AQ45*1.5,0))*(1+$BA45)*(1+$BB45)+(($BC45+$BD45)/2*IF($G$1="裂石",$AP45,$AN45)+IF($G$1="裂石",$AQ45*1.5,0))*(1+$BE45)*(1+$BF45)+(($BG45+$BH45)/2*IF($G$1="牵丝",$AP45,$AN45)+IF($G$1="牵丝",$AQ45*1.5,0))*(1+$BI45)*(1+$BJ45)+(($BK45+$BL45)/2*IF($G$1="破竹",$AP45,$AN45)+IF($G$1="破竹",$AQ45*1.5,0))*(1+$BM45)*(1+$BN45))*(1+$AR45)*$BQ45*$Q45*(1+IF(VLOOKUP($R45,武学奇术!$A:$ZZ,30,FALSE)="蓄力技",$B$21,0))*(1+IF(VLOOKUP($R45,武学奇术!$A:$ZZ,30,FALSE)="派生技",$B$20,0))*(1+$BW45)*(1+$BX45)</f>
        <v>422875.948733113</v>
      </c>
      <c r="N45" s="46">
        <f>(($AU45*$AN45+$AO45)*(1+$AV45)*(1+$AW45)+($AZ45*IF($G$1="鸣金",$AP45,$AN45)+IF($G$1="鸣金",$AQ45*1.5,0))*(1+$BA45)*(1+$BB45)+($BD45*IF($G$1="裂石",$AP45,$AN45)+IF($G$1="裂石",$AQ45*1.5,0))*(1+$BE45)*(1+$BF45)+($BH45*IF($G$1="牵丝",$AP45,$AN45)+IF($G$1="牵丝",$AQ45*1.5,0))*(1+$BI45)*(1+$BJ45)+($BL45*IF($G$1="破竹",$AP45,$AN45)+IF($G$1="破竹",$AQ45*1.5,0))*(1+$BM45)*(1+$BN45))*(1+$AR45)*$BS45*$Q45*(1+IF(VLOOKUP($R45,武学奇术!$A:$ZZ,30,FALSE)="蓄力技",$B$21,0))*(1+IF(VLOOKUP($R45,武学奇术!$A:$ZZ,30,FALSE)="派生技",$B$20,0))*(1+$BW45)*(1+$BX45)</f>
        <v>304298.269208613</v>
      </c>
      <c r="O45" s="46">
        <f>((($AT45+$AU45)/2*$AN45+$AO45)*(1+$AV45)*(1+$AW45)+(($AY45+$AZ45)/2*IF($G$1="鸣金",$AP45,$AN45)+IF($G$1="鸣金",$AQ45*1.5,0))*(1+$BA45)*(1+$BB45)+(($BC45+$BD45)/2*IF($G$1="裂石",$AP45,$AN45)+IF($G$1="裂石",$AQ45*1.5,0))*(1+$BE45)*(1+$BF45)+(($BG45+$BH45)/2*IF($G$1="牵丝",$AP45,$AN45)+IF($G$1="牵丝",$AQ45*1.5,0))*(1+$BI45)*(1+$BJ45)+(($BK45+$BL45)/2*IF($G$1="破竹",$AP45,$AN45)+IF($G$1="破竹",$AQ45*1.5,0))*(1+$BM45)*(1+$BN45))*(1+$AR45)*$Q45*(1+IF(VLOOKUP($R45,武学奇术!$A:$ZZ,30,FALSE)="蓄力技",$B$21,0))*(1+IF(VLOOKUP($R45,武学奇术!$A:$ZZ,30,FALSE)="派生技",$B$20,0))*(1+$BW45)*(1+$BX45)</f>
        <v>201369.499396721</v>
      </c>
      <c r="P45" s="46">
        <f>((($AT45*$AN45+$AO45)*(1+$AV45)*(1+$AW45)+($AY45*IF($G$1="鸣金",$AP45,$AN45)+IF($G$1="鸣金",$AQ45*1.5,0))*(1+$BA45)*(1+$BB45)+($BC45*IF($G$1="裂石",$AP45,$AN45)+IF($G$1="裂石",$AQ45*1.5,0))*(1+$BE45)*(1+$BF45)+($BG45*IF($G$1="牵丝",$AP45,$AN45)+IF($G$1="牵丝",$AQ45*1.5,0))*(1+$BI45)*(1+$BJ45)+($BK45*IF($G$1="破竹",$AP45,$AN45)+IF($G$1="破竹",$AQ45*1.5,0))*(1+$BM45)*(1+$BN45))*(1+$AR45))*$Q45*(1+IF(VLOOKUP($R45,武学奇术!$A:$ZZ,30,FALSE)="蓄力技",$B$21,0))*(1+IF(VLOOKUP($R45,武学奇术!$A:$ZZ,30,FALSE)="派生技",$B$20,0))*(1+$BW45)*(1+$BX45)</f>
        <v>177332.873453728</v>
      </c>
      <c r="Q45" s="47">
        <f t="shared" si="25"/>
        <v>1</v>
      </c>
      <c r="R45" s="48" t="s">
        <v>148</v>
      </c>
      <c r="S45" s="48" t="s">
        <v>99</v>
      </c>
      <c r="T45" s="48" t="s">
        <v>182</v>
      </c>
      <c r="U45" s="48" t="s">
        <v>79</v>
      </c>
      <c r="V45" s="48" t="s">
        <v>90</v>
      </c>
      <c r="W45" s="48" t="s">
        <v>141</v>
      </c>
      <c r="X45" s="48" t="s">
        <v>145</v>
      </c>
      <c r="Y45" s="48" t="s">
        <v>74</v>
      </c>
      <c r="Z45" s="48" t="s">
        <v>80</v>
      </c>
      <c r="AA45" s="48" t="s">
        <v>80</v>
      </c>
      <c r="AB45" s="48" t="s">
        <v>80</v>
      </c>
      <c r="AC45" s="48" t="s">
        <v>80</v>
      </c>
      <c r="AD45" s="48" t="s">
        <v>80</v>
      </c>
      <c r="AE45" s="48" t="s">
        <v>82</v>
      </c>
      <c r="AF45" s="48" t="s">
        <v>83</v>
      </c>
      <c r="AG45" s="48" t="s">
        <v>84</v>
      </c>
      <c r="AH45" s="48" t="s">
        <v>80</v>
      </c>
      <c r="AI45" s="48" t="s">
        <v>80</v>
      </c>
      <c r="AJ45" s="48" t="s">
        <v>80</v>
      </c>
      <c r="AK45" s="48" t="s">
        <v>80</v>
      </c>
      <c r="AL45" s="48" t="s">
        <v>85</v>
      </c>
      <c r="AM45" t="str">
        <f>VLOOKUP($R45,武学奇术!$A:$ZZ,25,FALSE)</f>
        <v>陌刀</v>
      </c>
      <c r="AN45" s="33">
        <f>VLOOKUP($R45,武学奇术!$A:$ZZ,26,FALSE)</f>
        <v>7.5674</v>
      </c>
      <c r="AO45" s="34">
        <f>VLOOKUP($R45,武学奇术!$A:$ZZ,27,FALSE)*(1+IF(OR($AM45=$F$4,$AM45=$F$5),$B$22,0))</f>
        <v>3348.8</v>
      </c>
      <c r="AP45" s="33">
        <f>VLOOKUP($R45,武学奇术!$A:$ZZ,28,FALSE)</f>
        <v>11.3512</v>
      </c>
      <c r="AQ45" s="34">
        <f>VLOOKUP($R45,武学奇术!$A:$ZZ,29,FALSE)*(1+IF(OR($AM45=$F$4,$AM45=$F$5),$B$22,0))</f>
        <v>1824</v>
      </c>
      <c r="AR45" s="33" cm="1">
        <f t="array" ref="AR45">$G$3+IFERROR(VLOOKUP($AM45,$F$4:$G$7,2,FALSE),0)+VLOOKUP($R45,武学奇术!$A:$ZZ,2,FALSE)+SUM(_xlfn.XLOOKUP($S45:$AL45,增益!$A:$A,增益!$B:$B,0))</f>
        <v>0.6943</v>
      </c>
      <c r="AS45" s="33" cm="1">
        <f t="array" ref="AS45">VLOOKUP($R45,武学奇术!$A:$ZZ,5,FALSE)+SUM(_xlfn.XLOOKUP($S45:$AL45,增益!$A:$A,增益!$E:$E,0))</f>
        <v>0</v>
      </c>
      <c r="AT45" cm="1">
        <f t="array" ref="AT45">$D$10*(1+$AS45)+VLOOKUP($R45,武学奇术!$A:$ZZ,3,FALSE)+SUM(_xlfn.XLOOKUP($S45:$AL45,增益!$A:$A,增益!$C:$C,0))-$I$2</f>
        <v>4094.7</v>
      </c>
      <c r="AU45" cm="1">
        <f t="array" ref="AU45">$E$10*(1+$AS45)+VLOOKUP($R45,武学奇术!$A:$ZZ,4,FALSE)+SUM(_xlfn.XLOOKUP($S45:$AL45,增益!$A:$A,增益!$D:$D,0))-$I$2</f>
        <v>4094.7</v>
      </c>
      <c r="AV45" s="40" cm="1">
        <f t="array" ref="AV45">IF($F$10-$I$3+VLOOKUP($R45,武学奇术!$A:$ZZ,6,FALSE)+SUM(_xlfn.XLOOKUP($S45:$AL45,增益!$A:$A,增益!$F:$F,0))&gt;0,($F$10-$I$3+VLOOKUP($R45,武学奇术!$A:$ZZ,6,FALSE)+SUM(_xlfn.XLOOKUP($S45:$AL45,增益!$A:$A,增益!$F:$F,0)))/200,($F$10-$I$3+VLOOKUP($R45,武学奇术!$A:$ZZ,6,FALSE)+SUM(_xlfn.XLOOKUP($S45:$AL45,增益!$A:$A,增益!$F:$F,0)))/100)</f>
        <v>0.4384</v>
      </c>
      <c r="AW45" s="40" cm="1">
        <f t="array" ref="AW45">$G$10+VLOOKUP($R45,武学奇术!$A:$ZZ,7,FALSE)+SUM(_xlfn.XLOOKUP($S45:$AL45,增益!$A:$A,增益!$G:$G,0))</f>
        <v>0.14</v>
      </c>
      <c r="AX45" s="33" cm="1">
        <f t="array" ref="AX45">VLOOKUP($R45,武学奇术!$A:$ZZ,8,FALSE)+SUM(_xlfn.XLOOKUP($S45:$AL45,增益!$A:$A,增益!$H:$H,0))</f>
        <v>0</v>
      </c>
      <c r="AY45">
        <f t="shared" si="15"/>
        <v>0</v>
      </c>
      <c r="AZ45">
        <f t="shared" si="16"/>
        <v>0</v>
      </c>
      <c r="BA45" s="40" cm="1">
        <f t="array" ref="BA45">IF($F$11-$I$4+VLOOKUP($R45,武学奇术!$A:$ZZ,9,FALSE)+SUM(_xlfn.XLOOKUP($S45:$AL45,增益!$A:$A,增益!$I:$I,0))&gt;0,($F$11-$I$4+VLOOKUP($R45,武学奇术!$A:$ZZ,9,FALSE)+SUM(_xlfn.XLOOKUP($S45:$AL45,增益!$A:$A,增益!$I:$I,0)))/200,($F$11-$I$4+VLOOKUP($R45,武学奇术!$A:$ZZ,9,FALSE)+SUM(_xlfn.XLOOKUP($S45:$AL45,增益!$A:$A,增益!$I:$I,0)))/100)</f>
        <v>-0.14</v>
      </c>
      <c r="BB45" s="40" cm="1">
        <f t="array" ref="BB45">$G$11+VLOOKUP($R45,武学奇术!$A:$ZZ,10,FALSE)+SUM(_xlfn.XLOOKUP($S45:$AL45,增益!$A:$A,增益!$J:$J,0))</f>
        <v>0.02</v>
      </c>
      <c r="BC45">
        <f t="shared" si="17"/>
        <v>640.3</v>
      </c>
      <c r="BD45">
        <f t="shared" si="18"/>
        <v>1770.1</v>
      </c>
      <c r="BE45" s="40" cm="1">
        <f t="array" ref="BE45">IF($F$12-$I$4+VLOOKUP($R45,武学奇术!$A:$ZZ,11,FALSE)+SUM(_xlfn.XLOOKUP($S45:$AL45,增益!$A:$A,增益!$K:$K,0))&gt;0,($F$12-$I$4+VLOOKUP($R45,武学奇术!$A:$ZZ,11,FALSE)+SUM(_xlfn.XLOOKUP($S45:$AL45,增益!$A:$A,增益!$K:$K,0)))/200,($F$12-$I$4+VLOOKUP($R45,武学奇术!$A:$ZZ,11,FALSE)+SUM(_xlfn.XLOOKUP($S45:$AL45,增益!$A:$A,增益!$K:$K,0)))/100)</f>
        <v>0.17</v>
      </c>
      <c r="BF45" s="40" cm="1">
        <f t="array" ref="BF45">$G$12+VLOOKUP($R45,武学奇术!$A:$ZZ,12,FALSE)+SUM(_xlfn.XLOOKUP($S45:$AL45,增益!$A:$A,增益!$L:$L,0))</f>
        <v>0.29</v>
      </c>
      <c r="BG45">
        <f t="shared" si="19"/>
        <v>0</v>
      </c>
      <c r="BH45">
        <f t="shared" si="20"/>
        <v>0</v>
      </c>
      <c r="BI45" s="40" cm="1">
        <f t="array" ref="BI45">IF($F$13-$I$4+VLOOKUP($R45,武学奇术!$A:$ZZ,13,FALSE)+SUM(_xlfn.XLOOKUP($S45:$AL45,增益!$A:$A,增益!$M:$M,0))&gt;0,($F$13-$I$4+VLOOKUP($R45,武学奇术!$A:$ZZ,13,FALSE)+SUM(_xlfn.XLOOKUP($S45:$AL45,增益!$A:$A,增益!$K:$K,0)))/200,($F$13-$I$4+VLOOKUP($R45,武学奇术!$A:$ZZ,13,FALSE)+SUM(_xlfn.XLOOKUP($S45:$AL45,增益!$A:$A,增益!$M:$M,0)))/100)</f>
        <v>-0.14</v>
      </c>
      <c r="BJ45" s="40" cm="1">
        <f t="array" ref="BJ45">$G$13+VLOOKUP($R45,武学奇术!$A:$ZZ,14,FALSE)+SUM(_xlfn.XLOOKUP($S45:$AL45,增益!$A:$A,增益!$N:$N,0))</f>
        <v>0.02</v>
      </c>
      <c r="BK45">
        <f t="shared" si="21"/>
        <v>0</v>
      </c>
      <c r="BL45">
        <f t="shared" si="22"/>
        <v>0</v>
      </c>
      <c r="BM45" s="40" cm="1">
        <f t="array" ref="BM45">IF($F$14-$I$4+VLOOKUP($R45,武学奇术!$A:$ZZ,15,FALSE)+SUM(_xlfn.XLOOKUP($S45:$AL45,增益!$A:$A,增益!$O:$O,0))&gt;0,($F$14-$I$4+VLOOKUP($R45,武学奇术!$A:$ZZ,15,FALSE)+SUM(_xlfn.XLOOKUP($S45:$AL45,增益!$A:$A,增益!$O:$O,0)))/200,($F$14-$I$4+VLOOKUP($R45,武学奇术!$A:$ZZ,15,FALSE)+SUM(_xlfn.XLOOKUP($S45:$AL45,增益!$A:$A,增益!$O:$O,0)))/100)</f>
        <v>-0.14</v>
      </c>
      <c r="BN45" s="40" cm="1">
        <f t="array" ref="BN45">$G$14+VLOOKUP($R45,武学奇术!$A:$ZZ,16,FALSE)+SUM(_xlfn.XLOOKUP($S45:$AL45,增益!$A:$A,增益!$P:$P,0))</f>
        <v>0.02</v>
      </c>
      <c r="BO45" s="33">
        <f>MIN(IF(VLOOKUP($R45,武学奇术!$A:$ZZ,23,FALSE)=1,100%,$B$8),100%)</f>
        <v>1</v>
      </c>
      <c r="BP45" s="33" cm="1">
        <f t="array" ref="BP45">IF(VLOOKUP($R45,武学奇术!$A:$ZZ,23,FALSE)=1,100%,MIN(80%,$B$9+VLOOKUP($R45,武学奇术!$A:$ZZ,17,FALSE)+SUM(_xlfn.XLOOKUP($S45:$AL45,增益!$A:$A,增益!$Q:$Q,0)))+$B$11+SUM(_xlfn.XLOOKUP($S45:$AL45,增益!$A:$A,增益!$U:$U,0)))*IF(VLOOKUP($R45,武学奇术!$A:$ZZ,24,FALSE)=1,0,1)</f>
        <v>1</v>
      </c>
      <c r="BQ45" s="33" cm="1">
        <f t="array" ref="BQ45">1+$B$13+VLOOKUP($R45,武学奇术!$A:$ZZ,18,FALSE)+SUM(_xlfn.XLOOKUP($S45:$AL45,增益!$A:$A,增益!$R:$R,0))</f>
        <v>2.1</v>
      </c>
      <c r="BR45" s="33" cm="1">
        <f t="array" ref="BR45">IF(VLOOKUP($R45,武学奇术!$A:$ZZ,24,FALSE)=1,100%,MIN(40%,$B$10+VLOOKUP($R45,武学奇术!$A:$ZZ,19,FALSE)+SUM(_xlfn.XLOOKUP($S45:$AL45,增益!$A:$A,增益!$S:$S,0)))+$B$12+SUM(_xlfn.XLOOKUP($S45:$AL45,增益!$A:$A,增益!$V:$V,0)))*IF(VLOOKUP($R45,武学奇术!$A:$ZZ,23,FALSE)=1,0,1)</f>
        <v>0</v>
      </c>
      <c r="BS45" s="33" cm="1">
        <f t="array" ref="BS45">1+$B$14+VLOOKUP($R45,武学奇术!$A:$ZZ,20,FALSE)+SUM(_xlfn.XLOOKUP($S45:$AL45,增益!$A:$A,增益!$T:$T,0))</f>
        <v>1.35</v>
      </c>
      <c r="BT45" s="33">
        <f t="shared" si="23"/>
        <v>1</v>
      </c>
      <c r="BU45" s="33">
        <f t="shared" si="24"/>
        <v>0</v>
      </c>
      <c r="BV45" s="33">
        <f>IF(VLOOKUP($R45,武学奇术!$A:$ZZ,22,FALSE)=1,0,(1-$BO45))*(1-$BR45)</f>
        <v>0</v>
      </c>
      <c r="BW45" s="33" cm="1">
        <f t="array" ref="BW45">SUM(_xlfn.XLOOKUP($S45:$AL45,增益!$A:$A,增益!$W:$W,0))+$I$5</f>
        <v>0.11</v>
      </c>
      <c r="BX45" s="33" cm="1">
        <f t="array" ref="BX45">VLOOKUP($R45,武学奇术!$A:$ZZ,32,FALSE)+SUM(_xlfn.XLOOKUP($S45:$AL45,增益!$A:$A,增益!$X:$X,0))</f>
        <v>0</v>
      </c>
    </row>
    <row r="46" spans="1:76">
      <c r="A46" s="4" t="s">
        <v>168</v>
      </c>
      <c r="B46" s="4">
        <v>2.3</v>
      </c>
      <c r="C46" s="47" t="s">
        <v>183</v>
      </c>
      <c r="D46" s="47"/>
      <c r="L46" s="46">
        <f t="shared" si="14"/>
        <v>25856.4396851203</v>
      </c>
      <c r="M46" s="46">
        <f>((($AT46+$AU46)/2*$AN46+$AO46)*(1+$AV46)*(1+$AW46)+(($AY46+$AZ46)/2*IF($G$1="鸣金",$AP46,$AN46)+IF($G$1="鸣金",$AQ46*1.5,0))*(1+$BA46)*(1+$BB46)+(($BC46+$BD46)/2*IF($G$1="裂石",$AP46,$AN46)+IF($G$1="裂石",$AQ46*1.5,0))*(1+$BE46)*(1+$BF46)+(($BG46+$BH46)/2*IF($G$1="牵丝",$AP46,$AN46)+IF($G$1="牵丝",$AQ46*1.5,0))*(1+$BI46)*(1+$BJ46)+(($BK46+$BL46)/2*IF($G$1="破竹",$AP46,$AN46)+IF($G$1="破竹",$AQ46*1.5,0))*(1+$BM46)*(1+$BN46))*(1+$AR46)*$BQ46*$Q46*(1+IF(VLOOKUP($R46,武学奇术!$A:$ZZ,30,FALSE)="蓄力技",$B$21,0))*(1+IF(VLOOKUP($R46,武学奇术!$A:$ZZ,30,FALSE)="派生技",$B$20,0))*(1+$BW46)*(1+$BX46)</f>
        <v>25856.4396851203</v>
      </c>
      <c r="N46" s="46">
        <f>(($AU46*$AN46+$AO46)*(1+$AV46)*(1+$AW46)+($AZ46*IF($G$1="鸣金",$AP46,$AN46)+IF($G$1="鸣金",$AQ46*1.5,0))*(1+$BA46)*(1+$BB46)+($BD46*IF($G$1="裂石",$AP46,$AN46)+IF($G$1="裂石",$AQ46*1.5,0))*(1+$BE46)*(1+$BF46)+($BH46*IF($G$1="牵丝",$AP46,$AN46)+IF($G$1="牵丝",$AQ46*1.5,0))*(1+$BI46)*(1+$BJ46)+($BL46*IF($G$1="破竹",$AP46,$AN46)+IF($G$1="破竹",$AQ46*1.5,0))*(1+$BM46)*(1+$BN46))*(1+$AR46)*$BS46*$Q46*(1+IF(VLOOKUP($R46,武学奇术!$A:$ZZ,30,FALSE)="蓄力技",$B$21,0))*(1+IF(VLOOKUP($R46,武学奇术!$A:$ZZ,30,FALSE)="派生技",$B$20,0))*(1+$BW46)*(1+$BX46)</f>
        <v>18873.2072050448</v>
      </c>
      <c r="O46" s="46">
        <f>((($AT46+$AU46)/2*$AN46+$AO46)*(1+$AV46)*(1+$AW46)+(($AY46+$AZ46)/2*IF($G$1="鸣金",$AP46,$AN46)+IF($G$1="鸣金",$AQ46*1.5,0))*(1+$BA46)*(1+$BB46)+(($BC46+$BD46)/2*IF($G$1="裂石",$AP46,$AN46)+IF($G$1="裂石",$AQ46*1.5,0))*(1+$BE46)*(1+$BF46)+(($BG46+$BH46)/2*IF($G$1="牵丝",$AP46,$AN46)+IF($G$1="牵丝",$AQ46*1.5,0))*(1+$BI46)*(1+$BJ46)+(($BK46+$BL46)/2*IF($G$1="破竹",$AP46,$AN46)+IF($G$1="破竹",$AQ46*1.5,0))*(1+$BM46)*(1+$BN46))*(1+$AR46)*$Q46*(1+IF(VLOOKUP($R46,武学奇术!$A:$ZZ,30,FALSE)="蓄力技",$B$21,0))*(1+IF(VLOOKUP($R46,武学奇术!$A:$ZZ,30,FALSE)="派生技",$B$20,0))*(1+$BW46)*(1+$BX46)</f>
        <v>12312.5903262478</v>
      </c>
      <c r="P46" s="46">
        <f>((($AT46*$AN46+$AO46)*(1+$AV46)*(1+$AW46)+($AY46*IF($G$1="鸣金",$AP46,$AN46)+IF($G$1="鸣金",$AQ46*1.5,0))*(1+$BA46)*(1+$BB46)+($BC46*IF($G$1="裂石",$AP46,$AN46)+IF($G$1="裂石",$AQ46*1.5,0))*(1+$BE46)*(1+$BF46)+($BG46*IF($G$1="牵丝",$AP46,$AN46)+IF($G$1="牵丝",$AQ46*1.5,0))*(1+$BI46)*(1+$BJ46)+($BK46*IF($G$1="破竹",$AP46,$AN46)+IF($G$1="破竹",$AQ46*1.5,0))*(1+$BM46)*(1+$BN46))*(1+$AR46))*$Q46*(1+IF(VLOOKUP($R46,武学奇术!$A:$ZZ,30,FALSE)="蓄力技",$B$21,0))*(1+IF(VLOOKUP($R46,武学奇术!$A:$ZZ,30,FALSE)="派生技",$B$20,0))*(1+$BW46)*(1+$BX46)</f>
        <v>10645.0271672772</v>
      </c>
      <c r="Q46" s="47">
        <f t="shared" si="25"/>
        <v>1</v>
      </c>
      <c r="R46" s="48" t="s">
        <v>154</v>
      </c>
      <c r="S46" s="48" t="s">
        <v>99</v>
      </c>
      <c r="T46" s="48" t="s">
        <v>182</v>
      </c>
      <c r="U46" s="48" t="s">
        <v>79</v>
      </c>
      <c r="V46" s="48" t="s">
        <v>90</v>
      </c>
      <c r="W46" s="48" t="s">
        <v>141</v>
      </c>
      <c r="X46" s="48" t="s">
        <v>145</v>
      </c>
      <c r="Y46" s="48" t="s">
        <v>74</v>
      </c>
      <c r="Z46" s="48" t="s">
        <v>80</v>
      </c>
      <c r="AA46" s="48" t="s">
        <v>80</v>
      </c>
      <c r="AB46" s="48" t="s">
        <v>80</v>
      </c>
      <c r="AC46" s="48" t="s">
        <v>80</v>
      </c>
      <c r="AD46" s="48" t="s">
        <v>80</v>
      </c>
      <c r="AE46" s="48" t="s">
        <v>82</v>
      </c>
      <c r="AF46" s="48" t="s">
        <v>83</v>
      </c>
      <c r="AG46" s="48" t="s">
        <v>84</v>
      </c>
      <c r="AH46" s="48" t="s">
        <v>80</v>
      </c>
      <c r="AI46" s="48" t="s">
        <v>80</v>
      </c>
      <c r="AJ46" s="48" t="s">
        <v>80</v>
      </c>
      <c r="AK46" s="48" t="s">
        <v>80</v>
      </c>
      <c r="AL46" s="48" t="s">
        <v>85</v>
      </c>
      <c r="AM46" t="str">
        <f>VLOOKUP($R46,武学奇术!$A:$ZZ,25,FALSE)</f>
        <v>陌刀</v>
      </c>
      <c r="AN46" s="33">
        <f>VLOOKUP($R46,武学奇术!$A:$ZZ,26,FALSE)</f>
        <v>0.525</v>
      </c>
      <c r="AO46" s="34">
        <f>VLOOKUP($R46,武学奇术!$A:$ZZ,27,FALSE)*(1+IF(OR($AM46=$F$4,$AM46=$F$5),$B$22,0))</f>
        <v>0</v>
      </c>
      <c r="AP46" s="33">
        <f>VLOOKUP($R46,武学奇术!$A:$ZZ,28,FALSE)</f>
        <v>0.7875</v>
      </c>
      <c r="AQ46" s="34">
        <f>VLOOKUP($R46,武学奇术!$A:$ZZ,29,FALSE)*(1+IF(OR($AM46=$F$4,$AM46=$F$5),$B$22,0))</f>
        <v>0</v>
      </c>
      <c r="AR46" s="33" cm="1">
        <f t="array" ref="AR46">$G$3+IFERROR(VLOOKUP($AM46,$F$4:$G$7,2,FALSE),0)+VLOOKUP($R46,武学奇术!$A:$ZZ,2,FALSE)+SUM(_xlfn.XLOOKUP($S46:$AL46,增益!$A:$A,增益!$B:$B,0))</f>
        <v>0.6943</v>
      </c>
      <c r="AS46" s="33" cm="1">
        <f t="array" ref="AS46">VLOOKUP($R46,武学奇术!$A:$ZZ,5,FALSE)+SUM(_xlfn.XLOOKUP($S46:$AL46,增益!$A:$A,增益!$E:$E,0))</f>
        <v>0</v>
      </c>
      <c r="AT46" cm="1">
        <f t="array" ref="AT46">$D$10*(1+$AS46)+VLOOKUP($R46,武学奇术!$A:$ZZ,3,FALSE)+SUM(_xlfn.XLOOKUP($S46:$AL46,增益!$A:$A,增益!$C:$C,0))-$I$2</f>
        <v>4094.7</v>
      </c>
      <c r="AU46" cm="1">
        <f t="array" ref="AU46">$E$10*(1+$AS46)+VLOOKUP($R46,武学奇术!$A:$ZZ,4,FALSE)+SUM(_xlfn.XLOOKUP($S46:$AL46,增益!$A:$A,增益!$D:$D,0))-$I$2</f>
        <v>4094.7</v>
      </c>
      <c r="AV46" s="40" cm="1">
        <f t="array" ref="AV46">IF($F$10-$I$3+VLOOKUP($R46,武学奇术!$A:$ZZ,6,FALSE)+SUM(_xlfn.XLOOKUP($S46:$AL46,增益!$A:$A,增益!$F:$F,0))&gt;0,($F$10-$I$3+VLOOKUP($R46,武学奇术!$A:$ZZ,6,FALSE)+SUM(_xlfn.XLOOKUP($S46:$AL46,增益!$A:$A,增益!$F:$F,0)))/200,($F$10-$I$3+VLOOKUP($R46,武学奇术!$A:$ZZ,6,FALSE)+SUM(_xlfn.XLOOKUP($S46:$AL46,增益!$A:$A,增益!$F:$F,0)))/100)</f>
        <v>0.4384</v>
      </c>
      <c r="AW46" s="40" cm="1">
        <f t="array" ref="AW46">$G$10+VLOOKUP($R46,武学奇术!$A:$ZZ,7,FALSE)+SUM(_xlfn.XLOOKUP($S46:$AL46,增益!$A:$A,增益!$G:$G,0))</f>
        <v>0.14</v>
      </c>
      <c r="AX46" s="33" cm="1">
        <f t="array" ref="AX46">VLOOKUP($R46,武学奇术!$A:$ZZ,8,FALSE)+SUM(_xlfn.XLOOKUP($S46:$AL46,增益!$A:$A,增益!$H:$H,0))</f>
        <v>0</v>
      </c>
      <c r="AY46">
        <f t="shared" si="15"/>
        <v>0</v>
      </c>
      <c r="AZ46">
        <f t="shared" si="16"/>
        <v>0</v>
      </c>
      <c r="BA46" s="40" cm="1">
        <f t="array" ref="BA46">IF($F$11-$I$4+VLOOKUP($R46,武学奇术!$A:$ZZ,9,FALSE)+SUM(_xlfn.XLOOKUP($S46:$AL46,增益!$A:$A,增益!$I:$I,0))&gt;0,($F$11-$I$4+VLOOKUP($R46,武学奇术!$A:$ZZ,9,FALSE)+SUM(_xlfn.XLOOKUP($S46:$AL46,增益!$A:$A,增益!$I:$I,0)))/200,($F$11-$I$4+VLOOKUP($R46,武学奇术!$A:$ZZ,9,FALSE)+SUM(_xlfn.XLOOKUP($S46:$AL46,增益!$A:$A,增益!$I:$I,0)))/100)</f>
        <v>-0.14</v>
      </c>
      <c r="BB46" s="40" cm="1">
        <f t="array" ref="BB46">$G$11+VLOOKUP($R46,武学奇术!$A:$ZZ,10,FALSE)+SUM(_xlfn.XLOOKUP($S46:$AL46,增益!$A:$A,增益!$J:$J,0))</f>
        <v>0.02</v>
      </c>
      <c r="BC46">
        <f t="shared" si="17"/>
        <v>640.3</v>
      </c>
      <c r="BD46">
        <f t="shared" si="18"/>
        <v>1770.1</v>
      </c>
      <c r="BE46" s="40" cm="1">
        <f t="array" ref="BE46">IF($F$12-$I$4+VLOOKUP($R46,武学奇术!$A:$ZZ,11,FALSE)+SUM(_xlfn.XLOOKUP($S46:$AL46,增益!$A:$A,增益!$K:$K,0))&gt;0,($F$12-$I$4+VLOOKUP($R46,武学奇术!$A:$ZZ,11,FALSE)+SUM(_xlfn.XLOOKUP($S46:$AL46,增益!$A:$A,增益!$K:$K,0)))/200,($F$12-$I$4+VLOOKUP($R46,武学奇术!$A:$ZZ,11,FALSE)+SUM(_xlfn.XLOOKUP($S46:$AL46,增益!$A:$A,增益!$K:$K,0)))/100)</f>
        <v>0.17</v>
      </c>
      <c r="BF46" s="40" cm="1">
        <f t="array" ref="BF46">$G$12+VLOOKUP($R46,武学奇术!$A:$ZZ,12,FALSE)+SUM(_xlfn.XLOOKUP($S46:$AL46,增益!$A:$A,增益!$L:$L,0))</f>
        <v>0.29</v>
      </c>
      <c r="BG46">
        <f t="shared" si="19"/>
        <v>0</v>
      </c>
      <c r="BH46">
        <f t="shared" si="20"/>
        <v>0</v>
      </c>
      <c r="BI46" s="40" cm="1">
        <f t="array" ref="BI46">IF($F$13-$I$4+VLOOKUP($R46,武学奇术!$A:$ZZ,13,FALSE)+SUM(_xlfn.XLOOKUP($S46:$AL46,增益!$A:$A,增益!$M:$M,0))&gt;0,($F$13-$I$4+VLOOKUP($R46,武学奇术!$A:$ZZ,13,FALSE)+SUM(_xlfn.XLOOKUP($S46:$AL46,增益!$A:$A,增益!$K:$K,0)))/200,($F$13-$I$4+VLOOKUP($R46,武学奇术!$A:$ZZ,13,FALSE)+SUM(_xlfn.XLOOKUP($S46:$AL46,增益!$A:$A,增益!$M:$M,0)))/100)</f>
        <v>-0.14</v>
      </c>
      <c r="BJ46" s="40" cm="1">
        <f t="array" ref="BJ46">$G$13+VLOOKUP($R46,武学奇术!$A:$ZZ,14,FALSE)+SUM(_xlfn.XLOOKUP($S46:$AL46,增益!$A:$A,增益!$N:$N,0))</f>
        <v>0.02</v>
      </c>
      <c r="BK46">
        <f t="shared" si="21"/>
        <v>0</v>
      </c>
      <c r="BL46">
        <f t="shared" si="22"/>
        <v>0</v>
      </c>
      <c r="BM46" s="40" cm="1">
        <f t="array" ref="BM46">IF($F$14-$I$4+VLOOKUP($R46,武学奇术!$A:$ZZ,15,FALSE)+SUM(_xlfn.XLOOKUP($S46:$AL46,增益!$A:$A,增益!$O:$O,0))&gt;0,($F$14-$I$4+VLOOKUP($R46,武学奇术!$A:$ZZ,15,FALSE)+SUM(_xlfn.XLOOKUP($S46:$AL46,增益!$A:$A,增益!$O:$O,0)))/200,($F$14-$I$4+VLOOKUP($R46,武学奇术!$A:$ZZ,15,FALSE)+SUM(_xlfn.XLOOKUP($S46:$AL46,增益!$A:$A,增益!$O:$O,0)))/100)</f>
        <v>-0.14</v>
      </c>
      <c r="BN46" s="40" cm="1">
        <f t="array" ref="BN46">$G$14+VLOOKUP($R46,武学奇术!$A:$ZZ,16,FALSE)+SUM(_xlfn.XLOOKUP($S46:$AL46,增益!$A:$A,增益!$P:$P,0))</f>
        <v>0.02</v>
      </c>
      <c r="BO46" s="33">
        <f>MIN(IF(VLOOKUP($R46,武学奇术!$A:$ZZ,23,FALSE)=1,100%,$B$8),100%)</f>
        <v>1</v>
      </c>
      <c r="BP46" s="33" cm="1">
        <f t="array" ref="BP46">IF(VLOOKUP($R46,武学奇术!$A:$ZZ,23,FALSE)=1,100%,MIN(80%,$B$9+VLOOKUP($R46,武学奇术!$A:$ZZ,17,FALSE)+SUM(_xlfn.XLOOKUP($S46:$AL46,增益!$A:$A,增益!$Q:$Q,0)))+$B$11+SUM(_xlfn.XLOOKUP($S46:$AL46,增益!$A:$A,增益!$U:$U,0)))*IF(VLOOKUP($R46,武学奇术!$A:$ZZ,24,FALSE)=1,0,1)</f>
        <v>1</v>
      </c>
      <c r="BQ46" s="33" cm="1">
        <f t="array" ref="BQ46">1+$B$13+VLOOKUP($R46,武学奇术!$A:$ZZ,18,FALSE)+SUM(_xlfn.XLOOKUP($S46:$AL46,增益!$A:$A,增益!$R:$R,0))</f>
        <v>2.1</v>
      </c>
      <c r="BR46" s="33" cm="1">
        <f t="array" ref="BR46">IF(VLOOKUP($R46,武学奇术!$A:$ZZ,24,FALSE)=1,100%,MIN(40%,$B$10+VLOOKUP($R46,武学奇术!$A:$ZZ,19,FALSE)+SUM(_xlfn.XLOOKUP($S46:$AL46,增益!$A:$A,增益!$S:$S,0)))+$B$12+SUM(_xlfn.XLOOKUP($S46:$AL46,增益!$A:$A,增益!$V:$V,0)))*IF(VLOOKUP($R46,武学奇术!$A:$ZZ,23,FALSE)=1,0,1)</f>
        <v>0</v>
      </c>
      <c r="BS46" s="33" cm="1">
        <f t="array" ref="BS46">1+$B$14+VLOOKUP($R46,武学奇术!$A:$ZZ,20,FALSE)+SUM(_xlfn.XLOOKUP($S46:$AL46,增益!$A:$A,增益!$T:$T,0))</f>
        <v>1.35</v>
      </c>
      <c r="BT46" s="33">
        <f t="shared" si="23"/>
        <v>1</v>
      </c>
      <c r="BU46" s="33">
        <f t="shared" si="24"/>
        <v>0</v>
      </c>
      <c r="BV46" s="33">
        <f>IF(VLOOKUP($R46,武学奇术!$A:$ZZ,22,FALSE)=1,0,(1-$BO46))*(1-$BR46)</f>
        <v>0</v>
      </c>
      <c r="BW46" s="33" cm="1">
        <f t="array" ref="BW46">SUM(_xlfn.XLOOKUP($S46:$AL46,增益!$A:$A,增益!$W:$W,0))+$I$5</f>
        <v>0.11</v>
      </c>
      <c r="BX46" s="33" cm="1">
        <f t="array" ref="BX46">VLOOKUP($R46,武学奇术!$A:$ZZ,32,FALSE)+SUM(_xlfn.XLOOKUP($S46:$AL46,增益!$A:$A,增益!$X:$X,0))</f>
        <v>0</v>
      </c>
    </row>
    <row r="47" spans="1:76">
      <c r="A47" s="4" t="s">
        <v>168</v>
      </c>
      <c r="B47" s="4">
        <v>2.3</v>
      </c>
      <c r="C47" s="47"/>
      <c r="D47" s="47"/>
      <c r="L47" s="46">
        <f t="shared" si="14"/>
        <v>46541.5914332166</v>
      </c>
      <c r="M47" s="46">
        <f>((($AT47+$AU47)/2*$AN47+$AO47)*(1+$AV47)*(1+$AW47)+(($AY47+$AZ47)/2*IF($G$1="鸣金",$AP47,$AN47)+IF($G$1="鸣金",$AQ47*1.5,0))*(1+$BA47)*(1+$BB47)+(($BC47+$BD47)/2*IF($G$1="裂石",$AP47,$AN47)+IF($G$1="裂石",$AQ47*1.5,0))*(1+$BE47)*(1+$BF47)+(($BG47+$BH47)/2*IF($G$1="牵丝",$AP47,$AN47)+IF($G$1="牵丝",$AQ47*1.5,0))*(1+$BI47)*(1+$BJ47)+(($BK47+$BL47)/2*IF($G$1="破竹",$AP47,$AN47)+IF($G$1="破竹",$AQ47*1.5,0))*(1+$BM47)*(1+$BN47))*(1+$AR47)*$BQ47*$Q47*(1+IF(VLOOKUP($R47,武学奇术!$A:$ZZ,30,FALSE)="蓄力技",$B$21,0))*(1+IF(VLOOKUP($R47,武学奇术!$A:$ZZ,30,FALSE)="派生技",$B$20,0))*(1+$BW47)*(1+$BX47)</f>
        <v>46541.5914332166</v>
      </c>
      <c r="N47" s="46">
        <f>(($AU47*$AN47+$AO47)*(1+$AV47)*(1+$AW47)+($AZ47*IF($G$1="鸣金",$AP47,$AN47)+IF($G$1="鸣金",$AQ47*1.5,0))*(1+$BA47)*(1+$BB47)+($BD47*IF($G$1="裂石",$AP47,$AN47)+IF($G$1="裂石",$AQ47*1.5,0))*(1+$BE47)*(1+$BF47)+($BH47*IF($G$1="牵丝",$AP47,$AN47)+IF($G$1="牵丝",$AQ47*1.5,0))*(1+$BI47)*(1+$BJ47)+($BL47*IF($G$1="破竹",$AP47,$AN47)+IF($G$1="破竹",$AQ47*1.5,0))*(1+$BM47)*(1+$BN47))*(1+$AR47)*$BS47*$Q47*(1+IF(VLOOKUP($R47,武学奇术!$A:$ZZ,30,FALSE)="蓄力技",$B$21,0))*(1+IF(VLOOKUP($R47,武学奇术!$A:$ZZ,30,FALSE)="派生技",$B$20,0))*(1+$BW47)*(1+$BX47)</f>
        <v>33971.7729690806</v>
      </c>
      <c r="O47" s="46">
        <f>((($AT47+$AU47)/2*$AN47+$AO47)*(1+$AV47)*(1+$AW47)+(($AY47+$AZ47)/2*IF($G$1="鸣金",$AP47,$AN47)+IF($G$1="鸣金",$AQ47*1.5,0))*(1+$BA47)*(1+$BB47)+(($BC47+$BD47)/2*IF($G$1="裂石",$AP47,$AN47)+IF($G$1="裂石",$AQ47*1.5,0))*(1+$BE47)*(1+$BF47)+(($BG47+$BH47)/2*IF($G$1="牵丝",$AP47,$AN47)+IF($G$1="牵丝",$AQ47*1.5,0))*(1+$BI47)*(1+$BJ47)+(($BK47+$BL47)/2*IF($G$1="破竹",$AP47,$AN47)+IF($G$1="破竹",$AQ47*1.5,0))*(1+$BM47)*(1+$BN47))*(1+$AR47)*$Q47*(1+IF(VLOOKUP($R47,武学奇术!$A:$ZZ,30,FALSE)="蓄力技",$B$21,0))*(1+IF(VLOOKUP($R47,武学奇术!$A:$ZZ,30,FALSE)="派生技",$B$20,0))*(1+$BW47)*(1+$BX47)</f>
        <v>22162.662587246</v>
      </c>
      <c r="P47" s="46">
        <f>((($AT47*$AN47+$AO47)*(1+$AV47)*(1+$AW47)+($AY47*IF($G$1="鸣金",$AP47,$AN47)+IF($G$1="鸣金",$AQ47*1.5,0))*(1+$BA47)*(1+$BB47)+($BC47*IF($G$1="裂石",$AP47,$AN47)+IF($G$1="裂石",$AQ47*1.5,0))*(1+$BE47)*(1+$BF47)+($BG47*IF($G$1="牵丝",$AP47,$AN47)+IF($G$1="牵丝",$AQ47*1.5,0))*(1+$BI47)*(1+$BJ47)+($BK47*IF($G$1="破竹",$AP47,$AN47)+IF($G$1="破竹",$AQ47*1.5,0))*(1+$BM47)*(1+$BN47))*(1+$AR47))*$Q47*(1+IF(VLOOKUP($R47,武学奇术!$A:$ZZ,30,FALSE)="蓄力技",$B$21,0))*(1+IF(VLOOKUP($R47,武学奇术!$A:$ZZ,30,FALSE)="派生技",$B$20,0))*(1+$BW47)*(1+$BX47)</f>
        <v>19161.0489010989</v>
      </c>
      <c r="Q47" s="47">
        <f t="shared" ref="Q47:Q56" si="26">IF($E$24="陌刀",1,0)</f>
        <v>1</v>
      </c>
      <c r="R47" s="48" t="s">
        <v>144</v>
      </c>
      <c r="S47" s="48" t="s">
        <v>99</v>
      </c>
      <c r="T47" s="48" t="s">
        <v>182</v>
      </c>
      <c r="U47" s="48" t="s">
        <v>79</v>
      </c>
      <c r="V47" s="48" t="s">
        <v>90</v>
      </c>
      <c r="W47" s="48" t="s">
        <v>141</v>
      </c>
      <c r="X47" s="48" t="s">
        <v>145</v>
      </c>
      <c r="Y47" s="48" t="s">
        <v>74</v>
      </c>
      <c r="Z47" s="48" t="s">
        <v>80</v>
      </c>
      <c r="AA47" s="48" t="s">
        <v>80</v>
      </c>
      <c r="AB47" s="48" t="s">
        <v>80</v>
      </c>
      <c r="AC47" s="48" t="s">
        <v>80</v>
      </c>
      <c r="AD47" s="48" t="s">
        <v>80</v>
      </c>
      <c r="AE47" s="48" t="s">
        <v>82</v>
      </c>
      <c r="AF47" s="48" t="s">
        <v>83</v>
      </c>
      <c r="AG47" s="48" t="s">
        <v>84</v>
      </c>
      <c r="AH47" s="48" t="s">
        <v>80</v>
      </c>
      <c r="AI47" s="48" t="s">
        <v>80</v>
      </c>
      <c r="AJ47" s="48" t="s">
        <v>80</v>
      </c>
      <c r="AK47" s="48" t="s">
        <v>80</v>
      </c>
      <c r="AL47" s="48" t="s">
        <v>85</v>
      </c>
      <c r="AM47" t="str">
        <f>VLOOKUP($R47,武学奇术!$A:$ZZ,25,FALSE)</f>
        <v>陌刀</v>
      </c>
      <c r="AN47" s="33">
        <f>VLOOKUP($R47,武学奇术!$A:$ZZ,26,FALSE)</f>
        <v>0.945</v>
      </c>
      <c r="AO47" s="34">
        <f>VLOOKUP($R47,武学奇术!$A:$ZZ,27,FALSE)*(1+IF(OR($AM47=$F$4,$AM47=$F$5),$B$22,0))</f>
        <v>0</v>
      </c>
      <c r="AP47" s="33">
        <f>VLOOKUP($R47,武学奇术!$A:$ZZ,28,FALSE)</f>
        <v>1.4175</v>
      </c>
      <c r="AQ47" s="34">
        <f>VLOOKUP($R47,武学奇术!$A:$ZZ,29,FALSE)*(1+IF(OR($AM47=$F$4,$AM47=$F$5),$B$22,0))</f>
        <v>0</v>
      </c>
      <c r="AR47" s="33" cm="1">
        <f t="array" ref="AR47">$G$3+IFERROR(VLOOKUP($AM47,$F$4:$G$7,2,FALSE),0)+VLOOKUP($R47,武学奇术!$A:$ZZ,2,FALSE)+SUM(_xlfn.XLOOKUP($S47:$AL47,增益!$A:$A,增益!$B:$B,0))</f>
        <v>0.6943</v>
      </c>
      <c r="AS47" s="33" cm="1">
        <f t="array" ref="AS47">VLOOKUP($R47,武学奇术!$A:$ZZ,5,FALSE)+SUM(_xlfn.XLOOKUP($S47:$AL47,增益!$A:$A,增益!$E:$E,0))</f>
        <v>0</v>
      </c>
      <c r="AT47" cm="1">
        <f t="array" ref="AT47">$D$10*(1+$AS47)+VLOOKUP($R47,武学奇术!$A:$ZZ,3,FALSE)+SUM(_xlfn.XLOOKUP($S47:$AL47,增益!$A:$A,增益!$C:$C,0))-$I$2</f>
        <v>4094.7</v>
      </c>
      <c r="AU47" cm="1">
        <f t="array" ref="AU47">$E$10*(1+$AS47)+VLOOKUP($R47,武学奇术!$A:$ZZ,4,FALSE)+SUM(_xlfn.XLOOKUP($S47:$AL47,增益!$A:$A,增益!$D:$D,0))-$I$2</f>
        <v>4094.7</v>
      </c>
      <c r="AV47" s="40" cm="1">
        <f t="array" ref="AV47">IF($F$10-$I$3+VLOOKUP($R47,武学奇术!$A:$ZZ,6,FALSE)+SUM(_xlfn.XLOOKUP($S47:$AL47,增益!$A:$A,增益!$F:$F,0))&gt;0,($F$10-$I$3+VLOOKUP($R47,武学奇术!$A:$ZZ,6,FALSE)+SUM(_xlfn.XLOOKUP($S47:$AL47,增益!$A:$A,增益!$F:$F,0)))/200,($F$10-$I$3+VLOOKUP($R47,武学奇术!$A:$ZZ,6,FALSE)+SUM(_xlfn.XLOOKUP($S47:$AL47,增益!$A:$A,增益!$F:$F,0)))/100)</f>
        <v>0.4384</v>
      </c>
      <c r="AW47" s="40" cm="1">
        <f t="array" ref="AW47">$G$10+VLOOKUP($R47,武学奇术!$A:$ZZ,7,FALSE)+SUM(_xlfn.XLOOKUP($S47:$AL47,增益!$A:$A,增益!$G:$G,0))</f>
        <v>0.14</v>
      </c>
      <c r="AX47" s="33" cm="1">
        <f t="array" ref="AX47">VLOOKUP($R47,武学奇术!$A:$ZZ,8,FALSE)+SUM(_xlfn.XLOOKUP($S47:$AL47,增益!$A:$A,增益!$H:$H,0))</f>
        <v>0</v>
      </c>
      <c r="AY47">
        <f t="shared" si="15"/>
        <v>0</v>
      </c>
      <c r="AZ47">
        <f t="shared" si="16"/>
        <v>0</v>
      </c>
      <c r="BA47" s="40" cm="1">
        <f t="array" ref="BA47">IF($F$11-$I$4+VLOOKUP($R47,武学奇术!$A:$ZZ,9,FALSE)+SUM(_xlfn.XLOOKUP($S47:$AL47,增益!$A:$A,增益!$I:$I,0))&gt;0,($F$11-$I$4+VLOOKUP($R47,武学奇术!$A:$ZZ,9,FALSE)+SUM(_xlfn.XLOOKUP($S47:$AL47,增益!$A:$A,增益!$I:$I,0)))/200,($F$11-$I$4+VLOOKUP($R47,武学奇术!$A:$ZZ,9,FALSE)+SUM(_xlfn.XLOOKUP($S47:$AL47,增益!$A:$A,增益!$I:$I,0)))/100)</f>
        <v>-0.14</v>
      </c>
      <c r="BB47" s="40" cm="1">
        <f t="array" ref="BB47">$G$11+VLOOKUP($R47,武学奇术!$A:$ZZ,10,FALSE)+SUM(_xlfn.XLOOKUP($S47:$AL47,增益!$A:$A,增益!$J:$J,0))</f>
        <v>0.02</v>
      </c>
      <c r="BC47">
        <f t="shared" si="17"/>
        <v>640.3</v>
      </c>
      <c r="BD47">
        <f t="shared" si="18"/>
        <v>1770.1</v>
      </c>
      <c r="BE47" s="40" cm="1">
        <f t="array" ref="BE47">IF($F$12-$I$4+VLOOKUP($R47,武学奇术!$A:$ZZ,11,FALSE)+SUM(_xlfn.XLOOKUP($S47:$AL47,增益!$A:$A,增益!$K:$K,0))&gt;0,($F$12-$I$4+VLOOKUP($R47,武学奇术!$A:$ZZ,11,FALSE)+SUM(_xlfn.XLOOKUP($S47:$AL47,增益!$A:$A,增益!$K:$K,0)))/200,($F$12-$I$4+VLOOKUP($R47,武学奇术!$A:$ZZ,11,FALSE)+SUM(_xlfn.XLOOKUP($S47:$AL47,增益!$A:$A,增益!$K:$K,0)))/100)</f>
        <v>0.17</v>
      </c>
      <c r="BF47" s="40" cm="1">
        <f t="array" ref="BF47">$G$12+VLOOKUP($R47,武学奇术!$A:$ZZ,12,FALSE)+SUM(_xlfn.XLOOKUP($S47:$AL47,增益!$A:$A,增益!$L:$L,0))</f>
        <v>0.29</v>
      </c>
      <c r="BG47">
        <f t="shared" si="19"/>
        <v>0</v>
      </c>
      <c r="BH47">
        <f t="shared" si="20"/>
        <v>0</v>
      </c>
      <c r="BI47" s="40" cm="1">
        <f t="array" ref="BI47">IF($F$13-$I$4+VLOOKUP($R47,武学奇术!$A:$ZZ,13,FALSE)+SUM(_xlfn.XLOOKUP($S47:$AL47,增益!$A:$A,增益!$M:$M,0))&gt;0,($F$13-$I$4+VLOOKUP($R47,武学奇术!$A:$ZZ,13,FALSE)+SUM(_xlfn.XLOOKUP($S47:$AL47,增益!$A:$A,增益!$K:$K,0)))/200,($F$13-$I$4+VLOOKUP($R47,武学奇术!$A:$ZZ,13,FALSE)+SUM(_xlfn.XLOOKUP($S47:$AL47,增益!$A:$A,增益!$M:$M,0)))/100)</f>
        <v>-0.14</v>
      </c>
      <c r="BJ47" s="40" cm="1">
        <f t="array" ref="BJ47">$G$13+VLOOKUP($R47,武学奇术!$A:$ZZ,14,FALSE)+SUM(_xlfn.XLOOKUP($S47:$AL47,增益!$A:$A,增益!$N:$N,0))</f>
        <v>0.02</v>
      </c>
      <c r="BK47">
        <f t="shared" si="21"/>
        <v>0</v>
      </c>
      <c r="BL47">
        <f t="shared" si="22"/>
        <v>0</v>
      </c>
      <c r="BM47" s="40" cm="1">
        <f t="array" ref="BM47">IF($F$14-$I$4+VLOOKUP($R47,武学奇术!$A:$ZZ,15,FALSE)+SUM(_xlfn.XLOOKUP($S47:$AL47,增益!$A:$A,增益!$O:$O,0))&gt;0,($F$14-$I$4+VLOOKUP($R47,武学奇术!$A:$ZZ,15,FALSE)+SUM(_xlfn.XLOOKUP($S47:$AL47,增益!$A:$A,增益!$O:$O,0)))/200,($F$14-$I$4+VLOOKUP($R47,武学奇术!$A:$ZZ,15,FALSE)+SUM(_xlfn.XLOOKUP($S47:$AL47,增益!$A:$A,增益!$O:$O,0)))/100)</f>
        <v>-0.14</v>
      </c>
      <c r="BN47" s="40" cm="1">
        <f t="array" ref="BN47">$G$14+VLOOKUP($R47,武学奇术!$A:$ZZ,16,FALSE)+SUM(_xlfn.XLOOKUP($S47:$AL47,增益!$A:$A,增益!$P:$P,0))</f>
        <v>0.02</v>
      </c>
      <c r="BO47" s="33">
        <f>MIN(IF(VLOOKUP($R47,武学奇术!$A:$ZZ,23,FALSE)=1,100%,$B$8),100%)</f>
        <v>1</v>
      </c>
      <c r="BP47" s="33" cm="1">
        <f t="array" ref="BP47">IF(VLOOKUP($R47,武学奇术!$A:$ZZ,23,FALSE)=1,100%,MIN(80%,$B$9+VLOOKUP($R47,武学奇术!$A:$ZZ,17,FALSE)+SUM(_xlfn.XLOOKUP($S47:$AL47,增益!$A:$A,增益!$Q:$Q,0)))+$B$11+SUM(_xlfn.XLOOKUP($S47:$AL47,增益!$A:$A,增益!$U:$U,0)))*IF(VLOOKUP($R47,武学奇术!$A:$ZZ,24,FALSE)=1,0,1)</f>
        <v>1</v>
      </c>
      <c r="BQ47" s="33" cm="1">
        <f t="array" ref="BQ47">1+$B$13+VLOOKUP($R47,武学奇术!$A:$ZZ,18,FALSE)+SUM(_xlfn.XLOOKUP($S47:$AL47,增益!$A:$A,增益!$R:$R,0))</f>
        <v>2.1</v>
      </c>
      <c r="BR47" s="33" cm="1">
        <f t="array" ref="BR47">IF(VLOOKUP($R47,武学奇术!$A:$ZZ,24,FALSE)=1,100%,MIN(40%,$B$10+VLOOKUP($R47,武学奇术!$A:$ZZ,19,FALSE)+SUM(_xlfn.XLOOKUP($S47:$AL47,增益!$A:$A,增益!$S:$S,0)))+$B$12+SUM(_xlfn.XLOOKUP($S47:$AL47,增益!$A:$A,增益!$V:$V,0)))*IF(VLOOKUP($R47,武学奇术!$A:$ZZ,23,FALSE)=1,0,1)</f>
        <v>0</v>
      </c>
      <c r="BS47" s="33" cm="1">
        <f t="array" ref="BS47">1+$B$14+VLOOKUP($R47,武学奇术!$A:$ZZ,20,FALSE)+SUM(_xlfn.XLOOKUP($S47:$AL47,增益!$A:$A,增益!$T:$T,0))</f>
        <v>1.35</v>
      </c>
      <c r="BT47" s="33">
        <f t="shared" si="23"/>
        <v>1</v>
      </c>
      <c r="BU47" s="33">
        <f t="shared" si="24"/>
        <v>0</v>
      </c>
      <c r="BV47" s="33">
        <f>IF(VLOOKUP($R47,武学奇术!$A:$ZZ,22,FALSE)=1,0,(1-$BO47))*(1-$BR47)</f>
        <v>0</v>
      </c>
      <c r="BW47" s="33" cm="1">
        <f t="array" ref="BW47">SUM(_xlfn.XLOOKUP($S47:$AL47,增益!$A:$A,增益!$W:$W,0))+$I$5</f>
        <v>0.11</v>
      </c>
      <c r="BX47" s="33" cm="1">
        <f t="array" ref="BX47">VLOOKUP($R47,武学奇术!$A:$ZZ,32,FALSE)+SUM(_xlfn.XLOOKUP($S47:$AL47,增益!$A:$A,增益!$X:$X,0))</f>
        <v>0</v>
      </c>
    </row>
    <row r="48" spans="1:76">
      <c r="A48" s="4" t="s">
        <v>168</v>
      </c>
      <c r="B48" s="4">
        <v>2.3</v>
      </c>
      <c r="C48" s="47"/>
      <c r="D48" s="47"/>
      <c r="L48" s="46">
        <f t="shared" si="14"/>
        <v>499069.81336971</v>
      </c>
      <c r="M48" s="46">
        <f>((($AT48+$AU48)/2*$AN48+$AO48)*(1+$AV48)*(1+$AW48)+(($AY48+$AZ48)/2*IF($G$1="鸣金",$AP48,$AN48)+IF($G$1="鸣金",$AQ48*1.5,0))*(1+$BA48)*(1+$BB48)+(($BC48+$BD48)/2*IF($G$1="裂石",$AP48,$AN48)+IF($G$1="裂石",$AQ48*1.5,0))*(1+$BE48)*(1+$BF48)+(($BG48+$BH48)/2*IF($G$1="牵丝",$AP48,$AN48)+IF($G$1="牵丝",$AQ48*1.5,0))*(1+$BI48)*(1+$BJ48)+(($BK48+$BL48)/2*IF($G$1="破竹",$AP48,$AN48)+IF($G$1="破竹",$AQ48*1.5,0))*(1+$BM48)*(1+$BN48))*(1+$AR48)*$BQ48*$Q48*(1+IF(VLOOKUP($R48,武学奇术!$A:$ZZ,30,FALSE)="蓄力技",$B$21,0))*(1+IF(VLOOKUP($R48,武学奇术!$A:$ZZ,30,FALSE)="派生技",$B$20,0))*(1+$BW48)*(1+$BX48)</f>
        <v>499069.81336971</v>
      </c>
      <c r="N48" s="46">
        <f>(($AU48*$AN48+$AO48)*(1+$AV48)*(1+$AW48)+($AZ48*IF($G$1="鸣金",$AP48,$AN48)+IF($G$1="鸣金",$AQ48*1.5,0))*(1+$BA48)*(1+$BB48)+($BD48*IF($G$1="裂石",$AP48,$AN48)+IF($G$1="裂石",$AQ48*1.5,0))*(1+$BE48)*(1+$BF48)+($BH48*IF($G$1="牵丝",$AP48,$AN48)+IF($G$1="牵丝",$AQ48*1.5,0))*(1+$BI48)*(1+$BJ48)+($BL48*IF($G$1="破竹",$AP48,$AN48)+IF($G$1="破竹",$AQ48*1.5,0))*(1+$BM48)*(1+$BN48))*(1+$AR48)*$BS48*$Q48*(1+IF(VLOOKUP($R48,武学奇术!$A:$ZZ,30,FALSE)="蓄力技",$B$21,0))*(1+IF(VLOOKUP($R48,武学奇术!$A:$ZZ,30,FALSE)="派生技",$B$20,0))*(1+$BW48)*(1+$BX48)</f>
        <v>359126.786183138</v>
      </c>
      <c r="O48" s="46">
        <f>((($AT48+$AU48)/2*$AN48+$AO48)*(1+$AV48)*(1+$AW48)+(($AY48+$AZ48)/2*IF($G$1="鸣金",$AP48,$AN48)+IF($G$1="鸣金",$AQ48*1.5,0))*(1+$BA48)*(1+$BB48)+(($BC48+$BD48)/2*IF($G$1="裂石",$AP48,$AN48)+IF($G$1="裂石",$AQ48*1.5,0))*(1+$BE48)*(1+$BF48)+(($BG48+$BH48)/2*IF($G$1="牵丝",$AP48,$AN48)+IF($G$1="牵丝",$AQ48*1.5,0))*(1+$BI48)*(1+$BJ48)+(($BK48+$BL48)/2*IF($G$1="破竹",$AP48,$AN48)+IF($G$1="破竹",$AQ48*1.5,0))*(1+$BM48)*(1+$BN48))*(1+$AR48)*$Q48*(1+IF(VLOOKUP($R48,武学奇术!$A:$ZZ,30,FALSE)="蓄力技",$B$21,0))*(1+IF(VLOOKUP($R48,武学奇术!$A:$ZZ,30,FALSE)="派生技",$B$20,0))*(1+$BW48)*(1+$BX48)</f>
        <v>237652.292080814</v>
      </c>
      <c r="P48" s="46">
        <f>((($AT48*$AN48+$AO48)*(1+$AV48)*(1+$AW48)+($AY48*IF($G$1="鸣金",$AP48,$AN48)+IF($G$1="鸣金",$AQ48*1.5,0))*(1+$BA48)*(1+$BB48)+($BC48*IF($G$1="裂石",$AP48,$AN48)+IF($G$1="裂石",$AQ48*1.5,0))*(1+$BE48)*(1+$BF48)+($BG48*IF($G$1="牵丝",$AP48,$AN48)+IF($G$1="牵丝",$AQ48*1.5,0))*(1+$BI48)*(1+$BJ48)+($BK48*IF($G$1="破竹",$AP48,$AN48)+IF($G$1="破竹",$AQ48*1.5,0))*(1+$BM48)*(1+$BN48))*(1+$AR48))*$Q48*(1+IF(VLOOKUP($R48,武学奇术!$A:$ZZ,30,FALSE)="蓄力技",$B$21,0))*(1+IF(VLOOKUP($R48,武学奇术!$A:$ZZ,30,FALSE)="派生技",$B$20,0))*(1+$BW48)*(1+$BX48)</f>
        <v>209284.742544489</v>
      </c>
      <c r="Q48" s="47">
        <f t="shared" si="26"/>
        <v>1</v>
      </c>
      <c r="R48" s="48" t="s">
        <v>148</v>
      </c>
      <c r="S48" s="48" t="s">
        <v>99</v>
      </c>
      <c r="T48" s="48" t="s">
        <v>182</v>
      </c>
      <c r="U48" s="48" t="s">
        <v>79</v>
      </c>
      <c r="V48" s="48" t="s">
        <v>90</v>
      </c>
      <c r="W48" s="48" t="s">
        <v>141</v>
      </c>
      <c r="X48" s="48" t="s">
        <v>145</v>
      </c>
      <c r="Y48" s="48" t="s">
        <v>74</v>
      </c>
      <c r="Z48" s="48" t="s">
        <v>80</v>
      </c>
      <c r="AA48" s="48" t="s">
        <v>183</v>
      </c>
      <c r="AB48" s="48" t="s">
        <v>184</v>
      </c>
      <c r="AC48" s="48" t="s">
        <v>80</v>
      </c>
      <c r="AD48" s="48" t="s">
        <v>80</v>
      </c>
      <c r="AE48" s="48" t="s">
        <v>82</v>
      </c>
      <c r="AF48" s="48" t="s">
        <v>83</v>
      </c>
      <c r="AG48" s="48" t="s">
        <v>84</v>
      </c>
      <c r="AH48" s="48" t="s">
        <v>80</v>
      </c>
      <c r="AI48" s="48" t="s">
        <v>80</v>
      </c>
      <c r="AJ48" s="48" t="s">
        <v>80</v>
      </c>
      <c r="AK48" s="48" t="s">
        <v>80</v>
      </c>
      <c r="AL48" s="48" t="s">
        <v>85</v>
      </c>
      <c r="AM48" t="str">
        <f>VLOOKUP($R48,武学奇术!$A:$ZZ,25,FALSE)</f>
        <v>陌刀</v>
      </c>
      <c r="AN48" s="33">
        <f>VLOOKUP($R48,武学奇术!$A:$ZZ,26,FALSE)</f>
        <v>7.5674</v>
      </c>
      <c r="AO48" s="34">
        <f>VLOOKUP($R48,武学奇术!$A:$ZZ,27,FALSE)*(1+IF(OR($AM48=$F$4,$AM48=$F$5),$B$22,0))</f>
        <v>3348.8</v>
      </c>
      <c r="AP48" s="33">
        <f>VLOOKUP($R48,武学奇术!$A:$ZZ,28,FALSE)</f>
        <v>11.3512</v>
      </c>
      <c r="AQ48" s="34">
        <f>VLOOKUP($R48,武学奇术!$A:$ZZ,29,FALSE)*(1+IF(OR($AM48=$F$4,$AM48=$F$5),$B$22,0))</f>
        <v>1824</v>
      </c>
      <c r="AR48" s="33" cm="1">
        <f t="array" ref="AR48">$G$3+IFERROR(VLOOKUP($AM48,$F$4:$G$7,2,FALSE),0)+VLOOKUP($R48,武学奇术!$A:$ZZ,2,FALSE)+SUM(_xlfn.XLOOKUP($S48:$AL48,增益!$A:$A,增益!$B:$B,0))</f>
        <v>0.6943</v>
      </c>
      <c r="AS48" s="33" cm="1">
        <f t="array" ref="AS48">VLOOKUP($R48,武学奇术!$A:$ZZ,5,FALSE)+SUM(_xlfn.XLOOKUP($S48:$AL48,增益!$A:$A,增益!$E:$E,0))</f>
        <v>0</v>
      </c>
      <c r="AT48" cm="1">
        <f t="array" ref="AT48">$D$10*(1+$AS48)+VLOOKUP($R48,武学奇术!$A:$ZZ,3,FALSE)+SUM(_xlfn.XLOOKUP($S48:$AL48,增益!$A:$A,增益!$C:$C,0))-$I$2</f>
        <v>4094.7</v>
      </c>
      <c r="AU48" cm="1">
        <f t="array" ref="AU48">$E$10*(1+$AS48)+VLOOKUP($R48,武学奇术!$A:$ZZ,4,FALSE)+SUM(_xlfn.XLOOKUP($S48:$AL48,增益!$A:$A,增益!$D:$D,0))-$I$2</f>
        <v>4094.7</v>
      </c>
      <c r="AV48" s="40" cm="1">
        <f t="array" ref="AV48">IF($F$10-$I$3+VLOOKUP($R48,武学奇术!$A:$ZZ,6,FALSE)+SUM(_xlfn.XLOOKUP($S48:$AL48,增益!$A:$A,增益!$F:$F,0))&gt;0,($F$10-$I$3+VLOOKUP($R48,武学奇术!$A:$ZZ,6,FALSE)+SUM(_xlfn.XLOOKUP($S48:$AL48,增益!$A:$A,增益!$F:$F,0)))/200,($F$10-$I$3+VLOOKUP($R48,武学奇术!$A:$ZZ,6,FALSE)+SUM(_xlfn.XLOOKUP($S48:$AL48,增益!$A:$A,增益!$F:$F,0)))/100)</f>
        <v>0.4384</v>
      </c>
      <c r="AW48" s="40" cm="1">
        <f t="array" ref="AW48">$G$10+VLOOKUP($R48,武学奇术!$A:$ZZ,7,FALSE)+SUM(_xlfn.XLOOKUP($S48:$AL48,增益!$A:$A,增益!$G:$G,0))</f>
        <v>0.14</v>
      </c>
      <c r="AX48" s="33" cm="1">
        <f t="array" ref="AX48">VLOOKUP($R48,武学奇术!$A:$ZZ,8,FALSE)+SUM(_xlfn.XLOOKUP($S48:$AL48,增益!$A:$A,增益!$H:$H,0))</f>
        <v>0</v>
      </c>
      <c r="AY48">
        <f t="shared" si="15"/>
        <v>0</v>
      </c>
      <c r="AZ48">
        <f t="shared" si="16"/>
        <v>0</v>
      </c>
      <c r="BA48" s="40" cm="1">
        <f t="array" ref="BA48">IF($F$11-$I$4+VLOOKUP($R48,武学奇术!$A:$ZZ,9,FALSE)+SUM(_xlfn.XLOOKUP($S48:$AL48,增益!$A:$A,增益!$I:$I,0))&gt;0,($F$11-$I$4+VLOOKUP($R48,武学奇术!$A:$ZZ,9,FALSE)+SUM(_xlfn.XLOOKUP($S48:$AL48,增益!$A:$A,增益!$I:$I,0)))/200,($F$11-$I$4+VLOOKUP($R48,武学奇术!$A:$ZZ,9,FALSE)+SUM(_xlfn.XLOOKUP($S48:$AL48,增益!$A:$A,增益!$I:$I,0)))/100)</f>
        <v>-0.14</v>
      </c>
      <c r="BB48" s="40" cm="1">
        <f t="array" ref="BB48">$G$11+VLOOKUP($R48,武学奇术!$A:$ZZ,10,FALSE)+SUM(_xlfn.XLOOKUP($S48:$AL48,增益!$A:$A,增益!$J:$J,0))</f>
        <v>0.12</v>
      </c>
      <c r="BC48">
        <f t="shared" si="17"/>
        <v>640.3</v>
      </c>
      <c r="BD48">
        <f t="shared" si="18"/>
        <v>1770.1</v>
      </c>
      <c r="BE48" s="40" cm="1">
        <f t="array" ref="BE48">IF($F$12-$I$4+VLOOKUP($R48,武学奇术!$A:$ZZ,11,FALSE)+SUM(_xlfn.XLOOKUP($S48:$AL48,增益!$A:$A,增益!$K:$K,0))&gt;0,($F$12-$I$4+VLOOKUP($R48,武学奇术!$A:$ZZ,11,FALSE)+SUM(_xlfn.XLOOKUP($S48:$AL48,增益!$A:$A,增益!$K:$K,0)))/200,($F$12-$I$4+VLOOKUP($R48,武学奇术!$A:$ZZ,11,FALSE)+SUM(_xlfn.XLOOKUP($S48:$AL48,增益!$A:$A,增益!$K:$K,0)))/100)</f>
        <v>0.17</v>
      </c>
      <c r="BF48" s="40" cm="1">
        <f t="array" ref="BF48">$G$12+VLOOKUP($R48,武学奇术!$A:$ZZ,12,FALSE)+SUM(_xlfn.XLOOKUP($S48:$AL48,增益!$A:$A,增益!$L:$L,0))</f>
        <v>0.29</v>
      </c>
      <c r="BG48">
        <f t="shared" si="19"/>
        <v>0</v>
      </c>
      <c r="BH48">
        <f t="shared" si="20"/>
        <v>0</v>
      </c>
      <c r="BI48" s="40" cm="1">
        <f t="array" ref="BI48">IF($F$13-$I$4+VLOOKUP($R48,武学奇术!$A:$ZZ,13,FALSE)+SUM(_xlfn.XLOOKUP($S48:$AL48,增益!$A:$A,增益!$M:$M,0))&gt;0,($F$13-$I$4+VLOOKUP($R48,武学奇术!$A:$ZZ,13,FALSE)+SUM(_xlfn.XLOOKUP($S48:$AL48,增益!$A:$A,增益!$K:$K,0)))/200,($F$13-$I$4+VLOOKUP($R48,武学奇术!$A:$ZZ,13,FALSE)+SUM(_xlfn.XLOOKUP($S48:$AL48,增益!$A:$A,增益!$M:$M,0)))/100)</f>
        <v>-0.14</v>
      </c>
      <c r="BJ48" s="40" cm="1">
        <f t="array" ref="BJ48">$G$13+VLOOKUP($R48,武学奇术!$A:$ZZ,14,FALSE)+SUM(_xlfn.XLOOKUP($S48:$AL48,增益!$A:$A,增益!$N:$N,0))</f>
        <v>0.02</v>
      </c>
      <c r="BK48">
        <f t="shared" si="21"/>
        <v>0</v>
      </c>
      <c r="BL48">
        <f t="shared" si="22"/>
        <v>0</v>
      </c>
      <c r="BM48" s="40" cm="1">
        <f t="array" ref="BM48">IF($F$14-$I$4+VLOOKUP($R48,武学奇术!$A:$ZZ,15,FALSE)+SUM(_xlfn.XLOOKUP($S48:$AL48,增益!$A:$A,增益!$O:$O,0))&gt;0,($F$14-$I$4+VLOOKUP($R48,武学奇术!$A:$ZZ,15,FALSE)+SUM(_xlfn.XLOOKUP($S48:$AL48,增益!$A:$A,增益!$O:$O,0)))/200,($F$14-$I$4+VLOOKUP($R48,武学奇术!$A:$ZZ,15,FALSE)+SUM(_xlfn.XLOOKUP($S48:$AL48,增益!$A:$A,增益!$O:$O,0)))/100)</f>
        <v>-0.14</v>
      </c>
      <c r="BN48" s="40" cm="1">
        <f t="array" ref="BN48">$G$14+VLOOKUP($R48,武学奇术!$A:$ZZ,16,FALSE)+SUM(_xlfn.XLOOKUP($S48:$AL48,增益!$A:$A,增益!$P:$P,0))</f>
        <v>0.02</v>
      </c>
      <c r="BO48" s="33">
        <f>MIN(IF(VLOOKUP($R48,武学奇术!$A:$ZZ,23,FALSE)=1,100%,$B$8),100%)</f>
        <v>1</v>
      </c>
      <c r="BP48" s="33" cm="1">
        <f t="array" ref="BP48">IF(VLOOKUP($R48,武学奇术!$A:$ZZ,23,FALSE)=1,100%,MIN(80%,$B$9+VLOOKUP($R48,武学奇术!$A:$ZZ,17,FALSE)+SUM(_xlfn.XLOOKUP($S48:$AL48,增益!$A:$A,增益!$Q:$Q,0)))+$B$11+SUM(_xlfn.XLOOKUP($S48:$AL48,增益!$A:$A,增益!$U:$U,0)))*IF(VLOOKUP($R48,武学奇术!$A:$ZZ,24,FALSE)=1,0,1)</f>
        <v>1</v>
      </c>
      <c r="BQ48" s="33" cm="1">
        <f t="array" ref="BQ48">1+$B$13+VLOOKUP($R48,武学奇术!$A:$ZZ,18,FALSE)+SUM(_xlfn.XLOOKUP($S48:$AL48,增益!$A:$A,增益!$R:$R,0))</f>
        <v>2.1</v>
      </c>
      <c r="BR48" s="33" cm="1">
        <f t="array" ref="BR48">IF(VLOOKUP($R48,武学奇术!$A:$ZZ,24,FALSE)=1,100%,MIN(40%,$B$10+VLOOKUP($R48,武学奇术!$A:$ZZ,19,FALSE)+SUM(_xlfn.XLOOKUP($S48:$AL48,增益!$A:$A,增益!$S:$S,0)))+$B$12+SUM(_xlfn.XLOOKUP($S48:$AL48,增益!$A:$A,增益!$V:$V,0)))*IF(VLOOKUP($R48,武学奇术!$A:$ZZ,23,FALSE)=1,0,1)</f>
        <v>0</v>
      </c>
      <c r="BS48" s="33" cm="1">
        <f t="array" ref="BS48">1+$B$14+VLOOKUP($R48,武学奇术!$A:$ZZ,20,FALSE)+SUM(_xlfn.XLOOKUP($S48:$AL48,增益!$A:$A,增益!$T:$T,0))</f>
        <v>1.35</v>
      </c>
      <c r="BT48" s="33">
        <f t="shared" si="23"/>
        <v>1</v>
      </c>
      <c r="BU48" s="33">
        <f t="shared" si="24"/>
        <v>0</v>
      </c>
      <c r="BV48" s="33">
        <f>IF(VLOOKUP($R48,武学奇术!$A:$ZZ,22,FALSE)=1,0,(1-$BO48))*(1-$BR48)</f>
        <v>0</v>
      </c>
      <c r="BW48" s="33" cm="1">
        <f t="array" ref="BW48">SUM(_xlfn.XLOOKUP($S48:$AL48,增益!$A:$A,增益!$W:$W,0))+$I$5</f>
        <v>0.31</v>
      </c>
      <c r="BX48" s="33" cm="1">
        <f t="array" ref="BX48">VLOOKUP($R48,武学奇术!$A:$ZZ,32,FALSE)+SUM(_xlfn.XLOOKUP($S48:$AL48,增益!$A:$A,增益!$X:$X,0))</f>
        <v>0</v>
      </c>
    </row>
    <row r="49" spans="1:76">
      <c r="A49" s="4" t="s">
        <v>168</v>
      </c>
      <c r="B49" s="4">
        <v>2.3</v>
      </c>
      <c r="C49" s="47"/>
      <c r="D49" s="47"/>
      <c r="G49" s="4"/>
      <c r="H49" s="4"/>
      <c r="L49" s="46">
        <f t="shared" si="14"/>
        <v>30515.2576464033</v>
      </c>
      <c r="M49" s="46">
        <f>((($AT49+$AU49)/2*$AN49+$AO49)*(1+$AV49)*(1+$AW49)+(($AY49+$AZ49)/2*IF($G$1="鸣金",$AP49,$AN49)+IF($G$1="鸣金",$AQ49*1.5,0))*(1+$BA49)*(1+$BB49)+(($BC49+$BD49)/2*IF($G$1="裂石",$AP49,$AN49)+IF($G$1="裂石",$AQ49*1.5,0))*(1+$BE49)*(1+$BF49)+(($BG49+$BH49)/2*IF($G$1="牵丝",$AP49,$AN49)+IF($G$1="牵丝",$AQ49*1.5,0))*(1+$BI49)*(1+$BJ49)+(($BK49+$BL49)/2*IF($G$1="破竹",$AP49,$AN49)+IF($G$1="破竹",$AQ49*1.5,0))*(1+$BM49)*(1+$BN49))*(1+$AR49)*$BQ49*$Q49*(1+IF(VLOOKUP($R49,武学奇术!$A:$ZZ,30,FALSE)="蓄力技",$B$21,0))*(1+IF(VLOOKUP($R49,武学奇术!$A:$ZZ,30,FALSE)="派生技",$B$20,0))*(1+$BW49)*(1+$BX49)</f>
        <v>30515.2576464033</v>
      </c>
      <c r="N49" s="46">
        <f>(($AU49*$AN49+$AO49)*(1+$AV49)*(1+$AW49)+($AZ49*IF($G$1="鸣金",$AP49,$AN49)+IF($G$1="鸣金",$AQ49*1.5,0))*(1+$BA49)*(1+$BB49)+($BD49*IF($G$1="裂石",$AP49,$AN49)+IF($G$1="裂石",$AQ49*1.5,0))*(1+$BE49)*(1+$BF49)+($BH49*IF($G$1="牵丝",$AP49,$AN49)+IF($G$1="牵丝",$AQ49*1.5,0))*(1+$BI49)*(1+$BJ49)+($BL49*IF($G$1="破竹",$AP49,$AN49)+IF($G$1="破竹",$AQ49*1.5,0))*(1+$BM49)*(1+$BN49))*(1+$AR49)*$BS49*$Q49*(1+IF(VLOOKUP($R49,武学奇术!$A:$ZZ,30,FALSE)="蓄力技",$B$21,0))*(1+IF(VLOOKUP($R49,武学奇术!$A:$ZZ,30,FALSE)="派生技",$B$20,0))*(1+$BW49)*(1+$BX49)</f>
        <v>22273.7850798276</v>
      </c>
      <c r="O49" s="46">
        <f>((($AT49+$AU49)/2*$AN49+$AO49)*(1+$AV49)*(1+$AW49)+(($AY49+$AZ49)/2*IF($G$1="鸣金",$AP49,$AN49)+IF($G$1="鸣金",$AQ49*1.5,0))*(1+$BA49)*(1+$BB49)+(($BC49+$BD49)/2*IF($G$1="裂石",$AP49,$AN49)+IF($G$1="裂石",$AQ49*1.5,0))*(1+$BE49)*(1+$BF49)+(($BG49+$BH49)/2*IF($G$1="牵丝",$AP49,$AN49)+IF($G$1="牵丝",$AQ49*1.5,0))*(1+$BI49)*(1+$BJ49)+(($BK49+$BL49)/2*IF($G$1="破竹",$AP49,$AN49)+IF($G$1="破竹",$AQ49*1.5,0))*(1+$BM49)*(1+$BN49))*(1+$AR49)*$Q49*(1+IF(VLOOKUP($R49,武学奇术!$A:$ZZ,30,FALSE)="蓄力技",$B$21,0))*(1+IF(VLOOKUP($R49,武学奇术!$A:$ZZ,30,FALSE)="派生技",$B$20,0))*(1+$BW49)*(1+$BX49)</f>
        <v>14531.0750697158</v>
      </c>
      <c r="P49" s="46">
        <f>((($AT49*$AN49+$AO49)*(1+$AV49)*(1+$AW49)+($AY49*IF($G$1="鸣金",$AP49,$AN49)+IF($G$1="鸣金",$AQ49*1.5,0))*(1+$BA49)*(1+$BB49)+($BC49*IF($G$1="裂石",$AP49,$AN49)+IF($G$1="裂石",$AQ49*1.5,0))*(1+$BE49)*(1+$BF49)+($BG49*IF($G$1="牵丝",$AP49,$AN49)+IF($G$1="牵丝",$AQ49*1.5,0))*(1+$BI49)*(1+$BJ49)+($BK49*IF($G$1="破竹",$AP49,$AN49)+IF($G$1="破竹",$AQ49*1.5,0))*(1+$BM49)*(1+$BN49))*(1+$AR49))*$Q49*(1+IF(VLOOKUP($R49,武学奇术!$A:$ZZ,30,FALSE)="蓄力技",$B$21,0))*(1+IF(VLOOKUP($R49,武学奇术!$A:$ZZ,30,FALSE)="派生技",$B$20,0))*(1+$BW49)*(1+$BX49)</f>
        <v>12563.0500803001</v>
      </c>
      <c r="Q49" s="47">
        <f t="shared" si="26"/>
        <v>1</v>
      </c>
      <c r="R49" s="48" t="s">
        <v>154</v>
      </c>
      <c r="S49" s="48" t="s">
        <v>99</v>
      </c>
      <c r="T49" s="48" t="s">
        <v>182</v>
      </c>
      <c r="U49" s="48" t="s">
        <v>79</v>
      </c>
      <c r="V49" s="48" t="s">
        <v>90</v>
      </c>
      <c r="W49" s="48" t="s">
        <v>141</v>
      </c>
      <c r="X49" s="48" t="s">
        <v>145</v>
      </c>
      <c r="Y49" s="48" t="s">
        <v>74</v>
      </c>
      <c r="Z49" s="48" t="s">
        <v>80</v>
      </c>
      <c r="AA49" s="48" t="s">
        <v>183</v>
      </c>
      <c r="AB49" s="48" t="s">
        <v>184</v>
      </c>
      <c r="AC49" s="48" t="s">
        <v>80</v>
      </c>
      <c r="AD49" s="48" t="s">
        <v>80</v>
      </c>
      <c r="AE49" s="48" t="s">
        <v>82</v>
      </c>
      <c r="AF49" s="48" t="s">
        <v>83</v>
      </c>
      <c r="AG49" s="48" t="s">
        <v>84</v>
      </c>
      <c r="AH49" s="48" t="s">
        <v>80</v>
      </c>
      <c r="AI49" s="48" t="s">
        <v>80</v>
      </c>
      <c r="AJ49" s="48" t="s">
        <v>80</v>
      </c>
      <c r="AK49" s="48" t="s">
        <v>80</v>
      </c>
      <c r="AL49" s="48" t="s">
        <v>85</v>
      </c>
      <c r="AM49" t="str">
        <f>VLOOKUP($R49,武学奇术!$A:$ZZ,25,FALSE)</f>
        <v>陌刀</v>
      </c>
      <c r="AN49" s="33">
        <f>VLOOKUP($R49,武学奇术!$A:$ZZ,26,FALSE)</f>
        <v>0.525</v>
      </c>
      <c r="AO49" s="34">
        <f>VLOOKUP($R49,武学奇术!$A:$ZZ,27,FALSE)*(1+IF(OR($AM49=$F$4,$AM49=$F$5),$B$22,0))</f>
        <v>0</v>
      </c>
      <c r="AP49" s="33">
        <f>VLOOKUP($R49,武学奇术!$A:$ZZ,28,FALSE)</f>
        <v>0.7875</v>
      </c>
      <c r="AQ49" s="34">
        <f>VLOOKUP($R49,武学奇术!$A:$ZZ,29,FALSE)*(1+IF(OR($AM49=$F$4,$AM49=$F$5),$B$22,0))</f>
        <v>0</v>
      </c>
      <c r="AR49" s="33" cm="1">
        <f t="array" ref="AR49">$G$3+IFERROR(VLOOKUP($AM49,$F$4:$G$7,2,FALSE),0)+VLOOKUP($R49,武学奇术!$A:$ZZ,2,FALSE)+SUM(_xlfn.XLOOKUP($S49:$AL49,增益!$A:$A,增益!$B:$B,0))</f>
        <v>0.6943</v>
      </c>
      <c r="AS49" s="33" cm="1">
        <f t="array" ref="AS49">VLOOKUP($R49,武学奇术!$A:$ZZ,5,FALSE)+SUM(_xlfn.XLOOKUP($S49:$AL49,增益!$A:$A,增益!$E:$E,0))</f>
        <v>0</v>
      </c>
      <c r="AT49" cm="1">
        <f t="array" ref="AT49">$D$10*(1+$AS49)+VLOOKUP($R49,武学奇术!$A:$ZZ,3,FALSE)+SUM(_xlfn.XLOOKUP($S49:$AL49,增益!$A:$A,增益!$C:$C,0))-$I$2</f>
        <v>4094.7</v>
      </c>
      <c r="AU49" cm="1">
        <f t="array" ref="AU49">$E$10*(1+$AS49)+VLOOKUP($R49,武学奇术!$A:$ZZ,4,FALSE)+SUM(_xlfn.XLOOKUP($S49:$AL49,增益!$A:$A,增益!$D:$D,0))-$I$2</f>
        <v>4094.7</v>
      </c>
      <c r="AV49" s="40" cm="1">
        <f t="array" ref="AV49">IF($F$10-$I$3+VLOOKUP($R49,武学奇术!$A:$ZZ,6,FALSE)+SUM(_xlfn.XLOOKUP($S49:$AL49,增益!$A:$A,增益!$F:$F,0))&gt;0,($F$10-$I$3+VLOOKUP($R49,武学奇术!$A:$ZZ,6,FALSE)+SUM(_xlfn.XLOOKUP($S49:$AL49,增益!$A:$A,增益!$F:$F,0)))/200,($F$10-$I$3+VLOOKUP($R49,武学奇术!$A:$ZZ,6,FALSE)+SUM(_xlfn.XLOOKUP($S49:$AL49,增益!$A:$A,增益!$F:$F,0)))/100)</f>
        <v>0.4384</v>
      </c>
      <c r="AW49" s="40" cm="1">
        <f t="array" ref="AW49">$G$10+VLOOKUP($R49,武学奇术!$A:$ZZ,7,FALSE)+SUM(_xlfn.XLOOKUP($S49:$AL49,增益!$A:$A,增益!$G:$G,0))</f>
        <v>0.14</v>
      </c>
      <c r="AX49" s="33" cm="1">
        <f t="array" ref="AX49">VLOOKUP($R49,武学奇术!$A:$ZZ,8,FALSE)+SUM(_xlfn.XLOOKUP($S49:$AL49,增益!$A:$A,增益!$H:$H,0))</f>
        <v>0</v>
      </c>
      <c r="AY49">
        <f t="shared" si="15"/>
        <v>0</v>
      </c>
      <c r="AZ49">
        <f t="shared" si="16"/>
        <v>0</v>
      </c>
      <c r="BA49" s="40" cm="1">
        <f t="array" ref="BA49">IF($F$11-$I$4+VLOOKUP($R49,武学奇术!$A:$ZZ,9,FALSE)+SUM(_xlfn.XLOOKUP($S49:$AL49,增益!$A:$A,增益!$I:$I,0))&gt;0,($F$11-$I$4+VLOOKUP($R49,武学奇术!$A:$ZZ,9,FALSE)+SUM(_xlfn.XLOOKUP($S49:$AL49,增益!$A:$A,增益!$I:$I,0)))/200,($F$11-$I$4+VLOOKUP($R49,武学奇术!$A:$ZZ,9,FALSE)+SUM(_xlfn.XLOOKUP($S49:$AL49,增益!$A:$A,增益!$I:$I,0)))/100)</f>
        <v>-0.14</v>
      </c>
      <c r="BB49" s="40" cm="1">
        <f t="array" ref="BB49">$G$11+VLOOKUP($R49,武学奇术!$A:$ZZ,10,FALSE)+SUM(_xlfn.XLOOKUP($S49:$AL49,增益!$A:$A,增益!$J:$J,0))</f>
        <v>0.12</v>
      </c>
      <c r="BC49">
        <f t="shared" si="17"/>
        <v>640.3</v>
      </c>
      <c r="BD49">
        <f t="shared" si="18"/>
        <v>1770.1</v>
      </c>
      <c r="BE49" s="40" cm="1">
        <f t="array" ref="BE49">IF($F$12-$I$4+VLOOKUP($R49,武学奇术!$A:$ZZ,11,FALSE)+SUM(_xlfn.XLOOKUP($S49:$AL49,增益!$A:$A,增益!$K:$K,0))&gt;0,($F$12-$I$4+VLOOKUP($R49,武学奇术!$A:$ZZ,11,FALSE)+SUM(_xlfn.XLOOKUP($S49:$AL49,增益!$A:$A,增益!$K:$K,0)))/200,($F$12-$I$4+VLOOKUP($R49,武学奇术!$A:$ZZ,11,FALSE)+SUM(_xlfn.XLOOKUP($S49:$AL49,增益!$A:$A,增益!$K:$K,0)))/100)</f>
        <v>0.17</v>
      </c>
      <c r="BF49" s="40" cm="1">
        <f t="array" ref="BF49">$G$12+VLOOKUP($R49,武学奇术!$A:$ZZ,12,FALSE)+SUM(_xlfn.XLOOKUP($S49:$AL49,增益!$A:$A,增益!$L:$L,0))</f>
        <v>0.29</v>
      </c>
      <c r="BG49">
        <f t="shared" si="19"/>
        <v>0</v>
      </c>
      <c r="BH49">
        <f t="shared" si="20"/>
        <v>0</v>
      </c>
      <c r="BI49" s="40" cm="1">
        <f t="array" ref="BI49">IF($F$13-$I$4+VLOOKUP($R49,武学奇术!$A:$ZZ,13,FALSE)+SUM(_xlfn.XLOOKUP($S49:$AL49,增益!$A:$A,增益!$M:$M,0))&gt;0,($F$13-$I$4+VLOOKUP($R49,武学奇术!$A:$ZZ,13,FALSE)+SUM(_xlfn.XLOOKUP($S49:$AL49,增益!$A:$A,增益!$K:$K,0)))/200,($F$13-$I$4+VLOOKUP($R49,武学奇术!$A:$ZZ,13,FALSE)+SUM(_xlfn.XLOOKUP($S49:$AL49,增益!$A:$A,增益!$M:$M,0)))/100)</f>
        <v>-0.14</v>
      </c>
      <c r="BJ49" s="40" cm="1">
        <f t="array" ref="BJ49">$G$13+VLOOKUP($R49,武学奇术!$A:$ZZ,14,FALSE)+SUM(_xlfn.XLOOKUP($S49:$AL49,增益!$A:$A,增益!$N:$N,0))</f>
        <v>0.02</v>
      </c>
      <c r="BK49">
        <f t="shared" si="21"/>
        <v>0</v>
      </c>
      <c r="BL49">
        <f t="shared" si="22"/>
        <v>0</v>
      </c>
      <c r="BM49" s="40" cm="1">
        <f t="array" ref="BM49">IF($F$14-$I$4+VLOOKUP($R49,武学奇术!$A:$ZZ,15,FALSE)+SUM(_xlfn.XLOOKUP($S49:$AL49,增益!$A:$A,增益!$O:$O,0))&gt;0,($F$14-$I$4+VLOOKUP($R49,武学奇术!$A:$ZZ,15,FALSE)+SUM(_xlfn.XLOOKUP($S49:$AL49,增益!$A:$A,增益!$O:$O,0)))/200,($F$14-$I$4+VLOOKUP($R49,武学奇术!$A:$ZZ,15,FALSE)+SUM(_xlfn.XLOOKUP($S49:$AL49,增益!$A:$A,增益!$O:$O,0)))/100)</f>
        <v>-0.14</v>
      </c>
      <c r="BN49" s="40" cm="1">
        <f t="array" ref="BN49">$G$14+VLOOKUP($R49,武学奇术!$A:$ZZ,16,FALSE)+SUM(_xlfn.XLOOKUP($S49:$AL49,增益!$A:$A,增益!$P:$P,0))</f>
        <v>0.02</v>
      </c>
      <c r="BO49" s="33">
        <f>MIN(IF(VLOOKUP($R49,武学奇术!$A:$ZZ,23,FALSE)=1,100%,$B$8),100%)</f>
        <v>1</v>
      </c>
      <c r="BP49" s="33" cm="1">
        <f t="array" ref="BP49">IF(VLOOKUP($R49,武学奇术!$A:$ZZ,23,FALSE)=1,100%,MIN(80%,$B$9+VLOOKUP($R49,武学奇术!$A:$ZZ,17,FALSE)+SUM(_xlfn.XLOOKUP($S49:$AL49,增益!$A:$A,增益!$Q:$Q,0)))+$B$11+SUM(_xlfn.XLOOKUP($S49:$AL49,增益!$A:$A,增益!$U:$U,0)))*IF(VLOOKUP($R49,武学奇术!$A:$ZZ,24,FALSE)=1,0,1)</f>
        <v>1</v>
      </c>
      <c r="BQ49" s="33" cm="1">
        <f t="array" ref="BQ49">1+$B$13+VLOOKUP($R49,武学奇术!$A:$ZZ,18,FALSE)+SUM(_xlfn.XLOOKUP($S49:$AL49,增益!$A:$A,增益!$R:$R,0))</f>
        <v>2.1</v>
      </c>
      <c r="BR49" s="33" cm="1">
        <f t="array" ref="BR49">IF(VLOOKUP($R49,武学奇术!$A:$ZZ,24,FALSE)=1,100%,MIN(40%,$B$10+VLOOKUP($R49,武学奇术!$A:$ZZ,19,FALSE)+SUM(_xlfn.XLOOKUP($S49:$AL49,增益!$A:$A,增益!$S:$S,0)))+$B$12+SUM(_xlfn.XLOOKUP($S49:$AL49,增益!$A:$A,增益!$V:$V,0)))*IF(VLOOKUP($R49,武学奇术!$A:$ZZ,23,FALSE)=1,0,1)</f>
        <v>0</v>
      </c>
      <c r="BS49" s="33" cm="1">
        <f t="array" ref="BS49">1+$B$14+VLOOKUP($R49,武学奇术!$A:$ZZ,20,FALSE)+SUM(_xlfn.XLOOKUP($S49:$AL49,增益!$A:$A,增益!$T:$T,0))</f>
        <v>1.35</v>
      </c>
      <c r="BT49" s="33">
        <f t="shared" si="23"/>
        <v>1</v>
      </c>
      <c r="BU49" s="33">
        <f t="shared" si="24"/>
        <v>0</v>
      </c>
      <c r="BV49" s="33">
        <f>IF(VLOOKUP($R49,武学奇术!$A:$ZZ,22,FALSE)=1,0,(1-$BO49))*(1-$BR49)</f>
        <v>0</v>
      </c>
      <c r="BW49" s="33" cm="1">
        <f t="array" ref="BW49">SUM(_xlfn.XLOOKUP($S49:$AL49,增益!$A:$A,增益!$W:$W,0))+$I$5</f>
        <v>0.31</v>
      </c>
      <c r="BX49" s="33" cm="1">
        <f t="array" ref="BX49">VLOOKUP($R49,武学奇术!$A:$ZZ,32,FALSE)+SUM(_xlfn.XLOOKUP($S49:$AL49,增益!$A:$A,增益!$X:$X,0))</f>
        <v>0</v>
      </c>
    </row>
    <row r="50" spans="1:76">
      <c r="A50" s="4" t="s">
        <v>168</v>
      </c>
      <c r="B50" s="4">
        <v>2.3</v>
      </c>
      <c r="C50" s="47"/>
      <c r="L50" s="46">
        <f t="shared" si="14"/>
        <v>54927.4637635259</v>
      </c>
      <c r="M50" s="46">
        <f>((($AT50+$AU50)/2*$AN50+$AO50)*(1+$AV50)*(1+$AW50)+(($AY50+$AZ50)/2*IF($G$1="鸣金",$AP50,$AN50)+IF($G$1="鸣金",$AQ50*1.5,0))*(1+$BA50)*(1+$BB50)+(($BC50+$BD50)/2*IF($G$1="裂石",$AP50,$AN50)+IF($G$1="裂石",$AQ50*1.5,0))*(1+$BE50)*(1+$BF50)+(($BG50+$BH50)/2*IF($G$1="牵丝",$AP50,$AN50)+IF($G$1="牵丝",$AQ50*1.5,0))*(1+$BI50)*(1+$BJ50)+(($BK50+$BL50)/2*IF($G$1="破竹",$AP50,$AN50)+IF($G$1="破竹",$AQ50*1.5,0))*(1+$BM50)*(1+$BN50))*(1+$AR50)*$BQ50*$Q50*(1+IF(VLOOKUP($R50,武学奇术!$A:$ZZ,30,FALSE)="蓄力技",$B$21,0))*(1+IF(VLOOKUP($R50,武学奇术!$A:$ZZ,30,FALSE)="派生技",$B$20,0))*(1+$BW50)*(1+$BX50)</f>
        <v>54927.4637635259</v>
      </c>
      <c r="N50" s="46">
        <f>(($AU50*$AN50+$AO50)*(1+$AV50)*(1+$AW50)+($AZ50*IF($G$1="鸣金",$AP50,$AN50)+IF($G$1="鸣金",$AQ50*1.5,0))*(1+$BA50)*(1+$BB50)+($BD50*IF($G$1="裂石",$AP50,$AN50)+IF($G$1="裂石",$AQ50*1.5,0))*(1+$BE50)*(1+$BF50)+($BH50*IF($G$1="牵丝",$AP50,$AN50)+IF($G$1="牵丝",$AQ50*1.5,0))*(1+$BI50)*(1+$BJ50)+($BL50*IF($G$1="破竹",$AP50,$AN50)+IF($G$1="破竹",$AQ50*1.5,0))*(1+$BM50)*(1+$BN50))*(1+$AR50)*$BS50*$Q50*(1+IF(VLOOKUP($R50,武学奇术!$A:$ZZ,30,FALSE)="蓄力技",$B$21,0))*(1+IF(VLOOKUP($R50,武学奇术!$A:$ZZ,30,FALSE)="派生技",$B$20,0))*(1+$BW50)*(1+$BX50)</f>
        <v>40092.8131436897</v>
      </c>
      <c r="O50" s="46">
        <f>((($AT50+$AU50)/2*$AN50+$AO50)*(1+$AV50)*(1+$AW50)+(($AY50+$AZ50)/2*IF($G$1="鸣金",$AP50,$AN50)+IF($G$1="鸣金",$AQ50*1.5,0))*(1+$BA50)*(1+$BB50)+(($BC50+$BD50)/2*IF($G$1="裂石",$AP50,$AN50)+IF($G$1="裂石",$AQ50*1.5,0))*(1+$BE50)*(1+$BF50)+(($BG50+$BH50)/2*IF($G$1="牵丝",$AP50,$AN50)+IF($G$1="牵丝",$AQ50*1.5,0))*(1+$BI50)*(1+$BJ50)+(($BK50+$BL50)/2*IF($G$1="破竹",$AP50,$AN50)+IF($G$1="破竹",$AQ50*1.5,0))*(1+$BM50)*(1+$BN50))*(1+$AR50)*$Q50*(1+IF(VLOOKUP($R50,武学奇术!$A:$ZZ,30,FALSE)="蓄力技",$B$21,0))*(1+IF(VLOOKUP($R50,武学奇术!$A:$ZZ,30,FALSE)="派生技",$B$20,0))*(1+$BW50)*(1+$BX50)</f>
        <v>26155.9351254885</v>
      </c>
      <c r="P50" s="46">
        <f>((($AT50*$AN50+$AO50)*(1+$AV50)*(1+$AW50)+($AY50*IF($G$1="鸣金",$AP50,$AN50)+IF($G$1="鸣金",$AQ50*1.5,0))*(1+$BA50)*(1+$BB50)+($BC50*IF($G$1="裂石",$AP50,$AN50)+IF($G$1="裂石",$AQ50*1.5,0))*(1+$BE50)*(1+$BF50)+($BG50*IF($G$1="牵丝",$AP50,$AN50)+IF($G$1="牵丝",$AQ50*1.5,0))*(1+$BI50)*(1+$BJ50)+($BK50*IF($G$1="破竹",$AP50,$AN50)+IF($G$1="破竹",$AQ50*1.5,0))*(1+$BM50)*(1+$BN50))*(1+$AR50))*$Q50*(1+IF(VLOOKUP($R50,武学奇术!$A:$ZZ,30,FALSE)="蓄力技",$B$21,0))*(1+IF(VLOOKUP($R50,武学奇术!$A:$ZZ,30,FALSE)="派生技",$B$20,0))*(1+$BW50)*(1+$BX50)</f>
        <v>22613.4901445402</v>
      </c>
      <c r="Q50" s="47">
        <f t="shared" si="26"/>
        <v>1</v>
      </c>
      <c r="R50" s="48" t="s">
        <v>144</v>
      </c>
      <c r="S50" s="48" t="s">
        <v>99</v>
      </c>
      <c r="T50" s="48" t="s">
        <v>182</v>
      </c>
      <c r="U50" s="48" t="s">
        <v>79</v>
      </c>
      <c r="V50" s="48" t="s">
        <v>90</v>
      </c>
      <c r="W50" s="48" t="s">
        <v>141</v>
      </c>
      <c r="X50" s="48" t="s">
        <v>145</v>
      </c>
      <c r="Y50" s="48" t="s">
        <v>74</v>
      </c>
      <c r="Z50" s="48" t="s">
        <v>80</v>
      </c>
      <c r="AA50" s="48" t="s">
        <v>183</v>
      </c>
      <c r="AB50" s="48" t="s">
        <v>184</v>
      </c>
      <c r="AC50" s="48" t="s">
        <v>80</v>
      </c>
      <c r="AD50" s="48" t="s">
        <v>80</v>
      </c>
      <c r="AE50" s="48" t="s">
        <v>82</v>
      </c>
      <c r="AF50" s="48" t="s">
        <v>83</v>
      </c>
      <c r="AG50" s="48" t="s">
        <v>84</v>
      </c>
      <c r="AH50" s="48" t="s">
        <v>80</v>
      </c>
      <c r="AI50" s="48" t="s">
        <v>80</v>
      </c>
      <c r="AJ50" s="48" t="s">
        <v>80</v>
      </c>
      <c r="AK50" s="48" t="s">
        <v>80</v>
      </c>
      <c r="AL50" s="48" t="s">
        <v>85</v>
      </c>
      <c r="AM50" t="str">
        <f>VLOOKUP($R50,武学奇术!$A:$ZZ,25,FALSE)</f>
        <v>陌刀</v>
      </c>
      <c r="AN50" s="33">
        <f>VLOOKUP($R50,武学奇术!$A:$ZZ,26,FALSE)</f>
        <v>0.945</v>
      </c>
      <c r="AO50" s="34">
        <f>VLOOKUP($R50,武学奇术!$A:$ZZ,27,FALSE)*(1+IF(OR($AM50=$F$4,$AM50=$F$5),$B$22,0))</f>
        <v>0</v>
      </c>
      <c r="AP50" s="33">
        <f>VLOOKUP($R50,武学奇术!$A:$ZZ,28,FALSE)</f>
        <v>1.4175</v>
      </c>
      <c r="AQ50" s="34">
        <f>VLOOKUP($R50,武学奇术!$A:$ZZ,29,FALSE)*(1+IF(OR($AM50=$F$4,$AM50=$F$5),$B$22,0))</f>
        <v>0</v>
      </c>
      <c r="AR50" s="33" cm="1">
        <f t="array" ref="AR50">$G$3+IFERROR(VLOOKUP($AM50,$F$4:$G$7,2,FALSE),0)+VLOOKUP($R50,武学奇术!$A:$ZZ,2,FALSE)+SUM(_xlfn.XLOOKUP($S50:$AL50,增益!$A:$A,增益!$B:$B,0))</f>
        <v>0.6943</v>
      </c>
      <c r="AS50" s="33" cm="1">
        <f t="array" ref="AS50">VLOOKUP($R50,武学奇术!$A:$ZZ,5,FALSE)+SUM(_xlfn.XLOOKUP($S50:$AL50,增益!$A:$A,增益!$E:$E,0))</f>
        <v>0</v>
      </c>
      <c r="AT50" cm="1">
        <f t="array" ref="AT50">$D$10*(1+$AS50)+VLOOKUP($R50,武学奇术!$A:$ZZ,3,FALSE)+SUM(_xlfn.XLOOKUP($S50:$AL50,增益!$A:$A,增益!$C:$C,0))-$I$2</f>
        <v>4094.7</v>
      </c>
      <c r="AU50" cm="1">
        <f t="array" ref="AU50">$E$10*(1+$AS50)+VLOOKUP($R50,武学奇术!$A:$ZZ,4,FALSE)+SUM(_xlfn.XLOOKUP($S50:$AL50,增益!$A:$A,增益!$D:$D,0))-$I$2</f>
        <v>4094.7</v>
      </c>
      <c r="AV50" s="40" cm="1">
        <f t="array" ref="AV50">IF($F$10-$I$3+VLOOKUP($R50,武学奇术!$A:$ZZ,6,FALSE)+SUM(_xlfn.XLOOKUP($S50:$AL50,增益!$A:$A,增益!$F:$F,0))&gt;0,($F$10-$I$3+VLOOKUP($R50,武学奇术!$A:$ZZ,6,FALSE)+SUM(_xlfn.XLOOKUP($S50:$AL50,增益!$A:$A,增益!$F:$F,0)))/200,($F$10-$I$3+VLOOKUP($R50,武学奇术!$A:$ZZ,6,FALSE)+SUM(_xlfn.XLOOKUP($S50:$AL50,增益!$A:$A,增益!$F:$F,0)))/100)</f>
        <v>0.4384</v>
      </c>
      <c r="AW50" s="40" cm="1">
        <f t="array" ref="AW50">$G$10+VLOOKUP($R50,武学奇术!$A:$ZZ,7,FALSE)+SUM(_xlfn.XLOOKUP($S50:$AL50,增益!$A:$A,增益!$G:$G,0))</f>
        <v>0.14</v>
      </c>
      <c r="AX50" s="33" cm="1">
        <f t="array" ref="AX50">VLOOKUP($R50,武学奇术!$A:$ZZ,8,FALSE)+SUM(_xlfn.XLOOKUP($S50:$AL50,增益!$A:$A,增益!$H:$H,0))</f>
        <v>0</v>
      </c>
      <c r="AY50">
        <f t="shared" si="15"/>
        <v>0</v>
      </c>
      <c r="AZ50">
        <f t="shared" si="16"/>
        <v>0</v>
      </c>
      <c r="BA50" s="40" cm="1">
        <f t="array" ref="BA50">IF($F$11-$I$4+VLOOKUP($R50,武学奇术!$A:$ZZ,9,FALSE)+SUM(_xlfn.XLOOKUP($S50:$AL50,增益!$A:$A,增益!$I:$I,0))&gt;0,($F$11-$I$4+VLOOKUP($R50,武学奇术!$A:$ZZ,9,FALSE)+SUM(_xlfn.XLOOKUP($S50:$AL50,增益!$A:$A,增益!$I:$I,0)))/200,($F$11-$I$4+VLOOKUP($R50,武学奇术!$A:$ZZ,9,FALSE)+SUM(_xlfn.XLOOKUP($S50:$AL50,增益!$A:$A,增益!$I:$I,0)))/100)</f>
        <v>-0.14</v>
      </c>
      <c r="BB50" s="40" cm="1">
        <f t="array" ref="BB50">$G$11+VLOOKUP($R50,武学奇术!$A:$ZZ,10,FALSE)+SUM(_xlfn.XLOOKUP($S50:$AL50,增益!$A:$A,增益!$J:$J,0))</f>
        <v>0.12</v>
      </c>
      <c r="BC50">
        <f t="shared" si="17"/>
        <v>640.3</v>
      </c>
      <c r="BD50">
        <f t="shared" si="18"/>
        <v>1770.1</v>
      </c>
      <c r="BE50" s="40" cm="1">
        <f t="array" ref="BE50">IF($F$12-$I$4+VLOOKUP($R50,武学奇术!$A:$ZZ,11,FALSE)+SUM(_xlfn.XLOOKUP($S50:$AL50,增益!$A:$A,增益!$K:$K,0))&gt;0,($F$12-$I$4+VLOOKUP($R50,武学奇术!$A:$ZZ,11,FALSE)+SUM(_xlfn.XLOOKUP($S50:$AL50,增益!$A:$A,增益!$K:$K,0)))/200,($F$12-$I$4+VLOOKUP($R50,武学奇术!$A:$ZZ,11,FALSE)+SUM(_xlfn.XLOOKUP($S50:$AL50,增益!$A:$A,增益!$K:$K,0)))/100)</f>
        <v>0.17</v>
      </c>
      <c r="BF50" s="40" cm="1">
        <f t="array" ref="BF50">$G$12+VLOOKUP($R50,武学奇术!$A:$ZZ,12,FALSE)+SUM(_xlfn.XLOOKUP($S50:$AL50,增益!$A:$A,增益!$L:$L,0))</f>
        <v>0.29</v>
      </c>
      <c r="BG50">
        <f t="shared" si="19"/>
        <v>0</v>
      </c>
      <c r="BH50">
        <f t="shared" si="20"/>
        <v>0</v>
      </c>
      <c r="BI50" s="40" cm="1">
        <f t="array" ref="BI50">IF($F$13-$I$4+VLOOKUP($R50,武学奇术!$A:$ZZ,13,FALSE)+SUM(_xlfn.XLOOKUP($S50:$AL50,增益!$A:$A,增益!$M:$M,0))&gt;0,($F$13-$I$4+VLOOKUP($R50,武学奇术!$A:$ZZ,13,FALSE)+SUM(_xlfn.XLOOKUP($S50:$AL50,增益!$A:$A,增益!$K:$K,0)))/200,($F$13-$I$4+VLOOKUP($R50,武学奇术!$A:$ZZ,13,FALSE)+SUM(_xlfn.XLOOKUP($S50:$AL50,增益!$A:$A,增益!$M:$M,0)))/100)</f>
        <v>-0.14</v>
      </c>
      <c r="BJ50" s="40" cm="1">
        <f t="array" ref="BJ50">$G$13+VLOOKUP($R50,武学奇术!$A:$ZZ,14,FALSE)+SUM(_xlfn.XLOOKUP($S50:$AL50,增益!$A:$A,增益!$N:$N,0))</f>
        <v>0.02</v>
      </c>
      <c r="BK50">
        <f t="shared" si="21"/>
        <v>0</v>
      </c>
      <c r="BL50">
        <f t="shared" si="22"/>
        <v>0</v>
      </c>
      <c r="BM50" s="40" cm="1">
        <f t="array" ref="BM50">IF($F$14-$I$4+VLOOKUP($R50,武学奇术!$A:$ZZ,15,FALSE)+SUM(_xlfn.XLOOKUP($S50:$AL50,增益!$A:$A,增益!$O:$O,0))&gt;0,($F$14-$I$4+VLOOKUP($R50,武学奇术!$A:$ZZ,15,FALSE)+SUM(_xlfn.XLOOKUP($S50:$AL50,增益!$A:$A,增益!$O:$O,0)))/200,($F$14-$I$4+VLOOKUP($R50,武学奇术!$A:$ZZ,15,FALSE)+SUM(_xlfn.XLOOKUP($S50:$AL50,增益!$A:$A,增益!$O:$O,0)))/100)</f>
        <v>-0.14</v>
      </c>
      <c r="BN50" s="40" cm="1">
        <f t="array" ref="BN50">$G$14+VLOOKUP($R50,武学奇术!$A:$ZZ,16,FALSE)+SUM(_xlfn.XLOOKUP($S50:$AL50,增益!$A:$A,增益!$P:$P,0))</f>
        <v>0.02</v>
      </c>
      <c r="BO50" s="33">
        <f>MIN(IF(VLOOKUP($R50,武学奇术!$A:$ZZ,23,FALSE)=1,100%,$B$8),100%)</f>
        <v>1</v>
      </c>
      <c r="BP50" s="33" cm="1">
        <f t="array" ref="BP50">IF(VLOOKUP($R50,武学奇术!$A:$ZZ,23,FALSE)=1,100%,MIN(80%,$B$9+VLOOKUP($R50,武学奇术!$A:$ZZ,17,FALSE)+SUM(_xlfn.XLOOKUP($S50:$AL50,增益!$A:$A,增益!$Q:$Q,0)))+$B$11+SUM(_xlfn.XLOOKUP($S50:$AL50,增益!$A:$A,增益!$U:$U,0)))*IF(VLOOKUP($R50,武学奇术!$A:$ZZ,24,FALSE)=1,0,1)</f>
        <v>1</v>
      </c>
      <c r="BQ50" s="33" cm="1">
        <f t="array" ref="BQ50">1+$B$13+VLOOKUP($R50,武学奇术!$A:$ZZ,18,FALSE)+SUM(_xlfn.XLOOKUP($S50:$AL50,增益!$A:$A,增益!$R:$R,0))</f>
        <v>2.1</v>
      </c>
      <c r="BR50" s="33" cm="1">
        <f t="array" ref="BR50">IF(VLOOKUP($R50,武学奇术!$A:$ZZ,24,FALSE)=1,100%,MIN(40%,$B$10+VLOOKUP($R50,武学奇术!$A:$ZZ,19,FALSE)+SUM(_xlfn.XLOOKUP($S50:$AL50,增益!$A:$A,增益!$S:$S,0)))+$B$12+SUM(_xlfn.XLOOKUP($S50:$AL50,增益!$A:$A,增益!$V:$V,0)))*IF(VLOOKUP($R50,武学奇术!$A:$ZZ,23,FALSE)=1,0,1)</f>
        <v>0</v>
      </c>
      <c r="BS50" s="33" cm="1">
        <f t="array" ref="BS50">1+$B$14+VLOOKUP($R50,武学奇术!$A:$ZZ,20,FALSE)+SUM(_xlfn.XLOOKUP($S50:$AL50,增益!$A:$A,增益!$T:$T,0))</f>
        <v>1.35</v>
      </c>
      <c r="BT50" s="33">
        <f t="shared" si="23"/>
        <v>1</v>
      </c>
      <c r="BU50" s="33">
        <f t="shared" si="24"/>
        <v>0</v>
      </c>
      <c r="BV50" s="33">
        <f>IF(VLOOKUP($R50,武学奇术!$A:$ZZ,22,FALSE)=1,0,(1-$BO50))*(1-$BR50)</f>
        <v>0</v>
      </c>
      <c r="BW50" s="33" cm="1">
        <f t="array" ref="BW50">SUM(_xlfn.XLOOKUP($S50:$AL50,增益!$A:$A,增益!$W:$W,0))+$I$5</f>
        <v>0.31</v>
      </c>
      <c r="BX50" s="33" cm="1">
        <f t="array" ref="BX50">VLOOKUP($R50,武学奇术!$A:$ZZ,32,FALSE)+SUM(_xlfn.XLOOKUP($S50:$AL50,增益!$A:$A,增益!$X:$X,0))</f>
        <v>0</v>
      </c>
    </row>
    <row r="51" spans="1:76">
      <c r="A51" s="4" t="s">
        <v>166</v>
      </c>
      <c r="B51" s="4">
        <v>0.1</v>
      </c>
      <c r="L51" s="46">
        <f t="shared" si="14"/>
        <v>499069.81336971</v>
      </c>
      <c r="M51" s="46">
        <f>((($AT51+$AU51)/2*$AN51+$AO51)*(1+$AV51)*(1+$AW51)+(($AY51+$AZ51)/2*IF($G$1="鸣金",$AP51,$AN51)+IF($G$1="鸣金",$AQ51*1.5,0))*(1+$BA51)*(1+$BB51)+(($BC51+$BD51)/2*IF($G$1="裂石",$AP51,$AN51)+IF($G$1="裂石",$AQ51*1.5,0))*(1+$BE51)*(1+$BF51)+(($BG51+$BH51)/2*IF($G$1="牵丝",$AP51,$AN51)+IF($G$1="牵丝",$AQ51*1.5,0))*(1+$BI51)*(1+$BJ51)+(($BK51+$BL51)/2*IF($G$1="破竹",$AP51,$AN51)+IF($G$1="破竹",$AQ51*1.5,0))*(1+$BM51)*(1+$BN51))*(1+$AR51)*$BQ51*$Q51*(1+IF(VLOOKUP($R51,武学奇术!$A:$ZZ,30,FALSE)="蓄力技",$B$21,0))*(1+IF(VLOOKUP($R51,武学奇术!$A:$ZZ,30,FALSE)="派生技",$B$20,0))*(1+$BW51)*(1+$BX51)</f>
        <v>499069.81336971</v>
      </c>
      <c r="N51" s="46">
        <f>(($AU51*$AN51+$AO51)*(1+$AV51)*(1+$AW51)+($AZ51*IF($G$1="鸣金",$AP51,$AN51)+IF($G$1="鸣金",$AQ51*1.5,0))*(1+$BA51)*(1+$BB51)+($BD51*IF($G$1="裂石",$AP51,$AN51)+IF($G$1="裂石",$AQ51*1.5,0))*(1+$BE51)*(1+$BF51)+($BH51*IF($G$1="牵丝",$AP51,$AN51)+IF($G$1="牵丝",$AQ51*1.5,0))*(1+$BI51)*(1+$BJ51)+($BL51*IF($G$1="破竹",$AP51,$AN51)+IF($G$1="破竹",$AQ51*1.5,0))*(1+$BM51)*(1+$BN51))*(1+$AR51)*$BS51*$Q51*(1+IF(VLOOKUP($R51,武学奇术!$A:$ZZ,30,FALSE)="蓄力技",$B$21,0))*(1+IF(VLOOKUP($R51,武学奇术!$A:$ZZ,30,FALSE)="派生技",$B$20,0))*(1+$BW51)*(1+$BX51)</f>
        <v>359126.786183138</v>
      </c>
      <c r="O51" s="46">
        <f>((($AT51+$AU51)/2*$AN51+$AO51)*(1+$AV51)*(1+$AW51)+(($AY51+$AZ51)/2*IF($G$1="鸣金",$AP51,$AN51)+IF($G$1="鸣金",$AQ51*1.5,0))*(1+$BA51)*(1+$BB51)+(($BC51+$BD51)/2*IF($G$1="裂石",$AP51,$AN51)+IF($G$1="裂石",$AQ51*1.5,0))*(1+$BE51)*(1+$BF51)+(($BG51+$BH51)/2*IF($G$1="牵丝",$AP51,$AN51)+IF($G$1="牵丝",$AQ51*1.5,0))*(1+$BI51)*(1+$BJ51)+(($BK51+$BL51)/2*IF($G$1="破竹",$AP51,$AN51)+IF($G$1="破竹",$AQ51*1.5,0))*(1+$BM51)*(1+$BN51))*(1+$AR51)*$Q51*(1+IF(VLOOKUP($R51,武学奇术!$A:$ZZ,30,FALSE)="蓄力技",$B$21,0))*(1+IF(VLOOKUP($R51,武学奇术!$A:$ZZ,30,FALSE)="派生技",$B$20,0))*(1+$BW51)*(1+$BX51)</f>
        <v>237652.292080814</v>
      </c>
      <c r="P51" s="46">
        <f>((($AT51*$AN51+$AO51)*(1+$AV51)*(1+$AW51)+($AY51*IF($G$1="鸣金",$AP51,$AN51)+IF($G$1="鸣金",$AQ51*1.5,0))*(1+$BA51)*(1+$BB51)+($BC51*IF($G$1="裂石",$AP51,$AN51)+IF($G$1="裂石",$AQ51*1.5,0))*(1+$BE51)*(1+$BF51)+($BG51*IF($G$1="牵丝",$AP51,$AN51)+IF($G$1="牵丝",$AQ51*1.5,0))*(1+$BI51)*(1+$BJ51)+($BK51*IF($G$1="破竹",$AP51,$AN51)+IF($G$1="破竹",$AQ51*1.5,0))*(1+$BM51)*(1+$BN51))*(1+$AR51))*$Q51*(1+IF(VLOOKUP($R51,武学奇术!$A:$ZZ,30,FALSE)="蓄力技",$B$21,0))*(1+IF(VLOOKUP($R51,武学奇术!$A:$ZZ,30,FALSE)="派生技",$B$20,0))*(1+$BW51)*(1+$BX51)</f>
        <v>209284.742544489</v>
      </c>
      <c r="Q51" s="47">
        <f t="shared" si="26"/>
        <v>1</v>
      </c>
      <c r="R51" s="48" t="s">
        <v>148</v>
      </c>
      <c r="S51" s="48" t="s">
        <v>99</v>
      </c>
      <c r="T51" s="48" t="s">
        <v>182</v>
      </c>
      <c r="U51" s="48" t="s">
        <v>79</v>
      </c>
      <c r="V51" s="48" t="s">
        <v>90</v>
      </c>
      <c r="W51" s="48" t="s">
        <v>141</v>
      </c>
      <c r="X51" s="48" t="s">
        <v>145</v>
      </c>
      <c r="Y51" s="48" t="s">
        <v>74</v>
      </c>
      <c r="Z51" s="48" t="s">
        <v>80</v>
      </c>
      <c r="AA51" s="48" t="s">
        <v>183</v>
      </c>
      <c r="AB51" s="48" t="s">
        <v>184</v>
      </c>
      <c r="AC51" s="48" t="s">
        <v>80</v>
      </c>
      <c r="AD51" s="48" t="s">
        <v>80</v>
      </c>
      <c r="AE51" s="48" t="s">
        <v>82</v>
      </c>
      <c r="AF51" s="48" t="s">
        <v>83</v>
      </c>
      <c r="AG51" s="48" t="s">
        <v>84</v>
      </c>
      <c r="AH51" s="48" t="s">
        <v>80</v>
      </c>
      <c r="AI51" s="48" t="s">
        <v>80</v>
      </c>
      <c r="AJ51" s="48" t="s">
        <v>80</v>
      </c>
      <c r="AK51" s="48" t="s">
        <v>80</v>
      </c>
      <c r="AL51" s="48" t="s">
        <v>85</v>
      </c>
      <c r="AM51" t="str">
        <f>VLOOKUP($R51,武学奇术!$A:$ZZ,25,FALSE)</f>
        <v>陌刀</v>
      </c>
      <c r="AN51" s="33">
        <f>VLOOKUP($R51,武学奇术!$A:$ZZ,26,FALSE)</f>
        <v>7.5674</v>
      </c>
      <c r="AO51" s="34">
        <f>VLOOKUP($R51,武学奇术!$A:$ZZ,27,FALSE)*(1+IF(OR($AM51=$F$4,$AM51=$F$5),$B$22,0))</f>
        <v>3348.8</v>
      </c>
      <c r="AP51" s="33">
        <f>VLOOKUP($R51,武学奇术!$A:$ZZ,28,FALSE)</f>
        <v>11.3512</v>
      </c>
      <c r="AQ51" s="34">
        <f>VLOOKUP($R51,武学奇术!$A:$ZZ,29,FALSE)*(1+IF(OR($AM51=$F$4,$AM51=$F$5),$B$22,0))</f>
        <v>1824</v>
      </c>
      <c r="AR51" s="33" cm="1">
        <f t="array" ref="AR51">$G$3+IFERROR(VLOOKUP($AM51,$F$4:$G$7,2,FALSE),0)+VLOOKUP($R51,武学奇术!$A:$ZZ,2,FALSE)+SUM(_xlfn.XLOOKUP($S51:$AL51,增益!$A:$A,增益!$B:$B,0))</f>
        <v>0.6943</v>
      </c>
      <c r="AS51" s="33" cm="1">
        <f t="array" ref="AS51">VLOOKUP($R51,武学奇术!$A:$ZZ,5,FALSE)+SUM(_xlfn.XLOOKUP($S51:$AL51,增益!$A:$A,增益!$E:$E,0))</f>
        <v>0</v>
      </c>
      <c r="AT51" cm="1">
        <f t="array" ref="AT51">$D$10*(1+$AS51)+VLOOKUP($R51,武学奇术!$A:$ZZ,3,FALSE)+SUM(_xlfn.XLOOKUP($S51:$AL51,增益!$A:$A,增益!$C:$C,0))-$I$2</f>
        <v>4094.7</v>
      </c>
      <c r="AU51" cm="1">
        <f t="array" ref="AU51">$E$10*(1+$AS51)+VLOOKUP($R51,武学奇术!$A:$ZZ,4,FALSE)+SUM(_xlfn.XLOOKUP($S51:$AL51,增益!$A:$A,增益!$D:$D,0))-$I$2</f>
        <v>4094.7</v>
      </c>
      <c r="AV51" s="40" cm="1">
        <f t="array" ref="AV51">IF($F$10-$I$3+VLOOKUP($R51,武学奇术!$A:$ZZ,6,FALSE)+SUM(_xlfn.XLOOKUP($S51:$AL51,增益!$A:$A,增益!$F:$F,0))&gt;0,($F$10-$I$3+VLOOKUP($R51,武学奇术!$A:$ZZ,6,FALSE)+SUM(_xlfn.XLOOKUP($S51:$AL51,增益!$A:$A,增益!$F:$F,0)))/200,($F$10-$I$3+VLOOKUP($R51,武学奇术!$A:$ZZ,6,FALSE)+SUM(_xlfn.XLOOKUP($S51:$AL51,增益!$A:$A,增益!$F:$F,0)))/100)</f>
        <v>0.4384</v>
      </c>
      <c r="AW51" s="40" cm="1">
        <f t="array" ref="AW51">$G$10+VLOOKUP($R51,武学奇术!$A:$ZZ,7,FALSE)+SUM(_xlfn.XLOOKUP($S51:$AL51,增益!$A:$A,增益!$G:$G,0))</f>
        <v>0.14</v>
      </c>
      <c r="AX51" s="33" cm="1">
        <f t="array" ref="AX51">VLOOKUP($R51,武学奇术!$A:$ZZ,8,FALSE)+SUM(_xlfn.XLOOKUP($S51:$AL51,增益!$A:$A,增益!$H:$H,0))</f>
        <v>0</v>
      </c>
      <c r="AY51">
        <f t="shared" si="15"/>
        <v>0</v>
      </c>
      <c r="AZ51">
        <f t="shared" si="16"/>
        <v>0</v>
      </c>
      <c r="BA51" s="40" cm="1">
        <f t="array" ref="BA51">IF($F$11-$I$4+VLOOKUP($R51,武学奇术!$A:$ZZ,9,FALSE)+SUM(_xlfn.XLOOKUP($S51:$AL51,增益!$A:$A,增益!$I:$I,0))&gt;0,($F$11-$I$4+VLOOKUP($R51,武学奇术!$A:$ZZ,9,FALSE)+SUM(_xlfn.XLOOKUP($S51:$AL51,增益!$A:$A,增益!$I:$I,0)))/200,($F$11-$I$4+VLOOKUP($R51,武学奇术!$A:$ZZ,9,FALSE)+SUM(_xlfn.XLOOKUP($S51:$AL51,增益!$A:$A,增益!$I:$I,0)))/100)</f>
        <v>-0.14</v>
      </c>
      <c r="BB51" s="40" cm="1">
        <f t="array" ref="BB51">$G$11+VLOOKUP($R51,武学奇术!$A:$ZZ,10,FALSE)+SUM(_xlfn.XLOOKUP($S51:$AL51,增益!$A:$A,增益!$J:$J,0))</f>
        <v>0.12</v>
      </c>
      <c r="BC51">
        <f t="shared" si="17"/>
        <v>640.3</v>
      </c>
      <c r="BD51">
        <f t="shared" si="18"/>
        <v>1770.1</v>
      </c>
      <c r="BE51" s="40" cm="1">
        <f t="array" ref="BE51">IF($F$12-$I$4+VLOOKUP($R51,武学奇术!$A:$ZZ,11,FALSE)+SUM(_xlfn.XLOOKUP($S51:$AL51,增益!$A:$A,增益!$K:$K,0))&gt;0,($F$12-$I$4+VLOOKUP($R51,武学奇术!$A:$ZZ,11,FALSE)+SUM(_xlfn.XLOOKUP($S51:$AL51,增益!$A:$A,增益!$K:$K,0)))/200,($F$12-$I$4+VLOOKUP($R51,武学奇术!$A:$ZZ,11,FALSE)+SUM(_xlfn.XLOOKUP($S51:$AL51,增益!$A:$A,增益!$K:$K,0)))/100)</f>
        <v>0.17</v>
      </c>
      <c r="BF51" s="40" cm="1">
        <f t="array" ref="BF51">$G$12+VLOOKUP($R51,武学奇术!$A:$ZZ,12,FALSE)+SUM(_xlfn.XLOOKUP($S51:$AL51,增益!$A:$A,增益!$L:$L,0))</f>
        <v>0.29</v>
      </c>
      <c r="BG51">
        <f t="shared" si="19"/>
        <v>0</v>
      </c>
      <c r="BH51">
        <f t="shared" si="20"/>
        <v>0</v>
      </c>
      <c r="BI51" s="40" cm="1">
        <f t="array" ref="BI51">IF($F$13-$I$4+VLOOKUP($R51,武学奇术!$A:$ZZ,13,FALSE)+SUM(_xlfn.XLOOKUP($S51:$AL51,增益!$A:$A,增益!$M:$M,0))&gt;0,($F$13-$I$4+VLOOKUP($R51,武学奇术!$A:$ZZ,13,FALSE)+SUM(_xlfn.XLOOKUP($S51:$AL51,增益!$A:$A,增益!$K:$K,0)))/200,($F$13-$I$4+VLOOKUP($R51,武学奇术!$A:$ZZ,13,FALSE)+SUM(_xlfn.XLOOKUP($S51:$AL51,增益!$A:$A,增益!$M:$M,0)))/100)</f>
        <v>-0.14</v>
      </c>
      <c r="BJ51" s="40" cm="1">
        <f t="array" ref="BJ51">$G$13+VLOOKUP($R51,武学奇术!$A:$ZZ,14,FALSE)+SUM(_xlfn.XLOOKUP($S51:$AL51,增益!$A:$A,增益!$N:$N,0))</f>
        <v>0.02</v>
      </c>
      <c r="BK51">
        <f t="shared" si="21"/>
        <v>0</v>
      </c>
      <c r="BL51">
        <f t="shared" si="22"/>
        <v>0</v>
      </c>
      <c r="BM51" s="40" cm="1">
        <f t="array" ref="BM51">IF($F$14-$I$4+VLOOKUP($R51,武学奇术!$A:$ZZ,15,FALSE)+SUM(_xlfn.XLOOKUP($S51:$AL51,增益!$A:$A,增益!$O:$O,0))&gt;0,($F$14-$I$4+VLOOKUP($R51,武学奇术!$A:$ZZ,15,FALSE)+SUM(_xlfn.XLOOKUP($S51:$AL51,增益!$A:$A,增益!$O:$O,0)))/200,($F$14-$I$4+VLOOKUP($R51,武学奇术!$A:$ZZ,15,FALSE)+SUM(_xlfn.XLOOKUP($S51:$AL51,增益!$A:$A,增益!$O:$O,0)))/100)</f>
        <v>-0.14</v>
      </c>
      <c r="BN51" s="40" cm="1">
        <f t="array" ref="BN51">$G$14+VLOOKUP($R51,武学奇术!$A:$ZZ,16,FALSE)+SUM(_xlfn.XLOOKUP($S51:$AL51,增益!$A:$A,增益!$P:$P,0))</f>
        <v>0.02</v>
      </c>
      <c r="BO51" s="33">
        <f>MIN(IF(VLOOKUP($R51,武学奇术!$A:$ZZ,23,FALSE)=1,100%,$B$8),100%)</f>
        <v>1</v>
      </c>
      <c r="BP51" s="33" cm="1">
        <f t="array" ref="BP51">IF(VLOOKUP($R51,武学奇术!$A:$ZZ,23,FALSE)=1,100%,MIN(80%,$B$9+VLOOKUP($R51,武学奇术!$A:$ZZ,17,FALSE)+SUM(_xlfn.XLOOKUP($S51:$AL51,增益!$A:$A,增益!$Q:$Q,0)))+$B$11+SUM(_xlfn.XLOOKUP($S51:$AL51,增益!$A:$A,增益!$U:$U,0)))*IF(VLOOKUP($R51,武学奇术!$A:$ZZ,24,FALSE)=1,0,1)</f>
        <v>1</v>
      </c>
      <c r="BQ51" s="33" cm="1">
        <f t="array" ref="BQ51">1+$B$13+VLOOKUP($R51,武学奇术!$A:$ZZ,18,FALSE)+SUM(_xlfn.XLOOKUP($S51:$AL51,增益!$A:$A,增益!$R:$R,0))</f>
        <v>2.1</v>
      </c>
      <c r="BR51" s="33" cm="1">
        <f t="array" ref="BR51">IF(VLOOKUP($R51,武学奇术!$A:$ZZ,24,FALSE)=1,100%,MIN(40%,$B$10+VLOOKUP($R51,武学奇术!$A:$ZZ,19,FALSE)+SUM(_xlfn.XLOOKUP($S51:$AL51,增益!$A:$A,增益!$S:$S,0)))+$B$12+SUM(_xlfn.XLOOKUP($S51:$AL51,增益!$A:$A,增益!$V:$V,0)))*IF(VLOOKUP($R51,武学奇术!$A:$ZZ,23,FALSE)=1,0,1)</f>
        <v>0</v>
      </c>
      <c r="BS51" s="33" cm="1">
        <f t="array" ref="BS51">1+$B$14+VLOOKUP($R51,武学奇术!$A:$ZZ,20,FALSE)+SUM(_xlfn.XLOOKUP($S51:$AL51,增益!$A:$A,增益!$T:$T,0))</f>
        <v>1.35</v>
      </c>
      <c r="BT51" s="33">
        <f t="shared" si="23"/>
        <v>1</v>
      </c>
      <c r="BU51" s="33">
        <f t="shared" si="24"/>
        <v>0</v>
      </c>
      <c r="BV51" s="33">
        <f>IF(VLOOKUP($R51,武学奇术!$A:$ZZ,22,FALSE)=1,0,(1-$BO51))*(1-$BR51)</f>
        <v>0</v>
      </c>
      <c r="BW51" s="33" cm="1">
        <f t="array" ref="BW51">SUM(_xlfn.XLOOKUP($S51:$AL51,增益!$A:$A,增益!$W:$W,0))+$I$5</f>
        <v>0.31</v>
      </c>
      <c r="BX51" s="33" cm="1">
        <f t="array" ref="BX51">VLOOKUP($R51,武学奇术!$A:$ZZ,32,FALSE)+SUM(_xlfn.XLOOKUP($S51:$AL51,增益!$A:$A,增益!$X:$X,0))</f>
        <v>0</v>
      </c>
    </row>
    <row r="52" spans="1:76">
      <c r="A52" t="s">
        <v>180</v>
      </c>
      <c r="B52">
        <v>1</v>
      </c>
      <c r="L52" s="46">
        <f t="shared" si="14"/>
        <v>30515.2576464033</v>
      </c>
      <c r="M52" s="46">
        <f>((($AT52+$AU52)/2*$AN52+$AO52)*(1+$AV52)*(1+$AW52)+(($AY52+$AZ52)/2*IF($G$1="鸣金",$AP52,$AN52)+IF($G$1="鸣金",$AQ52*1.5,0))*(1+$BA52)*(1+$BB52)+(($BC52+$BD52)/2*IF($G$1="裂石",$AP52,$AN52)+IF($G$1="裂石",$AQ52*1.5,0))*(1+$BE52)*(1+$BF52)+(($BG52+$BH52)/2*IF($G$1="牵丝",$AP52,$AN52)+IF($G$1="牵丝",$AQ52*1.5,0))*(1+$BI52)*(1+$BJ52)+(($BK52+$BL52)/2*IF($G$1="破竹",$AP52,$AN52)+IF($G$1="破竹",$AQ52*1.5,0))*(1+$BM52)*(1+$BN52))*(1+$AR52)*$BQ52*$Q52*(1+IF(VLOOKUP($R52,武学奇术!$A:$ZZ,30,FALSE)="蓄力技",$B$21,0))*(1+IF(VLOOKUP($R52,武学奇术!$A:$ZZ,30,FALSE)="派生技",$B$20,0))*(1+$BW52)*(1+$BX52)</f>
        <v>30515.2576464033</v>
      </c>
      <c r="N52" s="46">
        <f>(($AU52*$AN52+$AO52)*(1+$AV52)*(1+$AW52)+($AZ52*IF($G$1="鸣金",$AP52,$AN52)+IF($G$1="鸣金",$AQ52*1.5,0))*(1+$BA52)*(1+$BB52)+($BD52*IF($G$1="裂石",$AP52,$AN52)+IF($G$1="裂石",$AQ52*1.5,0))*(1+$BE52)*(1+$BF52)+($BH52*IF($G$1="牵丝",$AP52,$AN52)+IF($G$1="牵丝",$AQ52*1.5,0))*(1+$BI52)*(1+$BJ52)+($BL52*IF($G$1="破竹",$AP52,$AN52)+IF($G$1="破竹",$AQ52*1.5,0))*(1+$BM52)*(1+$BN52))*(1+$AR52)*$BS52*$Q52*(1+IF(VLOOKUP($R52,武学奇术!$A:$ZZ,30,FALSE)="蓄力技",$B$21,0))*(1+IF(VLOOKUP($R52,武学奇术!$A:$ZZ,30,FALSE)="派生技",$B$20,0))*(1+$BW52)*(1+$BX52)</f>
        <v>22273.7850798276</v>
      </c>
      <c r="O52" s="46">
        <f>((($AT52+$AU52)/2*$AN52+$AO52)*(1+$AV52)*(1+$AW52)+(($AY52+$AZ52)/2*IF($G$1="鸣金",$AP52,$AN52)+IF($G$1="鸣金",$AQ52*1.5,0))*(1+$BA52)*(1+$BB52)+(($BC52+$BD52)/2*IF($G$1="裂石",$AP52,$AN52)+IF($G$1="裂石",$AQ52*1.5,0))*(1+$BE52)*(1+$BF52)+(($BG52+$BH52)/2*IF($G$1="牵丝",$AP52,$AN52)+IF($G$1="牵丝",$AQ52*1.5,0))*(1+$BI52)*(1+$BJ52)+(($BK52+$BL52)/2*IF($G$1="破竹",$AP52,$AN52)+IF($G$1="破竹",$AQ52*1.5,0))*(1+$BM52)*(1+$BN52))*(1+$AR52)*$Q52*(1+IF(VLOOKUP($R52,武学奇术!$A:$ZZ,30,FALSE)="蓄力技",$B$21,0))*(1+IF(VLOOKUP($R52,武学奇术!$A:$ZZ,30,FALSE)="派生技",$B$20,0))*(1+$BW52)*(1+$BX52)</f>
        <v>14531.0750697158</v>
      </c>
      <c r="P52" s="46">
        <f>((($AT52*$AN52+$AO52)*(1+$AV52)*(1+$AW52)+($AY52*IF($G$1="鸣金",$AP52,$AN52)+IF($G$1="鸣金",$AQ52*1.5,0))*(1+$BA52)*(1+$BB52)+($BC52*IF($G$1="裂石",$AP52,$AN52)+IF($G$1="裂石",$AQ52*1.5,0))*(1+$BE52)*(1+$BF52)+($BG52*IF($G$1="牵丝",$AP52,$AN52)+IF($G$1="牵丝",$AQ52*1.5,0))*(1+$BI52)*(1+$BJ52)+($BK52*IF($G$1="破竹",$AP52,$AN52)+IF($G$1="破竹",$AQ52*1.5,0))*(1+$BM52)*(1+$BN52))*(1+$AR52))*$Q52*(1+IF(VLOOKUP($R52,武学奇术!$A:$ZZ,30,FALSE)="蓄力技",$B$21,0))*(1+IF(VLOOKUP($R52,武学奇术!$A:$ZZ,30,FALSE)="派生技",$B$20,0))*(1+$BW52)*(1+$BX52)</f>
        <v>12563.0500803001</v>
      </c>
      <c r="Q52" s="47">
        <f t="shared" si="26"/>
        <v>1</v>
      </c>
      <c r="R52" s="48" t="s">
        <v>154</v>
      </c>
      <c r="S52" s="48" t="s">
        <v>99</v>
      </c>
      <c r="T52" s="48" t="s">
        <v>182</v>
      </c>
      <c r="U52" s="48" t="s">
        <v>79</v>
      </c>
      <c r="V52" s="48" t="s">
        <v>90</v>
      </c>
      <c r="W52" s="48" t="s">
        <v>141</v>
      </c>
      <c r="X52" s="48" t="s">
        <v>145</v>
      </c>
      <c r="Y52" s="48" t="s">
        <v>74</v>
      </c>
      <c r="Z52" s="48" t="s">
        <v>80</v>
      </c>
      <c r="AA52" s="48" t="s">
        <v>183</v>
      </c>
      <c r="AB52" s="48" t="s">
        <v>184</v>
      </c>
      <c r="AC52" s="48" t="s">
        <v>80</v>
      </c>
      <c r="AD52" s="48" t="s">
        <v>80</v>
      </c>
      <c r="AE52" s="48" t="s">
        <v>82</v>
      </c>
      <c r="AF52" s="48" t="s">
        <v>83</v>
      </c>
      <c r="AG52" s="48" t="s">
        <v>84</v>
      </c>
      <c r="AH52" s="48" t="s">
        <v>80</v>
      </c>
      <c r="AI52" s="48" t="s">
        <v>80</v>
      </c>
      <c r="AJ52" s="48" t="s">
        <v>80</v>
      </c>
      <c r="AK52" s="48" t="s">
        <v>80</v>
      </c>
      <c r="AL52" s="48" t="s">
        <v>85</v>
      </c>
      <c r="AM52" t="str">
        <f>VLOOKUP($R52,武学奇术!$A:$ZZ,25,FALSE)</f>
        <v>陌刀</v>
      </c>
      <c r="AN52" s="33">
        <f>VLOOKUP($R52,武学奇术!$A:$ZZ,26,FALSE)</f>
        <v>0.525</v>
      </c>
      <c r="AO52" s="34">
        <f>VLOOKUP($R52,武学奇术!$A:$ZZ,27,FALSE)*(1+IF(OR($AM52=$F$4,$AM52=$F$5),$B$22,0))</f>
        <v>0</v>
      </c>
      <c r="AP52" s="33">
        <f>VLOOKUP($R52,武学奇术!$A:$ZZ,28,FALSE)</f>
        <v>0.7875</v>
      </c>
      <c r="AQ52" s="34">
        <f>VLOOKUP($R52,武学奇术!$A:$ZZ,29,FALSE)*(1+IF(OR($AM52=$F$4,$AM52=$F$5),$B$22,0))</f>
        <v>0</v>
      </c>
      <c r="AR52" s="33" cm="1">
        <f t="array" ref="AR52">$G$3+IFERROR(VLOOKUP($AM52,$F$4:$G$7,2,FALSE),0)+VLOOKUP($R52,武学奇术!$A:$ZZ,2,FALSE)+SUM(_xlfn.XLOOKUP($S52:$AL52,增益!$A:$A,增益!$B:$B,0))</f>
        <v>0.6943</v>
      </c>
      <c r="AS52" s="33" cm="1">
        <f t="array" ref="AS52">VLOOKUP($R52,武学奇术!$A:$ZZ,5,FALSE)+SUM(_xlfn.XLOOKUP($S52:$AL52,增益!$A:$A,增益!$E:$E,0))</f>
        <v>0</v>
      </c>
      <c r="AT52" cm="1">
        <f t="array" ref="AT52">$D$10*(1+$AS52)+VLOOKUP($R52,武学奇术!$A:$ZZ,3,FALSE)+SUM(_xlfn.XLOOKUP($S52:$AL52,增益!$A:$A,增益!$C:$C,0))-$I$2</f>
        <v>4094.7</v>
      </c>
      <c r="AU52" cm="1">
        <f t="array" ref="AU52">$E$10*(1+$AS52)+VLOOKUP($R52,武学奇术!$A:$ZZ,4,FALSE)+SUM(_xlfn.XLOOKUP($S52:$AL52,增益!$A:$A,增益!$D:$D,0))-$I$2</f>
        <v>4094.7</v>
      </c>
      <c r="AV52" s="40" cm="1">
        <f t="array" ref="AV52">IF($F$10-$I$3+VLOOKUP($R52,武学奇术!$A:$ZZ,6,FALSE)+SUM(_xlfn.XLOOKUP($S52:$AL52,增益!$A:$A,增益!$F:$F,0))&gt;0,($F$10-$I$3+VLOOKUP($R52,武学奇术!$A:$ZZ,6,FALSE)+SUM(_xlfn.XLOOKUP($S52:$AL52,增益!$A:$A,增益!$F:$F,0)))/200,($F$10-$I$3+VLOOKUP($R52,武学奇术!$A:$ZZ,6,FALSE)+SUM(_xlfn.XLOOKUP($S52:$AL52,增益!$A:$A,增益!$F:$F,0)))/100)</f>
        <v>0.4384</v>
      </c>
      <c r="AW52" s="40" cm="1">
        <f t="array" ref="AW52">$G$10+VLOOKUP($R52,武学奇术!$A:$ZZ,7,FALSE)+SUM(_xlfn.XLOOKUP($S52:$AL52,增益!$A:$A,增益!$G:$G,0))</f>
        <v>0.14</v>
      </c>
      <c r="AX52" s="33" cm="1">
        <f t="array" ref="AX52">VLOOKUP($R52,武学奇术!$A:$ZZ,8,FALSE)+SUM(_xlfn.XLOOKUP($S52:$AL52,增益!$A:$A,增益!$H:$H,0))</f>
        <v>0</v>
      </c>
      <c r="AY52">
        <f t="shared" si="15"/>
        <v>0</v>
      </c>
      <c r="AZ52">
        <f t="shared" si="16"/>
        <v>0</v>
      </c>
      <c r="BA52" s="40" cm="1">
        <f t="array" ref="BA52">IF($F$11-$I$4+VLOOKUP($R52,武学奇术!$A:$ZZ,9,FALSE)+SUM(_xlfn.XLOOKUP($S52:$AL52,增益!$A:$A,增益!$I:$I,0))&gt;0,($F$11-$I$4+VLOOKUP($R52,武学奇术!$A:$ZZ,9,FALSE)+SUM(_xlfn.XLOOKUP($S52:$AL52,增益!$A:$A,增益!$I:$I,0)))/200,($F$11-$I$4+VLOOKUP($R52,武学奇术!$A:$ZZ,9,FALSE)+SUM(_xlfn.XLOOKUP($S52:$AL52,增益!$A:$A,增益!$I:$I,0)))/100)</f>
        <v>-0.14</v>
      </c>
      <c r="BB52" s="40" cm="1">
        <f t="array" ref="BB52">$G$11+VLOOKUP($R52,武学奇术!$A:$ZZ,10,FALSE)+SUM(_xlfn.XLOOKUP($S52:$AL52,增益!$A:$A,增益!$J:$J,0))</f>
        <v>0.12</v>
      </c>
      <c r="BC52">
        <f t="shared" si="17"/>
        <v>640.3</v>
      </c>
      <c r="BD52">
        <f t="shared" si="18"/>
        <v>1770.1</v>
      </c>
      <c r="BE52" s="40" cm="1">
        <f t="array" ref="BE52">IF($F$12-$I$4+VLOOKUP($R52,武学奇术!$A:$ZZ,11,FALSE)+SUM(_xlfn.XLOOKUP($S52:$AL52,增益!$A:$A,增益!$K:$K,0))&gt;0,($F$12-$I$4+VLOOKUP($R52,武学奇术!$A:$ZZ,11,FALSE)+SUM(_xlfn.XLOOKUP($S52:$AL52,增益!$A:$A,增益!$K:$K,0)))/200,($F$12-$I$4+VLOOKUP($R52,武学奇术!$A:$ZZ,11,FALSE)+SUM(_xlfn.XLOOKUP($S52:$AL52,增益!$A:$A,增益!$K:$K,0)))/100)</f>
        <v>0.17</v>
      </c>
      <c r="BF52" s="40" cm="1">
        <f t="array" ref="BF52">$G$12+VLOOKUP($R52,武学奇术!$A:$ZZ,12,FALSE)+SUM(_xlfn.XLOOKUP($S52:$AL52,增益!$A:$A,增益!$L:$L,0))</f>
        <v>0.29</v>
      </c>
      <c r="BG52">
        <f t="shared" si="19"/>
        <v>0</v>
      </c>
      <c r="BH52">
        <f t="shared" si="20"/>
        <v>0</v>
      </c>
      <c r="BI52" s="40" cm="1">
        <f t="array" ref="BI52">IF($F$13-$I$4+VLOOKUP($R52,武学奇术!$A:$ZZ,13,FALSE)+SUM(_xlfn.XLOOKUP($S52:$AL52,增益!$A:$A,增益!$M:$M,0))&gt;0,($F$13-$I$4+VLOOKUP($R52,武学奇术!$A:$ZZ,13,FALSE)+SUM(_xlfn.XLOOKUP($S52:$AL52,增益!$A:$A,增益!$K:$K,0)))/200,($F$13-$I$4+VLOOKUP($R52,武学奇术!$A:$ZZ,13,FALSE)+SUM(_xlfn.XLOOKUP($S52:$AL52,增益!$A:$A,增益!$M:$M,0)))/100)</f>
        <v>-0.14</v>
      </c>
      <c r="BJ52" s="40" cm="1">
        <f t="array" ref="BJ52">$G$13+VLOOKUP($R52,武学奇术!$A:$ZZ,14,FALSE)+SUM(_xlfn.XLOOKUP($S52:$AL52,增益!$A:$A,增益!$N:$N,0))</f>
        <v>0.02</v>
      </c>
      <c r="BK52">
        <f t="shared" si="21"/>
        <v>0</v>
      </c>
      <c r="BL52">
        <f t="shared" si="22"/>
        <v>0</v>
      </c>
      <c r="BM52" s="40" cm="1">
        <f t="array" ref="BM52">IF($F$14-$I$4+VLOOKUP($R52,武学奇术!$A:$ZZ,15,FALSE)+SUM(_xlfn.XLOOKUP($S52:$AL52,增益!$A:$A,增益!$O:$O,0))&gt;0,($F$14-$I$4+VLOOKUP($R52,武学奇术!$A:$ZZ,15,FALSE)+SUM(_xlfn.XLOOKUP($S52:$AL52,增益!$A:$A,增益!$O:$O,0)))/200,($F$14-$I$4+VLOOKUP($R52,武学奇术!$A:$ZZ,15,FALSE)+SUM(_xlfn.XLOOKUP($S52:$AL52,增益!$A:$A,增益!$O:$O,0)))/100)</f>
        <v>-0.14</v>
      </c>
      <c r="BN52" s="40" cm="1">
        <f t="array" ref="BN52">$G$14+VLOOKUP($R52,武学奇术!$A:$ZZ,16,FALSE)+SUM(_xlfn.XLOOKUP($S52:$AL52,增益!$A:$A,增益!$P:$P,0))</f>
        <v>0.02</v>
      </c>
      <c r="BO52" s="33">
        <f>MIN(IF(VLOOKUP($R52,武学奇术!$A:$ZZ,23,FALSE)=1,100%,$B$8),100%)</f>
        <v>1</v>
      </c>
      <c r="BP52" s="33" cm="1">
        <f t="array" ref="BP52">IF(VLOOKUP($R52,武学奇术!$A:$ZZ,23,FALSE)=1,100%,MIN(80%,$B$9+VLOOKUP($R52,武学奇术!$A:$ZZ,17,FALSE)+SUM(_xlfn.XLOOKUP($S52:$AL52,增益!$A:$A,增益!$Q:$Q,0)))+$B$11+SUM(_xlfn.XLOOKUP($S52:$AL52,增益!$A:$A,增益!$U:$U,0)))*IF(VLOOKUP($R52,武学奇术!$A:$ZZ,24,FALSE)=1,0,1)</f>
        <v>1</v>
      </c>
      <c r="BQ52" s="33" cm="1">
        <f t="array" ref="BQ52">1+$B$13+VLOOKUP($R52,武学奇术!$A:$ZZ,18,FALSE)+SUM(_xlfn.XLOOKUP($S52:$AL52,增益!$A:$A,增益!$R:$R,0))</f>
        <v>2.1</v>
      </c>
      <c r="BR52" s="33" cm="1">
        <f t="array" ref="BR52">IF(VLOOKUP($R52,武学奇术!$A:$ZZ,24,FALSE)=1,100%,MIN(40%,$B$10+VLOOKUP($R52,武学奇术!$A:$ZZ,19,FALSE)+SUM(_xlfn.XLOOKUP($S52:$AL52,增益!$A:$A,增益!$S:$S,0)))+$B$12+SUM(_xlfn.XLOOKUP($S52:$AL52,增益!$A:$A,增益!$V:$V,0)))*IF(VLOOKUP($R52,武学奇术!$A:$ZZ,23,FALSE)=1,0,1)</f>
        <v>0</v>
      </c>
      <c r="BS52" s="33" cm="1">
        <f t="array" ref="BS52">1+$B$14+VLOOKUP($R52,武学奇术!$A:$ZZ,20,FALSE)+SUM(_xlfn.XLOOKUP($S52:$AL52,增益!$A:$A,增益!$T:$T,0))</f>
        <v>1.35</v>
      </c>
      <c r="BT52" s="33">
        <f t="shared" si="23"/>
        <v>1</v>
      </c>
      <c r="BU52" s="33">
        <f t="shared" si="24"/>
        <v>0</v>
      </c>
      <c r="BV52" s="33">
        <f>IF(VLOOKUP($R52,武学奇术!$A:$ZZ,22,FALSE)=1,0,(1-$BO52))*(1-$BR52)</f>
        <v>0</v>
      </c>
      <c r="BW52" s="33" cm="1">
        <f t="array" ref="BW52">SUM(_xlfn.XLOOKUP($S52:$AL52,增益!$A:$A,增益!$W:$W,0))+$I$5</f>
        <v>0.31</v>
      </c>
      <c r="BX52" s="33" cm="1">
        <f t="array" ref="BX52">VLOOKUP($R52,武学奇术!$A:$ZZ,32,FALSE)+SUM(_xlfn.XLOOKUP($S52:$AL52,增益!$A:$A,增益!$X:$X,0))</f>
        <v>0</v>
      </c>
    </row>
    <row r="53" spans="1:76">
      <c r="A53" t="s">
        <v>116</v>
      </c>
      <c r="B53">
        <v>2.3</v>
      </c>
      <c r="L53" s="46">
        <f t="shared" si="14"/>
        <v>54927.4637635259</v>
      </c>
      <c r="M53" s="46">
        <f>((($AT53+$AU53)/2*$AN53+$AO53)*(1+$AV53)*(1+$AW53)+(($AY53+$AZ53)/2*IF($G$1="鸣金",$AP53,$AN53)+IF($G$1="鸣金",$AQ53*1.5,0))*(1+$BA53)*(1+$BB53)+(($BC53+$BD53)/2*IF($G$1="裂石",$AP53,$AN53)+IF($G$1="裂石",$AQ53*1.5,0))*(1+$BE53)*(1+$BF53)+(($BG53+$BH53)/2*IF($G$1="牵丝",$AP53,$AN53)+IF($G$1="牵丝",$AQ53*1.5,0))*(1+$BI53)*(1+$BJ53)+(($BK53+$BL53)/2*IF($G$1="破竹",$AP53,$AN53)+IF($G$1="破竹",$AQ53*1.5,0))*(1+$BM53)*(1+$BN53))*(1+$AR53)*$BQ53*$Q53*(1+IF(VLOOKUP($R53,武学奇术!$A:$ZZ,30,FALSE)="蓄力技",$B$21,0))*(1+IF(VLOOKUP($R53,武学奇术!$A:$ZZ,30,FALSE)="派生技",$B$20,0))*(1+$BW53)*(1+$BX53)</f>
        <v>54927.4637635259</v>
      </c>
      <c r="N53" s="46">
        <f>(($AU53*$AN53+$AO53)*(1+$AV53)*(1+$AW53)+($AZ53*IF($G$1="鸣金",$AP53,$AN53)+IF($G$1="鸣金",$AQ53*1.5,0))*(1+$BA53)*(1+$BB53)+($BD53*IF($G$1="裂石",$AP53,$AN53)+IF($G$1="裂石",$AQ53*1.5,0))*(1+$BE53)*(1+$BF53)+($BH53*IF($G$1="牵丝",$AP53,$AN53)+IF($G$1="牵丝",$AQ53*1.5,0))*(1+$BI53)*(1+$BJ53)+($BL53*IF($G$1="破竹",$AP53,$AN53)+IF($G$1="破竹",$AQ53*1.5,0))*(1+$BM53)*(1+$BN53))*(1+$AR53)*$BS53*$Q53*(1+IF(VLOOKUP($R53,武学奇术!$A:$ZZ,30,FALSE)="蓄力技",$B$21,0))*(1+IF(VLOOKUP($R53,武学奇术!$A:$ZZ,30,FALSE)="派生技",$B$20,0))*(1+$BW53)*(1+$BX53)</f>
        <v>40092.8131436897</v>
      </c>
      <c r="O53" s="46">
        <f>((($AT53+$AU53)/2*$AN53+$AO53)*(1+$AV53)*(1+$AW53)+(($AY53+$AZ53)/2*IF($G$1="鸣金",$AP53,$AN53)+IF($G$1="鸣金",$AQ53*1.5,0))*(1+$BA53)*(1+$BB53)+(($BC53+$BD53)/2*IF($G$1="裂石",$AP53,$AN53)+IF($G$1="裂石",$AQ53*1.5,0))*(1+$BE53)*(1+$BF53)+(($BG53+$BH53)/2*IF($G$1="牵丝",$AP53,$AN53)+IF($G$1="牵丝",$AQ53*1.5,0))*(1+$BI53)*(1+$BJ53)+(($BK53+$BL53)/2*IF($G$1="破竹",$AP53,$AN53)+IF($G$1="破竹",$AQ53*1.5,0))*(1+$BM53)*(1+$BN53))*(1+$AR53)*$Q53*(1+IF(VLOOKUP($R53,武学奇术!$A:$ZZ,30,FALSE)="蓄力技",$B$21,0))*(1+IF(VLOOKUP($R53,武学奇术!$A:$ZZ,30,FALSE)="派生技",$B$20,0))*(1+$BW53)*(1+$BX53)</f>
        <v>26155.9351254885</v>
      </c>
      <c r="P53" s="46">
        <f>((($AT53*$AN53+$AO53)*(1+$AV53)*(1+$AW53)+($AY53*IF($G$1="鸣金",$AP53,$AN53)+IF($G$1="鸣金",$AQ53*1.5,0))*(1+$BA53)*(1+$BB53)+($BC53*IF($G$1="裂石",$AP53,$AN53)+IF($G$1="裂石",$AQ53*1.5,0))*(1+$BE53)*(1+$BF53)+($BG53*IF($G$1="牵丝",$AP53,$AN53)+IF($G$1="牵丝",$AQ53*1.5,0))*(1+$BI53)*(1+$BJ53)+($BK53*IF($G$1="破竹",$AP53,$AN53)+IF($G$1="破竹",$AQ53*1.5,0))*(1+$BM53)*(1+$BN53))*(1+$AR53))*$Q53*(1+IF(VLOOKUP($R53,武学奇术!$A:$ZZ,30,FALSE)="蓄力技",$B$21,0))*(1+IF(VLOOKUP($R53,武学奇术!$A:$ZZ,30,FALSE)="派生技",$B$20,0))*(1+$BW53)*(1+$BX53)</f>
        <v>22613.4901445402</v>
      </c>
      <c r="Q53" s="47">
        <f t="shared" si="26"/>
        <v>1</v>
      </c>
      <c r="R53" s="48" t="s">
        <v>144</v>
      </c>
      <c r="S53" s="48" t="s">
        <v>99</v>
      </c>
      <c r="T53" s="48" t="s">
        <v>182</v>
      </c>
      <c r="U53" s="48" t="s">
        <v>79</v>
      </c>
      <c r="V53" s="48" t="s">
        <v>90</v>
      </c>
      <c r="W53" s="48" t="s">
        <v>141</v>
      </c>
      <c r="X53" s="48" t="s">
        <v>145</v>
      </c>
      <c r="Y53" s="48" t="s">
        <v>74</v>
      </c>
      <c r="Z53" s="48" t="s">
        <v>80</v>
      </c>
      <c r="AA53" s="48" t="s">
        <v>183</v>
      </c>
      <c r="AB53" s="48" t="s">
        <v>184</v>
      </c>
      <c r="AC53" s="48" t="s">
        <v>80</v>
      </c>
      <c r="AD53" s="48" t="s">
        <v>80</v>
      </c>
      <c r="AE53" s="48" t="s">
        <v>82</v>
      </c>
      <c r="AF53" s="48" t="s">
        <v>83</v>
      </c>
      <c r="AG53" s="48" t="s">
        <v>84</v>
      </c>
      <c r="AH53" s="48" t="s">
        <v>80</v>
      </c>
      <c r="AI53" s="48" t="s">
        <v>80</v>
      </c>
      <c r="AJ53" s="48" t="s">
        <v>80</v>
      </c>
      <c r="AK53" s="48" t="s">
        <v>80</v>
      </c>
      <c r="AL53" s="48" t="s">
        <v>85</v>
      </c>
      <c r="AM53" t="str">
        <f>VLOOKUP($R53,武学奇术!$A:$ZZ,25,FALSE)</f>
        <v>陌刀</v>
      </c>
      <c r="AN53" s="33">
        <f>VLOOKUP($R53,武学奇术!$A:$ZZ,26,FALSE)</f>
        <v>0.945</v>
      </c>
      <c r="AO53" s="34">
        <f>VLOOKUP($R53,武学奇术!$A:$ZZ,27,FALSE)*(1+IF(OR($AM53=$F$4,$AM53=$F$5),$B$22,0))</f>
        <v>0</v>
      </c>
      <c r="AP53" s="33">
        <f>VLOOKUP($R53,武学奇术!$A:$ZZ,28,FALSE)</f>
        <v>1.4175</v>
      </c>
      <c r="AQ53" s="34">
        <f>VLOOKUP($R53,武学奇术!$A:$ZZ,29,FALSE)*(1+IF(OR($AM53=$F$4,$AM53=$F$5),$B$22,0))</f>
        <v>0</v>
      </c>
      <c r="AR53" s="33" cm="1">
        <f t="array" ref="AR53">$G$3+IFERROR(VLOOKUP($AM53,$F$4:$G$7,2,FALSE),0)+VLOOKUP($R53,武学奇术!$A:$ZZ,2,FALSE)+SUM(_xlfn.XLOOKUP($S53:$AL53,增益!$A:$A,增益!$B:$B,0))</f>
        <v>0.6943</v>
      </c>
      <c r="AS53" s="33" cm="1">
        <f t="array" ref="AS53">VLOOKUP($R53,武学奇术!$A:$ZZ,5,FALSE)+SUM(_xlfn.XLOOKUP($S53:$AL53,增益!$A:$A,增益!$E:$E,0))</f>
        <v>0</v>
      </c>
      <c r="AT53" cm="1">
        <f t="array" ref="AT53">$D$10*(1+$AS53)+VLOOKUP($R53,武学奇术!$A:$ZZ,3,FALSE)+SUM(_xlfn.XLOOKUP($S53:$AL53,增益!$A:$A,增益!$C:$C,0))-$I$2</f>
        <v>4094.7</v>
      </c>
      <c r="AU53" cm="1">
        <f t="array" ref="AU53">$E$10*(1+$AS53)+VLOOKUP($R53,武学奇术!$A:$ZZ,4,FALSE)+SUM(_xlfn.XLOOKUP($S53:$AL53,增益!$A:$A,增益!$D:$D,0))-$I$2</f>
        <v>4094.7</v>
      </c>
      <c r="AV53" s="40" cm="1">
        <f t="array" ref="AV53">IF($F$10-$I$3+VLOOKUP($R53,武学奇术!$A:$ZZ,6,FALSE)+SUM(_xlfn.XLOOKUP($S53:$AL53,增益!$A:$A,增益!$F:$F,0))&gt;0,($F$10-$I$3+VLOOKUP($R53,武学奇术!$A:$ZZ,6,FALSE)+SUM(_xlfn.XLOOKUP($S53:$AL53,增益!$A:$A,增益!$F:$F,0)))/200,($F$10-$I$3+VLOOKUP($R53,武学奇术!$A:$ZZ,6,FALSE)+SUM(_xlfn.XLOOKUP($S53:$AL53,增益!$A:$A,增益!$F:$F,0)))/100)</f>
        <v>0.4384</v>
      </c>
      <c r="AW53" s="40" cm="1">
        <f t="array" ref="AW53">$G$10+VLOOKUP($R53,武学奇术!$A:$ZZ,7,FALSE)+SUM(_xlfn.XLOOKUP($S53:$AL53,增益!$A:$A,增益!$G:$G,0))</f>
        <v>0.14</v>
      </c>
      <c r="AX53" s="33" cm="1">
        <f t="array" ref="AX53">VLOOKUP($R53,武学奇术!$A:$ZZ,8,FALSE)+SUM(_xlfn.XLOOKUP($S53:$AL53,增益!$A:$A,增益!$H:$H,0))</f>
        <v>0</v>
      </c>
      <c r="AY53">
        <f t="shared" si="15"/>
        <v>0</v>
      </c>
      <c r="AZ53">
        <f t="shared" si="16"/>
        <v>0</v>
      </c>
      <c r="BA53" s="40" cm="1">
        <f t="array" ref="BA53">IF($F$11-$I$4+VLOOKUP($R53,武学奇术!$A:$ZZ,9,FALSE)+SUM(_xlfn.XLOOKUP($S53:$AL53,增益!$A:$A,增益!$I:$I,0))&gt;0,($F$11-$I$4+VLOOKUP($R53,武学奇术!$A:$ZZ,9,FALSE)+SUM(_xlfn.XLOOKUP($S53:$AL53,增益!$A:$A,增益!$I:$I,0)))/200,($F$11-$I$4+VLOOKUP($R53,武学奇术!$A:$ZZ,9,FALSE)+SUM(_xlfn.XLOOKUP($S53:$AL53,增益!$A:$A,增益!$I:$I,0)))/100)</f>
        <v>-0.14</v>
      </c>
      <c r="BB53" s="40" cm="1">
        <f t="array" ref="BB53">$G$11+VLOOKUP($R53,武学奇术!$A:$ZZ,10,FALSE)+SUM(_xlfn.XLOOKUP($S53:$AL53,增益!$A:$A,增益!$J:$J,0))</f>
        <v>0.12</v>
      </c>
      <c r="BC53">
        <f t="shared" si="17"/>
        <v>640.3</v>
      </c>
      <c r="BD53">
        <f t="shared" si="18"/>
        <v>1770.1</v>
      </c>
      <c r="BE53" s="40" cm="1">
        <f t="array" ref="BE53">IF($F$12-$I$4+VLOOKUP($R53,武学奇术!$A:$ZZ,11,FALSE)+SUM(_xlfn.XLOOKUP($S53:$AL53,增益!$A:$A,增益!$K:$K,0))&gt;0,($F$12-$I$4+VLOOKUP($R53,武学奇术!$A:$ZZ,11,FALSE)+SUM(_xlfn.XLOOKUP($S53:$AL53,增益!$A:$A,增益!$K:$K,0)))/200,($F$12-$I$4+VLOOKUP($R53,武学奇术!$A:$ZZ,11,FALSE)+SUM(_xlfn.XLOOKUP($S53:$AL53,增益!$A:$A,增益!$K:$K,0)))/100)</f>
        <v>0.17</v>
      </c>
      <c r="BF53" s="40" cm="1">
        <f t="array" ref="BF53">$G$12+VLOOKUP($R53,武学奇术!$A:$ZZ,12,FALSE)+SUM(_xlfn.XLOOKUP($S53:$AL53,增益!$A:$A,增益!$L:$L,0))</f>
        <v>0.29</v>
      </c>
      <c r="BG53">
        <f t="shared" si="19"/>
        <v>0</v>
      </c>
      <c r="BH53">
        <f t="shared" si="20"/>
        <v>0</v>
      </c>
      <c r="BI53" s="40" cm="1">
        <f t="array" ref="BI53">IF($F$13-$I$4+VLOOKUP($R53,武学奇术!$A:$ZZ,13,FALSE)+SUM(_xlfn.XLOOKUP($S53:$AL53,增益!$A:$A,增益!$M:$M,0))&gt;0,($F$13-$I$4+VLOOKUP($R53,武学奇术!$A:$ZZ,13,FALSE)+SUM(_xlfn.XLOOKUP($S53:$AL53,增益!$A:$A,增益!$K:$K,0)))/200,($F$13-$I$4+VLOOKUP($R53,武学奇术!$A:$ZZ,13,FALSE)+SUM(_xlfn.XLOOKUP($S53:$AL53,增益!$A:$A,增益!$M:$M,0)))/100)</f>
        <v>-0.14</v>
      </c>
      <c r="BJ53" s="40" cm="1">
        <f t="array" ref="BJ53">$G$13+VLOOKUP($R53,武学奇术!$A:$ZZ,14,FALSE)+SUM(_xlfn.XLOOKUP($S53:$AL53,增益!$A:$A,增益!$N:$N,0))</f>
        <v>0.02</v>
      </c>
      <c r="BK53">
        <f t="shared" si="21"/>
        <v>0</v>
      </c>
      <c r="BL53">
        <f t="shared" si="22"/>
        <v>0</v>
      </c>
      <c r="BM53" s="40" cm="1">
        <f t="array" ref="BM53">IF($F$14-$I$4+VLOOKUP($R53,武学奇术!$A:$ZZ,15,FALSE)+SUM(_xlfn.XLOOKUP($S53:$AL53,增益!$A:$A,增益!$O:$O,0))&gt;0,($F$14-$I$4+VLOOKUP($R53,武学奇术!$A:$ZZ,15,FALSE)+SUM(_xlfn.XLOOKUP($S53:$AL53,增益!$A:$A,增益!$O:$O,0)))/200,($F$14-$I$4+VLOOKUP($R53,武学奇术!$A:$ZZ,15,FALSE)+SUM(_xlfn.XLOOKUP($S53:$AL53,增益!$A:$A,增益!$O:$O,0)))/100)</f>
        <v>-0.14</v>
      </c>
      <c r="BN53" s="40" cm="1">
        <f t="array" ref="BN53">$G$14+VLOOKUP($R53,武学奇术!$A:$ZZ,16,FALSE)+SUM(_xlfn.XLOOKUP($S53:$AL53,增益!$A:$A,增益!$P:$P,0))</f>
        <v>0.02</v>
      </c>
      <c r="BO53" s="33">
        <f>MIN(IF(VLOOKUP($R53,武学奇术!$A:$ZZ,23,FALSE)=1,100%,$B$8),100%)</f>
        <v>1</v>
      </c>
      <c r="BP53" s="33" cm="1">
        <f t="array" ref="BP53">IF(VLOOKUP($R53,武学奇术!$A:$ZZ,23,FALSE)=1,100%,MIN(80%,$B$9+VLOOKUP($R53,武学奇术!$A:$ZZ,17,FALSE)+SUM(_xlfn.XLOOKUP($S53:$AL53,增益!$A:$A,增益!$Q:$Q,0)))+$B$11+SUM(_xlfn.XLOOKUP($S53:$AL53,增益!$A:$A,增益!$U:$U,0)))*IF(VLOOKUP($R53,武学奇术!$A:$ZZ,24,FALSE)=1,0,1)</f>
        <v>1</v>
      </c>
      <c r="BQ53" s="33" cm="1">
        <f t="array" ref="BQ53">1+$B$13+VLOOKUP($R53,武学奇术!$A:$ZZ,18,FALSE)+SUM(_xlfn.XLOOKUP($S53:$AL53,增益!$A:$A,增益!$R:$R,0))</f>
        <v>2.1</v>
      </c>
      <c r="BR53" s="33" cm="1">
        <f t="array" ref="BR53">IF(VLOOKUP($R53,武学奇术!$A:$ZZ,24,FALSE)=1,100%,MIN(40%,$B$10+VLOOKUP($R53,武学奇术!$A:$ZZ,19,FALSE)+SUM(_xlfn.XLOOKUP($S53:$AL53,增益!$A:$A,增益!$S:$S,0)))+$B$12+SUM(_xlfn.XLOOKUP($S53:$AL53,增益!$A:$A,增益!$V:$V,0)))*IF(VLOOKUP($R53,武学奇术!$A:$ZZ,23,FALSE)=1,0,1)</f>
        <v>0</v>
      </c>
      <c r="BS53" s="33" cm="1">
        <f t="array" ref="BS53">1+$B$14+VLOOKUP($R53,武学奇术!$A:$ZZ,20,FALSE)+SUM(_xlfn.XLOOKUP($S53:$AL53,增益!$A:$A,增益!$T:$T,0))</f>
        <v>1.35</v>
      </c>
      <c r="BT53" s="33">
        <f t="shared" si="23"/>
        <v>1</v>
      </c>
      <c r="BU53" s="33">
        <f t="shared" si="24"/>
        <v>0</v>
      </c>
      <c r="BV53" s="33">
        <f>IF(VLOOKUP($R53,武学奇术!$A:$ZZ,22,FALSE)=1,0,(1-$BO53))*(1-$BR53)</f>
        <v>0</v>
      </c>
      <c r="BW53" s="33" cm="1">
        <f t="array" ref="BW53">SUM(_xlfn.XLOOKUP($S53:$AL53,增益!$A:$A,增益!$W:$W,0))+$I$5</f>
        <v>0.31</v>
      </c>
      <c r="BX53" s="33" cm="1">
        <f t="array" ref="BX53">VLOOKUP($R53,武学奇术!$A:$ZZ,32,FALSE)+SUM(_xlfn.XLOOKUP($S53:$AL53,增益!$A:$A,增益!$X:$X,0))</f>
        <v>0</v>
      </c>
    </row>
    <row r="54" spans="1:76">
      <c r="A54" t="s">
        <v>164</v>
      </c>
      <c r="B54">
        <v>1</v>
      </c>
      <c r="L54" s="46">
        <f t="shared" si="14"/>
        <v>453913.935903635</v>
      </c>
      <c r="M54" s="46">
        <f>((($AT54+$AU54)/2*$AN54+$AO54)*(1+$AV54)*(1+$AW54)+(($AY54+$AZ54)/2*IF($G$1="鸣金",$AP54,$AN54)+IF($G$1="鸣金",$AQ54*1.5,0))*(1+$BA54)*(1+$BB54)+(($BC54+$BD54)/2*IF($G$1="裂石",$AP54,$AN54)+IF($G$1="裂石",$AQ54*1.5,0))*(1+$BE54)*(1+$BF54)+(($BG54+$BH54)/2*IF($G$1="牵丝",$AP54,$AN54)+IF($G$1="牵丝",$AQ54*1.5,0))*(1+$BI54)*(1+$BJ54)+(($BK54+$BL54)/2*IF($G$1="破竹",$AP54,$AN54)+IF($G$1="破竹",$AQ54*1.5,0))*(1+$BM54)*(1+$BN54))*(1+$AR54)*$BQ54*$Q54*(1+IF(VLOOKUP($R54,武学奇术!$A:$ZZ,30,FALSE)="蓄力技",$B$21,0))*(1+IF(VLOOKUP($R54,武学奇术!$A:$ZZ,30,FALSE)="派生技",$B$20,0))*(1+$BW54)*(1+$BX54)</f>
        <v>475304.584161629</v>
      </c>
      <c r="N54" s="46">
        <f>(($AU54*$AN54+$AO54)*(1+$AV54)*(1+$AW54)+($AZ54*IF($G$1="鸣金",$AP54,$AN54)+IF($G$1="鸣金",$AQ54*1.5,0))*(1+$BA54)*(1+$BB54)+($BD54*IF($G$1="裂石",$AP54,$AN54)+IF($G$1="裂石",$AQ54*1.5,0))*(1+$BE54)*(1+$BF54)+($BH54*IF($G$1="牵丝",$AP54,$AN54)+IF($G$1="牵丝",$AQ54*1.5,0))*(1+$BI54)*(1+$BJ54)+($BL54*IF($G$1="破竹",$AP54,$AN54)+IF($G$1="破竹",$AQ54*1.5,0))*(1+$BM54)*(1+$BN54))*(1+$AR54)*$BS54*$Q54*(1+IF(VLOOKUP($R54,武学奇术!$A:$ZZ,30,FALSE)="蓄力技",$B$21,0))*(1+IF(VLOOKUP($R54,武学奇术!$A:$ZZ,30,FALSE)="派生技",$B$20,0))*(1+$BW54)*(1+$BX54)</f>
        <v>359126.786183138</v>
      </c>
      <c r="O54" s="46">
        <f>((($AT54+$AU54)/2*$AN54+$AO54)*(1+$AV54)*(1+$AW54)+(($AY54+$AZ54)/2*IF($G$1="鸣金",$AP54,$AN54)+IF($G$1="鸣金",$AQ54*1.5,0))*(1+$BA54)*(1+$BB54)+(($BC54+$BD54)/2*IF($G$1="裂石",$AP54,$AN54)+IF($G$1="裂石",$AQ54*1.5,0))*(1+$BE54)*(1+$BF54)+(($BG54+$BH54)/2*IF($G$1="牵丝",$AP54,$AN54)+IF($G$1="牵丝",$AQ54*1.5,0))*(1+$BI54)*(1+$BJ54)+(($BK54+$BL54)/2*IF($G$1="破竹",$AP54,$AN54)+IF($G$1="破竹",$AQ54*1.5,0))*(1+$BM54)*(1+$BN54))*(1+$AR54)*$Q54*(1+IF(VLOOKUP($R54,武学奇术!$A:$ZZ,30,FALSE)="蓄力技",$B$21,0))*(1+IF(VLOOKUP($R54,武学奇术!$A:$ZZ,30,FALSE)="派生技",$B$20,0))*(1+$BW54)*(1+$BX54)</f>
        <v>237652.292080814</v>
      </c>
      <c r="P54" s="46">
        <f>((($AT54*$AN54+$AO54)*(1+$AV54)*(1+$AW54)+($AY54*IF($G$1="鸣金",$AP54,$AN54)+IF($G$1="鸣金",$AQ54*1.5,0))*(1+$BA54)*(1+$BB54)+($BC54*IF($G$1="裂石",$AP54,$AN54)+IF($G$1="裂石",$AQ54*1.5,0))*(1+$BE54)*(1+$BF54)+($BG54*IF($G$1="牵丝",$AP54,$AN54)+IF($G$1="牵丝",$AQ54*1.5,0))*(1+$BI54)*(1+$BJ54)+($BK54*IF($G$1="破竹",$AP54,$AN54)+IF($G$1="破竹",$AQ54*1.5,0))*(1+$BM54)*(1+$BN54))*(1+$AR54))*$Q54*(1+IF(VLOOKUP($R54,武学奇术!$A:$ZZ,30,FALSE)="蓄力技",$B$21,0))*(1+IF(VLOOKUP($R54,武学奇术!$A:$ZZ,30,FALSE)="派生技",$B$20,0))*(1+$BW54)*(1+$BX54)</f>
        <v>209284.742544489</v>
      </c>
      <c r="Q54" s="47">
        <f t="shared" si="26"/>
        <v>1</v>
      </c>
      <c r="R54" s="48" t="s">
        <v>185</v>
      </c>
      <c r="S54" s="48" t="s">
        <v>99</v>
      </c>
      <c r="T54" s="48" t="s">
        <v>182</v>
      </c>
      <c r="U54" s="48" t="s">
        <v>79</v>
      </c>
      <c r="V54" s="48" t="s">
        <v>90</v>
      </c>
      <c r="W54" s="48" t="s">
        <v>141</v>
      </c>
      <c r="X54" s="48" t="s">
        <v>80</v>
      </c>
      <c r="Y54" s="48" t="s">
        <v>74</v>
      </c>
      <c r="Z54" s="48" t="s">
        <v>80</v>
      </c>
      <c r="AA54" s="48" t="s">
        <v>183</v>
      </c>
      <c r="AB54" s="48" t="s">
        <v>184</v>
      </c>
      <c r="AC54" s="48" t="s">
        <v>80</v>
      </c>
      <c r="AD54" s="48" t="s">
        <v>80</v>
      </c>
      <c r="AE54" s="48" t="s">
        <v>82</v>
      </c>
      <c r="AF54" s="48" t="s">
        <v>83</v>
      </c>
      <c r="AG54" s="48" t="s">
        <v>84</v>
      </c>
      <c r="AH54" s="48" t="s">
        <v>80</v>
      </c>
      <c r="AI54" s="48" t="s">
        <v>80</v>
      </c>
      <c r="AJ54" s="48" t="s">
        <v>80</v>
      </c>
      <c r="AK54" s="48" t="s">
        <v>80</v>
      </c>
      <c r="AL54" s="48" t="s">
        <v>85</v>
      </c>
      <c r="AM54" t="str">
        <f>VLOOKUP($R54,武学奇术!$A:$ZZ,25,FALSE)</f>
        <v>陌刀</v>
      </c>
      <c r="AN54" s="33">
        <f>VLOOKUP($R54,武学奇术!$A:$ZZ,26,FALSE)</f>
        <v>7.5674</v>
      </c>
      <c r="AO54" s="34">
        <f>VLOOKUP($R54,武学奇术!$A:$ZZ,27,FALSE)*(1+IF(OR($AM54=$F$4,$AM54=$F$5),$B$22,0))</f>
        <v>3348.8</v>
      </c>
      <c r="AP54" s="33">
        <f>VLOOKUP($R54,武学奇术!$A:$ZZ,28,FALSE)</f>
        <v>11.3512</v>
      </c>
      <c r="AQ54" s="34">
        <f>VLOOKUP($R54,武学奇术!$A:$ZZ,29,FALSE)*(1+IF(OR($AM54=$F$4,$AM54=$F$5),$B$22,0))</f>
        <v>1824</v>
      </c>
      <c r="AR54" s="33" cm="1">
        <f t="array" ref="AR54">$G$3+IFERROR(VLOOKUP($AM54,$F$4:$G$7,2,FALSE),0)+VLOOKUP($R54,武学奇术!$A:$ZZ,2,FALSE)+SUM(_xlfn.XLOOKUP($S54:$AL54,增益!$A:$A,增益!$B:$B,0))</f>
        <v>0.6943</v>
      </c>
      <c r="AS54" s="33" cm="1">
        <f t="array" ref="AS54">VLOOKUP($R54,武学奇术!$A:$ZZ,5,FALSE)+SUM(_xlfn.XLOOKUP($S54:$AL54,增益!$A:$A,增益!$E:$E,0))</f>
        <v>0</v>
      </c>
      <c r="AT54" cm="1">
        <f t="array" ref="AT54">$D$10*(1+$AS54)+VLOOKUP($R54,武学奇术!$A:$ZZ,3,FALSE)+SUM(_xlfn.XLOOKUP($S54:$AL54,增益!$A:$A,增益!$C:$C,0))-$I$2</f>
        <v>4094.7</v>
      </c>
      <c r="AU54" cm="1">
        <f t="array" ref="AU54">$E$10*(1+$AS54)+VLOOKUP($R54,武学奇术!$A:$ZZ,4,FALSE)+SUM(_xlfn.XLOOKUP($S54:$AL54,增益!$A:$A,增益!$D:$D,0))-$I$2</f>
        <v>4094.7</v>
      </c>
      <c r="AV54" s="40" cm="1">
        <f t="array" ref="AV54">IF($F$10-$I$3+VLOOKUP($R54,武学奇术!$A:$ZZ,6,FALSE)+SUM(_xlfn.XLOOKUP($S54:$AL54,增益!$A:$A,增益!$F:$F,0))&gt;0,($F$10-$I$3+VLOOKUP($R54,武学奇术!$A:$ZZ,6,FALSE)+SUM(_xlfn.XLOOKUP($S54:$AL54,增益!$A:$A,增益!$F:$F,0)))/200,($F$10-$I$3+VLOOKUP($R54,武学奇术!$A:$ZZ,6,FALSE)+SUM(_xlfn.XLOOKUP($S54:$AL54,增益!$A:$A,增益!$F:$F,0)))/100)</f>
        <v>0.4384</v>
      </c>
      <c r="AW54" s="40" cm="1">
        <f t="array" ref="AW54">$G$10+VLOOKUP($R54,武学奇术!$A:$ZZ,7,FALSE)+SUM(_xlfn.XLOOKUP($S54:$AL54,增益!$A:$A,增益!$G:$G,0))</f>
        <v>0.14</v>
      </c>
      <c r="AX54" s="33" cm="1">
        <f t="array" ref="AX54">VLOOKUP($R54,武学奇术!$A:$ZZ,8,FALSE)+SUM(_xlfn.XLOOKUP($S54:$AL54,增益!$A:$A,增益!$H:$H,0))</f>
        <v>0</v>
      </c>
      <c r="AY54">
        <f t="shared" si="15"/>
        <v>0</v>
      </c>
      <c r="AZ54">
        <f t="shared" si="16"/>
        <v>0</v>
      </c>
      <c r="BA54" s="40" cm="1">
        <f t="array" ref="BA54">IF($F$11-$I$4+VLOOKUP($R54,武学奇术!$A:$ZZ,9,FALSE)+SUM(_xlfn.XLOOKUP($S54:$AL54,增益!$A:$A,增益!$I:$I,0))&gt;0,($F$11-$I$4+VLOOKUP($R54,武学奇术!$A:$ZZ,9,FALSE)+SUM(_xlfn.XLOOKUP($S54:$AL54,增益!$A:$A,增益!$I:$I,0)))/200,($F$11-$I$4+VLOOKUP($R54,武学奇术!$A:$ZZ,9,FALSE)+SUM(_xlfn.XLOOKUP($S54:$AL54,增益!$A:$A,增益!$I:$I,0)))/100)</f>
        <v>-0.14</v>
      </c>
      <c r="BB54" s="40" cm="1">
        <f t="array" ref="BB54">$G$11+VLOOKUP($R54,武学奇术!$A:$ZZ,10,FALSE)+SUM(_xlfn.XLOOKUP($S54:$AL54,增益!$A:$A,增益!$J:$J,0))</f>
        <v>0.12</v>
      </c>
      <c r="BC54">
        <f t="shared" si="17"/>
        <v>640.3</v>
      </c>
      <c r="BD54">
        <f t="shared" si="18"/>
        <v>1770.1</v>
      </c>
      <c r="BE54" s="40" cm="1">
        <f t="array" ref="BE54">IF($F$12-$I$4+VLOOKUP($R54,武学奇术!$A:$ZZ,11,FALSE)+SUM(_xlfn.XLOOKUP($S54:$AL54,增益!$A:$A,增益!$K:$K,0))&gt;0,($F$12-$I$4+VLOOKUP($R54,武学奇术!$A:$ZZ,11,FALSE)+SUM(_xlfn.XLOOKUP($S54:$AL54,增益!$A:$A,增益!$K:$K,0)))/200,($F$12-$I$4+VLOOKUP($R54,武学奇术!$A:$ZZ,11,FALSE)+SUM(_xlfn.XLOOKUP($S54:$AL54,增益!$A:$A,增益!$K:$K,0)))/100)</f>
        <v>0.17</v>
      </c>
      <c r="BF54" s="40" cm="1">
        <f t="array" ref="BF54">$G$12+VLOOKUP($R54,武学奇术!$A:$ZZ,12,FALSE)+SUM(_xlfn.XLOOKUP($S54:$AL54,增益!$A:$A,增益!$L:$L,0))</f>
        <v>0.29</v>
      </c>
      <c r="BG54">
        <f t="shared" si="19"/>
        <v>0</v>
      </c>
      <c r="BH54">
        <f t="shared" si="20"/>
        <v>0</v>
      </c>
      <c r="BI54" s="40" cm="1">
        <f t="array" ref="BI54">IF($F$13-$I$4+VLOOKUP($R54,武学奇术!$A:$ZZ,13,FALSE)+SUM(_xlfn.XLOOKUP($S54:$AL54,增益!$A:$A,增益!$M:$M,0))&gt;0,($F$13-$I$4+VLOOKUP($R54,武学奇术!$A:$ZZ,13,FALSE)+SUM(_xlfn.XLOOKUP($S54:$AL54,增益!$A:$A,增益!$K:$K,0)))/200,($F$13-$I$4+VLOOKUP($R54,武学奇术!$A:$ZZ,13,FALSE)+SUM(_xlfn.XLOOKUP($S54:$AL54,增益!$A:$A,增益!$M:$M,0)))/100)</f>
        <v>-0.14</v>
      </c>
      <c r="BJ54" s="40" cm="1">
        <f t="array" ref="BJ54">$G$13+VLOOKUP($R54,武学奇术!$A:$ZZ,14,FALSE)+SUM(_xlfn.XLOOKUP($S54:$AL54,增益!$A:$A,增益!$N:$N,0))</f>
        <v>0.02</v>
      </c>
      <c r="BK54">
        <f t="shared" si="21"/>
        <v>0</v>
      </c>
      <c r="BL54">
        <f t="shared" si="22"/>
        <v>0</v>
      </c>
      <c r="BM54" s="40" cm="1">
        <f t="array" ref="BM54">IF($F$14-$I$4+VLOOKUP($R54,武学奇术!$A:$ZZ,15,FALSE)+SUM(_xlfn.XLOOKUP($S54:$AL54,增益!$A:$A,增益!$O:$O,0))&gt;0,($F$14-$I$4+VLOOKUP($R54,武学奇术!$A:$ZZ,15,FALSE)+SUM(_xlfn.XLOOKUP($S54:$AL54,增益!$A:$A,增益!$O:$O,0)))/200,($F$14-$I$4+VLOOKUP($R54,武学奇术!$A:$ZZ,15,FALSE)+SUM(_xlfn.XLOOKUP($S54:$AL54,增益!$A:$A,增益!$O:$O,0)))/100)</f>
        <v>-0.14</v>
      </c>
      <c r="BN54" s="40" cm="1">
        <f t="array" ref="BN54">$G$14+VLOOKUP($R54,武学奇术!$A:$ZZ,16,FALSE)+SUM(_xlfn.XLOOKUP($S54:$AL54,增益!$A:$A,增益!$P:$P,0))</f>
        <v>0.02</v>
      </c>
      <c r="BO54" s="33">
        <f>MIN(IF(VLOOKUP($R54,武学奇术!$A:$ZZ,23,FALSE)=1,100%,$B$8),100%)</f>
        <v>0.9771</v>
      </c>
      <c r="BP54" s="33" cm="1">
        <f t="array" ref="BP54">IF(VLOOKUP($R54,武学奇术!$A:$ZZ,23,FALSE)=1,100%,MIN(80%,$B$9+VLOOKUP($R54,武学奇术!$A:$ZZ,17,FALSE)+SUM(_xlfn.XLOOKUP($S54:$AL54,增益!$A:$A,增益!$Q:$Q,0)))+$B$11+SUM(_xlfn.XLOOKUP($S54:$AL54,增益!$A:$A,增益!$U:$U,0)))*IF(VLOOKUP($R54,武学奇术!$A:$ZZ,24,FALSE)=1,0,1)</f>
        <v>0.8861</v>
      </c>
      <c r="BQ54" s="33" cm="1">
        <f t="array" ref="BQ54">1+$B$13+VLOOKUP($R54,武学奇术!$A:$ZZ,18,FALSE)+SUM(_xlfn.XLOOKUP($S54:$AL54,增益!$A:$A,增益!$R:$R,0))</f>
        <v>2</v>
      </c>
      <c r="BR54" s="33" cm="1">
        <f t="array" ref="BR54">IF(VLOOKUP($R54,武学奇术!$A:$ZZ,24,FALSE)=1,100%,MIN(40%,$B$10+VLOOKUP($R54,武学奇术!$A:$ZZ,19,FALSE)+SUM(_xlfn.XLOOKUP($S54:$AL54,增益!$A:$A,增益!$S:$S,0)))+$B$12+SUM(_xlfn.XLOOKUP($S54:$AL54,增益!$A:$A,增益!$V:$V,0)))*IF(VLOOKUP($R54,武学奇术!$A:$ZZ,23,FALSE)=1,0,1)</f>
        <v>0.0913</v>
      </c>
      <c r="BS54" s="33" cm="1">
        <f t="array" ref="BS54">1+$B$14+VLOOKUP($R54,武学奇术!$A:$ZZ,20,FALSE)+SUM(_xlfn.XLOOKUP($S54:$AL54,增益!$A:$A,增益!$T:$T,0))</f>
        <v>1.35</v>
      </c>
      <c r="BT54" s="33">
        <f t="shared" si="23"/>
        <v>0.86580831</v>
      </c>
      <c r="BU54" s="33">
        <f t="shared" si="24"/>
        <v>0.02208246</v>
      </c>
      <c r="BV54" s="33">
        <f>IF(VLOOKUP($R54,武学奇术!$A:$ZZ,22,FALSE)=1,0,(1-$BO54))*(1-$BR54)</f>
        <v>0.02080923</v>
      </c>
      <c r="BW54" s="33" cm="1">
        <f t="array" ref="BW54">SUM(_xlfn.XLOOKUP($S54:$AL54,增益!$A:$A,增益!$W:$W,0))+$I$5</f>
        <v>0.31</v>
      </c>
      <c r="BX54" s="33" cm="1">
        <f t="array" ref="BX54">VLOOKUP($R54,武学奇术!$A:$ZZ,32,FALSE)+SUM(_xlfn.XLOOKUP($S54:$AL54,增益!$A:$A,增益!$X:$X,0))</f>
        <v>0</v>
      </c>
    </row>
    <row r="55" spans="1:76">
      <c r="A55" s="4" t="s">
        <v>166</v>
      </c>
      <c r="B55" s="4">
        <v>0.1</v>
      </c>
      <c r="D55" s="47" t="s">
        <v>167</v>
      </c>
      <c r="L55" s="46">
        <f t="shared" si="14"/>
        <v>27778.1569575824</v>
      </c>
      <c r="M55" s="46">
        <f>((($AT55+$AU55)/2*$AN55+$AO55)*(1+$AV55)*(1+$AW55)+(($AY55+$AZ55)/2*IF($G$1="鸣金",$AP55,$AN55)+IF($G$1="鸣金",$AQ55*1.5,0))*(1+$BA55)*(1+$BB55)+(($BC55+$BD55)/2*IF($G$1="裂石",$AP55,$AN55)+IF($G$1="裂石",$AQ55*1.5,0))*(1+$BE55)*(1+$BF55)+(($BG55+$BH55)/2*IF($G$1="牵丝",$AP55,$AN55)+IF($G$1="牵丝",$AQ55*1.5,0))*(1+$BI55)*(1+$BJ55)+(($BK55+$BL55)/2*IF($G$1="破竹",$AP55,$AN55)+IF($G$1="破竹",$AQ55*1.5,0))*(1+$BM55)*(1+$BN55))*(1+$AR55)*$BQ55*$Q55*(1+IF(VLOOKUP($R55,武学奇术!$A:$ZZ,30,FALSE)="蓄力技",$B$21,0))*(1+IF(VLOOKUP($R55,武学奇术!$A:$ZZ,30,FALSE)="派生技",$B$20,0))*(1+$BW55)*(1+$BX55)</f>
        <v>29062.1501394317</v>
      </c>
      <c r="N55" s="46">
        <f>(($AU55*$AN55+$AO55)*(1+$AV55)*(1+$AW55)+($AZ55*IF($G$1="鸣金",$AP55,$AN55)+IF($G$1="鸣金",$AQ55*1.5,0))*(1+$BA55)*(1+$BB55)+($BD55*IF($G$1="裂石",$AP55,$AN55)+IF($G$1="裂石",$AQ55*1.5,0))*(1+$BE55)*(1+$BF55)+($BH55*IF($G$1="牵丝",$AP55,$AN55)+IF($G$1="牵丝",$AQ55*1.5,0))*(1+$BI55)*(1+$BJ55)+($BL55*IF($G$1="破竹",$AP55,$AN55)+IF($G$1="破竹",$AQ55*1.5,0))*(1+$BM55)*(1+$BN55))*(1+$AR55)*$BS55*$Q55*(1+IF(VLOOKUP($R55,武学奇术!$A:$ZZ,30,FALSE)="蓄力技",$B$21,0))*(1+IF(VLOOKUP($R55,武学奇术!$A:$ZZ,30,FALSE)="派生技",$B$20,0))*(1+$BW55)*(1+$BX55)</f>
        <v>22273.7850798276</v>
      </c>
      <c r="O55" s="46">
        <f>((($AT55+$AU55)/2*$AN55+$AO55)*(1+$AV55)*(1+$AW55)+(($AY55+$AZ55)/2*IF($G$1="鸣金",$AP55,$AN55)+IF($G$1="鸣金",$AQ55*1.5,0))*(1+$BA55)*(1+$BB55)+(($BC55+$BD55)/2*IF($G$1="裂石",$AP55,$AN55)+IF($G$1="裂石",$AQ55*1.5,0))*(1+$BE55)*(1+$BF55)+(($BG55+$BH55)/2*IF($G$1="牵丝",$AP55,$AN55)+IF($G$1="牵丝",$AQ55*1.5,0))*(1+$BI55)*(1+$BJ55)+(($BK55+$BL55)/2*IF($G$1="破竹",$AP55,$AN55)+IF($G$1="破竹",$AQ55*1.5,0))*(1+$BM55)*(1+$BN55))*(1+$AR55)*$Q55*(1+IF(VLOOKUP($R55,武学奇术!$A:$ZZ,30,FALSE)="蓄力技",$B$21,0))*(1+IF(VLOOKUP($R55,武学奇术!$A:$ZZ,30,FALSE)="派生技",$B$20,0))*(1+$BW55)*(1+$BX55)</f>
        <v>14531.0750697158</v>
      </c>
      <c r="P55" s="46">
        <f>((($AT55*$AN55+$AO55)*(1+$AV55)*(1+$AW55)+($AY55*IF($G$1="鸣金",$AP55,$AN55)+IF($G$1="鸣金",$AQ55*1.5,0))*(1+$BA55)*(1+$BB55)+($BC55*IF($G$1="裂石",$AP55,$AN55)+IF($G$1="裂石",$AQ55*1.5,0))*(1+$BE55)*(1+$BF55)+($BG55*IF($G$1="牵丝",$AP55,$AN55)+IF($G$1="牵丝",$AQ55*1.5,0))*(1+$BI55)*(1+$BJ55)+($BK55*IF($G$1="破竹",$AP55,$AN55)+IF($G$1="破竹",$AQ55*1.5,0))*(1+$BM55)*(1+$BN55))*(1+$AR55))*$Q55*(1+IF(VLOOKUP($R55,武学奇术!$A:$ZZ,30,FALSE)="蓄力技",$B$21,0))*(1+IF(VLOOKUP($R55,武学奇术!$A:$ZZ,30,FALSE)="派生技",$B$20,0))*(1+$BW55)*(1+$BX55)</f>
        <v>12563.0500803001</v>
      </c>
      <c r="Q55" s="47">
        <f t="shared" si="26"/>
        <v>1</v>
      </c>
      <c r="R55" s="48" t="s">
        <v>140</v>
      </c>
      <c r="S55" s="48" t="s">
        <v>99</v>
      </c>
      <c r="T55" s="48" t="s">
        <v>182</v>
      </c>
      <c r="U55" s="48" t="s">
        <v>79</v>
      </c>
      <c r="V55" s="48" t="s">
        <v>90</v>
      </c>
      <c r="W55" s="48" t="s">
        <v>141</v>
      </c>
      <c r="X55" s="48" t="s">
        <v>80</v>
      </c>
      <c r="Y55" s="48" t="s">
        <v>74</v>
      </c>
      <c r="Z55" s="48" t="s">
        <v>80</v>
      </c>
      <c r="AA55" s="48" t="s">
        <v>183</v>
      </c>
      <c r="AB55" s="48" t="s">
        <v>184</v>
      </c>
      <c r="AC55" s="48" t="s">
        <v>80</v>
      </c>
      <c r="AD55" s="48" t="s">
        <v>80</v>
      </c>
      <c r="AE55" s="48" t="s">
        <v>82</v>
      </c>
      <c r="AF55" s="48" t="s">
        <v>83</v>
      </c>
      <c r="AG55" s="48" t="s">
        <v>84</v>
      </c>
      <c r="AH55" s="48" t="s">
        <v>80</v>
      </c>
      <c r="AI55" s="48" t="s">
        <v>80</v>
      </c>
      <c r="AJ55" s="48" t="s">
        <v>80</v>
      </c>
      <c r="AK55" s="48" t="s">
        <v>80</v>
      </c>
      <c r="AL55" s="48" t="s">
        <v>85</v>
      </c>
      <c r="AM55" t="str">
        <f>VLOOKUP($R55,武学奇术!$A:$ZZ,25,FALSE)</f>
        <v>陌刀</v>
      </c>
      <c r="AN55" s="33">
        <f>VLOOKUP($R55,武学奇术!$A:$ZZ,26,FALSE)</f>
        <v>0.525</v>
      </c>
      <c r="AO55" s="34">
        <f>VLOOKUP($R55,武学奇术!$A:$ZZ,27,FALSE)*(1+IF(OR($AM55=$F$4,$AM55=$F$5),$B$22,0))</f>
        <v>0</v>
      </c>
      <c r="AP55" s="33">
        <f>VLOOKUP($R55,武学奇术!$A:$ZZ,28,FALSE)</f>
        <v>0.7875</v>
      </c>
      <c r="AQ55" s="34">
        <f>VLOOKUP($R55,武学奇术!$A:$ZZ,29,FALSE)*(1+IF(OR($AM55=$F$4,$AM55=$F$5),$B$22,0))</f>
        <v>0</v>
      </c>
      <c r="AR55" s="33" cm="1">
        <f t="array" ref="AR55">$G$3+IFERROR(VLOOKUP($AM55,$F$4:$G$7,2,FALSE),0)+VLOOKUP($R55,武学奇术!$A:$ZZ,2,FALSE)+SUM(_xlfn.XLOOKUP($S55:$AL55,增益!$A:$A,增益!$B:$B,0))</f>
        <v>0.6943</v>
      </c>
      <c r="AS55" s="33" cm="1">
        <f t="array" ref="AS55">VLOOKUP($R55,武学奇术!$A:$ZZ,5,FALSE)+SUM(_xlfn.XLOOKUP($S55:$AL55,增益!$A:$A,增益!$E:$E,0))</f>
        <v>0</v>
      </c>
      <c r="AT55" cm="1">
        <f t="array" ref="AT55">$D$10*(1+$AS55)+VLOOKUP($R55,武学奇术!$A:$ZZ,3,FALSE)+SUM(_xlfn.XLOOKUP($S55:$AL55,增益!$A:$A,增益!$C:$C,0))-$I$2</f>
        <v>4094.7</v>
      </c>
      <c r="AU55" cm="1">
        <f t="array" ref="AU55">$E$10*(1+$AS55)+VLOOKUP($R55,武学奇术!$A:$ZZ,4,FALSE)+SUM(_xlfn.XLOOKUP($S55:$AL55,增益!$A:$A,增益!$D:$D,0))-$I$2</f>
        <v>4094.7</v>
      </c>
      <c r="AV55" s="40" cm="1">
        <f t="array" ref="AV55">IF($F$10-$I$3+VLOOKUP($R55,武学奇术!$A:$ZZ,6,FALSE)+SUM(_xlfn.XLOOKUP($S55:$AL55,增益!$A:$A,增益!$F:$F,0))&gt;0,($F$10-$I$3+VLOOKUP($R55,武学奇术!$A:$ZZ,6,FALSE)+SUM(_xlfn.XLOOKUP($S55:$AL55,增益!$A:$A,增益!$F:$F,0)))/200,($F$10-$I$3+VLOOKUP($R55,武学奇术!$A:$ZZ,6,FALSE)+SUM(_xlfn.XLOOKUP($S55:$AL55,增益!$A:$A,增益!$F:$F,0)))/100)</f>
        <v>0.4384</v>
      </c>
      <c r="AW55" s="40" cm="1">
        <f t="array" ref="AW55">$G$10+VLOOKUP($R55,武学奇术!$A:$ZZ,7,FALSE)+SUM(_xlfn.XLOOKUP($S55:$AL55,增益!$A:$A,增益!$G:$G,0))</f>
        <v>0.14</v>
      </c>
      <c r="AX55" s="33" cm="1">
        <f t="array" ref="AX55">VLOOKUP($R55,武学奇术!$A:$ZZ,8,FALSE)+SUM(_xlfn.XLOOKUP($S55:$AL55,增益!$A:$A,增益!$H:$H,0))</f>
        <v>0</v>
      </c>
      <c r="AY55">
        <f t="shared" si="15"/>
        <v>0</v>
      </c>
      <c r="AZ55">
        <f t="shared" si="16"/>
        <v>0</v>
      </c>
      <c r="BA55" s="40" cm="1">
        <f t="array" ref="BA55">IF($F$11-$I$4+VLOOKUP($R55,武学奇术!$A:$ZZ,9,FALSE)+SUM(_xlfn.XLOOKUP($S55:$AL55,增益!$A:$A,增益!$I:$I,0))&gt;0,($F$11-$I$4+VLOOKUP($R55,武学奇术!$A:$ZZ,9,FALSE)+SUM(_xlfn.XLOOKUP($S55:$AL55,增益!$A:$A,增益!$I:$I,0)))/200,($F$11-$I$4+VLOOKUP($R55,武学奇术!$A:$ZZ,9,FALSE)+SUM(_xlfn.XLOOKUP($S55:$AL55,增益!$A:$A,增益!$I:$I,0)))/100)</f>
        <v>-0.14</v>
      </c>
      <c r="BB55" s="40" cm="1">
        <f t="array" ref="BB55">$G$11+VLOOKUP($R55,武学奇术!$A:$ZZ,10,FALSE)+SUM(_xlfn.XLOOKUP($S55:$AL55,增益!$A:$A,增益!$J:$J,0))</f>
        <v>0.12</v>
      </c>
      <c r="BC55">
        <f t="shared" si="17"/>
        <v>640.3</v>
      </c>
      <c r="BD55">
        <f t="shared" si="18"/>
        <v>1770.1</v>
      </c>
      <c r="BE55" s="40" cm="1">
        <f t="array" ref="BE55">IF($F$12-$I$4+VLOOKUP($R55,武学奇术!$A:$ZZ,11,FALSE)+SUM(_xlfn.XLOOKUP($S55:$AL55,增益!$A:$A,增益!$K:$K,0))&gt;0,($F$12-$I$4+VLOOKUP($R55,武学奇术!$A:$ZZ,11,FALSE)+SUM(_xlfn.XLOOKUP($S55:$AL55,增益!$A:$A,增益!$K:$K,0)))/200,($F$12-$I$4+VLOOKUP($R55,武学奇术!$A:$ZZ,11,FALSE)+SUM(_xlfn.XLOOKUP($S55:$AL55,增益!$A:$A,增益!$K:$K,0)))/100)</f>
        <v>0.17</v>
      </c>
      <c r="BF55" s="40" cm="1">
        <f t="array" ref="BF55">$G$12+VLOOKUP($R55,武学奇术!$A:$ZZ,12,FALSE)+SUM(_xlfn.XLOOKUP($S55:$AL55,增益!$A:$A,增益!$L:$L,0))</f>
        <v>0.29</v>
      </c>
      <c r="BG55">
        <f t="shared" si="19"/>
        <v>0</v>
      </c>
      <c r="BH55">
        <f t="shared" si="20"/>
        <v>0</v>
      </c>
      <c r="BI55" s="40" cm="1">
        <f t="array" ref="BI55">IF($F$13-$I$4+VLOOKUP($R55,武学奇术!$A:$ZZ,13,FALSE)+SUM(_xlfn.XLOOKUP($S55:$AL55,增益!$A:$A,增益!$M:$M,0))&gt;0,($F$13-$I$4+VLOOKUP($R55,武学奇术!$A:$ZZ,13,FALSE)+SUM(_xlfn.XLOOKUP($S55:$AL55,增益!$A:$A,增益!$K:$K,0)))/200,($F$13-$I$4+VLOOKUP($R55,武学奇术!$A:$ZZ,13,FALSE)+SUM(_xlfn.XLOOKUP($S55:$AL55,增益!$A:$A,增益!$M:$M,0)))/100)</f>
        <v>-0.14</v>
      </c>
      <c r="BJ55" s="40" cm="1">
        <f t="array" ref="BJ55">$G$13+VLOOKUP($R55,武学奇术!$A:$ZZ,14,FALSE)+SUM(_xlfn.XLOOKUP($S55:$AL55,增益!$A:$A,增益!$N:$N,0))</f>
        <v>0.02</v>
      </c>
      <c r="BK55">
        <f t="shared" si="21"/>
        <v>0</v>
      </c>
      <c r="BL55">
        <f t="shared" si="22"/>
        <v>0</v>
      </c>
      <c r="BM55" s="40" cm="1">
        <f t="array" ref="BM55">IF($F$14-$I$4+VLOOKUP($R55,武学奇术!$A:$ZZ,15,FALSE)+SUM(_xlfn.XLOOKUP($S55:$AL55,增益!$A:$A,增益!$O:$O,0))&gt;0,($F$14-$I$4+VLOOKUP($R55,武学奇术!$A:$ZZ,15,FALSE)+SUM(_xlfn.XLOOKUP($S55:$AL55,增益!$A:$A,增益!$O:$O,0)))/200,($F$14-$I$4+VLOOKUP($R55,武学奇术!$A:$ZZ,15,FALSE)+SUM(_xlfn.XLOOKUP($S55:$AL55,增益!$A:$A,增益!$O:$O,0)))/100)</f>
        <v>-0.14</v>
      </c>
      <c r="BN55" s="40" cm="1">
        <f t="array" ref="BN55">$G$14+VLOOKUP($R55,武学奇术!$A:$ZZ,16,FALSE)+SUM(_xlfn.XLOOKUP($S55:$AL55,增益!$A:$A,增益!$P:$P,0))</f>
        <v>0.02</v>
      </c>
      <c r="BO55" s="33">
        <f>MIN(IF(VLOOKUP($R55,武学奇术!$A:$ZZ,23,FALSE)=1,100%,$B$8),100%)</f>
        <v>0.9771</v>
      </c>
      <c r="BP55" s="33" cm="1">
        <f t="array" ref="BP55">IF(VLOOKUP($R55,武学奇术!$A:$ZZ,23,FALSE)=1,100%,MIN(80%,$B$9+VLOOKUP($R55,武学奇术!$A:$ZZ,17,FALSE)+SUM(_xlfn.XLOOKUP($S55:$AL55,增益!$A:$A,增益!$Q:$Q,0)))+$B$11+SUM(_xlfn.XLOOKUP($S55:$AL55,增益!$A:$A,增益!$U:$U,0)))*IF(VLOOKUP($R55,武学奇术!$A:$ZZ,24,FALSE)=1,0,1)</f>
        <v>0.8861</v>
      </c>
      <c r="BQ55" s="33" cm="1">
        <f t="array" ref="BQ55">1+$B$13+VLOOKUP($R55,武学奇术!$A:$ZZ,18,FALSE)+SUM(_xlfn.XLOOKUP($S55:$AL55,增益!$A:$A,增益!$R:$R,0))</f>
        <v>2</v>
      </c>
      <c r="BR55" s="33" cm="1">
        <f t="array" ref="BR55">IF(VLOOKUP($R55,武学奇术!$A:$ZZ,24,FALSE)=1,100%,MIN(40%,$B$10+VLOOKUP($R55,武学奇术!$A:$ZZ,19,FALSE)+SUM(_xlfn.XLOOKUP($S55:$AL55,增益!$A:$A,增益!$S:$S,0)))+$B$12+SUM(_xlfn.XLOOKUP($S55:$AL55,增益!$A:$A,增益!$V:$V,0)))*IF(VLOOKUP($R55,武学奇术!$A:$ZZ,23,FALSE)=1,0,1)</f>
        <v>0.0913</v>
      </c>
      <c r="BS55" s="33" cm="1">
        <f t="array" ref="BS55">1+$B$14+VLOOKUP($R55,武学奇术!$A:$ZZ,20,FALSE)+SUM(_xlfn.XLOOKUP($S55:$AL55,增益!$A:$A,增益!$T:$T,0))</f>
        <v>1.35</v>
      </c>
      <c r="BT55" s="33">
        <f t="shared" si="23"/>
        <v>0.86580831</v>
      </c>
      <c r="BU55" s="33">
        <f t="shared" si="24"/>
        <v>0.02208246</v>
      </c>
      <c r="BV55" s="33">
        <f>IF(VLOOKUP($R55,武学奇术!$A:$ZZ,22,FALSE)=1,0,(1-$BO55))*(1-$BR55)</f>
        <v>0.02080923</v>
      </c>
      <c r="BW55" s="33" cm="1">
        <f t="array" ref="BW55">SUM(_xlfn.XLOOKUP($S55:$AL55,增益!$A:$A,增益!$W:$W,0))+$I$5</f>
        <v>0.31</v>
      </c>
      <c r="BX55" s="33" cm="1">
        <f t="array" ref="BX55">VLOOKUP($R55,武学奇术!$A:$ZZ,32,FALSE)+SUM(_xlfn.XLOOKUP($S55:$AL55,增益!$A:$A,增益!$X:$X,0))</f>
        <v>0</v>
      </c>
    </row>
    <row r="56" spans="1:76">
      <c r="A56" s="4" t="s">
        <v>168</v>
      </c>
      <c r="B56" s="4">
        <v>2.3</v>
      </c>
      <c r="D56" s="47"/>
      <c r="L56" s="46">
        <f t="shared" si="14"/>
        <v>50000.6825236482</v>
      </c>
      <c r="M56" s="46">
        <f>((($AT56+$AU56)/2*$AN56+$AO56)*(1+$AV56)*(1+$AW56)+(($AY56+$AZ56)/2*IF($G$1="鸣金",$AP56,$AN56)+IF($G$1="鸣金",$AQ56*1.5,0))*(1+$BA56)*(1+$BB56)+(($BC56+$BD56)/2*IF($G$1="裂石",$AP56,$AN56)+IF($G$1="裂石",$AQ56*1.5,0))*(1+$BE56)*(1+$BF56)+(($BG56+$BH56)/2*IF($G$1="牵丝",$AP56,$AN56)+IF($G$1="牵丝",$AQ56*1.5,0))*(1+$BI56)*(1+$BJ56)+(($BK56+$BL56)/2*IF($G$1="破竹",$AP56,$AN56)+IF($G$1="破竹",$AQ56*1.5,0))*(1+$BM56)*(1+$BN56))*(1+$AR56)*$BQ56*$Q56*(1+IF(VLOOKUP($R56,武学奇术!$A:$ZZ,30,FALSE)="蓄力技",$B$21,0))*(1+IF(VLOOKUP($R56,武学奇术!$A:$ZZ,30,FALSE)="派生技",$B$20,0))*(1+$BW56)*(1+$BX56)</f>
        <v>52311.870250977</v>
      </c>
      <c r="N56" s="46">
        <f>(($AU56*$AN56+$AO56)*(1+$AV56)*(1+$AW56)+($AZ56*IF($G$1="鸣金",$AP56,$AN56)+IF($G$1="鸣金",$AQ56*1.5,0))*(1+$BA56)*(1+$BB56)+($BD56*IF($G$1="裂石",$AP56,$AN56)+IF($G$1="裂石",$AQ56*1.5,0))*(1+$BE56)*(1+$BF56)+($BH56*IF($G$1="牵丝",$AP56,$AN56)+IF($G$1="牵丝",$AQ56*1.5,0))*(1+$BI56)*(1+$BJ56)+($BL56*IF($G$1="破竹",$AP56,$AN56)+IF($G$1="破竹",$AQ56*1.5,0))*(1+$BM56)*(1+$BN56))*(1+$AR56)*$BS56*$Q56*(1+IF(VLOOKUP($R56,武学奇术!$A:$ZZ,30,FALSE)="蓄力技",$B$21,0))*(1+IF(VLOOKUP($R56,武学奇术!$A:$ZZ,30,FALSE)="派生技",$B$20,0))*(1+$BW56)*(1+$BX56)</f>
        <v>40092.8131436897</v>
      </c>
      <c r="O56" s="46">
        <f>((($AT56+$AU56)/2*$AN56+$AO56)*(1+$AV56)*(1+$AW56)+(($AY56+$AZ56)/2*IF($G$1="鸣金",$AP56,$AN56)+IF($G$1="鸣金",$AQ56*1.5,0))*(1+$BA56)*(1+$BB56)+(($BC56+$BD56)/2*IF($G$1="裂石",$AP56,$AN56)+IF($G$1="裂石",$AQ56*1.5,0))*(1+$BE56)*(1+$BF56)+(($BG56+$BH56)/2*IF($G$1="牵丝",$AP56,$AN56)+IF($G$1="牵丝",$AQ56*1.5,0))*(1+$BI56)*(1+$BJ56)+(($BK56+$BL56)/2*IF($G$1="破竹",$AP56,$AN56)+IF($G$1="破竹",$AQ56*1.5,0))*(1+$BM56)*(1+$BN56))*(1+$AR56)*$Q56*(1+IF(VLOOKUP($R56,武学奇术!$A:$ZZ,30,FALSE)="蓄力技",$B$21,0))*(1+IF(VLOOKUP($R56,武学奇术!$A:$ZZ,30,FALSE)="派生技",$B$20,0))*(1+$BW56)*(1+$BX56)</f>
        <v>26155.9351254885</v>
      </c>
      <c r="P56" s="46">
        <f>((($AT56*$AN56+$AO56)*(1+$AV56)*(1+$AW56)+($AY56*IF($G$1="鸣金",$AP56,$AN56)+IF($G$1="鸣金",$AQ56*1.5,0))*(1+$BA56)*(1+$BB56)+($BC56*IF($G$1="裂石",$AP56,$AN56)+IF($G$1="裂石",$AQ56*1.5,0))*(1+$BE56)*(1+$BF56)+($BG56*IF($G$1="牵丝",$AP56,$AN56)+IF($G$1="牵丝",$AQ56*1.5,0))*(1+$BI56)*(1+$BJ56)+($BK56*IF($G$1="破竹",$AP56,$AN56)+IF($G$1="破竹",$AQ56*1.5,0))*(1+$BM56)*(1+$BN56))*(1+$AR56))*$Q56*(1+IF(VLOOKUP($R56,武学奇术!$A:$ZZ,30,FALSE)="蓄力技",$B$21,0))*(1+IF(VLOOKUP($R56,武学奇术!$A:$ZZ,30,FALSE)="派生技",$B$20,0))*(1+$BW56)*(1+$BX56)</f>
        <v>22613.4901445402</v>
      </c>
      <c r="Q56" s="47">
        <f t="shared" si="26"/>
        <v>1</v>
      </c>
      <c r="R56" s="48" t="s">
        <v>169</v>
      </c>
      <c r="S56" s="48" t="s">
        <v>99</v>
      </c>
      <c r="T56" s="48" t="s">
        <v>182</v>
      </c>
      <c r="U56" s="48" t="s">
        <v>79</v>
      </c>
      <c r="V56" s="48" t="s">
        <v>90</v>
      </c>
      <c r="W56" s="48" t="s">
        <v>141</v>
      </c>
      <c r="X56" s="48" t="s">
        <v>80</v>
      </c>
      <c r="Y56" s="48" t="s">
        <v>74</v>
      </c>
      <c r="Z56" s="48" t="s">
        <v>80</v>
      </c>
      <c r="AA56" s="48" t="s">
        <v>183</v>
      </c>
      <c r="AB56" s="48" t="s">
        <v>184</v>
      </c>
      <c r="AC56" s="48" t="s">
        <v>80</v>
      </c>
      <c r="AD56" s="48" t="s">
        <v>80</v>
      </c>
      <c r="AE56" s="48" t="s">
        <v>82</v>
      </c>
      <c r="AF56" s="48" t="s">
        <v>83</v>
      </c>
      <c r="AG56" s="48" t="s">
        <v>84</v>
      </c>
      <c r="AH56" s="48" t="s">
        <v>80</v>
      </c>
      <c r="AI56" s="48" t="s">
        <v>80</v>
      </c>
      <c r="AJ56" s="48" t="s">
        <v>80</v>
      </c>
      <c r="AK56" s="48" t="s">
        <v>80</v>
      </c>
      <c r="AL56" s="48" t="s">
        <v>85</v>
      </c>
      <c r="AM56" t="str">
        <f>VLOOKUP($R56,武学奇术!$A:$ZZ,25,FALSE)</f>
        <v>陌刀</v>
      </c>
      <c r="AN56" s="33">
        <f>VLOOKUP($R56,武学奇术!$A:$ZZ,26,FALSE)</f>
        <v>0.945</v>
      </c>
      <c r="AO56" s="34">
        <f>VLOOKUP($R56,武学奇术!$A:$ZZ,27,FALSE)*(1+IF(OR($AM56=$F$4,$AM56=$F$5),$B$22,0))</f>
        <v>0</v>
      </c>
      <c r="AP56" s="33">
        <f>VLOOKUP($R56,武学奇术!$A:$ZZ,28,FALSE)</f>
        <v>1.4175</v>
      </c>
      <c r="AQ56" s="34">
        <f>VLOOKUP($R56,武学奇术!$A:$ZZ,29,FALSE)*(1+IF(OR($AM56=$F$4,$AM56=$F$5),$B$22,0))</f>
        <v>0</v>
      </c>
      <c r="AR56" s="33" cm="1">
        <f t="array" ref="AR56">$G$3+IFERROR(VLOOKUP($AM56,$F$4:$G$7,2,FALSE),0)+VLOOKUP($R56,武学奇术!$A:$ZZ,2,FALSE)+SUM(_xlfn.XLOOKUP($S56:$AL56,增益!$A:$A,增益!$B:$B,0))</f>
        <v>0.6943</v>
      </c>
      <c r="AS56" s="33" cm="1">
        <f t="array" ref="AS56">VLOOKUP($R56,武学奇术!$A:$ZZ,5,FALSE)+SUM(_xlfn.XLOOKUP($S56:$AL56,增益!$A:$A,增益!$E:$E,0))</f>
        <v>0</v>
      </c>
      <c r="AT56" cm="1">
        <f t="array" ref="AT56">$D$10*(1+$AS56)+VLOOKUP($R56,武学奇术!$A:$ZZ,3,FALSE)+SUM(_xlfn.XLOOKUP($S56:$AL56,增益!$A:$A,增益!$C:$C,0))-$I$2</f>
        <v>4094.7</v>
      </c>
      <c r="AU56" cm="1">
        <f t="array" ref="AU56">$E$10*(1+$AS56)+VLOOKUP($R56,武学奇术!$A:$ZZ,4,FALSE)+SUM(_xlfn.XLOOKUP($S56:$AL56,增益!$A:$A,增益!$D:$D,0))-$I$2</f>
        <v>4094.7</v>
      </c>
      <c r="AV56" s="40" cm="1">
        <f t="array" ref="AV56">IF($F$10-$I$3+VLOOKUP($R56,武学奇术!$A:$ZZ,6,FALSE)+SUM(_xlfn.XLOOKUP($S56:$AL56,增益!$A:$A,增益!$F:$F,0))&gt;0,($F$10-$I$3+VLOOKUP($R56,武学奇术!$A:$ZZ,6,FALSE)+SUM(_xlfn.XLOOKUP($S56:$AL56,增益!$A:$A,增益!$F:$F,0)))/200,($F$10-$I$3+VLOOKUP($R56,武学奇术!$A:$ZZ,6,FALSE)+SUM(_xlfn.XLOOKUP($S56:$AL56,增益!$A:$A,增益!$F:$F,0)))/100)</f>
        <v>0.4384</v>
      </c>
      <c r="AW56" s="40" cm="1">
        <f t="array" ref="AW56">$G$10+VLOOKUP($R56,武学奇术!$A:$ZZ,7,FALSE)+SUM(_xlfn.XLOOKUP($S56:$AL56,增益!$A:$A,增益!$G:$G,0))</f>
        <v>0.14</v>
      </c>
      <c r="AX56" s="33" cm="1">
        <f t="array" ref="AX56">VLOOKUP($R56,武学奇术!$A:$ZZ,8,FALSE)+SUM(_xlfn.XLOOKUP($S56:$AL56,增益!$A:$A,增益!$H:$H,0))</f>
        <v>0</v>
      </c>
      <c r="AY56">
        <f t="shared" si="15"/>
        <v>0</v>
      </c>
      <c r="AZ56">
        <f t="shared" si="16"/>
        <v>0</v>
      </c>
      <c r="BA56" s="40" cm="1">
        <f t="array" ref="BA56">IF($F$11-$I$4+VLOOKUP($R56,武学奇术!$A:$ZZ,9,FALSE)+SUM(_xlfn.XLOOKUP($S56:$AL56,增益!$A:$A,增益!$I:$I,0))&gt;0,($F$11-$I$4+VLOOKUP($R56,武学奇术!$A:$ZZ,9,FALSE)+SUM(_xlfn.XLOOKUP($S56:$AL56,增益!$A:$A,增益!$I:$I,0)))/200,($F$11-$I$4+VLOOKUP($R56,武学奇术!$A:$ZZ,9,FALSE)+SUM(_xlfn.XLOOKUP($S56:$AL56,增益!$A:$A,增益!$I:$I,0)))/100)</f>
        <v>-0.14</v>
      </c>
      <c r="BB56" s="40" cm="1">
        <f t="array" ref="BB56">$G$11+VLOOKUP($R56,武学奇术!$A:$ZZ,10,FALSE)+SUM(_xlfn.XLOOKUP($S56:$AL56,增益!$A:$A,增益!$J:$J,0))</f>
        <v>0.12</v>
      </c>
      <c r="BC56">
        <f t="shared" si="17"/>
        <v>640.3</v>
      </c>
      <c r="BD56">
        <f t="shared" si="18"/>
        <v>1770.1</v>
      </c>
      <c r="BE56" s="40" cm="1">
        <f t="array" ref="BE56">IF($F$12-$I$4+VLOOKUP($R56,武学奇术!$A:$ZZ,11,FALSE)+SUM(_xlfn.XLOOKUP($S56:$AL56,增益!$A:$A,增益!$K:$K,0))&gt;0,($F$12-$I$4+VLOOKUP($R56,武学奇术!$A:$ZZ,11,FALSE)+SUM(_xlfn.XLOOKUP($S56:$AL56,增益!$A:$A,增益!$K:$K,0)))/200,($F$12-$I$4+VLOOKUP($R56,武学奇术!$A:$ZZ,11,FALSE)+SUM(_xlfn.XLOOKUP($S56:$AL56,增益!$A:$A,增益!$K:$K,0)))/100)</f>
        <v>0.17</v>
      </c>
      <c r="BF56" s="40" cm="1">
        <f t="array" ref="BF56">$G$12+VLOOKUP($R56,武学奇术!$A:$ZZ,12,FALSE)+SUM(_xlfn.XLOOKUP($S56:$AL56,增益!$A:$A,增益!$L:$L,0))</f>
        <v>0.29</v>
      </c>
      <c r="BG56">
        <f t="shared" si="19"/>
        <v>0</v>
      </c>
      <c r="BH56">
        <f t="shared" si="20"/>
        <v>0</v>
      </c>
      <c r="BI56" s="40" cm="1">
        <f t="array" ref="BI56">IF($F$13-$I$4+VLOOKUP($R56,武学奇术!$A:$ZZ,13,FALSE)+SUM(_xlfn.XLOOKUP($S56:$AL56,增益!$A:$A,增益!$M:$M,0))&gt;0,($F$13-$I$4+VLOOKUP($R56,武学奇术!$A:$ZZ,13,FALSE)+SUM(_xlfn.XLOOKUP($S56:$AL56,增益!$A:$A,增益!$K:$K,0)))/200,($F$13-$I$4+VLOOKUP($R56,武学奇术!$A:$ZZ,13,FALSE)+SUM(_xlfn.XLOOKUP($S56:$AL56,增益!$A:$A,增益!$M:$M,0)))/100)</f>
        <v>-0.14</v>
      </c>
      <c r="BJ56" s="40" cm="1">
        <f t="array" ref="BJ56">$G$13+VLOOKUP($R56,武学奇术!$A:$ZZ,14,FALSE)+SUM(_xlfn.XLOOKUP($S56:$AL56,增益!$A:$A,增益!$N:$N,0))</f>
        <v>0.02</v>
      </c>
      <c r="BK56">
        <f t="shared" si="21"/>
        <v>0</v>
      </c>
      <c r="BL56">
        <f t="shared" si="22"/>
        <v>0</v>
      </c>
      <c r="BM56" s="40" cm="1">
        <f t="array" ref="BM56">IF($F$14-$I$4+VLOOKUP($R56,武学奇术!$A:$ZZ,15,FALSE)+SUM(_xlfn.XLOOKUP($S56:$AL56,增益!$A:$A,增益!$O:$O,0))&gt;0,($F$14-$I$4+VLOOKUP($R56,武学奇术!$A:$ZZ,15,FALSE)+SUM(_xlfn.XLOOKUP($S56:$AL56,增益!$A:$A,增益!$O:$O,0)))/200,($F$14-$I$4+VLOOKUP($R56,武学奇术!$A:$ZZ,15,FALSE)+SUM(_xlfn.XLOOKUP($S56:$AL56,增益!$A:$A,增益!$O:$O,0)))/100)</f>
        <v>-0.14</v>
      </c>
      <c r="BN56" s="40" cm="1">
        <f t="array" ref="BN56">$G$14+VLOOKUP($R56,武学奇术!$A:$ZZ,16,FALSE)+SUM(_xlfn.XLOOKUP($S56:$AL56,增益!$A:$A,增益!$P:$P,0))</f>
        <v>0.02</v>
      </c>
      <c r="BO56" s="33">
        <f>MIN(IF(VLOOKUP($R56,武学奇术!$A:$ZZ,23,FALSE)=1,100%,$B$8),100%)</f>
        <v>0.9771</v>
      </c>
      <c r="BP56" s="33" cm="1">
        <f t="array" ref="BP56">IF(VLOOKUP($R56,武学奇术!$A:$ZZ,23,FALSE)=1,100%,MIN(80%,$B$9+VLOOKUP($R56,武学奇术!$A:$ZZ,17,FALSE)+SUM(_xlfn.XLOOKUP($S56:$AL56,增益!$A:$A,增益!$Q:$Q,0)))+$B$11+SUM(_xlfn.XLOOKUP($S56:$AL56,增益!$A:$A,增益!$U:$U,0)))*IF(VLOOKUP($R56,武学奇术!$A:$ZZ,24,FALSE)=1,0,1)</f>
        <v>0.8861</v>
      </c>
      <c r="BQ56" s="33" cm="1">
        <f t="array" ref="BQ56">1+$B$13+VLOOKUP($R56,武学奇术!$A:$ZZ,18,FALSE)+SUM(_xlfn.XLOOKUP($S56:$AL56,增益!$A:$A,增益!$R:$R,0))</f>
        <v>2</v>
      </c>
      <c r="BR56" s="33" cm="1">
        <f t="array" ref="BR56">IF(VLOOKUP($R56,武学奇术!$A:$ZZ,24,FALSE)=1,100%,MIN(40%,$B$10+VLOOKUP($R56,武学奇术!$A:$ZZ,19,FALSE)+SUM(_xlfn.XLOOKUP($S56:$AL56,增益!$A:$A,增益!$S:$S,0)))+$B$12+SUM(_xlfn.XLOOKUP($S56:$AL56,增益!$A:$A,增益!$V:$V,0)))*IF(VLOOKUP($R56,武学奇术!$A:$ZZ,23,FALSE)=1,0,1)</f>
        <v>0.0913</v>
      </c>
      <c r="BS56" s="33" cm="1">
        <f t="array" ref="BS56">1+$B$14+VLOOKUP($R56,武学奇术!$A:$ZZ,20,FALSE)+SUM(_xlfn.XLOOKUP($S56:$AL56,增益!$A:$A,增益!$T:$T,0))</f>
        <v>1.35</v>
      </c>
      <c r="BT56" s="33">
        <f t="shared" si="23"/>
        <v>0.86580831</v>
      </c>
      <c r="BU56" s="33">
        <f t="shared" si="24"/>
        <v>0.02208246</v>
      </c>
      <c r="BV56" s="33">
        <f>IF(VLOOKUP($R56,武学奇术!$A:$ZZ,22,FALSE)=1,0,(1-$BO56))*(1-$BR56)</f>
        <v>0.02080923</v>
      </c>
      <c r="BW56" s="33" cm="1">
        <f t="array" ref="BW56">SUM(_xlfn.XLOOKUP($S56:$AL56,增益!$A:$A,增益!$W:$W,0))+$I$5</f>
        <v>0.31</v>
      </c>
      <c r="BX56" s="33" cm="1">
        <f t="array" ref="BX56">VLOOKUP($R56,武学奇术!$A:$ZZ,32,FALSE)+SUM(_xlfn.XLOOKUP($S56:$AL56,增益!$A:$A,增益!$X:$X,0))</f>
        <v>0</v>
      </c>
    </row>
    <row r="57" spans="1:76">
      <c r="A57" s="4" t="s">
        <v>168</v>
      </c>
      <c r="B57" s="4">
        <v>2.3</v>
      </c>
      <c r="D57" s="47"/>
      <c r="L57" s="46">
        <f t="shared" si="14"/>
        <v>453913.935903635</v>
      </c>
      <c r="M57" s="46">
        <f>((($AT57+$AU57)/2*$AN57+$AO57)*(1+$AV57)*(1+$AW57)+(($AY57+$AZ57)/2*IF($G$1="鸣金",$AP57,$AN57)+IF($G$1="鸣金",$AQ57*1.5,0))*(1+$BA57)*(1+$BB57)+(($BC57+$BD57)/2*IF($G$1="裂石",$AP57,$AN57)+IF($G$1="裂石",$AQ57*1.5,0))*(1+$BE57)*(1+$BF57)+(($BG57+$BH57)/2*IF($G$1="牵丝",$AP57,$AN57)+IF($G$1="牵丝",$AQ57*1.5,0))*(1+$BI57)*(1+$BJ57)+(($BK57+$BL57)/2*IF($G$1="破竹",$AP57,$AN57)+IF($G$1="破竹",$AQ57*1.5,0))*(1+$BM57)*(1+$BN57))*(1+$AR57)*$BQ57*$Q57*(1+IF(VLOOKUP($R57,武学奇术!$A:$ZZ,30,FALSE)="蓄力技",$B$21,0))*(1+IF(VLOOKUP($R57,武学奇术!$A:$ZZ,30,FALSE)="派生技",$B$20,0))*(1+$BW57)*(1+$BX57)</f>
        <v>475304.584161629</v>
      </c>
      <c r="N57" s="46">
        <f>(($AU57*$AN57+$AO57)*(1+$AV57)*(1+$AW57)+($AZ57*IF($G$1="鸣金",$AP57,$AN57)+IF($G$1="鸣金",$AQ57*1.5,0))*(1+$BA57)*(1+$BB57)+($BD57*IF($G$1="裂石",$AP57,$AN57)+IF($G$1="裂石",$AQ57*1.5,0))*(1+$BE57)*(1+$BF57)+($BH57*IF($G$1="牵丝",$AP57,$AN57)+IF($G$1="牵丝",$AQ57*1.5,0))*(1+$BI57)*(1+$BJ57)+($BL57*IF($G$1="破竹",$AP57,$AN57)+IF($G$1="破竹",$AQ57*1.5,0))*(1+$BM57)*(1+$BN57))*(1+$AR57)*$BS57*$Q57*(1+IF(VLOOKUP($R57,武学奇术!$A:$ZZ,30,FALSE)="蓄力技",$B$21,0))*(1+IF(VLOOKUP($R57,武学奇术!$A:$ZZ,30,FALSE)="派生技",$B$20,0))*(1+$BW57)*(1+$BX57)</f>
        <v>359126.786183138</v>
      </c>
      <c r="O57" s="46">
        <f>((($AT57+$AU57)/2*$AN57+$AO57)*(1+$AV57)*(1+$AW57)+(($AY57+$AZ57)/2*IF($G$1="鸣金",$AP57,$AN57)+IF($G$1="鸣金",$AQ57*1.5,0))*(1+$BA57)*(1+$BB57)+(($BC57+$BD57)/2*IF($G$1="裂石",$AP57,$AN57)+IF($G$1="裂石",$AQ57*1.5,0))*(1+$BE57)*(1+$BF57)+(($BG57+$BH57)/2*IF($G$1="牵丝",$AP57,$AN57)+IF($G$1="牵丝",$AQ57*1.5,0))*(1+$BI57)*(1+$BJ57)+(($BK57+$BL57)/2*IF($G$1="破竹",$AP57,$AN57)+IF($G$1="破竹",$AQ57*1.5,0))*(1+$BM57)*(1+$BN57))*(1+$AR57)*$Q57*(1+IF(VLOOKUP($R57,武学奇术!$A:$ZZ,30,FALSE)="蓄力技",$B$21,0))*(1+IF(VLOOKUP($R57,武学奇术!$A:$ZZ,30,FALSE)="派生技",$B$20,0))*(1+$BW57)*(1+$BX57)</f>
        <v>237652.292080814</v>
      </c>
      <c r="P57" s="46">
        <f>((($AT57*$AN57+$AO57)*(1+$AV57)*(1+$AW57)+($AY57*IF($G$1="鸣金",$AP57,$AN57)+IF($G$1="鸣金",$AQ57*1.5,0))*(1+$BA57)*(1+$BB57)+($BC57*IF($G$1="裂石",$AP57,$AN57)+IF($G$1="裂石",$AQ57*1.5,0))*(1+$BE57)*(1+$BF57)+($BG57*IF($G$1="牵丝",$AP57,$AN57)+IF($G$1="牵丝",$AQ57*1.5,0))*(1+$BI57)*(1+$BJ57)+($BK57*IF($G$1="破竹",$AP57,$AN57)+IF($G$1="破竹",$AQ57*1.5,0))*(1+$BM57)*(1+$BN57))*(1+$AR57))*$Q57*(1+IF(VLOOKUP($R57,武学奇术!$A:$ZZ,30,FALSE)="蓄力技",$B$21,0))*(1+IF(VLOOKUP($R57,武学奇术!$A:$ZZ,30,FALSE)="派生技",$B$20,0))*(1+$BW57)*(1+$BX57)</f>
        <v>209284.742544489</v>
      </c>
      <c r="Q57" s="47">
        <f t="shared" ref="Q57:Q68" si="27">IF($E$24="陌刀",1,0)</f>
        <v>1</v>
      </c>
      <c r="R57" s="48" t="s">
        <v>185</v>
      </c>
      <c r="S57" s="48" t="s">
        <v>99</v>
      </c>
      <c r="T57" s="48" t="s">
        <v>182</v>
      </c>
      <c r="U57" s="48" t="s">
        <v>79</v>
      </c>
      <c r="V57" s="48" t="s">
        <v>90</v>
      </c>
      <c r="W57" s="48" t="s">
        <v>141</v>
      </c>
      <c r="X57" s="48" t="s">
        <v>80</v>
      </c>
      <c r="Y57" s="48" t="s">
        <v>74</v>
      </c>
      <c r="Z57" s="48" t="s">
        <v>80</v>
      </c>
      <c r="AA57" s="48" t="s">
        <v>183</v>
      </c>
      <c r="AB57" s="48" t="s">
        <v>184</v>
      </c>
      <c r="AC57" s="48" t="s">
        <v>80</v>
      </c>
      <c r="AD57" s="48" t="s">
        <v>80</v>
      </c>
      <c r="AE57" s="48" t="s">
        <v>82</v>
      </c>
      <c r="AF57" s="48" t="s">
        <v>83</v>
      </c>
      <c r="AG57" s="48" t="s">
        <v>84</v>
      </c>
      <c r="AH57" s="48" t="s">
        <v>80</v>
      </c>
      <c r="AI57" s="48" t="s">
        <v>80</v>
      </c>
      <c r="AJ57" s="48" t="s">
        <v>80</v>
      </c>
      <c r="AK57" s="48" t="s">
        <v>80</v>
      </c>
      <c r="AL57" s="48" t="s">
        <v>85</v>
      </c>
      <c r="AM57" t="str">
        <f>VLOOKUP($R57,武学奇术!$A:$ZZ,25,FALSE)</f>
        <v>陌刀</v>
      </c>
      <c r="AN57" s="33">
        <f>VLOOKUP($R57,武学奇术!$A:$ZZ,26,FALSE)</f>
        <v>7.5674</v>
      </c>
      <c r="AO57" s="34">
        <f>VLOOKUP($R57,武学奇术!$A:$ZZ,27,FALSE)*(1+IF(OR($AM57=$F$4,$AM57=$F$5),$B$22,0))</f>
        <v>3348.8</v>
      </c>
      <c r="AP57" s="33">
        <f>VLOOKUP($R57,武学奇术!$A:$ZZ,28,FALSE)</f>
        <v>11.3512</v>
      </c>
      <c r="AQ57" s="34">
        <f>VLOOKUP($R57,武学奇术!$A:$ZZ,29,FALSE)*(1+IF(OR($AM57=$F$4,$AM57=$F$5),$B$22,0))</f>
        <v>1824</v>
      </c>
      <c r="AR57" s="33" cm="1">
        <f t="array" ref="AR57">$G$3+IFERROR(VLOOKUP($AM57,$F$4:$G$7,2,FALSE),0)+VLOOKUP($R57,武学奇术!$A:$ZZ,2,FALSE)+SUM(_xlfn.XLOOKUP($S57:$AL57,增益!$A:$A,增益!$B:$B,0))</f>
        <v>0.6943</v>
      </c>
      <c r="AS57" s="33" cm="1">
        <f t="array" ref="AS57">VLOOKUP($R57,武学奇术!$A:$ZZ,5,FALSE)+SUM(_xlfn.XLOOKUP($S57:$AL57,增益!$A:$A,增益!$E:$E,0))</f>
        <v>0</v>
      </c>
      <c r="AT57" cm="1">
        <f t="array" ref="AT57">$D$10*(1+$AS57)+VLOOKUP($R57,武学奇术!$A:$ZZ,3,FALSE)+SUM(_xlfn.XLOOKUP($S57:$AL57,增益!$A:$A,增益!$C:$C,0))-$I$2</f>
        <v>4094.7</v>
      </c>
      <c r="AU57" cm="1">
        <f t="array" ref="AU57">$E$10*(1+$AS57)+VLOOKUP($R57,武学奇术!$A:$ZZ,4,FALSE)+SUM(_xlfn.XLOOKUP($S57:$AL57,增益!$A:$A,增益!$D:$D,0))-$I$2</f>
        <v>4094.7</v>
      </c>
      <c r="AV57" s="40" cm="1">
        <f t="array" ref="AV57">IF($F$10-$I$3+VLOOKUP($R57,武学奇术!$A:$ZZ,6,FALSE)+SUM(_xlfn.XLOOKUP($S57:$AL57,增益!$A:$A,增益!$F:$F,0))&gt;0,($F$10-$I$3+VLOOKUP($R57,武学奇术!$A:$ZZ,6,FALSE)+SUM(_xlfn.XLOOKUP($S57:$AL57,增益!$A:$A,增益!$F:$F,0)))/200,($F$10-$I$3+VLOOKUP($R57,武学奇术!$A:$ZZ,6,FALSE)+SUM(_xlfn.XLOOKUP($S57:$AL57,增益!$A:$A,增益!$F:$F,0)))/100)</f>
        <v>0.4384</v>
      </c>
      <c r="AW57" s="40" cm="1">
        <f t="array" ref="AW57">$G$10+VLOOKUP($R57,武学奇术!$A:$ZZ,7,FALSE)+SUM(_xlfn.XLOOKUP($S57:$AL57,增益!$A:$A,增益!$G:$G,0))</f>
        <v>0.14</v>
      </c>
      <c r="AX57" s="33" cm="1">
        <f t="array" ref="AX57">VLOOKUP($R57,武学奇术!$A:$ZZ,8,FALSE)+SUM(_xlfn.XLOOKUP($S57:$AL57,增益!$A:$A,增益!$H:$H,0))</f>
        <v>0</v>
      </c>
      <c r="AY57">
        <f t="shared" si="15"/>
        <v>0</v>
      </c>
      <c r="AZ57">
        <f t="shared" si="16"/>
        <v>0</v>
      </c>
      <c r="BA57" s="40" cm="1">
        <f t="array" ref="BA57">IF($F$11-$I$4+VLOOKUP($R57,武学奇术!$A:$ZZ,9,FALSE)+SUM(_xlfn.XLOOKUP($S57:$AL57,增益!$A:$A,增益!$I:$I,0))&gt;0,($F$11-$I$4+VLOOKUP($R57,武学奇术!$A:$ZZ,9,FALSE)+SUM(_xlfn.XLOOKUP($S57:$AL57,增益!$A:$A,增益!$I:$I,0)))/200,($F$11-$I$4+VLOOKUP($R57,武学奇术!$A:$ZZ,9,FALSE)+SUM(_xlfn.XLOOKUP($S57:$AL57,增益!$A:$A,增益!$I:$I,0)))/100)</f>
        <v>-0.14</v>
      </c>
      <c r="BB57" s="40" cm="1">
        <f t="array" ref="BB57">$G$11+VLOOKUP($R57,武学奇术!$A:$ZZ,10,FALSE)+SUM(_xlfn.XLOOKUP($S57:$AL57,增益!$A:$A,增益!$J:$J,0))</f>
        <v>0.12</v>
      </c>
      <c r="BC57">
        <f t="shared" si="17"/>
        <v>640.3</v>
      </c>
      <c r="BD57">
        <f t="shared" si="18"/>
        <v>1770.1</v>
      </c>
      <c r="BE57" s="40" cm="1">
        <f t="array" ref="BE57">IF($F$12-$I$4+VLOOKUP($R57,武学奇术!$A:$ZZ,11,FALSE)+SUM(_xlfn.XLOOKUP($S57:$AL57,增益!$A:$A,增益!$K:$K,0))&gt;0,($F$12-$I$4+VLOOKUP($R57,武学奇术!$A:$ZZ,11,FALSE)+SUM(_xlfn.XLOOKUP($S57:$AL57,增益!$A:$A,增益!$K:$K,0)))/200,($F$12-$I$4+VLOOKUP($R57,武学奇术!$A:$ZZ,11,FALSE)+SUM(_xlfn.XLOOKUP($S57:$AL57,增益!$A:$A,增益!$K:$K,0)))/100)</f>
        <v>0.17</v>
      </c>
      <c r="BF57" s="40" cm="1">
        <f t="array" ref="BF57">$G$12+VLOOKUP($R57,武学奇术!$A:$ZZ,12,FALSE)+SUM(_xlfn.XLOOKUP($S57:$AL57,增益!$A:$A,增益!$L:$L,0))</f>
        <v>0.29</v>
      </c>
      <c r="BG57">
        <f t="shared" si="19"/>
        <v>0</v>
      </c>
      <c r="BH57">
        <f t="shared" si="20"/>
        <v>0</v>
      </c>
      <c r="BI57" s="40" cm="1">
        <f t="array" ref="BI57">IF($F$13-$I$4+VLOOKUP($R57,武学奇术!$A:$ZZ,13,FALSE)+SUM(_xlfn.XLOOKUP($S57:$AL57,增益!$A:$A,增益!$M:$M,0))&gt;0,($F$13-$I$4+VLOOKUP($R57,武学奇术!$A:$ZZ,13,FALSE)+SUM(_xlfn.XLOOKUP($S57:$AL57,增益!$A:$A,增益!$K:$K,0)))/200,($F$13-$I$4+VLOOKUP($R57,武学奇术!$A:$ZZ,13,FALSE)+SUM(_xlfn.XLOOKUP($S57:$AL57,增益!$A:$A,增益!$M:$M,0)))/100)</f>
        <v>-0.14</v>
      </c>
      <c r="BJ57" s="40" cm="1">
        <f t="array" ref="BJ57">$G$13+VLOOKUP($R57,武学奇术!$A:$ZZ,14,FALSE)+SUM(_xlfn.XLOOKUP($S57:$AL57,增益!$A:$A,增益!$N:$N,0))</f>
        <v>0.02</v>
      </c>
      <c r="BK57">
        <f t="shared" si="21"/>
        <v>0</v>
      </c>
      <c r="BL57">
        <f t="shared" si="22"/>
        <v>0</v>
      </c>
      <c r="BM57" s="40" cm="1">
        <f t="array" ref="BM57">IF($F$14-$I$4+VLOOKUP($R57,武学奇术!$A:$ZZ,15,FALSE)+SUM(_xlfn.XLOOKUP($S57:$AL57,增益!$A:$A,增益!$O:$O,0))&gt;0,($F$14-$I$4+VLOOKUP($R57,武学奇术!$A:$ZZ,15,FALSE)+SUM(_xlfn.XLOOKUP($S57:$AL57,增益!$A:$A,增益!$O:$O,0)))/200,($F$14-$I$4+VLOOKUP($R57,武学奇术!$A:$ZZ,15,FALSE)+SUM(_xlfn.XLOOKUP($S57:$AL57,增益!$A:$A,增益!$O:$O,0)))/100)</f>
        <v>-0.14</v>
      </c>
      <c r="BN57" s="40" cm="1">
        <f t="array" ref="BN57">$G$14+VLOOKUP($R57,武学奇术!$A:$ZZ,16,FALSE)+SUM(_xlfn.XLOOKUP($S57:$AL57,增益!$A:$A,增益!$P:$P,0))</f>
        <v>0.02</v>
      </c>
      <c r="BO57" s="33">
        <f>MIN(IF(VLOOKUP($R57,武学奇术!$A:$ZZ,23,FALSE)=1,100%,$B$8),100%)</f>
        <v>0.9771</v>
      </c>
      <c r="BP57" s="33" cm="1">
        <f t="array" ref="BP57">IF(VLOOKUP($R57,武学奇术!$A:$ZZ,23,FALSE)=1,100%,MIN(80%,$B$9+VLOOKUP($R57,武学奇术!$A:$ZZ,17,FALSE)+SUM(_xlfn.XLOOKUP($S57:$AL57,增益!$A:$A,增益!$Q:$Q,0)))+$B$11+SUM(_xlfn.XLOOKUP($S57:$AL57,增益!$A:$A,增益!$U:$U,0)))*IF(VLOOKUP($R57,武学奇术!$A:$ZZ,24,FALSE)=1,0,1)</f>
        <v>0.8861</v>
      </c>
      <c r="BQ57" s="33" cm="1">
        <f t="array" ref="BQ57">1+$B$13+VLOOKUP($R57,武学奇术!$A:$ZZ,18,FALSE)+SUM(_xlfn.XLOOKUP($S57:$AL57,增益!$A:$A,增益!$R:$R,0))</f>
        <v>2</v>
      </c>
      <c r="BR57" s="33" cm="1">
        <f t="array" ref="BR57">IF(VLOOKUP($R57,武学奇术!$A:$ZZ,24,FALSE)=1,100%,MIN(40%,$B$10+VLOOKUP($R57,武学奇术!$A:$ZZ,19,FALSE)+SUM(_xlfn.XLOOKUP($S57:$AL57,增益!$A:$A,增益!$S:$S,0)))+$B$12+SUM(_xlfn.XLOOKUP($S57:$AL57,增益!$A:$A,增益!$V:$V,0)))*IF(VLOOKUP($R57,武学奇术!$A:$ZZ,23,FALSE)=1,0,1)</f>
        <v>0.0913</v>
      </c>
      <c r="BS57" s="33" cm="1">
        <f t="array" ref="BS57">1+$B$14+VLOOKUP($R57,武学奇术!$A:$ZZ,20,FALSE)+SUM(_xlfn.XLOOKUP($S57:$AL57,增益!$A:$A,增益!$T:$T,0))</f>
        <v>1.35</v>
      </c>
      <c r="BT57" s="33">
        <f t="shared" si="23"/>
        <v>0.86580831</v>
      </c>
      <c r="BU57" s="33">
        <f t="shared" si="24"/>
        <v>0.02208246</v>
      </c>
      <c r="BV57" s="33">
        <f>IF(VLOOKUP($R57,武学奇术!$A:$ZZ,22,FALSE)=1,0,(1-$BO57))*(1-$BR57)</f>
        <v>0.02080923</v>
      </c>
      <c r="BW57" s="33" cm="1">
        <f t="array" ref="BW57">SUM(_xlfn.XLOOKUP($S57:$AL57,增益!$A:$A,增益!$W:$W,0))+$I$5</f>
        <v>0.31</v>
      </c>
      <c r="BX57" s="33" cm="1">
        <f t="array" ref="BX57">VLOOKUP($R57,武学奇术!$A:$ZZ,32,FALSE)+SUM(_xlfn.XLOOKUP($S57:$AL57,增益!$A:$A,增益!$X:$X,0))</f>
        <v>0</v>
      </c>
    </row>
    <row r="58" spans="1:76">
      <c r="A58" s="4" t="s">
        <v>168</v>
      </c>
      <c r="B58" s="4">
        <v>2.3</v>
      </c>
      <c r="D58" s="47"/>
      <c r="H58" s="4"/>
      <c r="I58" s="4"/>
      <c r="L58" s="46">
        <f t="shared" si="14"/>
        <v>27778.1569575824</v>
      </c>
      <c r="M58" s="46">
        <f>((($AT58+$AU58)/2*$AN58+$AO58)*(1+$AV58)*(1+$AW58)+(($AY58+$AZ58)/2*IF($G$1="鸣金",$AP58,$AN58)+IF($G$1="鸣金",$AQ58*1.5,0))*(1+$BA58)*(1+$BB58)+(($BC58+$BD58)/2*IF($G$1="裂石",$AP58,$AN58)+IF($G$1="裂石",$AQ58*1.5,0))*(1+$BE58)*(1+$BF58)+(($BG58+$BH58)/2*IF($G$1="牵丝",$AP58,$AN58)+IF($G$1="牵丝",$AQ58*1.5,0))*(1+$BI58)*(1+$BJ58)+(($BK58+$BL58)/2*IF($G$1="破竹",$AP58,$AN58)+IF($G$1="破竹",$AQ58*1.5,0))*(1+$BM58)*(1+$BN58))*(1+$AR58)*$BQ58*$Q58*(1+IF(VLOOKUP($R58,武学奇术!$A:$ZZ,30,FALSE)="蓄力技",$B$21,0))*(1+IF(VLOOKUP($R58,武学奇术!$A:$ZZ,30,FALSE)="派生技",$B$20,0))*(1+$BW58)*(1+$BX58)</f>
        <v>29062.1501394317</v>
      </c>
      <c r="N58" s="46">
        <f>(($AU58*$AN58+$AO58)*(1+$AV58)*(1+$AW58)+($AZ58*IF($G$1="鸣金",$AP58,$AN58)+IF($G$1="鸣金",$AQ58*1.5,0))*(1+$BA58)*(1+$BB58)+($BD58*IF($G$1="裂石",$AP58,$AN58)+IF($G$1="裂石",$AQ58*1.5,0))*(1+$BE58)*(1+$BF58)+($BH58*IF($G$1="牵丝",$AP58,$AN58)+IF($G$1="牵丝",$AQ58*1.5,0))*(1+$BI58)*(1+$BJ58)+($BL58*IF($G$1="破竹",$AP58,$AN58)+IF($G$1="破竹",$AQ58*1.5,0))*(1+$BM58)*(1+$BN58))*(1+$AR58)*$BS58*$Q58*(1+IF(VLOOKUP($R58,武学奇术!$A:$ZZ,30,FALSE)="蓄力技",$B$21,0))*(1+IF(VLOOKUP($R58,武学奇术!$A:$ZZ,30,FALSE)="派生技",$B$20,0))*(1+$BW58)*(1+$BX58)</f>
        <v>22273.7850798276</v>
      </c>
      <c r="O58" s="46">
        <f>((($AT58+$AU58)/2*$AN58+$AO58)*(1+$AV58)*(1+$AW58)+(($AY58+$AZ58)/2*IF($G$1="鸣金",$AP58,$AN58)+IF($G$1="鸣金",$AQ58*1.5,0))*(1+$BA58)*(1+$BB58)+(($BC58+$BD58)/2*IF($G$1="裂石",$AP58,$AN58)+IF($G$1="裂石",$AQ58*1.5,0))*(1+$BE58)*(1+$BF58)+(($BG58+$BH58)/2*IF($G$1="牵丝",$AP58,$AN58)+IF($G$1="牵丝",$AQ58*1.5,0))*(1+$BI58)*(1+$BJ58)+(($BK58+$BL58)/2*IF($G$1="破竹",$AP58,$AN58)+IF($G$1="破竹",$AQ58*1.5,0))*(1+$BM58)*(1+$BN58))*(1+$AR58)*$Q58*(1+IF(VLOOKUP($R58,武学奇术!$A:$ZZ,30,FALSE)="蓄力技",$B$21,0))*(1+IF(VLOOKUP($R58,武学奇术!$A:$ZZ,30,FALSE)="派生技",$B$20,0))*(1+$BW58)*(1+$BX58)</f>
        <v>14531.0750697158</v>
      </c>
      <c r="P58" s="46">
        <f>((($AT58*$AN58+$AO58)*(1+$AV58)*(1+$AW58)+($AY58*IF($G$1="鸣金",$AP58,$AN58)+IF($G$1="鸣金",$AQ58*1.5,0))*(1+$BA58)*(1+$BB58)+($BC58*IF($G$1="裂石",$AP58,$AN58)+IF($G$1="裂石",$AQ58*1.5,0))*(1+$BE58)*(1+$BF58)+($BG58*IF($G$1="牵丝",$AP58,$AN58)+IF($G$1="牵丝",$AQ58*1.5,0))*(1+$BI58)*(1+$BJ58)+($BK58*IF($G$1="破竹",$AP58,$AN58)+IF($G$1="破竹",$AQ58*1.5,0))*(1+$BM58)*(1+$BN58))*(1+$AR58))*$Q58*(1+IF(VLOOKUP($R58,武学奇术!$A:$ZZ,30,FALSE)="蓄力技",$B$21,0))*(1+IF(VLOOKUP($R58,武学奇术!$A:$ZZ,30,FALSE)="派生技",$B$20,0))*(1+$BW58)*(1+$BX58)</f>
        <v>12563.0500803001</v>
      </c>
      <c r="Q58" s="47">
        <f t="shared" si="27"/>
        <v>1</v>
      </c>
      <c r="R58" s="48" t="s">
        <v>140</v>
      </c>
      <c r="S58" s="48" t="s">
        <v>99</v>
      </c>
      <c r="T58" s="48" t="s">
        <v>182</v>
      </c>
      <c r="U58" s="48" t="s">
        <v>79</v>
      </c>
      <c r="V58" s="48" t="s">
        <v>90</v>
      </c>
      <c r="W58" s="48" t="s">
        <v>141</v>
      </c>
      <c r="X58" s="48" t="s">
        <v>80</v>
      </c>
      <c r="Y58" s="48" t="s">
        <v>74</v>
      </c>
      <c r="Z58" s="48" t="s">
        <v>80</v>
      </c>
      <c r="AA58" s="48" t="s">
        <v>183</v>
      </c>
      <c r="AB58" s="48" t="s">
        <v>184</v>
      </c>
      <c r="AC58" s="48" t="s">
        <v>80</v>
      </c>
      <c r="AD58" s="48" t="s">
        <v>80</v>
      </c>
      <c r="AE58" s="48" t="s">
        <v>82</v>
      </c>
      <c r="AF58" s="48" t="s">
        <v>83</v>
      </c>
      <c r="AG58" s="48" t="s">
        <v>84</v>
      </c>
      <c r="AH58" s="48" t="s">
        <v>80</v>
      </c>
      <c r="AI58" s="48" t="s">
        <v>80</v>
      </c>
      <c r="AJ58" s="48" t="s">
        <v>80</v>
      </c>
      <c r="AK58" s="48" t="s">
        <v>80</v>
      </c>
      <c r="AL58" s="48" t="s">
        <v>85</v>
      </c>
      <c r="AM58" t="str">
        <f>VLOOKUP($R58,武学奇术!$A:$ZZ,25,FALSE)</f>
        <v>陌刀</v>
      </c>
      <c r="AN58" s="33">
        <f>VLOOKUP($R58,武学奇术!$A:$ZZ,26,FALSE)</f>
        <v>0.525</v>
      </c>
      <c r="AO58" s="34">
        <f>VLOOKUP($R58,武学奇术!$A:$ZZ,27,FALSE)*(1+IF(OR($AM58=$F$4,$AM58=$F$5),$B$22,0))</f>
        <v>0</v>
      </c>
      <c r="AP58" s="33">
        <f>VLOOKUP($R58,武学奇术!$A:$ZZ,28,FALSE)</f>
        <v>0.7875</v>
      </c>
      <c r="AQ58" s="34">
        <f>VLOOKUP($R58,武学奇术!$A:$ZZ,29,FALSE)*(1+IF(OR($AM58=$F$4,$AM58=$F$5),$B$22,0))</f>
        <v>0</v>
      </c>
      <c r="AR58" s="33" cm="1">
        <f t="array" ref="AR58">$G$3+IFERROR(VLOOKUP($AM58,$F$4:$G$7,2,FALSE),0)+VLOOKUP($R58,武学奇术!$A:$ZZ,2,FALSE)+SUM(_xlfn.XLOOKUP($S58:$AL58,增益!$A:$A,增益!$B:$B,0))</f>
        <v>0.6943</v>
      </c>
      <c r="AS58" s="33" cm="1">
        <f t="array" ref="AS58">VLOOKUP($R58,武学奇术!$A:$ZZ,5,FALSE)+SUM(_xlfn.XLOOKUP($S58:$AL58,增益!$A:$A,增益!$E:$E,0))</f>
        <v>0</v>
      </c>
      <c r="AT58" cm="1">
        <f t="array" ref="AT58">$D$10*(1+$AS58)+VLOOKUP($R58,武学奇术!$A:$ZZ,3,FALSE)+SUM(_xlfn.XLOOKUP($S58:$AL58,增益!$A:$A,增益!$C:$C,0))-$I$2</f>
        <v>4094.7</v>
      </c>
      <c r="AU58" cm="1">
        <f t="array" ref="AU58">$E$10*(1+$AS58)+VLOOKUP($R58,武学奇术!$A:$ZZ,4,FALSE)+SUM(_xlfn.XLOOKUP($S58:$AL58,增益!$A:$A,增益!$D:$D,0))-$I$2</f>
        <v>4094.7</v>
      </c>
      <c r="AV58" s="40" cm="1">
        <f t="array" ref="AV58">IF($F$10-$I$3+VLOOKUP($R58,武学奇术!$A:$ZZ,6,FALSE)+SUM(_xlfn.XLOOKUP($S58:$AL58,增益!$A:$A,增益!$F:$F,0))&gt;0,($F$10-$I$3+VLOOKUP($R58,武学奇术!$A:$ZZ,6,FALSE)+SUM(_xlfn.XLOOKUP($S58:$AL58,增益!$A:$A,增益!$F:$F,0)))/200,($F$10-$I$3+VLOOKUP($R58,武学奇术!$A:$ZZ,6,FALSE)+SUM(_xlfn.XLOOKUP($S58:$AL58,增益!$A:$A,增益!$F:$F,0)))/100)</f>
        <v>0.4384</v>
      </c>
      <c r="AW58" s="40" cm="1">
        <f t="array" ref="AW58">$G$10+VLOOKUP($R58,武学奇术!$A:$ZZ,7,FALSE)+SUM(_xlfn.XLOOKUP($S58:$AL58,增益!$A:$A,增益!$G:$G,0))</f>
        <v>0.14</v>
      </c>
      <c r="AX58" s="33" cm="1">
        <f t="array" ref="AX58">VLOOKUP($R58,武学奇术!$A:$ZZ,8,FALSE)+SUM(_xlfn.XLOOKUP($S58:$AL58,增益!$A:$A,增益!$H:$H,0))</f>
        <v>0</v>
      </c>
      <c r="AY58">
        <f t="shared" si="15"/>
        <v>0</v>
      </c>
      <c r="AZ58">
        <f t="shared" si="16"/>
        <v>0</v>
      </c>
      <c r="BA58" s="40" cm="1">
        <f t="array" ref="BA58">IF($F$11-$I$4+VLOOKUP($R58,武学奇术!$A:$ZZ,9,FALSE)+SUM(_xlfn.XLOOKUP($S58:$AL58,增益!$A:$A,增益!$I:$I,0))&gt;0,($F$11-$I$4+VLOOKUP($R58,武学奇术!$A:$ZZ,9,FALSE)+SUM(_xlfn.XLOOKUP($S58:$AL58,增益!$A:$A,增益!$I:$I,0)))/200,($F$11-$I$4+VLOOKUP($R58,武学奇术!$A:$ZZ,9,FALSE)+SUM(_xlfn.XLOOKUP($S58:$AL58,增益!$A:$A,增益!$I:$I,0)))/100)</f>
        <v>-0.14</v>
      </c>
      <c r="BB58" s="40" cm="1">
        <f t="array" ref="BB58">$G$11+VLOOKUP($R58,武学奇术!$A:$ZZ,10,FALSE)+SUM(_xlfn.XLOOKUP($S58:$AL58,增益!$A:$A,增益!$J:$J,0))</f>
        <v>0.12</v>
      </c>
      <c r="BC58">
        <f t="shared" si="17"/>
        <v>640.3</v>
      </c>
      <c r="BD58">
        <f t="shared" si="18"/>
        <v>1770.1</v>
      </c>
      <c r="BE58" s="40" cm="1">
        <f t="array" ref="BE58">IF($F$12-$I$4+VLOOKUP($R58,武学奇术!$A:$ZZ,11,FALSE)+SUM(_xlfn.XLOOKUP($S58:$AL58,增益!$A:$A,增益!$K:$K,0))&gt;0,($F$12-$I$4+VLOOKUP($R58,武学奇术!$A:$ZZ,11,FALSE)+SUM(_xlfn.XLOOKUP($S58:$AL58,增益!$A:$A,增益!$K:$K,0)))/200,($F$12-$I$4+VLOOKUP($R58,武学奇术!$A:$ZZ,11,FALSE)+SUM(_xlfn.XLOOKUP($S58:$AL58,增益!$A:$A,增益!$K:$K,0)))/100)</f>
        <v>0.17</v>
      </c>
      <c r="BF58" s="40" cm="1">
        <f t="array" ref="BF58">$G$12+VLOOKUP($R58,武学奇术!$A:$ZZ,12,FALSE)+SUM(_xlfn.XLOOKUP($S58:$AL58,增益!$A:$A,增益!$L:$L,0))</f>
        <v>0.29</v>
      </c>
      <c r="BG58">
        <f t="shared" si="19"/>
        <v>0</v>
      </c>
      <c r="BH58">
        <f t="shared" si="20"/>
        <v>0</v>
      </c>
      <c r="BI58" s="40" cm="1">
        <f t="array" ref="BI58">IF($F$13-$I$4+VLOOKUP($R58,武学奇术!$A:$ZZ,13,FALSE)+SUM(_xlfn.XLOOKUP($S58:$AL58,增益!$A:$A,增益!$M:$M,0))&gt;0,($F$13-$I$4+VLOOKUP($R58,武学奇术!$A:$ZZ,13,FALSE)+SUM(_xlfn.XLOOKUP($S58:$AL58,增益!$A:$A,增益!$K:$K,0)))/200,($F$13-$I$4+VLOOKUP($R58,武学奇术!$A:$ZZ,13,FALSE)+SUM(_xlfn.XLOOKUP($S58:$AL58,增益!$A:$A,增益!$M:$M,0)))/100)</f>
        <v>-0.14</v>
      </c>
      <c r="BJ58" s="40" cm="1">
        <f t="array" ref="BJ58">$G$13+VLOOKUP($R58,武学奇术!$A:$ZZ,14,FALSE)+SUM(_xlfn.XLOOKUP($S58:$AL58,增益!$A:$A,增益!$N:$N,0))</f>
        <v>0.02</v>
      </c>
      <c r="BK58">
        <f t="shared" si="21"/>
        <v>0</v>
      </c>
      <c r="BL58">
        <f t="shared" si="22"/>
        <v>0</v>
      </c>
      <c r="BM58" s="40" cm="1">
        <f t="array" ref="BM58">IF($F$14-$I$4+VLOOKUP($R58,武学奇术!$A:$ZZ,15,FALSE)+SUM(_xlfn.XLOOKUP($S58:$AL58,增益!$A:$A,增益!$O:$O,0))&gt;0,($F$14-$I$4+VLOOKUP($R58,武学奇术!$A:$ZZ,15,FALSE)+SUM(_xlfn.XLOOKUP($S58:$AL58,增益!$A:$A,增益!$O:$O,0)))/200,($F$14-$I$4+VLOOKUP($R58,武学奇术!$A:$ZZ,15,FALSE)+SUM(_xlfn.XLOOKUP($S58:$AL58,增益!$A:$A,增益!$O:$O,0)))/100)</f>
        <v>-0.14</v>
      </c>
      <c r="BN58" s="40" cm="1">
        <f t="array" ref="BN58">$G$14+VLOOKUP($R58,武学奇术!$A:$ZZ,16,FALSE)+SUM(_xlfn.XLOOKUP($S58:$AL58,增益!$A:$A,增益!$P:$P,0))</f>
        <v>0.02</v>
      </c>
      <c r="BO58" s="33">
        <f>MIN(IF(VLOOKUP($R58,武学奇术!$A:$ZZ,23,FALSE)=1,100%,$B$8),100%)</f>
        <v>0.9771</v>
      </c>
      <c r="BP58" s="33" cm="1">
        <f t="array" ref="BP58">IF(VLOOKUP($R58,武学奇术!$A:$ZZ,23,FALSE)=1,100%,MIN(80%,$B$9+VLOOKUP($R58,武学奇术!$A:$ZZ,17,FALSE)+SUM(_xlfn.XLOOKUP($S58:$AL58,增益!$A:$A,增益!$Q:$Q,0)))+$B$11+SUM(_xlfn.XLOOKUP($S58:$AL58,增益!$A:$A,增益!$U:$U,0)))*IF(VLOOKUP($R58,武学奇术!$A:$ZZ,24,FALSE)=1,0,1)</f>
        <v>0.8861</v>
      </c>
      <c r="BQ58" s="33" cm="1">
        <f t="array" ref="BQ58">1+$B$13+VLOOKUP($R58,武学奇术!$A:$ZZ,18,FALSE)+SUM(_xlfn.XLOOKUP($S58:$AL58,增益!$A:$A,增益!$R:$R,0))</f>
        <v>2</v>
      </c>
      <c r="BR58" s="33" cm="1">
        <f t="array" ref="BR58">IF(VLOOKUP($R58,武学奇术!$A:$ZZ,24,FALSE)=1,100%,MIN(40%,$B$10+VLOOKUP($R58,武学奇术!$A:$ZZ,19,FALSE)+SUM(_xlfn.XLOOKUP($S58:$AL58,增益!$A:$A,增益!$S:$S,0)))+$B$12+SUM(_xlfn.XLOOKUP($S58:$AL58,增益!$A:$A,增益!$V:$V,0)))*IF(VLOOKUP($R58,武学奇术!$A:$ZZ,23,FALSE)=1,0,1)</f>
        <v>0.0913</v>
      </c>
      <c r="BS58" s="33" cm="1">
        <f t="array" ref="BS58">1+$B$14+VLOOKUP($R58,武学奇术!$A:$ZZ,20,FALSE)+SUM(_xlfn.XLOOKUP($S58:$AL58,增益!$A:$A,增益!$T:$T,0))</f>
        <v>1.35</v>
      </c>
      <c r="BT58" s="33">
        <f t="shared" si="23"/>
        <v>0.86580831</v>
      </c>
      <c r="BU58" s="33">
        <f t="shared" si="24"/>
        <v>0.02208246</v>
      </c>
      <c r="BV58" s="33">
        <f>IF(VLOOKUP($R58,武学奇术!$A:$ZZ,22,FALSE)=1,0,(1-$BO58))*(1-$BR58)</f>
        <v>0.02080923</v>
      </c>
      <c r="BW58" s="33" cm="1">
        <f t="array" ref="BW58">SUM(_xlfn.XLOOKUP($S58:$AL58,增益!$A:$A,增益!$W:$W,0))+$I$5</f>
        <v>0.31</v>
      </c>
      <c r="BX58" s="33" cm="1">
        <f t="array" ref="BX58">VLOOKUP($R58,武学奇术!$A:$ZZ,32,FALSE)+SUM(_xlfn.XLOOKUP($S58:$AL58,增益!$A:$A,增益!$X:$X,0))</f>
        <v>0</v>
      </c>
    </row>
    <row r="59" spans="1:76">
      <c r="A59" s="4" t="s">
        <v>168</v>
      </c>
      <c r="B59" s="4">
        <v>2.3</v>
      </c>
      <c r="D59" s="47"/>
      <c r="L59" s="46">
        <f t="shared" si="14"/>
        <v>50000.6825236482</v>
      </c>
      <c r="M59" s="46">
        <f>((($AT59+$AU59)/2*$AN59+$AO59)*(1+$AV59)*(1+$AW59)+(($AY59+$AZ59)/2*IF($G$1="鸣金",$AP59,$AN59)+IF($G$1="鸣金",$AQ59*1.5,0))*(1+$BA59)*(1+$BB59)+(($BC59+$BD59)/2*IF($G$1="裂石",$AP59,$AN59)+IF($G$1="裂石",$AQ59*1.5,0))*(1+$BE59)*(1+$BF59)+(($BG59+$BH59)/2*IF($G$1="牵丝",$AP59,$AN59)+IF($G$1="牵丝",$AQ59*1.5,0))*(1+$BI59)*(1+$BJ59)+(($BK59+$BL59)/2*IF($G$1="破竹",$AP59,$AN59)+IF($G$1="破竹",$AQ59*1.5,0))*(1+$BM59)*(1+$BN59))*(1+$AR59)*$BQ59*$Q59*(1+IF(VLOOKUP($R59,武学奇术!$A:$ZZ,30,FALSE)="蓄力技",$B$21,0))*(1+IF(VLOOKUP($R59,武学奇术!$A:$ZZ,30,FALSE)="派生技",$B$20,0))*(1+$BW59)*(1+$BX59)</f>
        <v>52311.870250977</v>
      </c>
      <c r="N59" s="46">
        <f>(($AU59*$AN59+$AO59)*(1+$AV59)*(1+$AW59)+($AZ59*IF($G$1="鸣金",$AP59,$AN59)+IF($G$1="鸣金",$AQ59*1.5,0))*(1+$BA59)*(1+$BB59)+($BD59*IF($G$1="裂石",$AP59,$AN59)+IF($G$1="裂石",$AQ59*1.5,0))*(1+$BE59)*(1+$BF59)+($BH59*IF($G$1="牵丝",$AP59,$AN59)+IF($G$1="牵丝",$AQ59*1.5,0))*(1+$BI59)*(1+$BJ59)+($BL59*IF($G$1="破竹",$AP59,$AN59)+IF($G$1="破竹",$AQ59*1.5,0))*(1+$BM59)*(1+$BN59))*(1+$AR59)*$BS59*$Q59*(1+IF(VLOOKUP($R59,武学奇术!$A:$ZZ,30,FALSE)="蓄力技",$B$21,0))*(1+IF(VLOOKUP($R59,武学奇术!$A:$ZZ,30,FALSE)="派生技",$B$20,0))*(1+$BW59)*(1+$BX59)</f>
        <v>40092.8131436897</v>
      </c>
      <c r="O59" s="46">
        <f>((($AT59+$AU59)/2*$AN59+$AO59)*(1+$AV59)*(1+$AW59)+(($AY59+$AZ59)/2*IF($G$1="鸣金",$AP59,$AN59)+IF($G$1="鸣金",$AQ59*1.5,0))*(1+$BA59)*(1+$BB59)+(($BC59+$BD59)/2*IF($G$1="裂石",$AP59,$AN59)+IF($G$1="裂石",$AQ59*1.5,0))*(1+$BE59)*(1+$BF59)+(($BG59+$BH59)/2*IF($G$1="牵丝",$AP59,$AN59)+IF($G$1="牵丝",$AQ59*1.5,0))*(1+$BI59)*(1+$BJ59)+(($BK59+$BL59)/2*IF($G$1="破竹",$AP59,$AN59)+IF($G$1="破竹",$AQ59*1.5,0))*(1+$BM59)*(1+$BN59))*(1+$AR59)*$Q59*(1+IF(VLOOKUP($R59,武学奇术!$A:$ZZ,30,FALSE)="蓄力技",$B$21,0))*(1+IF(VLOOKUP($R59,武学奇术!$A:$ZZ,30,FALSE)="派生技",$B$20,0))*(1+$BW59)*(1+$BX59)</f>
        <v>26155.9351254885</v>
      </c>
      <c r="P59" s="46">
        <f>((($AT59*$AN59+$AO59)*(1+$AV59)*(1+$AW59)+($AY59*IF($G$1="鸣金",$AP59,$AN59)+IF($G$1="鸣金",$AQ59*1.5,0))*(1+$BA59)*(1+$BB59)+($BC59*IF($G$1="裂石",$AP59,$AN59)+IF($G$1="裂石",$AQ59*1.5,0))*(1+$BE59)*(1+$BF59)+($BG59*IF($G$1="牵丝",$AP59,$AN59)+IF($G$1="牵丝",$AQ59*1.5,0))*(1+$BI59)*(1+$BJ59)+($BK59*IF($G$1="破竹",$AP59,$AN59)+IF($G$1="破竹",$AQ59*1.5,0))*(1+$BM59)*(1+$BN59))*(1+$AR59))*$Q59*(1+IF(VLOOKUP($R59,武学奇术!$A:$ZZ,30,FALSE)="蓄力技",$B$21,0))*(1+IF(VLOOKUP($R59,武学奇术!$A:$ZZ,30,FALSE)="派生技",$B$20,0))*(1+$BW59)*(1+$BX59)</f>
        <v>22613.4901445402</v>
      </c>
      <c r="Q59" s="47">
        <f t="shared" si="27"/>
        <v>1</v>
      </c>
      <c r="R59" s="48" t="s">
        <v>169</v>
      </c>
      <c r="S59" s="48" t="s">
        <v>99</v>
      </c>
      <c r="T59" s="48" t="s">
        <v>182</v>
      </c>
      <c r="U59" s="48" t="s">
        <v>79</v>
      </c>
      <c r="V59" s="48" t="s">
        <v>90</v>
      </c>
      <c r="W59" s="48" t="s">
        <v>141</v>
      </c>
      <c r="X59" s="48" t="s">
        <v>80</v>
      </c>
      <c r="Y59" s="48" t="s">
        <v>74</v>
      </c>
      <c r="Z59" s="48" t="s">
        <v>80</v>
      </c>
      <c r="AA59" s="48" t="s">
        <v>183</v>
      </c>
      <c r="AB59" s="48" t="s">
        <v>184</v>
      </c>
      <c r="AC59" s="48" t="s">
        <v>80</v>
      </c>
      <c r="AD59" s="48" t="s">
        <v>80</v>
      </c>
      <c r="AE59" s="48" t="s">
        <v>82</v>
      </c>
      <c r="AF59" s="48" t="s">
        <v>83</v>
      </c>
      <c r="AG59" s="48" t="s">
        <v>84</v>
      </c>
      <c r="AH59" s="48" t="s">
        <v>80</v>
      </c>
      <c r="AI59" s="48" t="s">
        <v>80</v>
      </c>
      <c r="AJ59" s="48" t="s">
        <v>80</v>
      </c>
      <c r="AK59" s="48" t="s">
        <v>80</v>
      </c>
      <c r="AL59" s="48" t="s">
        <v>85</v>
      </c>
      <c r="AM59" t="str">
        <f>VLOOKUP($R59,武学奇术!$A:$ZZ,25,FALSE)</f>
        <v>陌刀</v>
      </c>
      <c r="AN59" s="33">
        <f>VLOOKUP($R59,武学奇术!$A:$ZZ,26,FALSE)</f>
        <v>0.945</v>
      </c>
      <c r="AO59" s="34">
        <f>VLOOKUP($R59,武学奇术!$A:$ZZ,27,FALSE)*(1+IF(OR($AM59=$F$4,$AM59=$F$5),$B$22,0))</f>
        <v>0</v>
      </c>
      <c r="AP59" s="33">
        <f>VLOOKUP($R59,武学奇术!$A:$ZZ,28,FALSE)</f>
        <v>1.4175</v>
      </c>
      <c r="AQ59" s="34">
        <f>VLOOKUP($R59,武学奇术!$A:$ZZ,29,FALSE)*(1+IF(OR($AM59=$F$4,$AM59=$F$5),$B$22,0))</f>
        <v>0</v>
      </c>
      <c r="AR59" s="33" cm="1">
        <f t="array" ref="AR59">$G$3+IFERROR(VLOOKUP($AM59,$F$4:$G$7,2,FALSE),0)+VLOOKUP($R59,武学奇术!$A:$ZZ,2,FALSE)+SUM(_xlfn.XLOOKUP($S59:$AL59,增益!$A:$A,增益!$B:$B,0))</f>
        <v>0.6943</v>
      </c>
      <c r="AS59" s="33" cm="1">
        <f t="array" ref="AS59">VLOOKUP($R59,武学奇术!$A:$ZZ,5,FALSE)+SUM(_xlfn.XLOOKUP($S59:$AL59,增益!$A:$A,增益!$E:$E,0))</f>
        <v>0</v>
      </c>
      <c r="AT59" cm="1">
        <f t="array" ref="AT59">$D$10*(1+$AS59)+VLOOKUP($R59,武学奇术!$A:$ZZ,3,FALSE)+SUM(_xlfn.XLOOKUP($S59:$AL59,增益!$A:$A,增益!$C:$C,0))-$I$2</f>
        <v>4094.7</v>
      </c>
      <c r="AU59" cm="1">
        <f t="array" ref="AU59">$E$10*(1+$AS59)+VLOOKUP($R59,武学奇术!$A:$ZZ,4,FALSE)+SUM(_xlfn.XLOOKUP($S59:$AL59,增益!$A:$A,增益!$D:$D,0))-$I$2</f>
        <v>4094.7</v>
      </c>
      <c r="AV59" s="40" cm="1">
        <f t="array" ref="AV59">IF($F$10-$I$3+VLOOKUP($R59,武学奇术!$A:$ZZ,6,FALSE)+SUM(_xlfn.XLOOKUP($S59:$AL59,增益!$A:$A,增益!$F:$F,0))&gt;0,($F$10-$I$3+VLOOKUP($R59,武学奇术!$A:$ZZ,6,FALSE)+SUM(_xlfn.XLOOKUP($S59:$AL59,增益!$A:$A,增益!$F:$F,0)))/200,($F$10-$I$3+VLOOKUP($R59,武学奇术!$A:$ZZ,6,FALSE)+SUM(_xlfn.XLOOKUP($S59:$AL59,增益!$A:$A,增益!$F:$F,0)))/100)</f>
        <v>0.4384</v>
      </c>
      <c r="AW59" s="40" cm="1">
        <f t="array" ref="AW59">$G$10+VLOOKUP($R59,武学奇术!$A:$ZZ,7,FALSE)+SUM(_xlfn.XLOOKUP($S59:$AL59,增益!$A:$A,增益!$G:$G,0))</f>
        <v>0.14</v>
      </c>
      <c r="AX59" s="33" cm="1">
        <f t="array" ref="AX59">VLOOKUP($R59,武学奇术!$A:$ZZ,8,FALSE)+SUM(_xlfn.XLOOKUP($S59:$AL59,增益!$A:$A,增益!$H:$H,0))</f>
        <v>0</v>
      </c>
      <c r="AY59">
        <f t="shared" si="15"/>
        <v>0</v>
      </c>
      <c r="AZ59">
        <f t="shared" si="16"/>
        <v>0</v>
      </c>
      <c r="BA59" s="40" cm="1">
        <f t="array" ref="BA59">IF($F$11-$I$4+VLOOKUP($R59,武学奇术!$A:$ZZ,9,FALSE)+SUM(_xlfn.XLOOKUP($S59:$AL59,增益!$A:$A,增益!$I:$I,0))&gt;0,($F$11-$I$4+VLOOKUP($R59,武学奇术!$A:$ZZ,9,FALSE)+SUM(_xlfn.XLOOKUP($S59:$AL59,增益!$A:$A,增益!$I:$I,0)))/200,($F$11-$I$4+VLOOKUP($R59,武学奇术!$A:$ZZ,9,FALSE)+SUM(_xlfn.XLOOKUP($S59:$AL59,增益!$A:$A,增益!$I:$I,0)))/100)</f>
        <v>-0.14</v>
      </c>
      <c r="BB59" s="40" cm="1">
        <f t="array" ref="BB59">$G$11+VLOOKUP($R59,武学奇术!$A:$ZZ,10,FALSE)+SUM(_xlfn.XLOOKUP($S59:$AL59,增益!$A:$A,增益!$J:$J,0))</f>
        <v>0.12</v>
      </c>
      <c r="BC59">
        <f t="shared" si="17"/>
        <v>640.3</v>
      </c>
      <c r="BD59">
        <f t="shared" si="18"/>
        <v>1770.1</v>
      </c>
      <c r="BE59" s="40" cm="1">
        <f t="array" ref="BE59">IF($F$12-$I$4+VLOOKUP($R59,武学奇术!$A:$ZZ,11,FALSE)+SUM(_xlfn.XLOOKUP($S59:$AL59,增益!$A:$A,增益!$K:$K,0))&gt;0,($F$12-$I$4+VLOOKUP($R59,武学奇术!$A:$ZZ,11,FALSE)+SUM(_xlfn.XLOOKUP($S59:$AL59,增益!$A:$A,增益!$K:$K,0)))/200,($F$12-$I$4+VLOOKUP($R59,武学奇术!$A:$ZZ,11,FALSE)+SUM(_xlfn.XLOOKUP($S59:$AL59,增益!$A:$A,增益!$K:$K,0)))/100)</f>
        <v>0.17</v>
      </c>
      <c r="BF59" s="40" cm="1">
        <f t="array" ref="BF59">$G$12+VLOOKUP($R59,武学奇术!$A:$ZZ,12,FALSE)+SUM(_xlfn.XLOOKUP($S59:$AL59,增益!$A:$A,增益!$L:$L,0))</f>
        <v>0.29</v>
      </c>
      <c r="BG59">
        <f t="shared" si="19"/>
        <v>0</v>
      </c>
      <c r="BH59">
        <f t="shared" si="20"/>
        <v>0</v>
      </c>
      <c r="BI59" s="40" cm="1">
        <f t="array" ref="BI59">IF($F$13-$I$4+VLOOKUP($R59,武学奇术!$A:$ZZ,13,FALSE)+SUM(_xlfn.XLOOKUP($S59:$AL59,增益!$A:$A,增益!$M:$M,0))&gt;0,($F$13-$I$4+VLOOKUP($R59,武学奇术!$A:$ZZ,13,FALSE)+SUM(_xlfn.XLOOKUP($S59:$AL59,增益!$A:$A,增益!$K:$K,0)))/200,($F$13-$I$4+VLOOKUP($R59,武学奇术!$A:$ZZ,13,FALSE)+SUM(_xlfn.XLOOKUP($S59:$AL59,增益!$A:$A,增益!$M:$M,0)))/100)</f>
        <v>-0.14</v>
      </c>
      <c r="BJ59" s="40" cm="1">
        <f t="array" ref="BJ59">$G$13+VLOOKUP($R59,武学奇术!$A:$ZZ,14,FALSE)+SUM(_xlfn.XLOOKUP($S59:$AL59,增益!$A:$A,增益!$N:$N,0))</f>
        <v>0.02</v>
      </c>
      <c r="BK59">
        <f t="shared" si="21"/>
        <v>0</v>
      </c>
      <c r="BL59">
        <f t="shared" si="22"/>
        <v>0</v>
      </c>
      <c r="BM59" s="40" cm="1">
        <f t="array" ref="BM59">IF($F$14-$I$4+VLOOKUP($R59,武学奇术!$A:$ZZ,15,FALSE)+SUM(_xlfn.XLOOKUP($S59:$AL59,增益!$A:$A,增益!$O:$O,0))&gt;0,($F$14-$I$4+VLOOKUP($R59,武学奇术!$A:$ZZ,15,FALSE)+SUM(_xlfn.XLOOKUP($S59:$AL59,增益!$A:$A,增益!$O:$O,0)))/200,($F$14-$I$4+VLOOKUP($R59,武学奇术!$A:$ZZ,15,FALSE)+SUM(_xlfn.XLOOKUP($S59:$AL59,增益!$A:$A,增益!$O:$O,0)))/100)</f>
        <v>-0.14</v>
      </c>
      <c r="BN59" s="40" cm="1">
        <f t="array" ref="BN59">$G$14+VLOOKUP($R59,武学奇术!$A:$ZZ,16,FALSE)+SUM(_xlfn.XLOOKUP($S59:$AL59,增益!$A:$A,增益!$P:$P,0))</f>
        <v>0.02</v>
      </c>
      <c r="BO59" s="33">
        <f>MIN(IF(VLOOKUP($R59,武学奇术!$A:$ZZ,23,FALSE)=1,100%,$B$8),100%)</f>
        <v>0.9771</v>
      </c>
      <c r="BP59" s="33" cm="1">
        <f t="array" ref="BP59">IF(VLOOKUP($R59,武学奇术!$A:$ZZ,23,FALSE)=1,100%,MIN(80%,$B$9+VLOOKUP($R59,武学奇术!$A:$ZZ,17,FALSE)+SUM(_xlfn.XLOOKUP($S59:$AL59,增益!$A:$A,增益!$Q:$Q,0)))+$B$11+SUM(_xlfn.XLOOKUP($S59:$AL59,增益!$A:$A,增益!$U:$U,0)))*IF(VLOOKUP($R59,武学奇术!$A:$ZZ,24,FALSE)=1,0,1)</f>
        <v>0.8861</v>
      </c>
      <c r="BQ59" s="33" cm="1">
        <f t="array" ref="BQ59">1+$B$13+VLOOKUP($R59,武学奇术!$A:$ZZ,18,FALSE)+SUM(_xlfn.XLOOKUP($S59:$AL59,增益!$A:$A,增益!$R:$R,0))</f>
        <v>2</v>
      </c>
      <c r="BR59" s="33" cm="1">
        <f t="array" ref="BR59">IF(VLOOKUP($R59,武学奇术!$A:$ZZ,24,FALSE)=1,100%,MIN(40%,$B$10+VLOOKUP($R59,武学奇术!$A:$ZZ,19,FALSE)+SUM(_xlfn.XLOOKUP($S59:$AL59,增益!$A:$A,增益!$S:$S,0)))+$B$12+SUM(_xlfn.XLOOKUP($S59:$AL59,增益!$A:$A,增益!$V:$V,0)))*IF(VLOOKUP($R59,武学奇术!$A:$ZZ,23,FALSE)=1,0,1)</f>
        <v>0.0913</v>
      </c>
      <c r="BS59" s="33" cm="1">
        <f t="array" ref="BS59">1+$B$14+VLOOKUP($R59,武学奇术!$A:$ZZ,20,FALSE)+SUM(_xlfn.XLOOKUP($S59:$AL59,增益!$A:$A,增益!$T:$T,0))</f>
        <v>1.35</v>
      </c>
      <c r="BT59" s="33">
        <f t="shared" si="23"/>
        <v>0.86580831</v>
      </c>
      <c r="BU59" s="33">
        <f t="shared" si="24"/>
        <v>0.02208246</v>
      </c>
      <c r="BV59" s="33">
        <f>IF(VLOOKUP($R59,武学奇术!$A:$ZZ,22,FALSE)=1,0,(1-$BO59))*(1-$BR59)</f>
        <v>0.02080923</v>
      </c>
      <c r="BW59" s="33" cm="1">
        <f t="array" ref="BW59">SUM(_xlfn.XLOOKUP($S59:$AL59,增益!$A:$A,增益!$W:$W,0))+$I$5</f>
        <v>0.31</v>
      </c>
      <c r="BX59" s="33" cm="1">
        <f t="array" ref="BX59">VLOOKUP($R59,武学奇术!$A:$ZZ,32,FALSE)+SUM(_xlfn.XLOOKUP($S59:$AL59,增益!$A:$A,增益!$X:$X,0))</f>
        <v>0</v>
      </c>
    </row>
    <row r="60" spans="1:76">
      <c r="A60" s="4" t="s">
        <v>179</v>
      </c>
      <c r="B60" s="4">
        <v>1</v>
      </c>
      <c r="D60" s="47"/>
      <c r="L60" s="46">
        <f t="shared" si="14"/>
        <v>423313.084638846</v>
      </c>
      <c r="M60" s="46">
        <f>((($AT60+$AU60)/2*$AN60+$AO60)*(1+$AV60)*(1+$AW60)+(($AY60+$AZ60)/2*IF($G$1="鸣金",$AP60,$AN60)+IF($G$1="鸣金",$AQ60*1.5,0))*(1+$BA60)*(1+$BB60)+(($BC60+$BD60)/2*IF($G$1="裂石",$AP60,$AN60)+IF($G$1="裂石",$AQ60*1.5,0))*(1+$BE60)*(1+$BF60)+(($BG60+$BH60)/2*IF($G$1="牵丝",$AP60,$AN60)+IF($G$1="牵丝",$AQ60*1.5,0))*(1+$BI60)*(1+$BJ60)+(($BK60+$BL60)/2*IF($G$1="破竹",$AP60,$AN60)+IF($G$1="破竹",$AQ60*1.5,0))*(1+$BM60)*(1+$BN60))*(1+$AR60)*$BQ60*$Q60*(1+IF(VLOOKUP($R60,武学奇术!$A:$ZZ,30,FALSE)="蓄力技",$B$21,0))*(1+IF(VLOOKUP($R60,武学奇术!$A:$ZZ,30,FALSE)="派生技",$B$20,0))*(1+$BW60)*(1+$BX60)</f>
        <v>443399.336433536</v>
      </c>
      <c r="N60" s="46">
        <f>(($AU60*$AN60+$AO60)*(1+$AV60)*(1+$AW60)+($AZ60*IF($G$1="鸣金",$AP60,$AN60)+IF($G$1="鸣金",$AQ60*1.5,0))*(1+$BA60)*(1+$BB60)+($BD60*IF($G$1="裂石",$AP60,$AN60)+IF($G$1="裂石",$AQ60*1.5,0))*(1+$BE60)*(1+$BF60)+($BH60*IF($G$1="牵丝",$AP60,$AN60)+IF($G$1="牵丝",$AQ60*1.5,0))*(1+$BI60)*(1+$BJ60)+($BL60*IF($G$1="破竹",$AP60,$AN60)+IF($G$1="破竹",$AQ60*1.5,0))*(1+$BM60)*(1+$BN60))*(1+$AR60)*$BS60*$Q60*(1+IF(VLOOKUP($R60,武学奇术!$A:$ZZ,30,FALSE)="蓄力技",$B$21,0))*(1+IF(VLOOKUP($R60,武学奇术!$A:$ZZ,30,FALSE)="派生技",$B$20,0))*(1+$BW60)*(1+$BX60)</f>
        <v>333287.604398768</v>
      </c>
      <c r="O60" s="46">
        <f>((($AT60+$AU60)/2*$AN60+$AO60)*(1+$AV60)*(1+$AW60)+(($AY60+$AZ60)/2*IF($G$1="鸣金",$AP60,$AN60)+IF($G$1="鸣金",$AQ60*1.5,0))*(1+$BA60)*(1+$BB60)+(($BC60+$BD60)/2*IF($G$1="裂石",$AP60,$AN60)+IF($G$1="裂石",$AQ60*1.5,0))*(1+$BE60)*(1+$BF60)+(($BG60+$BH60)/2*IF($G$1="牵丝",$AP60,$AN60)+IF($G$1="牵丝",$AQ60*1.5,0))*(1+$BI60)*(1+$BJ60)+(($BK60+$BL60)/2*IF($G$1="破竹",$AP60,$AN60)+IF($G$1="破竹",$AQ60*1.5,0))*(1+$BM60)*(1+$BN60))*(1+$AR60)*$Q60*(1+IF(VLOOKUP($R60,武学奇术!$A:$ZZ,30,FALSE)="蓄力技",$B$21,0))*(1+IF(VLOOKUP($R60,武学奇术!$A:$ZZ,30,FALSE)="派生技",$B$20,0))*(1+$BW60)*(1+$BX60)</f>
        <v>221699.668216768</v>
      </c>
      <c r="P60" s="46">
        <f>((($AT60*$AN60+$AO60)*(1+$AV60)*(1+$AW60)+($AY60*IF($G$1="鸣金",$AP60,$AN60)+IF($G$1="鸣金",$AQ60*1.5,0))*(1+$BA60)*(1+$BB60)+($BC60*IF($G$1="裂石",$AP60,$AN60)+IF($G$1="裂石",$AQ60*1.5,0))*(1+$BE60)*(1+$BF60)+($BG60*IF($G$1="牵丝",$AP60,$AN60)+IF($G$1="牵丝",$AQ60*1.5,0))*(1+$BI60)*(1+$BJ60)+($BK60*IF($G$1="破竹",$AP60,$AN60)+IF($G$1="破竹",$AQ60*1.5,0))*(1+$BM60)*(1+$BN60))*(1+$AR60))*$Q60*(1+IF(VLOOKUP($R60,武学奇术!$A:$ZZ,30,FALSE)="蓄力技",$B$21,0))*(1+IF(VLOOKUP($R60,武学奇术!$A:$ZZ,30,FALSE)="派生技",$B$20,0))*(1+$BW60)*(1+$BX60)</f>
        <v>196519.629471486</v>
      </c>
      <c r="Q60" s="47">
        <f t="shared" si="27"/>
        <v>1</v>
      </c>
      <c r="R60" s="48" t="s">
        <v>185</v>
      </c>
      <c r="S60" s="48" t="s">
        <v>99</v>
      </c>
      <c r="T60" s="48" t="s">
        <v>182</v>
      </c>
      <c r="U60" s="48" t="s">
        <v>79</v>
      </c>
      <c r="V60" s="48" t="s">
        <v>80</v>
      </c>
      <c r="W60" s="48" t="s">
        <v>141</v>
      </c>
      <c r="X60" s="48" t="s">
        <v>80</v>
      </c>
      <c r="Y60" s="48" t="s">
        <v>74</v>
      </c>
      <c r="Z60" s="48" t="s">
        <v>80</v>
      </c>
      <c r="AA60" s="48" t="s">
        <v>183</v>
      </c>
      <c r="AB60" s="48" t="s">
        <v>184</v>
      </c>
      <c r="AC60" s="48" t="s">
        <v>80</v>
      </c>
      <c r="AD60" s="48" t="s">
        <v>80</v>
      </c>
      <c r="AE60" s="48" t="s">
        <v>82</v>
      </c>
      <c r="AF60" s="48" t="s">
        <v>83</v>
      </c>
      <c r="AG60" s="48" t="s">
        <v>84</v>
      </c>
      <c r="AH60" s="48" t="s">
        <v>80</v>
      </c>
      <c r="AI60" s="48" t="s">
        <v>80</v>
      </c>
      <c r="AJ60" s="48" t="s">
        <v>80</v>
      </c>
      <c r="AK60" s="48" t="s">
        <v>80</v>
      </c>
      <c r="AL60" s="48" t="s">
        <v>85</v>
      </c>
      <c r="AM60" t="str">
        <f>VLOOKUP($R60,武学奇术!$A:$ZZ,25,FALSE)</f>
        <v>陌刀</v>
      </c>
      <c r="AN60" s="33">
        <f>VLOOKUP($R60,武学奇术!$A:$ZZ,26,FALSE)</f>
        <v>7.5674</v>
      </c>
      <c r="AO60" s="34">
        <f>VLOOKUP($R60,武学奇术!$A:$ZZ,27,FALSE)*(1+IF(OR($AM60=$F$4,$AM60=$F$5),$B$22,0))</f>
        <v>3348.8</v>
      </c>
      <c r="AP60" s="33">
        <f>VLOOKUP($R60,武学奇术!$A:$ZZ,28,FALSE)</f>
        <v>11.3512</v>
      </c>
      <c r="AQ60" s="34">
        <f>VLOOKUP($R60,武学奇术!$A:$ZZ,29,FALSE)*(1+IF(OR($AM60=$F$4,$AM60=$F$5),$B$22,0))</f>
        <v>1824</v>
      </c>
      <c r="AR60" s="33" cm="1">
        <f t="array" ref="AR60">$G$3+IFERROR(VLOOKUP($AM60,$F$4:$G$7,2,FALSE),0)+VLOOKUP($R60,武学奇术!$A:$ZZ,2,FALSE)+SUM(_xlfn.XLOOKUP($S60:$AL60,增益!$A:$A,增益!$B:$B,0))</f>
        <v>0.6143</v>
      </c>
      <c r="AS60" s="33" cm="1">
        <f t="array" ref="AS60">VLOOKUP($R60,武学奇术!$A:$ZZ,5,FALSE)+SUM(_xlfn.XLOOKUP($S60:$AL60,增益!$A:$A,增益!$E:$E,0))</f>
        <v>0</v>
      </c>
      <c r="AT60" cm="1">
        <f t="array" ref="AT60">$D$10*(1+$AS60)+VLOOKUP($R60,武学奇术!$A:$ZZ,3,FALSE)+SUM(_xlfn.XLOOKUP($S60:$AL60,增益!$A:$A,增益!$C:$C,0))-$I$2</f>
        <v>4094.7</v>
      </c>
      <c r="AU60" cm="1">
        <f t="array" ref="AU60">$E$10*(1+$AS60)+VLOOKUP($R60,武学奇术!$A:$ZZ,4,FALSE)+SUM(_xlfn.XLOOKUP($S60:$AL60,增益!$A:$A,增益!$D:$D,0))-$I$2</f>
        <v>4094.7</v>
      </c>
      <c r="AV60" s="40" cm="1">
        <f t="array" ref="AV60">IF($F$10-$I$3+VLOOKUP($R60,武学奇术!$A:$ZZ,6,FALSE)+SUM(_xlfn.XLOOKUP($S60:$AL60,增益!$A:$A,增益!$F:$F,0))&gt;0,($F$10-$I$3+VLOOKUP($R60,武学奇术!$A:$ZZ,6,FALSE)+SUM(_xlfn.XLOOKUP($S60:$AL60,增益!$A:$A,增益!$F:$F,0)))/200,($F$10-$I$3+VLOOKUP($R60,武学奇术!$A:$ZZ,6,FALSE)+SUM(_xlfn.XLOOKUP($S60:$AL60,增益!$A:$A,增益!$F:$F,0)))/100)</f>
        <v>0.4384</v>
      </c>
      <c r="AW60" s="40" cm="1">
        <f t="array" ref="AW60">$G$10+VLOOKUP($R60,武学奇术!$A:$ZZ,7,FALSE)+SUM(_xlfn.XLOOKUP($S60:$AL60,增益!$A:$A,增益!$G:$G,0))</f>
        <v>0.14</v>
      </c>
      <c r="AX60" s="33" cm="1">
        <f t="array" ref="AX60">VLOOKUP($R60,武学奇术!$A:$ZZ,8,FALSE)+SUM(_xlfn.XLOOKUP($S60:$AL60,增益!$A:$A,增益!$H:$H,0))</f>
        <v>0</v>
      </c>
      <c r="AY60">
        <f t="shared" si="15"/>
        <v>0</v>
      </c>
      <c r="AZ60">
        <f t="shared" si="16"/>
        <v>0</v>
      </c>
      <c r="BA60" s="40" cm="1">
        <f t="array" ref="BA60">IF($F$11-$I$4+VLOOKUP($R60,武学奇术!$A:$ZZ,9,FALSE)+SUM(_xlfn.XLOOKUP($S60:$AL60,增益!$A:$A,增益!$I:$I,0))&gt;0,($F$11-$I$4+VLOOKUP($R60,武学奇术!$A:$ZZ,9,FALSE)+SUM(_xlfn.XLOOKUP($S60:$AL60,增益!$A:$A,增益!$I:$I,0)))/200,($F$11-$I$4+VLOOKUP($R60,武学奇术!$A:$ZZ,9,FALSE)+SUM(_xlfn.XLOOKUP($S60:$AL60,增益!$A:$A,增益!$I:$I,0)))/100)</f>
        <v>-0.3</v>
      </c>
      <c r="BB60" s="40" cm="1">
        <f t="array" ref="BB60">$G$11+VLOOKUP($R60,武学奇术!$A:$ZZ,10,FALSE)+SUM(_xlfn.XLOOKUP($S60:$AL60,增益!$A:$A,增益!$J:$J,0))</f>
        <v>0.12</v>
      </c>
      <c r="BC60">
        <f t="shared" si="17"/>
        <v>640.3</v>
      </c>
      <c r="BD60">
        <f t="shared" si="18"/>
        <v>1770.1</v>
      </c>
      <c r="BE60" s="40" cm="1">
        <f t="array" ref="BE60">IF($F$12-$I$4+VLOOKUP($R60,武学奇术!$A:$ZZ,11,FALSE)+SUM(_xlfn.XLOOKUP($S60:$AL60,增益!$A:$A,增益!$K:$K,0))&gt;0,($F$12-$I$4+VLOOKUP($R60,武学奇术!$A:$ZZ,11,FALSE)+SUM(_xlfn.XLOOKUP($S60:$AL60,增益!$A:$A,增益!$K:$K,0)))/200,($F$12-$I$4+VLOOKUP($R60,武学奇术!$A:$ZZ,11,FALSE)+SUM(_xlfn.XLOOKUP($S60:$AL60,增益!$A:$A,增益!$K:$K,0)))/100)</f>
        <v>0.09</v>
      </c>
      <c r="BF60" s="40" cm="1">
        <f t="array" ref="BF60">$G$12+VLOOKUP($R60,武学奇术!$A:$ZZ,12,FALSE)+SUM(_xlfn.XLOOKUP($S60:$AL60,增益!$A:$A,增益!$L:$L,0))</f>
        <v>0.29</v>
      </c>
      <c r="BG60">
        <f t="shared" si="19"/>
        <v>0</v>
      </c>
      <c r="BH60">
        <f t="shared" si="20"/>
        <v>0</v>
      </c>
      <c r="BI60" s="40" cm="1">
        <f t="array" ref="BI60">IF($F$13-$I$4+VLOOKUP($R60,武学奇术!$A:$ZZ,13,FALSE)+SUM(_xlfn.XLOOKUP($S60:$AL60,增益!$A:$A,增益!$M:$M,0))&gt;0,($F$13-$I$4+VLOOKUP($R60,武学奇术!$A:$ZZ,13,FALSE)+SUM(_xlfn.XLOOKUP($S60:$AL60,增益!$A:$A,增益!$K:$K,0)))/200,($F$13-$I$4+VLOOKUP($R60,武学奇术!$A:$ZZ,13,FALSE)+SUM(_xlfn.XLOOKUP($S60:$AL60,增益!$A:$A,增益!$M:$M,0)))/100)</f>
        <v>-0.3</v>
      </c>
      <c r="BJ60" s="40" cm="1">
        <f t="array" ref="BJ60">$G$13+VLOOKUP($R60,武学奇术!$A:$ZZ,14,FALSE)+SUM(_xlfn.XLOOKUP($S60:$AL60,增益!$A:$A,增益!$N:$N,0))</f>
        <v>0.02</v>
      </c>
      <c r="BK60">
        <f t="shared" si="21"/>
        <v>0</v>
      </c>
      <c r="BL60">
        <f t="shared" si="22"/>
        <v>0</v>
      </c>
      <c r="BM60" s="40" cm="1">
        <f t="array" ref="BM60">IF($F$14-$I$4+VLOOKUP($R60,武学奇术!$A:$ZZ,15,FALSE)+SUM(_xlfn.XLOOKUP($S60:$AL60,增益!$A:$A,增益!$O:$O,0))&gt;0,($F$14-$I$4+VLOOKUP($R60,武学奇术!$A:$ZZ,15,FALSE)+SUM(_xlfn.XLOOKUP($S60:$AL60,增益!$A:$A,增益!$O:$O,0)))/200,($F$14-$I$4+VLOOKUP($R60,武学奇术!$A:$ZZ,15,FALSE)+SUM(_xlfn.XLOOKUP($S60:$AL60,增益!$A:$A,增益!$O:$O,0)))/100)</f>
        <v>-0.3</v>
      </c>
      <c r="BN60" s="40" cm="1">
        <f t="array" ref="BN60">$G$14+VLOOKUP($R60,武学奇术!$A:$ZZ,16,FALSE)+SUM(_xlfn.XLOOKUP($S60:$AL60,增益!$A:$A,增益!$P:$P,0))</f>
        <v>0.02</v>
      </c>
      <c r="BO60" s="33">
        <f>MIN(IF(VLOOKUP($R60,武学奇术!$A:$ZZ,23,FALSE)=1,100%,$B$8),100%)</f>
        <v>0.9771</v>
      </c>
      <c r="BP60" s="33" cm="1">
        <f t="array" ref="BP60">IF(VLOOKUP($R60,武学奇术!$A:$ZZ,23,FALSE)=1,100%,MIN(80%,$B$9+VLOOKUP($R60,武学奇术!$A:$ZZ,17,FALSE)+SUM(_xlfn.XLOOKUP($S60:$AL60,增益!$A:$A,增益!$Q:$Q,0)))+$B$11+SUM(_xlfn.XLOOKUP($S60:$AL60,增益!$A:$A,增益!$U:$U,0)))*IF(VLOOKUP($R60,武学奇术!$A:$ZZ,24,FALSE)=1,0,1)</f>
        <v>0.8861</v>
      </c>
      <c r="BQ60" s="33" cm="1">
        <f t="array" ref="BQ60">1+$B$13+VLOOKUP($R60,武学奇术!$A:$ZZ,18,FALSE)+SUM(_xlfn.XLOOKUP($S60:$AL60,增益!$A:$A,增益!$R:$R,0))</f>
        <v>2</v>
      </c>
      <c r="BR60" s="33" cm="1">
        <f t="array" ref="BR60">IF(VLOOKUP($R60,武学奇术!$A:$ZZ,24,FALSE)=1,100%,MIN(40%,$B$10+VLOOKUP($R60,武学奇术!$A:$ZZ,19,FALSE)+SUM(_xlfn.XLOOKUP($S60:$AL60,增益!$A:$A,增益!$S:$S,0)))+$B$12+SUM(_xlfn.XLOOKUP($S60:$AL60,增益!$A:$A,增益!$V:$V,0)))*IF(VLOOKUP($R60,武学奇术!$A:$ZZ,23,FALSE)=1,0,1)</f>
        <v>0.0913</v>
      </c>
      <c r="BS60" s="33" cm="1">
        <f t="array" ref="BS60">1+$B$14+VLOOKUP($R60,武学奇术!$A:$ZZ,20,FALSE)+SUM(_xlfn.XLOOKUP($S60:$AL60,增益!$A:$A,增益!$T:$T,0))</f>
        <v>1.35</v>
      </c>
      <c r="BT60" s="33">
        <f t="shared" si="23"/>
        <v>0.86580831</v>
      </c>
      <c r="BU60" s="33">
        <f t="shared" si="24"/>
        <v>0.02208246</v>
      </c>
      <c r="BV60" s="33">
        <f>IF(VLOOKUP($R60,武学奇术!$A:$ZZ,22,FALSE)=1,0,(1-$BO60))*(1-$BR60)</f>
        <v>0.02080923</v>
      </c>
      <c r="BW60" s="33" cm="1">
        <f t="array" ref="BW60">SUM(_xlfn.XLOOKUP($S60:$AL60,增益!$A:$A,增益!$W:$W,0))+$I$5</f>
        <v>0.31</v>
      </c>
      <c r="BX60" s="33" cm="1">
        <f t="array" ref="BX60">VLOOKUP($R60,武学奇术!$A:$ZZ,32,FALSE)+SUM(_xlfn.XLOOKUP($S60:$AL60,增益!$A:$A,增益!$X:$X,0))</f>
        <v>0</v>
      </c>
    </row>
    <row r="61" spans="1:76">
      <c r="A61" s="4" t="s">
        <v>177</v>
      </c>
      <c r="B61" s="4">
        <v>3.3</v>
      </c>
      <c r="D61" s="47"/>
      <c r="L61" s="46">
        <f t="shared" ref="L61:L73" si="28">($M61*$BT61+$N61*$BR61+$O61*$BU61+$P61*$BV61)</f>
        <v>34476.9308789399</v>
      </c>
      <c r="M61" s="46">
        <f>((($AT61+$AU61)/2*$AN61+$AO61)*(1+$AV61)*(1+$AW61)+(($AY61+$AZ61)/2*IF($G$1="鸣金",$AP61,$AN61)+IF($G$1="鸣金",$AQ61*1.5,0))*(1+$BA61)*(1+$BB61)+(($BC61+$BD61)/2*IF($G$1="裂石",$AP61,$AN61)+IF($G$1="裂石",$AQ61*1.5,0))*(1+$BE61)*(1+$BF61)+(($BG61+$BH61)/2*IF($G$1="牵丝",$AP61,$AN61)+IF($G$1="牵丝",$AQ61*1.5,0))*(1+$BI61)*(1+$BJ61)+(($BK61+$BL61)/2*IF($G$1="破竹",$AP61,$AN61)+IF($G$1="破竹",$AQ61*1.5,0))*(1+$BM61)*(1+$BN61))*(1+$AR61)*$BQ61*$Q61*(1+IF(VLOOKUP($R61,武学奇术!$A:$ZZ,30,FALSE)="蓄力技",$B$21,0))*(1+IF(VLOOKUP($R61,武学奇术!$A:$ZZ,30,FALSE)="派生技",$B$20,0))*(1+$BW61)*(1+$BX61)</f>
        <v>36021.9091601499</v>
      </c>
      <c r="N61" s="46">
        <f>(($AU61*$AN61+$AO61)*(1+$AV61)*(1+$AW61)+($AZ61*IF($G$1="鸣金",$AP61,$AN61)+IF($G$1="鸣金",$AQ61*1.5,0))*(1+$BA61)*(1+$BB61)+($BD61*IF($G$1="裂石",$AP61,$AN61)+IF($G$1="裂石",$AQ61*1.5,0))*(1+$BE61)*(1+$BF61)+($BH61*IF($G$1="牵丝",$AP61,$AN61)+IF($G$1="牵丝",$AQ61*1.5,0))*(1+$BI61)*(1+$BJ61)+($BL61*IF($G$1="破竹",$AP61,$AN61)+IF($G$1="破竹",$AQ61*1.5,0))*(1+$BM61)*(1+$BN61))*(1+$AR61)*$BS61*$Q61*(1+IF(VLOOKUP($R61,武学奇术!$A:$ZZ,30,FALSE)="蓄力技",$B$21,0))*(1+IF(VLOOKUP($R61,武学奇术!$A:$ZZ,30,FALSE)="派生技",$B$20,0))*(1+$BW61)*(1+$BX61)</f>
        <v>27833.0218414595</v>
      </c>
      <c r="O61" s="46">
        <f>((($AT61+$AU61)/2*$AN61+$AO61)*(1+$AV61)*(1+$AW61)+(($AY61+$AZ61)/2*IF($G$1="鸣金",$AP61,$AN61)+IF($G$1="鸣金",$AQ61*1.5,0))*(1+$BA61)*(1+$BB61)+(($BC61+$BD61)/2*IF($G$1="裂石",$AP61,$AN61)+IF($G$1="裂石",$AQ61*1.5,0))*(1+$BE61)*(1+$BF61)+(($BG61+$BH61)/2*IF($G$1="牵丝",$AP61,$AN61)+IF($G$1="牵丝",$AQ61*1.5,0))*(1+$BI61)*(1+$BJ61)+(($BK61+$BL61)/2*IF($G$1="破竹",$AP61,$AN61)+IF($G$1="破竹",$AQ61*1.5,0))*(1+$BM61)*(1+$BN61))*(1+$AR61)*$Q61*(1+IF(VLOOKUP($R61,武学奇术!$A:$ZZ,30,FALSE)="蓄力技",$B$21,0))*(1+IF(VLOOKUP($R61,武学奇术!$A:$ZZ,30,FALSE)="派生技",$B$20,0))*(1+$BW61)*(1+$BX61)</f>
        <v>18472.773928282</v>
      </c>
      <c r="P61" s="46">
        <f>((($AT61*$AN61+$AO61)*(1+$AV61)*(1+$AW61)+($AY61*IF($G$1="鸣金",$AP61,$AN61)+IF($G$1="鸣金",$AQ61*1.5,0))*(1+$BA61)*(1+$BB61)+($BC61*IF($G$1="裂石",$AP61,$AN61)+IF($G$1="裂石",$AQ61*1.5,0))*(1+$BE61)*(1+$BF61)+($BG61*IF($G$1="牵丝",$AP61,$AN61)+IF($G$1="牵丝",$AQ61*1.5,0))*(1+$BI61)*(1+$BJ61)+($BK61*IF($G$1="破竹",$AP61,$AN61)+IF($G$1="破竹",$AQ61*1.5,0))*(1+$BM61)*(1+$BN61))*(1+$AR61))*$Q61*(1+IF(VLOOKUP($R61,武学奇术!$A:$ZZ,30,FALSE)="蓄力技",$B$21,0))*(1+IF(VLOOKUP($R61,武学奇术!$A:$ZZ,30,FALSE)="派生技",$B$20,0))*(1+$BW61)*(1+$BX61)</f>
        <v>16328.4946406681</v>
      </c>
      <c r="Q61" s="47">
        <f t="shared" si="27"/>
        <v>1</v>
      </c>
      <c r="R61" s="48" t="s">
        <v>175</v>
      </c>
      <c r="S61" s="48" t="s">
        <v>99</v>
      </c>
      <c r="T61" s="48" t="s">
        <v>182</v>
      </c>
      <c r="U61" s="48" t="s">
        <v>80</v>
      </c>
      <c r="V61" s="48" t="s">
        <v>80</v>
      </c>
      <c r="W61" s="48" t="s">
        <v>91</v>
      </c>
      <c r="X61" s="48" t="s">
        <v>80</v>
      </c>
      <c r="Y61" s="48" t="s">
        <v>80</v>
      </c>
      <c r="Z61" s="48" t="s">
        <v>80</v>
      </c>
      <c r="AA61" s="48" t="s">
        <v>80</v>
      </c>
      <c r="AB61" s="48" t="s">
        <v>80</v>
      </c>
      <c r="AC61" s="48" t="s">
        <v>80</v>
      </c>
      <c r="AD61" s="48" t="s">
        <v>80</v>
      </c>
      <c r="AE61" s="48" t="s">
        <v>82</v>
      </c>
      <c r="AF61" s="48" t="s">
        <v>83</v>
      </c>
      <c r="AG61" s="48" t="s">
        <v>84</v>
      </c>
      <c r="AH61" s="48" t="s">
        <v>80</v>
      </c>
      <c r="AI61" s="48" t="s">
        <v>80</v>
      </c>
      <c r="AJ61" s="48" t="s">
        <v>80</v>
      </c>
      <c r="AK61" s="48" t="s">
        <v>80</v>
      </c>
      <c r="AL61" s="48" t="s">
        <v>85</v>
      </c>
      <c r="AM61" t="str">
        <f>VLOOKUP($R61,武学奇术!$A:$ZZ,25,FALSE)</f>
        <v>横刀</v>
      </c>
      <c r="AN61" s="33">
        <f>VLOOKUP($R61,武学奇术!$A:$ZZ,26,FALSE)</f>
        <v>1.2338</v>
      </c>
      <c r="AO61" s="34">
        <f>VLOOKUP($R61,武学奇术!$A:$ZZ,27,FALSE)*(1+IF(OR($AM61=$F$4,$AM61=$F$5),$B$22,0))</f>
        <v>547.2</v>
      </c>
      <c r="AP61" s="33">
        <f>VLOOKUP($R61,武学奇术!$A:$ZZ,28,FALSE)</f>
        <v>1.8507</v>
      </c>
      <c r="AQ61" s="34">
        <f>VLOOKUP($R61,武学奇术!$A:$ZZ,29,FALSE)*(1+IF(OR($AM61=$F$4,$AM61=$F$5),$B$22,0))</f>
        <v>297.6</v>
      </c>
      <c r="AR61" s="33" cm="1">
        <f t="array" ref="AR61">$G$3+IFERROR(VLOOKUP($AM61,$F$4:$G$7,2,FALSE),0)+VLOOKUP($R61,武学奇术!$A:$ZZ,2,FALSE)+SUM(_xlfn.XLOOKUP($S61:$AL61,增益!$A:$A,增益!$B:$B,0))</f>
        <v>0.4489</v>
      </c>
      <c r="AS61" s="33" cm="1">
        <f t="array" ref="AS61">VLOOKUP($R61,武学奇术!$A:$ZZ,5,FALSE)+SUM(_xlfn.XLOOKUP($S61:$AL61,增益!$A:$A,增益!$E:$E,0))</f>
        <v>0</v>
      </c>
      <c r="AT61" cm="1">
        <f t="array" ref="AT61">$D$10*(1+$AS61)+VLOOKUP($R61,武学奇术!$A:$ZZ,3,FALSE)+SUM(_xlfn.XLOOKUP($S61:$AL61,增益!$A:$A,增益!$C:$C,0))-$I$2</f>
        <v>4094.7</v>
      </c>
      <c r="AU61" cm="1">
        <f t="array" ref="AU61">$E$10*(1+$AS61)+VLOOKUP($R61,武学奇术!$A:$ZZ,4,FALSE)+SUM(_xlfn.XLOOKUP($S61:$AL61,增益!$A:$A,增益!$D:$D,0))-$I$2</f>
        <v>4094.7</v>
      </c>
      <c r="AV61" s="40" cm="1">
        <f t="array" ref="AV61">IF($F$10-$I$3+VLOOKUP($R61,武学奇术!$A:$ZZ,6,FALSE)+SUM(_xlfn.XLOOKUP($S61:$AL61,增益!$A:$A,增益!$F:$F,0))&gt;0,($F$10-$I$3+VLOOKUP($R61,武学奇术!$A:$ZZ,6,FALSE)+SUM(_xlfn.XLOOKUP($S61:$AL61,增益!$A:$A,增益!$F:$F,0)))/200,($F$10-$I$3+VLOOKUP($R61,武学奇术!$A:$ZZ,6,FALSE)+SUM(_xlfn.XLOOKUP($S61:$AL61,增益!$A:$A,增益!$F:$F,0)))/100)</f>
        <v>0.4134</v>
      </c>
      <c r="AW61" s="40" cm="1">
        <f t="array" ref="AW61">$G$10+VLOOKUP($R61,武学奇术!$A:$ZZ,7,FALSE)+SUM(_xlfn.XLOOKUP($S61:$AL61,增益!$A:$A,增益!$G:$G,0))</f>
        <v>0.02</v>
      </c>
      <c r="AX61" s="33" cm="1">
        <f t="array" ref="AX61">VLOOKUP($R61,武学奇术!$A:$ZZ,8,FALSE)+SUM(_xlfn.XLOOKUP($S61:$AL61,增益!$A:$A,增益!$H:$H,0))</f>
        <v>0</v>
      </c>
      <c r="AY61">
        <f t="shared" si="15"/>
        <v>0</v>
      </c>
      <c r="AZ61">
        <f t="shared" si="16"/>
        <v>0</v>
      </c>
      <c r="BA61" s="40" cm="1">
        <f t="array" ref="BA61">IF($F$11-$I$4+VLOOKUP($R61,武学奇术!$A:$ZZ,9,FALSE)+SUM(_xlfn.XLOOKUP($S61:$AL61,增益!$A:$A,增益!$I:$I,0))&gt;0,($F$11-$I$4+VLOOKUP($R61,武学奇术!$A:$ZZ,9,FALSE)+SUM(_xlfn.XLOOKUP($S61:$AL61,增益!$A:$A,增益!$I:$I,0)))/200,($F$11-$I$4+VLOOKUP($R61,武学奇术!$A:$ZZ,9,FALSE)+SUM(_xlfn.XLOOKUP($S61:$AL61,增益!$A:$A,增益!$I:$I,0)))/100)</f>
        <v>-0.3</v>
      </c>
      <c r="BB61" s="40" cm="1">
        <f t="array" ref="BB61">$G$11+VLOOKUP($R61,武学奇术!$A:$ZZ,10,FALSE)+SUM(_xlfn.XLOOKUP($S61:$AL61,增益!$A:$A,增益!$J:$J,0))</f>
        <v>0.02</v>
      </c>
      <c r="BC61">
        <f t="shared" si="17"/>
        <v>640.3</v>
      </c>
      <c r="BD61">
        <f t="shared" si="18"/>
        <v>1770.1</v>
      </c>
      <c r="BE61" s="40" cm="1">
        <f t="array" ref="BE61">IF($F$12-$I$4+VLOOKUP($R61,武学奇术!$A:$ZZ,11,FALSE)+SUM(_xlfn.XLOOKUP($S61:$AL61,增益!$A:$A,增益!$K:$K,0))&gt;0,($F$12-$I$4+VLOOKUP($R61,武学奇术!$A:$ZZ,11,FALSE)+SUM(_xlfn.XLOOKUP($S61:$AL61,增益!$A:$A,增益!$K:$K,0)))/200,($F$12-$I$4+VLOOKUP($R61,武学奇术!$A:$ZZ,11,FALSE)+SUM(_xlfn.XLOOKUP($S61:$AL61,增益!$A:$A,增益!$K:$K,0)))/100)</f>
        <v>0.09</v>
      </c>
      <c r="BF61" s="40" cm="1">
        <f t="array" ref="BF61">$G$12+VLOOKUP($R61,武学奇术!$A:$ZZ,12,FALSE)+SUM(_xlfn.XLOOKUP($S61:$AL61,增益!$A:$A,增益!$L:$L,0))</f>
        <v>0.17</v>
      </c>
      <c r="BG61">
        <f t="shared" si="19"/>
        <v>0</v>
      </c>
      <c r="BH61">
        <f t="shared" si="20"/>
        <v>0</v>
      </c>
      <c r="BI61" s="40" cm="1">
        <f t="array" ref="BI61">IF($F$13-$I$4+VLOOKUP($R61,武学奇术!$A:$ZZ,13,FALSE)+SUM(_xlfn.XLOOKUP($S61:$AL61,增益!$A:$A,增益!$M:$M,0))&gt;0,($F$13-$I$4+VLOOKUP($R61,武学奇术!$A:$ZZ,13,FALSE)+SUM(_xlfn.XLOOKUP($S61:$AL61,增益!$A:$A,增益!$K:$K,0)))/200,($F$13-$I$4+VLOOKUP($R61,武学奇术!$A:$ZZ,13,FALSE)+SUM(_xlfn.XLOOKUP($S61:$AL61,增益!$A:$A,增益!$M:$M,0)))/100)</f>
        <v>-0.3</v>
      </c>
      <c r="BJ61" s="40" cm="1">
        <f t="array" ref="BJ61">$G$13+VLOOKUP($R61,武学奇术!$A:$ZZ,14,FALSE)+SUM(_xlfn.XLOOKUP($S61:$AL61,增益!$A:$A,增益!$N:$N,0))</f>
        <v>0.02</v>
      </c>
      <c r="BK61">
        <f t="shared" si="21"/>
        <v>0</v>
      </c>
      <c r="BL61">
        <f t="shared" si="22"/>
        <v>0</v>
      </c>
      <c r="BM61" s="40" cm="1">
        <f t="array" ref="BM61">IF($F$14-$I$4+VLOOKUP($R61,武学奇术!$A:$ZZ,15,FALSE)+SUM(_xlfn.XLOOKUP($S61:$AL61,增益!$A:$A,增益!$O:$O,0))&gt;0,($F$14-$I$4+VLOOKUP($R61,武学奇术!$A:$ZZ,15,FALSE)+SUM(_xlfn.XLOOKUP($S61:$AL61,增益!$A:$A,增益!$O:$O,0)))/200,($F$14-$I$4+VLOOKUP($R61,武学奇术!$A:$ZZ,15,FALSE)+SUM(_xlfn.XLOOKUP($S61:$AL61,增益!$A:$A,增益!$O:$O,0)))/100)</f>
        <v>-0.3</v>
      </c>
      <c r="BN61" s="40" cm="1">
        <f t="array" ref="BN61">$G$14+VLOOKUP($R61,武学奇术!$A:$ZZ,16,FALSE)+SUM(_xlfn.XLOOKUP($S61:$AL61,增益!$A:$A,增益!$P:$P,0))</f>
        <v>0.02</v>
      </c>
      <c r="BO61" s="33">
        <f>MIN(IF(VLOOKUP($R61,武学奇术!$A:$ZZ,23,FALSE)=1,100%,$B$8),100%)</f>
        <v>0.9771</v>
      </c>
      <c r="BP61" s="33" cm="1">
        <f t="array" ref="BP61">IF(VLOOKUP($R61,武学奇术!$A:$ZZ,23,FALSE)=1,100%,MIN(80%,$B$9+VLOOKUP($R61,武学奇术!$A:$ZZ,17,FALSE)+SUM(_xlfn.XLOOKUP($S61:$AL61,增益!$A:$A,增益!$Q:$Q,0)))+$B$11+SUM(_xlfn.XLOOKUP($S61:$AL61,增益!$A:$A,增益!$U:$U,0)))*IF(VLOOKUP($R61,武学奇术!$A:$ZZ,24,FALSE)=1,0,1)</f>
        <v>0.8861</v>
      </c>
      <c r="BQ61" s="33" cm="1">
        <f t="array" ref="BQ61">1+$B$13+VLOOKUP($R61,武学奇术!$A:$ZZ,18,FALSE)+SUM(_xlfn.XLOOKUP($S61:$AL61,增益!$A:$A,增益!$R:$R,0))</f>
        <v>1.95</v>
      </c>
      <c r="BR61" s="33" cm="1">
        <f t="array" ref="BR61">IF(VLOOKUP($R61,武学奇术!$A:$ZZ,24,FALSE)=1,100%,MIN(40%,$B$10+VLOOKUP($R61,武学奇术!$A:$ZZ,19,FALSE)+SUM(_xlfn.XLOOKUP($S61:$AL61,增益!$A:$A,增益!$S:$S,0)))+$B$12+SUM(_xlfn.XLOOKUP($S61:$AL61,增益!$A:$A,增益!$V:$V,0)))*IF(VLOOKUP($R61,武学奇术!$A:$ZZ,23,FALSE)=1,0,1)</f>
        <v>0.0913</v>
      </c>
      <c r="BS61" s="33" cm="1">
        <f t="array" ref="BS61">1+$B$14+VLOOKUP($R61,武学奇术!$A:$ZZ,20,FALSE)+SUM(_xlfn.XLOOKUP($S61:$AL61,增益!$A:$A,增益!$T:$T,0))</f>
        <v>1.35</v>
      </c>
      <c r="BT61" s="33">
        <f t="shared" si="23"/>
        <v>0.86580831</v>
      </c>
      <c r="BU61" s="33">
        <f t="shared" si="24"/>
        <v>0.02208246</v>
      </c>
      <c r="BV61" s="33">
        <f>IF(VLOOKUP($R61,武学奇术!$A:$ZZ,22,FALSE)=1,0,(1-$BO61))*(1-$BR61)</f>
        <v>0.02080923</v>
      </c>
      <c r="BW61" s="33" cm="1">
        <f t="array" ref="BW61">SUM(_xlfn.XLOOKUP($S61:$AL61,增益!$A:$A,增益!$W:$W,0))+$I$5</f>
        <v>0.11</v>
      </c>
      <c r="BX61" s="33" cm="1">
        <f t="array" ref="BX61">VLOOKUP($R61,武学奇术!$A:$ZZ,32,FALSE)+SUM(_xlfn.XLOOKUP($S61:$AL61,增益!$A:$A,增益!$X:$X,0))</f>
        <v>0</v>
      </c>
    </row>
    <row r="62" spans="1:76">
      <c r="A62" t="s">
        <v>160</v>
      </c>
      <c r="B62">
        <v>1.1</v>
      </c>
      <c r="D62" s="47"/>
      <c r="L62" s="46">
        <f t="shared" si="28"/>
        <v>105602.204372603</v>
      </c>
      <c r="M62" s="46">
        <f>((($AT62+$AU62)/2*$AN62+$AO62)*(1+$AV62)*(1+$AW62)+(($AY62+$AZ62)/2*IF($G$1="鸣金",$AP62,$AN62)+IF($G$1="鸣金",$AQ62*1.5,0))*(1+$BA62)*(1+$BB62)+(($BC62+$BD62)/2*IF($G$1="裂石",$AP62,$AN62)+IF($G$1="裂石",$AQ62*1.5,0))*(1+$BE62)*(1+$BF62)+(($BG62+$BH62)/2*IF($G$1="牵丝",$AP62,$AN62)+IF($G$1="牵丝",$AQ62*1.5,0))*(1+$BI62)*(1+$BJ62)+(($BK62+$BL62)/2*IF($G$1="破竹",$AP62,$AN62)+IF($G$1="破竹",$AQ62*1.5,0))*(1+$BM62)*(1+$BN62))*(1+$AR62)*$BQ62*$Q62*(1+IF(VLOOKUP($R62,武学奇术!$A:$ZZ,30,FALSE)="蓄力技",$B$21,0))*(1+IF(VLOOKUP($R62,武学奇术!$A:$ZZ,30,FALSE)="派生技",$B$20,0))*(1+$BW62)*(1+$BX62)</f>
        <v>110334.327076213</v>
      </c>
      <c r="N62" s="46">
        <f>(($AU62*$AN62+$AO62)*(1+$AV62)*(1+$AW62)+($AZ62*IF($G$1="鸣金",$AP62,$AN62)+IF($G$1="鸣金",$AQ62*1.5,0))*(1+$BA62)*(1+$BB62)+($BD62*IF($G$1="裂石",$AP62,$AN62)+IF($G$1="裂石",$AQ62*1.5,0))*(1+$BE62)*(1+$BF62)+($BH62*IF($G$1="牵丝",$AP62,$AN62)+IF($G$1="牵丝",$AQ62*1.5,0))*(1+$BI62)*(1+$BJ62)+($BL62*IF($G$1="破竹",$AP62,$AN62)+IF($G$1="破竹",$AQ62*1.5,0))*(1+$BM62)*(1+$BN62))*(1+$AR62)*$BS62*$Q62*(1+IF(VLOOKUP($R62,武学奇术!$A:$ZZ,30,FALSE)="蓄力技",$B$21,0))*(1+IF(VLOOKUP($R62,武学奇术!$A:$ZZ,30,FALSE)="派生技",$B$20,0))*(1+$BW62)*(1+$BX62)</f>
        <v>85253.4223944563</v>
      </c>
      <c r="O62" s="46">
        <f>((($AT62+$AU62)/2*$AN62+$AO62)*(1+$AV62)*(1+$AW62)+(($AY62+$AZ62)/2*IF($G$1="鸣金",$AP62,$AN62)+IF($G$1="鸣金",$AQ62*1.5,0))*(1+$BA62)*(1+$BB62)+(($BC62+$BD62)/2*IF($G$1="裂石",$AP62,$AN62)+IF($G$1="裂石",$AQ62*1.5,0))*(1+$BE62)*(1+$BF62)+(($BG62+$BH62)/2*IF($G$1="牵丝",$AP62,$AN62)+IF($G$1="牵丝",$AQ62*1.5,0))*(1+$BI62)*(1+$BJ62)+(($BK62+$BL62)/2*IF($G$1="破竹",$AP62,$AN62)+IF($G$1="破竹",$AQ62*1.5,0))*(1+$BM62)*(1+$BN62))*(1+$AR62)*$Q62*(1+IF(VLOOKUP($R62,武学奇术!$A:$ZZ,30,FALSE)="蓄力技",$B$21,0))*(1+IF(VLOOKUP($R62,武学奇术!$A:$ZZ,30,FALSE)="派生技",$B$20,0))*(1+$BW62)*(1+$BX62)</f>
        <v>56581.7061929299</v>
      </c>
      <c r="P62" s="46">
        <f>((($AT62*$AN62+$AO62)*(1+$AV62)*(1+$AW62)+($AY62*IF($G$1="鸣金",$AP62,$AN62)+IF($G$1="鸣金",$AQ62*1.5,0))*(1+$BA62)*(1+$BB62)+($BC62*IF($G$1="裂石",$AP62,$AN62)+IF($G$1="裂石",$AQ62*1.5,0))*(1+$BE62)*(1+$BF62)+($BG62*IF($G$1="牵丝",$AP62,$AN62)+IF($G$1="牵丝",$AQ62*1.5,0))*(1+$BI62)*(1+$BJ62)+($BK62*IF($G$1="破竹",$AP62,$AN62)+IF($G$1="破竹",$AQ62*1.5,0))*(1+$BM62)*(1+$BN62))*(1+$AR62))*$Q62*(1+IF(VLOOKUP($R62,武学奇术!$A:$ZZ,30,FALSE)="蓄力技",$B$21,0))*(1+IF(VLOOKUP($R62,武学奇术!$A:$ZZ,30,FALSE)="派生技",$B$20,0))*(1+$BW62)*(1+$BX62)</f>
        <v>50012.729130707</v>
      </c>
      <c r="Q62" s="47">
        <f t="shared" si="27"/>
        <v>1</v>
      </c>
      <c r="R62" s="48" t="s">
        <v>116</v>
      </c>
      <c r="S62" s="48" t="s">
        <v>99</v>
      </c>
      <c r="T62" s="48" t="s">
        <v>182</v>
      </c>
      <c r="U62" s="48" t="s">
        <v>80</v>
      </c>
      <c r="V62" s="48" t="s">
        <v>80</v>
      </c>
      <c r="W62" s="48" t="s">
        <v>91</v>
      </c>
      <c r="X62" s="48" t="s">
        <v>80</v>
      </c>
      <c r="Y62" s="48" t="s">
        <v>80</v>
      </c>
      <c r="Z62" s="48" t="s">
        <v>80</v>
      </c>
      <c r="AA62" s="48" t="s">
        <v>80</v>
      </c>
      <c r="AB62" s="48" t="s">
        <v>80</v>
      </c>
      <c r="AC62" s="48" t="s">
        <v>80</v>
      </c>
      <c r="AD62" s="48" t="s">
        <v>80</v>
      </c>
      <c r="AE62" s="48" t="s">
        <v>82</v>
      </c>
      <c r="AF62" s="48" t="s">
        <v>83</v>
      </c>
      <c r="AG62" s="48" t="s">
        <v>84</v>
      </c>
      <c r="AH62" s="48" t="s">
        <v>80</v>
      </c>
      <c r="AI62" s="48" t="s">
        <v>80</v>
      </c>
      <c r="AJ62" s="48" t="s">
        <v>80</v>
      </c>
      <c r="AK62" s="48" t="s">
        <v>80</v>
      </c>
      <c r="AL62" s="48" t="s">
        <v>85</v>
      </c>
      <c r="AM62" t="str">
        <f>VLOOKUP($R62,武学奇术!$A:$ZZ,25,FALSE)</f>
        <v>横刀</v>
      </c>
      <c r="AN62" s="33">
        <f>VLOOKUP($R62,武学奇术!$A:$ZZ,26,FALSE)</f>
        <v>3.7797</v>
      </c>
      <c r="AO62" s="34">
        <f>VLOOKUP($R62,武学奇术!$A:$ZZ,27,FALSE)*(1+IF(OR($AM62=$F$4,$AM62=$F$5),$B$22,0))</f>
        <v>1672</v>
      </c>
      <c r="AP62" s="33">
        <f>VLOOKUP($R62,武学奇术!$A:$ZZ,28,FALSE)</f>
        <v>5.6696</v>
      </c>
      <c r="AQ62" s="34">
        <f>VLOOKUP($R62,武学奇术!$A:$ZZ,29,FALSE)*(1+IF(OR($AM62=$F$4,$AM62=$F$5),$B$22,0))</f>
        <v>912</v>
      </c>
      <c r="AR62" s="33" cm="1">
        <f t="array" ref="AR62">$G$3+IFERROR(VLOOKUP($AM62,$F$4:$G$7,2,FALSE),0)+VLOOKUP($R62,武学奇术!$A:$ZZ,2,FALSE)+SUM(_xlfn.XLOOKUP($S62:$AL62,增益!$A:$A,增益!$B:$B,0))</f>
        <v>0.4489</v>
      </c>
      <c r="AS62" s="33" cm="1">
        <f t="array" ref="AS62">VLOOKUP($R62,武学奇术!$A:$ZZ,5,FALSE)+SUM(_xlfn.XLOOKUP($S62:$AL62,增益!$A:$A,增益!$E:$E,0))</f>
        <v>0</v>
      </c>
      <c r="AT62" cm="1">
        <f t="array" ref="AT62">$D$10*(1+$AS62)+VLOOKUP($R62,武学奇术!$A:$ZZ,3,FALSE)+SUM(_xlfn.XLOOKUP($S62:$AL62,增益!$A:$A,增益!$C:$C,0))-$I$2</f>
        <v>4094.7</v>
      </c>
      <c r="AU62" cm="1">
        <f t="array" ref="AU62">$E$10*(1+$AS62)+VLOOKUP($R62,武学奇术!$A:$ZZ,4,FALSE)+SUM(_xlfn.XLOOKUP($S62:$AL62,增益!$A:$A,增益!$D:$D,0))-$I$2</f>
        <v>4094.7</v>
      </c>
      <c r="AV62" s="40" cm="1">
        <f t="array" ref="AV62">IF($F$10-$I$3+VLOOKUP($R62,武学奇术!$A:$ZZ,6,FALSE)+SUM(_xlfn.XLOOKUP($S62:$AL62,增益!$A:$A,增益!$F:$F,0))&gt;0,($F$10-$I$3+VLOOKUP($R62,武学奇术!$A:$ZZ,6,FALSE)+SUM(_xlfn.XLOOKUP($S62:$AL62,增益!$A:$A,增益!$F:$F,0)))/200,($F$10-$I$3+VLOOKUP($R62,武学奇术!$A:$ZZ,6,FALSE)+SUM(_xlfn.XLOOKUP($S62:$AL62,增益!$A:$A,增益!$F:$F,0)))/100)</f>
        <v>0.4134</v>
      </c>
      <c r="AW62" s="40" cm="1">
        <f t="array" ref="AW62">$G$10+VLOOKUP($R62,武学奇术!$A:$ZZ,7,FALSE)+SUM(_xlfn.XLOOKUP($S62:$AL62,增益!$A:$A,增益!$G:$G,0))</f>
        <v>0.02</v>
      </c>
      <c r="AX62" s="33" cm="1">
        <f t="array" ref="AX62">VLOOKUP($R62,武学奇术!$A:$ZZ,8,FALSE)+SUM(_xlfn.XLOOKUP($S62:$AL62,增益!$A:$A,增益!$H:$H,0))</f>
        <v>0</v>
      </c>
      <c r="AY62">
        <f t="shared" si="15"/>
        <v>0</v>
      </c>
      <c r="AZ62">
        <f t="shared" si="16"/>
        <v>0</v>
      </c>
      <c r="BA62" s="40" cm="1">
        <f t="array" ref="BA62">IF($F$11-$I$4+VLOOKUP($R62,武学奇术!$A:$ZZ,9,FALSE)+SUM(_xlfn.XLOOKUP($S62:$AL62,增益!$A:$A,增益!$I:$I,0))&gt;0,($F$11-$I$4+VLOOKUP($R62,武学奇术!$A:$ZZ,9,FALSE)+SUM(_xlfn.XLOOKUP($S62:$AL62,增益!$A:$A,增益!$I:$I,0)))/200,($F$11-$I$4+VLOOKUP($R62,武学奇术!$A:$ZZ,9,FALSE)+SUM(_xlfn.XLOOKUP($S62:$AL62,增益!$A:$A,增益!$I:$I,0)))/100)</f>
        <v>-0.3</v>
      </c>
      <c r="BB62" s="40" cm="1">
        <f t="array" ref="BB62">$G$11+VLOOKUP($R62,武学奇术!$A:$ZZ,10,FALSE)+SUM(_xlfn.XLOOKUP($S62:$AL62,增益!$A:$A,增益!$J:$J,0))</f>
        <v>0.02</v>
      </c>
      <c r="BC62">
        <f t="shared" si="17"/>
        <v>640.3</v>
      </c>
      <c r="BD62">
        <f t="shared" si="18"/>
        <v>1770.1</v>
      </c>
      <c r="BE62" s="40" cm="1">
        <f t="array" ref="BE62">IF($F$12-$I$4+VLOOKUP($R62,武学奇术!$A:$ZZ,11,FALSE)+SUM(_xlfn.XLOOKUP($S62:$AL62,增益!$A:$A,增益!$K:$K,0))&gt;0,($F$12-$I$4+VLOOKUP($R62,武学奇术!$A:$ZZ,11,FALSE)+SUM(_xlfn.XLOOKUP($S62:$AL62,增益!$A:$A,增益!$K:$K,0)))/200,($F$12-$I$4+VLOOKUP($R62,武学奇术!$A:$ZZ,11,FALSE)+SUM(_xlfn.XLOOKUP($S62:$AL62,增益!$A:$A,增益!$K:$K,0)))/100)</f>
        <v>0.09</v>
      </c>
      <c r="BF62" s="40" cm="1">
        <f t="array" ref="BF62">$G$12+VLOOKUP($R62,武学奇术!$A:$ZZ,12,FALSE)+SUM(_xlfn.XLOOKUP($S62:$AL62,增益!$A:$A,增益!$L:$L,0))</f>
        <v>0.17</v>
      </c>
      <c r="BG62">
        <f t="shared" si="19"/>
        <v>0</v>
      </c>
      <c r="BH62">
        <f t="shared" si="20"/>
        <v>0</v>
      </c>
      <c r="BI62" s="40" cm="1">
        <f t="array" ref="BI62">IF($F$13-$I$4+VLOOKUP($R62,武学奇术!$A:$ZZ,13,FALSE)+SUM(_xlfn.XLOOKUP($S62:$AL62,增益!$A:$A,增益!$M:$M,0))&gt;0,($F$13-$I$4+VLOOKUP($R62,武学奇术!$A:$ZZ,13,FALSE)+SUM(_xlfn.XLOOKUP($S62:$AL62,增益!$A:$A,增益!$K:$K,0)))/200,($F$13-$I$4+VLOOKUP($R62,武学奇术!$A:$ZZ,13,FALSE)+SUM(_xlfn.XLOOKUP($S62:$AL62,增益!$A:$A,增益!$M:$M,0)))/100)</f>
        <v>-0.3</v>
      </c>
      <c r="BJ62" s="40" cm="1">
        <f t="array" ref="BJ62">$G$13+VLOOKUP($R62,武学奇术!$A:$ZZ,14,FALSE)+SUM(_xlfn.XLOOKUP($S62:$AL62,增益!$A:$A,增益!$N:$N,0))</f>
        <v>0.02</v>
      </c>
      <c r="BK62">
        <f t="shared" si="21"/>
        <v>0</v>
      </c>
      <c r="BL62">
        <f t="shared" si="22"/>
        <v>0</v>
      </c>
      <c r="BM62" s="40" cm="1">
        <f t="array" ref="BM62">IF($F$14-$I$4+VLOOKUP($R62,武学奇术!$A:$ZZ,15,FALSE)+SUM(_xlfn.XLOOKUP($S62:$AL62,增益!$A:$A,增益!$O:$O,0))&gt;0,($F$14-$I$4+VLOOKUP($R62,武学奇术!$A:$ZZ,15,FALSE)+SUM(_xlfn.XLOOKUP($S62:$AL62,增益!$A:$A,增益!$O:$O,0)))/200,($F$14-$I$4+VLOOKUP($R62,武学奇术!$A:$ZZ,15,FALSE)+SUM(_xlfn.XLOOKUP($S62:$AL62,增益!$A:$A,增益!$O:$O,0)))/100)</f>
        <v>-0.3</v>
      </c>
      <c r="BN62" s="40" cm="1">
        <f t="array" ref="BN62">$G$14+VLOOKUP($R62,武学奇术!$A:$ZZ,16,FALSE)+SUM(_xlfn.XLOOKUP($S62:$AL62,增益!$A:$A,增益!$P:$P,0))</f>
        <v>0.02</v>
      </c>
      <c r="BO62" s="33">
        <f>MIN(IF(VLOOKUP($R62,武学奇术!$A:$ZZ,23,FALSE)=1,100%,$B$8),100%)</f>
        <v>0.9771</v>
      </c>
      <c r="BP62" s="33" cm="1">
        <f t="array" ref="BP62">IF(VLOOKUP($R62,武学奇术!$A:$ZZ,23,FALSE)=1,100%,MIN(80%,$B$9+VLOOKUP($R62,武学奇术!$A:$ZZ,17,FALSE)+SUM(_xlfn.XLOOKUP($S62:$AL62,增益!$A:$A,增益!$Q:$Q,0)))+$B$11+SUM(_xlfn.XLOOKUP($S62:$AL62,增益!$A:$A,增益!$U:$U,0)))*IF(VLOOKUP($R62,武学奇术!$A:$ZZ,24,FALSE)=1,0,1)</f>
        <v>0.8861</v>
      </c>
      <c r="BQ62" s="33" cm="1">
        <f t="array" ref="BQ62">1+$B$13+VLOOKUP($R62,武学奇术!$A:$ZZ,18,FALSE)+SUM(_xlfn.XLOOKUP($S62:$AL62,增益!$A:$A,增益!$R:$R,0))</f>
        <v>1.95</v>
      </c>
      <c r="BR62" s="33" cm="1">
        <f t="array" ref="BR62">IF(VLOOKUP($R62,武学奇术!$A:$ZZ,24,FALSE)=1,100%,MIN(40%,$B$10+VLOOKUP($R62,武学奇术!$A:$ZZ,19,FALSE)+SUM(_xlfn.XLOOKUP($S62:$AL62,增益!$A:$A,增益!$S:$S,0)))+$B$12+SUM(_xlfn.XLOOKUP($S62:$AL62,增益!$A:$A,增益!$V:$V,0)))*IF(VLOOKUP($R62,武学奇术!$A:$ZZ,23,FALSE)=1,0,1)</f>
        <v>0.0913</v>
      </c>
      <c r="BS62" s="33" cm="1">
        <f t="array" ref="BS62">1+$B$14+VLOOKUP($R62,武学奇术!$A:$ZZ,20,FALSE)+SUM(_xlfn.XLOOKUP($S62:$AL62,增益!$A:$A,增益!$T:$T,0))</f>
        <v>1.35</v>
      </c>
      <c r="BT62" s="33">
        <f t="shared" si="23"/>
        <v>0.86580831</v>
      </c>
      <c r="BU62" s="33">
        <f t="shared" si="24"/>
        <v>0.02208246</v>
      </c>
      <c r="BV62" s="33">
        <f>IF(VLOOKUP($R62,武学奇术!$A:$ZZ,22,FALSE)=1,0,(1-$BO62))*(1-$BR62)</f>
        <v>0.02080923</v>
      </c>
      <c r="BW62" s="33" cm="1">
        <f t="array" ref="BW62">SUM(_xlfn.XLOOKUP($S62:$AL62,增益!$A:$A,增益!$W:$W,0))+$I$5</f>
        <v>0.11</v>
      </c>
      <c r="BX62" s="33" cm="1">
        <f t="array" ref="BX62">VLOOKUP($R62,武学奇术!$A:$ZZ,32,FALSE)+SUM(_xlfn.XLOOKUP($S62:$AL62,增益!$A:$A,增益!$X:$X,0))</f>
        <v>0</v>
      </c>
    </row>
    <row r="63" spans="1:76">
      <c r="A63" t="s">
        <v>180</v>
      </c>
      <c r="B63">
        <v>1</v>
      </c>
      <c r="L63" s="46">
        <f t="shared" si="28"/>
        <v>72496.7656801419</v>
      </c>
      <c r="M63" s="46">
        <f>((($AT63+$AU63)/2*$AN63+$AO63)*(1+$AV63)*(1+$AW63)+(($AY63+$AZ63)/2*IF($G$1="鸣金",$AP63,$AN63)+IF($G$1="鸣金",$AQ63*1.5,0))*(1+$BA63)*(1+$BB63)+(($BC63+$BD63)/2*IF($G$1="裂石",$AP63,$AN63)+IF($G$1="裂石",$AQ63*1.5,0))*(1+$BE63)*(1+$BF63)+(($BG63+$BH63)/2*IF($G$1="牵丝",$AP63,$AN63)+IF($G$1="牵丝",$AQ63*1.5,0))*(1+$BI63)*(1+$BJ63)+(($BK63+$BL63)/2*IF($G$1="破竹",$AP63,$AN63)+IF($G$1="破竹",$AQ63*1.5,0))*(1+$BM63)*(1+$BN63))*(1+$AR63)*$BQ63*$Q63*(1+IF(VLOOKUP($R63,武学奇术!$A:$ZZ,30,FALSE)="蓄力技",$B$21,0))*(1+IF(VLOOKUP($R63,武学奇术!$A:$ZZ,30,FALSE)="派生技",$B$20,0))*(1+$BW63)*(1+$BX63)</f>
        <v>75936.8132087617</v>
      </c>
      <c r="N63" s="46">
        <f>(($AU63*$AN63+$AO63)*(1+$AV63)*(1+$AW63)+($AZ63*IF($G$1="鸣金",$AP63,$AN63)+IF($G$1="鸣金",$AQ63*1.5,0))*(1+$BA63)*(1+$BB63)+($BD63*IF($G$1="裂石",$AP63,$AN63)+IF($G$1="裂石",$AQ63*1.5,0))*(1+$BE63)*(1+$BF63)+($BH63*IF($G$1="牵丝",$AP63,$AN63)+IF($G$1="牵丝",$AQ63*1.5,0))*(1+$BI63)*(1+$BJ63)+($BL63*IF($G$1="破竹",$AP63,$AN63)+IF($G$1="破竹",$AQ63*1.5,0))*(1+$BM63)*(1+$BN63))*(1+$AR63)*$BS63*$Q63*(1+IF(VLOOKUP($R63,武学奇术!$A:$ZZ,30,FALSE)="蓄力技",$B$21,0))*(1+IF(VLOOKUP($R63,武学奇术!$A:$ZZ,30,FALSE)="派生技",$B$20,0))*(1+$BW63)*(1+$BX63)</f>
        <v>57078.1605287459</v>
      </c>
      <c r="O63" s="46">
        <f>((($AT63+$AU63)/2*$AN63+$AO63)*(1+$AV63)*(1+$AW63)+(($AY63+$AZ63)/2*IF($G$1="鸣金",$AP63,$AN63)+IF($G$1="鸣金",$AQ63*1.5,0))*(1+$BA63)*(1+$BB63)+(($BC63+$BD63)/2*IF($G$1="裂石",$AP63,$AN63)+IF($G$1="裂石",$AQ63*1.5,0))*(1+$BE63)*(1+$BF63)+(($BG63+$BH63)/2*IF($G$1="牵丝",$AP63,$AN63)+IF($G$1="牵丝",$AQ63*1.5,0))*(1+$BI63)*(1+$BJ63)+(($BK63+$BL63)/2*IF($G$1="破竹",$AP63,$AN63)+IF($G$1="破竹",$AQ63*1.5,0))*(1+$BM63)*(1+$BN63))*(1+$AR63)*$Q63*(1+IF(VLOOKUP($R63,武学奇术!$A:$ZZ,30,FALSE)="蓄力技",$B$21,0))*(1+IF(VLOOKUP($R63,武学奇术!$A:$ZZ,30,FALSE)="派生技",$B$20,0))*(1+$BW63)*(1+$BX63)</f>
        <v>37968.4066043808</v>
      </c>
      <c r="P63" s="46">
        <f>((($AT63*$AN63+$AO63)*(1+$AV63)*(1+$AW63)+($AY63*IF($G$1="鸣金",$AP63,$AN63)+IF($G$1="鸣金",$AQ63*1.5,0))*(1+$BA63)*(1+$BB63)+($BC63*IF($G$1="裂石",$AP63,$AN63)+IF($G$1="裂石",$AQ63*1.5,0))*(1+$BE63)*(1+$BF63)+($BG63*IF($G$1="牵丝",$AP63,$AN63)+IF($G$1="牵丝",$AQ63*1.5,0))*(1+$BI63)*(1+$BJ63)+($BK63*IF($G$1="破竹",$AP63,$AN63)+IF($G$1="破竹",$AQ63*1.5,0))*(1+$BM63)*(1+$BN63))*(1+$AR63))*$Q63*(1+IF(VLOOKUP($R63,武学奇术!$A:$ZZ,30,FALSE)="蓄力技",$B$21,0))*(1+IF(VLOOKUP($R63,武学奇术!$A:$ZZ,30,FALSE)="派生技",$B$20,0))*(1+$BW63)*(1+$BX63)</f>
        <v>33656.6942985795</v>
      </c>
      <c r="Q63" s="47">
        <f t="shared" si="27"/>
        <v>1</v>
      </c>
      <c r="R63" s="48" t="s">
        <v>119</v>
      </c>
      <c r="S63" s="48" t="s">
        <v>99</v>
      </c>
      <c r="T63" s="48" t="s">
        <v>182</v>
      </c>
      <c r="U63" s="48" t="s">
        <v>79</v>
      </c>
      <c r="V63" s="48" t="s">
        <v>80</v>
      </c>
      <c r="W63" s="48" t="s">
        <v>141</v>
      </c>
      <c r="X63" s="48" t="s">
        <v>80</v>
      </c>
      <c r="Y63" s="48" t="s">
        <v>74</v>
      </c>
      <c r="Z63" s="48" t="s">
        <v>80</v>
      </c>
      <c r="AA63" s="48" t="s">
        <v>80</v>
      </c>
      <c r="AB63" s="48" t="s">
        <v>80</v>
      </c>
      <c r="AC63" s="48" t="s">
        <v>80</v>
      </c>
      <c r="AD63" s="48" t="s">
        <v>80</v>
      </c>
      <c r="AE63" s="48" t="s">
        <v>82</v>
      </c>
      <c r="AF63" s="48" t="s">
        <v>83</v>
      </c>
      <c r="AG63" s="48" t="s">
        <v>84</v>
      </c>
      <c r="AH63" s="48" t="s">
        <v>80</v>
      </c>
      <c r="AI63" s="48" t="s">
        <v>80</v>
      </c>
      <c r="AJ63" s="48" t="s">
        <v>80</v>
      </c>
      <c r="AK63" s="48" t="s">
        <v>80</v>
      </c>
      <c r="AL63" s="48" t="s">
        <v>85</v>
      </c>
      <c r="AM63" t="str">
        <f>VLOOKUP($R63,武学奇术!$A:$ZZ,25,FALSE)</f>
        <v>横刀</v>
      </c>
      <c r="AN63" s="33">
        <f>VLOOKUP($R63,武学奇术!$A:$ZZ,26,FALSE)</f>
        <v>2.1324</v>
      </c>
      <c r="AO63" s="34">
        <f>VLOOKUP($R63,武学奇术!$A:$ZZ,27,FALSE)*(1+IF(OR($AM63=$F$4,$AM63=$F$5),$B$22,0))</f>
        <v>944</v>
      </c>
      <c r="AP63" s="33">
        <f>VLOOKUP($R63,武学奇术!$A:$ZZ,28,FALSE)</f>
        <v>3.1986</v>
      </c>
      <c r="AQ63" s="34">
        <f>VLOOKUP($R63,武学奇术!$A:$ZZ,29,FALSE)*(1+IF(OR($AM63=$F$4,$AM63=$F$5),$B$22,0))</f>
        <v>515.2</v>
      </c>
      <c r="AR63" s="33" cm="1">
        <f t="array" ref="AR63">$G$3+IFERROR(VLOOKUP($AM63,$F$4:$G$7,2,FALSE),0)+VLOOKUP($R63,武学奇术!$A:$ZZ,2,FALSE)+SUM(_xlfn.XLOOKUP($S63:$AL63,增益!$A:$A,增益!$B:$B,0))</f>
        <v>0.5289</v>
      </c>
      <c r="AS63" s="33" cm="1">
        <f t="array" ref="AS63">VLOOKUP($R63,武学奇术!$A:$ZZ,5,FALSE)+SUM(_xlfn.XLOOKUP($S63:$AL63,增益!$A:$A,增益!$E:$E,0))</f>
        <v>0</v>
      </c>
      <c r="AT63" cm="1">
        <f t="array" ref="AT63">$D$10*(1+$AS63)+VLOOKUP($R63,武学奇术!$A:$ZZ,3,FALSE)+SUM(_xlfn.XLOOKUP($S63:$AL63,增益!$A:$A,增益!$C:$C,0))-$I$2</f>
        <v>4094.7</v>
      </c>
      <c r="AU63" cm="1">
        <f t="array" ref="AU63">$E$10*(1+$AS63)+VLOOKUP($R63,武学奇术!$A:$ZZ,4,FALSE)+SUM(_xlfn.XLOOKUP($S63:$AL63,增益!$A:$A,增益!$D:$D,0))-$I$2</f>
        <v>4094.7</v>
      </c>
      <c r="AV63" s="40" cm="1">
        <f t="array" ref="AV63">IF($F$10-$I$3+VLOOKUP($R63,武学奇术!$A:$ZZ,6,FALSE)+SUM(_xlfn.XLOOKUP($S63:$AL63,增益!$A:$A,增益!$F:$F,0))&gt;0,($F$10-$I$3+VLOOKUP($R63,武学奇术!$A:$ZZ,6,FALSE)+SUM(_xlfn.XLOOKUP($S63:$AL63,增益!$A:$A,增益!$F:$F,0)))/200,($F$10-$I$3+VLOOKUP($R63,武学奇术!$A:$ZZ,6,FALSE)+SUM(_xlfn.XLOOKUP($S63:$AL63,增益!$A:$A,增益!$F:$F,0)))/100)</f>
        <v>0.4384</v>
      </c>
      <c r="AW63" s="40" cm="1">
        <f t="array" ref="AW63">$G$10+VLOOKUP($R63,武学奇术!$A:$ZZ,7,FALSE)+SUM(_xlfn.XLOOKUP($S63:$AL63,增益!$A:$A,增益!$G:$G,0))</f>
        <v>0.14</v>
      </c>
      <c r="AX63" s="33" cm="1">
        <f t="array" ref="AX63">VLOOKUP($R63,武学奇术!$A:$ZZ,8,FALSE)+SUM(_xlfn.XLOOKUP($S63:$AL63,增益!$A:$A,增益!$H:$H,0))</f>
        <v>0</v>
      </c>
      <c r="AY63">
        <f t="shared" si="15"/>
        <v>0</v>
      </c>
      <c r="AZ63">
        <f t="shared" si="16"/>
        <v>0</v>
      </c>
      <c r="BA63" s="40" cm="1">
        <f t="array" ref="BA63">IF($F$11-$I$4+VLOOKUP($R63,武学奇术!$A:$ZZ,9,FALSE)+SUM(_xlfn.XLOOKUP($S63:$AL63,增益!$A:$A,增益!$I:$I,0))&gt;0,($F$11-$I$4+VLOOKUP($R63,武学奇术!$A:$ZZ,9,FALSE)+SUM(_xlfn.XLOOKUP($S63:$AL63,增益!$A:$A,增益!$I:$I,0)))/200,($F$11-$I$4+VLOOKUP($R63,武学奇术!$A:$ZZ,9,FALSE)+SUM(_xlfn.XLOOKUP($S63:$AL63,增益!$A:$A,增益!$I:$I,0)))/100)</f>
        <v>-0.3</v>
      </c>
      <c r="BB63" s="40" cm="1">
        <f t="array" ref="BB63">$G$11+VLOOKUP($R63,武学奇术!$A:$ZZ,10,FALSE)+SUM(_xlfn.XLOOKUP($S63:$AL63,增益!$A:$A,增益!$J:$J,0))</f>
        <v>0.02</v>
      </c>
      <c r="BC63">
        <f t="shared" si="17"/>
        <v>640.3</v>
      </c>
      <c r="BD63">
        <f t="shared" si="18"/>
        <v>1770.1</v>
      </c>
      <c r="BE63" s="40" cm="1">
        <f t="array" ref="BE63">IF($F$12-$I$4+VLOOKUP($R63,武学奇术!$A:$ZZ,11,FALSE)+SUM(_xlfn.XLOOKUP($S63:$AL63,增益!$A:$A,增益!$K:$K,0))&gt;0,($F$12-$I$4+VLOOKUP($R63,武学奇术!$A:$ZZ,11,FALSE)+SUM(_xlfn.XLOOKUP($S63:$AL63,增益!$A:$A,增益!$K:$K,0)))/200,($F$12-$I$4+VLOOKUP($R63,武学奇术!$A:$ZZ,11,FALSE)+SUM(_xlfn.XLOOKUP($S63:$AL63,增益!$A:$A,增益!$K:$K,0)))/100)</f>
        <v>0.09</v>
      </c>
      <c r="BF63" s="40" cm="1">
        <f t="array" ref="BF63">$G$12+VLOOKUP($R63,武学奇术!$A:$ZZ,12,FALSE)+SUM(_xlfn.XLOOKUP($S63:$AL63,增益!$A:$A,增益!$L:$L,0))</f>
        <v>0.29</v>
      </c>
      <c r="BG63">
        <f t="shared" si="19"/>
        <v>0</v>
      </c>
      <c r="BH63">
        <f t="shared" si="20"/>
        <v>0</v>
      </c>
      <c r="BI63" s="40" cm="1">
        <f t="array" ref="BI63">IF($F$13-$I$4+VLOOKUP($R63,武学奇术!$A:$ZZ,13,FALSE)+SUM(_xlfn.XLOOKUP($S63:$AL63,增益!$A:$A,增益!$M:$M,0))&gt;0,($F$13-$I$4+VLOOKUP($R63,武学奇术!$A:$ZZ,13,FALSE)+SUM(_xlfn.XLOOKUP($S63:$AL63,增益!$A:$A,增益!$K:$K,0)))/200,($F$13-$I$4+VLOOKUP($R63,武学奇术!$A:$ZZ,13,FALSE)+SUM(_xlfn.XLOOKUP($S63:$AL63,增益!$A:$A,增益!$M:$M,0)))/100)</f>
        <v>-0.3</v>
      </c>
      <c r="BJ63" s="40" cm="1">
        <f t="array" ref="BJ63">$G$13+VLOOKUP($R63,武学奇术!$A:$ZZ,14,FALSE)+SUM(_xlfn.XLOOKUP($S63:$AL63,增益!$A:$A,增益!$N:$N,0))</f>
        <v>0.02</v>
      </c>
      <c r="BK63">
        <f t="shared" si="21"/>
        <v>0</v>
      </c>
      <c r="BL63">
        <f t="shared" si="22"/>
        <v>0</v>
      </c>
      <c r="BM63" s="40" cm="1">
        <f t="array" ref="BM63">IF($F$14-$I$4+VLOOKUP($R63,武学奇术!$A:$ZZ,15,FALSE)+SUM(_xlfn.XLOOKUP($S63:$AL63,增益!$A:$A,增益!$O:$O,0))&gt;0,($F$14-$I$4+VLOOKUP($R63,武学奇术!$A:$ZZ,15,FALSE)+SUM(_xlfn.XLOOKUP($S63:$AL63,增益!$A:$A,增益!$O:$O,0)))/200,($F$14-$I$4+VLOOKUP($R63,武学奇术!$A:$ZZ,15,FALSE)+SUM(_xlfn.XLOOKUP($S63:$AL63,增益!$A:$A,增益!$O:$O,0)))/100)</f>
        <v>-0.3</v>
      </c>
      <c r="BN63" s="40" cm="1">
        <f t="array" ref="BN63">$G$14+VLOOKUP($R63,武学奇术!$A:$ZZ,16,FALSE)+SUM(_xlfn.XLOOKUP($S63:$AL63,增益!$A:$A,增益!$P:$P,0))</f>
        <v>0.02</v>
      </c>
      <c r="BO63" s="33">
        <f>MIN(IF(VLOOKUP($R63,武学奇术!$A:$ZZ,23,FALSE)=1,100%,$B$8),100%)</f>
        <v>0.9771</v>
      </c>
      <c r="BP63" s="33" cm="1">
        <f t="array" ref="BP63">IF(VLOOKUP($R63,武学奇术!$A:$ZZ,23,FALSE)=1,100%,MIN(80%,$B$9+VLOOKUP($R63,武学奇术!$A:$ZZ,17,FALSE)+SUM(_xlfn.XLOOKUP($S63:$AL63,增益!$A:$A,增益!$Q:$Q,0)))+$B$11+SUM(_xlfn.XLOOKUP($S63:$AL63,增益!$A:$A,增益!$U:$U,0)))*IF(VLOOKUP($R63,武学奇术!$A:$ZZ,24,FALSE)=1,0,1)</f>
        <v>0.8861</v>
      </c>
      <c r="BQ63" s="33" cm="1">
        <f t="array" ref="BQ63">1+$B$13+VLOOKUP($R63,武学奇术!$A:$ZZ,18,FALSE)+SUM(_xlfn.XLOOKUP($S63:$AL63,增益!$A:$A,增益!$R:$R,0))</f>
        <v>2</v>
      </c>
      <c r="BR63" s="33" cm="1">
        <f t="array" ref="BR63">IF(VLOOKUP($R63,武学奇术!$A:$ZZ,24,FALSE)=1,100%,MIN(40%,$B$10+VLOOKUP($R63,武学奇术!$A:$ZZ,19,FALSE)+SUM(_xlfn.XLOOKUP($S63:$AL63,增益!$A:$A,增益!$S:$S,0)))+$B$12+SUM(_xlfn.XLOOKUP($S63:$AL63,增益!$A:$A,增益!$V:$V,0)))*IF(VLOOKUP($R63,武学奇术!$A:$ZZ,23,FALSE)=1,0,1)</f>
        <v>0.0913</v>
      </c>
      <c r="BS63" s="33" cm="1">
        <f t="array" ref="BS63">1+$B$14+VLOOKUP($R63,武学奇术!$A:$ZZ,20,FALSE)+SUM(_xlfn.XLOOKUP($S63:$AL63,增益!$A:$A,增益!$T:$T,0))</f>
        <v>1.35</v>
      </c>
      <c r="BT63" s="33">
        <f t="shared" si="23"/>
        <v>0.86580831</v>
      </c>
      <c r="BU63" s="33">
        <f t="shared" si="24"/>
        <v>0.02208246</v>
      </c>
      <c r="BV63" s="33">
        <f>IF(VLOOKUP($R63,武学奇术!$A:$ZZ,22,FALSE)=1,0,(1-$BO63))*(1-$BR63)</f>
        <v>0.02080923</v>
      </c>
      <c r="BW63" s="33" cm="1">
        <f t="array" ref="BW63">SUM(_xlfn.XLOOKUP($S63:$AL63,增益!$A:$A,增益!$W:$W,0))+$I$5</f>
        <v>0.11</v>
      </c>
      <c r="BX63" s="33" cm="1">
        <f t="array" ref="BX63">VLOOKUP($R63,武学奇术!$A:$ZZ,32,FALSE)+SUM(_xlfn.XLOOKUP($S63:$AL63,增益!$A:$A,增益!$X:$X,0))</f>
        <v>0</v>
      </c>
    </row>
    <row r="64" spans="1:76">
      <c r="A64" t="s">
        <v>186</v>
      </c>
      <c r="B64">
        <v>1.9</v>
      </c>
      <c r="L64" s="46">
        <f t="shared" si="28"/>
        <v>47389.3323238308</v>
      </c>
      <c r="M64" s="46">
        <f>((($AT64+$AU64)/2*$AN64+$AO64)*(1+$AV64)*(1+$AW64)+(($AY64+$AZ64)/2*IF($G$1="鸣金",$AP64,$AN64)+IF($G$1="鸣金",$AQ64*1.5,0))*(1+$BA64)*(1+$BB64)+(($BC64+$BD64)/2*IF($G$1="裂石",$AP64,$AN64)+IF($G$1="裂石",$AQ64*1.5,0))*(1+$BE64)*(1+$BF64)+(($BG64+$BH64)/2*IF($G$1="牵丝",$AP64,$AN64)+IF($G$1="牵丝",$AQ64*1.5,0))*(1+$BI64)*(1+$BJ64)+(($BK64+$BL64)/2*IF($G$1="破竹",$AP64,$AN64)+IF($G$1="破竹",$AQ64*1.5,0))*(1+$BM64)*(1+$BN64))*(1+$AR64)*$BQ64*$Q64*(1+IF(VLOOKUP($R64,武学奇术!$A:$ZZ,30,FALSE)="蓄力技",$B$21,0))*(1+IF(VLOOKUP($R64,武学奇术!$A:$ZZ,30,FALSE)="派生技",$B$20,0))*(1+$BW64)*(1+$BX64)</f>
        <v>49579.8152881652</v>
      </c>
      <c r="N64" s="46">
        <f>(($AU64*$AN64+$AO64)*(1+$AV64)*(1+$AW64)+($AZ64*IF($G$1="鸣金",$AP64,$AN64)+IF($G$1="鸣金",$AQ64*1.5,0))*(1+$BA64)*(1+$BB64)+($BD64*IF($G$1="裂石",$AP64,$AN64)+IF($G$1="裂石",$AQ64*1.5,0))*(1+$BE64)*(1+$BF64)+($BH64*IF($G$1="牵丝",$AP64,$AN64)+IF($G$1="牵丝",$AQ64*1.5,0))*(1+$BI64)*(1+$BJ64)+($BL64*IF($G$1="破竹",$AP64,$AN64)+IF($G$1="破竹",$AQ64*1.5,0))*(1+$BM64)*(1+$BN64))*(1+$AR64)*$BS64*$Q64*(1+IF(VLOOKUP($R64,武学奇术!$A:$ZZ,30,FALSE)="蓄力技",$B$21,0))*(1+IF(VLOOKUP($R64,武学奇术!$A:$ZZ,30,FALSE)="派生技",$B$20,0))*(1+$BW64)*(1+$BX64)</f>
        <v>37998.9142141202</v>
      </c>
      <c r="O64" s="46">
        <f>((($AT64+$AU64)/2*$AN64+$AO64)*(1+$AV64)*(1+$AW64)+(($AY64+$AZ64)/2*IF($G$1="鸣金",$AP64,$AN64)+IF($G$1="鸣金",$AQ64*1.5,0))*(1+$BA64)*(1+$BB64)+(($BC64+$BD64)/2*IF($G$1="裂石",$AP64,$AN64)+IF($G$1="裂石",$AQ64*1.5,0))*(1+$BE64)*(1+$BF64)+(($BG64+$BH64)/2*IF($G$1="牵丝",$AP64,$AN64)+IF($G$1="牵丝",$AQ64*1.5,0))*(1+$BI64)*(1+$BJ64)+(($BK64+$BL64)/2*IF($G$1="破竹",$AP64,$AN64)+IF($G$1="破竹",$AQ64*1.5,0))*(1+$BM64)*(1+$BN64))*(1+$AR64)*$Q64*(1+IF(VLOOKUP($R64,武学奇术!$A:$ZZ,30,FALSE)="蓄力技",$B$21,0))*(1+IF(VLOOKUP($R64,武学奇术!$A:$ZZ,30,FALSE)="派生技",$B$20,0))*(1+$BW64)*(1+$BX64)</f>
        <v>24789.9076440826</v>
      </c>
      <c r="P64" s="46">
        <f>((($AT64*$AN64+$AO64)*(1+$AV64)*(1+$AW64)+($AY64*IF($G$1="鸣金",$AP64,$AN64)+IF($G$1="鸣金",$AQ64*1.5,0))*(1+$BA64)*(1+$BB64)+($BC64*IF($G$1="裂石",$AP64,$AN64)+IF($G$1="裂石",$AQ64*1.5,0))*(1+$BE64)*(1+$BF64)+($BG64*IF($G$1="牵丝",$AP64,$AN64)+IF($G$1="牵丝",$AQ64*1.5,0))*(1+$BI64)*(1+$BJ64)+($BK64*IF($G$1="破竹",$AP64,$AN64)+IF($G$1="破竹",$AQ64*1.5,0))*(1+$BM64)*(1+$BN64))*(1+$AR64))*$Q64*(1+IF(VLOOKUP($R64,武学奇术!$A:$ZZ,30,FALSE)="蓄力技",$B$21,0))*(1+IF(VLOOKUP($R64,武学奇术!$A:$ZZ,30,FALSE)="派生技",$B$20,0))*(1+$BW64)*(1+$BX64)</f>
        <v>21432.471425854</v>
      </c>
      <c r="Q64" s="47">
        <f t="shared" si="27"/>
        <v>1</v>
      </c>
      <c r="R64" s="48" t="s">
        <v>122</v>
      </c>
      <c r="S64" s="48" t="s">
        <v>99</v>
      </c>
      <c r="T64" s="48" t="s">
        <v>182</v>
      </c>
      <c r="U64" s="48" t="s">
        <v>79</v>
      </c>
      <c r="V64" s="48" t="s">
        <v>90</v>
      </c>
      <c r="W64" s="48" t="s">
        <v>141</v>
      </c>
      <c r="X64" s="48" t="s">
        <v>80</v>
      </c>
      <c r="Y64" s="48" t="s">
        <v>74</v>
      </c>
      <c r="Z64" s="48" t="s">
        <v>80</v>
      </c>
      <c r="AA64" s="48" t="s">
        <v>80</v>
      </c>
      <c r="AB64" s="48" t="s">
        <v>80</v>
      </c>
      <c r="AC64" s="48" t="s">
        <v>80</v>
      </c>
      <c r="AD64" s="48" t="s">
        <v>80</v>
      </c>
      <c r="AE64" s="48" t="s">
        <v>82</v>
      </c>
      <c r="AF64" s="48" t="s">
        <v>83</v>
      </c>
      <c r="AG64" s="48" t="s">
        <v>84</v>
      </c>
      <c r="AH64" s="48" t="s">
        <v>80</v>
      </c>
      <c r="AI64" s="48" t="s">
        <v>80</v>
      </c>
      <c r="AJ64" s="48" t="s">
        <v>80</v>
      </c>
      <c r="AK64" s="48" t="s">
        <v>80</v>
      </c>
      <c r="AL64" s="48" t="s">
        <v>85</v>
      </c>
      <c r="AM64" t="str">
        <f>VLOOKUP($R64,武学奇术!$A:$ZZ,25,FALSE)</f>
        <v>横刀</v>
      </c>
      <c r="AN64" s="33">
        <f>VLOOKUP($R64,武学奇术!$A:$ZZ,26,FALSE)</f>
        <v>1.47</v>
      </c>
      <c r="AO64" s="34">
        <f>VLOOKUP($R64,武学奇术!$A:$ZZ,27,FALSE)*(1+IF(OR($AM64=$F$4,$AM64=$F$5),$B$22,0))</f>
        <v>0</v>
      </c>
      <c r="AP64" s="33">
        <f>VLOOKUP($R64,武学奇术!$A:$ZZ,28,FALSE)</f>
        <v>2.205</v>
      </c>
      <c r="AQ64" s="34">
        <f>VLOOKUP($R64,武学奇术!$A:$ZZ,29,FALSE)*(1+IF(OR($AM64=$F$4,$AM64=$F$5),$B$22,0))</f>
        <v>0</v>
      </c>
      <c r="AR64" s="33" cm="1">
        <f t="array" ref="AR64">$G$3+IFERROR(VLOOKUP($AM64,$F$4:$G$7,2,FALSE),0)+VLOOKUP($R64,武学奇术!$A:$ZZ,2,FALSE)+SUM(_xlfn.XLOOKUP($S64:$AL64,增益!$A:$A,增益!$B:$B,0))</f>
        <v>0.6089</v>
      </c>
      <c r="AS64" s="33" cm="1">
        <f t="array" ref="AS64">VLOOKUP($R64,武学奇术!$A:$ZZ,5,FALSE)+SUM(_xlfn.XLOOKUP($S64:$AL64,增益!$A:$A,增益!$E:$E,0))</f>
        <v>0</v>
      </c>
      <c r="AT64" cm="1">
        <f t="array" ref="AT64">$D$10*(1+$AS64)+VLOOKUP($R64,武学奇术!$A:$ZZ,3,FALSE)+SUM(_xlfn.XLOOKUP($S64:$AL64,增益!$A:$A,增益!$C:$C,0))-$I$2</f>
        <v>4094.7</v>
      </c>
      <c r="AU64" cm="1">
        <f t="array" ref="AU64">$E$10*(1+$AS64)+VLOOKUP($R64,武学奇术!$A:$ZZ,4,FALSE)+SUM(_xlfn.XLOOKUP($S64:$AL64,增益!$A:$A,增益!$D:$D,0))-$I$2</f>
        <v>4094.7</v>
      </c>
      <c r="AV64" s="40" cm="1">
        <f t="array" ref="AV64">IF($F$10-$I$3+VLOOKUP($R64,武学奇术!$A:$ZZ,6,FALSE)+SUM(_xlfn.XLOOKUP($S64:$AL64,增益!$A:$A,增益!$F:$F,0))&gt;0,($F$10-$I$3+VLOOKUP($R64,武学奇术!$A:$ZZ,6,FALSE)+SUM(_xlfn.XLOOKUP($S64:$AL64,增益!$A:$A,增益!$F:$F,0)))/200,($F$10-$I$3+VLOOKUP($R64,武学奇术!$A:$ZZ,6,FALSE)+SUM(_xlfn.XLOOKUP($S64:$AL64,增益!$A:$A,增益!$F:$F,0)))/100)</f>
        <v>0.4384</v>
      </c>
      <c r="AW64" s="40" cm="1">
        <f t="array" ref="AW64">$G$10+VLOOKUP($R64,武学奇术!$A:$ZZ,7,FALSE)+SUM(_xlfn.XLOOKUP($S64:$AL64,增益!$A:$A,增益!$G:$G,0))</f>
        <v>0.14</v>
      </c>
      <c r="AX64" s="33" cm="1">
        <f t="array" ref="AX64">VLOOKUP($R64,武学奇术!$A:$ZZ,8,FALSE)+SUM(_xlfn.XLOOKUP($S64:$AL64,增益!$A:$A,增益!$H:$H,0))</f>
        <v>0</v>
      </c>
      <c r="AY64">
        <f t="shared" si="15"/>
        <v>0</v>
      </c>
      <c r="AZ64">
        <f t="shared" si="16"/>
        <v>0</v>
      </c>
      <c r="BA64" s="40" cm="1">
        <f t="array" ref="BA64">IF($F$11-$I$4+VLOOKUP($R64,武学奇术!$A:$ZZ,9,FALSE)+SUM(_xlfn.XLOOKUP($S64:$AL64,增益!$A:$A,增益!$I:$I,0))&gt;0,($F$11-$I$4+VLOOKUP($R64,武学奇术!$A:$ZZ,9,FALSE)+SUM(_xlfn.XLOOKUP($S64:$AL64,增益!$A:$A,增益!$I:$I,0)))/200,($F$11-$I$4+VLOOKUP($R64,武学奇术!$A:$ZZ,9,FALSE)+SUM(_xlfn.XLOOKUP($S64:$AL64,增益!$A:$A,增益!$I:$I,0)))/100)</f>
        <v>-0.14</v>
      </c>
      <c r="BB64" s="40" cm="1">
        <f t="array" ref="BB64">$G$11+VLOOKUP($R64,武学奇术!$A:$ZZ,10,FALSE)+SUM(_xlfn.XLOOKUP($S64:$AL64,增益!$A:$A,增益!$J:$J,0))</f>
        <v>0.02</v>
      </c>
      <c r="BC64">
        <f t="shared" si="17"/>
        <v>640.3</v>
      </c>
      <c r="BD64">
        <f t="shared" si="18"/>
        <v>1770.1</v>
      </c>
      <c r="BE64" s="40" cm="1">
        <f t="array" ref="BE64">IF($F$12-$I$4+VLOOKUP($R64,武学奇术!$A:$ZZ,11,FALSE)+SUM(_xlfn.XLOOKUP($S64:$AL64,增益!$A:$A,增益!$K:$K,0))&gt;0,($F$12-$I$4+VLOOKUP($R64,武学奇术!$A:$ZZ,11,FALSE)+SUM(_xlfn.XLOOKUP($S64:$AL64,增益!$A:$A,增益!$K:$K,0)))/200,($F$12-$I$4+VLOOKUP($R64,武学奇术!$A:$ZZ,11,FALSE)+SUM(_xlfn.XLOOKUP($S64:$AL64,增益!$A:$A,增益!$K:$K,0)))/100)</f>
        <v>0.17</v>
      </c>
      <c r="BF64" s="40" cm="1">
        <f t="array" ref="BF64">$G$12+VLOOKUP($R64,武学奇术!$A:$ZZ,12,FALSE)+SUM(_xlfn.XLOOKUP($S64:$AL64,增益!$A:$A,增益!$L:$L,0))</f>
        <v>0.29</v>
      </c>
      <c r="BG64">
        <f t="shared" si="19"/>
        <v>0</v>
      </c>
      <c r="BH64">
        <f t="shared" si="20"/>
        <v>0</v>
      </c>
      <c r="BI64" s="40" cm="1">
        <f t="array" ref="BI64">IF($F$13-$I$4+VLOOKUP($R64,武学奇术!$A:$ZZ,13,FALSE)+SUM(_xlfn.XLOOKUP($S64:$AL64,增益!$A:$A,增益!$M:$M,0))&gt;0,($F$13-$I$4+VLOOKUP($R64,武学奇术!$A:$ZZ,13,FALSE)+SUM(_xlfn.XLOOKUP($S64:$AL64,增益!$A:$A,增益!$K:$K,0)))/200,($F$13-$I$4+VLOOKUP($R64,武学奇术!$A:$ZZ,13,FALSE)+SUM(_xlfn.XLOOKUP($S64:$AL64,增益!$A:$A,增益!$M:$M,0)))/100)</f>
        <v>-0.14</v>
      </c>
      <c r="BJ64" s="40" cm="1">
        <f t="array" ref="BJ64">$G$13+VLOOKUP($R64,武学奇术!$A:$ZZ,14,FALSE)+SUM(_xlfn.XLOOKUP($S64:$AL64,增益!$A:$A,增益!$N:$N,0))</f>
        <v>0.02</v>
      </c>
      <c r="BK64">
        <f t="shared" si="21"/>
        <v>0</v>
      </c>
      <c r="BL64">
        <f t="shared" si="22"/>
        <v>0</v>
      </c>
      <c r="BM64" s="40" cm="1">
        <f t="array" ref="BM64">IF($F$14-$I$4+VLOOKUP($R64,武学奇术!$A:$ZZ,15,FALSE)+SUM(_xlfn.XLOOKUP($S64:$AL64,增益!$A:$A,增益!$O:$O,0))&gt;0,($F$14-$I$4+VLOOKUP($R64,武学奇术!$A:$ZZ,15,FALSE)+SUM(_xlfn.XLOOKUP($S64:$AL64,增益!$A:$A,增益!$O:$O,0)))/200,($F$14-$I$4+VLOOKUP($R64,武学奇术!$A:$ZZ,15,FALSE)+SUM(_xlfn.XLOOKUP($S64:$AL64,增益!$A:$A,增益!$O:$O,0)))/100)</f>
        <v>-0.14</v>
      </c>
      <c r="BN64" s="40" cm="1">
        <f t="array" ref="BN64">$G$14+VLOOKUP($R64,武学奇术!$A:$ZZ,16,FALSE)+SUM(_xlfn.XLOOKUP($S64:$AL64,增益!$A:$A,增益!$P:$P,0))</f>
        <v>0.02</v>
      </c>
      <c r="BO64" s="33">
        <f>MIN(IF(VLOOKUP($R64,武学奇术!$A:$ZZ,23,FALSE)=1,100%,$B$8),100%)</f>
        <v>0.9771</v>
      </c>
      <c r="BP64" s="33" cm="1">
        <f t="array" ref="BP64">IF(VLOOKUP($R64,武学奇术!$A:$ZZ,23,FALSE)=1,100%,MIN(80%,$B$9+VLOOKUP($R64,武学奇术!$A:$ZZ,17,FALSE)+SUM(_xlfn.XLOOKUP($S64:$AL64,增益!$A:$A,增益!$Q:$Q,0)))+$B$11+SUM(_xlfn.XLOOKUP($S64:$AL64,增益!$A:$A,增益!$U:$U,0)))*IF(VLOOKUP($R64,武学奇术!$A:$ZZ,24,FALSE)=1,0,1)</f>
        <v>0.8861</v>
      </c>
      <c r="BQ64" s="33" cm="1">
        <f t="array" ref="BQ64">1+$B$13+VLOOKUP($R64,武学奇术!$A:$ZZ,18,FALSE)+SUM(_xlfn.XLOOKUP($S64:$AL64,增益!$A:$A,增益!$R:$R,0))</f>
        <v>2</v>
      </c>
      <c r="BR64" s="33" cm="1">
        <f t="array" ref="BR64">IF(VLOOKUP($R64,武学奇术!$A:$ZZ,24,FALSE)=1,100%,MIN(40%,$B$10+VLOOKUP($R64,武学奇术!$A:$ZZ,19,FALSE)+SUM(_xlfn.XLOOKUP($S64:$AL64,增益!$A:$A,增益!$S:$S,0)))+$B$12+SUM(_xlfn.XLOOKUP($S64:$AL64,增益!$A:$A,增益!$V:$V,0)))*IF(VLOOKUP($R64,武学奇术!$A:$ZZ,23,FALSE)=1,0,1)</f>
        <v>0.0913</v>
      </c>
      <c r="BS64" s="33" cm="1">
        <f t="array" ref="BS64">1+$B$14+VLOOKUP($R64,武学奇术!$A:$ZZ,20,FALSE)+SUM(_xlfn.XLOOKUP($S64:$AL64,增益!$A:$A,增益!$T:$T,0))</f>
        <v>1.35</v>
      </c>
      <c r="BT64" s="33">
        <f t="shared" si="23"/>
        <v>0.86580831</v>
      </c>
      <c r="BU64" s="33">
        <f t="shared" si="24"/>
        <v>0.02208246</v>
      </c>
      <c r="BV64" s="33">
        <f>IF(VLOOKUP($R64,武学奇术!$A:$ZZ,22,FALSE)=1,0,(1-$BO64))*(1-$BR64)</f>
        <v>0.02080923</v>
      </c>
      <c r="BW64" s="33" cm="1">
        <f t="array" ref="BW64">SUM(_xlfn.XLOOKUP($S64:$AL64,增益!$A:$A,增益!$W:$W,0))+$I$5</f>
        <v>0.11</v>
      </c>
      <c r="BX64" s="33" cm="1">
        <f t="array" ref="BX64">VLOOKUP($R64,武学奇术!$A:$ZZ,32,FALSE)+SUM(_xlfn.XLOOKUP($S64:$AL64,增益!$A:$A,增益!$X:$X,0))</f>
        <v>0</v>
      </c>
    </row>
    <row r="65" spans="1:76">
      <c r="A65" t="s">
        <v>116</v>
      </c>
      <c r="B65">
        <v>2.3</v>
      </c>
      <c r="L65" s="46">
        <f t="shared" si="28"/>
        <v>23537.2169640583</v>
      </c>
      <c r="M65" s="46">
        <f>((($AT65+$AU65)/2*$AN65+$AO65)*(1+$AV65)*(1+$AW65)+(($AY65+$AZ65)/2*IF($G$1="鸣金",$AP65,$AN65)+IF($G$1="鸣金",$AQ65*1.5,0))*(1+$BA65)*(1+$BB65)+(($BC65+$BD65)/2*IF($G$1="裂石",$AP65,$AN65)+IF($G$1="裂石",$AQ65*1.5,0))*(1+$BE65)*(1+$BF65)+(($BG65+$BH65)/2*IF($G$1="牵丝",$AP65,$AN65)+IF($G$1="牵丝",$AQ65*1.5,0))*(1+$BI65)*(1+$BJ65)+(($BK65+$BL65)/2*IF($G$1="破竹",$AP65,$AN65)+IF($G$1="破竹",$AQ65*1.5,0))*(1+$BM65)*(1+$BN65))*(1+$AR65)*$BQ65*$Q65*(1+IF(VLOOKUP($R65,武学奇术!$A:$ZZ,30,FALSE)="蓄力技",$B$21,0))*(1+IF(VLOOKUP($R65,武学奇术!$A:$ZZ,30,FALSE)="派生技",$B$20,0))*(1+$BW65)*(1+$BX65)</f>
        <v>24625.1806524956</v>
      </c>
      <c r="N65" s="46">
        <f>(($AU65*$AN65+$AO65)*(1+$AV65)*(1+$AW65)+($AZ65*IF($G$1="鸣金",$AP65,$AN65)+IF($G$1="鸣金",$AQ65*1.5,0))*(1+$BA65)*(1+$BB65)+($BD65*IF($G$1="裂石",$AP65,$AN65)+IF($G$1="裂石",$AQ65*1.5,0))*(1+$BE65)*(1+$BF65)+($BH65*IF($G$1="牵丝",$AP65,$AN65)+IF($G$1="牵丝",$AQ65*1.5,0))*(1+$BI65)*(1+$BJ65)+($BL65*IF($G$1="破竹",$AP65,$AN65)+IF($G$1="破竹",$AQ65*1.5,0))*(1+$BM65)*(1+$BN65))*(1+$AR65)*$BS65*$Q65*(1+IF(VLOOKUP($R65,武学奇术!$A:$ZZ,30,FALSE)="蓄力技",$B$21,0))*(1+IF(VLOOKUP($R65,武学奇术!$A:$ZZ,30,FALSE)="派生技",$B$20,0))*(1+$BW65)*(1+$BX65)</f>
        <v>18873.2072050448</v>
      </c>
      <c r="O65" s="46">
        <f>((($AT65+$AU65)/2*$AN65+$AO65)*(1+$AV65)*(1+$AW65)+(($AY65+$AZ65)/2*IF($G$1="鸣金",$AP65,$AN65)+IF($G$1="鸣金",$AQ65*1.5,0))*(1+$BA65)*(1+$BB65)+(($BC65+$BD65)/2*IF($G$1="裂石",$AP65,$AN65)+IF($G$1="裂石",$AQ65*1.5,0))*(1+$BE65)*(1+$BF65)+(($BG65+$BH65)/2*IF($G$1="牵丝",$AP65,$AN65)+IF($G$1="牵丝",$AQ65*1.5,0))*(1+$BI65)*(1+$BJ65)+(($BK65+$BL65)/2*IF($G$1="破竹",$AP65,$AN65)+IF($G$1="破竹",$AQ65*1.5,0))*(1+$BM65)*(1+$BN65))*(1+$AR65)*$Q65*(1+IF(VLOOKUP($R65,武学奇术!$A:$ZZ,30,FALSE)="蓄力技",$B$21,0))*(1+IF(VLOOKUP($R65,武学奇术!$A:$ZZ,30,FALSE)="派生技",$B$20,0))*(1+$BW65)*(1+$BX65)</f>
        <v>12312.5903262478</v>
      </c>
      <c r="P65" s="46">
        <f>((($AT65*$AN65+$AO65)*(1+$AV65)*(1+$AW65)+($AY65*IF($G$1="鸣金",$AP65,$AN65)+IF($G$1="鸣金",$AQ65*1.5,0))*(1+$BA65)*(1+$BB65)+($BC65*IF($G$1="裂石",$AP65,$AN65)+IF($G$1="裂石",$AQ65*1.5,0))*(1+$BE65)*(1+$BF65)+($BG65*IF($G$1="牵丝",$AP65,$AN65)+IF($G$1="牵丝",$AQ65*1.5,0))*(1+$BI65)*(1+$BJ65)+($BK65*IF($G$1="破竹",$AP65,$AN65)+IF($G$1="破竹",$AQ65*1.5,0))*(1+$BM65)*(1+$BN65))*(1+$AR65))*$Q65*(1+IF(VLOOKUP($R65,武学奇术!$A:$ZZ,30,FALSE)="蓄力技",$B$21,0))*(1+IF(VLOOKUP($R65,武学奇术!$A:$ZZ,30,FALSE)="派生技",$B$20,0))*(1+$BW65)*(1+$BX65)</f>
        <v>10645.0271672772</v>
      </c>
      <c r="Q65" s="47">
        <f t="shared" si="27"/>
        <v>1</v>
      </c>
      <c r="R65" s="48" t="s">
        <v>140</v>
      </c>
      <c r="S65" s="48" t="s">
        <v>99</v>
      </c>
      <c r="T65" s="48" t="s">
        <v>182</v>
      </c>
      <c r="U65" s="48" t="s">
        <v>79</v>
      </c>
      <c r="V65" s="48" t="s">
        <v>90</v>
      </c>
      <c r="W65" s="48" t="s">
        <v>141</v>
      </c>
      <c r="X65" s="48" t="s">
        <v>80</v>
      </c>
      <c r="Y65" s="48" t="s">
        <v>74</v>
      </c>
      <c r="Z65" s="48" t="s">
        <v>80</v>
      </c>
      <c r="AA65" s="48" t="s">
        <v>80</v>
      </c>
      <c r="AB65" s="48" t="s">
        <v>80</v>
      </c>
      <c r="AC65" s="48" t="s">
        <v>80</v>
      </c>
      <c r="AD65" s="48" t="s">
        <v>80</v>
      </c>
      <c r="AE65" s="48" t="s">
        <v>82</v>
      </c>
      <c r="AF65" s="48" t="s">
        <v>83</v>
      </c>
      <c r="AG65" s="48" t="s">
        <v>84</v>
      </c>
      <c r="AH65" s="48" t="s">
        <v>80</v>
      </c>
      <c r="AI65" s="48" t="s">
        <v>80</v>
      </c>
      <c r="AJ65" s="48" t="s">
        <v>80</v>
      </c>
      <c r="AK65" s="48" t="s">
        <v>80</v>
      </c>
      <c r="AL65" s="48" t="s">
        <v>85</v>
      </c>
      <c r="AM65" t="str">
        <f>VLOOKUP($R65,武学奇术!$A:$ZZ,25,FALSE)</f>
        <v>陌刀</v>
      </c>
      <c r="AN65" s="33">
        <f>VLOOKUP($R65,武学奇术!$A:$ZZ,26,FALSE)</f>
        <v>0.525</v>
      </c>
      <c r="AO65" s="34">
        <f>VLOOKUP($R65,武学奇术!$A:$ZZ,27,FALSE)*(1+IF(OR($AM65=$F$4,$AM65=$F$5),$B$22,0))</f>
        <v>0</v>
      </c>
      <c r="AP65" s="33">
        <f>VLOOKUP($R65,武学奇术!$A:$ZZ,28,FALSE)</f>
        <v>0.7875</v>
      </c>
      <c r="AQ65" s="34">
        <f>VLOOKUP($R65,武学奇术!$A:$ZZ,29,FALSE)*(1+IF(OR($AM65=$F$4,$AM65=$F$5),$B$22,0))</f>
        <v>0</v>
      </c>
      <c r="AR65" s="33" cm="1">
        <f t="array" ref="AR65">$G$3+IFERROR(VLOOKUP($AM65,$F$4:$G$7,2,FALSE),0)+VLOOKUP($R65,武学奇术!$A:$ZZ,2,FALSE)+SUM(_xlfn.XLOOKUP($S65:$AL65,增益!$A:$A,增益!$B:$B,0))</f>
        <v>0.6943</v>
      </c>
      <c r="AS65" s="33" cm="1">
        <f t="array" ref="AS65">VLOOKUP($R65,武学奇术!$A:$ZZ,5,FALSE)+SUM(_xlfn.XLOOKUP($S65:$AL65,增益!$A:$A,增益!$E:$E,0))</f>
        <v>0</v>
      </c>
      <c r="AT65" cm="1">
        <f t="array" ref="AT65">$D$10*(1+$AS65)+VLOOKUP($R65,武学奇术!$A:$ZZ,3,FALSE)+SUM(_xlfn.XLOOKUP($S65:$AL65,增益!$A:$A,增益!$C:$C,0))-$I$2</f>
        <v>4094.7</v>
      </c>
      <c r="AU65" cm="1">
        <f t="array" ref="AU65">$E$10*(1+$AS65)+VLOOKUP($R65,武学奇术!$A:$ZZ,4,FALSE)+SUM(_xlfn.XLOOKUP($S65:$AL65,增益!$A:$A,增益!$D:$D,0))-$I$2</f>
        <v>4094.7</v>
      </c>
      <c r="AV65" s="40" cm="1">
        <f t="array" ref="AV65">IF($F$10-$I$3+VLOOKUP($R65,武学奇术!$A:$ZZ,6,FALSE)+SUM(_xlfn.XLOOKUP($S65:$AL65,增益!$A:$A,增益!$F:$F,0))&gt;0,($F$10-$I$3+VLOOKUP($R65,武学奇术!$A:$ZZ,6,FALSE)+SUM(_xlfn.XLOOKUP($S65:$AL65,增益!$A:$A,增益!$F:$F,0)))/200,($F$10-$I$3+VLOOKUP($R65,武学奇术!$A:$ZZ,6,FALSE)+SUM(_xlfn.XLOOKUP($S65:$AL65,增益!$A:$A,增益!$F:$F,0)))/100)</f>
        <v>0.4384</v>
      </c>
      <c r="AW65" s="40" cm="1">
        <f t="array" ref="AW65">$G$10+VLOOKUP($R65,武学奇术!$A:$ZZ,7,FALSE)+SUM(_xlfn.XLOOKUP($S65:$AL65,增益!$A:$A,增益!$G:$G,0))</f>
        <v>0.14</v>
      </c>
      <c r="AX65" s="33" cm="1">
        <f t="array" ref="AX65">VLOOKUP($R65,武学奇术!$A:$ZZ,8,FALSE)+SUM(_xlfn.XLOOKUP($S65:$AL65,增益!$A:$A,增益!$H:$H,0))</f>
        <v>0</v>
      </c>
      <c r="AY65">
        <f t="shared" si="15"/>
        <v>0</v>
      </c>
      <c r="AZ65">
        <f t="shared" si="16"/>
        <v>0</v>
      </c>
      <c r="BA65" s="40" cm="1">
        <f t="array" ref="BA65">IF($F$11-$I$4+VLOOKUP($R65,武学奇术!$A:$ZZ,9,FALSE)+SUM(_xlfn.XLOOKUP($S65:$AL65,增益!$A:$A,增益!$I:$I,0))&gt;0,($F$11-$I$4+VLOOKUP($R65,武学奇术!$A:$ZZ,9,FALSE)+SUM(_xlfn.XLOOKUP($S65:$AL65,增益!$A:$A,增益!$I:$I,0)))/200,($F$11-$I$4+VLOOKUP($R65,武学奇术!$A:$ZZ,9,FALSE)+SUM(_xlfn.XLOOKUP($S65:$AL65,增益!$A:$A,增益!$I:$I,0)))/100)</f>
        <v>-0.14</v>
      </c>
      <c r="BB65" s="40" cm="1">
        <f t="array" ref="BB65">$G$11+VLOOKUP($R65,武学奇术!$A:$ZZ,10,FALSE)+SUM(_xlfn.XLOOKUP($S65:$AL65,增益!$A:$A,增益!$J:$J,0))</f>
        <v>0.02</v>
      </c>
      <c r="BC65">
        <f t="shared" si="17"/>
        <v>640.3</v>
      </c>
      <c r="BD65">
        <f t="shared" si="18"/>
        <v>1770.1</v>
      </c>
      <c r="BE65" s="40" cm="1">
        <f t="array" ref="BE65">IF($F$12-$I$4+VLOOKUP($R65,武学奇术!$A:$ZZ,11,FALSE)+SUM(_xlfn.XLOOKUP($S65:$AL65,增益!$A:$A,增益!$K:$K,0))&gt;0,($F$12-$I$4+VLOOKUP($R65,武学奇术!$A:$ZZ,11,FALSE)+SUM(_xlfn.XLOOKUP($S65:$AL65,增益!$A:$A,增益!$K:$K,0)))/200,($F$12-$I$4+VLOOKUP($R65,武学奇术!$A:$ZZ,11,FALSE)+SUM(_xlfn.XLOOKUP($S65:$AL65,增益!$A:$A,增益!$K:$K,0)))/100)</f>
        <v>0.17</v>
      </c>
      <c r="BF65" s="40" cm="1">
        <f t="array" ref="BF65">$G$12+VLOOKUP($R65,武学奇术!$A:$ZZ,12,FALSE)+SUM(_xlfn.XLOOKUP($S65:$AL65,增益!$A:$A,增益!$L:$L,0))</f>
        <v>0.29</v>
      </c>
      <c r="BG65">
        <f t="shared" si="19"/>
        <v>0</v>
      </c>
      <c r="BH65">
        <f t="shared" si="20"/>
        <v>0</v>
      </c>
      <c r="BI65" s="40" cm="1">
        <f t="array" ref="BI65">IF($F$13-$I$4+VLOOKUP($R65,武学奇术!$A:$ZZ,13,FALSE)+SUM(_xlfn.XLOOKUP($S65:$AL65,增益!$A:$A,增益!$M:$M,0))&gt;0,($F$13-$I$4+VLOOKUP($R65,武学奇术!$A:$ZZ,13,FALSE)+SUM(_xlfn.XLOOKUP($S65:$AL65,增益!$A:$A,增益!$K:$K,0)))/200,($F$13-$I$4+VLOOKUP($R65,武学奇术!$A:$ZZ,13,FALSE)+SUM(_xlfn.XLOOKUP($S65:$AL65,增益!$A:$A,增益!$M:$M,0)))/100)</f>
        <v>-0.14</v>
      </c>
      <c r="BJ65" s="40" cm="1">
        <f t="array" ref="BJ65">$G$13+VLOOKUP($R65,武学奇术!$A:$ZZ,14,FALSE)+SUM(_xlfn.XLOOKUP($S65:$AL65,增益!$A:$A,增益!$N:$N,0))</f>
        <v>0.02</v>
      </c>
      <c r="BK65">
        <f t="shared" si="21"/>
        <v>0</v>
      </c>
      <c r="BL65">
        <f t="shared" si="22"/>
        <v>0</v>
      </c>
      <c r="BM65" s="40" cm="1">
        <f t="array" ref="BM65">IF($F$14-$I$4+VLOOKUP($R65,武学奇术!$A:$ZZ,15,FALSE)+SUM(_xlfn.XLOOKUP($S65:$AL65,增益!$A:$A,增益!$O:$O,0))&gt;0,($F$14-$I$4+VLOOKUP($R65,武学奇术!$A:$ZZ,15,FALSE)+SUM(_xlfn.XLOOKUP($S65:$AL65,增益!$A:$A,增益!$O:$O,0)))/200,($F$14-$I$4+VLOOKUP($R65,武学奇术!$A:$ZZ,15,FALSE)+SUM(_xlfn.XLOOKUP($S65:$AL65,增益!$A:$A,增益!$O:$O,0)))/100)</f>
        <v>-0.14</v>
      </c>
      <c r="BN65" s="40" cm="1">
        <f t="array" ref="BN65">$G$14+VLOOKUP($R65,武学奇术!$A:$ZZ,16,FALSE)+SUM(_xlfn.XLOOKUP($S65:$AL65,增益!$A:$A,增益!$P:$P,0))</f>
        <v>0.02</v>
      </c>
      <c r="BO65" s="33">
        <f>MIN(IF(VLOOKUP($R65,武学奇术!$A:$ZZ,23,FALSE)=1,100%,$B$8),100%)</f>
        <v>0.9771</v>
      </c>
      <c r="BP65" s="33" cm="1">
        <f t="array" ref="BP65">IF(VLOOKUP($R65,武学奇术!$A:$ZZ,23,FALSE)=1,100%,MIN(80%,$B$9+VLOOKUP($R65,武学奇术!$A:$ZZ,17,FALSE)+SUM(_xlfn.XLOOKUP($S65:$AL65,增益!$A:$A,增益!$Q:$Q,0)))+$B$11+SUM(_xlfn.XLOOKUP($S65:$AL65,增益!$A:$A,增益!$U:$U,0)))*IF(VLOOKUP($R65,武学奇术!$A:$ZZ,24,FALSE)=1,0,1)</f>
        <v>0.8861</v>
      </c>
      <c r="BQ65" s="33" cm="1">
        <f t="array" ref="BQ65">1+$B$13+VLOOKUP($R65,武学奇术!$A:$ZZ,18,FALSE)+SUM(_xlfn.XLOOKUP($S65:$AL65,增益!$A:$A,增益!$R:$R,0))</f>
        <v>2</v>
      </c>
      <c r="BR65" s="33" cm="1">
        <f t="array" ref="BR65">IF(VLOOKUP($R65,武学奇术!$A:$ZZ,24,FALSE)=1,100%,MIN(40%,$B$10+VLOOKUP($R65,武学奇术!$A:$ZZ,19,FALSE)+SUM(_xlfn.XLOOKUP($S65:$AL65,增益!$A:$A,增益!$S:$S,0)))+$B$12+SUM(_xlfn.XLOOKUP($S65:$AL65,增益!$A:$A,增益!$V:$V,0)))*IF(VLOOKUP($R65,武学奇术!$A:$ZZ,23,FALSE)=1,0,1)</f>
        <v>0.0913</v>
      </c>
      <c r="BS65" s="33" cm="1">
        <f t="array" ref="BS65">1+$B$14+VLOOKUP($R65,武学奇术!$A:$ZZ,20,FALSE)+SUM(_xlfn.XLOOKUP($S65:$AL65,增益!$A:$A,增益!$T:$T,0))</f>
        <v>1.35</v>
      </c>
      <c r="BT65" s="33">
        <f t="shared" si="23"/>
        <v>0.86580831</v>
      </c>
      <c r="BU65" s="33">
        <f t="shared" si="24"/>
        <v>0.02208246</v>
      </c>
      <c r="BV65" s="33">
        <f>IF(VLOOKUP($R65,武学奇术!$A:$ZZ,22,FALSE)=1,0,(1-$BO65))*(1-$BR65)</f>
        <v>0.02080923</v>
      </c>
      <c r="BW65" s="33" cm="1">
        <f t="array" ref="BW65">SUM(_xlfn.XLOOKUP($S65:$AL65,增益!$A:$A,增益!$W:$W,0))+$I$5</f>
        <v>0.11</v>
      </c>
      <c r="BX65" s="33" cm="1">
        <f t="array" ref="BX65">VLOOKUP($R65,武学奇术!$A:$ZZ,32,FALSE)+SUM(_xlfn.XLOOKUP($S65:$AL65,增益!$A:$A,增益!$X:$X,0))</f>
        <v>0</v>
      </c>
    </row>
    <row r="66" spans="1:76">
      <c r="A66" t="s">
        <v>164</v>
      </c>
      <c r="B66">
        <v>1</v>
      </c>
      <c r="L66" s="46">
        <f t="shared" si="28"/>
        <v>46541.5914332166</v>
      </c>
      <c r="M66" s="46">
        <f>((($AT66+$AU66)/2*$AN66+$AO66)*(1+$AV66)*(1+$AW66)+(($AY66+$AZ66)/2*IF($G$1="鸣金",$AP66,$AN66)+IF($G$1="鸣金",$AQ66*1.5,0))*(1+$BA66)*(1+$BB66)+(($BC66+$BD66)/2*IF($G$1="裂石",$AP66,$AN66)+IF($G$1="裂石",$AQ66*1.5,0))*(1+$BE66)*(1+$BF66)+(($BG66+$BH66)/2*IF($G$1="牵丝",$AP66,$AN66)+IF($G$1="牵丝",$AQ66*1.5,0))*(1+$BI66)*(1+$BJ66)+(($BK66+$BL66)/2*IF($G$1="破竹",$AP66,$AN66)+IF($G$1="破竹",$AQ66*1.5,0))*(1+$BM66)*(1+$BN66))*(1+$AR66)*$BQ66*$Q66*(1+IF(VLOOKUP($R66,武学奇术!$A:$ZZ,30,FALSE)="蓄力技",$B$21,0))*(1+IF(VLOOKUP($R66,武学奇术!$A:$ZZ,30,FALSE)="派生技",$B$20,0))*(1+$BW66)*(1+$BX66)</f>
        <v>46541.5914332166</v>
      </c>
      <c r="N66" s="46">
        <f>(($AU66*$AN66+$AO66)*(1+$AV66)*(1+$AW66)+($AZ66*IF($G$1="鸣金",$AP66,$AN66)+IF($G$1="鸣金",$AQ66*1.5,0))*(1+$BA66)*(1+$BB66)+($BD66*IF($G$1="裂石",$AP66,$AN66)+IF($G$1="裂石",$AQ66*1.5,0))*(1+$BE66)*(1+$BF66)+($BH66*IF($G$1="牵丝",$AP66,$AN66)+IF($G$1="牵丝",$AQ66*1.5,0))*(1+$BI66)*(1+$BJ66)+($BL66*IF($G$1="破竹",$AP66,$AN66)+IF($G$1="破竹",$AQ66*1.5,0))*(1+$BM66)*(1+$BN66))*(1+$AR66)*$BS66*$Q66*(1+IF(VLOOKUP($R66,武学奇术!$A:$ZZ,30,FALSE)="蓄力技",$B$21,0))*(1+IF(VLOOKUP($R66,武学奇术!$A:$ZZ,30,FALSE)="派生技",$B$20,0))*(1+$BW66)*(1+$BX66)</f>
        <v>33971.7729690806</v>
      </c>
      <c r="O66" s="46">
        <f>((($AT66+$AU66)/2*$AN66+$AO66)*(1+$AV66)*(1+$AW66)+(($AY66+$AZ66)/2*IF($G$1="鸣金",$AP66,$AN66)+IF($G$1="鸣金",$AQ66*1.5,0))*(1+$BA66)*(1+$BB66)+(($BC66+$BD66)/2*IF($G$1="裂石",$AP66,$AN66)+IF($G$1="裂石",$AQ66*1.5,0))*(1+$BE66)*(1+$BF66)+(($BG66+$BH66)/2*IF($G$1="牵丝",$AP66,$AN66)+IF($G$1="牵丝",$AQ66*1.5,0))*(1+$BI66)*(1+$BJ66)+(($BK66+$BL66)/2*IF($G$1="破竹",$AP66,$AN66)+IF($G$1="破竹",$AQ66*1.5,0))*(1+$BM66)*(1+$BN66))*(1+$AR66)*$Q66*(1+IF(VLOOKUP($R66,武学奇术!$A:$ZZ,30,FALSE)="蓄力技",$B$21,0))*(1+IF(VLOOKUP($R66,武学奇术!$A:$ZZ,30,FALSE)="派生技",$B$20,0))*(1+$BW66)*(1+$BX66)</f>
        <v>22162.662587246</v>
      </c>
      <c r="P66" s="46">
        <f>((($AT66*$AN66+$AO66)*(1+$AV66)*(1+$AW66)+($AY66*IF($G$1="鸣金",$AP66,$AN66)+IF($G$1="鸣金",$AQ66*1.5,0))*(1+$BA66)*(1+$BB66)+($BC66*IF($G$1="裂石",$AP66,$AN66)+IF($G$1="裂石",$AQ66*1.5,0))*(1+$BE66)*(1+$BF66)+($BG66*IF($G$1="牵丝",$AP66,$AN66)+IF($G$1="牵丝",$AQ66*1.5,0))*(1+$BI66)*(1+$BJ66)+($BK66*IF($G$1="破竹",$AP66,$AN66)+IF($G$1="破竹",$AQ66*1.5,0))*(1+$BM66)*(1+$BN66))*(1+$AR66))*$Q66*(1+IF(VLOOKUP($R66,武学奇术!$A:$ZZ,30,FALSE)="蓄力技",$B$21,0))*(1+IF(VLOOKUP($R66,武学奇术!$A:$ZZ,30,FALSE)="派生技",$B$20,0))*(1+$BW66)*(1+$BX66)</f>
        <v>19161.0489010989</v>
      </c>
      <c r="Q66" s="47">
        <f t="shared" si="27"/>
        <v>1</v>
      </c>
      <c r="R66" s="48" t="s">
        <v>144</v>
      </c>
      <c r="S66" s="48" t="s">
        <v>99</v>
      </c>
      <c r="T66" s="48" t="s">
        <v>182</v>
      </c>
      <c r="U66" s="48" t="s">
        <v>79</v>
      </c>
      <c r="V66" s="48" t="s">
        <v>90</v>
      </c>
      <c r="W66" s="48" t="s">
        <v>141</v>
      </c>
      <c r="X66" s="48" t="s">
        <v>145</v>
      </c>
      <c r="Y66" s="48" t="s">
        <v>74</v>
      </c>
      <c r="Z66" s="48" t="s">
        <v>80</v>
      </c>
      <c r="AA66" s="48" t="s">
        <v>80</v>
      </c>
      <c r="AB66" s="48" t="s">
        <v>80</v>
      </c>
      <c r="AC66" s="48" t="s">
        <v>80</v>
      </c>
      <c r="AD66" s="48" t="s">
        <v>80</v>
      </c>
      <c r="AE66" s="48" t="s">
        <v>82</v>
      </c>
      <c r="AF66" s="48" t="s">
        <v>83</v>
      </c>
      <c r="AG66" s="48" t="s">
        <v>84</v>
      </c>
      <c r="AH66" s="48" t="s">
        <v>80</v>
      </c>
      <c r="AI66" s="48" t="s">
        <v>80</v>
      </c>
      <c r="AJ66" s="48" t="s">
        <v>80</v>
      </c>
      <c r="AK66" s="48" t="s">
        <v>80</v>
      </c>
      <c r="AL66" s="48" t="s">
        <v>85</v>
      </c>
      <c r="AM66" t="str">
        <f>VLOOKUP($R66,武学奇术!$A:$ZZ,25,FALSE)</f>
        <v>陌刀</v>
      </c>
      <c r="AN66" s="33">
        <f>VLOOKUP($R66,武学奇术!$A:$ZZ,26,FALSE)</f>
        <v>0.945</v>
      </c>
      <c r="AO66" s="34">
        <f>VLOOKUP($R66,武学奇术!$A:$ZZ,27,FALSE)*(1+IF(OR($AM66=$F$4,$AM66=$F$5),$B$22,0))</f>
        <v>0</v>
      </c>
      <c r="AP66" s="33">
        <f>VLOOKUP($R66,武学奇术!$A:$ZZ,28,FALSE)</f>
        <v>1.4175</v>
      </c>
      <c r="AQ66" s="34">
        <f>VLOOKUP($R66,武学奇术!$A:$ZZ,29,FALSE)*(1+IF(OR($AM66=$F$4,$AM66=$F$5),$B$22,0))</f>
        <v>0</v>
      </c>
      <c r="AR66" s="33" cm="1">
        <f t="array" ref="AR66">$G$3+IFERROR(VLOOKUP($AM66,$F$4:$G$7,2,FALSE),0)+VLOOKUP($R66,武学奇术!$A:$ZZ,2,FALSE)+SUM(_xlfn.XLOOKUP($S66:$AL66,增益!$A:$A,增益!$B:$B,0))</f>
        <v>0.6943</v>
      </c>
      <c r="AS66" s="33" cm="1">
        <f t="array" ref="AS66">VLOOKUP($R66,武学奇术!$A:$ZZ,5,FALSE)+SUM(_xlfn.XLOOKUP($S66:$AL66,增益!$A:$A,增益!$E:$E,0))</f>
        <v>0</v>
      </c>
      <c r="AT66" cm="1">
        <f t="array" ref="AT66">$D$10*(1+$AS66)+VLOOKUP($R66,武学奇术!$A:$ZZ,3,FALSE)+SUM(_xlfn.XLOOKUP($S66:$AL66,增益!$A:$A,增益!$C:$C,0))-$I$2</f>
        <v>4094.7</v>
      </c>
      <c r="AU66" cm="1">
        <f t="array" ref="AU66">$E$10*(1+$AS66)+VLOOKUP($R66,武学奇术!$A:$ZZ,4,FALSE)+SUM(_xlfn.XLOOKUP($S66:$AL66,增益!$A:$A,增益!$D:$D,0))-$I$2</f>
        <v>4094.7</v>
      </c>
      <c r="AV66" s="40" cm="1">
        <f t="array" ref="AV66">IF($F$10-$I$3+VLOOKUP($R66,武学奇术!$A:$ZZ,6,FALSE)+SUM(_xlfn.XLOOKUP($S66:$AL66,增益!$A:$A,增益!$F:$F,0))&gt;0,($F$10-$I$3+VLOOKUP($R66,武学奇术!$A:$ZZ,6,FALSE)+SUM(_xlfn.XLOOKUP($S66:$AL66,增益!$A:$A,增益!$F:$F,0)))/200,($F$10-$I$3+VLOOKUP($R66,武学奇术!$A:$ZZ,6,FALSE)+SUM(_xlfn.XLOOKUP($S66:$AL66,增益!$A:$A,增益!$F:$F,0)))/100)</f>
        <v>0.4384</v>
      </c>
      <c r="AW66" s="40" cm="1">
        <f t="array" ref="AW66">$G$10+VLOOKUP($R66,武学奇术!$A:$ZZ,7,FALSE)+SUM(_xlfn.XLOOKUP($S66:$AL66,增益!$A:$A,增益!$G:$G,0))</f>
        <v>0.14</v>
      </c>
      <c r="AX66" s="33" cm="1">
        <f t="array" ref="AX66">VLOOKUP($R66,武学奇术!$A:$ZZ,8,FALSE)+SUM(_xlfn.XLOOKUP($S66:$AL66,增益!$A:$A,增益!$H:$H,0))</f>
        <v>0</v>
      </c>
      <c r="AY66">
        <f t="shared" si="15"/>
        <v>0</v>
      </c>
      <c r="AZ66">
        <f t="shared" si="16"/>
        <v>0</v>
      </c>
      <c r="BA66" s="40" cm="1">
        <f t="array" ref="BA66">IF($F$11-$I$4+VLOOKUP($R66,武学奇术!$A:$ZZ,9,FALSE)+SUM(_xlfn.XLOOKUP($S66:$AL66,增益!$A:$A,增益!$I:$I,0))&gt;0,($F$11-$I$4+VLOOKUP($R66,武学奇术!$A:$ZZ,9,FALSE)+SUM(_xlfn.XLOOKUP($S66:$AL66,增益!$A:$A,增益!$I:$I,0)))/200,($F$11-$I$4+VLOOKUP($R66,武学奇术!$A:$ZZ,9,FALSE)+SUM(_xlfn.XLOOKUP($S66:$AL66,增益!$A:$A,增益!$I:$I,0)))/100)</f>
        <v>-0.14</v>
      </c>
      <c r="BB66" s="40" cm="1">
        <f t="array" ref="BB66">$G$11+VLOOKUP($R66,武学奇术!$A:$ZZ,10,FALSE)+SUM(_xlfn.XLOOKUP($S66:$AL66,增益!$A:$A,增益!$J:$J,0))</f>
        <v>0.02</v>
      </c>
      <c r="BC66">
        <f t="shared" si="17"/>
        <v>640.3</v>
      </c>
      <c r="BD66">
        <f t="shared" si="18"/>
        <v>1770.1</v>
      </c>
      <c r="BE66" s="40" cm="1">
        <f t="array" ref="BE66">IF($F$12-$I$4+VLOOKUP($R66,武学奇术!$A:$ZZ,11,FALSE)+SUM(_xlfn.XLOOKUP($S66:$AL66,增益!$A:$A,增益!$K:$K,0))&gt;0,($F$12-$I$4+VLOOKUP($R66,武学奇术!$A:$ZZ,11,FALSE)+SUM(_xlfn.XLOOKUP($S66:$AL66,增益!$A:$A,增益!$K:$K,0)))/200,($F$12-$I$4+VLOOKUP($R66,武学奇术!$A:$ZZ,11,FALSE)+SUM(_xlfn.XLOOKUP($S66:$AL66,增益!$A:$A,增益!$K:$K,0)))/100)</f>
        <v>0.17</v>
      </c>
      <c r="BF66" s="40" cm="1">
        <f t="array" ref="BF66">$G$12+VLOOKUP($R66,武学奇术!$A:$ZZ,12,FALSE)+SUM(_xlfn.XLOOKUP($S66:$AL66,增益!$A:$A,增益!$L:$L,0))</f>
        <v>0.29</v>
      </c>
      <c r="BG66">
        <f t="shared" si="19"/>
        <v>0</v>
      </c>
      <c r="BH66">
        <f t="shared" si="20"/>
        <v>0</v>
      </c>
      <c r="BI66" s="40" cm="1">
        <f t="array" ref="BI66">IF($F$13-$I$4+VLOOKUP($R66,武学奇术!$A:$ZZ,13,FALSE)+SUM(_xlfn.XLOOKUP($S66:$AL66,增益!$A:$A,增益!$M:$M,0))&gt;0,($F$13-$I$4+VLOOKUP($R66,武学奇术!$A:$ZZ,13,FALSE)+SUM(_xlfn.XLOOKUP($S66:$AL66,增益!$A:$A,增益!$K:$K,0)))/200,($F$13-$I$4+VLOOKUP($R66,武学奇术!$A:$ZZ,13,FALSE)+SUM(_xlfn.XLOOKUP($S66:$AL66,增益!$A:$A,增益!$M:$M,0)))/100)</f>
        <v>-0.14</v>
      </c>
      <c r="BJ66" s="40" cm="1">
        <f t="array" ref="BJ66">$G$13+VLOOKUP($R66,武学奇术!$A:$ZZ,14,FALSE)+SUM(_xlfn.XLOOKUP($S66:$AL66,增益!$A:$A,增益!$N:$N,0))</f>
        <v>0.02</v>
      </c>
      <c r="BK66">
        <f t="shared" si="21"/>
        <v>0</v>
      </c>
      <c r="BL66">
        <f t="shared" si="22"/>
        <v>0</v>
      </c>
      <c r="BM66" s="40" cm="1">
        <f t="array" ref="BM66">IF($F$14-$I$4+VLOOKUP($R66,武学奇术!$A:$ZZ,15,FALSE)+SUM(_xlfn.XLOOKUP($S66:$AL66,增益!$A:$A,增益!$O:$O,0))&gt;0,($F$14-$I$4+VLOOKUP($R66,武学奇术!$A:$ZZ,15,FALSE)+SUM(_xlfn.XLOOKUP($S66:$AL66,增益!$A:$A,增益!$O:$O,0)))/200,($F$14-$I$4+VLOOKUP($R66,武学奇术!$A:$ZZ,15,FALSE)+SUM(_xlfn.XLOOKUP($S66:$AL66,增益!$A:$A,增益!$O:$O,0)))/100)</f>
        <v>-0.14</v>
      </c>
      <c r="BN66" s="40" cm="1">
        <f t="array" ref="BN66">$G$14+VLOOKUP($R66,武学奇术!$A:$ZZ,16,FALSE)+SUM(_xlfn.XLOOKUP($S66:$AL66,增益!$A:$A,增益!$P:$P,0))</f>
        <v>0.02</v>
      </c>
      <c r="BO66" s="33">
        <f>MIN(IF(VLOOKUP($R66,武学奇术!$A:$ZZ,23,FALSE)=1,100%,$B$8),100%)</f>
        <v>1</v>
      </c>
      <c r="BP66" s="33" cm="1">
        <f t="array" ref="BP66">IF(VLOOKUP($R66,武学奇术!$A:$ZZ,23,FALSE)=1,100%,MIN(80%,$B$9+VLOOKUP($R66,武学奇术!$A:$ZZ,17,FALSE)+SUM(_xlfn.XLOOKUP($S66:$AL66,增益!$A:$A,增益!$Q:$Q,0)))+$B$11+SUM(_xlfn.XLOOKUP($S66:$AL66,增益!$A:$A,增益!$U:$U,0)))*IF(VLOOKUP($R66,武学奇术!$A:$ZZ,24,FALSE)=1,0,1)</f>
        <v>1</v>
      </c>
      <c r="BQ66" s="33" cm="1">
        <f t="array" ref="BQ66">1+$B$13+VLOOKUP($R66,武学奇术!$A:$ZZ,18,FALSE)+SUM(_xlfn.XLOOKUP($S66:$AL66,增益!$A:$A,增益!$R:$R,0))</f>
        <v>2.1</v>
      </c>
      <c r="BR66" s="33" cm="1">
        <f t="array" ref="BR66">IF(VLOOKUP($R66,武学奇术!$A:$ZZ,24,FALSE)=1,100%,MIN(40%,$B$10+VLOOKUP($R66,武学奇术!$A:$ZZ,19,FALSE)+SUM(_xlfn.XLOOKUP($S66:$AL66,增益!$A:$A,增益!$S:$S,0)))+$B$12+SUM(_xlfn.XLOOKUP($S66:$AL66,增益!$A:$A,增益!$V:$V,0)))*IF(VLOOKUP($R66,武学奇术!$A:$ZZ,23,FALSE)=1,0,1)</f>
        <v>0</v>
      </c>
      <c r="BS66" s="33" cm="1">
        <f t="array" ref="BS66">1+$B$14+VLOOKUP($R66,武学奇术!$A:$ZZ,20,FALSE)+SUM(_xlfn.XLOOKUP($S66:$AL66,增益!$A:$A,增益!$T:$T,0))</f>
        <v>1.35</v>
      </c>
      <c r="BT66" s="33">
        <f t="shared" si="23"/>
        <v>1</v>
      </c>
      <c r="BU66" s="33">
        <f t="shared" si="24"/>
        <v>0</v>
      </c>
      <c r="BV66" s="33">
        <f>IF(VLOOKUP($R66,武学奇术!$A:$ZZ,22,FALSE)=1,0,(1-$BO66))*(1-$BR66)</f>
        <v>0</v>
      </c>
      <c r="BW66" s="33" cm="1">
        <f t="array" ref="BW66">SUM(_xlfn.XLOOKUP($S66:$AL66,增益!$A:$A,增益!$W:$W,0))+$I$5</f>
        <v>0.11</v>
      </c>
      <c r="BX66" s="33" cm="1">
        <f t="array" ref="BX66">VLOOKUP($R66,武学奇术!$A:$ZZ,32,FALSE)+SUM(_xlfn.XLOOKUP($S66:$AL66,增益!$A:$A,增益!$X:$X,0))</f>
        <v>0</v>
      </c>
    </row>
    <row r="67" spans="1:76">
      <c r="A67" s="4" t="s">
        <v>166</v>
      </c>
      <c r="B67" s="4">
        <v>0.1</v>
      </c>
      <c r="D67" s="47" t="s">
        <v>167</v>
      </c>
      <c r="H67" s="4"/>
      <c r="L67" s="46">
        <f t="shared" si="28"/>
        <v>422875.948733113</v>
      </c>
      <c r="M67" s="46">
        <f>((($AT67+$AU67)/2*$AN67+$AO67)*(1+$AV67)*(1+$AW67)+(($AY67+$AZ67)/2*IF($G$1="鸣金",$AP67,$AN67)+IF($G$1="鸣金",$AQ67*1.5,0))*(1+$BA67)*(1+$BB67)+(($BC67+$BD67)/2*IF($G$1="裂石",$AP67,$AN67)+IF($G$1="裂石",$AQ67*1.5,0))*(1+$BE67)*(1+$BF67)+(($BG67+$BH67)/2*IF($G$1="牵丝",$AP67,$AN67)+IF($G$1="牵丝",$AQ67*1.5,0))*(1+$BI67)*(1+$BJ67)+(($BK67+$BL67)/2*IF($G$1="破竹",$AP67,$AN67)+IF($G$1="破竹",$AQ67*1.5,0))*(1+$BM67)*(1+$BN67))*(1+$AR67)*$BQ67*$Q67*(1+IF(VLOOKUP($R67,武学奇术!$A:$ZZ,30,FALSE)="蓄力技",$B$21,0))*(1+IF(VLOOKUP($R67,武学奇术!$A:$ZZ,30,FALSE)="派生技",$B$20,0))*(1+$BW67)*(1+$BX67)</f>
        <v>422875.948733113</v>
      </c>
      <c r="N67" s="46">
        <f>(($AU67*$AN67+$AO67)*(1+$AV67)*(1+$AW67)+($AZ67*IF($G$1="鸣金",$AP67,$AN67)+IF($G$1="鸣金",$AQ67*1.5,0))*(1+$BA67)*(1+$BB67)+($BD67*IF($G$1="裂石",$AP67,$AN67)+IF($G$1="裂石",$AQ67*1.5,0))*(1+$BE67)*(1+$BF67)+($BH67*IF($G$1="牵丝",$AP67,$AN67)+IF($G$1="牵丝",$AQ67*1.5,0))*(1+$BI67)*(1+$BJ67)+($BL67*IF($G$1="破竹",$AP67,$AN67)+IF($G$1="破竹",$AQ67*1.5,0))*(1+$BM67)*(1+$BN67))*(1+$AR67)*$BS67*$Q67*(1+IF(VLOOKUP($R67,武学奇术!$A:$ZZ,30,FALSE)="蓄力技",$B$21,0))*(1+IF(VLOOKUP($R67,武学奇术!$A:$ZZ,30,FALSE)="派生技",$B$20,0))*(1+$BW67)*(1+$BX67)</f>
        <v>304298.269208613</v>
      </c>
      <c r="O67" s="46">
        <f>((($AT67+$AU67)/2*$AN67+$AO67)*(1+$AV67)*(1+$AW67)+(($AY67+$AZ67)/2*IF($G$1="鸣金",$AP67,$AN67)+IF($G$1="鸣金",$AQ67*1.5,0))*(1+$BA67)*(1+$BB67)+(($BC67+$BD67)/2*IF($G$1="裂石",$AP67,$AN67)+IF($G$1="裂石",$AQ67*1.5,0))*(1+$BE67)*(1+$BF67)+(($BG67+$BH67)/2*IF($G$1="牵丝",$AP67,$AN67)+IF($G$1="牵丝",$AQ67*1.5,0))*(1+$BI67)*(1+$BJ67)+(($BK67+$BL67)/2*IF($G$1="破竹",$AP67,$AN67)+IF($G$1="破竹",$AQ67*1.5,0))*(1+$BM67)*(1+$BN67))*(1+$AR67)*$Q67*(1+IF(VLOOKUP($R67,武学奇术!$A:$ZZ,30,FALSE)="蓄力技",$B$21,0))*(1+IF(VLOOKUP($R67,武学奇术!$A:$ZZ,30,FALSE)="派生技",$B$20,0))*(1+$BW67)*(1+$BX67)</f>
        <v>201369.499396721</v>
      </c>
      <c r="P67" s="46">
        <f>((($AT67*$AN67+$AO67)*(1+$AV67)*(1+$AW67)+($AY67*IF($G$1="鸣金",$AP67,$AN67)+IF($G$1="鸣金",$AQ67*1.5,0))*(1+$BA67)*(1+$BB67)+($BC67*IF($G$1="裂石",$AP67,$AN67)+IF($G$1="裂石",$AQ67*1.5,0))*(1+$BE67)*(1+$BF67)+($BG67*IF($G$1="牵丝",$AP67,$AN67)+IF($G$1="牵丝",$AQ67*1.5,0))*(1+$BI67)*(1+$BJ67)+($BK67*IF($G$1="破竹",$AP67,$AN67)+IF($G$1="破竹",$AQ67*1.5,0))*(1+$BM67)*(1+$BN67))*(1+$AR67))*$Q67*(1+IF(VLOOKUP($R67,武学奇术!$A:$ZZ,30,FALSE)="蓄力技",$B$21,0))*(1+IF(VLOOKUP($R67,武学奇术!$A:$ZZ,30,FALSE)="派生技",$B$20,0))*(1+$BW67)*(1+$BX67)</f>
        <v>177332.873453728</v>
      </c>
      <c r="Q67" s="47">
        <f t="shared" si="27"/>
        <v>1</v>
      </c>
      <c r="R67" s="48" t="s">
        <v>148</v>
      </c>
      <c r="S67" s="48" t="s">
        <v>99</v>
      </c>
      <c r="T67" s="48" t="s">
        <v>182</v>
      </c>
      <c r="U67" s="48" t="s">
        <v>79</v>
      </c>
      <c r="V67" s="48" t="s">
        <v>90</v>
      </c>
      <c r="W67" s="48" t="s">
        <v>141</v>
      </c>
      <c r="X67" s="48" t="s">
        <v>145</v>
      </c>
      <c r="Y67" s="48" t="s">
        <v>74</v>
      </c>
      <c r="Z67" s="48" t="s">
        <v>80</v>
      </c>
      <c r="AA67" s="48" t="s">
        <v>80</v>
      </c>
      <c r="AB67" s="48" t="s">
        <v>80</v>
      </c>
      <c r="AC67" s="48" t="s">
        <v>80</v>
      </c>
      <c r="AD67" s="48" t="s">
        <v>80</v>
      </c>
      <c r="AE67" s="48" t="s">
        <v>82</v>
      </c>
      <c r="AF67" s="48" t="s">
        <v>83</v>
      </c>
      <c r="AG67" s="48" t="s">
        <v>84</v>
      </c>
      <c r="AH67" s="48" t="s">
        <v>80</v>
      </c>
      <c r="AI67" s="48" t="s">
        <v>80</v>
      </c>
      <c r="AJ67" s="48" t="s">
        <v>80</v>
      </c>
      <c r="AK67" s="48" t="s">
        <v>80</v>
      </c>
      <c r="AL67" s="48" t="s">
        <v>85</v>
      </c>
      <c r="AM67" t="str">
        <f>VLOOKUP($R67,武学奇术!$A:$ZZ,25,FALSE)</f>
        <v>陌刀</v>
      </c>
      <c r="AN67" s="33">
        <f>VLOOKUP($R67,武学奇术!$A:$ZZ,26,FALSE)</f>
        <v>7.5674</v>
      </c>
      <c r="AO67" s="34">
        <f>VLOOKUP($R67,武学奇术!$A:$ZZ,27,FALSE)*(1+IF(OR($AM67=$F$4,$AM67=$F$5),$B$22,0))</f>
        <v>3348.8</v>
      </c>
      <c r="AP67" s="33">
        <f>VLOOKUP($R67,武学奇术!$A:$ZZ,28,FALSE)</f>
        <v>11.3512</v>
      </c>
      <c r="AQ67" s="34">
        <f>VLOOKUP($R67,武学奇术!$A:$ZZ,29,FALSE)*(1+IF(OR($AM67=$F$4,$AM67=$F$5),$B$22,0))</f>
        <v>1824</v>
      </c>
      <c r="AR67" s="33" cm="1">
        <f t="array" ref="AR67">$G$3+IFERROR(VLOOKUP($AM67,$F$4:$G$7,2,FALSE),0)+VLOOKUP($R67,武学奇术!$A:$ZZ,2,FALSE)+SUM(_xlfn.XLOOKUP($S67:$AL67,增益!$A:$A,增益!$B:$B,0))</f>
        <v>0.6943</v>
      </c>
      <c r="AS67" s="33" cm="1">
        <f t="array" ref="AS67">VLOOKUP($R67,武学奇术!$A:$ZZ,5,FALSE)+SUM(_xlfn.XLOOKUP($S67:$AL67,增益!$A:$A,增益!$E:$E,0))</f>
        <v>0</v>
      </c>
      <c r="AT67" cm="1">
        <f t="array" ref="AT67">$D$10*(1+$AS67)+VLOOKUP($R67,武学奇术!$A:$ZZ,3,FALSE)+SUM(_xlfn.XLOOKUP($S67:$AL67,增益!$A:$A,增益!$C:$C,0))-$I$2</f>
        <v>4094.7</v>
      </c>
      <c r="AU67" cm="1">
        <f t="array" ref="AU67">$E$10*(1+$AS67)+VLOOKUP($R67,武学奇术!$A:$ZZ,4,FALSE)+SUM(_xlfn.XLOOKUP($S67:$AL67,增益!$A:$A,增益!$D:$D,0))-$I$2</f>
        <v>4094.7</v>
      </c>
      <c r="AV67" s="40" cm="1">
        <f t="array" ref="AV67">IF($F$10-$I$3+VLOOKUP($R67,武学奇术!$A:$ZZ,6,FALSE)+SUM(_xlfn.XLOOKUP($S67:$AL67,增益!$A:$A,增益!$F:$F,0))&gt;0,($F$10-$I$3+VLOOKUP($R67,武学奇术!$A:$ZZ,6,FALSE)+SUM(_xlfn.XLOOKUP($S67:$AL67,增益!$A:$A,增益!$F:$F,0)))/200,($F$10-$I$3+VLOOKUP($R67,武学奇术!$A:$ZZ,6,FALSE)+SUM(_xlfn.XLOOKUP($S67:$AL67,增益!$A:$A,增益!$F:$F,0)))/100)</f>
        <v>0.4384</v>
      </c>
      <c r="AW67" s="40" cm="1">
        <f t="array" ref="AW67">$G$10+VLOOKUP($R67,武学奇术!$A:$ZZ,7,FALSE)+SUM(_xlfn.XLOOKUP($S67:$AL67,增益!$A:$A,增益!$G:$G,0))</f>
        <v>0.14</v>
      </c>
      <c r="AX67" s="33" cm="1">
        <f t="array" ref="AX67">VLOOKUP($R67,武学奇术!$A:$ZZ,8,FALSE)+SUM(_xlfn.XLOOKUP($S67:$AL67,增益!$A:$A,增益!$H:$H,0))</f>
        <v>0</v>
      </c>
      <c r="AY67">
        <f t="shared" ref="AY67:AY98" si="29">$D$11*(1+$AX67)</f>
        <v>0</v>
      </c>
      <c r="AZ67">
        <f t="shared" ref="AZ67:AZ98" si="30">$E$11*(1+$AX67)</f>
        <v>0</v>
      </c>
      <c r="BA67" s="40" cm="1">
        <f t="array" ref="BA67">IF($F$11-$I$4+VLOOKUP($R67,武学奇术!$A:$ZZ,9,FALSE)+SUM(_xlfn.XLOOKUP($S67:$AL67,增益!$A:$A,增益!$I:$I,0))&gt;0,($F$11-$I$4+VLOOKUP($R67,武学奇术!$A:$ZZ,9,FALSE)+SUM(_xlfn.XLOOKUP($S67:$AL67,增益!$A:$A,增益!$I:$I,0)))/200,($F$11-$I$4+VLOOKUP($R67,武学奇术!$A:$ZZ,9,FALSE)+SUM(_xlfn.XLOOKUP($S67:$AL67,增益!$A:$A,增益!$I:$I,0)))/100)</f>
        <v>-0.14</v>
      </c>
      <c r="BB67" s="40" cm="1">
        <f t="array" ref="BB67">$G$11+VLOOKUP($R67,武学奇术!$A:$ZZ,10,FALSE)+SUM(_xlfn.XLOOKUP($S67:$AL67,增益!$A:$A,增益!$J:$J,0))</f>
        <v>0.02</v>
      </c>
      <c r="BC67">
        <f t="shared" ref="BC67:BC98" si="31">$D$12*(1+$AX67)</f>
        <v>640.3</v>
      </c>
      <c r="BD67">
        <f t="shared" ref="BD67:BD98" si="32">$E$12*(1+$AX67)</f>
        <v>1770.1</v>
      </c>
      <c r="BE67" s="40" cm="1">
        <f t="array" ref="BE67">IF($F$12-$I$4+VLOOKUP($R67,武学奇术!$A:$ZZ,11,FALSE)+SUM(_xlfn.XLOOKUP($S67:$AL67,增益!$A:$A,增益!$K:$K,0))&gt;0,($F$12-$I$4+VLOOKUP($R67,武学奇术!$A:$ZZ,11,FALSE)+SUM(_xlfn.XLOOKUP($S67:$AL67,增益!$A:$A,增益!$K:$K,0)))/200,($F$12-$I$4+VLOOKUP($R67,武学奇术!$A:$ZZ,11,FALSE)+SUM(_xlfn.XLOOKUP($S67:$AL67,增益!$A:$A,增益!$K:$K,0)))/100)</f>
        <v>0.17</v>
      </c>
      <c r="BF67" s="40" cm="1">
        <f t="array" ref="BF67">$G$12+VLOOKUP($R67,武学奇术!$A:$ZZ,12,FALSE)+SUM(_xlfn.XLOOKUP($S67:$AL67,增益!$A:$A,增益!$L:$L,0))</f>
        <v>0.29</v>
      </c>
      <c r="BG67">
        <f t="shared" ref="BG67:BG98" si="33">$D$13*(1+$AX67)</f>
        <v>0</v>
      </c>
      <c r="BH67">
        <f t="shared" ref="BH67:BH98" si="34">$E$13*(1+$AX67)</f>
        <v>0</v>
      </c>
      <c r="BI67" s="40" cm="1">
        <f t="array" ref="BI67">IF($F$13-$I$4+VLOOKUP($R67,武学奇术!$A:$ZZ,13,FALSE)+SUM(_xlfn.XLOOKUP($S67:$AL67,增益!$A:$A,增益!$M:$M,0))&gt;0,($F$13-$I$4+VLOOKUP($R67,武学奇术!$A:$ZZ,13,FALSE)+SUM(_xlfn.XLOOKUP($S67:$AL67,增益!$A:$A,增益!$K:$K,0)))/200,($F$13-$I$4+VLOOKUP($R67,武学奇术!$A:$ZZ,13,FALSE)+SUM(_xlfn.XLOOKUP($S67:$AL67,增益!$A:$A,增益!$M:$M,0)))/100)</f>
        <v>-0.14</v>
      </c>
      <c r="BJ67" s="40" cm="1">
        <f t="array" ref="BJ67">$G$13+VLOOKUP($R67,武学奇术!$A:$ZZ,14,FALSE)+SUM(_xlfn.XLOOKUP($S67:$AL67,增益!$A:$A,增益!$N:$N,0))</f>
        <v>0.02</v>
      </c>
      <c r="BK67">
        <f t="shared" ref="BK67:BK98" si="35">$D$14*(1+$AX67)</f>
        <v>0</v>
      </c>
      <c r="BL67">
        <f t="shared" ref="BL67:BL98" si="36">$E$14*(1+$AX67)</f>
        <v>0</v>
      </c>
      <c r="BM67" s="40" cm="1">
        <f t="array" ref="BM67">IF($F$14-$I$4+VLOOKUP($R67,武学奇术!$A:$ZZ,15,FALSE)+SUM(_xlfn.XLOOKUP($S67:$AL67,增益!$A:$A,增益!$O:$O,0))&gt;0,($F$14-$I$4+VLOOKUP($R67,武学奇术!$A:$ZZ,15,FALSE)+SUM(_xlfn.XLOOKUP($S67:$AL67,增益!$A:$A,增益!$O:$O,0)))/200,($F$14-$I$4+VLOOKUP($R67,武学奇术!$A:$ZZ,15,FALSE)+SUM(_xlfn.XLOOKUP($S67:$AL67,增益!$A:$A,增益!$O:$O,0)))/100)</f>
        <v>-0.14</v>
      </c>
      <c r="BN67" s="40" cm="1">
        <f t="array" ref="BN67">$G$14+VLOOKUP($R67,武学奇术!$A:$ZZ,16,FALSE)+SUM(_xlfn.XLOOKUP($S67:$AL67,增益!$A:$A,增益!$P:$P,0))</f>
        <v>0.02</v>
      </c>
      <c r="BO67" s="33">
        <f>MIN(IF(VLOOKUP($R67,武学奇术!$A:$ZZ,23,FALSE)=1,100%,$B$8),100%)</f>
        <v>1</v>
      </c>
      <c r="BP67" s="33" cm="1">
        <f t="array" ref="BP67">IF(VLOOKUP($R67,武学奇术!$A:$ZZ,23,FALSE)=1,100%,MIN(80%,$B$9+VLOOKUP($R67,武学奇术!$A:$ZZ,17,FALSE)+SUM(_xlfn.XLOOKUP($S67:$AL67,增益!$A:$A,增益!$Q:$Q,0)))+$B$11+SUM(_xlfn.XLOOKUP($S67:$AL67,增益!$A:$A,增益!$U:$U,0)))*IF(VLOOKUP($R67,武学奇术!$A:$ZZ,24,FALSE)=1,0,1)</f>
        <v>1</v>
      </c>
      <c r="BQ67" s="33" cm="1">
        <f t="array" ref="BQ67">1+$B$13+VLOOKUP($R67,武学奇术!$A:$ZZ,18,FALSE)+SUM(_xlfn.XLOOKUP($S67:$AL67,增益!$A:$A,增益!$R:$R,0))</f>
        <v>2.1</v>
      </c>
      <c r="BR67" s="33" cm="1">
        <f t="array" ref="BR67">IF(VLOOKUP($R67,武学奇术!$A:$ZZ,24,FALSE)=1,100%,MIN(40%,$B$10+VLOOKUP($R67,武学奇术!$A:$ZZ,19,FALSE)+SUM(_xlfn.XLOOKUP($S67:$AL67,增益!$A:$A,增益!$S:$S,0)))+$B$12+SUM(_xlfn.XLOOKUP($S67:$AL67,增益!$A:$A,增益!$V:$V,0)))*IF(VLOOKUP($R67,武学奇术!$A:$ZZ,23,FALSE)=1,0,1)</f>
        <v>0</v>
      </c>
      <c r="BS67" s="33" cm="1">
        <f t="array" ref="BS67">1+$B$14+VLOOKUP($R67,武学奇术!$A:$ZZ,20,FALSE)+SUM(_xlfn.XLOOKUP($S67:$AL67,增益!$A:$A,增益!$T:$T,0))</f>
        <v>1.35</v>
      </c>
      <c r="BT67" s="33">
        <f t="shared" ref="BT67:BT98" si="37">MIN((1-BR67)*BO67,BO67*BP67)</f>
        <v>1</v>
      </c>
      <c r="BU67" s="33">
        <f t="shared" ref="BU67:BU98" si="38">1-BR67-BT67-BV67</f>
        <v>0</v>
      </c>
      <c r="BV67" s="33">
        <f>IF(VLOOKUP($R67,武学奇术!$A:$ZZ,22,FALSE)=1,0,(1-$BO67))*(1-$BR67)</f>
        <v>0</v>
      </c>
      <c r="BW67" s="33" cm="1">
        <f t="array" ref="BW67">SUM(_xlfn.XLOOKUP($S67:$AL67,增益!$A:$A,增益!$W:$W,0))+$I$5</f>
        <v>0.11</v>
      </c>
      <c r="BX67" s="33" cm="1">
        <f t="array" ref="BX67">VLOOKUP($R67,武学奇术!$A:$ZZ,32,FALSE)+SUM(_xlfn.XLOOKUP($S67:$AL67,增益!$A:$A,增益!$X:$X,0))</f>
        <v>0</v>
      </c>
    </row>
    <row r="68" spans="1:76">
      <c r="A68" s="4" t="s">
        <v>168</v>
      </c>
      <c r="B68" s="4">
        <v>2.3</v>
      </c>
      <c r="D68" s="47"/>
      <c r="H68" s="4"/>
      <c r="L68" s="46">
        <f t="shared" si="28"/>
        <v>77569.319055361</v>
      </c>
      <c r="M68" s="46">
        <f>((($AT68+$AU68)/2*$AN68+$AO68)*(1+$AV68)*(1+$AW68)+(($AY68+$AZ68)/2*IF($G$1="鸣金",$AP68,$AN68)+IF($G$1="鸣金",$AQ68*1.5,0))*(1+$BA68)*(1+$BB68)+(($BC68+$BD68)/2*IF($G$1="裂石",$AP68,$AN68)+IF($G$1="裂石",$AQ68*1.5,0))*(1+$BE68)*(1+$BF68)+(($BG68+$BH68)/2*IF($G$1="牵丝",$AP68,$AN68)+IF($G$1="牵丝",$AQ68*1.5,0))*(1+$BI68)*(1+$BJ68)+(($BK68+$BL68)/2*IF($G$1="破竹",$AP68,$AN68)+IF($G$1="破竹",$AQ68*1.5,0))*(1+$BM68)*(1+$BN68))*(1+$AR68)*$BQ68*$Q68*(1+IF(VLOOKUP($R68,武学奇术!$A:$ZZ,30,FALSE)="蓄力技",$B$21,0))*(1+IF(VLOOKUP($R68,武学奇术!$A:$ZZ,30,FALSE)="派生技",$B$20,0))*(1+$BW68)*(1+$BX68)</f>
        <v>77569.319055361</v>
      </c>
      <c r="N68" s="46">
        <f>(($AU68*$AN68+$AO68)*(1+$AV68)*(1+$AW68)+($AZ68*IF($G$1="鸣金",$AP68,$AN68)+IF($G$1="鸣金",$AQ68*1.5,0))*(1+$BA68)*(1+$BB68)+($BD68*IF($G$1="裂石",$AP68,$AN68)+IF($G$1="裂石",$AQ68*1.5,0))*(1+$BE68)*(1+$BF68)+($BH68*IF($G$1="牵丝",$AP68,$AN68)+IF($G$1="牵丝",$AQ68*1.5,0))*(1+$BI68)*(1+$BJ68)+($BL68*IF($G$1="破竹",$AP68,$AN68)+IF($G$1="破竹",$AQ68*1.5,0))*(1+$BM68)*(1+$BN68))*(1+$AR68)*$BS68*$Q68*(1+IF(VLOOKUP($R68,武学奇术!$A:$ZZ,30,FALSE)="蓄力技",$B$21,0))*(1+IF(VLOOKUP($R68,武学奇术!$A:$ZZ,30,FALSE)="派生技",$B$20,0))*(1+$BW68)*(1+$BX68)</f>
        <v>56619.6216151344</v>
      </c>
      <c r="O68" s="46">
        <f>((($AT68+$AU68)/2*$AN68+$AO68)*(1+$AV68)*(1+$AW68)+(($AY68+$AZ68)/2*IF($G$1="鸣金",$AP68,$AN68)+IF($G$1="鸣金",$AQ68*1.5,0))*(1+$BA68)*(1+$BB68)+(($BC68+$BD68)/2*IF($G$1="裂石",$AP68,$AN68)+IF($G$1="裂石",$AQ68*1.5,0))*(1+$BE68)*(1+$BF68)+(($BG68+$BH68)/2*IF($G$1="牵丝",$AP68,$AN68)+IF($G$1="牵丝",$AQ68*1.5,0))*(1+$BI68)*(1+$BJ68)+(($BK68+$BL68)/2*IF($G$1="破竹",$AP68,$AN68)+IF($G$1="破竹",$AQ68*1.5,0))*(1+$BM68)*(1+$BN68))*(1+$AR68)*$Q68*(1+IF(VLOOKUP($R68,武学奇术!$A:$ZZ,30,FALSE)="蓄力技",$B$21,0))*(1+IF(VLOOKUP($R68,武学奇术!$A:$ZZ,30,FALSE)="派生技",$B$20,0))*(1+$BW68)*(1+$BX68)</f>
        <v>36937.7709787433</v>
      </c>
      <c r="P68" s="46">
        <f>((($AT68*$AN68+$AO68)*(1+$AV68)*(1+$AW68)+($AY68*IF($G$1="鸣金",$AP68,$AN68)+IF($G$1="鸣金",$AQ68*1.5,0))*(1+$BA68)*(1+$BB68)+($BC68*IF($G$1="裂石",$AP68,$AN68)+IF($G$1="裂石",$AQ68*1.5,0))*(1+$BE68)*(1+$BF68)+($BG68*IF($G$1="牵丝",$AP68,$AN68)+IF($G$1="牵丝",$AQ68*1.5,0))*(1+$BI68)*(1+$BJ68)+($BK68*IF($G$1="破竹",$AP68,$AN68)+IF($G$1="破竹",$AQ68*1.5,0))*(1+$BM68)*(1+$BN68))*(1+$AR68))*$Q68*(1+IF(VLOOKUP($R68,武学奇术!$A:$ZZ,30,FALSE)="蓄力技",$B$21,0))*(1+IF(VLOOKUP($R68,武学奇术!$A:$ZZ,30,FALSE)="派生技",$B$20,0))*(1+$BW68)*(1+$BX68)</f>
        <v>31935.0815018316</v>
      </c>
      <c r="Q68" s="47">
        <f>IF($E$24="陌刀",3,0)</f>
        <v>3</v>
      </c>
      <c r="R68" s="48" t="s">
        <v>154</v>
      </c>
      <c r="S68" s="48" t="s">
        <v>99</v>
      </c>
      <c r="T68" s="48" t="s">
        <v>182</v>
      </c>
      <c r="U68" s="48" t="s">
        <v>79</v>
      </c>
      <c r="V68" s="48" t="s">
        <v>90</v>
      </c>
      <c r="W68" s="48" t="s">
        <v>141</v>
      </c>
      <c r="X68" s="48" t="s">
        <v>145</v>
      </c>
      <c r="Y68" s="48" t="s">
        <v>74</v>
      </c>
      <c r="Z68" s="48" t="s">
        <v>80</v>
      </c>
      <c r="AA68" s="48" t="s">
        <v>80</v>
      </c>
      <c r="AB68" s="48" t="s">
        <v>80</v>
      </c>
      <c r="AC68" s="48" t="s">
        <v>80</v>
      </c>
      <c r="AD68" s="48" t="s">
        <v>80</v>
      </c>
      <c r="AE68" s="48" t="s">
        <v>82</v>
      </c>
      <c r="AF68" s="48" t="s">
        <v>83</v>
      </c>
      <c r="AG68" s="48" t="s">
        <v>84</v>
      </c>
      <c r="AH68" s="48" t="s">
        <v>80</v>
      </c>
      <c r="AI68" s="48" t="s">
        <v>80</v>
      </c>
      <c r="AJ68" s="48" t="s">
        <v>80</v>
      </c>
      <c r="AK68" s="48" t="s">
        <v>80</v>
      </c>
      <c r="AL68" s="48" t="s">
        <v>85</v>
      </c>
      <c r="AM68" t="str">
        <f>VLOOKUP($R68,武学奇术!$A:$ZZ,25,FALSE)</f>
        <v>陌刀</v>
      </c>
      <c r="AN68" s="33">
        <f>VLOOKUP($R68,武学奇术!$A:$ZZ,26,FALSE)</f>
        <v>0.525</v>
      </c>
      <c r="AO68" s="34">
        <f>VLOOKUP($R68,武学奇术!$A:$ZZ,27,FALSE)*(1+IF(OR($AM68=$F$4,$AM68=$F$5),$B$22,0))</f>
        <v>0</v>
      </c>
      <c r="AP68" s="33">
        <f>VLOOKUP($R68,武学奇术!$A:$ZZ,28,FALSE)</f>
        <v>0.7875</v>
      </c>
      <c r="AQ68" s="34">
        <f>VLOOKUP($R68,武学奇术!$A:$ZZ,29,FALSE)*(1+IF(OR($AM68=$F$4,$AM68=$F$5),$B$22,0))</f>
        <v>0</v>
      </c>
      <c r="AR68" s="33" cm="1">
        <f t="array" ref="AR68">$G$3+IFERROR(VLOOKUP($AM68,$F$4:$G$7,2,FALSE),0)+VLOOKUP($R68,武学奇术!$A:$ZZ,2,FALSE)+SUM(_xlfn.XLOOKUP($S68:$AL68,增益!$A:$A,增益!$B:$B,0))</f>
        <v>0.6943</v>
      </c>
      <c r="AS68" s="33" cm="1">
        <f t="array" ref="AS68">VLOOKUP($R68,武学奇术!$A:$ZZ,5,FALSE)+SUM(_xlfn.XLOOKUP($S68:$AL68,增益!$A:$A,增益!$E:$E,0))</f>
        <v>0</v>
      </c>
      <c r="AT68" cm="1">
        <f t="array" ref="AT68">$D$10*(1+$AS68)+VLOOKUP($R68,武学奇术!$A:$ZZ,3,FALSE)+SUM(_xlfn.XLOOKUP($S68:$AL68,增益!$A:$A,增益!$C:$C,0))-$I$2</f>
        <v>4094.7</v>
      </c>
      <c r="AU68" cm="1">
        <f t="array" ref="AU68">$E$10*(1+$AS68)+VLOOKUP($R68,武学奇术!$A:$ZZ,4,FALSE)+SUM(_xlfn.XLOOKUP($S68:$AL68,增益!$A:$A,增益!$D:$D,0))-$I$2</f>
        <v>4094.7</v>
      </c>
      <c r="AV68" s="40" cm="1">
        <f t="array" ref="AV68">IF($F$10-$I$3+VLOOKUP($R68,武学奇术!$A:$ZZ,6,FALSE)+SUM(_xlfn.XLOOKUP($S68:$AL68,增益!$A:$A,增益!$F:$F,0))&gt;0,($F$10-$I$3+VLOOKUP($R68,武学奇术!$A:$ZZ,6,FALSE)+SUM(_xlfn.XLOOKUP($S68:$AL68,增益!$A:$A,增益!$F:$F,0)))/200,($F$10-$I$3+VLOOKUP($R68,武学奇术!$A:$ZZ,6,FALSE)+SUM(_xlfn.XLOOKUP($S68:$AL68,增益!$A:$A,增益!$F:$F,0)))/100)</f>
        <v>0.4384</v>
      </c>
      <c r="AW68" s="40" cm="1">
        <f t="array" ref="AW68">$G$10+VLOOKUP($R68,武学奇术!$A:$ZZ,7,FALSE)+SUM(_xlfn.XLOOKUP($S68:$AL68,增益!$A:$A,增益!$G:$G,0))</f>
        <v>0.14</v>
      </c>
      <c r="AX68" s="33" cm="1">
        <f t="array" ref="AX68">VLOOKUP($R68,武学奇术!$A:$ZZ,8,FALSE)+SUM(_xlfn.XLOOKUP($S68:$AL68,增益!$A:$A,增益!$H:$H,0))</f>
        <v>0</v>
      </c>
      <c r="AY68">
        <f t="shared" si="29"/>
        <v>0</v>
      </c>
      <c r="AZ68">
        <f t="shared" si="30"/>
        <v>0</v>
      </c>
      <c r="BA68" s="40" cm="1">
        <f t="array" ref="BA68">IF($F$11-$I$4+VLOOKUP($R68,武学奇术!$A:$ZZ,9,FALSE)+SUM(_xlfn.XLOOKUP($S68:$AL68,增益!$A:$A,增益!$I:$I,0))&gt;0,($F$11-$I$4+VLOOKUP($R68,武学奇术!$A:$ZZ,9,FALSE)+SUM(_xlfn.XLOOKUP($S68:$AL68,增益!$A:$A,增益!$I:$I,0)))/200,($F$11-$I$4+VLOOKUP($R68,武学奇术!$A:$ZZ,9,FALSE)+SUM(_xlfn.XLOOKUP($S68:$AL68,增益!$A:$A,增益!$I:$I,0)))/100)</f>
        <v>-0.14</v>
      </c>
      <c r="BB68" s="40" cm="1">
        <f t="array" ref="BB68">$G$11+VLOOKUP($R68,武学奇术!$A:$ZZ,10,FALSE)+SUM(_xlfn.XLOOKUP($S68:$AL68,增益!$A:$A,增益!$J:$J,0))</f>
        <v>0.02</v>
      </c>
      <c r="BC68">
        <f t="shared" si="31"/>
        <v>640.3</v>
      </c>
      <c r="BD68">
        <f t="shared" si="32"/>
        <v>1770.1</v>
      </c>
      <c r="BE68" s="40" cm="1">
        <f t="array" ref="BE68">IF($F$12-$I$4+VLOOKUP($R68,武学奇术!$A:$ZZ,11,FALSE)+SUM(_xlfn.XLOOKUP($S68:$AL68,增益!$A:$A,增益!$K:$K,0))&gt;0,($F$12-$I$4+VLOOKUP($R68,武学奇术!$A:$ZZ,11,FALSE)+SUM(_xlfn.XLOOKUP($S68:$AL68,增益!$A:$A,增益!$K:$K,0)))/200,($F$12-$I$4+VLOOKUP($R68,武学奇术!$A:$ZZ,11,FALSE)+SUM(_xlfn.XLOOKUP($S68:$AL68,增益!$A:$A,增益!$K:$K,0)))/100)</f>
        <v>0.17</v>
      </c>
      <c r="BF68" s="40" cm="1">
        <f t="array" ref="BF68">$G$12+VLOOKUP($R68,武学奇术!$A:$ZZ,12,FALSE)+SUM(_xlfn.XLOOKUP($S68:$AL68,增益!$A:$A,增益!$L:$L,0))</f>
        <v>0.29</v>
      </c>
      <c r="BG68">
        <f t="shared" si="33"/>
        <v>0</v>
      </c>
      <c r="BH68">
        <f t="shared" si="34"/>
        <v>0</v>
      </c>
      <c r="BI68" s="40" cm="1">
        <f t="array" ref="BI68">IF($F$13-$I$4+VLOOKUP($R68,武学奇术!$A:$ZZ,13,FALSE)+SUM(_xlfn.XLOOKUP($S68:$AL68,增益!$A:$A,增益!$M:$M,0))&gt;0,($F$13-$I$4+VLOOKUP($R68,武学奇术!$A:$ZZ,13,FALSE)+SUM(_xlfn.XLOOKUP($S68:$AL68,增益!$A:$A,增益!$K:$K,0)))/200,($F$13-$I$4+VLOOKUP($R68,武学奇术!$A:$ZZ,13,FALSE)+SUM(_xlfn.XLOOKUP($S68:$AL68,增益!$A:$A,增益!$M:$M,0)))/100)</f>
        <v>-0.14</v>
      </c>
      <c r="BJ68" s="40" cm="1">
        <f t="array" ref="BJ68">$G$13+VLOOKUP($R68,武学奇术!$A:$ZZ,14,FALSE)+SUM(_xlfn.XLOOKUP($S68:$AL68,增益!$A:$A,增益!$N:$N,0))</f>
        <v>0.02</v>
      </c>
      <c r="BK68">
        <f t="shared" si="35"/>
        <v>0</v>
      </c>
      <c r="BL68">
        <f t="shared" si="36"/>
        <v>0</v>
      </c>
      <c r="BM68" s="40" cm="1">
        <f t="array" ref="BM68">IF($F$14-$I$4+VLOOKUP($R68,武学奇术!$A:$ZZ,15,FALSE)+SUM(_xlfn.XLOOKUP($S68:$AL68,增益!$A:$A,增益!$O:$O,0))&gt;0,($F$14-$I$4+VLOOKUP($R68,武学奇术!$A:$ZZ,15,FALSE)+SUM(_xlfn.XLOOKUP($S68:$AL68,增益!$A:$A,增益!$O:$O,0)))/200,($F$14-$I$4+VLOOKUP($R68,武学奇术!$A:$ZZ,15,FALSE)+SUM(_xlfn.XLOOKUP($S68:$AL68,增益!$A:$A,增益!$O:$O,0)))/100)</f>
        <v>-0.14</v>
      </c>
      <c r="BN68" s="40" cm="1">
        <f t="array" ref="BN68">$G$14+VLOOKUP($R68,武学奇术!$A:$ZZ,16,FALSE)+SUM(_xlfn.XLOOKUP($S68:$AL68,增益!$A:$A,增益!$P:$P,0))</f>
        <v>0.02</v>
      </c>
      <c r="BO68" s="33">
        <f>MIN(IF(VLOOKUP($R68,武学奇术!$A:$ZZ,23,FALSE)=1,100%,$B$8),100%)</f>
        <v>1</v>
      </c>
      <c r="BP68" s="33" cm="1">
        <f t="array" ref="BP68">IF(VLOOKUP($R68,武学奇术!$A:$ZZ,23,FALSE)=1,100%,MIN(80%,$B$9+VLOOKUP($R68,武学奇术!$A:$ZZ,17,FALSE)+SUM(_xlfn.XLOOKUP($S68:$AL68,增益!$A:$A,增益!$Q:$Q,0)))+$B$11+SUM(_xlfn.XLOOKUP($S68:$AL68,增益!$A:$A,增益!$U:$U,0)))*IF(VLOOKUP($R68,武学奇术!$A:$ZZ,24,FALSE)=1,0,1)</f>
        <v>1</v>
      </c>
      <c r="BQ68" s="33" cm="1">
        <f t="array" ref="BQ68">1+$B$13+VLOOKUP($R68,武学奇术!$A:$ZZ,18,FALSE)+SUM(_xlfn.XLOOKUP($S68:$AL68,增益!$A:$A,增益!$R:$R,0))</f>
        <v>2.1</v>
      </c>
      <c r="BR68" s="33" cm="1">
        <f t="array" ref="BR68">IF(VLOOKUP($R68,武学奇术!$A:$ZZ,24,FALSE)=1,100%,MIN(40%,$B$10+VLOOKUP($R68,武学奇术!$A:$ZZ,19,FALSE)+SUM(_xlfn.XLOOKUP($S68:$AL68,增益!$A:$A,增益!$S:$S,0)))+$B$12+SUM(_xlfn.XLOOKUP($S68:$AL68,增益!$A:$A,增益!$V:$V,0)))*IF(VLOOKUP($R68,武学奇术!$A:$ZZ,23,FALSE)=1,0,1)</f>
        <v>0</v>
      </c>
      <c r="BS68" s="33" cm="1">
        <f t="array" ref="BS68">1+$B$14+VLOOKUP($R68,武学奇术!$A:$ZZ,20,FALSE)+SUM(_xlfn.XLOOKUP($S68:$AL68,增益!$A:$A,增益!$T:$T,0))</f>
        <v>1.35</v>
      </c>
      <c r="BT68" s="33">
        <f t="shared" si="37"/>
        <v>1</v>
      </c>
      <c r="BU68" s="33">
        <f t="shared" si="38"/>
        <v>0</v>
      </c>
      <c r="BV68" s="33">
        <f>IF(VLOOKUP($R68,武学奇术!$A:$ZZ,22,FALSE)=1,0,(1-$BO68))*(1-$BR68)</f>
        <v>0</v>
      </c>
      <c r="BW68" s="33" cm="1">
        <f t="array" ref="BW68">SUM(_xlfn.XLOOKUP($S68:$AL68,增益!$A:$A,增益!$W:$W,0))+$I$5</f>
        <v>0.11</v>
      </c>
      <c r="BX68" s="33" cm="1">
        <f t="array" ref="BX68">VLOOKUP($R68,武学奇术!$A:$ZZ,32,FALSE)+SUM(_xlfn.XLOOKUP($S68:$AL68,增益!$A:$A,增益!$X:$X,0))</f>
        <v>0</v>
      </c>
    </row>
    <row r="69" spans="1:76">
      <c r="A69" s="4" t="s">
        <v>168</v>
      </c>
      <c r="B69" s="4">
        <v>2.3</v>
      </c>
      <c r="C69" s="47" t="s">
        <v>183</v>
      </c>
      <c r="D69" s="47"/>
      <c r="L69" s="46">
        <f t="shared" si="28"/>
        <v>139624.77429965</v>
      </c>
      <c r="M69" s="46">
        <f>((($AT69+$AU69)/2*$AN69+$AO69)*(1+$AV69)*(1+$AW69)+(($AY69+$AZ69)/2*IF($G$1="鸣金",$AP69,$AN69)+IF($G$1="鸣金",$AQ69*1.5,0))*(1+$BA69)*(1+$BB69)+(($BC69+$BD69)/2*IF($G$1="裂石",$AP69,$AN69)+IF($G$1="裂石",$AQ69*1.5,0))*(1+$BE69)*(1+$BF69)+(($BG69+$BH69)/2*IF($G$1="牵丝",$AP69,$AN69)+IF($G$1="牵丝",$AQ69*1.5,0))*(1+$BI69)*(1+$BJ69)+(($BK69+$BL69)/2*IF($G$1="破竹",$AP69,$AN69)+IF($G$1="破竹",$AQ69*1.5,0))*(1+$BM69)*(1+$BN69))*(1+$AR69)*$BQ69*$Q69*(1+IF(VLOOKUP($R69,武学奇术!$A:$ZZ,30,FALSE)="蓄力技",$B$21,0))*(1+IF(VLOOKUP($R69,武学奇术!$A:$ZZ,30,FALSE)="派生技",$B$20,0))*(1+$BW69)*(1+$BX69)</f>
        <v>139624.77429965</v>
      </c>
      <c r="N69" s="46">
        <f>(($AU69*$AN69+$AO69)*(1+$AV69)*(1+$AW69)+($AZ69*IF($G$1="鸣金",$AP69,$AN69)+IF($G$1="鸣金",$AQ69*1.5,0))*(1+$BA69)*(1+$BB69)+($BD69*IF($G$1="裂石",$AP69,$AN69)+IF($G$1="裂石",$AQ69*1.5,0))*(1+$BE69)*(1+$BF69)+($BH69*IF($G$1="牵丝",$AP69,$AN69)+IF($G$1="牵丝",$AQ69*1.5,0))*(1+$BI69)*(1+$BJ69)+($BL69*IF($G$1="破竹",$AP69,$AN69)+IF($G$1="破竹",$AQ69*1.5,0))*(1+$BM69)*(1+$BN69))*(1+$AR69)*$BS69*$Q69*(1+IF(VLOOKUP($R69,武学奇术!$A:$ZZ,30,FALSE)="蓄力技",$B$21,0))*(1+IF(VLOOKUP($R69,武学奇术!$A:$ZZ,30,FALSE)="派生技",$B$20,0))*(1+$BW69)*(1+$BX69)</f>
        <v>101915.318907242</v>
      </c>
      <c r="O69" s="46">
        <f>((($AT69+$AU69)/2*$AN69+$AO69)*(1+$AV69)*(1+$AW69)+(($AY69+$AZ69)/2*IF($G$1="鸣金",$AP69,$AN69)+IF($G$1="鸣金",$AQ69*1.5,0))*(1+$BA69)*(1+$BB69)+(($BC69+$BD69)/2*IF($G$1="裂石",$AP69,$AN69)+IF($G$1="裂石",$AQ69*1.5,0))*(1+$BE69)*(1+$BF69)+(($BG69+$BH69)/2*IF($G$1="牵丝",$AP69,$AN69)+IF($G$1="牵丝",$AQ69*1.5,0))*(1+$BI69)*(1+$BJ69)+(($BK69+$BL69)/2*IF($G$1="破竹",$AP69,$AN69)+IF($G$1="破竹",$AQ69*1.5,0))*(1+$BM69)*(1+$BN69))*(1+$AR69)*$Q69*(1+IF(VLOOKUP($R69,武学奇术!$A:$ZZ,30,FALSE)="蓄力技",$B$21,0))*(1+IF(VLOOKUP($R69,武学奇术!$A:$ZZ,30,FALSE)="派生技",$B$20,0))*(1+$BW69)*(1+$BX69)</f>
        <v>66487.987761738</v>
      </c>
      <c r="P69" s="46">
        <f>((($AT69*$AN69+$AO69)*(1+$AV69)*(1+$AW69)+($AY69*IF($G$1="鸣金",$AP69,$AN69)+IF($G$1="鸣金",$AQ69*1.5,0))*(1+$BA69)*(1+$BB69)+($BC69*IF($G$1="裂石",$AP69,$AN69)+IF($G$1="裂石",$AQ69*1.5,0))*(1+$BE69)*(1+$BF69)+($BG69*IF($G$1="牵丝",$AP69,$AN69)+IF($G$1="牵丝",$AQ69*1.5,0))*(1+$BI69)*(1+$BJ69)+($BK69*IF($G$1="破竹",$AP69,$AN69)+IF($G$1="破竹",$AQ69*1.5,0))*(1+$BM69)*(1+$BN69))*(1+$AR69))*$Q69*(1+IF(VLOOKUP($R69,武学奇术!$A:$ZZ,30,FALSE)="蓄力技",$B$21,0))*(1+IF(VLOOKUP($R69,武学奇术!$A:$ZZ,30,FALSE)="派生技",$B$20,0))*(1+$BW69)*(1+$BX69)</f>
        <v>57483.1467032968</v>
      </c>
      <c r="Q69" s="47">
        <f>IF($E$24="陌刀",3,0)</f>
        <v>3</v>
      </c>
      <c r="R69" s="48" t="s">
        <v>144</v>
      </c>
      <c r="S69" s="48" t="s">
        <v>99</v>
      </c>
      <c r="T69" s="48" t="s">
        <v>182</v>
      </c>
      <c r="U69" s="48" t="s">
        <v>79</v>
      </c>
      <c r="V69" s="48" t="s">
        <v>90</v>
      </c>
      <c r="W69" s="48" t="s">
        <v>141</v>
      </c>
      <c r="X69" s="48" t="s">
        <v>145</v>
      </c>
      <c r="Y69" s="48" t="s">
        <v>74</v>
      </c>
      <c r="Z69" s="48" t="s">
        <v>80</v>
      </c>
      <c r="AA69" s="48" t="s">
        <v>80</v>
      </c>
      <c r="AB69" s="48" t="s">
        <v>80</v>
      </c>
      <c r="AC69" s="48" t="s">
        <v>80</v>
      </c>
      <c r="AD69" s="48" t="s">
        <v>80</v>
      </c>
      <c r="AE69" s="48" t="s">
        <v>82</v>
      </c>
      <c r="AF69" s="48" t="s">
        <v>83</v>
      </c>
      <c r="AG69" s="48" t="s">
        <v>84</v>
      </c>
      <c r="AH69" s="48" t="s">
        <v>80</v>
      </c>
      <c r="AI69" s="48" t="s">
        <v>80</v>
      </c>
      <c r="AJ69" s="48" t="s">
        <v>80</v>
      </c>
      <c r="AK69" s="48" t="s">
        <v>80</v>
      </c>
      <c r="AL69" s="48" t="s">
        <v>85</v>
      </c>
      <c r="AM69" t="str">
        <f>VLOOKUP($R69,武学奇术!$A:$ZZ,25,FALSE)</f>
        <v>陌刀</v>
      </c>
      <c r="AN69" s="33">
        <f>VLOOKUP($R69,武学奇术!$A:$ZZ,26,FALSE)</f>
        <v>0.945</v>
      </c>
      <c r="AO69" s="34">
        <f>VLOOKUP($R69,武学奇术!$A:$ZZ,27,FALSE)*(1+IF(OR($AM69=$F$4,$AM69=$F$5),$B$22,0))</f>
        <v>0</v>
      </c>
      <c r="AP69" s="33">
        <f>VLOOKUP($R69,武学奇术!$A:$ZZ,28,FALSE)</f>
        <v>1.4175</v>
      </c>
      <c r="AQ69" s="34">
        <f>VLOOKUP($R69,武学奇术!$A:$ZZ,29,FALSE)*(1+IF(OR($AM69=$F$4,$AM69=$F$5),$B$22,0))</f>
        <v>0</v>
      </c>
      <c r="AR69" s="33" cm="1">
        <f t="array" ref="AR69">$G$3+IFERROR(VLOOKUP($AM69,$F$4:$G$7,2,FALSE),0)+VLOOKUP($R69,武学奇术!$A:$ZZ,2,FALSE)+SUM(_xlfn.XLOOKUP($S69:$AL69,增益!$A:$A,增益!$B:$B,0))</f>
        <v>0.6943</v>
      </c>
      <c r="AS69" s="33" cm="1">
        <f t="array" ref="AS69">VLOOKUP($R69,武学奇术!$A:$ZZ,5,FALSE)+SUM(_xlfn.XLOOKUP($S69:$AL69,增益!$A:$A,增益!$E:$E,0))</f>
        <v>0</v>
      </c>
      <c r="AT69" cm="1">
        <f t="array" ref="AT69">$D$10*(1+$AS69)+VLOOKUP($R69,武学奇术!$A:$ZZ,3,FALSE)+SUM(_xlfn.XLOOKUP($S69:$AL69,增益!$A:$A,增益!$C:$C,0))-$I$2</f>
        <v>4094.7</v>
      </c>
      <c r="AU69" cm="1">
        <f t="array" ref="AU69">$E$10*(1+$AS69)+VLOOKUP($R69,武学奇术!$A:$ZZ,4,FALSE)+SUM(_xlfn.XLOOKUP($S69:$AL69,增益!$A:$A,增益!$D:$D,0))-$I$2</f>
        <v>4094.7</v>
      </c>
      <c r="AV69" s="40" cm="1">
        <f t="array" ref="AV69">IF($F$10-$I$3+VLOOKUP($R69,武学奇术!$A:$ZZ,6,FALSE)+SUM(_xlfn.XLOOKUP($S69:$AL69,增益!$A:$A,增益!$F:$F,0))&gt;0,($F$10-$I$3+VLOOKUP($R69,武学奇术!$A:$ZZ,6,FALSE)+SUM(_xlfn.XLOOKUP($S69:$AL69,增益!$A:$A,增益!$F:$F,0)))/200,($F$10-$I$3+VLOOKUP($R69,武学奇术!$A:$ZZ,6,FALSE)+SUM(_xlfn.XLOOKUP($S69:$AL69,增益!$A:$A,增益!$F:$F,0)))/100)</f>
        <v>0.4384</v>
      </c>
      <c r="AW69" s="40" cm="1">
        <f t="array" ref="AW69">$G$10+VLOOKUP($R69,武学奇术!$A:$ZZ,7,FALSE)+SUM(_xlfn.XLOOKUP($S69:$AL69,增益!$A:$A,增益!$G:$G,0))</f>
        <v>0.14</v>
      </c>
      <c r="AX69" s="33" cm="1">
        <f t="array" ref="AX69">VLOOKUP($R69,武学奇术!$A:$ZZ,8,FALSE)+SUM(_xlfn.XLOOKUP($S69:$AL69,增益!$A:$A,增益!$H:$H,0))</f>
        <v>0</v>
      </c>
      <c r="AY69">
        <f t="shared" si="29"/>
        <v>0</v>
      </c>
      <c r="AZ69">
        <f t="shared" si="30"/>
        <v>0</v>
      </c>
      <c r="BA69" s="40" cm="1">
        <f t="array" ref="BA69">IF($F$11-$I$4+VLOOKUP($R69,武学奇术!$A:$ZZ,9,FALSE)+SUM(_xlfn.XLOOKUP($S69:$AL69,增益!$A:$A,增益!$I:$I,0))&gt;0,($F$11-$I$4+VLOOKUP($R69,武学奇术!$A:$ZZ,9,FALSE)+SUM(_xlfn.XLOOKUP($S69:$AL69,增益!$A:$A,增益!$I:$I,0)))/200,($F$11-$I$4+VLOOKUP($R69,武学奇术!$A:$ZZ,9,FALSE)+SUM(_xlfn.XLOOKUP($S69:$AL69,增益!$A:$A,增益!$I:$I,0)))/100)</f>
        <v>-0.14</v>
      </c>
      <c r="BB69" s="40" cm="1">
        <f t="array" ref="BB69">$G$11+VLOOKUP($R69,武学奇术!$A:$ZZ,10,FALSE)+SUM(_xlfn.XLOOKUP($S69:$AL69,增益!$A:$A,增益!$J:$J,0))</f>
        <v>0.02</v>
      </c>
      <c r="BC69">
        <f t="shared" si="31"/>
        <v>640.3</v>
      </c>
      <c r="BD69">
        <f t="shared" si="32"/>
        <v>1770.1</v>
      </c>
      <c r="BE69" s="40" cm="1">
        <f t="array" ref="BE69">IF($F$12-$I$4+VLOOKUP($R69,武学奇术!$A:$ZZ,11,FALSE)+SUM(_xlfn.XLOOKUP($S69:$AL69,增益!$A:$A,增益!$K:$K,0))&gt;0,($F$12-$I$4+VLOOKUP($R69,武学奇术!$A:$ZZ,11,FALSE)+SUM(_xlfn.XLOOKUP($S69:$AL69,增益!$A:$A,增益!$K:$K,0)))/200,($F$12-$I$4+VLOOKUP($R69,武学奇术!$A:$ZZ,11,FALSE)+SUM(_xlfn.XLOOKUP($S69:$AL69,增益!$A:$A,增益!$K:$K,0)))/100)</f>
        <v>0.17</v>
      </c>
      <c r="BF69" s="40" cm="1">
        <f t="array" ref="BF69">$G$12+VLOOKUP($R69,武学奇术!$A:$ZZ,12,FALSE)+SUM(_xlfn.XLOOKUP($S69:$AL69,增益!$A:$A,增益!$L:$L,0))</f>
        <v>0.29</v>
      </c>
      <c r="BG69">
        <f t="shared" si="33"/>
        <v>0</v>
      </c>
      <c r="BH69">
        <f t="shared" si="34"/>
        <v>0</v>
      </c>
      <c r="BI69" s="40" cm="1">
        <f t="array" ref="BI69">IF($F$13-$I$4+VLOOKUP($R69,武学奇术!$A:$ZZ,13,FALSE)+SUM(_xlfn.XLOOKUP($S69:$AL69,增益!$A:$A,增益!$M:$M,0))&gt;0,($F$13-$I$4+VLOOKUP($R69,武学奇术!$A:$ZZ,13,FALSE)+SUM(_xlfn.XLOOKUP($S69:$AL69,增益!$A:$A,增益!$K:$K,0)))/200,($F$13-$I$4+VLOOKUP($R69,武学奇术!$A:$ZZ,13,FALSE)+SUM(_xlfn.XLOOKUP($S69:$AL69,增益!$A:$A,增益!$M:$M,0)))/100)</f>
        <v>-0.14</v>
      </c>
      <c r="BJ69" s="40" cm="1">
        <f t="array" ref="BJ69">$G$13+VLOOKUP($R69,武学奇术!$A:$ZZ,14,FALSE)+SUM(_xlfn.XLOOKUP($S69:$AL69,增益!$A:$A,增益!$N:$N,0))</f>
        <v>0.02</v>
      </c>
      <c r="BK69">
        <f t="shared" si="35"/>
        <v>0</v>
      </c>
      <c r="BL69">
        <f t="shared" si="36"/>
        <v>0</v>
      </c>
      <c r="BM69" s="40" cm="1">
        <f t="array" ref="BM69">IF($F$14-$I$4+VLOOKUP($R69,武学奇术!$A:$ZZ,15,FALSE)+SUM(_xlfn.XLOOKUP($S69:$AL69,增益!$A:$A,增益!$O:$O,0))&gt;0,($F$14-$I$4+VLOOKUP($R69,武学奇术!$A:$ZZ,15,FALSE)+SUM(_xlfn.XLOOKUP($S69:$AL69,增益!$A:$A,增益!$O:$O,0)))/200,($F$14-$I$4+VLOOKUP($R69,武学奇术!$A:$ZZ,15,FALSE)+SUM(_xlfn.XLOOKUP($S69:$AL69,增益!$A:$A,增益!$O:$O,0)))/100)</f>
        <v>-0.14</v>
      </c>
      <c r="BN69" s="40" cm="1">
        <f t="array" ref="BN69">$G$14+VLOOKUP($R69,武学奇术!$A:$ZZ,16,FALSE)+SUM(_xlfn.XLOOKUP($S69:$AL69,增益!$A:$A,增益!$P:$P,0))</f>
        <v>0.02</v>
      </c>
      <c r="BO69" s="33">
        <f>MIN(IF(VLOOKUP($R69,武学奇术!$A:$ZZ,23,FALSE)=1,100%,$B$8),100%)</f>
        <v>1</v>
      </c>
      <c r="BP69" s="33" cm="1">
        <f t="array" ref="BP69">IF(VLOOKUP($R69,武学奇术!$A:$ZZ,23,FALSE)=1,100%,MIN(80%,$B$9+VLOOKUP($R69,武学奇术!$A:$ZZ,17,FALSE)+SUM(_xlfn.XLOOKUP($S69:$AL69,增益!$A:$A,增益!$Q:$Q,0)))+$B$11+SUM(_xlfn.XLOOKUP($S69:$AL69,增益!$A:$A,增益!$U:$U,0)))*IF(VLOOKUP($R69,武学奇术!$A:$ZZ,24,FALSE)=1,0,1)</f>
        <v>1</v>
      </c>
      <c r="BQ69" s="33" cm="1">
        <f t="array" ref="BQ69">1+$B$13+VLOOKUP($R69,武学奇术!$A:$ZZ,18,FALSE)+SUM(_xlfn.XLOOKUP($S69:$AL69,增益!$A:$A,增益!$R:$R,0))</f>
        <v>2.1</v>
      </c>
      <c r="BR69" s="33" cm="1">
        <f t="array" ref="BR69">IF(VLOOKUP($R69,武学奇术!$A:$ZZ,24,FALSE)=1,100%,MIN(40%,$B$10+VLOOKUP($R69,武学奇术!$A:$ZZ,19,FALSE)+SUM(_xlfn.XLOOKUP($S69:$AL69,增益!$A:$A,增益!$S:$S,0)))+$B$12+SUM(_xlfn.XLOOKUP($S69:$AL69,增益!$A:$A,增益!$V:$V,0)))*IF(VLOOKUP($R69,武学奇术!$A:$ZZ,23,FALSE)=1,0,1)</f>
        <v>0</v>
      </c>
      <c r="BS69" s="33" cm="1">
        <f t="array" ref="BS69">1+$B$14+VLOOKUP($R69,武学奇术!$A:$ZZ,20,FALSE)+SUM(_xlfn.XLOOKUP($S69:$AL69,增益!$A:$A,增益!$T:$T,0))</f>
        <v>1.35</v>
      </c>
      <c r="BT69" s="33">
        <f t="shared" si="37"/>
        <v>1</v>
      </c>
      <c r="BU69" s="33">
        <f t="shared" si="38"/>
        <v>0</v>
      </c>
      <c r="BV69" s="33">
        <f>IF(VLOOKUP($R69,武学奇术!$A:$ZZ,22,FALSE)=1,0,(1-$BO69))*(1-$BR69)</f>
        <v>0</v>
      </c>
      <c r="BW69" s="33" cm="1">
        <f t="array" ref="BW69">SUM(_xlfn.XLOOKUP($S69:$AL69,增益!$A:$A,增益!$W:$W,0))+$I$5</f>
        <v>0.11</v>
      </c>
      <c r="BX69" s="33" cm="1">
        <f t="array" ref="BX69">VLOOKUP($R69,武学奇术!$A:$ZZ,32,FALSE)+SUM(_xlfn.XLOOKUP($S69:$AL69,增益!$A:$A,增益!$X:$X,0))</f>
        <v>0</v>
      </c>
    </row>
    <row r="70" spans="1:76">
      <c r="A70" s="4" t="s">
        <v>168</v>
      </c>
      <c r="B70" s="4">
        <v>2.3</v>
      </c>
      <c r="C70" s="47"/>
      <c r="D70" s="47"/>
      <c r="L70" s="46">
        <f t="shared" si="28"/>
        <v>1268627.84619934</v>
      </c>
      <c r="M70" s="46">
        <f>((($AT70+$AU70)/2*$AN70+$AO70)*(1+$AV70)*(1+$AW70)+(($AY70+$AZ70)/2*IF($G$1="鸣金",$AP70,$AN70)+IF($G$1="鸣金",$AQ70*1.5,0))*(1+$BA70)*(1+$BB70)+(($BC70+$BD70)/2*IF($G$1="裂石",$AP70,$AN70)+IF($G$1="裂石",$AQ70*1.5,0))*(1+$BE70)*(1+$BF70)+(($BG70+$BH70)/2*IF($G$1="牵丝",$AP70,$AN70)+IF($G$1="牵丝",$AQ70*1.5,0))*(1+$BI70)*(1+$BJ70)+(($BK70+$BL70)/2*IF($G$1="破竹",$AP70,$AN70)+IF($G$1="破竹",$AQ70*1.5,0))*(1+$BM70)*(1+$BN70))*(1+$AR70)*$BQ70*$Q70*(1+IF(VLOOKUP($R70,武学奇术!$A:$ZZ,30,FALSE)="蓄力技",$B$21,0))*(1+IF(VLOOKUP($R70,武学奇术!$A:$ZZ,30,FALSE)="派生技",$B$20,0))*(1+$BW70)*(1+$BX70)</f>
        <v>1268627.84619934</v>
      </c>
      <c r="N70" s="46">
        <f>(($AU70*$AN70+$AO70)*(1+$AV70)*(1+$AW70)+($AZ70*IF($G$1="鸣金",$AP70,$AN70)+IF($G$1="鸣金",$AQ70*1.5,0))*(1+$BA70)*(1+$BB70)+($BD70*IF($G$1="裂石",$AP70,$AN70)+IF($G$1="裂石",$AQ70*1.5,0))*(1+$BE70)*(1+$BF70)+($BH70*IF($G$1="牵丝",$AP70,$AN70)+IF($G$1="牵丝",$AQ70*1.5,0))*(1+$BI70)*(1+$BJ70)+($BL70*IF($G$1="破竹",$AP70,$AN70)+IF($G$1="破竹",$AQ70*1.5,0))*(1+$BM70)*(1+$BN70))*(1+$AR70)*$BS70*$Q70*(1+IF(VLOOKUP($R70,武学奇术!$A:$ZZ,30,FALSE)="蓄力技",$B$21,0))*(1+IF(VLOOKUP($R70,武学奇术!$A:$ZZ,30,FALSE)="派生技",$B$20,0))*(1+$BW70)*(1+$BX70)</f>
        <v>912894.80762584</v>
      </c>
      <c r="O70" s="46">
        <f>((($AT70+$AU70)/2*$AN70+$AO70)*(1+$AV70)*(1+$AW70)+(($AY70+$AZ70)/2*IF($G$1="鸣金",$AP70,$AN70)+IF($G$1="鸣金",$AQ70*1.5,0))*(1+$BA70)*(1+$BB70)+(($BC70+$BD70)/2*IF($G$1="裂石",$AP70,$AN70)+IF($G$1="裂石",$AQ70*1.5,0))*(1+$BE70)*(1+$BF70)+(($BG70+$BH70)/2*IF($G$1="牵丝",$AP70,$AN70)+IF($G$1="牵丝",$AQ70*1.5,0))*(1+$BI70)*(1+$BJ70)+(($BK70+$BL70)/2*IF($G$1="破竹",$AP70,$AN70)+IF($G$1="破竹",$AQ70*1.5,0))*(1+$BM70)*(1+$BN70))*(1+$AR70)*$Q70*(1+IF(VLOOKUP($R70,武学奇术!$A:$ZZ,30,FALSE)="蓄力技",$B$21,0))*(1+IF(VLOOKUP($R70,武学奇术!$A:$ZZ,30,FALSE)="派生技",$B$20,0))*(1+$BW70)*(1+$BX70)</f>
        <v>604108.498190162</v>
      </c>
      <c r="P70" s="46">
        <f>((($AT70*$AN70+$AO70)*(1+$AV70)*(1+$AW70)+($AY70*IF($G$1="鸣金",$AP70,$AN70)+IF($G$1="鸣金",$AQ70*1.5,0))*(1+$BA70)*(1+$BB70)+($BC70*IF($G$1="裂石",$AP70,$AN70)+IF($G$1="裂石",$AQ70*1.5,0))*(1+$BE70)*(1+$BF70)+($BG70*IF($G$1="牵丝",$AP70,$AN70)+IF($G$1="牵丝",$AQ70*1.5,0))*(1+$BI70)*(1+$BJ70)+($BK70*IF($G$1="破竹",$AP70,$AN70)+IF($G$1="破竹",$AQ70*1.5,0))*(1+$BM70)*(1+$BN70))*(1+$AR70))*$Q70*(1+IF(VLOOKUP($R70,武学奇术!$A:$ZZ,30,FALSE)="蓄力技",$B$21,0))*(1+IF(VLOOKUP($R70,武学奇术!$A:$ZZ,30,FALSE)="派生技",$B$20,0))*(1+$BW70)*(1+$BX70)</f>
        <v>531998.620361183</v>
      </c>
      <c r="Q70" s="47">
        <f>IF($E$24="陌刀",3,0)</f>
        <v>3</v>
      </c>
      <c r="R70" s="48" t="s">
        <v>148</v>
      </c>
      <c r="S70" s="48" t="s">
        <v>99</v>
      </c>
      <c r="T70" s="48" t="s">
        <v>182</v>
      </c>
      <c r="U70" s="48" t="s">
        <v>79</v>
      </c>
      <c r="V70" s="48" t="s">
        <v>90</v>
      </c>
      <c r="W70" s="48" t="s">
        <v>141</v>
      </c>
      <c r="X70" s="48" t="s">
        <v>145</v>
      </c>
      <c r="Y70" s="48" t="s">
        <v>74</v>
      </c>
      <c r="Z70" s="48" t="s">
        <v>80</v>
      </c>
      <c r="AA70" s="48" t="s">
        <v>80</v>
      </c>
      <c r="AB70" s="48" t="s">
        <v>80</v>
      </c>
      <c r="AC70" s="48" t="s">
        <v>80</v>
      </c>
      <c r="AD70" s="48" t="s">
        <v>80</v>
      </c>
      <c r="AE70" s="48" t="s">
        <v>82</v>
      </c>
      <c r="AF70" s="48" t="s">
        <v>83</v>
      </c>
      <c r="AG70" s="48" t="s">
        <v>84</v>
      </c>
      <c r="AH70" s="48" t="s">
        <v>80</v>
      </c>
      <c r="AI70" s="48" t="s">
        <v>80</v>
      </c>
      <c r="AJ70" s="48" t="s">
        <v>80</v>
      </c>
      <c r="AK70" s="48" t="s">
        <v>80</v>
      </c>
      <c r="AL70" s="48" t="s">
        <v>85</v>
      </c>
      <c r="AM70" t="str">
        <f>VLOOKUP($R70,武学奇术!$A:$ZZ,25,FALSE)</f>
        <v>陌刀</v>
      </c>
      <c r="AN70" s="33">
        <f>VLOOKUP($R70,武学奇术!$A:$ZZ,26,FALSE)</f>
        <v>7.5674</v>
      </c>
      <c r="AO70" s="34">
        <f>VLOOKUP($R70,武学奇术!$A:$ZZ,27,FALSE)*(1+IF(OR($AM70=$F$4,$AM70=$F$5),$B$22,0))</f>
        <v>3348.8</v>
      </c>
      <c r="AP70" s="33">
        <f>VLOOKUP($R70,武学奇术!$A:$ZZ,28,FALSE)</f>
        <v>11.3512</v>
      </c>
      <c r="AQ70" s="34">
        <f>VLOOKUP($R70,武学奇术!$A:$ZZ,29,FALSE)*(1+IF(OR($AM70=$F$4,$AM70=$F$5),$B$22,0))</f>
        <v>1824</v>
      </c>
      <c r="AR70" s="33" cm="1">
        <f t="array" ref="AR70">$G$3+IFERROR(VLOOKUP($AM70,$F$4:$G$7,2,FALSE),0)+VLOOKUP($R70,武学奇术!$A:$ZZ,2,FALSE)+SUM(_xlfn.XLOOKUP($S70:$AL70,增益!$A:$A,增益!$B:$B,0))</f>
        <v>0.6943</v>
      </c>
      <c r="AS70" s="33" cm="1">
        <f t="array" ref="AS70">VLOOKUP($R70,武学奇术!$A:$ZZ,5,FALSE)+SUM(_xlfn.XLOOKUP($S70:$AL70,增益!$A:$A,增益!$E:$E,0))</f>
        <v>0</v>
      </c>
      <c r="AT70" cm="1">
        <f t="array" ref="AT70">$D$10*(1+$AS70)+VLOOKUP($R70,武学奇术!$A:$ZZ,3,FALSE)+SUM(_xlfn.XLOOKUP($S70:$AL70,增益!$A:$A,增益!$C:$C,0))-$I$2</f>
        <v>4094.7</v>
      </c>
      <c r="AU70" cm="1">
        <f t="array" ref="AU70">$E$10*(1+$AS70)+VLOOKUP($R70,武学奇术!$A:$ZZ,4,FALSE)+SUM(_xlfn.XLOOKUP($S70:$AL70,增益!$A:$A,增益!$D:$D,0))-$I$2</f>
        <v>4094.7</v>
      </c>
      <c r="AV70" s="40" cm="1">
        <f t="array" ref="AV70">IF($F$10-$I$3+VLOOKUP($R70,武学奇术!$A:$ZZ,6,FALSE)+SUM(_xlfn.XLOOKUP($S70:$AL70,增益!$A:$A,增益!$F:$F,0))&gt;0,($F$10-$I$3+VLOOKUP($R70,武学奇术!$A:$ZZ,6,FALSE)+SUM(_xlfn.XLOOKUP($S70:$AL70,增益!$A:$A,增益!$F:$F,0)))/200,($F$10-$I$3+VLOOKUP($R70,武学奇术!$A:$ZZ,6,FALSE)+SUM(_xlfn.XLOOKUP($S70:$AL70,增益!$A:$A,增益!$F:$F,0)))/100)</f>
        <v>0.4384</v>
      </c>
      <c r="AW70" s="40" cm="1">
        <f t="array" ref="AW70">$G$10+VLOOKUP($R70,武学奇术!$A:$ZZ,7,FALSE)+SUM(_xlfn.XLOOKUP($S70:$AL70,增益!$A:$A,增益!$G:$G,0))</f>
        <v>0.14</v>
      </c>
      <c r="AX70" s="33" cm="1">
        <f t="array" ref="AX70">VLOOKUP($R70,武学奇术!$A:$ZZ,8,FALSE)+SUM(_xlfn.XLOOKUP($S70:$AL70,增益!$A:$A,增益!$H:$H,0))</f>
        <v>0</v>
      </c>
      <c r="AY70">
        <f t="shared" si="29"/>
        <v>0</v>
      </c>
      <c r="AZ70">
        <f t="shared" si="30"/>
        <v>0</v>
      </c>
      <c r="BA70" s="40" cm="1">
        <f t="array" ref="BA70">IF($F$11-$I$4+VLOOKUP($R70,武学奇术!$A:$ZZ,9,FALSE)+SUM(_xlfn.XLOOKUP($S70:$AL70,增益!$A:$A,增益!$I:$I,0))&gt;0,($F$11-$I$4+VLOOKUP($R70,武学奇术!$A:$ZZ,9,FALSE)+SUM(_xlfn.XLOOKUP($S70:$AL70,增益!$A:$A,增益!$I:$I,0)))/200,($F$11-$I$4+VLOOKUP($R70,武学奇术!$A:$ZZ,9,FALSE)+SUM(_xlfn.XLOOKUP($S70:$AL70,增益!$A:$A,增益!$I:$I,0)))/100)</f>
        <v>-0.14</v>
      </c>
      <c r="BB70" s="40" cm="1">
        <f t="array" ref="BB70">$G$11+VLOOKUP($R70,武学奇术!$A:$ZZ,10,FALSE)+SUM(_xlfn.XLOOKUP($S70:$AL70,增益!$A:$A,增益!$J:$J,0))</f>
        <v>0.02</v>
      </c>
      <c r="BC70">
        <f t="shared" si="31"/>
        <v>640.3</v>
      </c>
      <c r="BD70">
        <f t="shared" si="32"/>
        <v>1770.1</v>
      </c>
      <c r="BE70" s="40" cm="1">
        <f t="array" ref="BE70">IF($F$12-$I$4+VLOOKUP($R70,武学奇术!$A:$ZZ,11,FALSE)+SUM(_xlfn.XLOOKUP($S70:$AL70,增益!$A:$A,增益!$K:$K,0))&gt;0,($F$12-$I$4+VLOOKUP($R70,武学奇术!$A:$ZZ,11,FALSE)+SUM(_xlfn.XLOOKUP($S70:$AL70,增益!$A:$A,增益!$K:$K,0)))/200,($F$12-$I$4+VLOOKUP($R70,武学奇术!$A:$ZZ,11,FALSE)+SUM(_xlfn.XLOOKUP($S70:$AL70,增益!$A:$A,增益!$K:$K,0)))/100)</f>
        <v>0.17</v>
      </c>
      <c r="BF70" s="40" cm="1">
        <f t="array" ref="BF70">$G$12+VLOOKUP($R70,武学奇术!$A:$ZZ,12,FALSE)+SUM(_xlfn.XLOOKUP($S70:$AL70,增益!$A:$A,增益!$L:$L,0))</f>
        <v>0.29</v>
      </c>
      <c r="BG70">
        <f t="shared" si="33"/>
        <v>0</v>
      </c>
      <c r="BH70">
        <f t="shared" si="34"/>
        <v>0</v>
      </c>
      <c r="BI70" s="40" cm="1">
        <f t="array" ref="BI70">IF($F$13-$I$4+VLOOKUP($R70,武学奇术!$A:$ZZ,13,FALSE)+SUM(_xlfn.XLOOKUP($S70:$AL70,增益!$A:$A,增益!$M:$M,0))&gt;0,($F$13-$I$4+VLOOKUP($R70,武学奇术!$A:$ZZ,13,FALSE)+SUM(_xlfn.XLOOKUP($S70:$AL70,增益!$A:$A,增益!$K:$K,0)))/200,($F$13-$I$4+VLOOKUP($R70,武学奇术!$A:$ZZ,13,FALSE)+SUM(_xlfn.XLOOKUP($S70:$AL70,增益!$A:$A,增益!$M:$M,0)))/100)</f>
        <v>-0.14</v>
      </c>
      <c r="BJ70" s="40" cm="1">
        <f t="array" ref="BJ70">$G$13+VLOOKUP($R70,武学奇术!$A:$ZZ,14,FALSE)+SUM(_xlfn.XLOOKUP($S70:$AL70,增益!$A:$A,增益!$N:$N,0))</f>
        <v>0.02</v>
      </c>
      <c r="BK70">
        <f t="shared" si="35"/>
        <v>0</v>
      </c>
      <c r="BL70">
        <f t="shared" si="36"/>
        <v>0</v>
      </c>
      <c r="BM70" s="40" cm="1">
        <f t="array" ref="BM70">IF($F$14-$I$4+VLOOKUP($R70,武学奇术!$A:$ZZ,15,FALSE)+SUM(_xlfn.XLOOKUP($S70:$AL70,增益!$A:$A,增益!$O:$O,0))&gt;0,($F$14-$I$4+VLOOKUP($R70,武学奇术!$A:$ZZ,15,FALSE)+SUM(_xlfn.XLOOKUP($S70:$AL70,增益!$A:$A,增益!$O:$O,0)))/200,($F$14-$I$4+VLOOKUP($R70,武学奇术!$A:$ZZ,15,FALSE)+SUM(_xlfn.XLOOKUP($S70:$AL70,增益!$A:$A,增益!$O:$O,0)))/100)</f>
        <v>-0.14</v>
      </c>
      <c r="BN70" s="40" cm="1">
        <f t="array" ref="BN70">$G$14+VLOOKUP($R70,武学奇术!$A:$ZZ,16,FALSE)+SUM(_xlfn.XLOOKUP($S70:$AL70,增益!$A:$A,增益!$P:$P,0))</f>
        <v>0.02</v>
      </c>
      <c r="BO70" s="33">
        <f>MIN(IF(VLOOKUP($R70,武学奇术!$A:$ZZ,23,FALSE)=1,100%,$B$8),100%)</f>
        <v>1</v>
      </c>
      <c r="BP70" s="33" cm="1">
        <f t="array" ref="BP70">IF(VLOOKUP($R70,武学奇术!$A:$ZZ,23,FALSE)=1,100%,MIN(80%,$B$9+VLOOKUP($R70,武学奇术!$A:$ZZ,17,FALSE)+SUM(_xlfn.XLOOKUP($S70:$AL70,增益!$A:$A,增益!$Q:$Q,0)))+$B$11+SUM(_xlfn.XLOOKUP($S70:$AL70,增益!$A:$A,增益!$U:$U,0)))*IF(VLOOKUP($R70,武学奇术!$A:$ZZ,24,FALSE)=1,0,1)</f>
        <v>1</v>
      </c>
      <c r="BQ70" s="33" cm="1">
        <f t="array" ref="BQ70">1+$B$13+VLOOKUP($R70,武学奇术!$A:$ZZ,18,FALSE)+SUM(_xlfn.XLOOKUP($S70:$AL70,增益!$A:$A,增益!$R:$R,0))</f>
        <v>2.1</v>
      </c>
      <c r="BR70" s="33" cm="1">
        <f t="array" ref="BR70">IF(VLOOKUP($R70,武学奇术!$A:$ZZ,24,FALSE)=1,100%,MIN(40%,$B$10+VLOOKUP($R70,武学奇术!$A:$ZZ,19,FALSE)+SUM(_xlfn.XLOOKUP($S70:$AL70,增益!$A:$A,增益!$S:$S,0)))+$B$12+SUM(_xlfn.XLOOKUP($S70:$AL70,增益!$A:$A,增益!$V:$V,0)))*IF(VLOOKUP($R70,武学奇术!$A:$ZZ,23,FALSE)=1,0,1)</f>
        <v>0</v>
      </c>
      <c r="BS70" s="33" cm="1">
        <f t="array" ref="BS70">1+$B$14+VLOOKUP($R70,武学奇术!$A:$ZZ,20,FALSE)+SUM(_xlfn.XLOOKUP($S70:$AL70,增益!$A:$A,增益!$T:$T,0))</f>
        <v>1.35</v>
      </c>
      <c r="BT70" s="33">
        <f t="shared" si="37"/>
        <v>1</v>
      </c>
      <c r="BU70" s="33">
        <f t="shared" si="38"/>
        <v>0</v>
      </c>
      <c r="BV70" s="33">
        <f>IF(VLOOKUP($R70,武学奇术!$A:$ZZ,22,FALSE)=1,0,(1-$BO70))*(1-$BR70)</f>
        <v>0</v>
      </c>
      <c r="BW70" s="33" cm="1">
        <f t="array" ref="BW70">SUM(_xlfn.XLOOKUP($S70:$AL70,增益!$A:$A,增益!$W:$W,0))+$I$5</f>
        <v>0.11</v>
      </c>
      <c r="BX70" s="33" cm="1">
        <f t="array" ref="BX70">VLOOKUP($R70,武学奇术!$A:$ZZ,32,FALSE)+SUM(_xlfn.XLOOKUP($S70:$AL70,增益!$A:$A,增益!$X:$X,0))</f>
        <v>0</v>
      </c>
    </row>
    <row r="71" spans="1:76">
      <c r="A71" s="4" t="s">
        <v>168</v>
      </c>
      <c r="B71" s="4">
        <v>2.3</v>
      </c>
      <c r="C71" s="47"/>
      <c r="D71" s="47"/>
      <c r="L71" s="46">
        <f t="shared" si="28"/>
        <v>131519.820231774</v>
      </c>
      <c r="M71" s="46">
        <f>((($AT71+$AU71)/2*$AN71+$AO71)*(1+$AV71)*(1+$AW71)+(($AY71+$AZ71)/2*IF($G$1="鸣金",$AP71,$AN71)+IF($G$1="鸣金",$AQ71*1.5,0))*(1+$BA71)*(1+$BB71)+(($BC71+$BD71)/2*IF($G$1="裂石",$AP71,$AN71)+IF($G$1="裂石",$AQ71*1.5,0))*(1+$BE71)*(1+$BF71)+(($BG71+$BH71)/2*IF($G$1="牵丝",$AP71,$AN71)+IF($G$1="牵丝",$AQ71*1.5,0))*(1+$BI71)*(1+$BJ71)+(($BK71+$BL71)/2*IF($G$1="破竹",$AP71,$AN71)+IF($G$1="破竹",$AQ71*1.5,0))*(1+$BM71)*(1+$BN71))*(1+$AR71)*$BQ71*$Q71*(1+IF(VLOOKUP($R71,武学奇术!$A:$ZZ,30,FALSE)="蓄力技",$B$21,0))*(1+IF(VLOOKUP($R71,武学奇术!$A:$ZZ,30,FALSE)="派生技",$B$20,0))*(1+$BW71)*(1+$BX71)</f>
        <v>137689.565032575</v>
      </c>
      <c r="N71" s="46">
        <f>(($AU71*$AN71+$AO71)*(1+$AV71)*(1+$AW71)+($AZ71*IF($G$1="鸣金",$AP71,$AN71)+IF($G$1="鸣金",$AQ71*1.5,0))*(1+$BA71)*(1+$BB71)+($BD71*IF($G$1="裂石",$AP71,$AN71)+IF($G$1="裂石",$AQ71*1.5,0))*(1+$BE71)*(1+$BF71)+($BH71*IF($G$1="牵丝",$AP71,$AN71)+IF($G$1="牵丝",$AQ71*1.5,0))*(1+$BI71)*(1+$BJ71)+($BL71*IF($G$1="破竹",$AP71,$AN71)+IF($G$1="破竹",$AQ71*1.5,0))*(1+$BM71)*(1+$BN71))*(1+$AR71)*$BS71*$Q71*(1+IF(VLOOKUP($R71,武学奇术!$A:$ZZ,30,FALSE)="蓄力技",$B$21,0))*(1+IF(VLOOKUP($R71,武学奇术!$A:$ZZ,30,FALSE)="派生技",$B$20,0))*(1+$BW71)*(1+$BX71)</f>
        <v>104388.16329632</v>
      </c>
      <c r="O71" s="46">
        <f>((($AT71+$AU71)/2*$AN71+$AO71)*(1+$AV71)*(1+$AW71)+(($AY71+$AZ71)/2*IF($G$1="鸣金",$AP71,$AN71)+IF($G$1="鸣金",$AQ71*1.5,0))*(1+$BA71)*(1+$BB71)+(($BC71+$BD71)/2*IF($G$1="裂石",$AP71,$AN71)+IF($G$1="裂石",$AQ71*1.5,0))*(1+$BE71)*(1+$BF71)+(($BG71+$BH71)/2*IF($G$1="牵丝",$AP71,$AN71)+IF($G$1="牵丝",$AQ71*1.5,0))*(1+$BI71)*(1+$BJ71)+(($BK71+$BL71)/2*IF($G$1="破竹",$AP71,$AN71)+IF($G$1="破竹",$AQ71*1.5,0))*(1+$BM71)*(1+$BN71))*(1+$AR71)*$Q71*(1+IF(VLOOKUP($R71,武学奇术!$A:$ZZ,30,FALSE)="蓄力技",$B$21,0))*(1+IF(VLOOKUP($R71,武学奇术!$A:$ZZ,30,FALSE)="派生技",$B$20,0))*(1+$BW71)*(1+$BX71)</f>
        <v>68844.7825162876</v>
      </c>
      <c r="P71" s="46">
        <f>((($AT71*$AN71+$AO71)*(1+$AV71)*(1+$AW71)+($AY71*IF($G$1="鸣金",$AP71,$AN71)+IF($G$1="鸣金",$AQ71*1.5,0))*(1+$BA71)*(1+$BB71)+($BC71*IF($G$1="裂石",$AP71,$AN71)+IF($G$1="裂石",$AQ71*1.5,0))*(1+$BE71)*(1+$BF71)+($BG71*IF($G$1="牵丝",$AP71,$AN71)+IF($G$1="牵丝",$AQ71*1.5,0))*(1+$BI71)*(1+$BJ71)+($BK71*IF($G$1="破竹",$AP71,$AN71)+IF($G$1="破竹",$AQ71*1.5,0))*(1+$BM71)*(1+$BN71))*(1+$AR71))*$Q71*(1+IF(VLOOKUP($R71,武学奇术!$A:$ZZ,30,FALSE)="蓄力技",$B$21,0))*(1+IF(VLOOKUP($R71,武学奇术!$A:$ZZ,30,FALSE)="派生技",$B$20,0))*(1+$BW71)*(1+$BX71)</f>
        <v>60364.9996278938</v>
      </c>
      <c r="Q71" s="47">
        <f t="shared" ref="Q71:Q75" si="39">IF($E$24="陌刀",1,0)</f>
        <v>1</v>
      </c>
      <c r="R71" s="48" t="s">
        <v>172</v>
      </c>
      <c r="S71" s="48" t="s">
        <v>99</v>
      </c>
      <c r="T71" s="48" t="s">
        <v>182</v>
      </c>
      <c r="U71" s="48" t="s">
        <v>79</v>
      </c>
      <c r="V71" s="48" t="s">
        <v>90</v>
      </c>
      <c r="W71" s="48" t="s">
        <v>141</v>
      </c>
      <c r="X71" s="48" t="s">
        <v>80</v>
      </c>
      <c r="Y71" s="48" t="s">
        <v>74</v>
      </c>
      <c r="Z71" s="48" t="s">
        <v>80</v>
      </c>
      <c r="AA71" s="48" t="s">
        <v>80</v>
      </c>
      <c r="AB71" s="48" t="s">
        <v>80</v>
      </c>
      <c r="AC71" s="48" t="s">
        <v>80</v>
      </c>
      <c r="AD71" s="48" t="s">
        <v>80</v>
      </c>
      <c r="AE71" s="48" t="s">
        <v>82</v>
      </c>
      <c r="AF71" s="48" t="s">
        <v>83</v>
      </c>
      <c r="AG71" s="48" t="s">
        <v>84</v>
      </c>
      <c r="AH71" s="48" t="s">
        <v>80</v>
      </c>
      <c r="AI71" s="48" t="s">
        <v>80</v>
      </c>
      <c r="AJ71" s="48" t="s">
        <v>80</v>
      </c>
      <c r="AK71" s="48" t="s">
        <v>80</v>
      </c>
      <c r="AL71" s="48" t="s">
        <v>85</v>
      </c>
      <c r="AM71" t="str">
        <f>VLOOKUP($R71,武学奇术!$A:$ZZ,25,FALSE)</f>
        <v>陌刀</v>
      </c>
      <c r="AN71" s="33">
        <f>VLOOKUP($R71,武学奇术!$A:$ZZ,26,FALSE)</f>
        <v>3.5256</v>
      </c>
      <c r="AO71" s="34">
        <f>VLOOKUP($R71,武学奇术!$A:$ZZ,27,FALSE)*(1+IF(OR($AM71=$F$4,$AM71=$F$5),$B$22,0))</f>
        <v>846.144</v>
      </c>
      <c r="AP71" s="33">
        <f>VLOOKUP($R71,武学奇术!$A:$ZZ,28,FALSE)</f>
        <v>5.2884</v>
      </c>
      <c r="AQ71" s="34">
        <f>VLOOKUP($R71,武学奇术!$A:$ZZ,29,FALSE)*(1+IF(OR($AM71=$F$4,$AM71=$F$5),$B$22,0))</f>
        <v>851.2</v>
      </c>
      <c r="AR71" s="33" cm="1">
        <f t="array" ref="AR71">$G$3+IFERROR(VLOOKUP($AM71,$F$4:$G$7,2,FALSE),0)+VLOOKUP($R71,武学奇术!$A:$ZZ,2,FALSE)+SUM(_xlfn.XLOOKUP($S71:$AL71,增益!$A:$A,增益!$B:$B,0))</f>
        <v>0.6943</v>
      </c>
      <c r="AS71" s="33" cm="1">
        <f t="array" ref="AS71">VLOOKUP($R71,武学奇术!$A:$ZZ,5,FALSE)+SUM(_xlfn.XLOOKUP($S71:$AL71,增益!$A:$A,增益!$E:$E,0))</f>
        <v>0</v>
      </c>
      <c r="AT71" cm="1">
        <f t="array" ref="AT71">$D$10*(1+$AS71)+VLOOKUP($R71,武学奇术!$A:$ZZ,3,FALSE)+SUM(_xlfn.XLOOKUP($S71:$AL71,增益!$A:$A,增益!$C:$C,0))-$I$2</f>
        <v>4094.7</v>
      </c>
      <c r="AU71" cm="1">
        <f t="array" ref="AU71">$E$10*(1+$AS71)+VLOOKUP($R71,武学奇术!$A:$ZZ,4,FALSE)+SUM(_xlfn.XLOOKUP($S71:$AL71,增益!$A:$A,增益!$D:$D,0))-$I$2</f>
        <v>4094.7</v>
      </c>
      <c r="AV71" s="40" cm="1">
        <f t="array" ref="AV71">IF($F$10-$I$3+VLOOKUP($R71,武学奇术!$A:$ZZ,6,FALSE)+SUM(_xlfn.XLOOKUP($S71:$AL71,增益!$A:$A,增益!$F:$F,0))&gt;0,($F$10-$I$3+VLOOKUP($R71,武学奇术!$A:$ZZ,6,FALSE)+SUM(_xlfn.XLOOKUP($S71:$AL71,增益!$A:$A,增益!$F:$F,0)))/200,($F$10-$I$3+VLOOKUP($R71,武学奇术!$A:$ZZ,6,FALSE)+SUM(_xlfn.XLOOKUP($S71:$AL71,增益!$A:$A,增益!$F:$F,0)))/100)</f>
        <v>0.4384</v>
      </c>
      <c r="AW71" s="40" cm="1">
        <f t="array" ref="AW71">$G$10+VLOOKUP($R71,武学奇术!$A:$ZZ,7,FALSE)+SUM(_xlfn.XLOOKUP($S71:$AL71,增益!$A:$A,增益!$G:$G,0))</f>
        <v>0.14</v>
      </c>
      <c r="AX71" s="33" cm="1">
        <f t="array" ref="AX71">VLOOKUP($R71,武学奇术!$A:$ZZ,8,FALSE)+SUM(_xlfn.XLOOKUP($S71:$AL71,增益!$A:$A,增益!$H:$H,0))</f>
        <v>0</v>
      </c>
      <c r="AY71">
        <f t="shared" si="29"/>
        <v>0</v>
      </c>
      <c r="AZ71">
        <f t="shared" si="30"/>
        <v>0</v>
      </c>
      <c r="BA71" s="40" cm="1">
        <f t="array" ref="BA71">IF($F$11-$I$4+VLOOKUP($R71,武学奇术!$A:$ZZ,9,FALSE)+SUM(_xlfn.XLOOKUP($S71:$AL71,增益!$A:$A,增益!$I:$I,0))&gt;0,($F$11-$I$4+VLOOKUP($R71,武学奇术!$A:$ZZ,9,FALSE)+SUM(_xlfn.XLOOKUP($S71:$AL71,增益!$A:$A,增益!$I:$I,0)))/200,($F$11-$I$4+VLOOKUP($R71,武学奇术!$A:$ZZ,9,FALSE)+SUM(_xlfn.XLOOKUP($S71:$AL71,增益!$A:$A,增益!$I:$I,0)))/100)</f>
        <v>-0.14</v>
      </c>
      <c r="BB71" s="40" cm="1">
        <f t="array" ref="BB71">$G$11+VLOOKUP($R71,武学奇术!$A:$ZZ,10,FALSE)+SUM(_xlfn.XLOOKUP($S71:$AL71,增益!$A:$A,增益!$J:$J,0))</f>
        <v>0.02</v>
      </c>
      <c r="BC71">
        <f t="shared" si="31"/>
        <v>640.3</v>
      </c>
      <c r="BD71">
        <f t="shared" si="32"/>
        <v>1770.1</v>
      </c>
      <c r="BE71" s="40" cm="1">
        <f t="array" ref="BE71">IF($F$12-$I$4+VLOOKUP($R71,武学奇术!$A:$ZZ,11,FALSE)+SUM(_xlfn.XLOOKUP($S71:$AL71,增益!$A:$A,增益!$K:$K,0))&gt;0,($F$12-$I$4+VLOOKUP($R71,武学奇术!$A:$ZZ,11,FALSE)+SUM(_xlfn.XLOOKUP($S71:$AL71,增益!$A:$A,增益!$K:$K,0)))/200,($F$12-$I$4+VLOOKUP($R71,武学奇术!$A:$ZZ,11,FALSE)+SUM(_xlfn.XLOOKUP($S71:$AL71,增益!$A:$A,增益!$K:$K,0)))/100)</f>
        <v>0.17</v>
      </c>
      <c r="BF71" s="40" cm="1">
        <f t="array" ref="BF71">$G$12+VLOOKUP($R71,武学奇术!$A:$ZZ,12,FALSE)+SUM(_xlfn.XLOOKUP($S71:$AL71,增益!$A:$A,增益!$L:$L,0))</f>
        <v>0.29</v>
      </c>
      <c r="BG71">
        <f t="shared" si="33"/>
        <v>0</v>
      </c>
      <c r="BH71">
        <f t="shared" si="34"/>
        <v>0</v>
      </c>
      <c r="BI71" s="40" cm="1">
        <f t="array" ref="BI71">IF($F$13-$I$4+VLOOKUP($R71,武学奇术!$A:$ZZ,13,FALSE)+SUM(_xlfn.XLOOKUP($S71:$AL71,增益!$A:$A,增益!$M:$M,0))&gt;0,($F$13-$I$4+VLOOKUP($R71,武学奇术!$A:$ZZ,13,FALSE)+SUM(_xlfn.XLOOKUP($S71:$AL71,增益!$A:$A,增益!$K:$K,0)))/200,($F$13-$I$4+VLOOKUP($R71,武学奇术!$A:$ZZ,13,FALSE)+SUM(_xlfn.XLOOKUP($S71:$AL71,增益!$A:$A,增益!$M:$M,0)))/100)</f>
        <v>-0.14</v>
      </c>
      <c r="BJ71" s="40" cm="1">
        <f t="array" ref="BJ71">$G$13+VLOOKUP($R71,武学奇术!$A:$ZZ,14,FALSE)+SUM(_xlfn.XLOOKUP($S71:$AL71,增益!$A:$A,增益!$N:$N,0))</f>
        <v>0.02</v>
      </c>
      <c r="BK71">
        <f t="shared" si="35"/>
        <v>0</v>
      </c>
      <c r="BL71">
        <f t="shared" si="36"/>
        <v>0</v>
      </c>
      <c r="BM71" s="40" cm="1">
        <f t="array" ref="BM71">IF($F$14-$I$4+VLOOKUP($R71,武学奇术!$A:$ZZ,15,FALSE)+SUM(_xlfn.XLOOKUP($S71:$AL71,增益!$A:$A,增益!$O:$O,0))&gt;0,($F$14-$I$4+VLOOKUP($R71,武学奇术!$A:$ZZ,15,FALSE)+SUM(_xlfn.XLOOKUP($S71:$AL71,增益!$A:$A,增益!$O:$O,0)))/200,($F$14-$I$4+VLOOKUP($R71,武学奇术!$A:$ZZ,15,FALSE)+SUM(_xlfn.XLOOKUP($S71:$AL71,增益!$A:$A,增益!$O:$O,0)))/100)</f>
        <v>-0.14</v>
      </c>
      <c r="BN71" s="40" cm="1">
        <f t="array" ref="BN71">$G$14+VLOOKUP($R71,武学奇术!$A:$ZZ,16,FALSE)+SUM(_xlfn.XLOOKUP($S71:$AL71,增益!$A:$A,增益!$P:$P,0))</f>
        <v>0.02</v>
      </c>
      <c r="BO71" s="33">
        <f>MIN(IF(VLOOKUP($R71,武学奇术!$A:$ZZ,23,FALSE)=1,100%,$B$8),100%)</f>
        <v>0.9771</v>
      </c>
      <c r="BP71" s="33" cm="1">
        <f t="array" ref="BP71">IF(VLOOKUP($R71,武学奇术!$A:$ZZ,23,FALSE)=1,100%,MIN(80%,$B$9+VLOOKUP($R71,武学奇术!$A:$ZZ,17,FALSE)+SUM(_xlfn.XLOOKUP($S71:$AL71,增益!$A:$A,增益!$Q:$Q,0)))+$B$11+SUM(_xlfn.XLOOKUP($S71:$AL71,增益!$A:$A,增益!$U:$U,0)))*IF(VLOOKUP($R71,武学奇术!$A:$ZZ,24,FALSE)=1,0,1)</f>
        <v>0.8861</v>
      </c>
      <c r="BQ71" s="33" cm="1">
        <f t="array" ref="BQ71">1+$B$13+VLOOKUP($R71,武学奇术!$A:$ZZ,18,FALSE)+SUM(_xlfn.XLOOKUP($S71:$AL71,增益!$A:$A,增益!$R:$R,0))</f>
        <v>2</v>
      </c>
      <c r="BR71" s="33" cm="1">
        <f t="array" ref="BR71">IF(VLOOKUP($R71,武学奇术!$A:$ZZ,24,FALSE)=1,100%,MIN(40%,$B$10+VLOOKUP($R71,武学奇术!$A:$ZZ,19,FALSE)+SUM(_xlfn.XLOOKUP($S71:$AL71,增益!$A:$A,增益!$S:$S,0)))+$B$12+SUM(_xlfn.XLOOKUP($S71:$AL71,增益!$A:$A,增益!$V:$V,0)))*IF(VLOOKUP($R71,武学奇术!$A:$ZZ,23,FALSE)=1,0,1)</f>
        <v>0.0913</v>
      </c>
      <c r="BS71" s="33" cm="1">
        <f t="array" ref="BS71">1+$B$14+VLOOKUP($R71,武学奇术!$A:$ZZ,20,FALSE)+SUM(_xlfn.XLOOKUP($S71:$AL71,增益!$A:$A,增益!$T:$T,0))</f>
        <v>1.35</v>
      </c>
      <c r="BT71" s="33">
        <f t="shared" si="37"/>
        <v>0.86580831</v>
      </c>
      <c r="BU71" s="33">
        <f t="shared" si="38"/>
        <v>0.02208246</v>
      </c>
      <c r="BV71" s="33">
        <f>IF(VLOOKUP($R71,武学奇术!$A:$ZZ,22,FALSE)=1,0,(1-$BO71))*(1-$BR71)</f>
        <v>0.02080923</v>
      </c>
      <c r="BW71" s="33" cm="1">
        <f t="array" ref="BW71">SUM(_xlfn.XLOOKUP($S71:$AL71,增益!$A:$A,增益!$W:$W,0))+$I$5</f>
        <v>0.11</v>
      </c>
      <c r="BX71" s="33" cm="1">
        <f t="array" ref="BX71">VLOOKUP($R71,武学奇术!$A:$ZZ,32,FALSE)+SUM(_xlfn.XLOOKUP($S71:$AL71,增益!$A:$A,增益!$X:$X,0))</f>
        <v>0</v>
      </c>
    </row>
    <row r="72" spans="1:76">
      <c r="A72" s="4" t="s">
        <v>168</v>
      </c>
      <c r="B72" s="4">
        <v>2.3</v>
      </c>
      <c r="C72" s="47"/>
      <c r="D72" s="47"/>
      <c r="L72" s="46">
        <f t="shared" si="28"/>
        <v>39158.6243906108</v>
      </c>
      <c r="M72" s="46">
        <f>((($AT72+$AU72)/2*$AN72+$AO72)*(1+$AV72)*(1+$AW72)+(($AY72+$AZ72)/2*IF($G$1="鸣金",$AP72,$AN72)+IF($G$1="鸣金",$AQ72*1.5,0))*(1+$BA72)*(1+$BB72)+(($BC72+$BD72)/2*IF($G$1="裂石",$AP72,$AN72)+IF($G$1="裂石",$AQ72*1.5,0))*(1+$BE72)*(1+$BF72)+(($BG72+$BH72)/2*IF($G$1="牵丝",$AP72,$AN72)+IF($G$1="牵丝",$AQ72*1.5,0))*(1+$BI72)*(1+$BJ72)+(($BK72+$BL72)/2*IF($G$1="破竹",$AP72,$AN72)+IF($G$1="破竹",$AQ72*1.5,0))*(1+$BM72)*(1+$BN72))*(1+$AR72)*$BQ72*$Q72*(1+IF(VLOOKUP($R72,武学奇术!$A:$ZZ,30,FALSE)="蓄力技",$B$21,0))*(1+IF(VLOOKUP($R72,武学奇术!$A:$ZZ,30,FALSE)="派生技",$B$20,0))*(1+$BW72)*(1+$BX72)</f>
        <v>39158.6243906108</v>
      </c>
      <c r="N72" s="46">
        <f>(($AU72*$AN72+$AO72)*(1+$AV72)*(1+$AW72)+($AZ72*IF($G$1="鸣金",$AP72,$AN72)+IF($G$1="鸣金",$AQ72*1.5,0))*(1+$BA72)*(1+$BB72)+($BD72*IF($G$1="裂石",$AP72,$AN72)+IF($G$1="裂石",$AQ72*1.5,0))*(1+$BE72)*(1+$BF72)+($BH72*IF($G$1="牵丝",$AP72,$AN72)+IF($G$1="牵丝",$AQ72*1.5,0))*(1+$BI72)*(1+$BJ72)+($BL72*IF($G$1="破竹",$AP72,$AN72)+IF($G$1="破竹",$AQ72*1.5,0))*(1+$BM72)*(1+$BN72))*(1+$AR72)*$BS72*$Q72*(1+IF(VLOOKUP($R72,武学奇术!$A:$ZZ,30,FALSE)="蓄力技",$B$21,0))*(1+IF(VLOOKUP($R72,武学奇术!$A:$ZZ,30,FALSE)="派生技",$B$20,0))*(1+$BW72)*(1+$BX72)</f>
        <v>28582.7763214369</v>
      </c>
      <c r="O72" s="46">
        <f>((($AT72+$AU72)/2*$AN72+$AO72)*(1+$AV72)*(1+$AW72)+(($AY72+$AZ72)/2*IF($G$1="鸣金",$AP72,$AN72)+IF($G$1="鸣金",$AQ72*1.5,0))*(1+$BA72)*(1+$BB72)+(($BC72+$BD72)/2*IF($G$1="裂石",$AP72,$AN72)+IF($G$1="裂石",$AQ72*1.5,0))*(1+$BE72)*(1+$BF72)+(($BG72+$BH72)/2*IF($G$1="牵丝",$AP72,$AN72)+IF($G$1="牵丝",$AQ72*1.5,0))*(1+$BI72)*(1+$BJ72)+(($BK72+$BL72)/2*IF($G$1="破竹",$AP72,$AN72)+IF($G$1="破竹",$AQ72*1.5,0))*(1+$BM72)*(1+$BN72))*(1+$AR72)*$Q72*(1+IF(VLOOKUP($R72,武学奇术!$A:$ZZ,30,FALSE)="蓄力技",$B$21,0))*(1+IF(VLOOKUP($R72,武学奇术!$A:$ZZ,30,FALSE)="派生技",$B$20,0))*(1+$BW72)*(1+$BX72)</f>
        <v>18646.963995529</v>
      </c>
      <c r="P72" s="46">
        <f>((($AT72*$AN72+$AO72)*(1+$AV72)*(1+$AW72)+($AY72*IF($G$1="鸣金",$AP72,$AN72)+IF($G$1="鸣金",$AQ72*1.5,0))*(1+$BA72)*(1+$BB72)+($BC72*IF($G$1="裂石",$AP72,$AN72)+IF($G$1="裂石",$AQ72*1.5,0))*(1+$BE72)*(1+$BF72)+($BG72*IF($G$1="牵丝",$AP72,$AN72)+IF($G$1="牵丝",$AQ72*1.5,0))*(1+$BI72)*(1+$BJ72)+($BK72*IF($G$1="破竹",$AP72,$AN72)+IF($G$1="破竹",$AQ72*1.5,0))*(1+$BM72)*(1+$BN72))*(1+$AR72))*$Q72*(1+IF(VLOOKUP($R72,武学奇术!$A:$ZZ,30,FALSE)="蓄力技",$B$21,0))*(1+IF(VLOOKUP($R72,武学奇术!$A:$ZZ,30,FALSE)="派生技",$B$20,0))*(1+$BW72)*(1+$BX72)</f>
        <v>16121.5010862899</v>
      </c>
      <c r="Q72" s="47">
        <f t="shared" si="39"/>
        <v>1</v>
      </c>
      <c r="R72" s="48" t="s">
        <v>187</v>
      </c>
      <c r="S72" s="48" t="s">
        <v>99</v>
      </c>
      <c r="T72" s="48" t="s">
        <v>182</v>
      </c>
      <c r="U72" s="48" t="s">
        <v>79</v>
      </c>
      <c r="V72" s="48" t="s">
        <v>90</v>
      </c>
      <c r="W72" s="48" t="s">
        <v>141</v>
      </c>
      <c r="X72" s="48" t="s">
        <v>145</v>
      </c>
      <c r="Y72" s="48" t="s">
        <v>74</v>
      </c>
      <c r="Z72" s="48" t="s">
        <v>80</v>
      </c>
      <c r="AA72" s="48" t="s">
        <v>80</v>
      </c>
      <c r="AB72" s="48" t="s">
        <v>80</v>
      </c>
      <c r="AC72" s="48" t="s">
        <v>80</v>
      </c>
      <c r="AD72" s="48" t="s">
        <v>80</v>
      </c>
      <c r="AE72" s="48" t="s">
        <v>82</v>
      </c>
      <c r="AF72" s="48" t="s">
        <v>83</v>
      </c>
      <c r="AG72" s="48" t="s">
        <v>84</v>
      </c>
      <c r="AH72" s="48" t="s">
        <v>80</v>
      </c>
      <c r="AI72" s="48" t="s">
        <v>80</v>
      </c>
      <c r="AJ72" s="48" t="s">
        <v>80</v>
      </c>
      <c r="AK72" s="48" t="s">
        <v>80</v>
      </c>
      <c r="AL72" s="48" t="s">
        <v>85</v>
      </c>
      <c r="AM72" t="str">
        <f>VLOOKUP($R72,武学奇术!$A:$ZZ,25,FALSE)</f>
        <v>陌刀</v>
      </c>
      <c r="AN72" s="33">
        <f>VLOOKUP($R72,武学奇术!$A:$ZZ,26,FALSE)</f>
        <v>1.05</v>
      </c>
      <c r="AO72" s="34">
        <f>VLOOKUP($R72,武学奇术!$A:$ZZ,27,FALSE)*(1+IF(OR($AM72=$F$4,$AM72=$F$5),$B$22,0))</f>
        <v>0</v>
      </c>
      <c r="AP72" s="33">
        <f>VLOOKUP($R72,武学奇术!$A:$ZZ,28,FALSE)</f>
        <v>1.575</v>
      </c>
      <c r="AQ72" s="34">
        <f>VLOOKUP($R72,武学奇术!$A:$ZZ,29,FALSE)*(1+IF(OR($AM72=$F$4,$AM72=$F$5),$B$22,0))</f>
        <v>0</v>
      </c>
      <c r="AR72" s="33" cm="1">
        <f t="array" ref="AR72">$G$3+IFERROR(VLOOKUP($AM72,$F$4:$G$7,2,FALSE),0)+VLOOKUP($R72,武学奇术!$A:$ZZ,2,FALSE)+SUM(_xlfn.XLOOKUP($S72:$AL72,增益!$A:$A,增益!$B:$B,0))</f>
        <v>0.6943</v>
      </c>
      <c r="AS72" s="33" cm="1">
        <f t="array" ref="AS72">VLOOKUP($R72,武学奇术!$A:$ZZ,5,FALSE)+SUM(_xlfn.XLOOKUP($S72:$AL72,增益!$A:$A,增益!$E:$E,0))</f>
        <v>0</v>
      </c>
      <c r="AT72" cm="1">
        <f t="array" ref="AT72">$D$10*(1+$AS72)+VLOOKUP($R72,武学奇术!$A:$ZZ,3,FALSE)+SUM(_xlfn.XLOOKUP($S72:$AL72,增益!$A:$A,增益!$C:$C,0))-$I$2</f>
        <v>4094.7</v>
      </c>
      <c r="AU72" cm="1">
        <f t="array" ref="AU72">$E$10*(1+$AS72)+VLOOKUP($R72,武学奇术!$A:$ZZ,4,FALSE)+SUM(_xlfn.XLOOKUP($S72:$AL72,增益!$A:$A,增益!$D:$D,0))-$I$2</f>
        <v>4094.7</v>
      </c>
      <c r="AV72" s="40" cm="1">
        <f t="array" ref="AV72">IF($F$10-$I$3+VLOOKUP($R72,武学奇术!$A:$ZZ,6,FALSE)+SUM(_xlfn.XLOOKUP($S72:$AL72,增益!$A:$A,增益!$F:$F,0))&gt;0,($F$10-$I$3+VLOOKUP($R72,武学奇术!$A:$ZZ,6,FALSE)+SUM(_xlfn.XLOOKUP($S72:$AL72,增益!$A:$A,增益!$F:$F,0)))/200,($F$10-$I$3+VLOOKUP($R72,武学奇术!$A:$ZZ,6,FALSE)+SUM(_xlfn.XLOOKUP($S72:$AL72,增益!$A:$A,增益!$F:$F,0)))/100)</f>
        <v>0.4384</v>
      </c>
      <c r="AW72" s="40" cm="1">
        <f t="array" ref="AW72">$G$10+VLOOKUP($R72,武学奇术!$A:$ZZ,7,FALSE)+SUM(_xlfn.XLOOKUP($S72:$AL72,增益!$A:$A,增益!$G:$G,0))</f>
        <v>0.14</v>
      </c>
      <c r="AX72" s="33" cm="1">
        <f t="array" ref="AX72">VLOOKUP($R72,武学奇术!$A:$ZZ,8,FALSE)+SUM(_xlfn.XLOOKUP($S72:$AL72,增益!$A:$A,增益!$H:$H,0))</f>
        <v>0</v>
      </c>
      <c r="AY72">
        <f t="shared" si="29"/>
        <v>0</v>
      </c>
      <c r="AZ72">
        <f t="shared" si="30"/>
        <v>0</v>
      </c>
      <c r="BA72" s="40" cm="1">
        <f t="array" ref="BA72">IF($F$11-$I$4+VLOOKUP($R72,武学奇术!$A:$ZZ,9,FALSE)+SUM(_xlfn.XLOOKUP($S72:$AL72,增益!$A:$A,增益!$I:$I,0))&gt;0,($F$11-$I$4+VLOOKUP($R72,武学奇术!$A:$ZZ,9,FALSE)+SUM(_xlfn.XLOOKUP($S72:$AL72,增益!$A:$A,增益!$I:$I,0)))/200,($F$11-$I$4+VLOOKUP($R72,武学奇术!$A:$ZZ,9,FALSE)+SUM(_xlfn.XLOOKUP($S72:$AL72,增益!$A:$A,增益!$I:$I,0)))/100)</f>
        <v>-0.14</v>
      </c>
      <c r="BB72" s="40" cm="1">
        <f t="array" ref="BB72">$G$11+VLOOKUP($R72,武学奇术!$A:$ZZ,10,FALSE)+SUM(_xlfn.XLOOKUP($S72:$AL72,增益!$A:$A,增益!$J:$J,0))</f>
        <v>0.02</v>
      </c>
      <c r="BC72">
        <f t="shared" si="31"/>
        <v>640.3</v>
      </c>
      <c r="BD72">
        <f t="shared" si="32"/>
        <v>1770.1</v>
      </c>
      <c r="BE72" s="40" cm="1">
        <f t="array" ref="BE72">IF($F$12-$I$4+VLOOKUP($R72,武学奇术!$A:$ZZ,11,FALSE)+SUM(_xlfn.XLOOKUP($S72:$AL72,增益!$A:$A,增益!$K:$K,0))&gt;0,($F$12-$I$4+VLOOKUP($R72,武学奇术!$A:$ZZ,11,FALSE)+SUM(_xlfn.XLOOKUP($S72:$AL72,增益!$A:$A,增益!$K:$K,0)))/200,($F$12-$I$4+VLOOKUP($R72,武学奇术!$A:$ZZ,11,FALSE)+SUM(_xlfn.XLOOKUP($S72:$AL72,增益!$A:$A,增益!$K:$K,0)))/100)</f>
        <v>0.17</v>
      </c>
      <c r="BF72" s="40" cm="1">
        <f t="array" ref="BF72">$G$12+VLOOKUP($R72,武学奇术!$A:$ZZ,12,FALSE)+SUM(_xlfn.XLOOKUP($S72:$AL72,增益!$A:$A,增益!$L:$L,0))</f>
        <v>0.29</v>
      </c>
      <c r="BG72">
        <f t="shared" si="33"/>
        <v>0</v>
      </c>
      <c r="BH72">
        <f t="shared" si="34"/>
        <v>0</v>
      </c>
      <c r="BI72" s="40" cm="1">
        <f t="array" ref="BI72">IF($F$13-$I$4+VLOOKUP($R72,武学奇术!$A:$ZZ,13,FALSE)+SUM(_xlfn.XLOOKUP($S72:$AL72,增益!$A:$A,增益!$M:$M,0))&gt;0,($F$13-$I$4+VLOOKUP($R72,武学奇术!$A:$ZZ,13,FALSE)+SUM(_xlfn.XLOOKUP($S72:$AL72,增益!$A:$A,增益!$K:$K,0)))/200,($F$13-$I$4+VLOOKUP($R72,武学奇术!$A:$ZZ,13,FALSE)+SUM(_xlfn.XLOOKUP($S72:$AL72,增益!$A:$A,增益!$M:$M,0)))/100)</f>
        <v>-0.14</v>
      </c>
      <c r="BJ72" s="40" cm="1">
        <f t="array" ref="BJ72">$G$13+VLOOKUP($R72,武学奇术!$A:$ZZ,14,FALSE)+SUM(_xlfn.XLOOKUP($S72:$AL72,增益!$A:$A,增益!$N:$N,0))</f>
        <v>0.02</v>
      </c>
      <c r="BK72">
        <f t="shared" si="35"/>
        <v>0</v>
      </c>
      <c r="BL72">
        <f t="shared" si="36"/>
        <v>0</v>
      </c>
      <c r="BM72" s="40" cm="1">
        <f t="array" ref="BM72">IF($F$14-$I$4+VLOOKUP($R72,武学奇术!$A:$ZZ,15,FALSE)+SUM(_xlfn.XLOOKUP($S72:$AL72,增益!$A:$A,增益!$O:$O,0))&gt;0,($F$14-$I$4+VLOOKUP($R72,武学奇术!$A:$ZZ,15,FALSE)+SUM(_xlfn.XLOOKUP($S72:$AL72,增益!$A:$A,增益!$O:$O,0)))/200,($F$14-$I$4+VLOOKUP($R72,武学奇术!$A:$ZZ,15,FALSE)+SUM(_xlfn.XLOOKUP($S72:$AL72,增益!$A:$A,增益!$O:$O,0)))/100)</f>
        <v>-0.14</v>
      </c>
      <c r="BN72" s="40" cm="1">
        <f t="array" ref="BN72">$G$14+VLOOKUP($R72,武学奇术!$A:$ZZ,16,FALSE)+SUM(_xlfn.XLOOKUP($S72:$AL72,增益!$A:$A,增益!$P:$P,0))</f>
        <v>0.02</v>
      </c>
      <c r="BO72" s="33">
        <f>MIN(IF(VLOOKUP($R72,武学奇术!$A:$ZZ,23,FALSE)=1,100%,$B$8),100%)</f>
        <v>1</v>
      </c>
      <c r="BP72" s="33" cm="1">
        <f t="array" ref="BP72">IF(VLOOKUP($R72,武学奇术!$A:$ZZ,23,FALSE)=1,100%,MIN(80%,$B$9+VLOOKUP($R72,武学奇术!$A:$ZZ,17,FALSE)+SUM(_xlfn.XLOOKUP($S72:$AL72,增益!$A:$A,增益!$Q:$Q,0)))+$B$11+SUM(_xlfn.XLOOKUP($S72:$AL72,增益!$A:$A,增益!$U:$U,0)))*IF(VLOOKUP($R72,武学奇术!$A:$ZZ,24,FALSE)=1,0,1)</f>
        <v>1</v>
      </c>
      <c r="BQ72" s="33" cm="1">
        <f t="array" ref="BQ72">1+$B$13+VLOOKUP($R72,武学奇术!$A:$ZZ,18,FALSE)+SUM(_xlfn.XLOOKUP($S72:$AL72,增益!$A:$A,增益!$R:$R,0))</f>
        <v>2.1</v>
      </c>
      <c r="BR72" s="33" cm="1">
        <f t="array" ref="BR72">IF(VLOOKUP($R72,武学奇术!$A:$ZZ,24,FALSE)=1,100%,MIN(40%,$B$10+VLOOKUP($R72,武学奇术!$A:$ZZ,19,FALSE)+SUM(_xlfn.XLOOKUP($S72:$AL72,增益!$A:$A,增益!$S:$S,0)))+$B$12+SUM(_xlfn.XLOOKUP($S72:$AL72,增益!$A:$A,增益!$V:$V,0)))*IF(VLOOKUP($R72,武学奇术!$A:$ZZ,23,FALSE)=1,0,1)</f>
        <v>0</v>
      </c>
      <c r="BS72" s="33" cm="1">
        <f t="array" ref="BS72">1+$B$14+VLOOKUP($R72,武学奇术!$A:$ZZ,20,FALSE)+SUM(_xlfn.XLOOKUP($S72:$AL72,增益!$A:$A,增益!$T:$T,0))</f>
        <v>1.35</v>
      </c>
      <c r="BT72" s="33">
        <f t="shared" si="37"/>
        <v>1</v>
      </c>
      <c r="BU72" s="33">
        <f t="shared" si="38"/>
        <v>0</v>
      </c>
      <c r="BV72" s="33">
        <f>IF(VLOOKUP($R72,武学奇术!$A:$ZZ,22,FALSE)=1,0,(1-$BO72))*(1-$BR72)</f>
        <v>0</v>
      </c>
      <c r="BW72" s="33" cm="1">
        <f t="array" ref="BW72">SUM(_xlfn.XLOOKUP($S72:$AL72,增益!$A:$A,增益!$W:$W,0))+$I$5</f>
        <v>0.11</v>
      </c>
      <c r="BX72" s="33" cm="1">
        <f t="array" ref="BX72">VLOOKUP($R72,武学奇术!$A:$ZZ,32,FALSE)+SUM(_xlfn.XLOOKUP($S72:$AL72,增益!$A:$A,增益!$X:$X,0))</f>
        <v>0</v>
      </c>
    </row>
    <row r="73" spans="1:76">
      <c r="A73" s="4" t="s">
        <v>168</v>
      </c>
      <c r="B73" s="4">
        <v>2.3</v>
      </c>
      <c r="C73" s="47"/>
      <c r="D73" s="47"/>
      <c r="L73" s="46">
        <f t="shared" si="28"/>
        <v>23537.2169640583</v>
      </c>
      <c r="M73" s="46">
        <f>((($AT73+$AU73)/2*$AN73+$AO73)*(1+$AV73)*(1+$AW73)+(($AY73+$AZ73)/2*IF($G$1="鸣金",$AP73,$AN73)+IF($G$1="鸣金",$AQ73*1.5,0))*(1+$BA73)*(1+$BB73)+(($BC73+$BD73)/2*IF($G$1="裂石",$AP73,$AN73)+IF($G$1="裂石",$AQ73*1.5,0))*(1+$BE73)*(1+$BF73)+(($BG73+$BH73)/2*IF($G$1="牵丝",$AP73,$AN73)+IF($G$1="牵丝",$AQ73*1.5,0))*(1+$BI73)*(1+$BJ73)+(($BK73+$BL73)/2*IF($G$1="破竹",$AP73,$AN73)+IF($G$1="破竹",$AQ73*1.5,0))*(1+$BM73)*(1+$BN73))*(1+$AR73)*$BQ73*$Q73*(1+IF(VLOOKUP($R73,武学奇术!$A:$ZZ,30,FALSE)="蓄力技",$B$21,0))*(1+IF(VLOOKUP($R73,武学奇术!$A:$ZZ,30,FALSE)="派生技",$B$20,0))*(1+$BW73)*(1+$BX73)</f>
        <v>24625.1806524956</v>
      </c>
      <c r="N73" s="46">
        <f>(($AU73*$AN73+$AO73)*(1+$AV73)*(1+$AW73)+($AZ73*IF($G$1="鸣金",$AP73,$AN73)+IF($G$1="鸣金",$AQ73*1.5,0))*(1+$BA73)*(1+$BB73)+($BD73*IF($G$1="裂石",$AP73,$AN73)+IF($G$1="裂石",$AQ73*1.5,0))*(1+$BE73)*(1+$BF73)+($BH73*IF($G$1="牵丝",$AP73,$AN73)+IF($G$1="牵丝",$AQ73*1.5,0))*(1+$BI73)*(1+$BJ73)+($BL73*IF($G$1="破竹",$AP73,$AN73)+IF($G$1="破竹",$AQ73*1.5,0))*(1+$BM73)*(1+$BN73))*(1+$AR73)*$BS73*$Q73*(1+IF(VLOOKUP($R73,武学奇术!$A:$ZZ,30,FALSE)="蓄力技",$B$21,0))*(1+IF(VLOOKUP($R73,武学奇术!$A:$ZZ,30,FALSE)="派生技",$B$20,0))*(1+$BW73)*(1+$BX73)</f>
        <v>18873.2072050448</v>
      </c>
      <c r="O73" s="46">
        <f>((($AT73+$AU73)/2*$AN73+$AO73)*(1+$AV73)*(1+$AW73)+(($AY73+$AZ73)/2*IF($G$1="鸣金",$AP73,$AN73)+IF($G$1="鸣金",$AQ73*1.5,0))*(1+$BA73)*(1+$BB73)+(($BC73+$BD73)/2*IF($G$1="裂石",$AP73,$AN73)+IF($G$1="裂石",$AQ73*1.5,0))*(1+$BE73)*(1+$BF73)+(($BG73+$BH73)/2*IF($G$1="牵丝",$AP73,$AN73)+IF($G$1="牵丝",$AQ73*1.5,0))*(1+$BI73)*(1+$BJ73)+(($BK73+$BL73)/2*IF($G$1="破竹",$AP73,$AN73)+IF($G$1="破竹",$AQ73*1.5,0))*(1+$BM73)*(1+$BN73))*(1+$AR73)*$Q73*(1+IF(VLOOKUP($R73,武学奇术!$A:$ZZ,30,FALSE)="蓄力技",$B$21,0))*(1+IF(VLOOKUP($R73,武学奇术!$A:$ZZ,30,FALSE)="派生技",$B$20,0))*(1+$BW73)*(1+$BX73)</f>
        <v>12312.5903262478</v>
      </c>
      <c r="P73" s="46">
        <f>((($AT73*$AN73+$AO73)*(1+$AV73)*(1+$AW73)+($AY73*IF($G$1="鸣金",$AP73,$AN73)+IF($G$1="鸣金",$AQ73*1.5,0))*(1+$BA73)*(1+$BB73)+($BC73*IF($G$1="裂石",$AP73,$AN73)+IF($G$1="裂石",$AQ73*1.5,0))*(1+$BE73)*(1+$BF73)+($BG73*IF($G$1="牵丝",$AP73,$AN73)+IF($G$1="牵丝",$AQ73*1.5,0))*(1+$BI73)*(1+$BJ73)+($BK73*IF($G$1="破竹",$AP73,$AN73)+IF($G$1="破竹",$AQ73*1.5,0))*(1+$BM73)*(1+$BN73))*(1+$AR73))*$Q73*(1+IF(VLOOKUP($R73,武学奇术!$A:$ZZ,30,FALSE)="蓄力技",$B$21,0))*(1+IF(VLOOKUP($R73,武学奇术!$A:$ZZ,30,FALSE)="派生技",$B$20,0))*(1+$BW73)*(1+$BX73)</f>
        <v>10645.0271672772</v>
      </c>
      <c r="Q73" s="47">
        <f t="shared" si="39"/>
        <v>1</v>
      </c>
      <c r="R73" s="48" t="s">
        <v>140</v>
      </c>
      <c r="S73" s="48" t="s">
        <v>99</v>
      </c>
      <c r="T73" s="48" t="s">
        <v>182</v>
      </c>
      <c r="U73" s="48" t="s">
        <v>79</v>
      </c>
      <c r="V73" s="48" t="s">
        <v>90</v>
      </c>
      <c r="W73" s="48" t="s">
        <v>141</v>
      </c>
      <c r="X73" s="48" t="s">
        <v>80</v>
      </c>
      <c r="Y73" s="48" t="s">
        <v>74</v>
      </c>
      <c r="Z73" s="48" t="s">
        <v>80</v>
      </c>
      <c r="AA73" s="48" t="s">
        <v>80</v>
      </c>
      <c r="AB73" s="48" t="s">
        <v>80</v>
      </c>
      <c r="AC73" s="48" t="s">
        <v>80</v>
      </c>
      <c r="AD73" s="48" t="s">
        <v>80</v>
      </c>
      <c r="AE73" s="48" t="s">
        <v>82</v>
      </c>
      <c r="AF73" s="48" t="s">
        <v>83</v>
      </c>
      <c r="AG73" s="48" t="s">
        <v>84</v>
      </c>
      <c r="AH73" s="48" t="s">
        <v>80</v>
      </c>
      <c r="AI73" s="48" t="s">
        <v>80</v>
      </c>
      <c r="AJ73" s="48" t="s">
        <v>80</v>
      </c>
      <c r="AK73" s="48" t="s">
        <v>80</v>
      </c>
      <c r="AL73" s="48" t="s">
        <v>85</v>
      </c>
      <c r="AM73" t="str">
        <f>VLOOKUP($R73,武学奇术!$A:$ZZ,25,FALSE)</f>
        <v>陌刀</v>
      </c>
      <c r="AN73" s="33">
        <f>VLOOKUP($R73,武学奇术!$A:$ZZ,26,FALSE)</f>
        <v>0.525</v>
      </c>
      <c r="AO73" s="34">
        <f>VLOOKUP($R73,武学奇术!$A:$ZZ,27,FALSE)*(1+IF(OR($AM73=$F$4,$AM73=$F$5),$B$22,0))</f>
        <v>0</v>
      </c>
      <c r="AP73" s="33">
        <f>VLOOKUP($R73,武学奇术!$A:$ZZ,28,FALSE)</f>
        <v>0.7875</v>
      </c>
      <c r="AQ73" s="34">
        <f>VLOOKUP($R73,武学奇术!$A:$ZZ,29,FALSE)*(1+IF(OR($AM73=$F$4,$AM73=$F$5),$B$22,0))</f>
        <v>0</v>
      </c>
      <c r="AR73" s="33" cm="1">
        <f t="array" ref="AR73">$G$3+IFERROR(VLOOKUP($AM73,$F$4:$G$7,2,FALSE),0)+VLOOKUP($R73,武学奇术!$A:$ZZ,2,FALSE)+SUM(_xlfn.XLOOKUP($S73:$AL73,增益!$A:$A,增益!$B:$B,0))</f>
        <v>0.6943</v>
      </c>
      <c r="AS73" s="33" cm="1">
        <f t="array" ref="AS73">VLOOKUP($R73,武学奇术!$A:$ZZ,5,FALSE)+SUM(_xlfn.XLOOKUP($S73:$AL73,增益!$A:$A,增益!$E:$E,0))</f>
        <v>0</v>
      </c>
      <c r="AT73" cm="1">
        <f t="array" ref="AT73">$D$10*(1+$AS73)+VLOOKUP($R73,武学奇术!$A:$ZZ,3,FALSE)+SUM(_xlfn.XLOOKUP($S73:$AL73,增益!$A:$A,增益!$C:$C,0))-$I$2</f>
        <v>4094.7</v>
      </c>
      <c r="AU73" cm="1">
        <f t="array" ref="AU73">$E$10*(1+$AS73)+VLOOKUP($R73,武学奇术!$A:$ZZ,4,FALSE)+SUM(_xlfn.XLOOKUP($S73:$AL73,增益!$A:$A,增益!$D:$D,0))-$I$2</f>
        <v>4094.7</v>
      </c>
      <c r="AV73" s="40" cm="1">
        <f t="array" ref="AV73">IF($F$10-$I$3+VLOOKUP($R73,武学奇术!$A:$ZZ,6,FALSE)+SUM(_xlfn.XLOOKUP($S73:$AL73,增益!$A:$A,增益!$F:$F,0))&gt;0,($F$10-$I$3+VLOOKUP($R73,武学奇术!$A:$ZZ,6,FALSE)+SUM(_xlfn.XLOOKUP($S73:$AL73,增益!$A:$A,增益!$F:$F,0)))/200,($F$10-$I$3+VLOOKUP($R73,武学奇术!$A:$ZZ,6,FALSE)+SUM(_xlfn.XLOOKUP($S73:$AL73,增益!$A:$A,增益!$F:$F,0)))/100)</f>
        <v>0.4384</v>
      </c>
      <c r="AW73" s="40" cm="1">
        <f t="array" ref="AW73">$G$10+VLOOKUP($R73,武学奇术!$A:$ZZ,7,FALSE)+SUM(_xlfn.XLOOKUP($S73:$AL73,增益!$A:$A,增益!$G:$G,0))</f>
        <v>0.14</v>
      </c>
      <c r="AX73" s="33" cm="1">
        <f t="array" ref="AX73">VLOOKUP($R73,武学奇术!$A:$ZZ,8,FALSE)+SUM(_xlfn.XLOOKUP($S73:$AL73,增益!$A:$A,增益!$H:$H,0))</f>
        <v>0</v>
      </c>
      <c r="AY73">
        <f t="shared" si="29"/>
        <v>0</v>
      </c>
      <c r="AZ73">
        <f t="shared" si="30"/>
        <v>0</v>
      </c>
      <c r="BA73" s="40" cm="1">
        <f t="array" ref="BA73">IF($F$11-$I$4+VLOOKUP($R73,武学奇术!$A:$ZZ,9,FALSE)+SUM(_xlfn.XLOOKUP($S73:$AL73,增益!$A:$A,增益!$I:$I,0))&gt;0,($F$11-$I$4+VLOOKUP($R73,武学奇术!$A:$ZZ,9,FALSE)+SUM(_xlfn.XLOOKUP($S73:$AL73,增益!$A:$A,增益!$I:$I,0)))/200,($F$11-$I$4+VLOOKUP($R73,武学奇术!$A:$ZZ,9,FALSE)+SUM(_xlfn.XLOOKUP($S73:$AL73,增益!$A:$A,增益!$I:$I,0)))/100)</f>
        <v>-0.14</v>
      </c>
      <c r="BB73" s="40" cm="1">
        <f t="array" ref="BB73">$G$11+VLOOKUP($R73,武学奇术!$A:$ZZ,10,FALSE)+SUM(_xlfn.XLOOKUP($S73:$AL73,增益!$A:$A,增益!$J:$J,0))</f>
        <v>0.02</v>
      </c>
      <c r="BC73">
        <f t="shared" si="31"/>
        <v>640.3</v>
      </c>
      <c r="BD73">
        <f t="shared" si="32"/>
        <v>1770.1</v>
      </c>
      <c r="BE73" s="40" cm="1">
        <f t="array" ref="BE73">IF($F$12-$I$4+VLOOKUP($R73,武学奇术!$A:$ZZ,11,FALSE)+SUM(_xlfn.XLOOKUP($S73:$AL73,增益!$A:$A,增益!$K:$K,0))&gt;0,($F$12-$I$4+VLOOKUP($R73,武学奇术!$A:$ZZ,11,FALSE)+SUM(_xlfn.XLOOKUP($S73:$AL73,增益!$A:$A,增益!$K:$K,0)))/200,($F$12-$I$4+VLOOKUP($R73,武学奇术!$A:$ZZ,11,FALSE)+SUM(_xlfn.XLOOKUP($S73:$AL73,增益!$A:$A,增益!$K:$K,0)))/100)</f>
        <v>0.17</v>
      </c>
      <c r="BF73" s="40" cm="1">
        <f t="array" ref="BF73">$G$12+VLOOKUP($R73,武学奇术!$A:$ZZ,12,FALSE)+SUM(_xlfn.XLOOKUP($S73:$AL73,增益!$A:$A,增益!$L:$L,0))</f>
        <v>0.29</v>
      </c>
      <c r="BG73">
        <f t="shared" si="33"/>
        <v>0</v>
      </c>
      <c r="BH73">
        <f t="shared" si="34"/>
        <v>0</v>
      </c>
      <c r="BI73" s="40" cm="1">
        <f t="array" ref="BI73">IF($F$13-$I$4+VLOOKUP($R73,武学奇术!$A:$ZZ,13,FALSE)+SUM(_xlfn.XLOOKUP($S73:$AL73,增益!$A:$A,增益!$M:$M,0))&gt;0,($F$13-$I$4+VLOOKUP($R73,武学奇术!$A:$ZZ,13,FALSE)+SUM(_xlfn.XLOOKUP($S73:$AL73,增益!$A:$A,增益!$K:$K,0)))/200,($F$13-$I$4+VLOOKUP($R73,武学奇术!$A:$ZZ,13,FALSE)+SUM(_xlfn.XLOOKUP($S73:$AL73,增益!$A:$A,增益!$M:$M,0)))/100)</f>
        <v>-0.14</v>
      </c>
      <c r="BJ73" s="40" cm="1">
        <f t="array" ref="BJ73">$G$13+VLOOKUP($R73,武学奇术!$A:$ZZ,14,FALSE)+SUM(_xlfn.XLOOKUP($S73:$AL73,增益!$A:$A,增益!$N:$N,0))</f>
        <v>0.02</v>
      </c>
      <c r="BK73">
        <f t="shared" si="35"/>
        <v>0</v>
      </c>
      <c r="BL73">
        <f t="shared" si="36"/>
        <v>0</v>
      </c>
      <c r="BM73" s="40" cm="1">
        <f t="array" ref="BM73">IF($F$14-$I$4+VLOOKUP($R73,武学奇术!$A:$ZZ,15,FALSE)+SUM(_xlfn.XLOOKUP($S73:$AL73,增益!$A:$A,增益!$O:$O,0))&gt;0,($F$14-$I$4+VLOOKUP($R73,武学奇术!$A:$ZZ,15,FALSE)+SUM(_xlfn.XLOOKUP($S73:$AL73,增益!$A:$A,增益!$O:$O,0)))/200,($F$14-$I$4+VLOOKUP($R73,武学奇术!$A:$ZZ,15,FALSE)+SUM(_xlfn.XLOOKUP($S73:$AL73,增益!$A:$A,增益!$O:$O,0)))/100)</f>
        <v>-0.14</v>
      </c>
      <c r="BN73" s="40" cm="1">
        <f t="array" ref="BN73">$G$14+VLOOKUP($R73,武学奇术!$A:$ZZ,16,FALSE)+SUM(_xlfn.XLOOKUP($S73:$AL73,增益!$A:$A,增益!$P:$P,0))</f>
        <v>0.02</v>
      </c>
      <c r="BO73" s="33">
        <f>MIN(IF(VLOOKUP($R73,武学奇术!$A:$ZZ,23,FALSE)=1,100%,$B$8),100%)</f>
        <v>0.9771</v>
      </c>
      <c r="BP73" s="33" cm="1">
        <f t="array" ref="BP73">IF(VLOOKUP($R73,武学奇术!$A:$ZZ,23,FALSE)=1,100%,MIN(80%,$B$9+VLOOKUP($R73,武学奇术!$A:$ZZ,17,FALSE)+SUM(_xlfn.XLOOKUP($S73:$AL73,增益!$A:$A,增益!$Q:$Q,0)))+$B$11+SUM(_xlfn.XLOOKUP($S73:$AL73,增益!$A:$A,增益!$U:$U,0)))*IF(VLOOKUP($R73,武学奇术!$A:$ZZ,24,FALSE)=1,0,1)</f>
        <v>0.8861</v>
      </c>
      <c r="BQ73" s="33" cm="1">
        <f t="array" ref="BQ73">1+$B$13+VLOOKUP($R73,武学奇术!$A:$ZZ,18,FALSE)+SUM(_xlfn.XLOOKUP($S73:$AL73,增益!$A:$A,增益!$R:$R,0))</f>
        <v>2</v>
      </c>
      <c r="BR73" s="33" cm="1">
        <f t="array" ref="BR73">IF(VLOOKUP($R73,武学奇术!$A:$ZZ,24,FALSE)=1,100%,MIN(40%,$B$10+VLOOKUP($R73,武学奇术!$A:$ZZ,19,FALSE)+SUM(_xlfn.XLOOKUP($S73:$AL73,增益!$A:$A,增益!$S:$S,0)))+$B$12+SUM(_xlfn.XLOOKUP($S73:$AL73,增益!$A:$A,增益!$V:$V,0)))*IF(VLOOKUP($R73,武学奇术!$A:$ZZ,23,FALSE)=1,0,1)</f>
        <v>0.0913</v>
      </c>
      <c r="BS73" s="33" cm="1">
        <f t="array" ref="BS73">1+$B$14+VLOOKUP($R73,武学奇术!$A:$ZZ,20,FALSE)+SUM(_xlfn.XLOOKUP($S73:$AL73,增益!$A:$A,增益!$T:$T,0))</f>
        <v>1.35</v>
      </c>
      <c r="BT73" s="33">
        <f t="shared" si="37"/>
        <v>0.86580831</v>
      </c>
      <c r="BU73" s="33">
        <f t="shared" si="38"/>
        <v>0.02208246</v>
      </c>
      <c r="BV73" s="33">
        <f>IF(VLOOKUP($R73,武学奇术!$A:$ZZ,22,FALSE)=1,0,(1-$BO73))*(1-$BR73)</f>
        <v>0.02080923</v>
      </c>
      <c r="BW73" s="33" cm="1">
        <f t="array" ref="BW73">SUM(_xlfn.XLOOKUP($S73:$AL73,增益!$A:$A,增益!$W:$W,0))+$I$5</f>
        <v>0.11</v>
      </c>
      <c r="BX73" s="33" cm="1">
        <f t="array" ref="BX73">VLOOKUP($R73,武学奇术!$A:$ZZ,32,FALSE)+SUM(_xlfn.XLOOKUP($S73:$AL73,增益!$A:$A,增益!$X:$X,0))</f>
        <v>0</v>
      </c>
    </row>
    <row r="74" spans="1:76">
      <c r="A74" s="4" t="s">
        <v>168</v>
      </c>
      <c r="B74" s="4">
        <v>2.3</v>
      </c>
      <c r="L74" s="46">
        <f t="shared" ref="L74:L92" si="40">($M74*$BT74+$N74*$BR74+$O74*$BU74+$P74*$BV74)</f>
        <v>42366.990535305</v>
      </c>
      <c r="M74" s="46">
        <f>((($AT74+$AU74)/2*$AN74+$AO74)*(1+$AV74)*(1+$AW74)+(($AY74+$AZ74)/2*IF($G$1="鸣金",$AP74,$AN74)+IF($G$1="鸣金",$AQ74*1.5,0))*(1+$BA74)*(1+$BB74)+(($BC74+$BD74)/2*IF($G$1="裂石",$AP74,$AN74)+IF($G$1="裂石",$AQ74*1.5,0))*(1+$BE74)*(1+$BF74)+(($BG74+$BH74)/2*IF($G$1="牵丝",$AP74,$AN74)+IF($G$1="牵丝",$AQ74*1.5,0))*(1+$BI74)*(1+$BJ74)+(($BK74+$BL74)/2*IF($G$1="破竹",$AP74,$AN74)+IF($G$1="破竹",$AQ74*1.5,0))*(1+$BM74)*(1+$BN74))*(1+$AR74)*$BQ74*$Q74*(1+IF(VLOOKUP($R74,武学奇术!$A:$ZZ,30,FALSE)="蓄力技",$B$21,0))*(1+IF(VLOOKUP($R74,武学奇术!$A:$ZZ,30,FALSE)="派生技",$B$20,0))*(1+$BW74)*(1+$BX74)</f>
        <v>44325.325174492</v>
      </c>
      <c r="N74" s="46">
        <f>(($AU74*$AN74+$AO74)*(1+$AV74)*(1+$AW74)+($AZ74*IF($G$1="鸣金",$AP74,$AN74)+IF($G$1="鸣金",$AQ74*1.5,0))*(1+$BA74)*(1+$BB74)+($BD74*IF($G$1="裂石",$AP74,$AN74)+IF($G$1="裂石",$AQ74*1.5,0))*(1+$BE74)*(1+$BF74)+($BH74*IF($G$1="牵丝",$AP74,$AN74)+IF($G$1="牵丝",$AQ74*1.5,0))*(1+$BI74)*(1+$BJ74)+($BL74*IF($G$1="破竹",$AP74,$AN74)+IF($G$1="破竹",$AQ74*1.5,0))*(1+$BM74)*(1+$BN74))*(1+$AR74)*$BS74*$Q74*(1+IF(VLOOKUP($R74,武学奇术!$A:$ZZ,30,FALSE)="蓄力技",$B$21,0))*(1+IF(VLOOKUP($R74,武学奇术!$A:$ZZ,30,FALSE)="派生技",$B$20,0))*(1+$BW74)*(1+$BX74)</f>
        <v>33971.7729690806</v>
      </c>
      <c r="O74" s="46">
        <f>((($AT74+$AU74)/2*$AN74+$AO74)*(1+$AV74)*(1+$AW74)+(($AY74+$AZ74)/2*IF($G$1="鸣金",$AP74,$AN74)+IF($G$1="鸣金",$AQ74*1.5,0))*(1+$BA74)*(1+$BB74)+(($BC74+$BD74)/2*IF($G$1="裂石",$AP74,$AN74)+IF($G$1="裂石",$AQ74*1.5,0))*(1+$BE74)*(1+$BF74)+(($BG74+$BH74)/2*IF($G$1="牵丝",$AP74,$AN74)+IF($G$1="牵丝",$AQ74*1.5,0))*(1+$BI74)*(1+$BJ74)+(($BK74+$BL74)/2*IF($G$1="破竹",$AP74,$AN74)+IF($G$1="破竹",$AQ74*1.5,0))*(1+$BM74)*(1+$BN74))*(1+$AR74)*$Q74*(1+IF(VLOOKUP($R74,武学奇术!$A:$ZZ,30,FALSE)="蓄力技",$B$21,0))*(1+IF(VLOOKUP($R74,武学奇术!$A:$ZZ,30,FALSE)="派生技",$B$20,0))*(1+$BW74)*(1+$BX74)</f>
        <v>22162.662587246</v>
      </c>
      <c r="P74" s="46">
        <f>((($AT74*$AN74+$AO74)*(1+$AV74)*(1+$AW74)+($AY74*IF($G$1="鸣金",$AP74,$AN74)+IF($G$1="鸣金",$AQ74*1.5,0))*(1+$BA74)*(1+$BB74)+($BC74*IF($G$1="裂石",$AP74,$AN74)+IF($G$1="裂石",$AQ74*1.5,0))*(1+$BE74)*(1+$BF74)+($BG74*IF($G$1="牵丝",$AP74,$AN74)+IF($G$1="牵丝",$AQ74*1.5,0))*(1+$BI74)*(1+$BJ74)+($BK74*IF($G$1="破竹",$AP74,$AN74)+IF($G$1="破竹",$AQ74*1.5,0))*(1+$BM74)*(1+$BN74))*(1+$AR74))*$Q74*(1+IF(VLOOKUP($R74,武学奇术!$A:$ZZ,30,FALSE)="蓄力技",$B$21,0))*(1+IF(VLOOKUP($R74,武学奇术!$A:$ZZ,30,FALSE)="派生技",$B$20,0))*(1+$BW74)*(1+$BX74)</f>
        <v>19161.0489010989</v>
      </c>
      <c r="Q74" s="47">
        <f t="shared" si="39"/>
        <v>1</v>
      </c>
      <c r="R74" s="48" t="s">
        <v>169</v>
      </c>
      <c r="S74" s="48" t="s">
        <v>99</v>
      </c>
      <c r="T74" s="48" t="s">
        <v>182</v>
      </c>
      <c r="U74" s="48" t="s">
        <v>79</v>
      </c>
      <c r="V74" s="48" t="s">
        <v>90</v>
      </c>
      <c r="W74" s="48" t="s">
        <v>141</v>
      </c>
      <c r="X74" s="48" t="s">
        <v>80</v>
      </c>
      <c r="Y74" s="48" t="s">
        <v>74</v>
      </c>
      <c r="Z74" s="48" t="s">
        <v>80</v>
      </c>
      <c r="AA74" s="48" t="s">
        <v>80</v>
      </c>
      <c r="AB74" s="48" t="s">
        <v>80</v>
      </c>
      <c r="AC74" s="48" t="s">
        <v>80</v>
      </c>
      <c r="AD74" s="48" t="s">
        <v>80</v>
      </c>
      <c r="AE74" s="48" t="s">
        <v>82</v>
      </c>
      <c r="AF74" s="48" t="s">
        <v>83</v>
      </c>
      <c r="AG74" s="48" t="s">
        <v>84</v>
      </c>
      <c r="AH74" s="48" t="s">
        <v>80</v>
      </c>
      <c r="AI74" s="48" t="s">
        <v>80</v>
      </c>
      <c r="AJ74" s="48" t="s">
        <v>80</v>
      </c>
      <c r="AK74" s="48" t="s">
        <v>80</v>
      </c>
      <c r="AL74" s="48" t="s">
        <v>85</v>
      </c>
      <c r="AM74" t="str">
        <f>VLOOKUP($R74,武学奇术!$A:$ZZ,25,FALSE)</f>
        <v>陌刀</v>
      </c>
      <c r="AN74" s="33">
        <f>VLOOKUP($R74,武学奇术!$A:$ZZ,26,FALSE)</f>
        <v>0.945</v>
      </c>
      <c r="AO74" s="34">
        <f>VLOOKUP($R74,武学奇术!$A:$ZZ,27,FALSE)*(1+IF(OR($AM74=$F$4,$AM74=$F$5),$B$22,0))</f>
        <v>0</v>
      </c>
      <c r="AP74" s="33">
        <f>VLOOKUP($R74,武学奇术!$A:$ZZ,28,FALSE)</f>
        <v>1.4175</v>
      </c>
      <c r="AQ74" s="34">
        <f>VLOOKUP($R74,武学奇术!$A:$ZZ,29,FALSE)*(1+IF(OR($AM74=$F$4,$AM74=$F$5),$B$22,0))</f>
        <v>0</v>
      </c>
      <c r="AR74" s="33" cm="1">
        <f t="array" ref="AR74">$G$3+IFERROR(VLOOKUP($AM74,$F$4:$G$7,2,FALSE),0)+VLOOKUP($R74,武学奇术!$A:$ZZ,2,FALSE)+SUM(_xlfn.XLOOKUP($S74:$AL74,增益!$A:$A,增益!$B:$B,0))</f>
        <v>0.6943</v>
      </c>
      <c r="AS74" s="33" cm="1">
        <f t="array" ref="AS74">VLOOKUP($R74,武学奇术!$A:$ZZ,5,FALSE)+SUM(_xlfn.XLOOKUP($S74:$AL74,增益!$A:$A,增益!$E:$E,0))</f>
        <v>0</v>
      </c>
      <c r="AT74" cm="1">
        <f t="array" ref="AT74">$D$10*(1+$AS74)+VLOOKUP($R74,武学奇术!$A:$ZZ,3,FALSE)+SUM(_xlfn.XLOOKUP($S74:$AL74,增益!$A:$A,增益!$C:$C,0))-$I$2</f>
        <v>4094.7</v>
      </c>
      <c r="AU74" cm="1">
        <f t="array" ref="AU74">$E$10*(1+$AS74)+VLOOKUP($R74,武学奇术!$A:$ZZ,4,FALSE)+SUM(_xlfn.XLOOKUP($S74:$AL74,增益!$A:$A,增益!$D:$D,0))-$I$2</f>
        <v>4094.7</v>
      </c>
      <c r="AV74" s="40" cm="1">
        <f t="array" ref="AV74">IF($F$10-$I$3+VLOOKUP($R74,武学奇术!$A:$ZZ,6,FALSE)+SUM(_xlfn.XLOOKUP($S74:$AL74,增益!$A:$A,增益!$F:$F,0))&gt;0,($F$10-$I$3+VLOOKUP($R74,武学奇术!$A:$ZZ,6,FALSE)+SUM(_xlfn.XLOOKUP($S74:$AL74,增益!$A:$A,增益!$F:$F,0)))/200,($F$10-$I$3+VLOOKUP($R74,武学奇术!$A:$ZZ,6,FALSE)+SUM(_xlfn.XLOOKUP($S74:$AL74,增益!$A:$A,增益!$F:$F,0)))/100)</f>
        <v>0.4384</v>
      </c>
      <c r="AW74" s="40" cm="1">
        <f t="array" ref="AW74">$G$10+VLOOKUP($R74,武学奇术!$A:$ZZ,7,FALSE)+SUM(_xlfn.XLOOKUP($S74:$AL74,增益!$A:$A,增益!$G:$G,0))</f>
        <v>0.14</v>
      </c>
      <c r="AX74" s="33" cm="1">
        <f t="array" ref="AX74">VLOOKUP($R74,武学奇术!$A:$ZZ,8,FALSE)+SUM(_xlfn.XLOOKUP($S74:$AL74,增益!$A:$A,增益!$H:$H,0))</f>
        <v>0</v>
      </c>
      <c r="AY74">
        <f t="shared" si="29"/>
        <v>0</v>
      </c>
      <c r="AZ74">
        <f t="shared" si="30"/>
        <v>0</v>
      </c>
      <c r="BA74" s="40" cm="1">
        <f t="array" ref="BA74">IF($F$11-$I$4+VLOOKUP($R74,武学奇术!$A:$ZZ,9,FALSE)+SUM(_xlfn.XLOOKUP($S74:$AL74,增益!$A:$A,增益!$I:$I,0))&gt;0,($F$11-$I$4+VLOOKUP($R74,武学奇术!$A:$ZZ,9,FALSE)+SUM(_xlfn.XLOOKUP($S74:$AL74,增益!$A:$A,增益!$I:$I,0)))/200,($F$11-$I$4+VLOOKUP($R74,武学奇术!$A:$ZZ,9,FALSE)+SUM(_xlfn.XLOOKUP($S74:$AL74,增益!$A:$A,增益!$I:$I,0)))/100)</f>
        <v>-0.14</v>
      </c>
      <c r="BB74" s="40" cm="1">
        <f t="array" ref="BB74">$G$11+VLOOKUP($R74,武学奇术!$A:$ZZ,10,FALSE)+SUM(_xlfn.XLOOKUP($S74:$AL74,增益!$A:$A,增益!$J:$J,0))</f>
        <v>0.02</v>
      </c>
      <c r="BC74">
        <f t="shared" si="31"/>
        <v>640.3</v>
      </c>
      <c r="BD74">
        <f t="shared" si="32"/>
        <v>1770.1</v>
      </c>
      <c r="BE74" s="40" cm="1">
        <f t="array" ref="BE74">IF($F$12-$I$4+VLOOKUP($R74,武学奇术!$A:$ZZ,11,FALSE)+SUM(_xlfn.XLOOKUP($S74:$AL74,增益!$A:$A,增益!$K:$K,0))&gt;0,($F$12-$I$4+VLOOKUP($R74,武学奇术!$A:$ZZ,11,FALSE)+SUM(_xlfn.XLOOKUP($S74:$AL74,增益!$A:$A,增益!$K:$K,0)))/200,($F$12-$I$4+VLOOKUP($R74,武学奇术!$A:$ZZ,11,FALSE)+SUM(_xlfn.XLOOKUP($S74:$AL74,增益!$A:$A,增益!$K:$K,0)))/100)</f>
        <v>0.17</v>
      </c>
      <c r="BF74" s="40" cm="1">
        <f t="array" ref="BF74">$G$12+VLOOKUP($R74,武学奇术!$A:$ZZ,12,FALSE)+SUM(_xlfn.XLOOKUP($S74:$AL74,增益!$A:$A,增益!$L:$L,0))</f>
        <v>0.29</v>
      </c>
      <c r="BG74">
        <f t="shared" si="33"/>
        <v>0</v>
      </c>
      <c r="BH74">
        <f t="shared" si="34"/>
        <v>0</v>
      </c>
      <c r="BI74" s="40" cm="1">
        <f t="array" ref="BI74">IF($F$13-$I$4+VLOOKUP($R74,武学奇术!$A:$ZZ,13,FALSE)+SUM(_xlfn.XLOOKUP($S74:$AL74,增益!$A:$A,增益!$M:$M,0))&gt;0,($F$13-$I$4+VLOOKUP($R74,武学奇术!$A:$ZZ,13,FALSE)+SUM(_xlfn.XLOOKUP($S74:$AL74,增益!$A:$A,增益!$K:$K,0)))/200,($F$13-$I$4+VLOOKUP($R74,武学奇术!$A:$ZZ,13,FALSE)+SUM(_xlfn.XLOOKUP($S74:$AL74,增益!$A:$A,增益!$M:$M,0)))/100)</f>
        <v>-0.14</v>
      </c>
      <c r="BJ74" s="40" cm="1">
        <f t="array" ref="BJ74">$G$13+VLOOKUP($R74,武学奇术!$A:$ZZ,14,FALSE)+SUM(_xlfn.XLOOKUP($S74:$AL74,增益!$A:$A,增益!$N:$N,0))</f>
        <v>0.02</v>
      </c>
      <c r="BK74">
        <f t="shared" si="35"/>
        <v>0</v>
      </c>
      <c r="BL74">
        <f t="shared" si="36"/>
        <v>0</v>
      </c>
      <c r="BM74" s="40" cm="1">
        <f t="array" ref="BM74">IF($F$14-$I$4+VLOOKUP($R74,武学奇术!$A:$ZZ,15,FALSE)+SUM(_xlfn.XLOOKUP($S74:$AL74,增益!$A:$A,增益!$O:$O,0))&gt;0,($F$14-$I$4+VLOOKUP($R74,武学奇术!$A:$ZZ,15,FALSE)+SUM(_xlfn.XLOOKUP($S74:$AL74,增益!$A:$A,增益!$O:$O,0)))/200,($F$14-$I$4+VLOOKUP($R74,武学奇术!$A:$ZZ,15,FALSE)+SUM(_xlfn.XLOOKUP($S74:$AL74,增益!$A:$A,增益!$O:$O,0)))/100)</f>
        <v>-0.14</v>
      </c>
      <c r="BN74" s="40" cm="1">
        <f t="array" ref="BN74">$G$14+VLOOKUP($R74,武学奇术!$A:$ZZ,16,FALSE)+SUM(_xlfn.XLOOKUP($S74:$AL74,增益!$A:$A,增益!$P:$P,0))</f>
        <v>0.02</v>
      </c>
      <c r="BO74" s="33">
        <f>MIN(IF(VLOOKUP($R74,武学奇术!$A:$ZZ,23,FALSE)=1,100%,$B$8),100%)</f>
        <v>0.9771</v>
      </c>
      <c r="BP74" s="33" cm="1">
        <f t="array" ref="BP74">IF(VLOOKUP($R74,武学奇术!$A:$ZZ,23,FALSE)=1,100%,MIN(80%,$B$9+VLOOKUP($R74,武学奇术!$A:$ZZ,17,FALSE)+SUM(_xlfn.XLOOKUP($S74:$AL74,增益!$A:$A,增益!$Q:$Q,0)))+$B$11+SUM(_xlfn.XLOOKUP($S74:$AL74,增益!$A:$A,增益!$U:$U,0)))*IF(VLOOKUP($R74,武学奇术!$A:$ZZ,24,FALSE)=1,0,1)</f>
        <v>0.8861</v>
      </c>
      <c r="BQ74" s="33" cm="1">
        <f t="array" ref="BQ74">1+$B$13+VLOOKUP($R74,武学奇术!$A:$ZZ,18,FALSE)+SUM(_xlfn.XLOOKUP($S74:$AL74,增益!$A:$A,增益!$R:$R,0))</f>
        <v>2</v>
      </c>
      <c r="BR74" s="33" cm="1">
        <f t="array" ref="BR74">IF(VLOOKUP($R74,武学奇术!$A:$ZZ,24,FALSE)=1,100%,MIN(40%,$B$10+VLOOKUP($R74,武学奇术!$A:$ZZ,19,FALSE)+SUM(_xlfn.XLOOKUP($S74:$AL74,增益!$A:$A,增益!$S:$S,0)))+$B$12+SUM(_xlfn.XLOOKUP($S74:$AL74,增益!$A:$A,增益!$V:$V,0)))*IF(VLOOKUP($R74,武学奇术!$A:$ZZ,23,FALSE)=1,0,1)</f>
        <v>0.0913</v>
      </c>
      <c r="BS74" s="33" cm="1">
        <f t="array" ref="BS74">1+$B$14+VLOOKUP($R74,武学奇术!$A:$ZZ,20,FALSE)+SUM(_xlfn.XLOOKUP($S74:$AL74,增益!$A:$A,增益!$T:$T,0))</f>
        <v>1.35</v>
      </c>
      <c r="BT74" s="33">
        <f t="shared" si="37"/>
        <v>0.86580831</v>
      </c>
      <c r="BU74" s="33">
        <f t="shared" si="38"/>
        <v>0.02208246</v>
      </c>
      <c r="BV74" s="33">
        <f>IF(VLOOKUP($R74,武学奇术!$A:$ZZ,22,FALSE)=1,0,(1-$BO74))*(1-$BR74)</f>
        <v>0.02080923</v>
      </c>
      <c r="BW74" s="33" cm="1">
        <f t="array" ref="BW74">SUM(_xlfn.XLOOKUP($S74:$AL74,增益!$A:$A,增益!$W:$W,0))+$I$5</f>
        <v>0.11</v>
      </c>
      <c r="BX74" s="33" cm="1">
        <f t="array" ref="BX74">VLOOKUP($R74,武学奇术!$A:$ZZ,32,FALSE)+SUM(_xlfn.XLOOKUP($S74:$AL74,增益!$A:$A,增益!$X:$X,0))</f>
        <v>0</v>
      </c>
    </row>
    <row r="75" spans="1:76">
      <c r="A75" s="4" t="s">
        <v>179</v>
      </c>
      <c r="B75" s="4">
        <v>1</v>
      </c>
      <c r="L75" s="46">
        <f t="shared" si="40"/>
        <v>291359.846917472</v>
      </c>
      <c r="M75" s="46">
        <f>((($AT75+$AU75)/2*$AN75+$AO75)*(1+$AV75)*(1+$AW75)+(($AY75+$AZ75)/2*IF($G$1="鸣金",$AP75,$AN75)+IF($G$1="鸣金",$AQ75*1.5,0))*(1+$BA75)*(1+$BB75)+(($BC75+$BD75)/2*IF($G$1="裂石",$AP75,$AN75)+IF($G$1="裂石",$AQ75*1.5,0))*(1+$BE75)*(1+$BF75)+(($BG75+$BH75)/2*IF($G$1="牵丝",$AP75,$AN75)+IF($G$1="牵丝",$AQ75*1.5,0))*(1+$BI75)*(1+$BJ75)+(($BK75+$BL75)/2*IF($G$1="破竹",$AP75,$AN75)+IF($G$1="破竹",$AQ75*1.5,0))*(1+$BM75)*(1+$BN75))*(1+$AR75)*$BQ75*$Q75*(1+IF(VLOOKUP($R75,武学奇术!$A:$ZZ,30,FALSE)="蓄力技",$B$21,0))*(1+IF(VLOOKUP($R75,武学奇术!$A:$ZZ,30,FALSE)="派生技",$B$20,0))*(1+$BW75)*(1+$BX75)</f>
        <v>305090.051175917</v>
      </c>
      <c r="N75" s="46">
        <f>(($AU75*$AN75+$AO75)*(1+$AV75)*(1+$AW75)+($AZ75*IF($G$1="鸣金",$AP75,$AN75)+IF($G$1="鸣金",$AQ75*1.5,0))*(1+$BA75)*(1+$BB75)+($BD75*IF($G$1="裂石",$AP75,$AN75)+IF($G$1="裂石",$AQ75*1.5,0))*(1+$BE75)*(1+$BF75)+($BH75*IF($G$1="牵丝",$AP75,$AN75)+IF($G$1="牵丝",$AQ75*1.5,0))*(1+$BI75)*(1+$BJ75)+($BL75*IF($G$1="破竹",$AP75,$AN75)+IF($G$1="破竹",$AQ75*1.5,0))*(1+$BM75)*(1+$BN75))*(1+$AR75)*$BS75*$Q75*(1+IF(VLOOKUP($R75,武学奇术!$A:$ZZ,30,FALSE)="蓄力技",$B$21,0))*(1+IF(VLOOKUP($R75,武学奇术!$A:$ZZ,30,FALSE)="派生技",$B$20,0))*(1+$BW75)*(1+$BX75)</f>
        <v>230518.714765318</v>
      </c>
      <c r="O75" s="46">
        <f>((($AT75+$AU75)/2*$AN75+$AO75)*(1+$AV75)*(1+$AW75)+(($AY75+$AZ75)/2*IF($G$1="鸣金",$AP75,$AN75)+IF($G$1="鸣金",$AQ75*1.5,0))*(1+$BA75)*(1+$BB75)+(($BC75+$BD75)/2*IF($G$1="裂石",$AP75,$AN75)+IF($G$1="裂石",$AQ75*1.5,0))*(1+$BE75)*(1+$BF75)+(($BG75+$BH75)/2*IF($G$1="牵丝",$AP75,$AN75)+IF($G$1="牵丝",$AQ75*1.5,0))*(1+$BI75)*(1+$BJ75)+(($BK75+$BL75)/2*IF($G$1="破竹",$AP75,$AN75)+IF($G$1="破竹",$AQ75*1.5,0))*(1+$BM75)*(1+$BN75))*(1+$AR75)*$Q75*(1+IF(VLOOKUP($R75,武学奇术!$A:$ZZ,30,FALSE)="蓄力技",$B$21,0))*(1+IF(VLOOKUP($R75,武学奇术!$A:$ZZ,30,FALSE)="派生技",$B$20,0))*(1+$BW75)*(1+$BX75)</f>
        <v>152545.025587958</v>
      </c>
      <c r="P75" s="46">
        <f>((($AT75*$AN75+$AO75)*(1+$AV75)*(1+$AW75)+($AY75*IF($G$1="鸣金",$AP75,$AN75)+IF($G$1="鸣金",$AQ75*1.5,0))*(1+$BA75)*(1+$BB75)+($BC75*IF($G$1="裂石",$AP75,$AN75)+IF($G$1="裂石",$AQ75*1.5,0))*(1+$BE75)*(1+$BF75)+($BG75*IF($G$1="牵丝",$AP75,$AN75)+IF($G$1="牵丝",$AQ75*1.5,0))*(1+$BI75)*(1+$BJ75)+($BK75*IF($G$1="破竹",$AP75,$AN75)+IF($G$1="破竹",$AQ75*1.5,0))*(1+$BM75)*(1+$BN75))*(1+$AR75))*$Q75*(1+IF(VLOOKUP($R75,武学奇术!$A:$ZZ,30,FALSE)="蓄力技",$B$21,0))*(1+IF(VLOOKUP($R75,武学奇术!$A:$ZZ,30,FALSE)="派生技",$B$20,0))*(1+$BW75)*(1+$BX75)</f>
        <v>134335.447646051</v>
      </c>
      <c r="Q75" s="47">
        <f t="shared" si="39"/>
        <v>1</v>
      </c>
      <c r="R75" s="48" t="s">
        <v>171</v>
      </c>
      <c r="S75" s="48" t="s">
        <v>99</v>
      </c>
      <c r="T75" s="48" t="s">
        <v>182</v>
      </c>
      <c r="U75" s="48" t="s">
        <v>79</v>
      </c>
      <c r="V75" s="48" t="s">
        <v>90</v>
      </c>
      <c r="W75" s="48" t="s">
        <v>141</v>
      </c>
      <c r="X75" s="48" t="s">
        <v>80</v>
      </c>
      <c r="Y75" s="48" t="s">
        <v>74</v>
      </c>
      <c r="Z75" s="48" t="s">
        <v>80</v>
      </c>
      <c r="AA75" s="48" t="s">
        <v>80</v>
      </c>
      <c r="AB75" s="48" t="s">
        <v>80</v>
      </c>
      <c r="AC75" s="48" t="s">
        <v>80</v>
      </c>
      <c r="AD75" s="48" t="s">
        <v>80</v>
      </c>
      <c r="AE75" s="48" t="s">
        <v>82</v>
      </c>
      <c r="AF75" s="48" t="s">
        <v>83</v>
      </c>
      <c r="AG75" s="48" t="s">
        <v>84</v>
      </c>
      <c r="AH75" s="48" t="s">
        <v>80</v>
      </c>
      <c r="AI75" s="48" t="s">
        <v>80</v>
      </c>
      <c r="AJ75" s="48" t="s">
        <v>80</v>
      </c>
      <c r="AK75" s="48" t="s">
        <v>80</v>
      </c>
      <c r="AL75" s="48" t="s">
        <v>85</v>
      </c>
      <c r="AM75" t="str">
        <f>VLOOKUP($R75,武学奇术!$A:$ZZ,25,FALSE)</f>
        <v>陌刀</v>
      </c>
      <c r="AN75" s="33">
        <f>VLOOKUP($R75,武学奇术!$A:$ZZ,26,FALSE)</f>
        <v>5.733</v>
      </c>
      <c r="AO75" s="34">
        <f>VLOOKUP($R75,武学奇术!$A:$ZZ,27,FALSE)*(1+IF(OR($AM75=$F$4,$AM75=$F$5),$B$22,0))</f>
        <v>2536</v>
      </c>
      <c r="AP75" s="33">
        <f>VLOOKUP($R75,武学奇术!$A:$ZZ,28,FALSE)</f>
        <v>8.5994</v>
      </c>
      <c r="AQ75" s="34">
        <f>VLOOKUP($R75,武学奇术!$A:$ZZ,29,FALSE)*(1+IF(OR($AM75=$F$4,$AM75=$F$5),$B$22,0))</f>
        <v>1380.8</v>
      </c>
      <c r="AR75" s="33" cm="1">
        <f t="array" ref="AR75">$G$3+IFERROR(VLOOKUP($AM75,$F$4:$G$7,2,FALSE),0)+VLOOKUP($R75,武学奇术!$A:$ZZ,2,FALSE)+SUM(_xlfn.XLOOKUP($S75:$AL75,增益!$A:$A,增益!$B:$B,0))</f>
        <v>0.6943</v>
      </c>
      <c r="AS75" s="33" cm="1">
        <f t="array" ref="AS75">VLOOKUP($R75,武学奇术!$A:$ZZ,5,FALSE)+SUM(_xlfn.XLOOKUP($S75:$AL75,增益!$A:$A,增益!$E:$E,0))</f>
        <v>0</v>
      </c>
      <c r="AT75" cm="1">
        <f t="array" ref="AT75">$D$10*(1+$AS75)+VLOOKUP($R75,武学奇术!$A:$ZZ,3,FALSE)+SUM(_xlfn.XLOOKUP($S75:$AL75,增益!$A:$A,增益!$C:$C,0))-$I$2</f>
        <v>4094.7</v>
      </c>
      <c r="AU75" cm="1">
        <f t="array" ref="AU75">$E$10*(1+$AS75)+VLOOKUP($R75,武学奇术!$A:$ZZ,4,FALSE)+SUM(_xlfn.XLOOKUP($S75:$AL75,增益!$A:$A,增益!$D:$D,0))-$I$2</f>
        <v>4094.7</v>
      </c>
      <c r="AV75" s="40" cm="1">
        <f t="array" ref="AV75">IF($F$10-$I$3+VLOOKUP($R75,武学奇术!$A:$ZZ,6,FALSE)+SUM(_xlfn.XLOOKUP($S75:$AL75,增益!$A:$A,增益!$F:$F,0))&gt;0,($F$10-$I$3+VLOOKUP($R75,武学奇术!$A:$ZZ,6,FALSE)+SUM(_xlfn.XLOOKUP($S75:$AL75,增益!$A:$A,增益!$F:$F,0)))/200,($F$10-$I$3+VLOOKUP($R75,武学奇术!$A:$ZZ,6,FALSE)+SUM(_xlfn.XLOOKUP($S75:$AL75,增益!$A:$A,增益!$F:$F,0)))/100)</f>
        <v>0.4384</v>
      </c>
      <c r="AW75" s="40" cm="1">
        <f t="array" ref="AW75">$G$10+VLOOKUP($R75,武学奇术!$A:$ZZ,7,FALSE)+SUM(_xlfn.XLOOKUP($S75:$AL75,增益!$A:$A,增益!$G:$G,0))</f>
        <v>0.14</v>
      </c>
      <c r="AX75" s="33" cm="1">
        <f t="array" ref="AX75">VLOOKUP($R75,武学奇术!$A:$ZZ,8,FALSE)+SUM(_xlfn.XLOOKUP($S75:$AL75,增益!$A:$A,增益!$H:$H,0))</f>
        <v>0</v>
      </c>
      <c r="AY75">
        <f t="shared" si="29"/>
        <v>0</v>
      </c>
      <c r="AZ75">
        <f t="shared" si="30"/>
        <v>0</v>
      </c>
      <c r="BA75" s="40" cm="1">
        <f t="array" ref="BA75">IF($F$11-$I$4+VLOOKUP($R75,武学奇术!$A:$ZZ,9,FALSE)+SUM(_xlfn.XLOOKUP($S75:$AL75,增益!$A:$A,增益!$I:$I,0))&gt;0,($F$11-$I$4+VLOOKUP($R75,武学奇术!$A:$ZZ,9,FALSE)+SUM(_xlfn.XLOOKUP($S75:$AL75,增益!$A:$A,增益!$I:$I,0)))/200,($F$11-$I$4+VLOOKUP($R75,武学奇术!$A:$ZZ,9,FALSE)+SUM(_xlfn.XLOOKUP($S75:$AL75,增益!$A:$A,增益!$I:$I,0)))/100)</f>
        <v>-0.14</v>
      </c>
      <c r="BB75" s="40" cm="1">
        <f t="array" ref="BB75">$G$11+VLOOKUP($R75,武学奇术!$A:$ZZ,10,FALSE)+SUM(_xlfn.XLOOKUP($S75:$AL75,增益!$A:$A,增益!$J:$J,0))</f>
        <v>0.02</v>
      </c>
      <c r="BC75">
        <f t="shared" si="31"/>
        <v>640.3</v>
      </c>
      <c r="BD75">
        <f t="shared" si="32"/>
        <v>1770.1</v>
      </c>
      <c r="BE75" s="40" cm="1">
        <f t="array" ref="BE75">IF($F$12-$I$4+VLOOKUP($R75,武学奇术!$A:$ZZ,11,FALSE)+SUM(_xlfn.XLOOKUP($S75:$AL75,增益!$A:$A,增益!$K:$K,0))&gt;0,($F$12-$I$4+VLOOKUP($R75,武学奇术!$A:$ZZ,11,FALSE)+SUM(_xlfn.XLOOKUP($S75:$AL75,增益!$A:$A,增益!$K:$K,0)))/200,($F$12-$I$4+VLOOKUP($R75,武学奇术!$A:$ZZ,11,FALSE)+SUM(_xlfn.XLOOKUP($S75:$AL75,增益!$A:$A,增益!$K:$K,0)))/100)</f>
        <v>0.17</v>
      </c>
      <c r="BF75" s="40" cm="1">
        <f t="array" ref="BF75">$G$12+VLOOKUP($R75,武学奇术!$A:$ZZ,12,FALSE)+SUM(_xlfn.XLOOKUP($S75:$AL75,增益!$A:$A,增益!$L:$L,0))</f>
        <v>0.29</v>
      </c>
      <c r="BG75">
        <f t="shared" si="33"/>
        <v>0</v>
      </c>
      <c r="BH75">
        <f t="shared" si="34"/>
        <v>0</v>
      </c>
      <c r="BI75" s="40" cm="1">
        <f t="array" ref="BI75">IF($F$13-$I$4+VLOOKUP($R75,武学奇术!$A:$ZZ,13,FALSE)+SUM(_xlfn.XLOOKUP($S75:$AL75,增益!$A:$A,增益!$M:$M,0))&gt;0,($F$13-$I$4+VLOOKUP($R75,武学奇术!$A:$ZZ,13,FALSE)+SUM(_xlfn.XLOOKUP($S75:$AL75,增益!$A:$A,增益!$K:$K,0)))/200,($F$13-$I$4+VLOOKUP($R75,武学奇术!$A:$ZZ,13,FALSE)+SUM(_xlfn.XLOOKUP($S75:$AL75,增益!$A:$A,增益!$M:$M,0)))/100)</f>
        <v>-0.14</v>
      </c>
      <c r="BJ75" s="40" cm="1">
        <f t="array" ref="BJ75">$G$13+VLOOKUP($R75,武学奇术!$A:$ZZ,14,FALSE)+SUM(_xlfn.XLOOKUP($S75:$AL75,增益!$A:$A,增益!$N:$N,0))</f>
        <v>0.02</v>
      </c>
      <c r="BK75">
        <f t="shared" si="35"/>
        <v>0</v>
      </c>
      <c r="BL75">
        <f t="shared" si="36"/>
        <v>0</v>
      </c>
      <c r="BM75" s="40" cm="1">
        <f t="array" ref="BM75">IF($F$14-$I$4+VLOOKUP($R75,武学奇术!$A:$ZZ,15,FALSE)+SUM(_xlfn.XLOOKUP($S75:$AL75,增益!$A:$A,增益!$O:$O,0))&gt;0,($F$14-$I$4+VLOOKUP($R75,武学奇术!$A:$ZZ,15,FALSE)+SUM(_xlfn.XLOOKUP($S75:$AL75,增益!$A:$A,增益!$O:$O,0)))/200,($F$14-$I$4+VLOOKUP($R75,武学奇术!$A:$ZZ,15,FALSE)+SUM(_xlfn.XLOOKUP($S75:$AL75,增益!$A:$A,增益!$O:$O,0)))/100)</f>
        <v>-0.14</v>
      </c>
      <c r="BN75" s="40" cm="1">
        <f t="array" ref="BN75">$G$14+VLOOKUP($R75,武学奇术!$A:$ZZ,16,FALSE)+SUM(_xlfn.XLOOKUP($S75:$AL75,增益!$A:$A,增益!$P:$P,0))</f>
        <v>0.02</v>
      </c>
      <c r="BO75" s="33">
        <f>MIN(IF(VLOOKUP($R75,武学奇术!$A:$ZZ,23,FALSE)=1,100%,$B$8),100%)</f>
        <v>0.9771</v>
      </c>
      <c r="BP75" s="33" cm="1">
        <f t="array" ref="BP75">IF(VLOOKUP($R75,武学奇术!$A:$ZZ,23,FALSE)=1,100%,MIN(80%,$B$9+VLOOKUP($R75,武学奇术!$A:$ZZ,17,FALSE)+SUM(_xlfn.XLOOKUP($S75:$AL75,增益!$A:$A,增益!$Q:$Q,0)))+$B$11+SUM(_xlfn.XLOOKUP($S75:$AL75,增益!$A:$A,增益!$U:$U,0)))*IF(VLOOKUP($R75,武学奇术!$A:$ZZ,24,FALSE)=1,0,1)</f>
        <v>0.8861</v>
      </c>
      <c r="BQ75" s="33" cm="1">
        <f t="array" ref="BQ75">1+$B$13+VLOOKUP($R75,武学奇术!$A:$ZZ,18,FALSE)+SUM(_xlfn.XLOOKUP($S75:$AL75,增益!$A:$A,增益!$R:$R,0))</f>
        <v>2</v>
      </c>
      <c r="BR75" s="33" cm="1">
        <f t="array" ref="BR75">IF(VLOOKUP($R75,武学奇术!$A:$ZZ,24,FALSE)=1,100%,MIN(40%,$B$10+VLOOKUP($R75,武学奇术!$A:$ZZ,19,FALSE)+SUM(_xlfn.XLOOKUP($S75:$AL75,增益!$A:$A,增益!$S:$S,0)))+$B$12+SUM(_xlfn.XLOOKUP($S75:$AL75,增益!$A:$A,增益!$V:$V,0)))*IF(VLOOKUP($R75,武学奇术!$A:$ZZ,23,FALSE)=1,0,1)</f>
        <v>0.0913</v>
      </c>
      <c r="BS75" s="33" cm="1">
        <f t="array" ref="BS75">1+$B$14+VLOOKUP($R75,武学奇术!$A:$ZZ,20,FALSE)+SUM(_xlfn.XLOOKUP($S75:$AL75,增益!$A:$A,增益!$T:$T,0))</f>
        <v>1.35</v>
      </c>
      <c r="BT75" s="33">
        <f t="shared" si="37"/>
        <v>0.86580831</v>
      </c>
      <c r="BU75" s="33">
        <f t="shared" si="38"/>
        <v>0.02208246</v>
      </c>
      <c r="BV75" s="33">
        <f>IF(VLOOKUP($R75,武学奇术!$A:$ZZ,22,FALSE)=1,0,(1-$BO75))*(1-$BR75)</f>
        <v>0.02080923</v>
      </c>
      <c r="BW75" s="33" cm="1">
        <f t="array" ref="BW75">SUM(_xlfn.XLOOKUP($S75:$AL75,增益!$A:$A,增益!$W:$W,0))+$I$5</f>
        <v>0.11</v>
      </c>
      <c r="BX75" s="33" cm="1">
        <f t="array" ref="BX75">VLOOKUP($R75,武学奇术!$A:$ZZ,32,FALSE)+SUM(_xlfn.XLOOKUP($S75:$AL75,增益!$A:$A,增益!$X:$X,0))</f>
        <v>0</v>
      </c>
    </row>
    <row r="76" spans="1:76">
      <c r="A76" s="4" t="s">
        <v>166</v>
      </c>
      <c r="B76" s="4">
        <v>0.1</v>
      </c>
      <c r="L76" s="46">
        <f t="shared" si="40"/>
        <v>137386.888616441</v>
      </c>
      <c r="M76" s="46">
        <f>((($AT76+$AU76)/2*$AN76+$AO76)*(1+$AV76)*(1+$AW76)+(($AY76+$AZ76)/2*IF($G$1="鸣金",$AP76,$AN76)+IF($G$1="鸣金",$AQ76*1.5,0))*(1+$BA76)*(1+$BB76)+(($BC76+$BD76)/2*IF($G$1="裂石",$AP76,$AN76)+IF($G$1="裂石",$AQ76*1.5,0))*(1+$BE76)*(1+$BF76)+(($BG76+$BH76)/2*IF($G$1="牵丝",$AP76,$AN76)+IF($G$1="牵丝",$AQ76*1.5,0))*(1+$BI76)*(1+$BJ76)+(($BK76+$BL76)/2*IF($G$1="破竹",$AP76,$AN76)+IF($G$1="破竹",$AQ76*1.5,0))*(1+$BM76)*(1+$BN76))*(1+$AR76)*$BQ76*$Q76*(1+IF(VLOOKUP($R76,武学奇术!$A:$ZZ,30,FALSE)="蓄力技",$B$21,0))*(1+IF(VLOOKUP($R76,武学奇术!$A:$ZZ,30,FALSE)="派生技",$B$20,0))*(1+$BW76)*(1+$BX76)</f>
        <v>143413.82850626</v>
      </c>
      <c r="N76" s="46">
        <f>(($AU76*$AN76+$AO76)*(1+$AV76)*(1+$AW76)+($AZ76*IF($G$1="鸣金",$AP76,$AN76)+IF($G$1="鸣金",$AQ76*1.5,0))*(1+$BA76)*(1+$BB76)+($BD76*IF($G$1="裂石",$AP76,$AN76)+IF($G$1="裂石",$AQ76*1.5,0))*(1+$BE76)*(1+$BF76)+($BH76*IF($G$1="牵丝",$AP76,$AN76)+IF($G$1="牵丝",$AQ76*1.5,0))*(1+$BI76)*(1+$BJ76)+($BL76*IF($G$1="破竹",$AP76,$AN76)+IF($G$1="破竹",$AQ76*1.5,0))*(1+$BM76)*(1+$BN76))*(1+$AR76)*$BS76*$Q76*(1+IF(VLOOKUP($R76,武学奇术!$A:$ZZ,30,FALSE)="蓄力技",$B$21,0))*(1+IF(VLOOKUP($R76,武学奇术!$A:$ZZ,30,FALSE)="派生技",$B$20,0))*(1+$BW76)*(1+$BX76)</f>
        <v>112446.462069497</v>
      </c>
      <c r="O76" s="46">
        <f>((($AT76+$AU76)/2*$AN76+$AO76)*(1+$AV76)*(1+$AW76)+(($AY76+$AZ76)/2*IF($G$1="鸣金",$AP76,$AN76)+IF($G$1="鸣金",$AQ76*1.5,0))*(1+$BA76)*(1+$BB76)+(($BC76+$BD76)/2*IF($G$1="裂石",$AP76,$AN76)+IF($G$1="裂石",$AQ76*1.5,0))*(1+$BE76)*(1+$BF76)+(($BG76+$BH76)/2*IF($G$1="牵丝",$AP76,$AN76)+IF($G$1="牵丝",$AQ76*1.5,0))*(1+$BI76)*(1+$BJ76)+(($BK76+$BL76)/2*IF($G$1="破竹",$AP76,$AN76)+IF($G$1="破竹",$AQ76*1.5,0))*(1+$BM76)*(1+$BN76))*(1+$AR76)*$Q76*(1+IF(VLOOKUP($R76,武学奇术!$A:$ZZ,30,FALSE)="蓄力技",$B$21,0))*(1+IF(VLOOKUP($R76,武学奇术!$A:$ZZ,30,FALSE)="派生技",$B$20,0))*(1+$BW76)*(1+$BX76)</f>
        <v>73545.5530801332</v>
      </c>
      <c r="P76" s="46">
        <f>((($AT76*$AN76+$AO76)*(1+$AV76)*(1+$AW76)+($AY76*IF($G$1="鸣金",$AP76,$AN76)+IF($G$1="鸣金",$AQ76*1.5,0))*(1+$BA76)*(1+$BB76)+($BC76*IF($G$1="裂石",$AP76,$AN76)+IF($G$1="裂石",$AQ76*1.5,0))*(1+$BE76)*(1+$BF76)+($BG76*IF($G$1="牵丝",$AP76,$AN76)+IF($G$1="牵丝",$AQ76*1.5,0))*(1+$BI76)*(1+$BJ76)+($BK76*IF($G$1="破竹",$AP76,$AN76)+IF($G$1="破竹",$AQ76*1.5,0))*(1+$BM76)*(1+$BN76))*(1+$AR76))*$Q76*(1+IF(VLOOKUP($R76,武学奇术!$A:$ZZ,30,FALSE)="蓄力技",$B$21,0))*(1+IF(VLOOKUP($R76,武学奇术!$A:$ZZ,30,FALSE)="派生技",$B$20,0))*(1+$BW76)*(1+$BX76)</f>
        <v>63797.4305532316</v>
      </c>
      <c r="Q76" s="47">
        <f>IF($E$24="陌刀",2,0)</f>
        <v>2</v>
      </c>
      <c r="R76" s="48" t="s">
        <v>106</v>
      </c>
      <c r="S76" s="48" t="s">
        <v>99</v>
      </c>
      <c r="T76" s="48" t="s">
        <v>182</v>
      </c>
      <c r="U76" s="48" t="s">
        <v>79</v>
      </c>
      <c r="V76" s="48" t="s">
        <v>90</v>
      </c>
      <c r="W76" s="48" t="s">
        <v>91</v>
      </c>
      <c r="X76" s="48" t="s">
        <v>80</v>
      </c>
      <c r="Y76" s="48" t="s">
        <v>80</v>
      </c>
      <c r="Z76" s="48" t="s">
        <v>80</v>
      </c>
      <c r="AA76" s="48" t="s">
        <v>80</v>
      </c>
      <c r="AB76" s="48" t="s">
        <v>80</v>
      </c>
      <c r="AC76" s="48" t="s">
        <v>80</v>
      </c>
      <c r="AD76" s="48" t="s">
        <v>80</v>
      </c>
      <c r="AE76" s="48" t="s">
        <v>82</v>
      </c>
      <c r="AF76" s="48" t="s">
        <v>83</v>
      </c>
      <c r="AG76" s="48" t="s">
        <v>84</v>
      </c>
      <c r="AH76" s="48" t="s">
        <v>80</v>
      </c>
      <c r="AI76" s="48" t="s">
        <v>80</v>
      </c>
      <c r="AJ76" s="48" t="s">
        <v>80</v>
      </c>
      <c r="AK76" s="48" t="s">
        <v>80</v>
      </c>
      <c r="AL76" s="48" t="s">
        <v>85</v>
      </c>
      <c r="AM76" t="str">
        <f>VLOOKUP($R76,武学奇术!$A:$ZZ,25,FALSE)</f>
        <v>群体奇术</v>
      </c>
      <c r="AN76" s="33">
        <f>VLOOKUP($R76,武学奇术!$A:$ZZ,26,FALSE)</f>
        <v>2.3774</v>
      </c>
      <c r="AO76" s="34">
        <f>VLOOKUP($R76,武学奇术!$A:$ZZ,27,FALSE)*(1+IF(OR($AM76=$F$4,$AM76=$F$5),$B$22,0))</f>
        <v>476</v>
      </c>
      <c r="AP76" s="33">
        <f>VLOOKUP($R76,武学奇术!$A:$ZZ,28,FALSE)</f>
        <v>3.5661</v>
      </c>
      <c r="AQ76" s="34">
        <f>VLOOKUP($R76,武学奇术!$A:$ZZ,29,FALSE)*(1+IF(OR($AM76=$F$4,$AM76=$F$5),$B$22,0))</f>
        <v>0</v>
      </c>
      <c r="AR76" s="33" cm="1">
        <f t="array" ref="AR76">$G$3+IFERROR(VLOOKUP($AM76,$F$4:$G$7,2,FALSE),0)+VLOOKUP($R76,武学奇术!$A:$ZZ,2,FALSE)+SUM(_xlfn.XLOOKUP($S76:$AL76,增益!$A:$A,增益!$B:$B,0))</f>
        <v>0.4442</v>
      </c>
      <c r="AS76" s="33" cm="1">
        <f t="array" ref="AS76">VLOOKUP($R76,武学奇术!$A:$ZZ,5,FALSE)+SUM(_xlfn.XLOOKUP($S76:$AL76,增益!$A:$A,增益!$E:$E,0))</f>
        <v>0</v>
      </c>
      <c r="AT76" cm="1">
        <f t="array" ref="AT76">$D$10*(1+$AS76)+VLOOKUP($R76,武学奇术!$A:$ZZ,3,FALSE)+SUM(_xlfn.XLOOKUP($S76:$AL76,增益!$A:$A,增益!$C:$C,0))-$I$2</f>
        <v>4094.7</v>
      </c>
      <c r="AU76" cm="1">
        <f t="array" ref="AU76">$E$10*(1+$AS76)+VLOOKUP($R76,武学奇术!$A:$ZZ,4,FALSE)+SUM(_xlfn.XLOOKUP($S76:$AL76,增益!$A:$A,增益!$D:$D,0))-$I$2</f>
        <v>4094.7</v>
      </c>
      <c r="AV76" s="40" cm="1">
        <f t="array" ref="AV76">IF($F$10-$I$3+VLOOKUP($R76,武学奇术!$A:$ZZ,6,FALSE)+SUM(_xlfn.XLOOKUP($S76:$AL76,增益!$A:$A,增益!$F:$F,0))&gt;0,($F$10-$I$3+VLOOKUP($R76,武学奇术!$A:$ZZ,6,FALSE)+SUM(_xlfn.XLOOKUP($S76:$AL76,增益!$A:$A,增益!$F:$F,0)))/200,($F$10-$I$3+VLOOKUP($R76,武学奇术!$A:$ZZ,6,FALSE)+SUM(_xlfn.XLOOKUP($S76:$AL76,增益!$A:$A,增益!$F:$F,0)))/100)</f>
        <v>0.4134</v>
      </c>
      <c r="AW76" s="40" cm="1">
        <f t="array" ref="AW76">$G$10+VLOOKUP($R76,武学奇术!$A:$ZZ,7,FALSE)+SUM(_xlfn.XLOOKUP($S76:$AL76,增益!$A:$A,增益!$G:$G,0))</f>
        <v>0.14</v>
      </c>
      <c r="AX76" s="33" cm="1">
        <f t="array" ref="AX76">VLOOKUP($R76,武学奇术!$A:$ZZ,8,FALSE)+SUM(_xlfn.XLOOKUP($S76:$AL76,增益!$A:$A,增益!$H:$H,0))</f>
        <v>0</v>
      </c>
      <c r="AY76">
        <f t="shared" si="29"/>
        <v>0</v>
      </c>
      <c r="AZ76">
        <f t="shared" si="30"/>
        <v>0</v>
      </c>
      <c r="BA76" s="40" cm="1">
        <f t="array" ref="BA76">IF($F$11-$I$4+VLOOKUP($R76,武学奇术!$A:$ZZ,9,FALSE)+SUM(_xlfn.XLOOKUP($S76:$AL76,增益!$A:$A,增益!$I:$I,0))&gt;0,($F$11-$I$4+VLOOKUP($R76,武学奇术!$A:$ZZ,9,FALSE)+SUM(_xlfn.XLOOKUP($S76:$AL76,增益!$A:$A,增益!$I:$I,0)))/200,($F$11-$I$4+VLOOKUP($R76,武学奇术!$A:$ZZ,9,FALSE)+SUM(_xlfn.XLOOKUP($S76:$AL76,增益!$A:$A,增益!$I:$I,0)))/100)</f>
        <v>-0.14</v>
      </c>
      <c r="BB76" s="40" cm="1">
        <f t="array" ref="BB76">$G$11+VLOOKUP($R76,武学奇术!$A:$ZZ,10,FALSE)+SUM(_xlfn.XLOOKUP($S76:$AL76,增益!$A:$A,增益!$J:$J,0))</f>
        <v>0.02</v>
      </c>
      <c r="BC76">
        <f t="shared" si="31"/>
        <v>640.3</v>
      </c>
      <c r="BD76">
        <f t="shared" si="32"/>
        <v>1770.1</v>
      </c>
      <c r="BE76" s="40" cm="1">
        <f t="array" ref="BE76">IF($F$12-$I$4+VLOOKUP($R76,武学奇术!$A:$ZZ,11,FALSE)+SUM(_xlfn.XLOOKUP($S76:$AL76,增益!$A:$A,增益!$K:$K,0))&gt;0,($F$12-$I$4+VLOOKUP($R76,武学奇术!$A:$ZZ,11,FALSE)+SUM(_xlfn.XLOOKUP($S76:$AL76,增益!$A:$A,增益!$K:$K,0)))/200,($F$12-$I$4+VLOOKUP($R76,武学奇术!$A:$ZZ,11,FALSE)+SUM(_xlfn.XLOOKUP($S76:$AL76,增益!$A:$A,增益!$K:$K,0)))/100)</f>
        <v>0.17</v>
      </c>
      <c r="BF76" s="40" cm="1">
        <f t="array" ref="BF76">$G$12+VLOOKUP($R76,武学奇术!$A:$ZZ,12,FALSE)+SUM(_xlfn.XLOOKUP($S76:$AL76,增益!$A:$A,增益!$L:$L,0))</f>
        <v>0.29</v>
      </c>
      <c r="BG76">
        <f t="shared" si="33"/>
        <v>0</v>
      </c>
      <c r="BH76">
        <f t="shared" si="34"/>
        <v>0</v>
      </c>
      <c r="BI76" s="40" cm="1">
        <f t="array" ref="BI76">IF($F$13-$I$4+VLOOKUP($R76,武学奇术!$A:$ZZ,13,FALSE)+SUM(_xlfn.XLOOKUP($S76:$AL76,增益!$A:$A,增益!$M:$M,0))&gt;0,($F$13-$I$4+VLOOKUP($R76,武学奇术!$A:$ZZ,13,FALSE)+SUM(_xlfn.XLOOKUP($S76:$AL76,增益!$A:$A,增益!$K:$K,0)))/200,($F$13-$I$4+VLOOKUP($R76,武学奇术!$A:$ZZ,13,FALSE)+SUM(_xlfn.XLOOKUP($S76:$AL76,增益!$A:$A,增益!$M:$M,0)))/100)</f>
        <v>-0.14</v>
      </c>
      <c r="BJ76" s="40" cm="1">
        <f t="array" ref="BJ76">$G$13+VLOOKUP($R76,武学奇术!$A:$ZZ,14,FALSE)+SUM(_xlfn.XLOOKUP($S76:$AL76,增益!$A:$A,增益!$N:$N,0))</f>
        <v>0.02</v>
      </c>
      <c r="BK76">
        <f t="shared" si="35"/>
        <v>0</v>
      </c>
      <c r="BL76">
        <f t="shared" si="36"/>
        <v>0</v>
      </c>
      <c r="BM76" s="40" cm="1">
        <f t="array" ref="BM76">IF($F$14-$I$4+VLOOKUP($R76,武学奇术!$A:$ZZ,15,FALSE)+SUM(_xlfn.XLOOKUP($S76:$AL76,增益!$A:$A,增益!$O:$O,0))&gt;0,($F$14-$I$4+VLOOKUP($R76,武学奇术!$A:$ZZ,15,FALSE)+SUM(_xlfn.XLOOKUP($S76:$AL76,增益!$A:$A,增益!$O:$O,0)))/200,($F$14-$I$4+VLOOKUP($R76,武学奇术!$A:$ZZ,15,FALSE)+SUM(_xlfn.XLOOKUP($S76:$AL76,增益!$A:$A,增益!$O:$O,0)))/100)</f>
        <v>-0.14</v>
      </c>
      <c r="BN76" s="40" cm="1">
        <f t="array" ref="BN76">$G$14+VLOOKUP($R76,武学奇术!$A:$ZZ,16,FALSE)+SUM(_xlfn.XLOOKUP($S76:$AL76,增益!$A:$A,增益!$P:$P,0))</f>
        <v>0.02</v>
      </c>
      <c r="BO76" s="33">
        <f>MIN(IF(VLOOKUP($R76,武学奇术!$A:$ZZ,23,FALSE)=1,100%,$B$8),100%)</f>
        <v>0.9771</v>
      </c>
      <c r="BP76" s="33" cm="1">
        <f t="array" ref="BP76">IF(VLOOKUP($R76,武学奇术!$A:$ZZ,23,FALSE)=1,100%,MIN(80%,$B$9+VLOOKUP($R76,武学奇术!$A:$ZZ,17,FALSE)+SUM(_xlfn.XLOOKUP($S76:$AL76,增益!$A:$A,增益!$Q:$Q,0)))+$B$11+SUM(_xlfn.XLOOKUP($S76:$AL76,增益!$A:$A,增益!$U:$U,0)))*IF(VLOOKUP($R76,武学奇术!$A:$ZZ,24,FALSE)=1,0,1)</f>
        <v>0.8861</v>
      </c>
      <c r="BQ76" s="33" cm="1">
        <f t="array" ref="BQ76">1+$B$13+VLOOKUP($R76,武学奇术!$A:$ZZ,18,FALSE)+SUM(_xlfn.XLOOKUP($S76:$AL76,增益!$A:$A,增益!$R:$R,0))</f>
        <v>1.95</v>
      </c>
      <c r="BR76" s="33" cm="1">
        <f t="array" ref="BR76">IF(VLOOKUP($R76,武学奇术!$A:$ZZ,24,FALSE)=1,100%,MIN(40%,$B$10+VLOOKUP($R76,武学奇术!$A:$ZZ,19,FALSE)+SUM(_xlfn.XLOOKUP($S76:$AL76,增益!$A:$A,增益!$S:$S,0)))+$B$12+SUM(_xlfn.XLOOKUP($S76:$AL76,增益!$A:$A,增益!$V:$V,0)))*IF(VLOOKUP($R76,武学奇术!$A:$ZZ,23,FALSE)=1,0,1)</f>
        <v>0.0913</v>
      </c>
      <c r="BS76" s="33" cm="1">
        <f t="array" ref="BS76">1+$B$14+VLOOKUP($R76,武学奇术!$A:$ZZ,20,FALSE)+SUM(_xlfn.XLOOKUP($S76:$AL76,增益!$A:$A,增益!$T:$T,0))</f>
        <v>1.35</v>
      </c>
      <c r="BT76" s="33">
        <f t="shared" si="37"/>
        <v>0.86580831</v>
      </c>
      <c r="BU76" s="33">
        <f t="shared" si="38"/>
        <v>0.02208246</v>
      </c>
      <c r="BV76" s="33">
        <f>IF(VLOOKUP($R76,武学奇术!$A:$ZZ,22,FALSE)=1,0,(1-$BO76))*(1-$BR76)</f>
        <v>0.02080923</v>
      </c>
      <c r="BW76" s="33" cm="1">
        <f t="array" ref="BW76">SUM(_xlfn.XLOOKUP($S76:$AL76,增益!$A:$A,增益!$W:$W,0))+$I$5</f>
        <v>0.11</v>
      </c>
      <c r="BX76" s="33" cm="1">
        <f t="array" ref="BX76">VLOOKUP($R76,武学奇术!$A:$ZZ,32,FALSE)+SUM(_xlfn.XLOOKUP($S76:$AL76,增益!$A:$A,增益!$X:$X,0))</f>
        <v>0</v>
      </c>
    </row>
    <row r="77" spans="1:76">
      <c r="A77" t="s">
        <v>116</v>
      </c>
      <c r="B77">
        <v>2.3</v>
      </c>
      <c r="L77" s="46">
        <f t="shared" si="40"/>
        <v>243211.924442618</v>
      </c>
      <c r="M77" s="46">
        <f>((($AT77+$AU77)/2*$AN77+$AO77)*(1+$AV77)*(1+$AW77)+(($AY77+$AZ77)/2*IF($G$1="鸣金",$AP77,$AN77)+IF($G$1="鸣金",$AQ77*1.5,0))*(1+$BA77)*(1+$BB77)+(($BC77+$BD77)/2*IF($G$1="裂石",$AP77,$AN77)+IF($G$1="裂石",$AQ77*1.5,0))*(1+$BE77)*(1+$BF77)+(($BG77+$BH77)/2*IF($G$1="牵丝",$AP77,$AN77)+IF($G$1="牵丝",$AQ77*1.5,0))*(1+$BI77)*(1+$BJ77)+(($BK77+$BL77)/2*IF($G$1="破竹",$AP77,$AN77)+IF($G$1="破竹",$AQ77*1.5,0))*(1+$BM77)*(1+$BN77))*(1+$AR77)*$BQ77*$Q77*(1+IF(VLOOKUP($R77,武学奇术!$A:$ZZ,30,FALSE)="蓄力技",$B$21,0))*(1+IF(VLOOKUP($R77,武学奇术!$A:$ZZ,30,FALSE)="派生技",$B$20,0))*(1+$BW77)*(1+$BX77)</f>
        <v>253881.23695027</v>
      </c>
      <c r="N77" s="46">
        <f>(($AU77*$AN77+$AO77)*(1+$AV77)*(1+$AW77)+($AZ77*IF($G$1="鸣金",$AP77,$AN77)+IF($G$1="鸣金",$AQ77*1.5,0))*(1+$BA77)*(1+$BB77)+($BD77*IF($G$1="裂石",$AP77,$AN77)+IF($G$1="裂石",$AQ77*1.5,0))*(1+$BE77)*(1+$BF77)+($BH77*IF($G$1="牵丝",$AP77,$AN77)+IF($G$1="牵丝",$AQ77*1.5,0))*(1+$BI77)*(1+$BJ77)+($BL77*IF($G$1="破竹",$AP77,$AN77)+IF($G$1="破竹",$AQ77*1.5,0))*(1+$BM77)*(1+$BN77))*(1+$AR77)*$BS77*$Q77*(1+IF(VLOOKUP($R77,武学奇术!$A:$ZZ,30,FALSE)="蓄力技",$B$21,0))*(1+IF(VLOOKUP($R77,武学奇术!$A:$ZZ,30,FALSE)="派生技",$B$20,0))*(1+$BW77)*(1+$BX77)</f>
        <v>199060.628798704</v>
      </c>
      <c r="O77" s="46">
        <f>((($AT77+$AU77)/2*$AN77+$AO77)*(1+$AV77)*(1+$AW77)+(($AY77+$AZ77)/2*IF($G$1="鸣金",$AP77,$AN77)+IF($G$1="鸣金",$AQ77*1.5,0))*(1+$BA77)*(1+$BB77)+(($BC77+$BD77)/2*IF($G$1="裂石",$AP77,$AN77)+IF($G$1="裂石",$AQ77*1.5,0))*(1+$BE77)*(1+$BF77)+(($BG77+$BH77)/2*IF($G$1="牵丝",$AP77,$AN77)+IF($G$1="牵丝",$AQ77*1.5,0))*(1+$BI77)*(1+$BJ77)+(($BK77+$BL77)/2*IF($G$1="破竹",$AP77,$AN77)+IF($G$1="破竹",$AQ77*1.5,0))*(1+$BM77)*(1+$BN77))*(1+$AR77)*$Q77*(1+IF(VLOOKUP($R77,武学奇术!$A:$ZZ,30,FALSE)="蓄力技",$B$21,0))*(1+IF(VLOOKUP($R77,武学奇术!$A:$ZZ,30,FALSE)="派生技",$B$20,0))*(1+$BW77)*(1+$BX77)</f>
        <v>130195.506128344</v>
      </c>
      <c r="P77" s="46">
        <f>((($AT77*$AN77+$AO77)*(1+$AV77)*(1+$AW77)+($AY77*IF($G$1="鸣金",$AP77,$AN77)+IF($G$1="鸣金",$AQ77*1.5,0))*(1+$BA77)*(1+$BB77)+($BC77*IF($G$1="裂石",$AP77,$AN77)+IF($G$1="裂石",$AQ77*1.5,0))*(1+$BE77)*(1+$BF77)+($BG77*IF($G$1="牵丝",$AP77,$AN77)+IF($G$1="牵丝",$AQ77*1.5,0))*(1+$BI77)*(1+$BJ77)+($BK77*IF($G$1="破竹",$AP77,$AN77)+IF($G$1="破竹",$AQ77*1.5,0))*(1+$BM77)*(1+$BN77))*(1+$AR77))*$Q77*(1+IF(VLOOKUP($R77,武学奇术!$A:$ZZ,30,FALSE)="蓄力技",$B$21,0))*(1+IF(VLOOKUP($R77,武学奇术!$A:$ZZ,30,FALSE)="派生技",$B$20,0))*(1+$BW77)*(1+$BX77)</f>
        <v>112938.694628018</v>
      </c>
      <c r="Q77" s="47">
        <f>IF($E$24="陌刀",3,0)</f>
        <v>3</v>
      </c>
      <c r="R77" s="48" t="s">
        <v>106</v>
      </c>
      <c r="S77" s="48" t="s">
        <v>99</v>
      </c>
      <c r="T77" s="48" t="s">
        <v>182</v>
      </c>
      <c r="U77" s="48" t="s">
        <v>79</v>
      </c>
      <c r="V77" s="48" t="s">
        <v>90</v>
      </c>
      <c r="W77" s="48" t="s">
        <v>91</v>
      </c>
      <c r="X77" s="48" t="s">
        <v>80</v>
      </c>
      <c r="Y77" s="48" t="s">
        <v>80</v>
      </c>
      <c r="Z77" s="48" t="s">
        <v>80</v>
      </c>
      <c r="AA77" s="48" t="s">
        <v>183</v>
      </c>
      <c r="AB77" s="48" t="s">
        <v>184</v>
      </c>
      <c r="AC77" s="48" t="s">
        <v>80</v>
      </c>
      <c r="AD77" s="48" t="s">
        <v>80</v>
      </c>
      <c r="AE77" s="48" t="s">
        <v>82</v>
      </c>
      <c r="AF77" s="48" t="s">
        <v>83</v>
      </c>
      <c r="AG77" s="48" t="s">
        <v>84</v>
      </c>
      <c r="AH77" s="48" t="s">
        <v>80</v>
      </c>
      <c r="AI77" s="48" t="s">
        <v>80</v>
      </c>
      <c r="AJ77" s="48" t="s">
        <v>80</v>
      </c>
      <c r="AK77" s="48" t="s">
        <v>80</v>
      </c>
      <c r="AL77" s="48" t="s">
        <v>85</v>
      </c>
      <c r="AM77" t="str">
        <f>VLOOKUP($R77,武学奇术!$A:$ZZ,25,FALSE)</f>
        <v>群体奇术</v>
      </c>
      <c r="AN77" s="33">
        <f>VLOOKUP($R77,武学奇术!$A:$ZZ,26,FALSE)</f>
        <v>2.3774</v>
      </c>
      <c r="AO77" s="34">
        <f>VLOOKUP($R77,武学奇术!$A:$ZZ,27,FALSE)*(1+IF(OR($AM77=$F$4,$AM77=$F$5),$B$22,0))</f>
        <v>476</v>
      </c>
      <c r="AP77" s="33">
        <f>VLOOKUP($R77,武学奇术!$A:$ZZ,28,FALSE)</f>
        <v>3.5661</v>
      </c>
      <c r="AQ77" s="34">
        <f>VLOOKUP($R77,武学奇术!$A:$ZZ,29,FALSE)*(1+IF(OR($AM77=$F$4,$AM77=$F$5),$B$22,0))</f>
        <v>0</v>
      </c>
      <c r="AR77" s="33" cm="1">
        <f t="array" ref="AR77">$G$3+IFERROR(VLOOKUP($AM77,$F$4:$G$7,2,FALSE),0)+VLOOKUP($R77,武学奇术!$A:$ZZ,2,FALSE)+SUM(_xlfn.XLOOKUP($S77:$AL77,增益!$A:$A,增益!$B:$B,0))</f>
        <v>0.4442</v>
      </c>
      <c r="AS77" s="33" cm="1">
        <f t="array" ref="AS77">VLOOKUP($R77,武学奇术!$A:$ZZ,5,FALSE)+SUM(_xlfn.XLOOKUP($S77:$AL77,增益!$A:$A,增益!$E:$E,0))</f>
        <v>0</v>
      </c>
      <c r="AT77" cm="1">
        <f t="array" ref="AT77">$D$10*(1+$AS77)+VLOOKUP($R77,武学奇术!$A:$ZZ,3,FALSE)+SUM(_xlfn.XLOOKUP($S77:$AL77,增益!$A:$A,增益!$C:$C,0))-$I$2</f>
        <v>4094.7</v>
      </c>
      <c r="AU77" cm="1">
        <f t="array" ref="AU77">$E$10*(1+$AS77)+VLOOKUP($R77,武学奇术!$A:$ZZ,4,FALSE)+SUM(_xlfn.XLOOKUP($S77:$AL77,增益!$A:$A,增益!$D:$D,0))-$I$2</f>
        <v>4094.7</v>
      </c>
      <c r="AV77" s="40" cm="1">
        <f t="array" ref="AV77">IF($F$10-$I$3+VLOOKUP($R77,武学奇术!$A:$ZZ,6,FALSE)+SUM(_xlfn.XLOOKUP($S77:$AL77,增益!$A:$A,增益!$F:$F,0))&gt;0,($F$10-$I$3+VLOOKUP($R77,武学奇术!$A:$ZZ,6,FALSE)+SUM(_xlfn.XLOOKUP($S77:$AL77,增益!$A:$A,增益!$F:$F,0)))/200,($F$10-$I$3+VLOOKUP($R77,武学奇术!$A:$ZZ,6,FALSE)+SUM(_xlfn.XLOOKUP($S77:$AL77,增益!$A:$A,增益!$F:$F,0)))/100)</f>
        <v>0.4134</v>
      </c>
      <c r="AW77" s="40" cm="1">
        <f t="array" ref="AW77">$G$10+VLOOKUP($R77,武学奇术!$A:$ZZ,7,FALSE)+SUM(_xlfn.XLOOKUP($S77:$AL77,增益!$A:$A,增益!$G:$G,0))</f>
        <v>0.14</v>
      </c>
      <c r="AX77" s="33" cm="1">
        <f t="array" ref="AX77">VLOOKUP($R77,武学奇术!$A:$ZZ,8,FALSE)+SUM(_xlfn.XLOOKUP($S77:$AL77,增益!$A:$A,增益!$H:$H,0))</f>
        <v>0</v>
      </c>
      <c r="AY77">
        <f t="shared" si="29"/>
        <v>0</v>
      </c>
      <c r="AZ77">
        <f t="shared" si="30"/>
        <v>0</v>
      </c>
      <c r="BA77" s="40" cm="1">
        <f t="array" ref="BA77">IF($F$11-$I$4+VLOOKUP($R77,武学奇术!$A:$ZZ,9,FALSE)+SUM(_xlfn.XLOOKUP($S77:$AL77,增益!$A:$A,增益!$I:$I,0))&gt;0,($F$11-$I$4+VLOOKUP($R77,武学奇术!$A:$ZZ,9,FALSE)+SUM(_xlfn.XLOOKUP($S77:$AL77,增益!$A:$A,增益!$I:$I,0)))/200,($F$11-$I$4+VLOOKUP($R77,武学奇术!$A:$ZZ,9,FALSE)+SUM(_xlfn.XLOOKUP($S77:$AL77,增益!$A:$A,增益!$I:$I,0)))/100)</f>
        <v>-0.14</v>
      </c>
      <c r="BB77" s="40" cm="1">
        <f t="array" ref="BB77">$G$11+VLOOKUP($R77,武学奇术!$A:$ZZ,10,FALSE)+SUM(_xlfn.XLOOKUP($S77:$AL77,增益!$A:$A,增益!$J:$J,0))</f>
        <v>0.12</v>
      </c>
      <c r="BC77">
        <f t="shared" si="31"/>
        <v>640.3</v>
      </c>
      <c r="BD77">
        <f t="shared" si="32"/>
        <v>1770.1</v>
      </c>
      <c r="BE77" s="40" cm="1">
        <f t="array" ref="BE77">IF($F$12-$I$4+VLOOKUP($R77,武学奇术!$A:$ZZ,11,FALSE)+SUM(_xlfn.XLOOKUP($S77:$AL77,增益!$A:$A,增益!$K:$K,0))&gt;0,($F$12-$I$4+VLOOKUP($R77,武学奇术!$A:$ZZ,11,FALSE)+SUM(_xlfn.XLOOKUP($S77:$AL77,增益!$A:$A,增益!$K:$K,0)))/200,($F$12-$I$4+VLOOKUP($R77,武学奇术!$A:$ZZ,11,FALSE)+SUM(_xlfn.XLOOKUP($S77:$AL77,增益!$A:$A,增益!$K:$K,0)))/100)</f>
        <v>0.17</v>
      </c>
      <c r="BF77" s="40" cm="1">
        <f t="array" ref="BF77">$G$12+VLOOKUP($R77,武学奇术!$A:$ZZ,12,FALSE)+SUM(_xlfn.XLOOKUP($S77:$AL77,增益!$A:$A,增益!$L:$L,0))</f>
        <v>0.29</v>
      </c>
      <c r="BG77">
        <f t="shared" si="33"/>
        <v>0</v>
      </c>
      <c r="BH77">
        <f t="shared" si="34"/>
        <v>0</v>
      </c>
      <c r="BI77" s="40" cm="1">
        <f t="array" ref="BI77">IF($F$13-$I$4+VLOOKUP($R77,武学奇术!$A:$ZZ,13,FALSE)+SUM(_xlfn.XLOOKUP($S77:$AL77,增益!$A:$A,增益!$M:$M,0))&gt;0,($F$13-$I$4+VLOOKUP($R77,武学奇术!$A:$ZZ,13,FALSE)+SUM(_xlfn.XLOOKUP($S77:$AL77,增益!$A:$A,增益!$K:$K,0)))/200,($F$13-$I$4+VLOOKUP($R77,武学奇术!$A:$ZZ,13,FALSE)+SUM(_xlfn.XLOOKUP($S77:$AL77,增益!$A:$A,增益!$M:$M,0)))/100)</f>
        <v>-0.14</v>
      </c>
      <c r="BJ77" s="40" cm="1">
        <f t="array" ref="BJ77">$G$13+VLOOKUP($R77,武学奇术!$A:$ZZ,14,FALSE)+SUM(_xlfn.XLOOKUP($S77:$AL77,增益!$A:$A,增益!$N:$N,0))</f>
        <v>0.02</v>
      </c>
      <c r="BK77">
        <f t="shared" si="35"/>
        <v>0</v>
      </c>
      <c r="BL77">
        <f t="shared" si="36"/>
        <v>0</v>
      </c>
      <c r="BM77" s="40" cm="1">
        <f t="array" ref="BM77">IF($F$14-$I$4+VLOOKUP($R77,武学奇术!$A:$ZZ,15,FALSE)+SUM(_xlfn.XLOOKUP($S77:$AL77,增益!$A:$A,增益!$O:$O,0))&gt;0,($F$14-$I$4+VLOOKUP($R77,武学奇术!$A:$ZZ,15,FALSE)+SUM(_xlfn.XLOOKUP($S77:$AL77,增益!$A:$A,增益!$O:$O,0)))/200,($F$14-$I$4+VLOOKUP($R77,武学奇术!$A:$ZZ,15,FALSE)+SUM(_xlfn.XLOOKUP($S77:$AL77,增益!$A:$A,增益!$O:$O,0)))/100)</f>
        <v>-0.14</v>
      </c>
      <c r="BN77" s="40" cm="1">
        <f t="array" ref="BN77">$G$14+VLOOKUP($R77,武学奇术!$A:$ZZ,16,FALSE)+SUM(_xlfn.XLOOKUP($S77:$AL77,增益!$A:$A,增益!$P:$P,0))</f>
        <v>0.02</v>
      </c>
      <c r="BO77" s="33">
        <f>MIN(IF(VLOOKUP($R77,武学奇术!$A:$ZZ,23,FALSE)=1,100%,$B$8),100%)</f>
        <v>0.9771</v>
      </c>
      <c r="BP77" s="33" cm="1">
        <f t="array" ref="BP77">IF(VLOOKUP($R77,武学奇术!$A:$ZZ,23,FALSE)=1,100%,MIN(80%,$B$9+VLOOKUP($R77,武学奇术!$A:$ZZ,17,FALSE)+SUM(_xlfn.XLOOKUP($S77:$AL77,增益!$A:$A,增益!$Q:$Q,0)))+$B$11+SUM(_xlfn.XLOOKUP($S77:$AL77,增益!$A:$A,增益!$U:$U,0)))*IF(VLOOKUP($R77,武学奇术!$A:$ZZ,24,FALSE)=1,0,1)</f>
        <v>0.8861</v>
      </c>
      <c r="BQ77" s="33" cm="1">
        <f t="array" ref="BQ77">1+$B$13+VLOOKUP($R77,武学奇术!$A:$ZZ,18,FALSE)+SUM(_xlfn.XLOOKUP($S77:$AL77,增益!$A:$A,增益!$R:$R,0))</f>
        <v>1.95</v>
      </c>
      <c r="BR77" s="33" cm="1">
        <f t="array" ref="BR77">IF(VLOOKUP($R77,武学奇术!$A:$ZZ,24,FALSE)=1,100%,MIN(40%,$B$10+VLOOKUP($R77,武学奇术!$A:$ZZ,19,FALSE)+SUM(_xlfn.XLOOKUP($S77:$AL77,增益!$A:$A,增益!$S:$S,0)))+$B$12+SUM(_xlfn.XLOOKUP($S77:$AL77,增益!$A:$A,增益!$V:$V,0)))*IF(VLOOKUP($R77,武学奇术!$A:$ZZ,23,FALSE)=1,0,1)</f>
        <v>0.0913</v>
      </c>
      <c r="BS77" s="33" cm="1">
        <f t="array" ref="BS77">1+$B$14+VLOOKUP($R77,武学奇术!$A:$ZZ,20,FALSE)+SUM(_xlfn.XLOOKUP($S77:$AL77,增益!$A:$A,增益!$T:$T,0))</f>
        <v>1.35</v>
      </c>
      <c r="BT77" s="33">
        <f t="shared" si="37"/>
        <v>0.86580831</v>
      </c>
      <c r="BU77" s="33">
        <f t="shared" si="38"/>
        <v>0.02208246</v>
      </c>
      <c r="BV77" s="33">
        <f>IF(VLOOKUP($R77,武学奇术!$A:$ZZ,22,FALSE)=1,0,(1-$BO77))*(1-$BR77)</f>
        <v>0.02080923</v>
      </c>
      <c r="BW77" s="33" cm="1">
        <f t="array" ref="BW77">SUM(_xlfn.XLOOKUP($S77:$AL77,增益!$A:$A,增益!$W:$W,0))+$I$5</f>
        <v>0.31</v>
      </c>
      <c r="BX77" s="33" cm="1">
        <f t="array" ref="BX77">VLOOKUP($R77,武学奇术!$A:$ZZ,32,FALSE)+SUM(_xlfn.XLOOKUP($S77:$AL77,增益!$A:$A,增益!$X:$X,0))</f>
        <v>0</v>
      </c>
    </row>
    <row r="78" spans="1:76">
      <c r="A78" s="4" t="s">
        <v>166</v>
      </c>
      <c r="B78" s="4">
        <v>0.1</v>
      </c>
      <c r="L78" s="46">
        <f t="shared" si="40"/>
        <v>34476.9308789399</v>
      </c>
      <c r="M78" s="46">
        <f>((($AT78+$AU78)/2*$AN78+$AO78)*(1+$AV78)*(1+$AW78)+(($AY78+$AZ78)/2*IF($G$1="鸣金",$AP78,$AN78)+IF($G$1="鸣金",$AQ78*1.5,0))*(1+$BA78)*(1+$BB78)+(($BC78+$BD78)/2*IF($G$1="裂石",$AP78,$AN78)+IF($G$1="裂石",$AQ78*1.5,0))*(1+$BE78)*(1+$BF78)+(($BG78+$BH78)/2*IF($G$1="牵丝",$AP78,$AN78)+IF($G$1="牵丝",$AQ78*1.5,0))*(1+$BI78)*(1+$BJ78)+(($BK78+$BL78)/2*IF($G$1="破竹",$AP78,$AN78)+IF($G$1="破竹",$AQ78*1.5,0))*(1+$BM78)*(1+$BN78))*(1+$AR78)*$BQ78*$Q78*(1+IF(VLOOKUP($R78,武学奇术!$A:$ZZ,30,FALSE)="蓄力技",$B$21,0))*(1+IF(VLOOKUP($R78,武学奇术!$A:$ZZ,30,FALSE)="派生技",$B$20,0))*(1+$BW78)*(1+$BX78)</f>
        <v>36021.9091601499</v>
      </c>
      <c r="N78" s="46">
        <f>(($AU78*$AN78+$AO78)*(1+$AV78)*(1+$AW78)+($AZ78*IF($G$1="鸣金",$AP78,$AN78)+IF($G$1="鸣金",$AQ78*1.5,0))*(1+$BA78)*(1+$BB78)+($BD78*IF($G$1="裂石",$AP78,$AN78)+IF($G$1="裂石",$AQ78*1.5,0))*(1+$BE78)*(1+$BF78)+($BH78*IF($G$1="牵丝",$AP78,$AN78)+IF($G$1="牵丝",$AQ78*1.5,0))*(1+$BI78)*(1+$BJ78)+($BL78*IF($G$1="破竹",$AP78,$AN78)+IF($G$1="破竹",$AQ78*1.5,0))*(1+$BM78)*(1+$BN78))*(1+$AR78)*$BS78*$Q78*(1+IF(VLOOKUP($R78,武学奇术!$A:$ZZ,30,FALSE)="蓄力技",$B$21,0))*(1+IF(VLOOKUP($R78,武学奇术!$A:$ZZ,30,FALSE)="派生技",$B$20,0))*(1+$BW78)*(1+$BX78)</f>
        <v>27833.0218414595</v>
      </c>
      <c r="O78" s="46">
        <f>((($AT78+$AU78)/2*$AN78+$AO78)*(1+$AV78)*(1+$AW78)+(($AY78+$AZ78)/2*IF($G$1="鸣金",$AP78,$AN78)+IF($G$1="鸣金",$AQ78*1.5,0))*(1+$BA78)*(1+$BB78)+(($BC78+$BD78)/2*IF($G$1="裂石",$AP78,$AN78)+IF($G$1="裂石",$AQ78*1.5,0))*(1+$BE78)*(1+$BF78)+(($BG78+$BH78)/2*IF($G$1="牵丝",$AP78,$AN78)+IF($G$1="牵丝",$AQ78*1.5,0))*(1+$BI78)*(1+$BJ78)+(($BK78+$BL78)/2*IF($G$1="破竹",$AP78,$AN78)+IF($G$1="破竹",$AQ78*1.5,0))*(1+$BM78)*(1+$BN78))*(1+$AR78)*$Q78*(1+IF(VLOOKUP($R78,武学奇术!$A:$ZZ,30,FALSE)="蓄力技",$B$21,0))*(1+IF(VLOOKUP($R78,武学奇术!$A:$ZZ,30,FALSE)="派生技",$B$20,0))*(1+$BW78)*(1+$BX78)</f>
        <v>18472.773928282</v>
      </c>
      <c r="P78" s="46">
        <f>((($AT78*$AN78+$AO78)*(1+$AV78)*(1+$AW78)+($AY78*IF($G$1="鸣金",$AP78,$AN78)+IF($G$1="鸣金",$AQ78*1.5,0))*(1+$BA78)*(1+$BB78)+($BC78*IF($G$1="裂石",$AP78,$AN78)+IF($G$1="裂石",$AQ78*1.5,0))*(1+$BE78)*(1+$BF78)+($BG78*IF($G$1="牵丝",$AP78,$AN78)+IF($G$1="牵丝",$AQ78*1.5,0))*(1+$BI78)*(1+$BJ78)+($BK78*IF($G$1="破竹",$AP78,$AN78)+IF($G$1="破竹",$AQ78*1.5,0))*(1+$BM78)*(1+$BN78))*(1+$AR78))*$Q78*(1+IF(VLOOKUP($R78,武学奇术!$A:$ZZ,30,FALSE)="蓄力技",$B$21,0))*(1+IF(VLOOKUP($R78,武学奇术!$A:$ZZ,30,FALSE)="派生技",$B$20,0))*(1+$BW78)*(1+$BX78)</f>
        <v>16328.4946406681</v>
      </c>
      <c r="Q78" s="47">
        <f>IF($E$24="陌刀",1,0)</f>
        <v>1</v>
      </c>
      <c r="R78" s="48" t="s">
        <v>175</v>
      </c>
      <c r="S78" s="48" t="s">
        <v>99</v>
      </c>
      <c r="T78" s="48" t="s">
        <v>182</v>
      </c>
      <c r="U78" s="48" t="s">
        <v>80</v>
      </c>
      <c r="V78" s="48" t="s">
        <v>80</v>
      </c>
      <c r="W78" s="48" t="s">
        <v>91</v>
      </c>
      <c r="X78" s="48" t="s">
        <v>80</v>
      </c>
      <c r="Y78" s="48" t="s">
        <v>80</v>
      </c>
      <c r="Z78" s="48" t="s">
        <v>80</v>
      </c>
      <c r="AA78" s="48" t="s">
        <v>80</v>
      </c>
      <c r="AB78" s="48" t="s">
        <v>80</v>
      </c>
      <c r="AC78" s="48" t="s">
        <v>80</v>
      </c>
      <c r="AD78" s="48" t="s">
        <v>80</v>
      </c>
      <c r="AE78" s="48" t="s">
        <v>82</v>
      </c>
      <c r="AF78" s="48" t="s">
        <v>83</v>
      </c>
      <c r="AG78" s="48" t="s">
        <v>84</v>
      </c>
      <c r="AH78" s="48" t="s">
        <v>80</v>
      </c>
      <c r="AI78" s="48" t="s">
        <v>80</v>
      </c>
      <c r="AJ78" s="48" t="s">
        <v>80</v>
      </c>
      <c r="AK78" s="48" t="s">
        <v>80</v>
      </c>
      <c r="AL78" s="48" t="s">
        <v>85</v>
      </c>
      <c r="AM78" t="str">
        <f>VLOOKUP($R78,武学奇术!$A:$ZZ,25,FALSE)</f>
        <v>横刀</v>
      </c>
      <c r="AN78" s="33">
        <f>VLOOKUP($R78,武学奇术!$A:$ZZ,26,FALSE)</f>
        <v>1.2338</v>
      </c>
      <c r="AO78" s="34">
        <f>VLOOKUP($R78,武学奇术!$A:$ZZ,27,FALSE)*(1+IF(OR($AM78=$F$4,$AM78=$F$5),$B$22,0))</f>
        <v>547.2</v>
      </c>
      <c r="AP78" s="33">
        <f>VLOOKUP($R78,武学奇术!$A:$ZZ,28,FALSE)</f>
        <v>1.8507</v>
      </c>
      <c r="AQ78" s="34">
        <f>VLOOKUP($R78,武学奇术!$A:$ZZ,29,FALSE)*(1+IF(OR($AM78=$F$4,$AM78=$F$5),$B$22,0))</f>
        <v>297.6</v>
      </c>
      <c r="AR78" s="33" cm="1">
        <f t="array" ref="AR78">$G$3+IFERROR(VLOOKUP($AM78,$F$4:$G$7,2,FALSE),0)+VLOOKUP($R78,武学奇术!$A:$ZZ,2,FALSE)+SUM(_xlfn.XLOOKUP($S78:$AL78,增益!$A:$A,增益!$B:$B,0))</f>
        <v>0.4489</v>
      </c>
      <c r="AS78" s="33" cm="1">
        <f t="array" ref="AS78">VLOOKUP($R78,武学奇术!$A:$ZZ,5,FALSE)+SUM(_xlfn.XLOOKUP($S78:$AL78,增益!$A:$A,增益!$E:$E,0))</f>
        <v>0</v>
      </c>
      <c r="AT78" cm="1">
        <f t="array" ref="AT78">$D$10*(1+$AS78)+VLOOKUP($R78,武学奇术!$A:$ZZ,3,FALSE)+SUM(_xlfn.XLOOKUP($S78:$AL78,增益!$A:$A,增益!$C:$C,0))-$I$2</f>
        <v>4094.7</v>
      </c>
      <c r="AU78" cm="1">
        <f t="array" ref="AU78">$E$10*(1+$AS78)+VLOOKUP($R78,武学奇术!$A:$ZZ,4,FALSE)+SUM(_xlfn.XLOOKUP($S78:$AL78,增益!$A:$A,增益!$D:$D,0))-$I$2</f>
        <v>4094.7</v>
      </c>
      <c r="AV78" s="40" cm="1">
        <f t="array" ref="AV78">IF($F$10-$I$3+VLOOKUP($R78,武学奇术!$A:$ZZ,6,FALSE)+SUM(_xlfn.XLOOKUP($S78:$AL78,增益!$A:$A,增益!$F:$F,0))&gt;0,($F$10-$I$3+VLOOKUP($R78,武学奇术!$A:$ZZ,6,FALSE)+SUM(_xlfn.XLOOKUP($S78:$AL78,增益!$A:$A,增益!$F:$F,0)))/200,($F$10-$I$3+VLOOKUP($R78,武学奇术!$A:$ZZ,6,FALSE)+SUM(_xlfn.XLOOKUP($S78:$AL78,增益!$A:$A,增益!$F:$F,0)))/100)</f>
        <v>0.4134</v>
      </c>
      <c r="AW78" s="40" cm="1">
        <f t="array" ref="AW78">$G$10+VLOOKUP($R78,武学奇术!$A:$ZZ,7,FALSE)+SUM(_xlfn.XLOOKUP($S78:$AL78,增益!$A:$A,增益!$G:$G,0))</f>
        <v>0.02</v>
      </c>
      <c r="AX78" s="33" cm="1">
        <f t="array" ref="AX78">VLOOKUP($R78,武学奇术!$A:$ZZ,8,FALSE)+SUM(_xlfn.XLOOKUP($S78:$AL78,增益!$A:$A,增益!$H:$H,0))</f>
        <v>0</v>
      </c>
      <c r="AY78">
        <f t="shared" si="29"/>
        <v>0</v>
      </c>
      <c r="AZ78">
        <f t="shared" si="30"/>
        <v>0</v>
      </c>
      <c r="BA78" s="40" cm="1">
        <f t="array" ref="BA78">IF($F$11-$I$4+VLOOKUP($R78,武学奇术!$A:$ZZ,9,FALSE)+SUM(_xlfn.XLOOKUP($S78:$AL78,增益!$A:$A,增益!$I:$I,0))&gt;0,($F$11-$I$4+VLOOKUP($R78,武学奇术!$A:$ZZ,9,FALSE)+SUM(_xlfn.XLOOKUP($S78:$AL78,增益!$A:$A,增益!$I:$I,0)))/200,($F$11-$I$4+VLOOKUP($R78,武学奇术!$A:$ZZ,9,FALSE)+SUM(_xlfn.XLOOKUP($S78:$AL78,增益!$A:$A,增益!$I:$I,0)))/100)</f>
        <v>-0.3</v>
      </c>
      <c r="BB78" s="40" cm="1">
        <f t="array" ref="BB78">$G$11+VLOOKUP($R78,武学奇术!$A:$ZZ,10,FALSE)+SUM(_xlfn.XLOOKUP($S78:$AL78,增益!$A:$A,增益!$J:$J,0))</f>
        <v>0.02</v>
      </c>
      <c r="BC78">
        <f t="shared" si="31"/>
        <v>640.3</v>
      </c>
      <c r="BD78">
        <f t="shared" si="32"/>
        <v>1770.1</v>
      </c>
      <c r="BE78" s="40" cm="1">
        <f t="array" ref="BE78">IF($F$12-$I$4+VLOOKUP($R78,武学奇术!$A:$ZZ,11,FALSE)+SUM(_xlfn.XLOOKUP($S78:$AL78,增益!$A:$A,增益!$K:$K,0))&gt;0,($F$12-$I$4+VLOOKUP($R78,武学奇术!$A:$ZZ,11,FALSE)+SUM(_xlfn.XLOOKUP($S78:$AL78,增益!$A:$A,增益!$K:$K,0)))/200,($F$12-$I$4+VLOOKUP($R78,武学奇术!$A:$ZZ,11,FALSE)+SUM(_xlfn.XLOOKUP($S78:$AL78,增益!$A:$A,增益!$K:$K,0)))/100)</f>
        <v>0.09</v>
      </c>
      <c r="BF78" s="40" cm="1">
        <f t="array" ref="BF78">$G$12+VLOOKUP($R78,武学奇术!$A:$ZZ,12,FALSE)+SUM(_xlfn.XLOOKUP($S78:$AL78,增益!$A:$A,增益!$L:$L,0))</f>
        <v>0.17</v>
      </c>
      <c r="BG78">
        <f t="shared" si="33"/>
        <v>0</v>
      </c>
      <c r="BH78">
        <f t="shared" si="34"/>
        <v>0</v>
      </c>
      <c r="BI78" s="40" cm="1">
        <f t="array" ref="BI78">IF($F$13-$I$4+VLOOKUP($R78,武学奇术!$A:$ZZ,13,FALSE)+SUM(_xlfn.XLOOKUP($S78:$AL78,增益!$A:$A,增益!$M:$M,0))&gt;0,($F$13-$I$4+VLOOKUP($R78,武学奇术!$A:$ZZ,13,FALSE)+SUM(_xlfn.XLOOKUP($S78:$AL78,增益!$A:$A,增益!$K:$K,0)))/200,($F$13-$I$4+VLOOKUP($R78,武学奇术!$A:$ZZ,13,FALSE)+SUM(_xlfn.XLOOKUP($S78:$AL78,增益!$A:$A,增益!$M:$M,0)))/100)</f>
        <v>-0.3</v>
      </c>
      <c r="BJ78" s="40" cm="1">
        <f t="array" ref="BJ78">$G$13+VLOOKUP($R78,武学奇术!$A:$ZZ,14,FALSE)+SUM(_xlfn.XLOOKUP($S78:$AL78,增益!$A:$A,增益!$N:$N,0))</f>
        <v>0.02</v>
      </c>
      <c r="BK78">
        <f t="shared" si="35"/>
        <v>0</v>
      </c>
      <c r="BL78">
        <f t="shared" si="36"/>
        <v>0</v>
      </c>
      <c r="BM78" s="40" cm="1">
        <f t="array" ref="BM78">IF($F$14-$I$4+VLOOKUP($R78,武学奇术!$A:$ZZ,15,FALSE)+SUM(_xlfn.XLOOKUP($S78:$AL78,增益!$A:$A,增益!$O:$O,0))&gt;0,($F$14-$I$4+VLOOKUP($R78,武学奇术!$A:$ZZ,15,FALSE)+SUM(_xlfn.XLOOKUP($S78:$AL78,增益!$A:$A,增益!$O:$O,0)))/200,($F$14-$I$4+VLOOKUP($R78,武学奇术!$A:$ZZ,15,FALSE)+SUM(_xlfn.XLOOKUP($S78:$AL78,增益!$A:$A,增益!$O:$O,0)))/100)</f>
        <v>-0.3</v>
      </c>
      <c r="BN78" s="40" cm="1">
        <f t="array" ref="BN78">$G$14+VLOOKUP($R78,武学奇术!$A:$ZZ,16,FALSE)+SUM(_xlfn.XLOOKUP($S78:$AL78,增益!$A:$A,增益!$P:$P,0))</f>
        <v>0.02</v>
      </c>
      <c r="BO78" s="33">
        <f>MIN(IF(VLOOKUP($R78,武学奇术!$A:$ZZ,23,FALSE)=1,100%,$B$8),100%)</f>
        <v>0.9771</v>
      </c>
      <c r="BP78" s="33" cm="1">
        <f t="array" ref="BP78">IF(VLOOKUP($R78,武学奇术!$A:$ZZ,23,FALSE)=1,100%,MIN(80%,$B$9+VLOOKUP($R78,武学奇术!$A:$ZZ,17,FALSE)+SUM(_xlfn.XLOOKUP($S78:$AL78,增益!$A:$A,增益!$Q:$Q,0)))+$B$11+SUM(_xlfn.XLOOKUP($S78:$AL78,增益!$A:$A,增益!$U:$U,0)))*IF(VLOOKUP($R78,武学奇术!$A:$ZZ,24,FALSE)=1,0,1)</f>
        <v>0.8861</v>
      </c>
      <c r="BQ78" s="33" cm="1">
        <f t="array" ref="BQ78">1+$B$13+VLOOKUP($R78,武学奇术!$A:$ZZ,18,FALSE)+SUM(_xlfn.XLOOKUP($S78:$AL78,增益!$A:$A,增益!$R:$R,0))</f>
        <v>1.95</v>
      </c>
      <c r="BR78" s="33" cm="1">
        <f t="array" ref="BR78">IF(VLOOKUP($R78,武学奇术!$A:$ZZ,24,FALSE)=1,100%,MIN(40%,$B$10+VLOOKUP($R78,武学奇术!$A:$ZZ,19,FALSE)+SUM(_xlfn.XLOOKUP($S78:$AL78,增益!$A:$A,增益!$S:$S,0)))+$B$12+SUM(_xlfn.XLOOKUP($S78:$AL78,增益!$A:$A,增益!$V:$V,0)))*IF(VLOOKUP($R78,武学奇术!$A:$ZZ,23,FALSE)=1,0,1)</f>
        <v>0.0913</v>
      </c>
      <c r="BS78" s="33" cm="1">
        <f t="array" ref="BS78">1+$B$14+VLOOKUP($R78,武学奇术!$A:$ZZ,20,FALSE)+SUM(_xlfn.XLOOKUP($S78:$AL78,增益!$A:$A,增益!$T:$T,0))</f>
        <v>1.35</v>
      </c>
      <c r="BT78" s="33">
        <f t="shared" si="37"/>
        <v>0.86580831</v>
      </c>
      <c r="BU78" s="33">
        <f t="shared" si="38"/>
        <v>0.02208246</v>
      </c>
      <c r="BV78" s="33">
        <f>IF(VLOOKUP($R78,武学奇术!$A:$ZZ,22,FALSE)=1,0,(1-$BO78))*(1-$BR78)</f>
        <v>0.02080923</v>
      </c>
      <c r="BW78" s="33" cm="1">
        <f t="array" ref="BW78">SUM(_xlfn.XLOOKUP($S78:$AL78,增益!$A:$A,增益!$W:$W,0))+$I$5</f>
        <v>0.11</v>
      </c>
      <c r="BX78" s="33" cm="1">
        <f t="array" ref="BX78">VLOOKUP($R78,武学奇术!$A:$ZZ,32,FALSE)+SUM(_xlfn.XLOOKUP($S78:$AL78,增益!$A:$A,增益!$X:$X,0))</f>
        <v>0</v>
      </c>
    </row>
    <row r="79" spans="1:76">
      <c r="A79" s="4" t="s">
        <v>168</v>
      </c>
      <c r="B79" s="4">
        <v>2.3</v>
      </c>
      <c r="L79" s="46">
        <f t="shared" si="40"/>
        <v>105602.204372603</v>
      </c>
      <c r="M79" s="46">
        <f>((($AT79+$AU79)/2*$AN79+$AO79)*(1+$AV79)*(1+$AW79)+(($AY79+$AZ79)/2*IF($G$1="鸣金",$AP79,$AN79)+IF($G$1="鸣金",$AQ79*1.5,0))*(1+$BA79)*(1+$BB79)+(($BC79+$BD79)/2*IF($G$1="裂石",$AP79,$AN79)+IF($G$1="裂石",$AQ79*1.5,0))*(1+$BE79)*(1+$BF79)+(($BG79+$BH79)/2*IF($G$1="牵丝",$AP79,$AN79)+IF($G$1="牵丝",$AQ79*1.5,0))*(1+$BI79)*(1+$BJ79)+(($BK79+$BL79)/2*IF($G$1="破竹",$AP79,$AN79)+IF($G$1="破竹",$AQ79*1.5,0))*(1+$BM79)*(1+$BN79))*(1+$AR79)*$BQ79*$Q79*(1+IF(VLOOKUP($R79,武学奇术!$A:$ZZ,30,FALSE)="蓄力技",$B$21,0))*(1+IF(VLOOKUP($R79,武学奇术!$A:$ZZ,30,FALSE)="派生技",$B$20,0))*(1+$BW79)*(1+$BX79)</f>
        <v>110334.327076213</v>
      </c>
      <c r="N79" s="46">
        <f>(($AU79*$AN79+$AO79)*(1+$AV79)*(1+$AW79)+($AZ79*IF($G$1="鸣金",$AP79,$AN79)+IF($G$1="鸣金",$AQ79*1.5,0))*(1+$BA79)*(1+$BB79)+($BD79*IF($G$1="裂石",$AP79,$AN79)+IF($G$1="裂石",$AQ79*1.5,0))*(1+$BE79)*(1+$BF79)+($BH79*IF($G$1="牵丝",$AP79,$AN79)+IF($G$1="牵丝",$AQ79*1.5,0))*(1+$BI79)*(1+$BJ79)+($BL79*IF($G$1="破竹",$AP79,$AN79)+IF($G$1="破竹",$AQ79*1.5,0))*(1+$BM79)*(1+$BN79))*(1+$AR79)*$BS79*$Q79*(1+IF(VLOOKUP($R79,武学奇术!$A:$ZZ,30,FALSE)="蓄力技",$B$21,0))*(1+IF(VLOOKUP($R79,武学奇术!$A:$ZZ,30,FALSE)="派生技",$B$20,0))*(1+$BW79)*(1+$BX79)</f>
        <v>85253.4223944563</v>
      </c>
      <c r="O79" s="46">
        <f>((($AT79+$AU79)/2*$AN79+$AO79)*(1+$AV79)*(1+$AW79)+(($AY79+$AZ79)/2*IF($G$1="鸣金",$AP79,$AN79)+IF($G$1="鸣金",$AQ79*1.5,0))*(1+$BA79)*(1+$BB79)+(($BC79+$BD79)/2*IF($G$1="裂石",$AP79,$AN79)+IF($G$1="裂石",$AQ79*1.5,0))*(1+$BE79)*(1+$BF79)+(($BG79+$BH79)/2*IF($G$1="牵丝",$AP79,$AN79)+IF($G$1="牵丝",$AQ79*1.5,0))*(1+$BI79)*(1+$BJ79)+(($BK79+$BL79)/2*IF($G$1="破竹",$AP79,$AN79)+IF($G$1="破竹",$AQ79*1.5,0))*(1+$BM79)*(1+$BN79))*(1+$AR79)*$Q79*(1+IF(VLOOKUP($R79,武学奇术!$A:$ZZ,30,FALSE)="蓄力技",$B$21,0))*(1+IF(VLOOKUP($R79,武学奇术!$A:$ZZ,30,FALSE)="派生技",$B$20,0))*(1+$BW79)*(1+$BX79)</f>
        <v>56581.7061929299</v>
      </c>
      <c r="P79" s="46">
        <f>((($AT79*$AN79+$AO79)*(1+$AV79)*(1+$AW79)+($AY79*IF($G$1="鸣金",$AP79,$AN79)+IF($G$1="鸣金",$AQ79*1.5,0))*(1+$BA79)*(1+$BB79)+($BC79*IF($G$1="裂石",$AP79,$AN79)+IF($G$1="裂石",$AQ79*1.5,0))*(1+$BE79)*(1+$BF79)+($BG79*IF($G$1="牵丝",$AP79,$AN79)+IF($G$1="牵丝",$AQ79*1.5,0))*(1+$BI79)*(1+$BJ79)+($BK79*IF($G$1="破竹",$AP79,$AN79)+IF($G$1="破竹",$AQ79*1.5,0))*(1+$BM79)*(1+$BN79))*(1+$AR79))*$Q79*(1+IF(VLOOKUP($R79,武学奇术!$A:$ZZ,30,FALSE)="蓄力技",$B$21,0))*(1+IF(VLOOKUP($R79,武学奇术!$A:$ZZ,30,FALSE)="派生技",$B$20,0))*(1+$BW79)*(1+$BX79)</f>
        <v>50012.729130707</v>
      </c>
      <c r="Q79" s="47">
        <f t="shared" ref="Q79:Q87" si="41">IF($E$24="陌刀",1,0)</f>
        <v>1</v>
      </c>
      <c r="R79" s="48" t="s">
        <v>116</v>
      </c>
      <c r="S79" s="48" t="s">
        <v>99</v>
      </c>
      <c r="T79" s="48" t="s">
        <v>182</v>
      </c>
      <c r="U79" s="48" t="s">
        <v>80</v>
      </c>
      <c r="V79" s="48" t="s">
        <v>80</v>
      </c>
      <c r="W79" s="48" t="s">
        <v>91</v>
      </c>
      <c r="X79" s="48" t="s">
        <v>80</v>
      </c>
      <c r="Y79" s="48" t="s">
        <v>80</v>
      </c>
      <c r="Z79" s="48" t="s">
        <v>80</v>
      </c>
      <c r="AA79" s="48" t="s">
        <v>80</v>
      </c>
      <c r="AB79" s="48" t="s">
        <v>80</v>
      </c>
      <c r="AC79" s="48" t="s">
        <v>80</v>
      </c>
      <c r="AD79" s="48" t="s">
        <v>80</v>
      </c>
      <c r="AE79" s="48" t="s">
        <v>82</v>
      </c>
      <c r="AF79" s="48" t="s">
        <v>83</v>
      </c>
      <c r="AG79" s="48" t="s">
        <v>84</v>
      </c>
      <c r="AH79" s="48" t="s">
        <v>80</v>
      </c>
      <c r="AI79" s="48" t="s">
        <v>80</v>
      </c>
      <c r="AJ79" s="48" t="s">
        <v>80</v>
      </c>
      <c r="AK79" s="48" t="s">
        <v>80</v>
      </c>
      <c r="AL79" s="48" t="s">
        <v>85</v>
      </c>
      <c r="AM79" t="str">
        <f>VLOOKUP($R79,武学奇术!$A:$ZZ,25,FALSE)</f>
        <v>横刀</v>
      </c>
      <c r="AN79" s="33">
        <f>VLOOKUP($R79,武学奇术!$A:$ZZ,26,FALSE)</f>
        <v>3.7797</v>
      </c>
      <c r="AO79" s="34">
        <f>VLOOKUP($R79,武学奇术!$A:$ZZ,27,FALSE)*(1+IF(OR($AM79=$F$4,$AM79=$F$5),$B$22,0))</f>
        <v>1672</v>
      </c>
      <c r="AP79" s="33">
        <f>VLOOKUP($R79,武学奇术!$A:$ZZ,28,FALSE)</f>
        <v>5.6696</v>
      </c>
      <c r="AQ79" s="34">
        <f>VLOOKUP($R79,武学奇术!$A:$ZZ,29,FALSE)*(1+IF(OR($AM79=$F$4,$AM79=$F$5),$B$22,0))</f>
        <v>912</v>
      </c>
      <c r="AR79" s="33" cm="1">
        <f t="array" ref="AR79">$G$3+IFERROR(VLOOKUP($AM79,$F$4:$G$7,2,FALSE),0)+VLOOKUP($R79,武学奇术!$A:$ZZ,2,FALSE)+SUM(_xlfn.XLOOKUP($S79:$AL79,增益!$A:$A,增益!$B:$B,0))</f>
        <v>0.4489</v>
      </c>
      <c r="AS79" s="33" cm="1">
        <f t="array" ref="AS79">VLOOKUP($R79,武学奇术!$A:$ZZ,5,FALSE)+SUM(_xlfn.XLOOKUP($S79:$AL79,增益!$A:$A,增益!$E:$E,0))</f>
        <v>0</v>
      </c>
      <c r="AT79" cm="1">
        <f t="array" ref="AT79">$D$10*(1+$AS79)+VLOOKUP($R79,武学奇术!$A:$ZZ,3,FALSE)+SUM(_xlfn.XLOOKUP($S79:$AL79,增益!$A:$A,增益!$C:$C,0))-$I$2</f>
        <v>4094.7</v>
      </c>
      <c r="AU79" cm="1">
        <f t="array" ref="AU79">$E$10*(1+$AS79)+VLOOKUP($R79,武学奇术!$A:$ZZ,4,FALSE)+SUM(_xlfn.XLOOKUP($S79:$AL79,增益!$A:$A,增益!$D:$D,0))-$I$2</f>
        <v>4094.7</v>
      </c>
      <c r="AV79" s="40" cm="1">
        <f t="array" ref="AV79">IF($F$10-$I$3+VLOOKUP($R79,武学奇术!$A:$ZZ,6,FALSE)+SUM(_xlfn.XLOOKUP($S79:$AL79,增益!$A:$A,增益!$F:$F,0))&gt;0,($F$10-$I$3+VLOOKUP($R79,武学奇术!$A:$ZZ,6,FALSE)+SUM(_xlfn.XLOOKUP($S79:$AL79,增益!$A:$A,增益!$F:$F,0)))/200,($F$10-$I$3+VLOOKUP($R79,武学奇术!$A:$ZZ,6,FALSE)+SUM(_xlfn.XLOOKUP($S79:$AL79,增益!$A:$A,增益!$F:$F,0)))/100)</f>
        <v>0.4134</v>
      </c>
      <c r="AW79" s="40" cm="1">
        <f t="array" ref="AW79">$G$10+VLOOKUP($R79,武学奇术!$A:$ZZ,7,FALSE)+SUM(_xlfn.XLOOKUP($S79:$AL79,增益!$A:$A,增益!$G:$G,0))</f>
        <v>0.02</v>
      </c>
      <c r="AX79" s="33" cm="1">
        <f t="array" ref="AX79">VLOOKUP($R79,武学奇术!$A:$ZZ,8,FALSE)+SUM(_xlfn.XLOOKUP($S79:$AL79,增益!$A:$A,增益!$H:$H,0))</f>
        <v>0</v>
      </c>
      <c r="AY79">
        <f t="shared" si="29"/>
        <v>0</v>
      </c>
      <c r="AZ79">
        <f t="shared" si="30"/>
        <v>0</v>
      </c>
      <c r="BA79" s="40" cm="1">
        <f t="array" ref="BA79">IF($F$11-$I$4+VLOOKUP($R79,武学奇术!$A:$ZZ,9,FALSE)+SUM(_xlfn.XLOOKUP($S79:$AL79,增益!$A:$A,增益!$I:$I,0))&gt;0,($F$11-$I$4+VLOOKUP($R79,武学奇术!$A:$ZZ,9,FALSE)+SUM(_xlfn.XLOOKUP($S79:$AL79,增益!$A:$A,增益!$I:$I,0)))/200,($F$11-$I$4+VLOOKUP($R79,武学奇术!$A:$ZZ,9,FALSE)+SUM(_xlfn.XLOOKUP($S79:$AL79,增益!$A:$A,增益!$I:$I,0)))/100)</f>
        <v>-0.3</v>
      </c>
      <c r="BB79" s="40" cm="1">
        <f t="array" ref="BB79">$G$11+VLOOKUP($R79,武学奇术!$A:$ZZ,10,FALSE)+SUM(_xlfn.XLOOKUP($S79:$AL79,增益!$A:$A,增益!$J:$J,0))</f>
        <v>0.02</v>
      </c>
      <c r="BC79">
        <f t="shared" si="31"/>
        <v>640.3</v>
      </c>
      <c r="BD79">
        <f t="shared" si="32"/>
        <v>1770.1</v>
      </c>
      <c r="BE79" s="40" cm="1">
        <f t="array" ref="BE79">IF($F$12-$I$4+VLOOKUP($R79,武学奇术!$A:$ZZ,11,FALSE)+SUM(_xlfn.XLOOKUP($S79:$AL79,增益!$A:$A,增益!$K:$K,0))&gt;0,($F$12-$I$4+VLOOKUP($R79,武学奇术!$A:$ZZ,11,FALSE)+SUM(_xlfn.XLOOKUP($S79:$AL79,增益!$A:$A,增益!$K:$K,0)))/200,($F$12-$I$4+VLOOKUP($R79,武学奇术!$A:$ZZ,11,FALSE)+SUM(_xlfn.XLOOKUP($S79:$AL79,增益!$A:$A,增益!$K:$K,0)))/100)</f>
        <v>0.09</v>
      </c>
      <c r="BF79" s="40" cm="1">
        <f t="array" ref="BF79">$G$12+VLOOKUP($R79,武学奇术!$A:$ZZ,12,FALSE)+SUM(_xlfn.XLOOKUP($S79:$AL79,增益!$A:$A,增益!$L:$L,0))</f>
        <v>0.17</v>
      </c>
      <c r="BG79">
        <f t="shared" si="33"/>
        <v>0</v>
      </c>
      <c r="BH79">
        <f t="shared" si="34"/>
        <v>0</v>
      </c>
      <c r="BI79" s="40" cm="1">
        <f t="array" ref="BI79">IF($F$13-$I$4+VLOOKUP($R79,武学奇术!$A:$ZZ,13,FALSE)+SUM(_xlfn.XLOOKUP($S79:$AL79,增益!$A:$A,增益!$M:$M,0))&gt;0,($F$13-$I$4+VLOOKUP($R79,武学奇术!$A:$ZZ,13,FALSE)+SUM(_xlfn.XLOOKUP($S79:$AL79,增益!$A:$A,增益!$K:$K,0)))/200,($F$13-$I$4+VLOOKUP($R79,武学奇术!$A:$ZZ,13,FALSE)+SUM(_xlfn.XLOOKUP($S79:$AL79,增益!$A:$A,增益!$M:$M,0)))/100)</f>
        <v>-0.3</v>
      </c>
      <c r="BJ79" s="40" cm="1">
        <f t="array" ref="BJ79">$G$13+VLOOKUP($R79,武学奇术!$A:$ZZ,14,FALSE)+SUM(_xlfn.XLOOKUP($S79:$AL79,增益!$A:$A,增益!$N:$N,0))</f>
        <v>0.02</v>
      </c>
      <c r="BK79">
        <f t="shared" si="35"/>
        <v>0</v>
      </c>
      <c r="BL79">
        <f t="shared" si="36"/>
        <v>0</v>
      </c>
      <c r="BM79" s="40" cm="1">
        <f t="array" ref="BM79">IF($F$14-$I$4+VLOOKUP($R79,武学奇术!$A:$ZZ,15,FALSE)+SUM(_xlfn.XLOOKUP($S79:$AL79,增益!$A:$A,增益!$O:$O,0))&gt;0,($F$14-$I$4+VLOOKUP($R79,武学奇术!$A:$ZZ,15,FALSE)+SUM(_xlfn.XLOOKUP($S79:$AL79,增益!$A:$A,增益!$O:$O,0)))/200,($F$14-$I$4+VLOOKUP($R79,武学奇术!$A:$ZZ,15,FALSE)+SUM(_xlfn.XLOOKUP($S79:$AL79,增益!$A:$A,增益!$O:$O,0)))/100)</f>
        <v>-0.3</v>
      </c>
      <c r="BN79" s="40" cm="1">
        <f t="array" ref="BN79">$G$14+VLOOKUP($R79,武学奇术!$A:$ZZ,16,FALSE)+SUM(_xlfn.XLOOKUP($S79:$AL79,增益!$A:$A,增益!$P:$P,0))</f>
        <v>0.02</v>
      </c>
      <c r="BO79" s="33">
        <f>MIN(IF(VLOOKUP($R79,武学奇术!$A:$ZZ,23,FALSE)=1,100%,$B$8),100%)</f>
        <v>0.9771</v>
      </c>
      <c r="BP79" s="33" cm="1">
        <f t="array" ref="BP79">IF(VLOOKUP($R79,武学奇术!$A:$ZZ,23,FALSE)=1,100%,MIN(80%,$B$9+VLOOKUP($R79,武学奇术!$A:$ZZ,17,FALSE)+SUM(_xlfn.XLOOKUP($S79:$AL79,增益!$A:$A,增益!$Q:$Q,0)))+$B$11+SUM(_xlfn.XLOOKUP($S79:$AL79,增益!$A:$A,增益!$U:$U,0)))*IF(VLOOKUP($R79,武学奇术!$A:$ZZ,24,FALSE)=1,0,1)</f>
        <v>0.8861</v>
      </c>
      <c r="BQ79" s="33" cm="1">
        <f t="array" ref="BQ79">1+$B$13+VLOOKUP($R79,武学奇术!$A:$ZZ,18,FALSE)+SUM(_xlfn.XLOOKUP($S79:$AL79,增益!$A:$A,增益!$R:$R,0))</f>
        <v>1.95</v>
      </c>
      <c r="BR79" s="33" cm="1">
        <f t="array" ref="BR79">IF(VLOOKUP($R79,武学奇术!$A:$ZZ,24,FALSE)=1,100%,MIN(40%,$B$10+VLOOKUP($R79,武学奇术!$A:$ZZ,19,FALSE)+SUM(_xlfn.XLOOKUP($S79:$AL79,增益!$A:$A,增益!$S:$S,0)))+$B$12+SUM(_xlfn.XLOOKUP($S79:$AL79,增益!$A:$A,增益!$V:$V,0)))*IF(VLOOKUP($R79,武学奇术!$A:$ZZ,23,FALSE)=1,0,1)</f>
        <v>0.0913</v>
      </c>
      <c r="BS79" s="33" cm="1">
        <f t="array" ref="BS79">1+$B$14+VLOOKUP($R79,武学奇术!$A:$ZZ,20,FALSE)+SUM(_xlfn.XLOOKUP($S79:$AL79,增益!$A:$A,增益!$T:$T,0))</f>
        <v>1.35</v>
      </c>
      <c r="BT79" s="33">
        <f t="shared" si="37"/>
        <v>0.86580831</v>
      </c>
      <c r="BU79" s="33">
        <f t="shared" si="38"/>
        <v>0.02208246</v>
      </c>
      <c r="BV79" s="33">
        <f>IF(VLOOKUP($R79,武学奇术!$A:$ZZ,22,FALSE)=1,0,(1-$BO79))*(1-$BR79)</f>
        <v>0.02080923</v>
      </c>
      <c r="BW79" s="33" cm="1">
        <f t="array" ref="BW79">SUM(_xlfn.XLOOKUP($S79:$AL79,增益!$A:$A,增益!$W:$W,0))+$I$5</f>
        <v>0.11</v>
      </c>
      <c r="BX79" s="33" cm="1">
        <f t="array" ref="BX79">VLOOKUP($R79,武学奇术!$A:$ZZ,32,FALSE)+SUM(_xlfn.XLOOKUP($S79:$AL79,增益!$A:$A,增益!$X:$X,0))</f>
        <v>0</v>
      </c>
    </row>
    <row r="80" spans="1:76">
      <c r="A80" s="4" t="s">
        <v>168</v>
      </c>
      <c r="B80" s="4">
        <v>2.3</v>
      </c>
      <c r="L80" s="46">
        <f t="shared" si="40"/>
        <v>72496.7656801419</v>
      </c>
      <c r="M80" s="46">
        <f>((($AT80+$AU80)/2*$AN80+$AO80)*(1+$AV80)*(1+$AW80)+(($AY80+$AZ80)/2*IF($G$1="鸣金",$AP80,$AN80)+IF($G$1="鸣金",$AQ80*1.5,0))*(1+$BA80)*(1+$BB80)+(($BC80+$BD80)/2*IF($G$1="裂石",$AP80,$AN80)+IF($G$1="裂石",$AQ80*1.5,0))*(1+$BE80)*(1+$BF80)+(($BG80+$BH80)/2*IF($G$1="牵丝",$AP80,$AN80)+IF($G$1="牵丝",$AQ80*1.5,0))*(1+$BI80)*(1+$BJ80)+(($BK80+$BL80)/2*IF($G$1="破竹",$AP80,$AN80)+IF($G$1="破竹",$AQ80*1.5,0))*(1+$BM80)*(1+$BN80))*(1+$AR80)*$BQ80*$Q80*(1+IF(VLOOKUP($R80,武学奇术!$A:$ZZ,30,FALSE)="蓄力技",$B$21,0))*(1+IF(VLOOKUP($R80,武学奇术!$A:$ZZ,30,FALSE)="派生技",$B$20,0))*(1+$BW80)*(1+$BX80)</f>
        <v>75936.8132087617</v>
      </c>
      <c r="N80" s="46">
        <f>(($AU80*$AN80+$AO80)*(1+$AV80)*(1+$AW80)+($AZ80*IF($G$1="鸣金",$AP80,$AN80)+IF($G$1="鸣金",$AQ80*1.5,0))*(1+$BA80)*(1+$BB80)+($BD80*IF($G$1="裂石",$AP80,$AN80)+IF($G$1="裂石",$AQ80*1.5,0))*(1+$BE80)*(1+$BF80)+($BH80*IF($G$1="牵丝",$AP80,$AN80)+IF($G$1="牵丝",$AQ80*1.5,0))*(1+$BI80)*(1+$BJ80)+($BL80*IF($G$1="破竹",$AP80,$AN80)+IF($G$1="破竹",$AQ80*1.5,0))*(1+$BM80)*(1+$BN80))*(1+$AR80)*$BS80*$Q80*(1+IF(VLOOKUP($R80,武学奇术!$A:$ZZ,30,FALSE)="蓄力技",$B$21,0))*(1+IF(VLOOKUP($R80,武学奇术!$A:$ZZ,30,FALSE)="派生技",$B$20,0))*(1+$BW80)*(1+$BX80)</f>
        <v>57078.1605287459</v>
      </c>
      <c r="O80" s="46">
        <f>((($AT80+$AU80)/2*$AN80+$AO80)*(1+$AV80)*(1+$AW80)+(($AY80+$AZ80)/2*IF($G$1="鸣金",$AP80,$AN80)+IF($G$1="鸣金",$AQ80*1.5,0))*(1+$BA80)*(1+$BB80)+(($BC80+$BD80)/2*IF($G$1="裂石",$AP80,$AN80)+IF($G$1="裂石",$AQ80*1.5,0))*(1+$BE80)*(1+$BF80)+(($BG80+$BH80)/2*IF($G$1="牵丝",$AP80,$AN80)+IF($G$1="牵丝",$AQ80*1.5,0))*(1+$BI80)*(1+$BJ80)+(($BK80+$BL80)/2*IF($G$1="破竹",$AP80,$AN80)+IF($G$1="破竹",$AQ80*1.5,0))*(1+$BM80)*(1+$BN80))*(1+$AR80)*$Q80*(1+IF(VLOOKUP($R80,武学奇术!$A:$ZZ,30,FALSE)="蓄力技",$B$21,0))*(1+IF(VLOOKUP($R80,武学奇术!$A:$ZZ,30,FALSE)="派生技",$B$20,0))*(1+$BW80)*(1+$BX80)</f>
        <v>37968.4066043808</v>
      </c>
      <c r="P80" s="46">
        <f>((($AT80*$AN80+$AO80)*(1+$AV80)*(1+$AW80)+($AY80*IF($G$1="鸣金",$AP80,$AN80)+IF($G$1="鸣金",$AQ80*1.5,0))*(1+$BA80)*(1+$BB80)+($BC80*IF($G$1="裂石",$AP80,$AN80)+IF($G$1="裂石",$AQ80*1.5,0))*(1+$BE80)*(1+$BF80)+($BG80*IF($G$1="牵丝",$AP80,$AN80)+IF($G$1="牵丝",$AQ80*1.5,0))*(1+$BI80)*(1+$BJ80)+($BK80*IF($G$1="破竹",$AP80,$AN80)+IF($G$1="破竹",$AQ80*1.5,0))*(1+$BM80)*(1+$BN80))*(1+$AR80))*$Q80*(1+IF(VLOOKUP($R80,武学奇术!$A:$ZZ,30,FALSE)="蓄力技",$B$21,0))*(1+IF(VLOOKUP($R80,武学奇术!$A:$ZZ,30,FALSE)="派生技",$B$20,0))*(1+$BW80)*(1+$BX80)</f>
        <v>33656.6942985795</v>
      </c>
      <c r="Q80" s="47">
        <f t="shared" si="41"/>
        <v>1</v>
      </c>
      <c r="R80" s="48" t="s">
        <v>119</v>
      </c>
      <c r="S80" s="48" t="s">
        <v>99</v>
      </c>
      <c r="T80" s="48" t="s">
        <v>182</v>
      </c>
      <c r="U80" s="48" t="s">
        <v>79</v>
      </c>
      <c r="V80" s="48" t="s">
        <v>80</v>
      </c>
      <c r="W80" s="48" t="s">
        <v>141</v>
      </c>
      <c r="X80" s="48" t="s">
        <v>80</v>
      </c>
      <c r="Y80" s="48" t="s">
        <v>74</v>
      </c>
      <c r="Z80" s="48" t="s">
        <v>80</v>
      </c>
      <c r="AA80" s="48" t="s">
        <v>80</v>
      </c>
      <c r="AB80" s="48" t="s">
        <v>80</v>
      </c>
      <c r="AC80" s="48" t="s">
        <v>80</v>
      </c>
      <c r="AD80" s="48" t="s">
        <v>80</v>
      </c>
      <c r="AE80" s="48" t="s">
        <v>82</v>
      </c>
      <c r="AF80" s="48" t="s">
        <v>83</v>
      </c>
      <c r="AG80" s="48" t="s">
        <v>84</v>
      </c>
      <c r="AH80" s="48" t="s">
        <v>80</v>
      </c>
      <c r="AI80" s="48" t="s">
        <v>80</v>
      </c>
      <c r="AJ80" s="48" t="s">
        <v>80</v>
      </c>
      <c r="AK80" s="48" t="s">
        <v>80</v>
      </c>
      <c r="AL80" s="48" t="s">
        <v>85</v>
      </c>
      <c r="AM80" t="str">
        <f>VLOOKUP($R80,武学奇术!$A:$ZZ,25,FALSE)</f>
        <v>横刀</v>
      </c>
      <c r="AN80" s="33">
        <f>VLOOKUP($R80,武学奇术!$A:$ZZ,26,FALSE)</f>
        <v>2.1324</v>
      </c>
      <c r="AO80" s="34">
        <f>VLOOKUP($R80,武学奇术!$A:$ZZ,27,FALSE)*(1+IF(OR($AM80=$F$4,$AM80=$F$5),$B$22,0))</f>
        <v>944</v>
      </c>
      <c r="AP80" s="33">
        <f>VLOOKUP($R80,武学奇术!$A:$ZZ,28,FALSE)</f>
        <v>3.1986</v>
      </c>
      <c r="AQ80" s="34">
        <f>VLOOKUP($R80,武学奇术!$A:$ZZ,29,FALSE)*(1+IF(OR($AM80=$F$4,$AM80=$F$5),$B$22,0))</f>
        <v>515.2</v>
      </c>
      <c r="AR80" s="33" cm="1">
        <f t="array" ref="AR80">$G$3+IFERROR(VLOOKUP($AM80,$F$4:$G$7,2,FALSE),0)+VLOOKUP($R80,武学奇术!$A:$ZZ,2,FALSE)+SUM(_xlfn.XLOOKUP($S80:$AL80,增益!$A:$A,增益!$B:$B,0))</f>
        <v>0.5289</v>
      </c>
      <c r="AS80" s="33" cm="1">
        <f t="array" ref="AS80">VLOOKUP($R80,武学奇术!$A:$ZZ,5,FALSE)+SUM(_xlfn.XLOOKUP($S80:$AL80,增益!$A:$A,增益!$E:$E,0))</f>
        <v>0</v>
      </c>
      <c r="AT80" cm="1">
        <f t="array" ref="AT80">$D$10*(1+$AS80)+VLOOKUP($R80,武学奇术!$A:$ZZ,3,FALSE)+SUM(_xlfn.XLOOKUP($S80:$AL80,增益!$A:$A,增益!$C:$C,0))-$I$2</f>
        <v>4094.7</v>
      </c>
      <c r="AU80" cm="1">
        <f t="array" ref="AU80">$E$10*(1+$AS80)+VLOOKUP($R80,武学奇术!$A:$ZZ,4,FALSE)+SUM(_xlfn.XLOOKUP($S80:$AL80,增益!$A:$A,增益!$D:$D,0))-$I$2</f>
        <v>4094.7</v>
      </c>
      <c r="AV80" s="40" cm="1">
        <f t="array" ref="AV80">IF($F$10-$I$3+VLOOKUP($R80,武学奇术!$A:$ZZ,6,FALSE)+SUM(_xlfn.XLOOKUP($S80:$AL80,增益!$A:$A,增益!$F:$F,0))&gt;0,($F$10-$I$3+VLOOKUP($R80,武学奇术!$A:$ZZ,6,FALSE)+SUM(_xlfn.XLOOKUP($S80:$AL80,增益!$A:$A,增益!$F:$F,0)))/200,($F$10-$I$3+VLOOKUP($R80,武学奇术!$A:$ZZ,6,FALSE)+SUM(_xlfn.XLOOKUP($S80:$AL80,增益!$A:$A,增益!$F:$F,0)))/100)</f>
        <v>0.4384</v>
      </c>
      <c r="AW80" s="40" cm="1">
        <f t="array" ref="AW80">$G$10+VLOOKUP($R80,武学奇术!$A:$ZZ,7,FALSE)+SUM(_xlfn.XLOOKUP($S80:$AL80,增益!$A:$A,增益!$G:$G,0))</f>
        <v>0.14</v>
      </c>
      <c r="AX80" s="33" cm="1">
        <f t="array" ref="AX80">VLOOKUP($R80,武学奇术!$A:$ZZ,8,FALSE)+SUM(_xlfn.XLOOKUP($S80:$AL80,增益!$A:$A,增益!$H:$H,0))</f>
        <v>0</v>
      </c>
      <c r="AY80">
        <f t="shared" si="29"/>
        <v>0</v>
      </c>
      <c r="AZ80">
        <f t="shared" si="30"/>
        <v>0</v>
      </c>
      <c r="BA80" s="40" cm="1">
        <f t="array" ref="BA80">IF($F$11-$I$4+VLOOKUP($R80,武学奇术!$A:$ZZ,9,FALSE)+SUM(_xlfn.XLOOKUP($S80:$AL80,增益!$A:$A,增益!$I:$I,0))&gt;0,($F$11-$I$4+VLOOKUP($R80,武学奇术!$A:$ZZ,9,FALSE)+SUM(_xlfn.XLOOKUP($S80:$AL80,增益!$A:$A,增益!$I:$I,0)))/200,($F$11-$I$4+VLOOKUP($R80,武学奇术!$A:$ZZ,9,FALSE)+SUM(_xlfn.XLOOKUP($S80:$AL80,增益!$A:$A,增益!$I:$I,0)))/100)</f>
        <v>-0.3</v>
      </c>
      <c r="BB80" s="40" cm="1">
        <f t="array" ref="BB80">$G$11+VLOOKUP($R80,武学奇术!$A:$ZZ,10,FALSE)+SUM(_xlfn.XLOOKUP($S80:$AL80,增益!$A:$A,增益!$J:$J,0))</f>
        <v>0.02</v>
      </c>
      <c r="BC80">
        <f t="shared" si="31"/>
        <v>640.3</v>
      </c>
      <c r="BD80">
        <f t="shared" si="32"/>
        <v>1770.1</v>
      </c>
      <c r="BE80" s="40" cm="1">
        <f t="array" ref="BE80">IF($F$12-$I$4+VLOOKUP($R80,武学奇术!$A:$ZZ,11,FALSE)+SUM(_xlfn.XLOOKUP($S80:$AL80,增益!$A:$A,增益!$K:$K,0))&gt;0,($F$12-$I$4+VLOOKUP($R80,武学奇术!$A:$ZZ,11,FALSE)+SUM(_xlfn.XLOOKUP($S80:$AL80,增益!$A:$A,增益!$K:$K,0)))/200,($F$12-$I$4+VLOOKUP($R80,武学奇术!$A:$ZZ,11,FALSE)+SUM(_xlfn.XLOOKUP($S80:$AL80,增益!$A:$A,增益!$K:$K,0)))/100)</f>
        <v>0.09</v>
      </c>
      <c r="BF80" s="40" cm="1">
        <f t="array" ref="BF80">$G$12+VLOOKUP($R80,武学奇术!$A:$ZZ,12,FALSE)+SUM(_xlfn.XLOOKUP($S80:$AL80,增益!$A:$A,增益!$L:$L,0))</f>
        <v>0.29</v>
      </c>
      <c r="BG80">
        <f t="shared" si="33"/>
        <v>0</v>
      </c>
      <c r="BH80">
        <f t="shared" si="34"/>
        <v>0</v>
      </c>
      <c r="BI80" s="40" cm="1">
        <f t="array" ref="BI80">IF($F$13-$I$4+VLOOKUP($R80,武学奇术!$A:$ZZ,13,FALSE)+SUM(_xlfn.XLOOKUP($S80:$AL80,增益!$A:$A,增益!$M:$M,0))&gt;0,($F$13-$I$4+VLOOKUP($R80,武学奇术!$A:$ZZ,13,FALSE)+SUM(_xlfn.XLOOKUP($S80:$AL80,增益!$A:$A,增益!$K:$K,0)))/200,($F$13-$I$4+VLOOKUP($R80,武学奇术!$A:$ZZ,13,FALSE)+SUM(_xlfn.XLOOKUP($S80:$AL80,增益!$A:$A,增益!$M:$M,0)))/100)</f>
        <v>-0.3</v>
      </c>
      <c r="BJ80" s="40" cm="1">
        <f t="array" ref="BJ80">$G$13+VLOOKUP($R80,武学奇术!$A:$ZZ,14,FALSE)+SUM(_xlfn.XLOOKUP($S80:$AL80,增益!$A:$A,增益!$N:$N,0))</f>
        <v>0.02</v>
      </c>
      <c r="BK80">
        <f t="shared" si="35"/>
        <v>0</v>
      </c>
      <c r="BL80">
        <f t="shared" si="36"/>
        <v>0</v>
      </c>
      <c r="BM80" s="40" cm="1">
        <f t="array" ref="BM80">IF($F$14-$I$4+VLOOKUP($R80,武学奇术!$A:$ZZ,15,FALSE)+SUM(_xlfn.XLOOKUP($S80:$AL80,增益!$A:$A,增益!$O:$O,0))&gt;0,($F$14-$I$4+VLOOKUP($R80,武学奇术!$A:$ZZ,15,FALSE)+SUM(_xlfn.XLOOKUP($S80:$AL80,增益!$A:$A,增益!$O:$O,0)))/200,($F$14-$I$4+VLOOKUP($R80,武学奇术!$A:$ZZ,15,FALSE)+SUM(_xlfn.XLOOKUP($S80:$AL80,增益!$A:$A,增益!$O:$O,0)))/100)</f>
        <v>-0.3</v>
      </c>
      <c r="BN80" s="40" cm="1">
        <f t="array" ref="BN80">$G$14+VLOOKUP($R80,武学奇术!$A:$ZZ,16,FALSE)+SUM(_xlfn.XLOOKUP($S80:$AL80,增益!$A:$A,增益!$P:$P,0))</f>
        <v>0.02</v>
      </c>
      <c r="BO80" s="33">
        <f>MIN(IF(VLOOKUP($R80,武学奇术!$A:$ZZ,23,FALSE)=1,100%,$B$8),100%)</f>
        <v>0.9771</v>
      </c>
      <c r="BP80" s="33" cm="1">
        <f t="array" ref="BP80">IF(VLOOKUP($R80,武学奇术!$A:$ZZ,23,FALSE)=1,100%,MIN(80%,$B$9+VLOOKUP($R80,武学奇术!$A:$ZZ,17,FALSE)+SUM(_xlfn.XLOOKUP($S80:$AL80,增益!$A:$A,增益!$Q:$Q,0)))+$B$11+SUM(_xlfn.XLOOKUP($S80:$AL80,增益!$A:$A,增益!$U:$U,0)))*IF(VLOOKUP($R80,武学奇术!$A:$ZZ,24,FALSE)=1,0,1)</f>
        <v>0.8861</v>
      </c>
      <c r="BQ80" s="33" cm="1">
        <f t="array" ref="BQ80">1+$B$13+VLOOKUP($R80,武学奇术!$A:$ZZ,18,FALSE)+SUM(_xlfn.XLOOKUP($S80:$AL80,增益!$A:$A,增益!$R:$R,0))</f>
        <v>2</v>
      </c>
      <c r="BR80" s="33" cm="1">
        <f t="array" ref="BR80">IF(VLOOKUP($R80,武学奇术!$A:$ZZ,24,FALSE)=1,100%,MIN(40%,$B$10+VLOOKUP($R80,武学奇术!$A:$ZZ,19,FALSE)+SUM(_xlfn.XLOOKUP($S80:$AL80,增益!$A:$A,增益!$S:$S,0)))+$B$12+SUM(_xlfn.XLOOKUP($S80:$AL80,增益!$A:$A,增益!$V:$V,0)))*IF(VLOOKUP($R80,武学奇术!$A:$ZZ,23,FALSE)=1,0,1)</f>
        <v>0.0913</v>
      </c>
      <c r="BS80" s="33" cm="1">
        <f t="array" ref="BS80">1+$B$14+VLOOKUP($R80,武学奇术!$A:$ZZ,20,FALSE)+SUM(_xlfn.XLOOKUP($S80:$AL80,增益!$A:$A,增益!$T:$T,0))</f>
        <v>1.35</v>
      </c>
      <c r="BT80" s="33">
        <f t="shared" si="37"/>
        <v>0.86580831</v>
      </c>
      <c r="BU80" s="33">
        <f t="shared" si="38"/>
        <v>0.02208246</v>
      </c>
      <c r="BV80" s="33">
        <f>IF(VLOOKUP($R80,武学奇术!$A:$ZZ,22,FALSE)=1,0,(1-$BO80))*(1-$BR80)</f>
        <v>0.02080923</v>
      </c>
      <c r="BW80" s="33" cm="1">
        <f t="array" ref="BW80">SUM(_xlfn.XLOOKUP($S80:$AL80,增益!$A:$A,增益!$W:$W,0))+$I$5</f>
        <v>0.11</v>
      </c>
      <c r="BX80" s="33" cm="1">
        <f t="array" ref="BX80">VLOOKUP($R80,武学奇术!$A:$ZZ,32,FALSE)+SUM(_xlfn.XLOOKUP($S80:$AL80,增益!$A:$A,增益!$X:$X,0))</f>
        <v>0</v>
      </c>
    </row>
    <row r="81" spans="1:76">
      <c r="A81" s="4" t="s">
        <v>168</v>
      </c>
      <c r="B81" s="4">
        <v>2.3</v>
      </c>
      <c r="L81" s="46">
        <f t="shared" si="40"/>
        <v>47389.3323238308</v>
      </c>
      <c r="M81" s="46">
        <f>((($AT81+$AU81)/2*$AN81+$AO81)*(1+$AV81)*(1+$AW81)+(($AY81+$AZ81)/2*IF($G$1="鸣金",$AP81,$AN81)+IF($G$1="鸣金",$AQ81*1.5,0))*(1+$BA81)*(1+$BB81)+(($BC81+$BD81)/2*IF($G$1="裂石",$AP81,$AN81)+IF($G$1="裂石",$AQ81*1.5,0))*(1+$BE81)*(1+$BF81)+(($BG81+$BH81)/2*IF($G$1="牵丝",$AP81,$AN81)+IF($G$1="牵丝",$AQ81*1.5,0))*(1+$BI81)*(1+$BJ81)+(($BK81+$BL81)/2*IF($G$1="破竹",$AP81,$AN81)+IF($G$1="破竹",$AQ81*1.5,0))*(1+$BM81)*(1+$BN81))*(1+$AR81)*$BQ81*$Q81*(1+IF(VLOOKUP($R81,武学奇术!$A:$ZZ,30,FALSE)="蓄力技",$B$21,0))*(1+IF(VLOOKUP($R81,武学奇术!$A:$ZZ,30,FALSE)="派生技",$B$20,0))*(1+$BW81)*(1+$BX81)</f>
        <v>49579.8152881652</v>
      </c>
      <c r="N81" s="46">
        <f>(($AU81*$AN81+$AO81)*(1+$AV81)*(1+$AW81)+($AZ81*IF($G$1="鸣金",$AP81,$AN81)+IF($G$1="鸣金",$AQ81*1.5,0))*(1+$BA81)*(1+$BB81)+($BD81*IF($G$1="裂石",$AP81,$AN81)+IF($G$1="裂石",$AQ81*1.5,0))*(1+$BE81)*(1+$BF81)+($BH81*IF($G$1="牵丝",$AP81,$AN81)+IF($G$1="牵丝",$AQ81*1.5,0))*(1+$BI81)*(1+$BJ81)+($BL81*IF($G$1="破竹",$AP81,$AN81)+IF($G$1="破竹",$AQ81*1.5,0))*(1+$BM81)*(1+$BN81))*(1+$AR81)*$BS81*$Q81*(1+IF(VLOOKUP($R81,武学奇术!$A:$ZZ,30,FALSE)="蓄力技",$B$21,0))*(1+IF(VLOOKUP($R81,武学奇术!$A:$ZZ,30,FALSE)="派生技",$B$20,0))*(1+$BW81)*(1+$BX81)</f>
        <v>37998.9142141202</v>
      </c>
      <c r="O81" s="46">
        <f>((($AT81+$AU81)/2*$AN81+$AO81)*(1+$AV81)*(1+$AW81)+(($AY81+$AZ81)/2*IF($G$1="鸣金",$AP81,$AN81)+IF($G$1="鸣金",$AQ81*1.5,0))*(1+$BA81)*(1+$BB81)+(($BC81+$BD81)/2*IF($G$1="裂石",$AP81,$AN81)+IF($G$1="裂石",$AQ81*1.5,0))*(1+$BE81)*(1+$BF81)+(($BG81+$BH81)/2*IF($G$1="牵丝",$AP81,$AN81)+IF($G$1="牵丝",$AQ81*1.5,0))*(1+$BI81)*(1+$BJ81)+(($BK81+$BL81)/2*IF($G$1="破竹",$AP81,$AN81)+IF($G$1="破竹",$AQ81*1.5,0))*(1+$BM81)*(1+$BN81))*(1+$AR81)*$Q81*(1+IF(VLOOKUP($R81,武学奇术!$A:$ZZ,30,FALSE)="蓄力技",$B$21,0))*(1+IF(VLOOKUP($R81,武学奇术!$A:$ZZ,30,FALSE)="派生技",$B$20,0))*(1+$BW81)*(1+$BX81)</f>
        <v>24789.9076440826</v>
      </c>
      <c r="P81" s="46">
        <f>((($AT81*$AN81+$AO81)*(1+$AV81)*(1+$AW81)+($AY81*IF($G$1="鸣金",$AP81,$AN81)+IF($G$1="鸣金",$AQ81*1.5,0))*(1+$BA81)*(1+$BB81)+($BC81*IF($G$1="裂石",$AP81,$AN81)+IF($G$1="裂石",$AQ81*1.5,0))*(1+$BE81)*(1+$BF81)+($BG81*IF($G$1="牵丝",$AP81,$AN81)+IF($G$1="牵丝",$AQ81*1.5,0))*(1+$BI81)*(1+$BJ81)+($BK81*IF($G$1="破竹",$AP81,$AN81)+IF($G$1="破竹",$AQ81*1.5,0))*(1+$BM81)*(1+$BN81))*(1+$AR81))*$Q81*(1+IF(VLOOKUP($R81,武学奇术!$A:$ZZ,30,FALSE)="蓄力技",$B$21,0))*(1+IF(VLOOKUP($R81,武学奇术!$A:$ZZ,30,FALSE)="派生技",$B$20,0))*(1+$BW81)*(1+$BX81)</f>
        <v>21432.471425854</v>
      </c>
      <c r="Q81" s="47">
        <f t="shared" si="41"/>
        <v>1</v>
      </c>
      <c r="R81" s="48" t="s">
        <v>122</v>
      </c>
      <c r="S81" s="48" t="s">
        <v>99</v>
      </c>
      <c r="T81" s="48" t="s">
        <v>182</v>
      </c>
      <c r="U81" s="48" t="s">
        <v>79</v>
      </c>
      <c r="V81" s="48" t="s">
        <v>90</v>
      </c>
      <c r="W81" s="48" t="s">
        <v>141</v>
      </c>
      <c r="X81" s="48" t="s">
        <v>80</v>
      </c>
      <c r="Y81" s="48" t="s">
        <v>74</v>
      </c>
      <c r="Z81" s="48" t="s">
        <v>80</v>
      </c>
      <c r="AA81" s="48" t="s">
        <v>80</v>
      </c>
      <c r="AB81" s="48" t="s">
        <v>80</v>
      </c>
      <c r="AC81" s="48" t="s">
        <v>80</v>
      </c>
      <c r="AD81" s="48" t="s">
        <v>80</v>
      </c>
      <c r="AE81" s="48" t="s">
        <v>82</v>
      </c>
      <c r="AF81" s="48" t="s">
        <v>83</v>
      </c>
      <c r="AG81" s="48" t="s">
        <v>84</v>
      </c>
      <c r="AH81" s="48" t="s">
        <v>80</v>
      </c>
      <c r="AI81" s="48" t="s">
        <v>80</v>
      </c>
      <c r="AJ81" s="48" t="s">
        <v>80</v>
      </c>
      <c r="AK81" s="48" t="s">
        <v>80</v>
      </c>
      <c r="AL81" s="48" t="s">
        <v>85</v>
      </c>
      <c r="AM81" t="str">
        <f>VLOOKUP($R81,武学奇术!$A:$ZZ,25,FALSE)</f>
        <v>横刀</v>
      </c>
      <c r="AN81" s="33">
        <f>VLOOKUP($R81,武学奇术!$A:$ZZ,26,FALSE)</f>
        <v>1.47</v>
      </c>
      <c r="AO81" s="34">
        <f>VLOOKUP($R81,武学奇术!$A:$ZZ,27,FALSE)*(1+IF(OR($AM81=$F$4,$AM81=$F$5),$B$22,0))</f>
        <v>0</v>
      </c>
      <c r="AP81" s="33">
        <f>VLOOKUP($R81,武学奇术!$A:$ZZ,28,FALSE)</f>
        <v>2.205</v>
      </c>
      <c r="AQ81" s="34">
        <f>VLOOKUP($R81,武学奇术!$A:$ZZ,29,FALSE)*(1+IF(OR($AM81=$F$4,$AM81=$F$5),$B$22,0))</f>
        <v>0</v>
      </c>
      <c r="AR81" s="33" cm="1">
        <f t="array" ref="AR81">$G$3+IFERROR(VLOOKUP($AM81,$F$4:$G$7,2,FALSE),0)+VLOOKUP($R81,武学奇术!$A:$ZZ,2,FALSE)+SUM(_xlfn.XLOOKUP($S81:$AL81,增益!$A:$A,增益!$B:$B,0))</f>
        <v>0.6089</v>
      </c>
      <c r="AS81" s="33" cm="1">
        <f t="array" ref="AS81">VLOOKUP($R81,武学奇术!$A:$ZZ,5,FALSE)+SUM(_xlfn.XLOOKUP($S81:$AL81,增益!$A:$A,增益!$E:$E,0))</f>
        <v>0</v>
      </c>
      <c r="AT81" cm="1">
        <f t="array" ref="AT81">$D$10*(1+$AS81)+VLOOKUP($R81,武学奇术!$A:$ZZ,3,FALSE)+SUM(_xlfn.XLOOKUP($S81:$AL81,增益!$A:$A,增益!$C:$C,0))-$I$2</f>
        <v>4094.7</v>
      </c>
      <c r="AU81" cm="1">
        <f t="array" ref="AU81">$E$10*(1+$AS81)+VLOOKUP($R81,武学奇术!$A:$ZZ,4,FALSE)+SUM(_xlfn.XLOOKUP($S81:$AL81,增益!$A:$A,增益!$D:$D,0))-$I$2</f>
        <v>4094.7</v>
      </c>
      <c r="AV81" s="40" cm="1">
        <f t="array" ref="AV81">IF($F$10-$I$3+VLOOKUP($R81,武学奇术!$A:$ZZ,6,FALSE)+SUM(_xlfn.XLOOKUP($S81:$AL81,增益!$A:$A,增益!$F:$F,0))&gt;0,($F$10-$I$3+VLOOKUP($R81,武学奇术!$A:$ZZ,6,FALSE)+SUM(_xlfn.XLOOKUP($S81:$AL81,增益!$A:$A,增益!$F:$F,0)))/200,($F$10-$I$3+VLOOKUP($R81,武学奇术!$A:$ZZ,6,FALSE)+SUM(_xlfn.XLOOKUP($S81:$AL81,增益!$A:$A,增益!$F:$F,0)))/100)</f>
        <v>0.4384</v>
      </c>
      <c r="AW81" s="40" cm="1">
        <f t="array" ref="AW81">$G$10+VLOOKUP($R81,武学奇术!$A:$ZZ,7,FALSE)+SUM(_xlfn.XLOOKUP($S81:$AL81,增益!$A:$A,增益!$G:$G,0))</f>
        <v>0.14</v>
      </c>
      <c r="AX81" s="33" cm="1">
        <f t="array" ref="AX81">VLOOKUP($R81,武学奇术!$A:$ZZ,8,FALSE)+SUM(_xlfn.XLOOKUP($S81:$AL81,增益!$A:$A,增益!$H:$H,0))</f>
        <v>0</v>
      </c>
      <c r="AY81">
        <f t="shared" si="29"/>
        <v>0</v>
      </c>
      <c r="AZ81">
        <f t="shared" si="30"/>
        <v>0</v>
      </c>
      <c r="BA81" s="40" cm="1">
        <f t="array" ref="BA81">IF($F$11-$I$4+VLOOKUP($R81,武学奇术!$A:$ZZ,9,FALSE)+SUM(_xlfn.XLOOKUP($S81:$AL81,增益!$A:$A,增益!$I:$I,0))&gt;0,($F$11-$I$4+VLOOKUP($R81,武学奇术!$A:$ZZ,9,FALSE)+SUM(_xlfn.XLOOKUP($S81:$AL81,增益!$A:$A,增益!$I:$I,0)))/200,($F$11-$I$4+VLOOKUP($R81,武学奇术!$A:$ZZ,9,FALSE)+SUM(_xlfn.XLOOKUP($S81:$AL81,增益!$A:$A,增益!$I:$I,0)))/100)</f>
        <v>-0.14</v>
      </c>
      <c r="BB81" s="40" cm="1">
        <f t="array" ref="BB81">$G$11+VLOOKUP($R81,武学奇术!$A:$ZZ,10,FALSE)+SUM(_xlfn.XLOOKUP($S81:$AL81,增益!$A:$A,增益!$J:$J,0))</f>
        <v>0.02</v>
      </c>
      <c r="BC81">
        <f t="shared" si="31"/>
        <v>640.3</v>
      </c>
      <c r="BD81">
        <f t="shared" si="32"/>
        <v>1770.1</v>
      </c>
      <c r="BE81" s="40" cm="1">
        <f t="array" ref="BE81">IF($F$12-$I$4+VLOOKUP($R81,武学奇术!$A:$ZZ,11,FALSE)+SUM(_xlfn.XLOOKUP($S81:$AL81,增益!$A:$A,增益!$K:$K,0))&gt;0,($F$12-$I$4+VLOOKUP($R81,武学奇术!$A:$ZZ,11,FALSE)+SUM(_xlfn.XLOOKUP($S81:$AL81,增益!$A:$A,增益!$K:$K,0)))/200,($F$12-$I$4+VLOOKUP($R81,武学奇术!$A:$ZZ,11,FALSE)+SUM(_xlfn.XLOOKUP($S81:$AL81,增益!$A:$A,增益!$K:$K,0)))/100)</f>
        <v>0.17</v>
      </c>
      <c r="BF81" s="40" cm="1">
        <f t="array" ref="BF81">$G$12+VLOOKUP($R81,武学奇术!$A:$ZZ,12,FALSE)+SUM(_xlfn.XLOOKUP($S81:$AL81,增益!$A:$A,增益!$L:$L,0))</f>
        <v>0.29</v>
      </c>
      <c r="BG81">
        <f t="shared" si="33"/>
        <v>0</v>
      </c>
      <c r="BH81">
        <f t="shared" si="34"/>
        <v>0</v>
      </c>
      <c r="BI81" s="40" cm="1">
        <f t="array" ref="BI81">IF($F$13-$I$4+VLOOKUP($R81,武学奇术!$A:$ZZ,13,FALSE)+SUM(_xlfn.XLOOKUP($S81:$AL81,增益!$A:$A,增益!$M:$M,0))&gt;0,($F$13-$I$4+VLOOKUP($R81,武学奇术!$A:$ZZ,13,FALSE)+SUM(_xlfn.XLOOKUP($S81:$AL81,增益!$A:$A,增益!$K:$K,0)))/200,($F$13-$I$4+VLOOKUP($R81,武学奇术!$A:$ZZ,13,FALSE)+SUM(_xlfn.XLOOKUP($S81:$AL81,增益!$A:$A,增益!$M:$M,0)))/100)</f>
        <v>-0.14</v>
      </c>
      <c r="BJ81" s="40" cm="1">
        <f t="array" ref="BJ81">$G$13+VLOOKUP($R81,武学奇术!$A:$ZZ,14,FALSE)+SUM(_xlfn.XLOOKUP($S81:$AL81,增益!$A:$A,增益!$N:$N,0))</f>
        <v>0.02</v>
      </c>
      <c r="BK81">
        <f t="shared" si="35"/>
        <v>0</v>
      </c>
      <c r="BL81">
        <f t="shared" si="36"/>
        <v>0</v>
      </c>
      <c r="BM81" s="40" cm="1">
        <f t="array" ref="BM81">IF($F$14-$I$4+VLOOKUP($R81,武学奇术!$A:$ZZ,15,FALSE)+SUM(_xlfn.XLOOKUP($S81:$AL81,增益!$A:$A,增益!$O:$O,0))&gt;0,($F$14-$I$4+VLOOKUP($R81,武学奇术!$A:$ZZ,15,FALSE)+SUM(_xlfn.XLOOKUP($S81:$AL81,增益!$A:$A,增益!$O:$O,0)))/200,($F$14-$I$4+VLOOKUP($R81,武学奇术!$A:$ZZ,15,FALSE)+SUM(_xlfn.XLOOKUP($S81:$AL81,增益!$A:$A,增益!$O:$O,0)))/100)</f>
        <v>-0.14</v>
      </c>
      <c r="BN81" s="40" cm="1">
        <f t="array" ref="BN81">$G$14+VLOOKUP($R81,武学奇术!$A:$ZZ,16,FALSE)+SUM(_xlfn.XLOOKUP($S81:$AL81,增益!$A:$A,增益!$P:$P,0))</f>
        <v>0.02</v>
      </c>
      <c r="BO81" s="33">
        <f>MIN(IF(VLOOKUP($R81,武学奇术!$A:$ZZ,23,FALSE)=1,100%,$B$8),100%)</f>
        <v>0.9771</v>
      </c>
      <c r="BP81" s="33" cm="1">
        <f t="array" ref="BP81">IF(VLOOKUP($R81,武学奇术!$A:$ZZ,23,FALSE)=1,100%,MIN(80%,$B$9+VLOOKUP($R81,武学奇术!$A:$ZZ,17,FALSE)+SUM(_xlfn.XLOOKUP($S81:$AL81,增益!$A:$A,增益!$Q:$Q,0)))+$B$11+SUM(_xlfn.XLOOKUP($S81:$AL81,增益!$A:$A,增益!$U:$U,0)))*IF(VLOOKUP($R81,武学奇术!$A:$ZZ,24,FALSE)=1,0,1)</f>
        <v>0.8861</v>
      </c>
      <c r="BQ81" s="33" cm="1">
        <f t="array" ref="BQ81">1+$B$13+VLOOKUP($R81,武学奇术!$A:$ZZ,18,FALSE)+SUM(_xlfn.XLOOKUP($S81:$AL81,增益!$A:$A,增益!$R:$R,0))</f>
        <v>2</v>
      </c>
      <c r="BR81" s="33" cm="1">
        <f t="array" ref="BR81">IF(VLOOKUP($R81,武学奇术!$A:$ZZ,24,FALSE)=1,100%,MIN(40%,$B$10+VLOOKUP($R81,武学奇术!$A:$ZZ,19,FALSE)+SUM(_xlfn.XLOOKUP($S81:$AL81,增益!$A:$A,增益!$S:$S,0)))+$B$12+SUM(_xlfn.XLOOKUP($S81:$AL81,增益!$A:$A,增益!$V:$V,0)))*IF(VLOOKUP($R81,武学奇术!$A:$ZZ,23,FALSE)=1,0,1)</f>
        <v>0.0913</v>
      </c>
      <c r="BS81" s="33" cm="1">
        <f t="array" ref="BS81">1+$B$14+VLOOKUP($R81,武学奇术!$A:$ZZ,20,FALSE)+SUM(_xlfn.XLOOKUP($S81:$AL81,增益!$A:$A,增益!$T:$T,0))</f>
        <v>1.35</v>
      </c>
      <c r="BT81" s="33">
        <f t="shared" si="37"/>
        <v>0.86580831</v>
      </c>
      <c r="BU81" s="33">
        <f t="shared" si="38"/>
        <v>0.02208246</v>
      </c>
      <c r="BV81" s="33">
        <f>IF(VLOOKUP($R81,武学奇术!$A:$ZZ,22,FALSE)=1,0,(1-$BO81))*(1-$BR81)</f>
        <v>0.02080923</v>
      </c>
      <c r="BW81" s="33" cm="1">
        <f t="array" ref="BW81">SUM(_xlfn.XLOOKUP($S81:$AL81,增益!$A:$A,增益!$W:$W,0))+$I$5</f>
        <v>0.11</v>
      </c>
      <c r="BX81" s="33" cm="1">
        <f t="array" ref="BX81">VLOOKUP($R81,武学奇术!$A:$ZZ,32,FALSE)+SUM(_xlfn.XLOOKUP($S81:$AL81,增益!$A:$A,增益!$X:$X,0))</f>
        <v>0</v>
      </c>
    </row>
    <row r="82" spans="1:76">
      <c r="L82" s="46">
        <f t="shared" si="40"/>
        <v>23537.2169640583</v>
      </c>
      <c r="M82" s="46">
        <f>((($AT82+$AU82)/2*$AN82+$AO82)*(1+$AV82)*(1+$AW82)+(($AY82+$AZ82)/2*IF($G$1="鸣金",$AP82,$AN82)+IF($G$1="鸣金",$AQ82*1.5,0))*(1+$BA82)*(1+$BB82)+(($BC82+$BD82)/2*IF($G$1="裂石",$AP82,$AN82)+IF($G$1="裂石",$AQ82*1.5,0))*(1+$BE82)*(1+$BF82)+(($BG82+$BH82)/2*IF($G$1="牵丝",$AP82,$AN82)+IF($G$1="牵丝",$AQ82*1.5,0))*(1+$BI82)*(1+$BJ82)+(($BK82+$BL82)/2*IF($G$1="破竹",$AP82,$AN82)+IF($G$1="破竹",$AQ82*1.5,0))*(1+$BM82)*(1+$BN82))*(1+$AR82)*$BQ82*$Q82*(1+IF(VLOOKUP($R82,武学奇术!$A:$ZZ,30,FALSE)="蓄力技",$B$21,0))*(1+IF(VLOOKUP($R82,武学奇术!$A:$ZZ,30,FALSE)="派生技",$B$20,0))*(1+$BW82)*(1+$BX82)</f>
        <v>24625.1806524956</v>
      </c>
      <c r="N82" s="46">
        <f>(($AU82*$AN82+$AO82)*(1+$AV82)*(1+$AW82)+($AZ82*IF($G$1="鸣金",$AP82,$AN82)+IF($G$1="鸣金",$AQ82*1.5,0))*(1+$BA82)*(1+$BB82)+($BD82*IF($G$1="裂石",$AP82,$AN82)+IF($G$1="裂石",$AQ82*1.5,0))*(1+$BE82)*(1+$BF82)+($BH82*IF($G$1="牵丝",$AP82,$AN82)+IF($G$1="牵丝",$AQ82*1.5,0))*(1+$BI82)*(1+$BJ82)+($BL82*IF($G$1="破竹",$AP82,$AN82)+IF($G$1="破竹",$AQ82*1.5,0))*(1+$BM82)*(1+$BN82))*(1+$AR82)*$BS82*$Q82*(1+IF(VLOOKUP($R82,武学奇术!$A:$ZZ,30,FALSE)="蓄力技",$B$21,0))*(1+IF(VLOOKUP($R82,武学奇术!$A:$ZZ,30,FALSE)="派生技",$B$20,0))*(1+$BW82)*(1+$BX82)</f>
        <v>18873.2072050448</v>
      </c>
      <c r="O82" s="46">
        <f>((($AT82+$AU82)/2*$AN82+$AO82)*(1+$AV82)*(1+$AW82)+(($AY82+$AZ82)/2*IF($G$1="鸣金",$AP82,$AN82)+IF($G$1="鸣金",$AQ82*1.5,0))*(1+$BA82)*(1+$BB82)+(($BC82+$BD82)/2*IF($G$1="裂石",$AP82,$AN82)+IF($G$1="裂石",$AQ82*1.5,0))*(1+$BE82)*(1+$BF82)+(($BG82+$BH82)/2*IF($G$1="牵丝",$AP82,$AN82)+IF($G$1="牵丝",$AQ82*1.5,0))*(1+$BI82)*(1+$BJ82)+(($BK82+$BL82)/2*IF($G$1="破竹",$AP82,$AN82)+IF($G$1="破竹",$AQ82*1.5,0))*(1+$BM82)*(1+$BN82))*(1+$AR82)*$Q82*(1+IF(VLOOKUP($R82,武学奇术!$A:$ZZ,30,FALSE)="蓄力技",$B$21,0))*(1+IF(VLOOKUP($R82,武学奇术!$A:$ZZ,30,FALSE)="派生技",$B$20,0))*(1+$BW82)*(1+$BX82)</f>
        <v>12312.5903262478</v>
      </c>
      <c r="P82" s="46">
        <f>((($AT82*$AN82+$AO82)*(1+$AV82)*(1+$AW82)+($AY82*IF($G$1="鸣金",$AP82,$AN82)+IF($G$1="鸣金",$AQ82*1.5,0))*(1+$BA82)*(1+$BB82)+($BC82*IF($G$1="裂石",$AP82,$AN82)+IF($G$1="裂石",$AQ82*1.5,0))*(1+$BE82)*(1+$BF82)+($BG82*IF($G$1="牵丝",$AP82,$AN82)+IF($G$1="牵丝",$AQ82*1.5,0))*(1+$BI82)*(1+$BJ82)+($BK82*IF($G$1="破竹",$AP82,$AN82)+IF($G$1="破竹",$AQ82*1.5,0))*(1+$BM82)*(1+$BN82))*(1+$AR82))*$Q82*(1+IF(VLOOKUP($R82,武学奇术!$A:$ZZ,30,FALSE)="蓄力技",$B$21,0))*(1+IF(VLOOKUP($R82,武学奇术!$A:$ZZ,30,FALSE)="派生技",$B$20,0))*(1+$BW82)*(1+$BX82)</f>
        <v>10645.0271672772</v>
      </c>
      <c r="Q82" s="47">
        <f t="shared" si="41"/>
        <v>1</v>
      </c>
      <c r="R82" s="48" t="s">
        <v>140</v>
      </c>
      <c r="S82" s="48" t="s">
        <v>99</v>
      </c>
      <c r="T82" s="48" t="s">
        <v>182</v>
      </c>
      <c r="U82" s="48" t="s">
        <v>79</v>
      </c>
      <c r="V82" s="48" t="s">
        <v>90</v>
      </c>
      <c r="W82" s="48" t="s">
        <v>141</v>
      </c>
      <c r="X82" s="48" t="s">
        <v>80</v>
      </c>
      <c r="Y82" s="48" t="s">
        <v>74</v>
      </c>
      <c r="Z82" s="48" t="s">
        <v>80</v>
      </c>
      <c r="AA82" s="48" t="s">
        <v>80</v>
      </c>
      <c r="AB82" s="48" t="s">
        <v>80</v>
      </c>
      <c r="AC82" s="48" t="s">
        <v>80</v>
      </c>
      <c r="AD82" s="48" t="s">
        <v>80</v>
      </c>
      <c r="AE82" s="48" t="s">
        <v>82</v>
      </c>
      <c r="AF82" s="48" t="s">
        <v>83</v>
      </c>
      <c r="AG82" s="48" t="s">
        <v>84</v>
      </c>
      <c r="AH82" s="48" t="s">
        <v>80</v>
      </c>
      <c r="AI82" s="48" t="s">
        <v>80</v>
      </c>
      <c r="AJ82" s="48" t="s">
        <v>80</v>
      </c>
      <c r="AK82" s="48" t="s">
        <v>80</v>
      </c>
      <c r="AL82" s="48" t="s">
        <v>85</v>
      </c>
      <c r="AM82" t="str">
        <f>VLOOKUP($R82,武学奇术!$A:$ZZ,25,FALSE)</f>
        <v>陌刀</v>
      </c>
      <c r="AN82" s="33">
        <f>VLOOKUP($R82,武学奇术!$A:$ZZ,26,FALSE)</f>
        <v>0.525</v>
      </c>
      <c r="AO82" s="34">
        <f>VLOOKUP($R82,武学奇术!$A:$ZZ,27,FALSE)*(1+IF(OR($AM82=$F$4,$AM82=$F$5),$B$22,0))</f>
        <v>0</v>
      </c>
      <c r="AP82" s="33">
        <f>VLOOKUP($R82,武学奇术!$A:$ZZ,28,FALSE)</f>
        <v>0.7875</v>
      </c>
      <c r="AQ82" s="34">
        <f>VLOOKUP($R82,武学奇术!$A:$ZZ,29,FALSE)*(1+IF(OR($AM82=$F$4,$AM82=$F$5),$B$22,0))</f>
        <v>0</v>
      </c>
      <c r="AR82" s="33" cm="1">
        <f t="array" ref="AR82">$G$3+IFERROR(VLOOKUP($AM82,$F$4:$G$7,2,FALSE),0)+VLOOKUP($R82,武学奇术!$A:$ZZ,2,FALSE)+SUM(_xlfn.XLOOKUP($S82:$AL82,增益!$A:$A,增益!$B:$B,0))</f>
        <v>0.6943</v>
      </c>
      <c r="AS82" s="33" cm="1">
        <f t="array" ref="AS82">VLOOKUP($R82,武学奇术!$A:$ZZ,5,FALSE)+SUM(_xlfn.XLOOKUP($S82:$AL82,增益!$A:$A,增益!$E:$E,0))</f>
        <v>0</v>
      </c>
      <c r="AT82" cm="1">
        <f t="array" ref="AT82">$D$10*(1+$AS82)+VLOOKUP($R82,武学奇术!$A:$ZZ,3,FALSE)+SUM(_xlfn.XLOOKUP($S82:$AL82,增益!$A:$A,增益!$C:$C,0))-$I$2</f>
        <v>4094.7</v>
      </c>
      <c r="AU82" cm="1">
        <f t="array" ref="AU82">$E$10*(1+$AS82)+VLOOKUP($R82,武学奇术!$A:$ZZ,4,FALSE)+SUM(_xlfn.XLOOKUP($S82:$AL82,增益!$A:$A,增益!$D:$D,0))-$I$2</f>
        <v>4094.7</v>
      </c>
      <c r="AV82" s="40" cm="1">
        <f t="array" ref="AV82">IF($F$10-$I$3+VLOOKUP($R82,武学奇术!$A:$ZZ,6,FALSE)+SUM(_xlfn.XLOOKUP($S82:$AL82,增益!$A:$A,增益!$F:$F,0))&gt;0,($F$10-$I$3+VLOOKUP($R82,武学奇术!$A:$ZZ,6,FALSE)+SUM(_xlfn.XLOOKUP($S82:$AL82,增益!$A:$A,增益!$F:$F,0)))/200,($F$10-$I$3+VLOOKUP($R82,武学奇术!$A:$ZZ,6,FALSE)+SUM(_xlfn.XLOOKUP($S82:$AL82,增益!$A:$A,增益!$F:$F,0)))/100)</f>
        <v>0.4384</v>
      </c>
      <c r="AW82" s="40" cm="1">
        <f t="array" ref="AW82">$G$10+VLOOKUP($R82,武学奇术!$A:$ZZ,7,FALSE)+SUM(_xlfn.XLOOKUP($S82:$AL82,增益!$A:$A,增益!$G:$G,0))</f>
        <v>0.14</v>
      </c>
      <c r="AX82" s="33" cm="1">
        <f t="array" ref="AX82">VLOOKUP($R82,武学奇术!$A:$ZZ,8,FALSE)+SUM(_xlfn.XLOOKUP($S82:$AL82,增益!$A:$A,增益!$H:$H,0))</f>
        <v>0</v>
      </c>
      <c r="AY82">
        <f t="shared" si="29"/>
        <v>0</v>
      </c>
      <c r="AZ82">
        <f t="shared" si="30"/>
        <v>0</v>
      </c>
      <c r="BA82" s="40" cm="1">
        <f t="array" ref="BA82">IF($F$11-$I$4+VLOOKUP($R82,武学奇术!$A:$ZZ,9,FALSE)+SUM(_xlfn.XLOOKUP($S82:$AL82,增益!$A:$A,增益!$I:$I,0))&gt;0,($F$11-$I$4+VLOOKUP($R82,武学奇术!$A:$ZZ,9,FALSE)+SUM(_xlfn.XLOOKUP($S82:$AL82,增益!$A:$A,增益!$I:$I,0)))/200,($F$11-$I$4+VLOOKUP($R82,武学奇术!$A:$ZZ,9,FALSE)+SUM(_xlfn.XLOOKUP($S82:$AL82,增益!$A:$A,增益!$I:$I,0)))/100)</f>
        <v>-0.14</v>
      </c>
      <c r="BB82" s="40" cm="1">
        <f t="array" ref="BB82">$G$11+VLOOKUP($R82,武学奇术!$A:$ZZ,10,FALSE)+SUM(_xlfn.XLOOKUP($S82:$AL82,增益!$A:$A,增益!$J:$J,0))</f>
        <v>0.02</v>
      </c>
      <c r="BC82">
        <f t="shared" si="31"/>
        <v>640.3</v>
      </c>
      <c r="BD82">
        <f t="shared" si="32"/>
        <v>1770.1</v>
      </c>
      <c r="BE82" s="40" cm="1">
        <f t="array" ref="BE82">IF($F$12-$I$4+VLOOKUP($R82,武学奇术!$A:$ZZ,11,FALSE)+SUM(_xlfn.XLOOKUP($S82:$AL82,增益!$A:$A,增益!$K:$K,0))&gt;0,($F$12-$I$4+VLOOKUP($R82,武学奇术!$A:$ZZ,11,FALSE)+SUM(_xlfn.XLOOKUP($S82:$AL82,增益!$A:$A,增益!$K:$K,0)))/200,($F$12-$I$4+VLOOKUP($R82,武学奇术!$A:$ZZ,11,FALSE)+SUM(_xlfn.XLOOKUP($S82:$AL82,增益!$A:$A,增益!$K:$K,0)))/100)</f>
        <v>0.17</v>
      </c>
      <c r="BF82" s="40" cm="1">
        <f t="array" ref="BF82">$G$12+VLOOKUP($R82,武学奇术!$A:$ZZ,12,FALSE)+SUM(_xlfn.XLOOKUP($S82:$AL82,增益!$A:$A,增益!$L:$L,0))</f>
        <v>0.29</v>
      </c>
      <c r="BG82">
        <f t="shared" si="33"/>
        <v>0</v>
      </c>
      <c r="BH82">
        <f t="shared" si="34"/>
        <v>0</v>
      </c>
      <c r="BI82" s="40" cm="1">
        <f t="array" ref="BI82">IF($F$13-$I$4+VLOOKUP($R82,武学奇术!$A:$ZZ,13,FALSE)+SUM(_xlfn.XLOOKUP($S82:$AL82,增益!$A:$A,增益!$M:$M,0))&gt;0,($F$13-$I$4+VLOOKUP($R82,武学奇术!$A:$ZZ,13,FALSE)+SUM(_xlfn.XLOOKUP($S82:$AL82,增益!$A:$A,增益!$K:$K,0)))/200,($F$13-$I$4+VLOOKUP($R82,武学奇术!$A:$ZZ,13,FALSE)+SUM(_xlfn.XLOOKUP($S82:$AL82,增益!$A:$A,增益!$M:$M,0)))/100)</f>
        <v>-0.14</v>
      </c>
      <c r="BJ82" s="40" cm="1">
        <f t="array" ref="BJ82">$G$13+VLOOKUP($R82,武学奇术!$A:$ZZ,14,FALSE)+SUM(_xlfn.XLOOKUP($S82:$AL82,增益!$A:$A,增益!$N:$N,0))</f>
        <v>0.02</v>
      </c>
      <c r="BK82">
        <f t="shared" si="35"/>
        <v>0</v>
      </c>
      <c r="BL82">
        <f t="shared" si="36"/>
        <v>0</v>
      </c>
      <c r="BM82" s="40" cm="1">
        <f t="array" ref="BM82">IF($F$14-$I$4+VLOOKUP($R82,武学奇术!$A:$ZZ,15,FALSE)+SUM(_xlfn.XLOOKUP($S82:$AL82,增益!$A:$A,增益!$O:$O,0))&gt;0,($F$14-$I$4+VLOOKUP($R82,武学奇术!$A:$ZZ,15,FALSE)+SUM(_xlfn.XLOOKUP($S82:$AL82,增益!$A:$A,增益!$O:$O,0)))/200,($F$14-$I$4+VLOOKUP($R82,武学奇术!$A:$ZZ,15,FALSE)+SUM(_xlfn.XLOOKUP($S82:$AL82,增益!$A:$A,增益!$O:$O,0)))/100)</f>
        <v>-0.14</v>
      </c>
      <c r="BN82" s="40" cm="1">
        <f t="array" ref="BN82">$G$14+VLOOKUP($R82,武学奇术!$A:$ZZ,16,FALSE)+SUM(_xlfn.XLOOKUP($S82:$AL82,增益!$A:$A,增益!$P:$P,0))</f>
        <v>0.02</v>
      </c>
      <c r="BO82" s="33">
        <f>MIN(IF(VLOOKUP($R82,武学奇术!$A:$ZZ,23,FALSE)=1,100%,$B$8),100%)</f>
        <v>0.9771</v>
      </c>
      <c r="BP82" s="33" cm="1">
        <f t="array" ref="BP82">IF(VLOOKUP($R82,武学奇术!$A:$ZZ,23,FALSE)=1,100%,MIN(80%,$B$9+VLOOKUP($R82,武学奇术!$A:$ZZ,17,FALSE)+SUM(_xlfn.XLOOKUP($S82:$AL82,增益!$A:$A,增益!$Q:$Q,0)))+$B$11+SUM(_xlfn.XLOOKUP($S82:$AL82,增益!$A:$A,增益!$U:$U,0)))*IF(VLOOKUP($R82,武学奇术!$A:$ZZ,24,FALSE)=1,0,1)</f>
        <v>0.8861</v>
      </c>
      <c r="BQ82" s="33" cm="1">
        <f t="array" ref="BQ82">1+$B$13+VLOOKUP($R82,武学奇术!$A:$ZZ,18,FALSE)+SUM(_xlfn.XLOOKUP($S82:$AL82,增益!$A:$A,增益!$R:$R,0))</f>
        <v>2</v>
      </c>
      <c r="BR82" s="33" cm="1">
        <f t="array" ref="BR82">IF(VLOOKUP($R82,武学奇术!$A:$ZZ,24,FALSE)=1,100%,MIN(40%,$B$10+VLOOKUP($R82,武学奇术!$A:$ZZ,19,FALSE)+SUM(_xlfn.XLOOKUP($S82:$AL82,增益!$A:$A,增益!$S:$S,0)))+$B$12+SUM(_xlfn.XLOOKUP($S82:$AL82,增益!$A:$A,增益!$V:$V,0)))*IF(VLOOKUP($R82,武学奇术!$A:$ZZ,23,FALSE)=1,0,1)</f>
        <v>0.0913</v>
      </c>
      <c r="BS82" s="33" cm="1">
        <f t="array" ref="BS82">1+$B$14+VLOOKUP($R82,武学奇术!$A:$ZZ,20,FALSE)+SUM(_xlfn.XLOOKUP($S82:$AL82,增益!$A:$A,增益!$T:$T,0))</f>
        <v>1.35</v>
      </c>
      <c r="BT82" s="33">
        <f t="shared" si="37"/>
        <v>0.86580831</v>
      </c>
      <c r="BU82" s="33">
        <f t="shared" si="38"/>
        <v>0.02208246</v>
      </c>
      <c r="BV82" s="33">
        <f>IF(VLOOKUP($R82,武学奇术!$A:$ZZ,22,FALSE)=1,0,(1-$BO82))*(1-$BR82)</f>
        <v>0.02080923</v>
      </c>
      <c r="BW82" s="33" cm="1">
        <f t="array" ref="BW82">SUM(_xlfn.XLOOKUP($S82:$AL82,增益!$A:$A,增益!$W:$W,0))+$I$5</f>
        <v>0.11</v>
      </c>
      <c r="BX82" s="33" cm="1">
        <f t="array" ref="BX82">VLOOKUP($R82,武学奇术!$A:$ZZ,32,FALSE)+SUM(_xlfn.XLOOKUP($S82:$AL82,增益!$A:$A,增益!$X:$X,0))</f>
        <v>0</v>
      </c>
    </row>
    <row r="83" spans="1:76">
      <c r="L83" s="46">
        <f t="shared" si="40"/>
        <v>46541.5914332166</v>
      </c>
      <c r="M83" s="46">
        <f>((($AT83+$AU83)/2*$AN83+$AO83)*(1+$AV83)*(1+$AW83)+(($AY83+$AZ83)/2*IF($G$1="鸣金",$AP83,$AN83)+IF($G$1="鸣金",$AQ83*1.5,0))*(1+$BA83)*(1+$BB83)+(($BC83+$BD83)/2*IF($G$1="裂石",$AP83,$AN83)+IF($G$1="裂石",$AQ83*1.5,0))*(1+$BE83)*(1+$BF83)+(($BG83+$BH83)/2*IF($G$1="牵丝",$AP83,$AN83)+IF($G$1="牵丝",$AQ83*1.5,0))*(1+$BI83)*(1+$BJ83)+(($BK83+$BL83)/2*IF($G$1="破竹",$AP83,$AN83)+IF($G$1="破竹",$AQ83*1.5,0))*(1+$BM83)*(1+$BN83))*(1+$AR83)*$BQ83*$Q83*(1+IF(VLOOKUP($R83,武学奇术!$A:$ZZ,30,FALSE)="蓄力技",$B$21,0))*(1+IF(VLOOKUP($R83,武学奇术!$A:$ZZ,30,FALSE)="派生技",$B$20,0))*(1+$BW83)*(1+$BX83)</f>
        <v>46541.5914332166</v>
      </c>
      <c r="N83" s="46">
        <f>(($AU83*$AN83+$AO83)*(1+$AV83)*(1+$AW83)+($AZ83*IF($G$1="鸣金",$AP83,$AN83)+IF($G$1="鸣金",$AQ83*1.5,0))*(1+$BA83)*(1+$BB83)+($BD83*IF($G$1="裂石",$AP83,$AN83)+IF($G$1="裂石",$AQ83*1.5,0))*(1+$BE83)*(1+$BF83)+($BH83*IF($G$1="牵丝",$AP83,$AN83)+IF($G$1="牵丝",$AQ83*1.5,0))*(1+$BI83)*(1+$BJ83)+($BL83*IF($G$1="破竹",$AP83,$AN83)+IF($G$1="破竹",$AQ83*1.5,0))*(1+$BM83)*(1+$BN83))*(1+$AR83)*$BS83*$Q83*(1+IF(VLOOKUP($R83,武学奇术!$A:$ZZ,30,FALSE)="蓄力技",$B$21,0))*(1+IF(VLOOKUP($R83,武学奇术!$A:$ZZ,30,FALSE)="派生技",$B$20,0))*(1+$BW83)*(1+$BX83)</f>
        <v>33971.7729690806</v>
      </c>
      <c r="O83" s="46">
        <f>((($AT83+$AU83)/2*$AN83+$AO83)*(1+$AV83)*(1+$AW83)+(($AY83+$AZ83)/2*IF($G$1="鸣金",$AP83,$AN83)+IF($G$1="鸣金",$AQ83*1.5,0))*(1+$BA83)*(1+$BB83)+(($BC83+$BD83)/2*IF($G$1="裂石",$AP83,$AN83)+IF($G$1="裂石",$AQ83*1.5,0))*(1+$BE83)*(1+$BF83)+(($BG83+$BH83)/2*IF($G$1="牵丝",$AP83,$AN83)+IF($G$1="牵丝",$AQ83*1.5,0))*(1+$BI83)*(1+$BJ83)+(($BK83+$BL83)/2*IF($G$1="破竹",$AP83,$AN83)+IF($G$1="破竹",$AQ83*1.5,0))*(1+$BM83)*(1+$BN83))*(1+$AR83)*$Q83*(1+IF(VLOOKUP($R83,武学奇术!$A:$ZZ,30,FALSE)="蓄力技",$B$21,0))*(1+IF(VLOOKUP($R83,武学奇术!$A:$ZZ,30,FALSE)="派生技",$B$20,0))*(1+$BW83)*(1+$BX83)</f>
        <v>22162.662587246</v>
      </c>
      <c r="P83" s="46">
        <f>((($AT83*$AN83+$AO83)*(1+$AV83)*(1+$AW83)+($AY83*IF($G$1="鸣金",$AP83,$AN83)+IF($G$1="鸣金",$AQ83*1.5,0))*(1+$BA83)*(1+$BB83)+($BC83*IF($G$1="裂石",$AP83,$AN83)+IF($G$1="裂石",$AQ83*1.5,0))*(1+$BE83)*(1+$BF83)+($BG83*IF($G$1="牵丝",$AP83,$AN83)+IF($G$1="牵丝",$AQ83*1.5,0))*(1+$BI83)*(1+$BJ83)+($BK83*IF($G$1="破竹",$AP83,$AN83)+IF($G$1="破竹",$AQ83*1.5,0))*(1+$BM83)*(1+$BN83))*(1+$AR83))*$Q83*(1+IF(VLOOKUP($R83,武学奇术!$A:$ZZ,30,FALSE)="蓄力技",$B$21,0))*(1+IF(VLOOKUP($R83,武学奇术!$A:$ZZ,30,FALSE)="派生技",$B$20,0))*(1+$BW83)*(1+$BX83)</f>
        <v>19161.0489010989</v>
      </c>
      <c r="Q83" s="47">
        <f t="shared" si="41"/>
        <v>1</v>
      </c>
      <c r="R83" s="48" t="s">
        <v>144</v>
      </c>
      <c r="S83" s="48" t="s">
        <v>99</v>
      </c>
      <c r="T83" s="48" t="s">
        <v>182</v>
      </c>
      <c r="U83" s="48" t="s">
        <v>79</v>
      </c>
      <c r="V83" s="48" t="s">
        <v>90</v>
      </c>
      <c r="W83" s="48" t="s">
        <v>141</v>
      </c>
      <c r="X83" s="48" t="s">
        <v>145</v>
      </c>
      <c r="Y83" s="48" t="s">
        <v>74</v>
      </c>
      <c r="Z83" s="48" t="s">
        <v>80</v>
      </c>
      <c r="AA83" s="48" t="s">
        <v>80</v>
      </c>
      <c r="AB83" s="48" t="s">
        <v>80</v>
      </c>
      <c r="AC83" s="48" t="s">
        <v>80</v>
      </c>
      <c r="AD83" s="48" t="s">
        <v>80</v>
      </c>
      <c r="AE83" s="48" t="s">
        <v>82</v>
      </c>
      <c r="AF83" s="48" t="s">
        <v>83</v>
      </c>
      <c r="AG83" s="48" t="s">
        <v>84</v>
      </c>
      <c r="AH83" s="48" t="s">
        <v>80</v>
      </c>
      <c r="AI83" s="48" t="s">
        <v>80</v>
      </c>
      <c r="AJ83" s="48" t="s">
        <v>80</v>
      </c>
      <c r="AK83" s="48" t="s">
        <v>80</v>
      </c>
      <c r="AL83" s="48" t="s">
        <v>85</v>
      </c>
      <c r="AM83" t="str">
        <f>VLOOKUP($R83,武学奇术!$A:$ZZ,25,FALSE)</f>
        <v>陌刀</v>
      </c>
      <c r="AN83" s="33">
        <f>VLOOKUP($R83,武学奇术!$A:$ZZ,26,FALSE)</f>
        <v>0.945</v>
      </c>
      <c r="AO83" s="34">
        <f>VLOOKUP($R83,武学奇术!$A:$ZZ,27,FALSE)*(1+IF(OR($AM83=$F$4,$AM83=$F$5),$B$22,0))</f>
        <v>0</v>
      </c>
      <c r="AP83" s="33">
        <f>VLOOKUP($R83,武学奇术!$A:$ZZ,28,FALSE)</f>
        <v>1.4175</v>
      </c>
      <c r="AQ83" s="34">
        <f>VLOOKUP($R83,武学奇术!$A:$ZZ,29,FALSE)*(1+IF(OR($AM83=$F$4,$AM83=$F$5),$B$22,0))</f>
        <v>0</v>
      </c>
      <c r="AR83" s="33" cm="1">
        <f t="array" ref="AR83">$G$3+IFERROR(VLOOKUP($AM83,$F$4:$G$7,2,FALSE),0)+VLOOKUP($R83,武学奇术!$A:$ZZ,2,FALSE)+SUM(_xlfn.XLOOKUP($S83:$AL83,增益!$A:$A,增益!$B:$B,0))</f>
        <v>0.6943</v>
      </c>
      <c r="AS83" s="33" cm="1">
        <f t="array" ref="AS83">VLOOKUP($R83,武学奇术!$A:$ZZ,5,FALSE)+SUM(_xlfn.XLOOKUP($S83:$AL83,增益!$A:$A,增益!$E:$E,0))</f>
        <v>0</v>
      </c>
      <c r="AT83" cm="1">
        <f t="array" ref="AT83">$D$10*(1+$AS83)+VLOOKUP($R83,武学奇术!$A:$ZZ,3,FALSE)+SUM(_xlfn.XLOOKUP($S83:$AL83,增益!$A:$A,增益!$C:$C,0))-$I$2</f>
        <v>4094.7</v>
      </c>
      <c r="AU83" cm="1">
        <f t="array" ref="AU83">$E$10*(1+$AS83)+VLOOKUP($R83,武学奇术!$A:$ZZ,4,FALSE)+SUM(_xlfn.XLOOKUP($S83:$AL83,增益!$A:$A,增益!$D:$D,0))-$I$2</f>
        <v>4094.7</v>
      </c>
      <c r="AV83" s="40" cm="1">
        <f t="array" ref="AV83">IF($F$10-$I$3+VLOOKUP($R83,武学奇术!$A:$ZZ,6,FALSE)+SUM(_xlfn.XLOOKUP($S83:$AL83,增益!$A:$A,增益!$F:$F,0))&gt;0,($F$10-$I$3+VLOOKUP($R83,武学奇术!$A:$ZZ,6,FALSE)+SUM(_xlfn.XLOOKUP($S83:$AL83,增益!$A:$A,增益!$F:$F,0)))/200,($F$10-$I$3+VLOOKUP($R83,武学奇术!$A:$ZZ,6,FALSE)+SUM(_xlfn.XLOOKUP($S83:$AL83,增益!$A:$A,增益!$F:$F,0)))/100)</f>
        <v>0.4384</v>
      </c>
      <c r="AW83" s="40" cm="1">
        <f t="array" ref="AW83">$G$10+VLOOKUP($R83,武学奇术!$A:$ZZ,7,FALSE)+SUM(_xlfn.XLOOKUP($S83:$AL83,增益!$A:$A,增益!$G:$G,0))</f>
        <v>0.14</v>
      </c>
      <c r="AX83" s="33" cm="1">
        <f t="array" ref="AX83">VLOOKUP($R83,武学奇术!$A:$ZZ,8,FALSE)+SUM(_xlfn.XLOOKUP($S83:$AL83,增益!$A:$A,增益!$H:$H,0))</f>
        <v>0</v>
      </c>
      <c r="AY83">
        <f t="shared" si="29"/>
        <v>0</v>
      </c>
      <c r="AZ83">
        <f t="shared" si="30"/>
        <v>0</v>
      </c>
      <c r="BA83" s="40" cm="1">
        <f t="array" ref="BA83">IF($F$11-$I$4+VLOOKUP($R83,武学奇术!$A:$ZZ,9,FALSE)+SUM(_xlfn.XLOOKUP($S83:$AL83,增益!$A:$A,增益!$I:$I,0))&gt;0,($F$11-$I$4+VLOOKUP($R83,武学奇术!$A:$ZZ,9,FALSE)+SUM(_xlfn.XLOOKUP($S83:$AL83,增益!$A:$A,增益!$I:$I,0)))/200,($F$11-$I$4+VLOOKUP($R83,武学奇术!$A:$ZZ,9,FALSE)+SUM(_xlfn.XLOOKUP($S83:$AL83,增益!$A:$A,增益!$I:$I,0)))/100)</f>
        <v>-0.14</v>
      </c>
      <c r="BB83" s="40" cm="1">
        <f t="array" ref="BB83">$G$11+VLOOKUP($R83,武学奇术!$A:$ZZ,10,FALSE)+SUM(_xlfn.XLOOKUP($S83:$AL83,增益!$A:$A,增益!$J:$J,0))</f>
        <v>0.02</v>
      </c>
      <c r="BC83">
        <f t="shared" si="31"/>
        <v>640.3</v>
      </c>
      <c r="BD83">
        <f t="shared" si="32"/>
        <v>1770.1</v>
      </c>
      <c r="BE83" s="40" cm="1">
        <f t="array" ref="BE83">IF($F$12-$I$4+VLOOKUP($R83,武学奇术!$A:$ZZ,11,FALSE)+SUM(_xlfn.XLOOKUP($S83:$AL83,增益!$A:$A,增益!$K:$K,0))&gt;0,($F$12-$I$4+VLOOKUP($R83,武学奇术!$A:$ZZ,11,FALSE)+SUM(_xlfn.XLOOKUP($S83:$AL83,增益!$A:$A,增益!$K:$K,0)))/200,($F$12-$I$4+VLOOKUP($R83,武学奇术!$A:$ZZ,11,FALSE)+SUM(_xlfn.XLOOKUP($S83:$AL83,增益!$A:$A,增益!$K:$K,0)))/100)</f>
        <v>0.17</v>
      </c>
      <c r="BF83" s="40" cm="1">
        <f t="array" ref="BF83">$G$12+VLOOKUP($R83,武学奇术!$A:$ZZ,12,FALSE)+SUM(_xlfn.XLOOKUP($S83:$AL83,增益!$A:$A,增益!$L:$L,0))</f>
        <v>0.29</v>
      </c>
      <c r="BG83">
        <f t="shared" si="33"/>
        <v>0</v>
      </c>
      <c r="BH83">
        <f t="shared" si="34"/>
        <v>0</v>
      </c>
      <c r="BI83" s="40" cm="1">
        <f t="array" ref="BI83">IF($F$13-$I$4+VLOOKUP($R83,武学奇术!$A:$ZZ,13,FALSE)+SUM(_xlfn.XLOOKUP($S83:$AL83,增益!$A:$A,增益!$M:$M,0))&gt;0,($F$13-$I$4+VLOOKUP($R83,武学奇术!$A:$ZZ,13,FALSE)+SUM(_xlfn.XLOOKUP($S83:$AL83,增益!$A:$A,增益!$K:$K,0)))/200,($F$13-$I$4+VLOOKUP($R83,武学奇术!$A:$ZZ,13,FALSE)+SUM(_xlfn.XLOOKUP($S83:$AL83,增益!$A:$A,增益!$M:$M,0)))/100)</f>
        <v>-0.14</v>
      </c>
      <c r="BJ83" s="40" cm="1">
        <f t="array" ref="BJ83">$G$13+VLOOKUP($R83,武学奇术!$A:$ZZ,14,FALSE)+SUM(_xlfn.XLOOKUP($S83:$AL83,增益!$A:$A,增益!$N:$N,0))</f>
        <v>0.02</v>
      </c>
      <c r="BK83">
        <f t="shared" si="35"/>
        <v>0</v>
      </c>
      <c r="BL83">
        <f t="shared" si="36"/>
        <v>0</v>
      </c>
      <c r="BM83" s="40" cm="1">
        <f t="array" ref="BM83">IF($F$14-$I$4+VLOOKUP($R83,武学奇术!$A:$ZZ,15,FALSE)+SUM(_xlfn.XLOOKUP($S83:$AL83,增益!$A:$A,增益!$O:$O,0))&gt;0,($F$14-$I$4+VLOOKUP($R83,武学奇术!$A:$ZZ,15,FALSE)+SUM(_xlfn.XLOOKUP($S83:$AL83,增益!$A:$A,增益!$O:$O,0)))/200,($F$14-$I$4+VLOOKUP($R83,武学奇术!$A:$ZZ,15,FALSE)+SUM(_xlfn.XLOOKUP($S83:$AL83,增益!$A:$A,增益!$O:$O,0)))/100)</f>
        <v>-0.14</v>
      </c>
      <c r="BN83" s="40" cm="1">
        <f t="array" ref="BN83">$G$14+VLOOKUP($R83,武学奇术!$A:$ZZ,16,FALSE)+SUM(_xlfn.XLOOKUP($S83:$AL83,增益!$A:$A,增益!$P:$P,0))</f>
        <v>0.02</v>
      </c>
      <c r="BO83" s="33">
        <f>MIN(IF(VLOOKUP($R83,武学奇术!$A:$ZZ,23,FALSE)=1,100%,$B$8),100%)</f>
        <v>1</v>
      </c>
      <c r="BP83" s="33" cm="1">
        <f t="array" ref="BP83">IF(VLOOKUP($R83,武学奇术!$A:$ZZ,23,FALSE)=1,100%,MIN(80%,$B$9+VLOOKUP($R83,武学奇术!$A:$ZZ,17,FALSE)+SUM(_xlfn.XLOOKUP($S83:$AL83,增益!$A:$A,增益!$Q:$Q,0)))+$B$11+SUM(_xlfn.XLOOKUP($S83:$AL83,增益!$A:$A,增益!$U:$U,0)))*IF(VLOOKUP($R83,武学奇术!$A:$ZZ,24,FALSE)=1,0,1)</f>
        <v>1</v>
      </c>
      <c r="BQ83" s="33" cm="1">
        <f t="array" ref="BQ83">1+$B$13+VLOOKUP($R83,武学奇术!$A:$ZZ,18,FALSE)+SUM(_xlfn.XLOOKUP($S83:$AL83,增益!$A:$A,增益!$R:$R,0))</f>
        <v>2.1</v>
      </c>
      <c r="BR83" s="33" cm="1">
        <f t="array" ref="BR83">IF(VLOOKUP($R83,武学奇术!$A:$ZZ,24,FALSE)=1,100%,MIN(40%,$B$10+VLOOKUP($R83,武学奇术!$A:$ZZ,19,FALSE)+SUM(_xlfn.XLOOKUP($S83:$AL83,增益!$A:$A,增益!$S:$S,0)))+$B$12+SUM(_xlfn.XLOOKUP($S83:$AL83,增益!$A:$A,增益!$V:$V,0)))*IF(VLOOKUP($R83,武学奇术!$A:$ZZ,23,FALSE)=1,0,1)</f>
        <v>0</v>
      </c>
      <c r="BS83" s="33" cm="1">
        <f t="array" ref="BS83">1+$B$14+VLOOKUP($R83,武学奇术!$A:$ZZ,20,FALSE)+SUM(_xlfn.XLOOKUP($S83:$AL83,增益!$A:$A,增益!$T:$T,0))</f>
        <v>1.35</v>
      </c>
      <c r="BT83" s="33">
        <f t="shared" si="37"/>
        <v>1</v>
      </c>
      <c r="BU83" s="33">
        <f t="shared" si="38"/>
        <v>0</v>
      </c>
      <c r="BV83" s="33">
        <f>IF(VLOOKUP($R83,武学奇术!$A:$ZZ,22,FALSE)=1,0,(1-$BO83))*(1-$BR83)</f>
        <v>0</v>
      </c>
      <c r="BW83" s="33" cm="1">
        <f t="array" ref="BW83">SUM(_xlfn.XLOOKUP($S83:$AL83,增益!$A:$A,增益!$W:$W,0))+$I$5</f>
        <v>0.11</v>
      </c>
      <c r="BX83" s="33" cm="1">
        <f t="array" ref="BX83">VLOOKUP($R83,武学奇术!$A:$ZZ,32,FALSE)+SUM(_xlfn.XLOOKUP($S83:$AL83,增益!$A:$A,增益!$X:$X,0))</f>
        <v>0</v>
      </c>
    </row>
    <row r="84" spans="1:76">
      <c r="L84" s="46">
        <f t="shared" si="40"/>
        <v>422875.948733113</v>
      </c>
      <c r="M84" s="46">
        <f>((($AT84+$AU84)/2*$AN84+$AO84)*(1+$AV84)*(1+$AW84)+(($AY84+$AZ84)/2*IF($G$1="鸣金",$AP84,$AN84)+IF($G$1="鸣金",$AQ84*1.5,0))*(1+$BA84)*(1+$BB84)+(($BC84+$BD84)/2*IF($G$1="裂石",$AP84,$AN84)+IF($G$1="裂石",$AQ84*1.5,0))*(1+$BE84)*(1+$BF84)+(($BG84+$BH84)/2*IF($G$1="牵丝",$AP84,$AN84)+IF($G$1="牵丝",$AQ84*1.5,0))*(1+$BI84)*(1+$BJ84)+(($BK84+$BL84)/2*IF($G$1="破竹",$AP84,$AN84)+IF($G$1="破竹",$AQ84*1.5,0))*(1+$BM84)*(1+$BN84))*(1+$AR84)*$BQ84*$Q84*(1+IF(VLOOKUP($R84,武学奇术!$A:$ZZ,30,FALSE)="蓄力技",$B$21,0))*(1+IF(VLOOKUP($R84,武学奇术!$A:$ZZ,30,FALSE)="派生技",$B$20,0))*(1+$BW84)*(1+$BX84)</f>
        <v>422875.948733113</v>
      </c>
      <c r="N84" s="46">
        <f>(($AU84*$AN84+$AO84)*(1+$AV84)*(1+$AW84)+($AZ84*IF($G$1="鸣金",$AP84,$AN84)+IF($G$1="鸣金",$AQ84*1.5,0))*(1+$BA84)*(1+$BB84)+($BD84*IF($G$1="裂石",$AP84,$AN84)+IF($G$1="裂石",$AQ84*1.5,0))*(1+$BE84)*(1+$BF84)+($BH84*IF($G$1="牵丝",$AP84,$AN84)+IF($G$1="牵丝",$AQ84*1.5,0))*(1+$BI84)*(1+$BJ84)+($BL84*IF($G$1="破竹",$AP84,$AN84)+IF($G$1="破竹",$AQ84*1.5,0))*(1+$BM84)*(1+$BN84))*(1+$AR84)*$BS84*$Q84*(1+IF(VLOOKUP($R84,武学奇术!$A:$ZZ,30,FALSE)="蓄力技",$B$21,0))*(1+IF(VLOOKUP($R84,武学奇术!$A:$ZZ,30,FALSE)="派生技",$B$20,0))*(1+$BW84)*(1+$BX84)</f>
        <v>304298.269208613</v>
      </c>
      <c r="O84" s="46">
        <f>((($AT84+$AU84)/2*$AN84+$AO84)*(1+$AV84)*(1+$AW84)+(($AY84+$AZ84)/2*IF($G$1="鸣金",$AP84,$AN84)+IF($G$1="鸣金",$AQ84*1.5,0))*(1+$BA84)*(1+$BB84)+(($BC84+$BD84)/2*IF($G$1="裂石",$AP84,$AN84)+IF($G$1="裂石",$AQ84*1.5,0))*(1+$BE84)*(1+$BF84)+(($BG84+$BH84)/2*IF($G$1="牵丝",$AP84,$AN84)+IF($G$1="牵丝",$AQ84*1.5,0))*(1+$BI84)*(1+$BJ84)+(($BK84+$BL84)/2*IF($G$1="破竹",$AP84,$AN84)+IF($G$1="破竹",$AQ84*1.5,0))*(1+$BM84)*(1+$BN84))*(1+$AR84)*$Q84*(1+IF(VLOOKUP($R84,武学奇术!$A:$ZZ,30,FALSE)="蓄力技",$B$21,0))*(1+IF(VLOOKUP($R84,武学奇术!$A:$ZZ,30,FALSE)="派生技",$B$20,0))*(1+$BW84)*(1+$BX84)</f>
        <v>201369.499396721</v>
      </c>
      <c r="P84" s="46">
        <f>((($AT84*$AN84+$AO84)*(1+$AV84)*(1+$AW84)+($AY84*IF($G$1="鸣金",$AP84,$AN84)+IF($G$1="鸣金",$AQ84*1.5,0))*(1+$BA84)*(1+$BB84)+($BC84*IF($G$1="裂石",$AP84,$AN84)+IF($G$1="裂石",$AQ84*1.5,0))*(1+$BE84)*(1+$BF84)+($BG84*IF($G$1="牵丝",$AP84,$AN84)+IF($G$1="牵丝",$AQ84*1.5,0))*(1+$BI84)*(1+$BJ84)+($BK84*IF($G$1="破竹",$AP84,$AN84)+IF($G$1="破竹",$AQ84*1.5,0))*(1+$BM84)*(1+$BN84))*(1+$AR84))*$Q84*(1+IF(VLOOKUP($R84,武学奇术!$A:$ZZ,30,FALSE)="蓄力技",$B$21,0))*(1+IF(VLOOKUP($R84,武学奇术!$A:$ZZ,30,FALSE)="派生技",$B$20,0))*(1+$BW84)*(1+$BX84)</f>
        <v>177332.873453728</v>
      </c>
      <c r="Q84" s="47">
        <f t="shared" si="41"/>
        <v>1</v>
      </c>
      <c r="R84" s="48" t="s">
        <v>148</v>
      </c>
      <c r="S84" s="48" t="s">
        <v>99</v>
      </c>
      <c r="T84" s="48" t="s">
        <v>182</v>
      </c>
      <c r="U84" s="48" t="s">
        <v>79</v>
      </c>
      <c r="V84" s="48" t="s">
        <v>90</v>
      </c>
      <c r="W84" s="48" t="s">
        <v>141</v>
      </c>
      <c r="X84" s="48" t="s">
        <v>145</v>
      </c>
      <c r="Y84" s="48" t="s">
        <v>74</v>
      </c>
      <c r="Z84" s="48" t="s">
        <v>80</v>
      </c>
      <c r="AA84" s="48" t="s">
        <v>80</v>
      </c>
      <c r="AB84" s="48" t="s">
        <v>80</v>
      </c>
      <c r="AC84" s="48" t="s">
        <v>80</v>
      </c>
      <c r="AD84" s="48" t="s">
        <v>80</v>
      </c>
      <c r="AE84" s="48" t="s">
        <v>82</v>
      </c>
      <c r="AF84" s="48" t="s">
        <v>83</v>
      </c>
      <c r="AG84" s="48" t="s">
        <v>84</v>
      </c>
      <c r="AH84" s="48" t="s">
        <v>80</v>
      </c>
      <c r="AI84" s="48" t="s">
        <v>80</v>
      </c>
      <c r="AJ84" s="48" t="s">
        <v>80</v>
      </c>
      <c r="AK84" s="48" t="s">
        <v>80</v>
      </c>
      <c r="AL84" s="48" t="s">
        <v>85</v>
      </c>
      <c r="AM84" t="str">
        <f>VLOOKUP($R84,武学奇术!$A:$ZZ,25,FALSE)</f>
        <v>陌刀</v>
      </c>
      <c r="AN84" s="33">
        <f>VLOOKUP($R84,武学奇术!$A:$ZZ,26,FALSE)</f>
        <v>7.5674</v>
      </c>
      <c r="AO84" s="34">
        <f>VLOOKUP($R84,武学奇术!$A:$ZZ,27,FALSE)*(1+IF(OR($AM84=$F$4,$AM84=$F$5),$B$22,0))</f>
        <v>3348.8</v>
      </c>
      <c r="AP84" s="33">
        <f>VLOOKUP($R84,武学奇术!$A:$ZZ,28,FALSE)</f>
        <v>11.3512</v>
      </c>
      <c r="AQ84" s="34">
        <f>VLOOKUP($R84,武学奇术!$A:$ZZ,29,FALSE)*(1+IF(OR($AM84=$F$4,$AM84=$F$5),$B$22,0))</f>
        <v>1824</v>
      </c>
      <c r="AR84" s="33" cm="1">
        <f t="array" ref="AR84">$G$3+IFERROR(VLOOKUP($AM84,$F$4:$G$7,2,FALSE),0)+VLOOKUP($R84,武学奇术!$A:$ZZ,2,FALSE)+SUM(_xlfn.XLOOKUP($S84:$AL84,增益!$A:$A,增益!$B:$B,0))</f>
        <v>0.6943</v>
      </c>
      <c r="AS84" s="33" cm="1">
        <f t="array" ref="AS84">VLOOKUP($R84,武学奇术!$A:$ZZ,5,FALSE)+SUM(_xlfn.XLOOKUP($S84:$AL84,增益!$A:$A,增益!$E:$E,0))</f>
        <v>0</v>
      </c>
      <c r="AT84" cm="1">
        <f t="array" ref="AT84">$D$10*(1+$AS84)+VLOOKUP($R84,武学奇术!$A:$ZZ,3,FALSE)+SUM(_xlfn.XLOOKUP($S84:$AL84,增益!$A:$A,增益!$C:$C,0))-$I$2</f>
        <v>4094.7</v>
      </c>
      <c r="AU84" cm="1">
        <f t="array" ref="AU84">$E$10*(1+$AS84)+VLOOKUP($R84,武学奇术!$A:$ZZ,4,FALSE)+SUM(_xlfn.XLOOKUP($S84:$AL84,增益!$A:$A,增益!$D:$D,0))-$I$2</f>
        <v>4094.7</v>
      </c>
      <c r="AV84" s="40" cm="1">
        <f t="array" ref="AV84">IF($F$10-$I$3+VLOOKUP($R84,武学奇术!$A:$ZZ,6,FALSE)+SUM(_xlfn.XLOOKUP($S84:$AL84,增益!$A:$A,增益!$F:$F,0))&gt;0,($F$10-$I$3+VLOOKUP($R84,武学奇术!$A:$ZZ,6,FALSE)+SUM(_xlfn.XLOOKUP($S84:$AL84,增益!$A:$A,增益!$F:$F,0)))/200,($F$10-$I$3+VLOOKUP($R84,武学奇术!$A:$ZZ,6,FALSE)+SUM(_xlfn.XLOOKUP($S84:$AL84,增益!$A:$A,增益!$F:$F,0)))/100)</f>
        <v>0.4384</v>
      </c>
      <c r="AW84" s="40" cm="1">
        <f t="array" ref="AW84">$G$10+VLOOKUP($R84,武学奇术!$A:$ZZ,7,FALSE)+SUM(_xlfn.XLOOKUP($S84:$AL84,增益!$A:$A,增益!$G:$G,0))</f>
        <v>0.14</v>
      </c>
      <c r="AX84" s="33" cm="1">
        <f t="array" ref="AX84">VLOOKUP($R84,武学奇术!$A:$ZZ,8,FALSE)+SUM(_xlfn.XLOOKUP($S84:$AL84,增益!$A:$A,增益!$H:$H,0))</f>
        <v>0</v>
      </c>
      <c r="AY84">
        <f t="shared" si="29"/>
        <v>0</v>
      </c>
      <c r="AZ84">
        <f t="shared" si="30"/>
        <v>0</v>
      </c>
      <c r="BA84" s="40" cm="1">
        <f t="array" ref="BA84">IF($F$11-$I$4+VLOOKUP($R84,武学奇术!$A:$ZZ,9,FALSE)+SUM(_xlfn.XLOOKUP($S84:$AL84,增益!$A:$A,增益!$I:$I,0))&gt;0,($F$11-$I$4+VLOOKUP($R84,武学奇术!$A:$ZZ,9,FALSE)+SUM(_xlfn.XLOOKUP($S84:$AL84,增益!$A:$A,增益!$I:$I,0)))/200,($F$11-$I$4+VLOOKUP($R84,武学奇术!$A:$ZZ,9,FALSE)+SUM(_xlfn.XLOOKUP($S84:$AL84,增益!$A:$A,增益!$I:$I,0)))/100)</f>
        <v>-0.14</v>
      </c>
      <c r="BB84" s="40" cm="1">
        <f t="array" ref="BB84">$G$11+VLOOKUP($R84,武学奇术!$A:$ZZ,10,FALSE)+SUM(_xlfn.XLOOKUP($S84:$AL84,增益!$A:$A,增益!$J:$J,0))</f>
        <v>0.02</v>
      </c>
      <c r="BC84">
        <f t="shared" si="31"/>
        <v>640.3</v>
      </c>
      <c r="BD84">
        <f t="shared" si="32"/>
        <v>1770.1</v>
      </c>
      <c r="BE84" s="40" cm="1">
        <f t="array" ref="BE84">IF($F$12-$I$4+VLOOKUP($R84,武学奇术!$A:$ZZ,11,FALSE)+SUM(_xlfn.XLOOKUP($S84:$AL84,增益!$A:$A,增益!$K:$K,0))&gt;0,($F$12-$I$4+VLOOKUP($R84,武学奇术!$A:$ZZ,11,FALSE)+SUM(_xlfn.XLOOKUP($S84:$AL84,增益!$A:$A,增益!$K:$K,0)))/200,($F$12-$I$4+VLOOKUP($R84,武学奇术!$A:$ZZ,11,FALSE)+SUM(_xlfn.XLOOKUP($S84:$AL84,增益!$A:$A,增益!$K:$K,0)))/100)</f>
        <v>0.17</v>
      </c>
      <c r="BF84" s="40" cm="1">
        <f t="array" ref="BF84">$G$12+VLOOKUP($R84,武学奇术!$A:$ZZ,12,FALSE)+SUM(_xlfn.XLOOKUP($S84:$AL84,增益!$A:$A,增益!$L:$L,0))</f>
        <v>0.29</v>
      </c>
      <c r="BG84">
        <f t="shared" si="33"/>
        <v>0</v>
      </c>
      <c r="BH84">
        <f t="shared" si="34"/>
        <v>0</v>
      </c>
      <c r="BI84" s="40" cm="1">
        <f t="array" ref="BI84">IF($F$13-$I$4+VLOOKUP($R84,武学奇术!$A:$ZZ,13,FALSE)+SUM(_xlfn.XLOOKUP($S84:$AL84,增益!$A:$A,增益!$M:$M,0))&gt;0,($F$13-$I$4+VLOOKUP($R84,武学奇术!$A:$ZZ,13,FALSE)+SUM(_xlfn.XLOOKUP($S84:$AL84,增益!$A:$A,增益!$K:$K,0)))/200,($F$13-$I$4+VLOOKUP($R84,武学奇术!$A:$ZZ,13,FALSE)+SUM(_xlfn.XLOOKUP($S84:$AL84,增益!$A:$A,增益!$M:$M,0)))/100)</f>
        <v>-0.14</v>
      </c>
      <c r="BJ84" s="40" cm="1">
        <f t="array" ref="BJ84">$G$13+VLOOKUP($R84,武学奇术!$A:$ZZ,14,FALSE)+SUM(_xlfn.XLOOKUP($S84:$AL84,增益!$A:$A,增益!$N:$N,0))</f>
        <v>0.02</v>
      </c>
      <c r="BK84">
        <f t="shared" si="35"/>
        <v>0</v>
      </c>
      <c r="BL84">
        <f t="shared" si="36"/>
        <v>0</v>
      </c>
      <c r="BM84" s="40" cm="1">
        <f t="array" ref="BM84">IF($F$14-$I$4+VLOOKUP($R84,武学奇术!$A:$ZZ,15,FALSE)+SUM(_xlfn.XLOOKUP($S84:$AL84,增益!$A:$A,增益!$O:$O,0))&gt;0,($F$14-$I$4+VLOOKUP($R84,武学奇术!$A:$ZZ,15,FALSE)+SUM(_xlfn.XLOOKUP($S84:$AL84,增益!$A:$A,增益!$O:$O,0)))/200,($F$14-$I$4+VLOOKUP($R84,武学奇术!$A:$ZZ,15,FALSE)+SUM(_xlfn.XLOOKUP($S84:$AL84,增益!$A:$A,增益!$O:$O,0)))/100)</f>
        <v>-0.14</v>
      </c>
      <c r="BN84" s="40" cm="1">
        <f t="array" ref="BN84">$G$14+VLOOKUP($R84,武学奇术!$A:$ZZ,16,FALSE)+SUM(_xlfn.XLOOKUP($S84:$AL84,增益!$A:$A,增益!$P:$P,0))</f>
        <v>0.02</v>
      </c>
      <c r="BO84" s="33">
        <f>MIN(IF(VLOOKUP($R84,武学奇术!$A:$ZZ,23,FALSE)=1,100%,$B$8),100%)</f>
        <v>1</v>
      </c>
      <c r="BP84" s="33" cm="1">
        <f t="array" ref="BP84">IF(VLOOKUP($R84,武学奇术!$A:$ZZ,23,FALSE)=1,100%,MIN(80%,$B$9+VLOOKUP($R84,武学奇术!$A:$ZZ,17,FALSE)+SUM(_xlfn.XLOOKUP($S84:$AL84,增益!$A:$A,增益!$Q:$Q,0)))+$B$11+SUM(_xlfn.XLOOKUP($S84:$AL84,增益!$A:$A,增益!$U:$U,0)))*IF(VLOOKUP($R84,武学奇术!$A:$ZZ,24,FALSE)=1,0,1)</f>
        <v>1</v>
      </c>
      <c r="BQ84" s="33" cm="1">
        <f t="array" ref="BQ84">1+$B$13+VLOOKUP($R84,武学奇术!$A:$ZZ,18,FALSE)+SUM(_xlfn.XLOOKUP($S84:$AL84,增益!$A:$A,增益!$R:$R,0))</f>
        <v>2.1</v>
      </c>
      <c r="BR84" s="33" cm="1">
        <f t="array" ref="BR84">IF(VLOOKUP($R84,武学奇术!$A:$ZZ,24,FALSE)=1,100%,MIN(40%,$B$10+VLOOKUP($R84,武学奇术!$A:$ZZ,19,FALSE)+SUM(_xlfn.XLOOKUP($S84:$AL84,增益!$A:$A,增益!$S:$S,0)))+$B$12+SUM(_xlfn.XLOOKUP($S84:$AL84,增益!$A:$A,增益!$V:$V,0)))*IF(VLOOKUP($R84,武学奇术!$A:$ZZ,23,FALSE)=1,0,1)</f>
        <v>0</v>
      </c>
      <c r="BS84" s="33" cm="1">
        <f t="array" ref="BS84">1+$B$14+VLOOKUP($R84,武学奇术!$A:$ZZ,20,FALSE)+SUM(_xlfn.XLOOKUP($S84:$AL84,增益!$A:$A,增益!$T:$T,0))</f>
        <v>1.35</v>
      </c>
      <c r="BT84" s="33">
        <f t="shared" si="37"/>
        <v>1</v>
      </c>
      <c r="BU84" s="33">
        <f t="shared" si="38"/>
        <v>0</v>
      </c>
      <c r="BV84" s="33">
        <f>IF(VLOOKUP($R84,武学奇术!$A:$ZZ,22,FALSE)=1,0,(1-$BO84))*(1-$BR84)</f>
        <v>0</v>
      </c>
      <c r="BW84" s="33" cm="1">
        <f t="array" ref="BW84">SUM(_xlfn.XLOOKUP($S84:$AL84,增益!$A:$A,增益!$W:$W,0))+$I$5</f>
        <v>0.11</v>
      </c>
      <c r="BX84" s="33" cm="1">
        <f t="array" ref="BX84">VLOOKUP($R84,武学奇术!$A:$ZZ,32,FALSE)+SUM(_xlfn.XLOOKUP($S84:$AL84,增益!$A:$A,增益!$X:$X,0))</f>
        <v>0</v>
      </c>
    </row>
    <row r="85" spans="1:76">
      <c r="L85" s="46">
        <f t="shared" si="40"/>
        <v>25856.4396851203</v>
      </c>
      <c r="M85" s="46">
        <f>((($AT85+$AU85)/2*$AN85+$AO85)*(1+$AV85)*(1+$AW85)+(($AY85+$AZ85)/2*IF($G$1="鸣金",$AP85,$AN85)+IF($G$1="鸣金",$AQ85*1.5,0))*(1+$BA85)*(1+$BB85)+(($BC85+$BD85)/2*IF($G$1="裂石",$AP85,$AN85)+IF($G$1="裂石",$AQ85*1.5,0))*(1+$BE85)*(1+$BF85)+(($BG85+$BH85)/2*IF($G$1="牵丝",$AP85,$AN85)+IF($G$1="牵丝",$AQ85*1.5,0))*(1+$BI85)*(1+$BJ85)+(($BK85+$BL85)/2*IF($G$1="破竹",$AP85,$AN85)+IF($G$1="破竹",$AQ85*1.5,0))*(1+$BM85)*(1+$BN85))*(1+$AR85)*$BQ85*$Q85*(1+IF(VLOOKUP($R85,武学奇术!$A:$ZZ,30,FALSE)="蓄力技",$B$21,0))*(1+IF(VLOOKUP($R85,武学奇术!$A:$ZZ,30,FALSE)="派生技",$B$20,0))*(1+$BW85)*(1+$BX85)</f>
        <v>25856.4396851203</v>
      </c>
      <c r="N85" s="46">
        <f>(($AU85*$AN85+$AO85)*(1+$AV85)*(1+$AW85)+($AZ85*IF($G$1="鸣金",$AP85,$AN85)+IF($G$1="鸣金",$AQ85*1.5,0))*(1+$BA85)*(1+$BB85)+($BD85*IF($G$1="裂石",$AP85,$AN85)+IF($G$1="裂石",$AQ85*1.5,0))*(1+$BE85)*(1+$BF85)+($BH85*IF($G$1="牵丝",$AP85,$AN85)+IF($G$1="牵丝",$AQ85*1.5,0))*(1+$BI85)*(1+$BJ85)+($BL85*IF($G$1="破竹",$AP85,$AN85)+IF($G$1="破竹",$AQ85*1.5,0))*(1+$BM85)*(1+$BN85))*(1+$AR85)*$BS85*$Q85*(1+IF(VLOOKUP($R85,武学奇术!$A:$ZZ,30,FALSE)="蓄力技",$B$21,0))*(1+IF(VLOOKUP($R85,武学奇术!$A:$ZZ,30,FALSE)="派生技",$B$20,0))*(1+$BW85)*(1+$BX85)</f>
        <v>18873.2072050448</v>
      </c>
      <c r="O85" s="46">
        <f>((($AT85+$AU85)/2*$AN85+$AO85)*(1+$AV85)*(1+$AW85)+(($AY85+$AZ85)/2*IF($G$1="鸣金",$AP85,$AN85)+IF($G$1="鸣金",$AQ85*1.5,0))*(1+$BA85)*(1+$BB85)+(($BC85+$BD85)/2*IF($G$1="裂石",$AP85,$AN85)+IF($G$1="裂石",$AQ85*1.5,0))*(1+$BE85)*(1+$BF85)+(($BG85+$BH85)/2*IF($G$1="牵丝",$AP85,$AN85)+IF($G$1="牵丝",$AQ85*1.5,0))*(1+$BI85)*(1+$BJ85)+(($BK85+$BL85)/2*IF($G$1="破竹",$AP85,$AN85)+IF($G$1="破竹",$AQ85*1.5,0))*(1+$BM85)*(1+$BN85))*(1+$AR85)*$Q85*(1+IF(VLOOKUP($R85,武学奇术!$A:$ZZ,30,FALSE)="蓄力技",$B$21,0))*(1+IF(VLOOKUP($R85,武学奇术!$A:$ZZ,30,FALSE)="派生技",$B$20,0))*(1+$BW85)*(1+$BX85)</f>
        <v>12312.5903262478</v>
      </c>
      <c r="P85" s="46">
        <f>((($AT85*$AN85+$AO85)*(1+$AV85)*(1+$AW85)+($AY85*IF($G$1="鸣金",$AP85,$AN85)+IF($G$1="鸣金",$AQ85*1.5,0))*(1+$BA85)*(1+$BB85)+($BC85*IF($G$1="裂石",$AP85,$AN85)+IF($G$1="裂石",$AQ85*1.5,0))*(1+$BE85)*(1+$BF85)+($BG85*IF($G$1="牵丝",$AP85,$AN85)+IF($G$1="牵丝",$AQ85*1.5,0))*(1+$BI85)*(1+$BJ85)+($BK85*IF($G$1="破竹",$AP85,$AN85)+IF($G$1="破竹",$AQ85*1.5,0))*(1+$BM85)*(1+$BN85))*(1+$AR85))*$Q85*(1+IF(VLOOKUP($R85,武学奇术!$A:$ZZ,30,FALSE)="蓄力技",$B$21,0))*(1+IF(VLOOKUP($R85,武学奇术!$A:$ZZ,30,FALSE)="派生技",$B$20,0))*(1+$BW85)*(1+$BX85)</f>
        <v>10645.0271672772</v>
      </c>
      <c r="Q85" s="47">
        <f t="shared" si="41"/>
        <v>1</v>
      </c>
      <c r="R85" s="48" t="s">
        <v>154</v>
      </c>
      <c r="S85" s="48" t="s">
        <v>99</v>
      </c>
      <c r="T85" s="48" t="s">
        <v>182</v>
      </c>
      <c r="U85" s="48" t="s">
        <v>79</v>
      </c>
      <c r="V85" s="48" t="s">
        <v>90</v>
      </c>
      <c r="W85" s="48" t="s">
        <v>141</v>
      </c>
      <c r="X85" s="48" t="s">
        <v>145</v>
      </c>
      <c r="Y85" s="48" t="s">
        <v>74</v>
      </c>
      <c r="Z85" s="48" t="s">
        <v>80</v>
      </c>
      <c r="AA85" s="48" t="s">
        <v>80</v>
      </c>
      <c r="AB85" s="48" t="s">
        <v>80</v>
      </c>
      <c r="AC85" s="48" t="s">
        <v>80</v>
      </c>
      <c r="AD85" s="48" t="s">
        <v>80</v>
      </c>
      <c r="AE85" s="48" t="s">
        <v>82</v>
      </c>
      <c r="AF85" s="48" t="s">
        <v>83</v>
      </c>
      <c r="AG85" s="48" t="s">
        <v>84</v>
      </c>
      <c r="AH85" s="48" t="s">
        <v>80</v>
      </c>
      <c r="AI85" s="48" t="s">
        <v>80</v>
      </c>
      <c r="AJ85" s="48" t="s">
        <v>80</v>
      </c>
      <c r="AK85" s="48" t="s">
        <v>80</v>
      </c>
      <c r="AL85" s="48" t="s">
        <v>85</v>
      </c>
      <c r="AM85" t="str">
        <f>VLOOKUP($R85,武学奇术!$A:$ZZ,25,FALSE)</f>
        <v>陌刀</v>
      </c>
      <c r="AN85" s="33">
        <f>VLOOKUP($R85,武学奇术!$A:$ZZ,26,FALSE)</f>
        <v>0.525</v>
      </c>
      <c r="AO85" s="34">
        <f>VLOOKUP($R85,武学奇术!$A:$ZZ,27,FALSE)*(1+IF(OR($AM85=$F$4,$AM85=$F$5),$B$22,0))</f>
        <v>0</v>
      </c>
      <c r="AP85" s="33">
        <f>VLOOKUP($R85,武学奇术!$A:$ZZ,28,FALSE)</f>
        <v>0.7875</v>
      </c>
      <c r="AQ85" s="34">
        <f>VLOOKUP($R85,武学奇术!$A:$ZZ,29,FALSE)*(1+IF(OR($AM85=$F$4,$AM85=$F$5),$B$22,0))</f>
        <v>0</v>
      </c>
      <c r="AR85" s="33" cm="1">
        <f t="array" ref="AR85">$G$3+IFERROR(VLOOKUP($AM85,$F$4:$G$7,2,FALSE),0)+VLOOKUP($R85,武学奇术!$A:$ZZ,2,FALSE)+SUM(_xlfn.XLOOKUP($S85:$AL85,增益!$A:$A,增益!$B:$B,0))</f>
        <v>0.6943</v>
      </c>
      <c r="AS85" s="33" cm="1">
        <f t="array" ref="AS85">VLOOKUP($R85,武学奇术!$A:$ZZ,5,FALSE)+SUM(_xlfn.XLOOKUP($S85:$AL85,增益!$A:$A,增益!$E:$E,0))</f>
        <v>0</v>
      </c>
      <c r="AT85" cm="1">
        <f t="array" ref="AT85">$D$10*(1+$AS85)+VLOOKUP($R85,武学奇术!$A:$ZZ,3,FALSE)+SUM(_xlfn.XLOOKUP($S85:$AL85,增益!$A:$A,增益!$C:$C,0))-$I$2</f>
        <v>4094.7</v>
      </c>
      <c r="AU85" cm="1">
        <f t="array" ref="AU85">$E$10*(1+$AS85)+VLOOKUP($R85,武学奇术!$A:$ZZ,4,FALSE)+SUM(_xlfn.XLOOKUP($S85:$AL85,增益!$A:$A,增益!$D:$D,0))-$I$2</f>
        <v>4094.7</v>
      </c>
      <c r="AV85" s="40" cm="1">
        <f t="array" ref="AV85">IF($F$10-$I$3+VLOOKUP($R85,武学奇术!$A:$ZZ,6,FALSE)+SUM(_xlfn.XLOOKUP($S85:$AL85,增益!$A:$A,增益!$F:$F,0))&gt;0,($F$10-$I$3+VLOOKUP($R85,武学奇术!$A:$ZZ,6,FALSE)+SUM(_xlfn.XLOOKUP($S85:$AL85,增益!$A:$A,增益!$F:$F,0)))/200,($F$10-$I$3+VLOOKUP($R85,武学奇术!$A:$ZZ,6,FALSE)+SUM(_xlfn.XLOOKUP($S85:$AL85,增益!$A:$A,增益!$F:$F,0)))/100)</f>
        <v>0.4384</v>
      </c>
      <c r="AW85" s="40" cm="1">
        <f t="array" ref="AW85">$G$10+VLOOKUP($R85,武学奇术!$A:$ZZ,7,FALSE)+SUM(_xlfn.XLOOKUP($S85:$AL85,增益!$A:$A,增益!$G:$G,0))</f>
        <v>0.14</v>
      </c>
      <c r="AX85" s="33" cm="1">
        <f t="array" ref="AX85">VLOOKUP($R85,武学奇术!$A:$ZZ,8,FALSE)+SUM(_xlfn.XLOOKUP($S85:$AL85,增益!$A:$A,增益!$H:$H,0))</f>
        <v>0</v>
      </c>
      <c r="AY85">
        <f t="shared" si="29"/>
        <v>0</v>
      </c>
      <c r="AZ85">
        <f t="shared" si="30"/>
        <v>0</v>
      </c>
      <c r="BA85" s="40" cm="1">
        <f t="array" ref="BA85">IF($F$11-$I$4+VLOOKUP($R85,武学奇术!$A:$ZZ,9,FALSE)+SUM(_xlfn.XLOOKUP($S85:$AL85,增益!$A:$A,增益!$I:$I,0))&gt;0,($F$11-$I$4+VLOOKUP($R85,武学奇术!$A:$ZZ,9,FALSE)+SUM(_xlfn.XLOOKUP($S85:$AL85,增益!$A:$A,增益!$I:$I,0)))/200,($F$11-$I$4+VLOOKUP($R85,武学奇术!$A:$ZZ,9,FALSE)+SUM(_xlfn.XLOOKUP($S85:$AL85,增益!$A:$A,增益!$I:$I,0)))/100)</f>
        <v>-0.14</v>
      </c>
      <c r="BB85" s="40" cm="1">
        <f t="array" ref="BB85">$G$11+VLOOKUP($R85,武学奇术!$A:$ZZ,10,FALSE)+SUM(_xlfn.XLOOKUP($S85:$AL85,增益!$A:$A,增益!$J:$J,0))</f>
        <v>0.02</v>
      </c>
      <c r="BC85">
        <f t="shared" si="31"/>
        <v>640.3</v>
      </c>
      <c r="BD85">
        <f t="shared" si="32"/>
        <v>1770.1</v>
      </c>
      <c r="BE85" s="40" cm="1">
        <f t="array" ref="BE85">IF($F$12-$I$4+VLOOKUP($R85,武学奇术!$A:$ZZ,11,FALSE)+SUM(_xlfn.XLOOKUP($S85:$AL85,增益!$A:$A,增益!$K:$K,0))&gt;0,($F$12-$I$4+VLOOKUP($R85,武学奇术!$A:$ZZ,11,FALSE)+SUM(_xlfn.XLOOKUP($S85:$AL85,增益!$A:$A,增益!$K:$K,0)))/200,($F$12-$I$4+VLOOKUP($R85,武学奇术!$A:$ZZ,11,FALSE)+SUM(_xlfn.XLOOKUP($S85:$AL85,增益!$A:$A,增益!$K:$K,0)))/100)</f>
        <v>0.17</v>
      </c>
      <c r="BF85" s="40" cm="1">
        <f t="array" ref="BF85">$G$12+VLOOKUP($R85,武学奇术!$A:$ZZ,12,FALSE)+SUM(_xlfn.XLOOKUP($S85:$AL85,增益!$A:$A,增益!$L:$L,0))</f>
        <v>0.29</v>
      </c>
      <c r="BG85">
        <f t="shared" si="33"/>
        <v>0</v>
      </c>
      <c r="BH85">
        <f t="shared" si="34"/>
        <v>0</v>
      </c>
      <c r="BI85" s="40" cm="1">
        <f t="array" ref="BI85">IF($F$13-$I$4+VLOOKUP($R85,武学奇术!$A:$ZZ,13,FALSE)+SUM(_xlfn.XLOOKUP($S85:$AL85,增益!$A:$A,增益!$M:$M,0))&gt;0,($F$13-$I$4+VLOOKUP($R85,武学奇术!$A:$ZZ,13,FALSE)+SUM(_xlfn.XLOOKUP($S85:$AL85,增益!$A:$A,增益!$K:$K,0)))/200,($F$13-$I$4+VLOOKUP($R85,武学奇术!$A:$ZZ,13,FALSE)+SUM(_xlfn.XLOOKUP($S85:$AL85,增益!$A:$A,增益!$M:$M,0)))/100)</f>
        <v>-0.14</v>
      </c>
      <c r="BJ85" s="40" cm="1">
        <f t="array" ref="BJ85">$G$13+VLOOKUP($R85,武学奇术!$A:$ZZ,14,FALSE)+SUM(_xlfn.XLOOKUP($S85:$AL85,增益!$A:$A,增益!$N:$N,0))</f>
        <v>0.02</v>
      </c>
      <c r="BK85">
        <f t="shared" si="35"/>
        <v>0</v>
      </c>
      <c r="BL85">
        <f t="shared" si="36"/>
        <v>0</v>
      </c>
      <c r="BM85" s="40" cm="1">
        <f t="array" ref="BM85">IF($F$14-$I$4+VLOOKUP($R85,武学奇术!$A:$ZZ,15,FALSE)+SUM(_xlfn.XLOOKUP($S85:$AL85,增益!$A:$A,增益!$O:$O,0))&gt;0,($F$14-$I$4+VLOOKUP($R85,武学奇术!$A:$ZZ,15,FALSE)+SUM(_xlfn.XLOOKUP($S85:$AL85,增益!$A:$A,增益!$O:$O,0)))/200,($F$14-$I$4+VLOOKUP($R85,武学奇术!$A:$ZZ,15,FALSE)+SUM(_xlfn.XLOOKUP($S85:$AL85,增益!$A:$A,增益!$O:$O,0)))/100)</f>
        <v>-0.14</v>
      </c>
      <c r="BN85" s="40" cm="1">
        <f t="array" ref="BN85">$G$14+VLOOKUP($R85,武学奇术!$A:$ZZ,16,FALSE)+SUM(_xlfn.XLOOKUP($S85:$AL85,增益!$A:$A,增益!$P:$P,0))</f>
        <v>0.02</v>
      </c>
      <c r="BO85" s="33">
        <f>MIN(IF(VLOOKUP($R85,武学奇术!$A:$ZZ,23,FALSE)=1,100%,$B$8),100%)</f>
        <v>1</v>
      </c>
      <c r="BP85" s="33" cm="1">
        <f t="array" ref="BP85">IF(VLOOKUP($R85,武学奇术!$A:$ZZ,23,FALSE)=1,100%,MIN(80%,$B$9+VLOOKUP($R85,武学奇术!$A:$ZZ,17,FALSE)+SUM(_xlfn.XLOOKUP($S85:$AL85,增益!$A:$A,增益!$Q:$Q,0)))+$B$11+SUM(_xlfn.XLOOKUP($S85:$AL85,增益!$A:$A,增益!$U:$U,0)))*IF(VLOOKUP($R85,武学奇术!$A:$ZZ,24,FALSE)=1,0,1)</f>
        <v>1</v>
      </c>
      <c r="BQ85" s="33" cm="1">
        <f t="array" ref="BQ85">1+$B$13+VLOOKUP($R85,武学奇术!$A:$ZZ,18,FALSE)+SUM(_xlfn.XLOOKUP($S85:$AL85,增益!$A:$A,增益!$R:$R,0))</f>
        <v>2.1</v>
      </c>
      <c r="BR85" s="33" cm="1">
        <f t="array" ref="BR85">IF(VLOOKUP($R85,武学奇术!$A:$ZZ,24,FALSE)=1,100%,MIN(40%,$B$10+VLOOKUP($R85,武学奇术!$A:$ZZ,19,FALSE)+SUM(_xlfn.XLOOKUP($S85:$AL85,增益!$A:$A,增益!$S:$S,0)))+$B$12+SUM(_xlfn.XLOOKUP($S85:$AL85,增益!$A:$A,增益!$V:$V,0)))*IF(VLOOKUP($R85,武学奇术!$A:$ZZ,23,FALSE)=1,0,1)</f>
        <v>0</v>
      </c>
      <c r="BS85" s="33" cm="1">
        <f t="array" ref="BS85">1+$B$14+VLOOKUP($R85,武学奇术!$A:$ZZ,20,FALSE)+SUM(_xlfn.XLOOKUP($S85:$AL85,增益!$A:$A,增益!$T:$T,0))</f>
        <v>1.35</v>
      </c>
      <c r="BT85" s="33">
        <f t="shared" si="37"/>
        <v>1</v>
      </c>
      <c r="BU85" s="33">
        <f t="shared" si="38"/>
        <v>0</v>
      </c>
      <c r="BV85" s="33">
        <f>IF(VLOOKUP($R85,武学奇术!$A:$ZZ,22,FALSE)=1,0,(1-$BO85))*(1-$BR85)</f>
        <v>0</v>
      </c>
      <c r="BW85" s="33" cm="1">
        <f t="array" ref="BW85">SUM(_xlfn.XLOOKUP($S85:$AL85,增益!$A:$A,增益!$W:$W,0))+$I$5</f>
        <v>0.11</v>
      </c>
      <c r="BX85" s="33" cm="1">
        <f t="array" ref="BX85">VLOOKUP($R85,武学奇术!$A:$ZZ,32,FALSE)+SUM(_xlfn.XLOOKUP($S85:$AL85,增益!$A:$A,增益!$X:$X,0))</f>
        <v>0</v>
      </c>
    </row>
    <row r="86" spans="1:76">
      <c r="L86" s="46">
        <f t="shared" si="40"/>
        <v>46541.5914332166</v>
      </c>
      <c r="M86" s="46">
        <f>((($AT86+$AU86)/2*$AN86+$AO86)*(1+$AV86)*(1+$AW86)+(($AY86+$AZ86)/2*IF($G$1="鸣金",$AP86,$AN86)+IF($G$1="鸣金",$AQ86*1.5,0))*(1+$BA86)*(1+$BB86)+(($BC86+$BD86)/2*IF($G$1="裂石",$AP86,$AN86)+IF($G$1="裂石",$AQ86*1.5,0))*(1+$BE86)*(1+$BF86)+(($BG86+$BH86)/2*IF($G$1="牵丝",$AP86,$AN86)+IF($G$1="牵丝",$AQ86*1.5,0))*(1+$BI86)*(1+$BJ86)+(($BK86+$BL86)/2*IF($G$1="破竹",$AP86,$AN86)+IF($G$1="破竹",$AQ86*1.5,0))*(1+$BM86)*(1+$BN86))*(1+$AR86)*$BQ86*$Q86*(1+IF(VLOOKUP($R86,武学奇术!$A:$ZZ,30,FALSE)="蓄力技",$B$21,0))*(1+IF(VLOOKUP($R86,武学奇术!$A:$ZZ,30,FALSE)="派生技",$B$20,0))*(1+$BW86)*(1+$BX86)</f>
        <v>46541.5914332166</v>
      </c>
      <c r="N86" s="46">
        <f>(($AU86*$AN86+$AO86)*(1+$AV86)*(1+$AW86)+($AZ86*IF($G$1="鸣金",$AP86,$AN86)+IF($G$1="鸣金",$AQ86*1.5,0))*(1+$BA86)*(1+$BB86)+($BD86*IF($G$1="裂石",$AP86,$AN86)+IF($G$1="裂石",$AQ86*1.5,0))*(1+$BE86)*(1+$BF86)+($BH86*IF($G$1="牵丝",$AP86,$AN86)+IF($G$1="牵丝",$AQ86*1.5,0))*(1+$BI86)*(1+$BJ86)+($BL86*IF($G$1="破竹",$AP86,$AN86)+IF($G$1="破竹",$AQ86*1.5,0))*(1+$BM86)*(1+$BN86))*(1+$AR86)*$BS86*$Q86*(1+IF(VLOOKUP($R86,武学奇术!$A:$ZZ,30,FALSE)="蓄力技",$B$21,0))*(1+IF(VLOOKUP($R86,武学奇术!$A:$ZZ,30,FALSE)="派生技",$B$20,0))*(1+$BW86)*(1+$BX86)</f>
        <v>33971.7729690806</v>
      </c>
      <c r="O86" s="46">
        <f>((($AT86+$AU86)/2*$AN86+$AO86)*(1+$AV86)*(1+$AW86)+(($AY86+$AZ86)/2*IF($G$1="鸣金",$AP86,$AN86)+IF($G$1="鸣金",$AQ86*1.5,0))*(1+$BA86)*(1+$BB86)+(($BC86+$BD86)/2*IF($G$1="裂石",$AP86,$AN86)+IF($G$1="裂石",$AQ86*1.5,0))*(1+$BE86)*(1+$BF86)+(($BG86+$BH86)/2*IF($G$1="牵丝",$AP86,$AN86)+IF($G$1="牵丝",$AQ86*1.5,0))*(1+$BI86)*(1+$BJ86)+(($BK86+$BL86)/2*IF($G$1="破竹",$AP86,$AN86)+IF($G$1="破竹",$AQ86*1.5,0))*(1+$BM86)*(1+$BN86))*(1+$AR86)*$Q86*(1+IF(VLOOKUP($R86,武学奇术!$A:$ZZ,30,FALSE)="蓄力技",$B$21,0))*(1+IF(VLOOKUP($R86,武学奇术!$A:$ZZ,30,FALSE)="派生技",$B$20,0))*(1+$BW86)*(1+$BX86)</f>
        <v>22162.662587246</v>
      </c>
      <c r="P86" s="46">
        <f>((($AT86*$AN86+$AO86)*(1+$AV86)*(1+$AW86)+($AY86*IF($G$1="鸣金",$AP86,$AN86)+IF($G$1="鸣金",$AQ86*1.5,0))*(1+$BA86)*(1+$BB86)+($BC86*IF($G$1="裂石",$AP86,$AN86)+IF($G$1="裂石",$AQ86*1.5,0))*(1+$BE86)*(1+$BF86)+($BG86*IF($G$1="牵丝",$AP86,$AN86)+IF($G$1="牵丝",$AQ86*1.5,0))*(1+$BI86)*(1+$BJ86)+($BK86*IF($G$1="破竹",$AP86,$AN86)+IF($G$1="破竹",$AQ86*1.5,0))*(1+$BM86)*(1+$BN86))*(1+$AR86))*$Q86*(1+IF(VLOOKUP($R86,武学奇术!$A:$ZZ,30,FALSE)="蓄力技",$B$21,0))*(1+IF(VLOOKUP($R86,武学奇术!$A:$ZZ,30,FALSE)="派生技",$B$20,0))*(1+$BW86)*(1+$BX86)</f>
        <v>19161.0489010989</v>
      </c>
      <c r="Q86" s="47">
        <f t="shared" si="41"/>
        <v>1</v>
      </c>
      <c r="R86" s="48" t="s">
        <v>144</v>
      </c>
      <c r="S86" s="48" t="s">
        <v>99</v>
      </c>
      <c r="T86" s="48" t="s">
        <v>182</v>
      </c>
      <c r="U86" s="48" t="s">
        <v>79</v>
      </c>
      <c r="V86" s="48" t="s">
        <v>90</v>
      </c>
      <c r="W86" s="48" t="s">
        <v>141</v>
      </c>
      <c r="X86" s="48" t="s">
        <v>145</v>
      </c>
      <c r="Y86" s="48" t="s">
        <v>74</v>
      </c>
      <c r="Z86" s="48" t="s">
        <v>80</v>
      </c>
      <c r="AA86" s="48" t="s">
        <v>80</v>
      </c>
      <c r="AB86" s="48" t="s">
        <v>80</v>
      </c>
      <c r="AC86" s="48" t="s">
        <v>80</v>
      </c>
      <c r="AD86" s="48" t="s">
        <v>80</v>
      </c>
      <c r="AE86" s="48" t="s">
        <v>82</v>
      </c>
      <c r="AF86" s="48" t="s">
        <v>83</v>
      </c>
      <c r="AG86" s="48" t="s">
        <v>84</v>
      </c>
      <c r="AH86" s="48" t="s">
        <v>80</v>
      </c>
      <c r="AI86" s="48" t="s">
        <v>80</v>
      </c>
      <c r="AJ86" s="48" t="s">
        <v>80</v>
      </c>
      <c r="AK86" s="48" t="s">
        <v>80</v>
      </c>
      <c r="AL86" s="48" t="s">
        <v>85</v>
      </c>
      <c r="AM86" t="str">
        <f>VLOOKUP($R86,武学奇术!$A:$ZZ,25,FALSE)</f>
        <v>陌刀</v>
      </c>
      <c r="AN86" s="33">
        <f>VLOOKUP($R86,武学奇术!$A:$ZZ,26,FALSE)</f>
        <v>0.945</v>
      </c>
      <c r="AO86" s="34">
        <f>VLOOKUP($R86,武学奇术!$A:$ZZ,27,FALSE)*(1+IF(OR($AM86=$F$4,$AM86=$F$5),$B$22,0))</f>
        <v>0</v>
      </c>
      <c r="AP86" s="33">
        <f>VLOOKUP($R86,武学奇术!$A:$ZZ,28,FALSE)</f>
        <v>1.4175</v>
      </c>
      <c r="AQ86" s="34">
        <f>VLOOKUP($R86,武学奇术!$A:$ZZ,29,FALSE)*(1+IF(OR($AM86=$F$4,$AM86=$F$5),$B$22,0))</f>
        <v>0</v>
      </c>
      <c r="AR86" s="33" cm="1">
        <f t="array" ref="AR86">$G$3+IFERROR(VLOOKUP($AM86,$F$4:$G$7,2,FALSE),0)+VLOOKUP($R86,武学奇术!$A:$ZZ,2,FALSE)+SUM(_xlfn.XLOOKUP($S86:$AL86,增益!$A:$A,增益!$B:$B,0))</f>
        <v>0.6943</v>
      </c>
      <c r="AS86" s="33" cm="1">
        <f t="array" ref="AS86">VLOOKUP($R86,武学奇术!$A:$ZZ,5,FALSE)+SUM(_xlfn.XLOOKUP($S86:$AL86,增益!$A:$A,增益!$E:$E,0))</f>
        <v>0</v>
      </c>
      <c r="AT86" cm="1">
        <f t="array" ref="AT86">$D$10*(1+$AS86)+VLOOKUP($R86,武学奇术!$A:$ZZ,3,FALSE)+SUM(_xlfn.XLOOKUP($S86:$AL86,增益!$A:$A,增益!$C:$C,0))-$I$2</f>
        <v>4094.7</v>
      </c>
      <c r="AU86" cm="1">
        <f t="array" ref="AU86">$E$10*(1+$AS86)+VLOOKUP($R86,武学奇术!$A:$ZZ,4,FALSE)+SUM(_xlfn.XLOOKUP($S86:$AL86,增益!$A:$A,增益!$D:$D,0))-$I$2</f>
        <v>4094.7</v>
      </c>
      <c r="AV86" s="40" cm="1">
        <f t="array" ref="AV86">IF($F$10-$I$3+VLOOKUP($R86,武学奇术!$A:$ZZ,6,FALSE)+SUM(_xlfn.XLOOKUP($S86:$AL86,增益!$A:$A,增益!$F:$F,0))&gt;0,($F$10-$I$3+VLOOKUP($R86,武学奇术!$A:$ZZ,6,FALSE)+SUM(_xlfn.XLOOKUP($S86:$AL86,增益!$A:$A,增益!$F:$F,0)))/200,($F$10-$I$3+VLOOKUP($R86,武学奇术!$A:$ZZ,6,FALSE)+SUM(_xlfn.XLOOKUP($S86:$AL86,增益!$A:$A,增益!$F:$F,0)))/100)</f>
        <v>0.4384</v>
      </c>
      <c r="AW86" s="40" cm="1">
        <f t="array" ref="AW86">$G$10+VLOOKUP($R86,武学奇术!$A:$ZZ,7,FALSE)+SUM(_xlfn.XLOOKUP($S86:$AL86,增益!$A:$A,增益!$G:$G,0))</f>
        <v>0.14</v>
      </c>
      <c r="AX86" s="33" cm="1">
        <f t="array" ref="AX86">VLOOKUP($R86,武学奇术!$A:$ZZ,8,FALSE)+SUM(_xlfn.XLOOKUP($S86:$AL86,增益!$A:$A,增益!$H:$H,0))</f>
        <v>0</v>
      </c>
      <c r="AY86">
        <f t="shared" si="29"/>
        <v>0</v>
      </c>
      <c r="AZ86">
        <f t="shared" si="30"/>
        <v>0</v>
      </c>
      <c r="BA86" s="40" cm="1">
        <f t="array" ref="BA86">IF($F$11-$I$4+VLOOKUP($R86,武学奇术!$A:$ZZ,9,FALSE)+SUM(_xlfn.XLOOKUP($S86:$AL86,增益!$A:$A,增益!$I:$I,0))&gt;0,($F$11-$I$4+VLOOKUP($R86,武学奇术!$A:$ZZ,9,FALSE)+SUM(_xlfn.XLOOKUP($S86:$AL86,增益!$A:$A,增益!$I:$I,0)))/200,($F$11-$I$4+VLOOKUP($R86,武学奇术!$A:$ZZ,9,FALSE)+SUM(_xlfn.XLOOKUP($S86:$AL86,增益!$A:$A,增益!$I:$I,0)))/100)</f>
        <v>-0.14</v>
      </c>
      <c r="BB86" s="40" cm="1">
        <f t="array" ref="BB86">$G$11+VLOOKUP($R86,武学奇术!$A:$ZZ,10,FALSE)+SUM(_xlfn.XLOOKUP($S86:$AL86,增益!$A:$A,增益!$J:$J,0))</f>
        <v>0.02</v>
      </c>
      <c r="BC86">
        <f t="shared" si="31"/>
        <v>640.3</v>
      </c>
      <c r="BD86">
        <f t="shared" si="32"/>
        <v>1770.1</v>
      </c>
      <c r="BE86" s="40" cm="1">
        <f t="array" ref="BE86">IF($F$12-$I$4+VLOOKUP($R86,武学奇术!$A:$ZZ,11,FALSE)+SUM(_xlfn.XLOOKUP($S86:$AL86,增益!$A:$A,增益!$K:$K,0))&gt;0,($F$12-$I$4+VLOOKUP($R86,武学奇术!$A:$ZZ,11,FALSE)+SUM(_xlfn.XLOOKUP($S86:$AL86,增益!$A:$A,增益!$K:$K,0)))/200,($F$12-$I$4+VLOOKUP($R86,武学奇术!$A:$ZZ,11,FALSE)+SUM(_xlfn.XLOOKUP($S86:$AL86,增益!$A:$A,增益!$K:$K,0)))/100)</f>
        <v>0.17</v>
      </c>
      <c r="BF86" s="40" cm="1">
        <f t="array" ref="BF86">$G$12+VLOOKUP($R86,武学奇术!$A:$ZZ,12,FALSE)+SUM(_xlfn.XLOOKUP($S86:$AL86,增益!$A:$A,增益!$L:$L,0))</f>
        <v>0.29</v>
      </c>
      <c r="BG86">
        <f t="shared" si="33"/>
        <v>0</v>
      </c>
      <c r="BH86">
        <f t="shared" si="34"/>
        <v>0</v>
      </c>
      <c r="BI86" s="40" cm="1">
        <f t="array" ref="BI86">IF($F$13-$I$4+VLOOKUP($R86,武学奇术!$A:$ZZ,13,FALSE)+SUM(_xlfn.XLOOKUP($S86:$AL86,增益!$A:$A,增益!$M:$M,0))&gt;0,($F$13-$I$4+VLOOKUP($R86,武学奇术!$A:$ZZ,13,FALSE)+SUM(_xlfn.XLOOKUP($S86:$AL86,增益!$A:$A,增益!$K:$K,0)))/200,($F$13-$I$4+VLOOKUP($R86,武学奇术!$A:$ZZ,13,FALSE)+SUM(_xlfn.XLOOKUP($S86:$AL86,增益!$A:$A,增益!$M:$M,0)))/100)</f>
        <v>-0.14</v>
      </c>
      <c r="BJ86" s="40" cm="1">
        <f t="array" ref="BJ86">$G$13+VLOOKUP($R86,武学奇术!$A:$ZZ,14,FALSE)+SUM(_xlfn.XLOOKUP($S86:$AL86,增益!$A:$A,增益!$N:$N,0))</f>
        <v>0.02</v>
      </c>
      <c r="BK86">
        <f t="shared" si="35"/>
        <v>0</v>
      </c>
      <c r="BL86">
        <f t="shared" si="36"/>
        <v>0</v>
      </c>
      <c r="BM86" s="40" cm="1">
        <f t="array" ref="BM86">IF($F$14-$I$4+VLOOKUP($R86,武学奇术!$A:$ZZ,15,FALSE)+SUM(_xlfn.XLOOKUP($S86:$AL86,增益!$A:$A,增益!$O:$O,0))&gt;0,($F$14-$I$4+VLOOKUP($R86,武学奇术!$A:$ZZ,15,FALSE)+SUM(_xlfn.XLOOKUP($S86:$AL86,增益!$A:$A,增益!$O:$O,0)))/200,($F$14-$I$4+VLOOKUP($R86,武学奇术!$A:$ZZ,15,FALSE)+SUM(_xlfn.XLOOKUP($S86:$AL86,增益!$A:$A,增益!$O:$O,0)))/100)</f>
        <v>-0.14</v>
      </c>
      <c r="BN86" s="40" cm="1">
        <f t="array" ref="BN86">$G$14+VLOOKUP($R86,武学奇术!$A:$ZZ,16,FALSE)+SUM(_xlfn.XLOOKUP($S86:$AL86,增益!$A:$A,增益!$P:$P,0))</f>
        <v>0.02</v>
      </c>
      <c r="BO86" s="33">
        <f>MIN(IF(VLOOKUP($R86,武学奇术!$A:$ZZ,23,FALSE)=1,100%,$B$8),100%)</f>
        <v>1</v>
      </c>
      <c r="BP86" s="33" cm="1">
        <f t="array" ref="BP86">IF(VLOOKUP($R86,武学奇术!$A:$ZZ,23,FALSE)=1,100%,MIN(80%,$B$9+VLOOKUP($R86,武学奇术!$A:$ZZ,17,FALSE)+SUM(_xlfn.XLOOKUP($S86:$AL86,增益!$A:$A,增益!$Q:$Q,0)))+$B$11+SUM(_xlfn.XLOOKUP($S86:$AL86,增益!$A:$A,增益!$U:$U,0)))*IF(VLOOKUP($R86,武学奇术!$A:$ZZ,24,FALSE)=1,0,1)</f>
        <v>1</v>
      </c>
      <c r="BQ86" s="33" cm="1">
        <f t="array" ref="BQ86">1+$B$13+VLOOKUP($R86,武学奇术!$A:$ZZ,18,FALSE)+SUM(_xlfn.XLOOKUP($S86:$AL86,增益!$A:$A,增益!$R:$R,0))</f>
        <v>2.1</v>
      </c>
      <c r="BR86" s="33" cm="1">
        <f t="array" ref="BR86">IF(VLOOKUP($R86,武学奇术!$A:$ZZ,24,FALSE)=1,100%,MIN(40%,$B$10+VLOOKUP($R86,武学奇术!$A:$ZZ,19,FALSE)+SUM(_xlfn.XLOOKUP($S86:$AL86,增益!$A:$A,增益!$S:$S,0)))+$B$12+SUM(_xlfn.XLOOKUP($S86:$AL86,增益!$A:$A,增益!$V:$V,0)))*IF(VLOOKUP($R86,武学奇术!$A:$ZZ,23,FALSE)=1,0,1)</f>
        <v>0</v>
      </c>
      <c r="BS86" s="33" cm="1">
        <f t="array" ref="BS86">1+$B$14+VLOOKUP($R86,武学奇术!$A:$ZZ,20,FALSE)+SUM(_xlfn.XLOOKUP($S86:$AL86,增益!$A:$A,增益!$T:$T,0))</f>
        <v>1.35</v>
      </c>
      <c r="BT86" s="33">
        <f t="shared" si="37"/>
        <v>1</v>
      </c>
      <c r="BU86" s="33">
        <f t="shared" si="38"/>
        <v>0</v>
      </c>
      <c r="BV86" s="33">
        <f>IF(VLOOKUP($R86,武学奇术!$A:$ZZ,22,FALSE)=1,0,(1-$BO86))*(1-$BR86)</f>
        <v>0</v>
      </c>
      <c r="BW86" s="33" cm="1">
        <f t="array" ref="BW86">SUM(_xlfn.XLOOKUP($S86:$AL86,增益!$A:$A,增益!$W:$W,0))+$I$5</f>
        <v>0.11</v>
      </c>
      <c r="BX86" s="33" cm="1">
        <f t="array" ref="BX86">VLOOKUP($R86,武学奇术!$A:$ZZ,32,FALSE)+SUM(_xlfn.XLOOKUP($S86:$AL86,增益!$A:$A,增益!$X:$X,0))</f>
        <v>0</v>
      </c>
    </row>
    <row r="87" spans="1:76">
      <c r="L87" s="46">
        <f t="shared" si="40"/>
        <v>499069.81336971</v>
      </c>
      <c r="M87" s="46">
        <f>((($AT87+$AU87)/2*$AN87+$AO87)*(1+$AV87)*(1+$AW87)+(($AY87+$AZ87)/2*IF($G$1="鸣金",$AP87,$AN87)+IF($G$1="鸣金",$AQ87*1.5,0))*(1+$BA87)*(1+$BB87)+(($BC87+$BD87)/2*IF($G$1="裂石",$AP87,$AN87)+IF($G$1="裂石",$AQ87*1.5,0))*(1+$BE87)*(1+$BF87)+(($BG87+$BH87)/2*IF($G$1="牵丝",$AP87,$AN87)+IF($G$1="牵丝",$AQ87*1.5,0))*(1+$BI87)*(1+$BJ87)+(($BK87+$BL87)/2*IF($G$1="破竹",$AP87,$AN87)+IF($G$1="破竹",$AQ87*1.5,0))*(1+$BM87)*(1+$BN87))*(1+$AR87)*$BQ87*$Q87*(1+IF(VLOOKUP($R87,武学奇术!$A:$ZZ,30,FALSE)="蓄力技",$B$21,0))*(1+IF(VLOOKUP($R87,武学奇术!$A:$ZZ,30,FALSE)="派生技",$B$20,0))*(1+$BW87)*(1+$BX87)</f>
        <v>499069.81336971</v>
      </c>
      <c r="N87" s="46">
        <f>(($AU87*$AN87+$AO87)*(1+$AV87)*(1+$AW87)+($AZ87*IF($G$1="鸣金",$AP87,$AN87)+IF($G$1="鸣金",$AQ87*1.5,0))*(1+$BA87)*(1+$BB87)+($BD87*IF($G$1="裂石",$AP87,$AN87)+IF($G$1="裂石",$AQ87*1.5,0))*(1+$BE87)*(1+$BF87)+($BH87*IF($G$1="牵丝",$AP87,$AN87)+IF($G$1="牵丝",$AQ87*1.5,0))*(1+$BI87)*(1+$BJ87)+($BL87*IF($G$1="破竹",$AP87,$AN87)+IF($G$1="破竹",$AQ87*1.5,0))*(1+$BM87)*(1+$BN87))*(1+$AR87)*$BS87*$Q87*(1+IF(VLOOKUP($R87,武学奇术!$A:$ZZ,30,FALSE)="蓄力技",$B$21,0))*(1+IF(VLOOKUP($R87,武学奇术!$A:$ZZ,30,FALSE)="派生技",$B$20,0))*(1+$BW87)*(1+$BX87)</f>
        <v>359126.786183138</v>
      </c>
      <c r="O87" s="46">
        <f>((($AT87+$AU87)/2*$AN87+$AO87)*(1+$AV87)*(1+$AW87)+(($AY87+$AZ87)/2*IF($G$1="鸣金",$AP87,$AN87)+IF($G$1="鸣金",$AQ87*1.5,0))*(1+$BA87)*(1+$BB87)+(($BC87+$BD87)/2*IF($G$1="裂石",$AP87,$AN87)+IF($G$1="裂石",$AQ87*1.5,0))*(1+$BE87)*(1+$BF87)+(($BG87+$BH87)/2*IF($G$1="牵丝",$AP87,$AN87)+IF($G$1="牵丝",$AQ87*1.5,0))*(1+$BI87)*(1+$BJ87)+(($BK87+$BL87)/2*IF($G$1="破竹",$AP87,$AN87)+IF($G$1="破竹",$AQ87*1.5,0))*(1+$BM87)*(1+$BN87))*(1+$AR87)*$Q87*(1+IF(VLOOKUP($R87,武学奇术!$A:$ZZ,30,FALSE)="蓄力技",$B$21,0))*(1+IF(VLOOKUP($R87,武学奇术!$A:$ZZ,30,FALSE)="派生技",$B$20,0))*(1+$BW87)*(1+$BX87)</f>
        <v>237652.292080814</v>
      </c>
      <c r="P87" s="46">
        <f>((($AT87*$AN87+$AO87)*(1+$AV87)*(1+$AW87)+($AY87*IF($G$1="鸣金",$AP87,$AN87)+IF($G$1="鸣金",$AQ87*1.5,0))*(1+$BA87)*(1+$BB87)+($BC87*IF($G$1="裂石",$AP87,$AN87)+IF($G$1="裂石",$AQ87*1.5,0))*(1+$BE87)*(1+$BF87)+($BG87*IF($G$1="牵丝",$AP87,$AN87)+IF($G$1="牵丝",$AQ87*1.5,0))*(1+$BI87)*(1+$BJ87)+($BK87*IF($G$1="破竹",$AP87,$AN87)+IF($G$1="破竹",$AQ87*1.5,0))*(1+$BM87)*(1+$BN87))*(1+$AR87))*$Q87*(1+IF(VLOOKUP($R87,武学奇术!$A:$ZZ,30,FALSE)="蓄力技",$B$21,0))*(1+IF(VLOOKUP($R87,武学奇术!$A:$ZZ,30,FALSE)="派生技",$B$20,0))*(1+$BW87)*(1+$BX87)</f>
        <v>209284.742544489</v>
      </c>
      <c r="Q87" s="47">
        <f t="shared" si="41"/>
        <v>1</v>
      </c>
      <c r="R87" s="48" t="s">
        <v>148</v>
      </c>
      <c r="S87" s="48" t="s">
        <v>99</v>
      </c>
      <c r="T87" s="48" t="s">
        <v>182</v>
      </c>
      <c r="U87" s="48" t="s">
        <v>79</v>
      </c>
      <c r="V87" s="48" t="s">
        <v>90</v>
      </c>
      <c r="W87" s="48" t="s">
        <v>141</v>
      </c>
      <c r="X87" s="48" t="s">
        <v>145</v>
      </c>
      <c r="Y87" s="48" t="s">
        <v>74</v>
      </c>
      <c r="Z87" s="48" t="s">
        <v>80</v>
      </c>
      <c r="AA87" s="48" t="s">
        <v>183</v>
      </c>
      <c r="AB87" s="48" t="s">
        <v>184</v>
      </c>
      <c r="AC87" s="48" t="s">
        <v>80</v>
      </c>
      <c r="AD87" s="48" t="s">
        <v>80</v>
      </c>
      <c r="AE87" s="48" t="s">
        <v>82</v>
      </c>
      <c r="AF87" s="48" t="s">
        <v>83</v>
      </c>
      <c r="AG87" s="48" t="s">
        <v>84</v>
      </c>
      <c r="AH87" s="48" t="s">
        <v>80</v>
      </c>
      <c r="AI87" s="48" t="s">
        <v>80</v>
      </c>
      <c r="AJ87" s="48" t="s">
        <v>80</v>
      </c>
      <c r="AK87" s="48" t="s">
        <v>80</v>
      </c>
      <c r="AL87" s="48" t="s">
        <v>85</v>
      </c>
      <c r="AM87" t="str">
        <f>VLOOKUP($R87,武学奇术!$A:$ZZ,25,FALSE)</f>
        <v>陌刀</v>
      </c>
      <c r="AN87" s="33">
        <f>VLOOKUP($R87,武学奇术!$A:$ZZ,26,FALSE)</f>
        <v>7.5674</v>
      </c>
      <c r="AO87" s="34">
        <f>VLOOKUP($R87,武学奇术!$A:$ZZ,27,FALSE)*(1+IF(OR($AM87=$F$4,$AM87=$F$5),$B$22,0))</f>
        <v>3348.8</v>
      </c>
      <c r="AP87" s="33">
        <f>VLOOKUP($R87,武学奇术!$A:$ZZ,28,FALSE)</f>
        <v>11.3512</v>
      </c>
      <c r="AQ87" s="34">
        <f>VLOOKUP($R87,武学奇术!$A:$ZZ,29,FALSE)*(1+IF(OR($AM87=$F$4,$AM87=$F$5),$B$22,0))</f>
        <v>1824</v>
      </c>
      <c r="AR87" s="33" cm="1">
        <f t="array" ref="AR87">$G$3+IFERROR(VLOOKUP($AM87,$F$4:$G$7,2,FALSE),0)+VLOOKUP($R87,武学奇术!$A:$ZZ,2,FALSE)+SUM(_xlfn.XLOOKUP($S87:$AL87,增益!$A:$A,增益!$B:$B,0))</f>
        <v>0.6943</v>
      </c>
      <c r="AS87" s="33" cm="1">
        <f t="array" ref="AS87">VLOOKUP($R87,武学奇术!$A:$ZZ,5,FALSE)+SUM(_xlfn.XLOOKUP($S87:$AL87,增益!$A:$A,增益!$E:$E,0))</f>
        <v>0</v>
      </c>
      <c r="AT87" cm="1">
        <f t="array" ref="AT87">$D$10*(1+$AS87)+VLOOKUP($R87,武学奇术!$A:$ZZ,3,FALSE)+SUM(_xlfn.XLOOKUP($S87:$AL87,增益!$A:$A,增益!$C:$C,0))-$I$2</f>
        <v>4094.7</v>
      </c>
      <c r="AU87" cm="1">
        <f t="array" ref="AU87">$E$10*(1+$AS87)+VLOOKUP($R87,武学奇术!$A:$ZZ,4,FALSE)+SUM(_xlfn.XLOOKUP($S87:$AL87,增益!$A:$A,增益!$D:$D,0))-$I$2</f>
        <v>4094.7</v>
      </c>
      <c r="AV87" s="40" cm="1">
        <f t="array" ref="AV87">IF($F$10-$I$3+VLOOKUP($R87,武学奇术!$A:$ZZ,6,FALSE)+SUM(_xlfn.XLOOKUP($S87:$AL87,增益!$A:$A,增益!$F:$F,0))&gt;0,($F$10-$I$3+VLOOKUP($R87,武学奇术!$A:$ZZ,6,FALSE)+SUM(_xlfn.XLOOKUP($S87:$AL87,增益!$A:$A,增益!$F:$F,0)))/200,($F$10-$I$3+VLOOKUP($R87,武学奇术!$A:$ZZ,6,FALSE)+SUM(_xlfn.XLOOKUP($S87:$AL87,增益!$A:$A,增益!$F:$F,0)))/100)</f>
        <v>0.4384</v>
      </c>
      <c r="AW87" s="40" cm="1">
        <f t="array" ref="AW87">$G$10+VLOOKUP($R87,武学奇术!$A:$ZZ,7,FALSE)+SUM(_xlfn.XLOOKUP($S87:$AL87,增益!$A:$A,增益!$G:$G,0))</f>
        <v>0.14</v>
      </c>
      <c r="AX87" s="33" cm="1">
        <f t="array" ref="AX87">VLOOKUP($R87,武学奇术!$A:$ZZ,8,FALSE)+SUM(_xlfn.XLOOKUP($S87:$AL87,增益!$A:$A,增益!$H:$H,0))</f>
        <v>0</v>
      </c>
      <c r="AY87">
        <f t="shared" si="29"/>
        <v>0</v>
      </c>
      <c r="AZ87">
        <f t="shared" si="30"/>
        <v>0</v>
      </c>
      <c r="BA87" s="40" cm="1">
        <f t="array" ref="BA87">IF($F$11-$I$4+VLOOKUP($R87,武学奇术!$A:$ZZ,9,FALSE)+SUM(_xlfn.XLOOKUP($S87:$AL87,增益!$A:$A,增益!$I:$I,0))&gt;0,($F$11-$I$4+VLOOKUP($R87,武学奇术!$A:$ZZ,9,FALSE)+SUM(_xlfn.XLOOKUP($S87:$AL87,增益!$A:$A,增益!$I:$I,0)))/200,($F$11-$I$4+VLOOKUP($R87,武学奇术!$A:$ZZ,9,FALSE)+SUM(_xlfn.XLOOKUP($S87:$AL87,增益!$A:$A,增益!$I:$I,0)))/100)</f>
        <v>-0.14</v>
      </c>
      <c r="BB87" s="40" cm="1">
        <f t="array" ref="BB87">$G$11+VLOOKUP($R87,武学奇术!$A:$ZZ,10,FALSE)+SUM(_xlfn.XLOOKUP($S87:$AL87,增益!$A:$A,增益!$J:$J,0))</f>
        <v>0.12</v>
      </c>
      <c r="BC87">
        <f t="shared" si="31"/>
        <v>640.3</v>
      </c>
      <c r="BD87">
        <f t="shared" si="32"/>
        <v>1770.1</v>
      </c>
      <c r="BE87" s="40" cm="1">
        <f t="array" ref="BE87">IF($F$12-$I$4+VLOOKUP($R87,武学奇术!$A:$ZZ,11,FALSE)+SUM(_xlfn.XLOOKUP($S87:$AL87,增益!$A:$A,增益!$K:$K,0))&gt;0,($F$12-$I$4+VLOOKUP($R87,武学奇术!$A:$ZZ,11,FALSE)+SUM(_xlfn.XLOOKUP($S87:$AL87,增益!$A:$A,增益!$K:$K,0)))/200,($F$12-$I$4+VLOOKUP($R87,武学奇术!$A:$ZZ,11,FALSE)+SUM(_xlfn.XLOOKUP($S87:$AL87,增益!$A:$A,增益!$K:$K,0)))/100)</f>
        <v>0.17</v>
      </c>
      <c r="BF87" s="40" cm="1">
        <f t="array" ref="BF87">$G$12+VLOOKUP($R87,武学奇术!$A:$ZZ,12,FALSE)+SUM(_xlfn.XLOOKUP($S87:$AL87,增益!$A:$A,增益!$L:$L,0))</f>
        <v>0.29</v>
      </c>
      <c r="BG87">
        <f t="shared" si="33"/>
        <v>0</v>
      </c>
      <c r="BH87">
        <f t="shared" si="34"/>
        <v>0</v>
      </c>
      <c r="BI87" s="40" cm="1">
        <f t="array" ref="BI87">IF($F$13-$I$4+VLOOKUP($R87,武学奇术!$A:$ZZ,13,FALSE)+SUM(_xlfn.XLOOKUP($S87:$AL87,增益!$A:$A,增益!$M:$M,0))&gt;0,($F$13-$I$4+VLOOKUP($R87,武学奇术!$A:$ZZ,13,FALSE)+SUM(_xlfn.XLOOKUP($S87:$AL87,增益!$A:$A,增益!$K:$K,0)))/200,($F$13-$I$4+VLOOKUP($R87,武学奇术!$A:$ZZ,13,FALSE)+SUM(_xlfn.XLOOKUP($S87:$AL87,增益!$A:$A,增益!$M:$M,0)))/100)</f>
        <v>-0.14</v>
      </c>
      <c r="BJ87" s="40" cm="1">
        <f t="array" ref="BJ87">$G$13+VLOOKUP($R87,武学奇术!$A:$ZZ,14,FALSE)+SUM(_xlfn.XLOOKUP($S87:$AL87,增益!$A:$A,增益!$N:$N,0))</f>
        <v>0.02</v>
      </c>
      <c r="BK87">
        <f t="shared" si="35"/>
        <v>0</v>
      </c>
      <c r="BL87">
        <f t="shared" si="36"/>
        <v>0</v>
      </c>
      <c r="BM87" s="40" cm="1">
        <f t="array" ref="BM87">IF($F$14-$I$4+VLOOKUP($R87,武学奇术!$A:$ZZ,15,FALSE)+SUM(_xlfn.XLOOKUP($S87:$AL87,增益!$A:$A,增益!$O:$O,0))&gt;0,($F$14-$I$4+VLOOKUP($R87,武学奇术!$A:$ZZ,15,FALSE)+SUM(_xlfn.XLOOKUP($S87:$AL87,增益!$A:$A,增益!$O:$O,0)))/200,($F$14-$I$4+VLOOKUP($R87,武学奇术!$A:$ZZ,15,FALSE)+SUM(_xlfn.XLOOKUP($S87:$AL87,增益!$A:$A,增益!$O:$O,0)))/100)</f>
        <v>-0.14</v>
      </c>
      <c r="BN87" s="40" cm="1">
        <f t="array" ref="BN87">$G$14+VLOOKUP($R87,武学奇术!$A:$ZZ,16,FALSE)+SUM(_xlfn.XLOOKUP($S87:$AL87,增益!$A:$A,增益!$P:$P,0))</f>
        <v>0.02</v>
      </c>
      <c r="BO87" s="33">
        <f>MIN(IF(VLOOKUP($R87,武学奇术!$A:$ZZ,23,FALSE)=1,100%,$B$8),100%)</f>
        <v>1</v>
      </c>
      <c r="BP87" s="33" cm="1">
        <f t="array" ref="BP87">IF(VLOOKUP($R87,武学奇术!$A:$ZZ,23,FALSE)=1,100%,MIN(80%,$B$9+VLOOKUP($R87,武学奇术!$A:$ZZ,17,FALSE)+SUM(_xlfn.XLOOKUP($S87:$AL87,增益!$A:$A,增益!$Q:$Q,0)))+$B$11+SUM(_xlfn.XLOOKUP($S87:$AL87,增益!$A:$A,增益!$U:$U,0)))*IF(VLOOKUP($R87,武学奇术!$A:$ZZ,24,FALSE)=1,0,1)</f>
        <v>1</v>
      </c>
      <c r="BQ87" s="33" cm="1">
        <f t="array" ref="BQ87">1+$B$13+VLOOKUP($R87,武学奇术!$A:$ZZ,18,FALSE)+SUM(_xlfn.XLOOKUP($S87:$AL87,增益!$A:$A,增益!$R:$R,0))</f>
        <v>2.1</v>
      </c>
      <c r="BR87" s="33" cm="1">
        <f t="array" ref="BR87">IF(VLOOKUP($R87,武学奇术!$A:$ZZ,24,FALSE)=1,100%,MIN(40%,$B$10+VLOOKUP($R87,武学奇术!$A:$ZZ,19,FALSE)+SUM(_xlfn.XLOOKUP($S87:$AL87,增益!$A:$A,增益!$S:$S,0)))+$B$12+SUM(_xlfn.XLOOKUP($S87:$AL87,增益!$A:$A,增益!$V:$V,0)))*IF(VLOOKUP($R87,武学奇术!$A:$ZZ,23,FALSE)=1,0,1)</f>
        <v>0</v>
      </c>
      <c r="BS87" s="33" cm="1">
        <f t="array" ref="BS87">1+$B$14+VLOOKUP($R87,武学奇术!$A:$ZZ,20,FALSE)+SUM(_xlfn.XLOOKUP($S87:$AL87,增益!$A:$A,增益!$T:$T,0))</f>
        <v>1.35</v>
      </c>
      <c r="BT87" s="33">
        <f t="shared" si="37"/>
        <v>1</v>
      </c>
      <c r="BU87" s="33">
        <f t="shared" si="38"/>
        <v>0</v>
      </c>
      <c r="BV87" s="33">
        <f>IF(VLOOKUP($R87,武学奇术!$A:$ZZ,22,FALSE)=1,0,(1-$BO87))*(1-$BR87)</f>
        <v>0</v>
      </c>
      <c r="BW87" s="33" cm="1">
        <f t="array" ref="BW87">SUM(_xlfn.XLOOKUP($S87:$AL87,增益!$A:$A,增益!$W:$W,0))+$I$5</f>
        <v>0.31</v>
      </c>
      <c r="BX87" s="33" cm="1">
        <f t="array" ref="BX87">VLOOKUP($R87,武学奇术!$A:$ZZ,32,FALSE)+SUM(_xlfn.XLOOKUP($S87:$AL87,增益!$A:$A,增益!$X:$X,0))</f>
        <v>0</v>
      </c>
    </row>
    <row r="88" spans="1:76">
      <c r="L88" s="46">
        <f t="shared" si="40"/>
        <v>61030.5152928066</v>
      </c>
      <c r="M88" s="46">
        <f>((($AT88+$AU88)/2*$AN88+$AO88)*(1+$AV88)*(1+$AW88)+(($AY88+$AZ88)/2*IF($G$1="鸣金",$AP88,$AN88)+IF($G$1="鸣金",$AQ88*1.5,0))*(1+$BA88)*(1+$BB88)+(($BC88+$BD88)/2*IF($G$1="裂石",$AP88,$AN88)+IF($G$1="裂石",$AQ88*1.5,0))*(1+$BE88)*(1+$BF88)+(($BG88+$BH88)/2*IF($G$1="牵丝",$AP88,$AN88)+IF($G$1="牵丝",$AQ88*1.5,0))*(1+$BI88)*(1+$BJ88)+(($BK88+$BL88)/2*IF($G$1="破竹",$AP88,$AN88)+IF($G$1="破竹",$AQ88*1.5,0))*(1+$BM88)*(1+$BN88))*(1+$AR88)*$BQ88*$Q88*(1+IF(VLOOKUP($R88,武学奇术!$A:$ZZ,30,FALSE)="蓄力技",$B$21,0))*(1+IF(VLOOKUP($R88,武学奇术!$A:$ZZ,30,FALSE)="派生技",$B$20,0))*(1+$BW88)*(1+$BX88)</f>
        <v>61030.5152928066</v>
      </c>
      <c r="N88" s="46">
        <f>(($AU88*$AN88+$AO88)*(1+$AV88)*(1+$AW88)+($AZ88*IF($G$1="鸣金",$AP88,$AN88)+IF($G$1="鸣金",$AQ88*1.5,0))*(1+$BA88)*(1+$BB88)+($BD88*IF($G$1="裂石",$AP88,$AN88)+IF($G$1="裂石",$AQ88*1.5,0))*(1+$BE88)*(1+$BF88)+($BH88*IF($G$1="牵丝",$AP88,$AN88)+IF($G$1="牵丝",$AQ88*1.5,0))*(1+$BI88)*(1+$BJ88)+($BL88*IF($G$1="破竹",$AP88,$AN88)+IF($G$1="破竹",$AQ88*1.5,0))*(1+$BM88)*(1+$BN88))*(1+$AR88)*$BS88*$Q88*(1+IF(VLOOKUP($R88,武学奇术!$A:$ZZ,30,FALSE)="蓄力技",$B$21,0))*(1+IF(VLOOKUP($R88,武学奇术!$A:$ZZ,30,FALSE)="派生技",$B$20,0))*(1+$BW88)*(1+$BX88)</f>
        <v>44547.5701596553</v>
      </c>
      <c r="O88" s="46">
        <f>((($AT88+$AU88)/2*$AN88+$AO88)*(1+$AV88)*(1+$AW88)+(($AY88+$AZ88)/2*IF($G$1="鸣金",$AP88,$AN88)+IF($G$1="鸣金",$AQ88*1.5,0))*(1+$BA88)*(1+$BB88)+(($BC88+$BD88)/2*IF($G$1="裂石",$AP88,$AN88)+IF($G$1="裂石",$AQ88*1.5,0))*(1+$BE88)*(1+$BF88)+(($BG88+$BH88)/2*IF($G$1="牵丝",$AP88,$AN88)+IF($G$1="牵丝",$AQ88*1.5,0))*(1+$BI88)*(1+$BJ88)+(($BK88+$BL88)/2*IF($G$1="破竹",$AP88,$AN88)+IF($G$1="破竹",$AQ88*1.5,0))*(1+$BM88)*(1+$BN88))*(1+$AR88)*$Q88*(1+IF(VLOOKUP($R88,武学奇术!$A:$ZZ,30,FALSE)="蓄力技",$B$21,0))*(1+IF(VLOOKUP($R88,武学奇术!$A:$ZZ,30,FALSE)="派生技",$B$20,0))*(1+$BW88)*(1+$BX88)</f>
        <v>29062.1501394317</v>
      </c>
      <c r="P88" s="46">
        <f>((($AT88*$AN88+$AO88)*(1+$AV88)*(1+$AW88)+($AY88*IF($G$1="鸣金",$AP88,$AN88)+IF($G$1="鸣金",$AQ88*1.5,0))*(1+$BA88)*(1+$BB88)+($BC88*IF($G$1="裂石",$AP88,$AN88)+IF($G$1="裂石",$AQ88*1.5,0))*(1+$BE88)*(1+$BF88)+($BG88*IF($G$1="牵丝",$AP88,$AN88)+IF($G$1="牵丝",$AQ88*1.5,0))*(1+$BI88)*(1+$BJ88)+($BK88*IF($G$1="破竹",$AP88,$AN88)+IF($G$1="破竹",$AQ88*1.5,0))*(1+$BM88)*(1+$BN88))*(1+$AR88))*$Q88*(1+IF(VLOOKUP($R88,武学奇术!$A:$ZZ,30,FALSE)="蓄力技",$B$21,0))*(1+IF(VLOOKUP($R88,武学奇术!$A:$ZZ,30,FALSE)="派生技",$B$20,0))*(1+$BW88)*(1+$BX88)</f>
        <v>25126.1001606002</v>
      </c>
      <c r="Q88" s="47">
        <f>IF($E$24="陌刀",2,0)</f>
        <v>2</v>
      </c>
      <c r="R88" s="48" t="s">
        <v>154</v>
      </c>
      <c r="S88" s="48" t="s">
        <v>99</v>
      </c>
      <c r="T88" s="48" t="s">
        <v>182</v>
      </c>
      <c r="U88" s="48" t="s">
        <v>79</v>
      </c>
      <c r="V88" s="48" t="s">
        <v>90</v>
      </c>
      <c r="W88" s="48" t="s">
        <v>141</v>
      </c>
      <c r="X88" s="48" t="s">
        <v>145</v>
      </c>
      <c r="Y88" s="48" t="s">
        <v>74</v>
      </c>
      <c r="Z88" s="48" t="s">
        <v>80</v>
      </c>
      <c r="AA88" s="48" t="s">
        <v>183</v>
      </c>
      <c r="AB88" s="48" t="s">
        <v>184</v>
      </c>
      <c r="AC88" s="48" t="s">
        <v>80</v>
      </c>
      <c r="AD88" s="48" t="s">
        <v>80</v>
      </c>
      <c r="AE88" s="48" t="s">
        <v>82</v>
      </c>
      <c r="AF88" s="48" t="s">
        <v>83</v>
      </c>
      <c r="AG88" s="48" t="s">
        <v>84</v>
      </c>
      <c r="AH88" s="48" t="s">
        <v>80</v>
      </c>
      <c r="AI88" s="48" t="s">
        <v>80</v>
      </c>
      <c r="AJ88" s="48" t="s">
        <v>80</v>
      </c>
      <c r="AK88" s="48" t="s">
        <v>80</v>
      </c>
      <c r="AL88" s="48" t="s">
        <v>85</v>
      </c>
      <c r="AM88" t="str">
        <f>VLOOKUP($R88,武学奇术!$A:$ZZ,25,FALSE)</f>
        <v>陌刀</v>
      </c>
      <c r="AN88" s="33">
        <f>VLOOKUP($R88,武学奇术!$A:$ZZ,26,FALSE)</f>
        <v>0.525</v>
      </c>
      <c r="AO88" s="34">
        <f>VLOOKUP($R88,武学奇术!$A:$ZZ,27,FALSE)*(1+IF(OR($AM88=$F$4,$AM88=$F$5),$B$22,0))</f>
        <v>0</v>
      </c>
      <c r="AP88" s="33">
        <f>VLOOKUP($R88,武学奇术!$A:$ZZ,28,FALSE)</f>
        <v>0.7875</v>
      </c>
      <c r="AQ88" s="34">
        <f>VLOOKUP($R88,武学奇术!$A:$ZZ,29,FALSE)*(1+IF(OR($AM88=$F$4,$AM88=$F$5),$B$22,0))</f>
        <v>0</v>
      </c>
      <c r="AR88" s="33" cm="1">
        <f t="array" ref="AR88">$G$3+IFERROR(VLOOKUP($AM88,$F$4:$G$7,2,FALSE),0)+VLOOKUP($R88,武学奇术!$A:$ZZ,2,FALSE)+SUM(_xlfn.XLOOKUP($S88:$AL88,增益!$A:$A,增益!$B:$B,0))</f>
        <v>0.6943</v>
      </c>
      <c r="AS88" s="33" cm="1">
        <f t="array" ref="AS88">VLOOKUP($R88,武学奇术!$A:$ZZ,5,FALSE)+SUM(_xlfn.XLOOKUP($S88:$AL88,增益!$A:$A,增益!$E:$E,0))</f>
        <v>0</v>
      </c>
      <c r="AT88" cm="1">
        <f t="array" ref="AT88">$D$10*(1+$AS88)+VLOOKUP($R88,武学奇术!$A:$ZZ,3,FALSE)+SUM(_xlfn.XLOOKUP($S88:$AL88,增益!$A:$A,增益!$C:$C,0))-$I$2</f>
        <v>4094.7</v>
      </c>
      <c r="AU88" cm="1">
        <f t="array" ref="AU88">$E$10*(1+$AS88)+VLOOKUP($R88,武学奇术!$A:$ZZ,4,FALSE)+SUM(_xlfn.XLOOKUP($S88:$AL88,增益!$A:$A,增益!$D:$D,0))-$I$2</f>
        <v>4094.7</v>
      </c>
      <c r="AV88" s="40" cm="1">
        <f t="array" ref="AV88">IF($F$10-$I$3+VLOOKUP($R88,武学奇术!$A:$ZZ,6,FALSE)+SUM(_xlfn.XLOOKUP($S88:$AL88,增益!$A:$A,增益!$F:$F,0))&gt;0,($F$10-$I$3+VLOOKUP($R88,武学奇术!$A:$ZZ,6,FALSE)+SUM(_xlfn.XLOOKUP($S88:$AL88,增益!$A:$A,增益!$F:$F,0)))/200,($F$10-$I$3+VLOOKUP($R88,武学奇术!$A:$ZZ,6,FALSE)+SUM(_xlfn.XLOOKUP($S88:$AL88,增益!$A:$A,增益!$F:$F,0)))/100)</f>
        <v>0.4384</v>
      </c>
      <c r="AW88" s="40" cm="1">
        <f t="array" ref="AW88">$G$10+VLOOKUP($R88,武学奇术!$A:$ZZ,7,FALSE)+SUM(_xlfn.XLOOKUP($S88:$AL88,增益!$A:$A,增益!$G:$G,0))</f>
        <v>0.14</v>
      </c>
      <c r="AX88" s="33" cm="1">
        <f t="array" ref="AX88">VLOOKUP($R88,武学奇术!$A:$ZZ,8,FALSE)+SUM(_xlfn.XLOOKUP($S88:$AL88,增益!$A:$A,增益!$H:$H,0))</f>
        <v>0</v>
      </c>
      <c r="AY88">
        <f t="shared" si="29"/>
        <v>0</v>
      </c>
      <c r="AZ88">
        <f t="shared" si="30"/>
        <v>0</v>
      </c>
      <c r="BA88" s="40" cm="1">
        <f t="array" ref="BA88">IF($F$11-$I$4+VLOOKUP($R88,武学奇术!$A:$ZZ,9,FALSE)+SUM(_xlfn.XLOOKUP($S88:$AL88,增益!$A:$A,增益!$I:$I,0))&gt;0,($F$11-$I$4+VLOOKUP($R88,武学奇术!$A:$ZZ,9,FALSE)+SUM(_xlfn.XLOOKUP($S88:$AL88,增益!$A:$A,增益!$I:$I,0)))/200,($F$11-$I$4+VLOOKUP($R88,武学奇术!$A:$ZZ,9,FALSE)+SUM(_xlfn.XLOOKUP($S88:$AL88,增益!$A:$A,增益!$I:$I,0)))/100)</f>
        <v>-0.14</v>
      </c>
      <c r="BB88" s="40" cm="1">
        <f t="array" ref="BB88">$G$11+VLOOKUP($R88,武学奇术!$A:$ZZ,10,FALSE)+SUM(_xlfn.XLOOKUP($S88:$AL88,增益!$A:$A,增益!$J:$J,0))</f>
        <v>0.12</v>
      </c>
      <c r="BC88">
        <f t="shared" si="31"/>
        <v>640.3</v>
      </c>
      <c r="BD88">
        <f t="shared" si="32"/>
        <v>1770.1</v>
      </c>
      <c r="BE88" s="40" cm="1">
        <f t="array" ref="BE88">IF($F$12-$I$4+VLOOKUP($R88,武学奇术!$A:$ZZ,11,FALSE)+SUM(_xlfn.XLOOKUP($S88:$AL88,增益!$A:$A,增益!$K:$K,0))&gt;0,($F$12-$I$4+VLOOKUP($R88,武学奇术!$A:$ZZ,11,FALSE)+SUM(_xlfn.XLOOKUP($S88:$AL88,增益!$A:$A,增益!$K:$K,0)))/200,($F$12-$I$4+VLOOKUP($R88,武学奇术!$A:$ZZ,11,FALSE)+SUM(_xlfn.XLOOKUP($S88:$AL88,增益!$A:$A,增益!$K:$K,0)))/100)</f>
        <v>0.17</v>
      </c>
      <c r="BF88" s="40" cm="1">
        <f t="array" ref="BF88">$G$12+VLOOKUP($R88,武学奇术!$A:$ZZ,12,FALSE)+SUM(_xlfn.XLOOKUP($S88:$AL88,增益!$A:$A,增益!$L:$L,0))</f>
        <v>0.29</v>
      </c>
      <c r="BG88">
        <f t="shared" si="33"/>
        <v>0</v>
      </c>
      <c r="BH88">
        <f t="shared" si="34"/>
        <v>0</v>
      </c>
      <c r="BI88" s="40" cm="1">
        <f t="array" ref="BI88">IF($F$13-$I$4+VLOOKUP($R88,武学奇术!$A:$ZZ,13,FALSE)+SUM(_xlfn.XLOOKUP($S88:$AL88,增益!$A:$A,增益!$M:$M,0))&gt;0,($F$13-$I$4+VLOOKUP($R88,武学奇术!$A:$ZZ,13,FALSE)+SUM(_xlfn.XLOOKUP($S88:$AL88,增益!$A:$A,增益!$K:$K,0)))/200,($F$13-$I$4+VLOOKUP($R88,武学奇术!$A:$ZZ,13,FALSE)+SUM(_xlfn.XLOOKUP($S88:$AL88,增益!$A:$A,增益!$M:$M,0)))/100)</f>
        <v>-0.14</v>
      </c>
      <c r="BJ88" s="40" cm="1">
        <f t="array" ref="BJ88">$G$13+VLOOKUP($R88,武学奇术!$A:$ZZ,14,FALSE)+SUM(_xlfn.XLOOKUP($S88:$AL88,增益!$A:$A,增益!$N:$N,0))</f>
        <v>0.02</v>
      </c>
      <c r="BK88">
        <f t="shared" si="35"/>
        <v>0</v>
      </c>
      <c r="BL88">
        <f t="shared" si="36"/>
        <v>0</v>
      </c>
      <c r="BM88" s="40" cm="1">
        <f t="array" ref="BM88">IF($F$14-$I$4+VLOOKUP($R88,武学奇术!$A:$ZZ,15,FALSE)+SUM(_xlfn.XLOOKUP($S88:$AL88,增益!$A:$A,增益!$O:$O,0))&gt;0,($F$14-$I$4+VLOOKUP($R88,武学奇术!$A:$ZZ,15,FALSE)+SUM(_xlfn.XLOOKUP($S88:$AL88,增益!$A:$A,增益!$O:$O,0)))/200,($F$14-$I$4+VLOOKUP($R88,武学奇术!$A:$ZZ,15,FALSE)+SUM(_xlfn.XLOOKUP($S88:$AL88,增益!$A:$A,增益!$O:$O,0)))/100)</f>
        <v>-0.14</v>
      </c>
      <c r="BN88" s="40" cm="1">
        <f t="array" ref="BN88">$G$14+VLOOKUP($R88,武学奇术!$A:$ZZ,16,FALSE)+SUM(_xlfn.XLOOKUP($S88:$AL88,增益!$A:$A,增益!$P:$P,0))</f>
        <v>0.02</v>
      </c>
      <c r="BO88" s="33">
        <f>MIN(IF(VLOOKUP($R88,武学奇术!$A:$ZZ,23,FALSE)=1,100%,$B$8),100%)</f>
        <v>1</v>
      </c>
      <c r="BP88" s="33" cm="1">
        <f t="array" ref="BP88">IF(VLOOKUP($R88,武学奇术!$A:$ZZ,23,FALSE)=1,100%,MIN(80%,$B$9+VLOOKUP($R88,武学奇术!$A:$ZZ,17,FALSE)+SUM(_xlfn.XLOOKUP($S88:$AL88,增益!$A:$A,增益!$Q:$Q,0)))+$B$11+SUM(_xlfn.XLOOKUP($S88:$AL88,增益!$A:$A,增益!$U:$U,0)))*IF(VLOOKUP($R88,武学奇术!$A:$ZZ,24,FALSE)=1,0,1)</f>
        <v>1</v>
      </c>
      <c r="BQ88" s="33" cm="1">
        <f t="array" ref="BQ88">1+$B$13+VLOOKUP($R88,武学奇术!$A:$ZZ,18,FALSE)+SUM(_xlfn.XLOOKUP($S88:$AL88,增益!$A:$A,增益!$R:$R,0))</f>
        <v>2.1</v>
      </c>
      <c r="BR88" s="33" cm="1">
        <f t="array" ref="BR88">IF(VLOOKUP($R88,武学奇术!$A:$ZZ,24,FALSE)=1,100%,MIN(40%,$B$10+VLOOKUP($R88,武学奇术!$A:$ZZ,19,FALSE)+SUM(_xlfn.XLOOKUP($S88:$AL88,增益!$A:$A,增益!$S:$S,0)))+$B$12+SUM(_xlfn.XLOOKUP($S88:$AL88,增益!$A:$A,增益!$V:$V,0)))*IF(VLOOKUP($R88,武学奇术!$A:$ZZ,23,FALSE)=1,0,1)</f>
        <v>0</v>
      </c>
      <c r="BS88" s="33" cm="1">
        <f t="array" ref="BS88">1+$B$14+VLOOKUP($R88,武学奇术!$A:$ZZ,20,FALSE)+SUM(_xlfn.XLOOKUP($S88:$AL88,增益!$A:$A,增益!$T:$T,0))</f>
        <v>1.35</v>
      </c>
      <c r="BT88" s="33">
        <f t="shared" si="37"/>
        <v>1</v>
      </c>
      <c r="BU88" s="33">
        <f t="shared" si="38"/>
        <v>0</v>
      </c>
      <c r="BV88" s="33">
        <f>IF(VLOOKUP($R88,武学奇术!$A:$ZZ,22,FALSE)=1,0,(1-$BO88))*(1-$BR88)</f>
        <v>0</v>
      </c>
      <c r="BW88" s="33" cm="1">
        <f t="array" ref="BW88">SUM(_xlfn.XLOOKUP($S88:$AL88,增益!$A:$A,增益!$W:$W,0))+$I$5</f>
        <v>0.31</v>
      </c>
      <c r="BX88" s="33" cm="1">
        <f t="array" ref="BX88">VLOOKUP($R88,武学奇术!$A:$ZZ,32,FALSE)+SUM(_xlfn.XLOOKUP($S88:$AL88,增益!$A:$A,增益!$X:$X,0))</f>
        <v>0</v>
      </c>
    </row>
    <row r="89" spans="1:76">
      <c r="L89" s="46">
        <f t="shared" si="40"/>
        <v>109854.927527052</v>
      </c>
      <c r="M89" s="46">
        <f>((($AT89+$AU89)/2*$AN89+$AO89)*(1+$AV89)*(1+$AW89)+(($AY89+$AZ89)/2*IF($G$1="鸣金",$AP89,$AN89)+IF($G$1="鸣金",$AQ89*1.5,0))*(1+$BA89)*(1+$BB89)+(($BC89+$BD89)/2*IF($G$1="裂石",$AP89,$AN89)+IF($G$1="裂石",$AQ89*1.5,0))*(1+$BE89)*(1+$BF89)+(($BG89+$BH89)/2*IF($G$1="牵丝",$AP89,$AN89)+IF($G$1="牵丝",$AQ89*1.5,0))*(1+$BI89)*(1+$BJ89)+(($BK89+$BL89)/2*IF($G$1="破竹",$AP89,$AN89)+IF($G$1="破竹",$AQ89*1.5,0))*(1+$BM89)*(1+$BN89))*(1+$AR89)*$BQ89*$Q89*(1+IF(VLOOKUP($R89,武学奇术!$A:$ZZ,30,FALSE)="蓄力技",$B$21,0))*(1+IF(VLOOKUP($R89,武学奇术!$A:$ZZ,30,FALSE)="派生技",$B$20,0))*(1+$BW89)*(1+$BX89)</f>
        <v>109854.927527052</v>
      </c>
      <c r="N89" s="46">
        <f>(($AU89*$AN89+$AO89)*(1+$AV89)*(1+$AW89)+($AZ89*IF($G$1="鸣金",$AP89,$AN89)+IF($G$1="鸣金",$AQ89*1.5,0))*(1+$BA89)*(1+$BB89)+($BD89*IF($G$1="裂石",$AP89,$AN89)+IF($G$1="裂石",$AQ89*1.5,0))*(1+$BE89)*(1+$BF89)+($BH89*IF($G$1="牵丝",$AP89,$AN89)+IF($G$1="牵丝",$AQ89*1.5,0))*(1+$BI89)*(1+$BJ89)+($BL89*IF($G$1="破竹",$AP89,$AN89)+IF($G$1="破竹",$AQ89*1.5,0))*(1+$BM89)*(1+$BN89))*(1+$AR89)*$BS89*$Q89*(1+IF(VLOOKUP($R89,武学奇术!$A:$ZZ,30,FALSE)="蓄力技",$B$21,0))*(1+IF(VLOOKUP($R89,武学奇术!$A:$ZZ,30,FALSE)="派生技",$B$20,0))*(1+$BW89)*(1+$BX89)</f>
        <v>80185.6262873795</v>
      </c>
      <c r="O89" s="46">
        <f>((($AT89+$AU89)/2*$AN89+$AO89)*(1+$AV89)*(1+$AW89)+(($AY89+$AZ89)/2*IF($G$1="鸣金",$AP89,$AN89)+IF($G$1="鸣金",$AQ89*1.5,0))*(1+$BA89)*(1+$BB89)+(($BC89+$BD89)/2*IF($G$1="裂石",$AP89,$AN89)+IF($G$1="裂石",$AQ89*1.5,0))*(1+$BE89)*(1+$BF89)+(($BG89+$BH89)/2*IF($G$1="牵丝",$AP89,$AN89)+IF($G$1="牵丝",$AQ89*1.5,0))*(1+$BI89)*(1+$BJ89)+(($BK89+$BL89)/2*IF($G$1="破竹",$AP89,$AN89)+IF($G$1="破竹",$AQ89*1.5,0))*(1+$BM89)*(1+$BN89))*(1+$AR89)*$Q89*(1+IF(VLOOKUP($R89,武学奇术!$A:$ZZ,30,FALSE)="蓄力技",$B$21,0))*(1+IF(VLOOKUP($R89,武学奇术!$A:$ZZ,30,FALSE)="派生技",$B$20,0))*(1+$BW89)*(1+$BX89)</f>
        <v>52311.870250977</v>
      </c>
      <c r="P89" s="46">
        <f>((($AT89*$AN89+$AO89)*(1+$AV89)*(1+$AW89)+($AY89*IF($G$1="鸣金",$AP89,$AN89)+IF($G$1="鸣金",$AQ89*1.5,0))*(1+$BA89)*(1+$BB89)+($BC89*IF($G$1="裂石",$AP89,$AN89)+IF($G$1="裂石",$AQ89*1.5,0))*(1+$BE89)*(1+$BF89)+($BG89*IF($G$1="牵丝",$AP89,$AN89)+IF($G$1="牵丝",$AQ89*1.5,0))*(1+$BI89)*(1+$BJ89)+($BK89*IF($G$1="破竹",$AP89,$AN89)+IF($G$1="破竹",$AQ89*1.5,0))*(1+$BM89)*(1+$BN89))*(1+$AR89))*$Q89*(1+IF(VLOOKUP($R89,武学奇术!$A:$ZZ,30,FALSE)="蓄力技",$B$21,0))*(1+IF(VLOOKUP($R89,武学奇术!$A:$ZZ,30,FALSE)="派生技",$B$20,0))*(1+$BW89)*(1+$BX89)</f>
        <v>45226.9802890804</v>
      </c>
      <c r="Q89" s="47">
        <f>IF($E$24="陌刀",2,0)</f>
        <v>2</v>
      </c>
      <c r="R89" s="48" t="s">
        <v>144</v>
      </c>
      <c r="S89" s="48" t="s">
        <v>99</v>
      </c>
      <c r="T89" s="48" t="s">
        <v>182</v>
      </c>
      <c r="U89" s="48" t="s">
        <v>79</v>
      </c>
      <c r="V89" s="48" t="s">
        <v>90</v>
      </c>
      <c r="W89" s="48" t="s">
        <v>141</v>
      </c>
      <c r="X89" s="48" t="s">
        <v>145</v>
      </c>
      <c r="Y89" s="48" t="s">
        <v>74</v>
      </c>
      <c r="Z89" s="48" t="s">
        <v>80</v>
      </c>
      <c r="AA89" s="48" t="s">
        <v>183</v>
      </c>
      <c r="AB89" s="48" t="s">
        <v>184</v>
      </c>
      <c r="AC89" s="48" t="s">
        <v>80</v>
      </c>
      <c r="AD89" s="48" t="s">
        <v>80</v>
      </c>
      <c r="AE89" s="48" t="s">
        <v>82</v>
      </c>
      <c r="AF89" s="48" t="s">
        <v>83</v>
      </c>
      <c r="AG89" s="48" t="s">
        <v>84</v>
      </c>
      <c r="AH89" s="48" t="s">
        <v>80</v>
      </c>
      <c r="AI89" s="48" t="s">
        <v>80</v>
      </c>
      <c r="AJ89" s="48" t="s">
        <v>80</v>
      </c>
      <c r="AK89" s="48" t="s">
        <v>80</v>
      </c>
      <c r="AL89" s="48" t="s">
        <v>85</v>
      </c>
      <c r="AM89" t="str">
        <f>VLOOKUP($R89,武学奇术!$A:$ZZ,25,FALSE)</f>
        <v>陌刀</v>
      </c>
      <c r="AN89" s="33">
        <f>VLOOKUP($R89,武学奇术!$A:$ZZ,26,FALSE)</f>
        <v>0.945</v>
      </c>
      <c r="AO89" s="34">
        <f>VLOOKUP($R89,武学奇术!$A:$ZZ,27,FALSE)*(1+IF(OR($AM89=$F$4,$AM89=$F$5),$B$22,0))</f>
        <v>0</v>
      </c>
      <c r="AP89" s="33">
        <f>VLOOKUP($R89,武学奇术!$A:$ZZ,28,FALSE)</f>
        <v>1.4175</v>
      </c>
      <c r="AQ89" s="34">
        <f>VLOOKUP($R89,武学奇术!$A:$ZZ,29,FALSE)*(1+IF(OR($AM89=$F$4,$AM89=$F$5),$B$22,0))</f>
        <v>0</v>
      </c>
      <c r="AR89" s="33" cm="1">
        <f t="array" ref="AR89">$G$3+IFERROR(VLOOKUP($AM89,$F$4:$G$7,2,FALSE),0)+VLOOKUP($R89,武学奇术!$A:$ZZ,2,FALSE)+SUM(_xlfn.XLOOKUP($S89:$AL89,增益!$A:$A,增益!$B:$B,0))</f>
        <v>0.6943</v>
      </c>
      <c r="AS89" s="33" cm="1">
        <f t="array" ref="AS89">VLOOKUP($R89,武学奇术!$A:$ZZ,5,FALSE)+SUM(_xlfn.XLOOKUP($S89:$AL89,增益!$A:$A,增益!$E:$E,0))</f>
        <v>0</v>
      </c>
      <c r="AT89" cm="1">
        <f t="array" ref="AT89">$D$10*(1+$AS89)+VLOOKUP($R89,武学奇术!$A:$ZZ,3,FALSE)+SUM(_xlfn.XLOOKUP($S89:$AL89,增益!$A:$A,增益!$C:$C,0))-$I$2</f>
        <v>4094.7</v>
      </c>
      <c r="AU89" cm="1">
        <f t="array" ref="AU89">$E$10*(1+$AS89)+VLOOKUP($R89,武学奇术!$A:$ZZ,4,FALSE)+SUM(_xlfn.XLOOKUP($S89:$AL89,增益!$A:$A,增益!$D:$D,0))-$I$2</f>
        <v>4094.7</v>
      </c>
      <c r="AV89" s="40" cm="1">
        <f t="array" ref="AV89">IF($F$10-$I$3+VLOOKUP($R89,武学奇术!$A:$ZZ,6,FALSE)+SUM(_xlfn.XLOOKUP($S89:$AL89,增益!$A:$A,增益!$F:$F,0))&gt;0,($F$10-$I$3+VLOOKUP($R89,武学奇术!$A:$ZZ,6,FALSE)+SUM(_xlfn.XLOOKUP($S89:$AL89,增益!$A:$A,增益!$F:$F,0)))/200,($F$10-$I$3+VLOOKUP($R89,武学奇术!$A:$ZZ,6,FALSE)+SUM(_xlfn.XLOOKUP($S89:$AL89,增益!$A:$A,增益!$F:$F,0)))/100)</f>
        <v>0.4384</v>
      </c>
      <c r="AW89" s="40" cm="1">
        <f t="array" ref="AW89">$G$10+VLOOKUP($R89,武学奇术!$A:$ZZ,7,FALSE)+SUM(_xlfn.XLOOKUP($S89:$AL89,增益!$A:$A,增益!$G:$G,0))</f>
        <v>0.14</v>
      </c>
      <c r="AX89" s="33" cm="1">
        <f t="array" ref="AX89">VLOOKUP($R89,武学奇术!$A:$ZZ,8,FALSE)+SUM(_xlfn.XLOOKUP($S89:$AL89,增益!$A:$A,增益!$H:$H,0))</f>
        <v>0</v>
      </c>
      <c r="AY89">
        <f t="shared" si="29"/>
        <v>0</v>
      </c>
      <c r="AZ89">
        <f t="shared" si="30"/>
        <v>0</v>
      </c>
      <c r="BA89" s="40" cm="1">
        <f t="array" ref="BA89">IF($F$11-$I$4+VLOOKUP($R89,武学奇术!$A:$ZZ,9,FALSE)+SUM(_xlfn.XLOOKUP($S89:$AL89,增益!$A:$A,增益!$I:$I,0))&gt;0,($F$11-$I$4+VLOOKUP($R89,武学奇术!$A:$ZZ,9,FALSE)+SUM(_xlfn.XLOOKUP($S89:$AL89,增益!$A:$A,增益!$I:$I,0)))/200,($F$11-$I$4+VLOOKUP($R89,武学奇术!$A:$ZZ,9,FALSE)+SUM(_xlfn.XLOOKUP($S89:$AL89,增益!$A:$A,增益!$I:$I,0)))/100)</f>
        <v>-0.14</v>
      </c>
      <c r="BB89" s="40" cm="1">
        <f t="array" ref="BB89">$G$11+VLOOKUP($R89,武学奇术!$A:$ZZ,10,FALSE)+SUM(_xlfn.XLOOKUP($S89:$AL89,增益!$A:$A,增益!$J:$J,0))</f>
        <v>0.12</v>
      </c>
      <c r="BC89">
        <f t="shared" si="31"/>
        <v>640.3</v>
      </c>
      <c r="BD89">
        <f t="shared" si="32"/>
        <v>1770.1</v>
      </c>
      <c r="BE89" s="40" cm="1">
        <f t="array" ref="BE89">IF($F$12-$I$4+VLOOKUP($R89,武学奇术!$A:$ZZ,11,FALSE)+SUM(_xlfn.XLOOKUP($S89:$AL89,增益!$A:$A,增益!$K:$K,0))&gt;0,($F$12-$I$4+VLOOKUP($R89,武学奇术!$A:$ZZ,11,FALSE)+SUM(_xlfn.XLOOKUP($S89:$AL89,增益!$A:$A,增益!$K:$K,0)))/200,($F$12-$I$4+VLOOKUP($R89,武学奇术!$A:$ZZ,11,FALSE)+SUM(_xlfn.XLOOKUP($S89:$AL89,增益!$A:$A,增益!$K:$K,0)))/100)</f>
        <v>0.17</v>
      </c>
      <c r="BF89" s="40" cm="1">
        <f t="array" ref="BF89">$G$12+VLOOKUP($R89,武学奇术!$A:$ZZ,12,FALSE)+SUM(_xlfn.XLOOKUP($S89:$AL89,增益!$A:$A,增益!$L:$L,0))</f>
        <v>0.29</v>
      </c>
      <c r="BG89">
        <f t="shared" si="33"/>
        <v>0</v>
      </c>
      <c r="BH89">
        <f t="shared" si="34"/>
        <v>0</v>
      </c>
      <c r="BI89" s="40" cm="1">
        <f t="array" ref="BI89">IF($F$13-$I$4+VLOOKUP($R89,武学奇术!$A:$ZZ,13,FALSE)+SUM(_xlfn.XLOOKUP($S89:$AL89,增益!$A:$A,增益!$M:$M,0))&gt;0,($F$13-$I$4+VLOOKUP($R89,武学奇术!$A:$ZZ,13,FALSE)+SUM(_xlfn.XLOOKUP($S89:$AL89,增益!$A:$A,增益!$K:$K,0)))/200,($F$13-$I$4+VLOOKUP($R89,武学奇术!$A:$ZZ,13,FALSE)+SUM(_xlfn.XLOOKUP($S89:$AL89,增益!$A:$A,增益!$M:$M,0)))/100)</f>
        <v>-0.14</v>
      </c>
      <c r="BJ89" s="40" cm="1">
        <f t="array" ref="BJ89">$G$13+VLOOKUP($R89,武学奇术!$A:$ZZ,14,FALSE)+SUM(_xlfn.XLOOKUP($S89:$AL89,增益!$A:$A,增益!$N:$N,0))</f>
        <v>0.02</v>
      </c>
      <c r="BK89">
        <f t="shared" si="35"/>
        <v>0</v>
      </c>
      <c r="BL89">
        <f t="shared" si="36"/>
        <v>0</v>
      </c>
      <c r="BM89" s="40" cm="1">
        <f t="array" ref="BM89">IF($F$14-$I$4+VLOOKUP($R89,武学奇术!$A:$ZZ,15,FALSE)+SUM(_xlfn.XLOOKUP($S89:$AL89,增益!$A:$A,增益!$O:$O,0))&gt;0,($F$14-$I$4+VLOOKUP($R89,武学奇术!$A:$ZZ,15,FALSE)+SUM(_xlfn.XLOOKUP($S89:$AL89,增益!$A:$A,增益!$O:$O,0)))/200,($F$14-$I$4+VLOOKUP($R89,武学奇术!$A:$ZZ,15,FALSE)+SUM(_xlfn.XLOOKUP($S89:$AL89,增益!$A:$A,增益!$O:$O,0)))/100)</f>
        <v>-0.14</v>
      </c>
      <c r="BN89" s="40" cm="1">
        <f t="array" ref="BN89">$G$14+VLOOKUP($R89,武学奇术!$A:$ZZ,16,FALSE)+SUM(_xlfn.XLOOKUP($S89:$AL89,增益!$A:$A,增益!$P:$P,0))</f>
        <v>0.02</v>
      </c>
      <c r="BO89" s="33">
        <f>MIN(IF(VLOOKUP($R89,武学奇术!$A:$ZZ,23,FALSE)=1,100%,$B$8),100%)</f>
        <v>1</v>
      </c>
      <c r="BP89" s="33" cm="1">
        <f t="array" ref="BP89">IF(VLOOKUP($R89,武学奇术!$A:$ZZ,23,FALSE)=1,100%,MIN(80%,$B$9+VLOOKUP($R89,武学奇术!$A:$ZZ,17,FALSE)+SUM(_xlfn.XLOOKUP($S89:$AL89,增益!$A:$A,增益!$Q:$Q,0)))+$B$11+SUM(_xlfn.XLOOKUP($S89:$AL89,增益!$A:$A,增益!$U:$U,0)))*IF(VLOOKUP($R89,武学奇术!$A:$ZZ,24,FALSE)=1,0,1)</f>
        <v>1</v>
      </c>
      <c r="BQ89" s="33" cm="1">
        <f t="array" ref="BQ89">1+$B$13+VLOOKUP($R89,武学奇术!$A:$ZZ,18,FALSE)+SUM(_xlfn.XLOOKUP($S89:$AL89,增益!$A:$A,增益!$R:$R,0))</f>
        <v>2.1</v>
      </c>
      <c r="BR89" s="33" cm="1">
        <f t="array" ref="BR89">IF(VLOOKUP($R89,武学奇术!$A:$ZZ,24,FALSE)=1,100%,MIN(40%,$B$10+VLOOKUP($R89,武学奇术!$A:$ZZ,19,FALSE)+SUM(_xlfn.XLOOKUP($S89:$AL89,增益!$A:$A,增益!$S:$S,0)))+$B$12+SUM(_xlfn.XLOOKUP($S89:$AL89,增益!$A:$A,增益!$V:$V,0)))*IF(VLOOKUP($R89,武学奇术!$A:$ZZ,23,FALSE)=1,0,1)</f>
        <v>0</v>
      </c>
      <c r="BS89" s="33" cm="1">
        <f t="array" ref="BS89">1+$B$14+VLOOKUP($R89,武学奇术!$A:$ZZ,20,FALSE)+SUM(_xlfn.XLOOKUP($S89:$AL89,增益!$A:$A,增益!$T:$T,0))</f>
        <v>1.35</v>
      </c>
      <c r="BT89" s="33">
        <f t="shared" si="37"/>
        <v>1</v>
      </c>
      <c r="BU89" s="33">
        <f t="shared" si="38"/>
        <v>0</v>
      </c>
      <c r="BV89" s="33">
        <f>IF(VLOOKUP($R89,武学奇术!$A:$ZZ,22,FALSE)=1,0,(1-$BO89))*(1-$BR89)</f>
        <v>0</v>
      </c>
      <c r="BW89" s="33" cm="1">
        <f t="array" ref="BW89">SUM(_xlfn.XLOOKUP($S89:$AL89,增益!$A:$A,增益!$W:$W,0))+$I$5</f>
        <v>0.31</v>
      </c>
      <c r="BX89" s="33" cm="1">
        <f t="array" ref="BX89">VLOOKUP($R89,武学奇术!$A:$ZZ,32,FALSE)+SUM(_xlfn.XLOOKUP($S89:$AL89,增益!$A:$A,增益!$X:$X,0))</f>
        <v>0</v>
      </c>
    </row>
    <row r="90" spans="1:76">
      <c r="L90" s="46">
        <f t="shared" si="40"/>
        <v>998139.626739421</v>
      </c>
      <c r="M90" s="46">
        <f>((($AT90+$AU90)/2*$AN90+$AO90)*(1+$AV90)*(1+$AW90)+(($AY90+$AZ90)/2*IF($G$1="鸣金",$AP90,$AN90)+IF($G$1="鸣金",$AQ90*1.5,0))*(1+$BA90)*(1+$BB90)+(($BC90+$BD90)/2*IF($G$1="裂石",$AP90,$AN90)+IF($G$1="裂石",$AQ90*1.5,0))*(1+$BE90)*(1+$BF90)+(($BG90+$BH90)/2*IF($G$1="牵丝",$AP90,$AN90)+IF($G$1="牵丝",$AQ90*1.5,0))*(1+$BI90)*(1+$BJ90)+(($BK90+$BL90)/2*IF($G$1="破竹",$AP90,$AN90)+IF($G$1="破竹",$AQ90*1.5,0))*(1+$BM90)*(1+$BN90))*(1+$AR90)*$BQ90*$Q90*(1+IF(VLOOKUP($R90,武学奇术!$A:$ZZ,30,FALSE)="蓄力技",$B$21,0))*(1+IF(VLOOKUP($R90,武学奇术!$A:$ZZ,30,FALSE)="派生技",$B$20,0))*(1+$BW90)*(1+$BX90)</f>
        <v>998139.626739421</v>
      </c>
      <c r="N90" s="46">
        <f>(($AU90*$AN90+$AO90)*(1+$AV90)*(1+$AW90)+($AZ90*IF($G$1="鸣金",$AP90,$AN90)+IF($G$1="鸣金",$AQ90*1.5,0))*(1+$BA90)*(1+$BB90)+($BD90*IF($G$1="裂石",$AP90,$AN90)+IF($G$1="裂石",$AQ90*1.5,0))*(1+$BE90)*(1+$BF90)+($BH90*IF($G$1="牵丝",$AP90,$AN90)+IF($G$1="牵丝",$AQ90*1.5,0))*(1+$BI90)*(1+$BJ90)+($BL90*IF($G$1="破竹",$AP90,$AN90)+IF($G$1="破竹",$AQ90*1.5,0))*(1+$BM90)*(1+$BN90))*(1+$AR90)*$BS90*$Q90*(1+IF(VLOOKUP($R90,武学奇术!$A:$ZZ,30,FALSE)="蓄力技",$B$21,0))*(1+IF(VLOOKUP($R90,武学奇术!$A:$ZZ,30,FALSE)="派生技",$B$20,0))*(1+$BW90)*(1+$BX90)</f>
        <v>718253.572366277</v>
      </c>
      <c r="O90" s="46">
        <f>((($AT90+$AU90)/2*$AN90+$AO90)*(1+$AV90)*(1+$AW90)+(($AY90+$AZ90)/2*IF($G$1="鸣金",$AP90,$AN90)+IF($G$1="鸣金",$AQ90*1.5,0))*(1+$BA90)*(1+$BB90)+(($BC90+$BD90)/2*IF($G$1="裂石",$AP90,$AN90)+IF($G$1="裂石",$AQ90*1.5,0))*(1+$BE90)*(1+$BF90)+(($BG90+$BH90)/2*IF($G$1="牵丝",$AP90,$AN90)+IF($G$1="牵丝",$AQ90*1.5,0))*(1+$BI90)*(1+$BJ90)+(($BK90+$BL90)/2*IF($G$1="破竹",$AP90,$AN90)+IF($G$1="破竹",$AQ90*1.5,0))*(1+$BM90)*(1+$BN90))*(1+$AR90)*$Q90*(1+IF(VLOOKUP($R90,武学奇术!$A:$ZZ,30,FALSE)="蓄力技",$B$21,0))*(1+IF(VLOOKUP($R90,武学奇术!$A:$ZZ,30,FALSE)="派生技",$B$20,0))*(1+$BW90)*(1+$BX90)</f>
        <v>475304.584161629</v>
      </c>
      <c r="P90" s="46">
        <f>((($AT90*$AN90+$AO90)*(1+$AV90)*(1+$AW90)+($AY90*IF($G$1="鸣金",$AP90,$AN90)+IF($G$1="鸣金",$AQ90*1.5,0))*(1+$BA90)*(1+$BB90)+($BC90*IF($G$1="裂石",$AP90,$AN90)+IF($G$1="裂石",$AQ90*1.5,0))*(1+$BE90)*(1+$BF90)+($BG90*IF($G$1="牵丝",$AP90,$AN90)+IF($G$1="牵丝",$AQ90*1.5,0))*(1+$BI90)*(1+$BJ90)+($BK90*IF($G$1="破竹",$AP90,$AN90)+IF($G$1="破竹",$AQ90*1.5,0))*(1+$BM90)*(1+$BN90))*(1+$AR90))*$Q90*(1+IF(VLOOKUP($R90,武学奇术!$A:$ZZ,30,FALSE)="蓄力技",$B$21,0))*(1+IF(VLOOKUP($R90,武学奇术!$A:$ZZ,30,FALSE)="派生技",$B$20,0))*(1+$BW90)*(1+$BX90)</f>
        <v>418569.485088979</v>
      </c>
      <c r="Q90" s="47">
        <f>IF($E$24="陌刀",2,0)</f>
        <v>2</v>
      </c>
      <c r="R90" s="48" t="s">
        <v>148</v>
      </c>
      <c r="S90" s="48" t="s">
        <v>99</v>
      </c>
      <c r="T90" s="48" t="s">
        <v>182</v>
      </c>
      <c r="U90" s="48" t="s">
        <v>79</v>
      </c>
      <c r="V90" s="48" t="s">
        <v>90</v>
      </c>
      <c r="W90" s="48" t="s">
        <v>141</v>
      </c>
      <c r="X90" s="48" t="s">
        <v>145</v>
      </c>
      <c r="Y90" s="48" t="s">
        <v>74</v>
      </c>
      <c r="Z90" s="48" t="s">
        <v>80</v>
      </c>
      <c r="AA90" s="48" t="s">
        <v>183</v>
      </c>
      <c r="AB90" s="48" t="s">
        <v>184</v>
      </c>
      <c r="AC90" s="48" t="s">
        <v>80</v>
      </c>
      <c r="AD90" s="48" t="s">
        <v>80</v>
      </c>
      <c r="AE90" s="48" t="s">
        <v>82</v>
      </c>
      <c r="AF90" s="48" t="s">
        <v>83</v>
      </c>
      <c r="AG90" s="48" t="s">
        <v>84</v>
      </c>
      <c r="AH90" s="48" t="s">
        <v>80</v>
      </c>
      <c r="AI90" s="48" t="s">
        <v>80</v>
      </c>
      <c r="AJ90" s="48" t="s">
        <v>80</v>
      </c>
      <c r="AK90" s="48" t="s">
        <v>80</v>
      </c>
      <c r="AL90" s="48" t="s">
        <v>85</v>
      </c>
      <c r="AM90" t="str">
        <f>VLOOKUP($R90,武学奇术!$A:$ZZ,25,FALSE)</f>
        <v>陌刀</v>
      </c>
      <c r="AN90" s="33">
        <f>VLOOKUP($R90,武学奇术!$A:$ZZ,26,FALSE)</f>
        <v>7.5674</v>
      </c>
      <c r="AO90" s="34">
        <f>VLOOKUP($R90,武学奇术!$A:$ZZ,27,FALSE)*(1+IF(OR($AM90=$F$4,$AM90=$F$5),$B$22,0))</f>
        <v>3348.8</v>
      </c>
      <c r="AP90" s="33">
        <f>VLOOKUP($R90,武学奇术!$A:$ZZ,28,FALSE)</f>
        <v>11.3512</v>
      </c>
      <c r="AQ90" s="34">
        <f>VLOOKUP($R90,武学奇术!$A:$ZZ,29,FALSE)*(1+IF(OR($AM90=$F$4,$AM90=$F$5),$B$22,0))</f>
        <v>1824</v>
      </c>
      <c r="AR90" s="33" cm="1">
        <f t="array" ref="AR90">$G$3+IFERROR(VLOOKUP($AM90,$F$4:$G$7,2,FALSE),0)+VLOOKUP($R90,武学奇术!$A:$ZZ,2,FALSE)+SUM(_xlfn.XLOOKUP($S90:$AL90,增益!$A:$A,增益!$B:$B,0))</f>
        <v>0.6943</v>
      </c>
      <c r="AS90" s="33" cm="1">
        <f t="array" ref="AS90">VLOOKUP($R90,武学奇术!$A:$ZZ,5,FALSE)+SUM(_xlfn.XLOOKUP($S90:$AL90,增益!$A:$A,增益!$E:$E,0))</f>
        <v>0</v>
      </c>
      <c r="AT90" cm="1">
        <f t="array" ref="AT90">$D$10*(1+$AS90)+VLOOKUP($R90,武学奇术!$A:$ZZ,3,FALSE)+SUM(_xlfn.XLOOKUP($S90:$AL90,增益!$A:$A,增益!$C:$C,0))-$I$2</f>
        <v>4094.7</v>
      </c>
      <c r="AU90" cm="1">
        <f t="array" ref="AU90">$E$10*(1+$AS90)+VLOOKUP($R90,武学奇术!$A:$ZZ,4,FALSE)+SUM(_xlfn.XLOOKUP($S90:$AL90,增益!$A:$A,增益!$D:$D,0))-$I$2</f>
        <v>4094.7</v>
      </c>
      <c r="AV90" s="40" cm="1">
        <f t="array" ref="AV90">IF($F$10-$I$3+VLOOKUP($R90,武学奇术!$A:$ZZ,6,FALSE)+SUM(_xlfn.XLOOKUP($S90:$AL90,增益!$A:$A,增益!$F:$F,0))&gt;0,($F$10-$I$3+VLOOKUP($R90,武学奇术!$A:$ZZ,6,FALSE)+SUM(_xlfn.XLOOKUP($S90:$AL90,增益!$A:$A,增益!$F:$F,0)))/200,($F$10-$I$3+VLOOKUP($R90,武学奇术!$A:$ZZ,6,FALSE)+SUM(_xlfn.XLOOKUP($S90:$AL90,增益!$A:$A,增益!$F:$F,0)))/100)</f>
        <v>0.4384</v>
      </c>
      <c r="AW90" s="40" cm="1">
        <f t="array" ref="AW90">$G$10+VLOOKUP($R90,武学奇术!$A:$ZZ,7,FALSE)+SUM(_xlfn.XLOOKUP($S90:$AL90,增益!$A:$A,增益!$G:$G,0))</f>
        <v>0.14</v>
      </c>
      <c r="AX90" s="33" cm="1">
        <f t="array" ref="AX90">VLOOKUP($R90,武学奇术!$A:$ZZ,8,FALSE)+SUM(_xlfn.XLOOKUP($S90:$AL90,增益!$A:$A,增益!$H:$H,0))</f>
        <v>0</v>
      </c>
      <c r="AY90">
        <f t="shared" si="29"/>
        <v>0</v>
      </c>
      <c r="AZ90">
        <f t="shared" si="30"/>
        <v>0</v>
      </c>
      <c r="BA90" s="40" cm="1">
        <f t="array" ref="BA90">IF($F$11-$I$4+VLOOKUP($R90,武学奇术!$A:$ZZ,9,FALSE)+SUM(_xlfn.XLOOKUP($S90:$AL90,增益!$A:$A,增益!$I:$I,0))&gt;0,($F$11-$I$4+VLOOKUP($R90,武学奇术!$A:$ZZ,9,FALSE)+SUM(_xlfn.XLOOKUP($S90:$AL90,增益!$A:$A,增益!$I:$I,0)))/200,($F$11-$I$4+VLOOKUP($R90,武学奇术!$A:$ZZ,9,FALSE)+SUM(_xlfn.XLOOKUP($S90:$AL90,增益!$A:$A,增益!$I:$I,0)))/100)</f>
        <v>-0.14</v>
      </c>
      <c r="BB90" s="40" cm="1">
        <f t="array" ref="BB90">$G$11+VLOOKUP($R90,武学奇术!$A:$ZZ,10,FALSE)+SUM(_xlfn.XLOOKUP($S90:$AL90,增益!$A:$A,增益!$J:$J,0))</f>
        <v>0.12</v>
      </c>
      <c r="BC90">
        <f t="shared" si="31"/>
        <v>640.3</v>
      </c>
      <c r="BD90">
        <f t="shared" si="32"/>
        <v>1770.1</v>
      </c>
      <c r="BE90" s="40" cm="1">
        <f t="array" ref="BE90">IF($F$12-$I$4+VLOOKUP($R90,武学奇术!$A:$ZZ,11,FALSE)+SUM(_xlfn.XLOOKUP($S90:$AL90,增益!$A:$A,增益!$K:$K,0))&gt;0,($F$12-$I$4+VLOOKUP($R90,武学奇术!$A:$ZZ,11,FALSE)+SUM(_xlfn.XLOOKUP($S90:$AL90,增益!$A:$A,增益!$K:$K,0)))/200,($F$12-$I$4+VLOOKUP($R90,武学奇术!$A:$ZZ,11,FALSE)+SUM(_xlfn.XLOOKUP($S90:$AL90,增益!$A:$A,增益!$K:$K,0)))/100)</f>
        <v>0.17</v>
      </c>
      <c r="BF90" s="40" cm="1">
        <f t="array" ref="BF90">$G$12+VLOOKUP($R90,武学奇术!$A:$ZZ,12,FALSE)+SUM(_xlfn.XLOOKUP($S90:$AL90,增益!$A:$A,增益!$L:$L,0))</f>
        <v>0.29</v>
      </c>
      <c r="BG90">
        <f t="shared" si="33"/>
        <v>0</v>
      </c>
      <c r="BH90">
        <f t="shared" si="34"/>
        <v>0</v>
      </c>
      <c r="BI90" s="40" cm="1">
        <f t="array" ref="BI90">IF($F$13-$I$4+VLOOKUP($R90,武学奇术!$A:$ZZ,13,FALSE)+SUM(_xlfn.XLOOKUP($S90:$AL90,增益!$A:$A,增益!$M:$M,0))&gt;0,($F$13-$I$4+VLOOKUP($R90,武学奇术!$A:$ZZ,13,FALSE)+SUM(_xlfn.XLOOKUP($S90:$AL90,增益!$A:$A,增益!$K:$K,0)))/200,($F$13-$I$4+VLOOKUP($R90,武学奇术!$A:$ZZ,13,FALSE)+SUM(_xlfn.XLOOKUP($S90:$AL90,增益!$A:$A,增益!$M:$M,0)))/100)</f>
        <v>-0.14</v>
      </c>
      <c r="BJ90" s="40" cm="1">
        <f t="array" ref="BJ90">$G$13+VLOOKUP($R90,武学奇术!$A:$ZZ,14,FALSE)+SUM(_xlfn.XLOOKUP($S90:$AL90,增益!$A:$A,增益!$N:$N,0))</f>
        <v>0.02</v>
      </c>
      <c r="BK90">
        <f t="shared" si="35"/>
        <v>0</v>
      </c>
      <c r="BL90">
        <f t="shared" si="36"/>
        <v>0</v>
      </c>
      <c r="BM90" s="40" cm="1">
        <f t="array" ref="BM90">IF($F$14-$I$4+VLOOKUP($R90,武学奇术!$A:$ZZ,15,FALSE)+SUM(_xlfn.XLOOKUP($S90:$AL90,增益!$A:$A,增益!$O:$O,0))&gt;0,($F$14-$I$4+VLOOKUP($R90,武学奇术!$A:$ZZ,15,FALSE)+SUM(_xlfn.XLOOKUP($S90:$AL90,增益!$A:$A,增益!$O:$O,0)))/200,($F$14-$I$4+VLOOKUP($R90,武学奇术!$A:$ZZ,15,FALSE)+SUM(_xlfn.XLOOKUP($S90:$AL90,增益!$A:$A,增益!$O:$O,0)))/100)</f>
        <v>-0.14</v>
      </c>
      <c r="BN90" s="40" cm="1">
        <f t="array" ref="BN90">$G$14+VLOOKUP($R90,武学奇术!$A:$ZZ,16,FALSE)+SUM(_xlfn.XLOOKUP($S90:$AL90,增益!$A:$A,增益!$P:$P,0))</f>
        <v>0.02</v>
      </c>
      <c r="BO90" s="33">
        <f>MIN(IF(VLOOKUP($R90,武学奇术!$A:$ZZ,23,FALSE)=1,100%,$B$8),100%)</f>
        <v>1</v>
      </c>
      <c r="BP90" s="33" cm="1">
        <f t="array" ref="BP90">IF(VLOOKUP($R90,武学奇术!$A:$ZZ,23,FALSE)=1,100%,MIN(80%,$B$9+VLOOKUP($R90,武学奇术!$A:$ZZ,17,FALSE)+SUM(_xlfn.XLOOKUP($S90:$AL90,增益!$A:$A,增益!$Q:$Q,0)))+$B$11+SUM(_xlfn.XLOOKUP($S90:$AL90,增益!$A:$A,增益!$U:$U,0)))*IF(VLOOKUP($R90,武学奇术!$A:$ZZ,24,FALSE)=1,0,1)</f>
        <v>1</v>
      </c>
      <c r="BQ90" s="33" cm="1">
        <f t="array" ref="BQ90">1+$B$13+VLOOKUP($R90,武学奇术!$A:$ZZ,18,FALSE)+SUM(_xlfn.XLOOKUP($S90:$AL90,增益!$A:$A,增益!$R:$R,0))</f>
        <v>2.1</v>
      </c>
      <c r="BR90" s="33" cm="1">
        <f t="array" ref="BR90">IF(VLOOKUP($R90,武学奇术!$A:$ZZ,24,FALSE)=1,100%,MIN(40%,$B$10+VLOOKUP($R90,武学奇术!$A:$ZZ,19,FALSE)+SUM(_xlfn.XLOOKUP($S90:$AL90,增益!$A:$A,增益!$S:$S,0)))+$B$12+SUM(_xlfn.XLOOKUP($S90:$AL90,增益!$A:$A,增益!$V:$V,0)))*IF(VLOOKUP($R90,武学奇术!$A:$ZZ,23,FALSE)=1,0,1)</f>
        <v>0</v>
      </c>
      <c r="BS90" s="33" cm="1">
        <f t="array" ref="BS90">1+$B$14+VLOOKUP($R90,武学奇术!$A:$ZZ,20,FALSE)+SUM(_xlfn.XLOOKUP($S90:$AL90,增益!$A:$A,增益!$T:$T,0))</f>
        <v>1.35</v>
      </c>
      <c r="BT90" s="33">
        <f t="shared" si="37"/>
        <v>1</v>
      </c>
      <c r="BU90" s="33">
        <f t="shared" si="38"/>
        <v>0</v>
      </c>
      <c r="BV90" s="33">
        <f>IF(VLOOKUP($R90,武学奇术!$A:$ZZ,22,FALSE)=1,0,(1-$BO90))*(1-$BR90)</f>
        <v>0</v>
      </c>
      <c r="BW90" s="33" cm="1">
        <f t="array" ref="BW90">SUM(_xlfn.XLOOKUP($S90:$AL90,增益!$A:$A,增益!$W:$W,0))+$I$5</f>
        <v>0.31</v>
      </c>
      <c r="BX90" s="33" cm="1">
        <f t="array" ref="BX90">VLOOKUP($R90,武学奇术!$A:$ZZ,32,FALSE)+SUM(_xlfn.XLOOKUP($S90:$AL90,增益!$A:$A,增益!$X:$X,0))</f>
        <v>0</v>
      </c>
    </row>
    <row r="91" spans="1:76">
      <c r="L91" s="46">
        <f t="shared" si="40"/>
        <v>30515.2576464033</v>
      </c>
      <c r="M91" s="46">
        <f>((($AT91+$AU91)/2*$AN91+$AO91)*(1+$AV91)*(1+$AW91)+(($AY91+$AZ91)/2*IF($G$1="鸣金",$AP91,$AN91)+IF($G$1="鸣金",$AQ91*1.5,0))*(1+$BA91)*(1+$BB91)+(($BC91+$BD91)/2*IF($G$1="裂石",$AP91,$AN91)+IF($G$1="裂石",$AQ91*1.5,0))*(1+$BE91)*(1+$BF91)+(($BG91+$BH91)/2*IF($G$1="牵丝",$AP91,$AN91)+IF($G$1="牵丝",$AQ91*1.5,0))*(1+$BI91)*(1+$BJ91)+(($BK91+$BL91)/2*IF($G$1="破竹",$AP91,$AN91)+IF($G$1="破竹",$AQ91*1.5,0))*(1+$BM91)*(1+$BN91))*(1+$AR91)*$BQ91*$Q91*(1+IF(VLOOKUP($R91,武学奇术!$A:$ZZ,30,FALSE)="蓄力技",$B$21,0))*(1+IF(VLOOKUP($R91,武学奇术!$A:$ZZ,30,FALSE)="派生技",$B$20,0))*(1+$BW91)*(1+$BX91)</f>
        <v>30515.2576464033</v>
      </c>
      <c r="N91" s="46">
        <f>(($AU91*$AN91+$AO91)*(1+$AV91)*(1+$AW91)+($AZ91*IF($G$1="鸣金",$AP91,$AN91)+IF($G$1="鸣金",$AQ91*1.5,0))*(1+$BA91)*(1+$BB91)+($BD91*IF($G$1="裂石",$AP91,$AN91)+IF($G$1="裂石",$AQ91*1.5,0))*(1+$BE91)*(1+$BF91)+($BH91*IF($G$1="牵丝",$AP91,$AN91)+IF($G$1="牵丝",$AQ91*1.5,0))*(1+$BI91)*(1+$BJ91)+($BL91*IF($G$1="破竹",$AP91,$AN91)+IF($G$1="破竹",$AQ91*1.5,0))*(1+$BM91)*(1+$BN91))*(1+$AR91)*$BS91*$Q91*(1+IF(VLOOKUP($R91,武学奇术!$A:$ZZ,30,FALSE)="蓄力技",$B$21,0))*(1+IF(VLOOKUP($R91,武学奇术!$A:$ZZ,30,FALSE)="派生技",$B$20,0))*(1+$BW91)*(1+$BX91)</f>
        <v>22273.7850798276</v>
      </c>
      <c r="O91" s="46">
        <f>((($AT91+$AU91)/2*$AN91+$AO91)*(1+$AV91)*(1+$AW91)+(($AY91+$AZ91)/2*IF($G$1="鸣金",$AP91,$AN91)+IF($G$1="鸣金",$AQ91*1.5,0))*(1+$BA91)*(1+$BB91)+(($BC91+$BD91)/2*IF($G$1="裂石",$AP91,$AN91)+IF($G$1="裂石",$AQ91*1.5,0))*(1+$BE91)*(1+$BF91)+(($BG91+$BH91)/2*IF($G$1="牵丝",$AP91,$AN91)+IF($G$1="牵丝",$AQ91*1.5,0))*(1+$BI91)*(1+$BJ91)+(($BK91+$BL91)/2*IF($G$1="破竹",$AP91,$AN91)+IF($G$1="破竹",$AQ91*1.5,0))*(1+$BM91)*(1+$BN91))*(1+$AR91)*$Q91*(1+IF(VLOOKUP($R91,武学奇术!$A:$ZZ,30,FALSE)="蓄力技",$B$21,0))*(1+IF(VLOOKUP($R91,武学奇术!$A:$ZZ,30,FALSE)="派生技",$B$20,0))*(1+$BW91)*(1+$BX91)</f>
        <v>14531.0750697158</v>
      </c>
      <c r="P91" s="46">
        <f>((($AT91*$AN91+$AO91)*(1+$AV91)*(1+$AW91)+($AY91*IF($G$1="鸣金",$AP91,$AN91)+IF($G$1="鸣金",$AQ91*1.5,0))*(1+$BA91)*(1+$BB91)+($BC91*IF($G$1="裂石",$AP91,$AN91)+IF($G$1="裂石",$AQ91*1.5,0))*(1+$BE91)*(1+$BF91)+($BG91*IF($G$1="牵丝",$AP91,$AN91)+IF($G$1="牵丝",$AQ91*1.5,0))*(1+$BI91)*(1+$BJ91)+($BK91*IF($G$1="破竹",$AP91,$AN91)+IF($G$1="破竹",$AQ91*1.5,0))*(1+$BM91)*(1+$BN91))*(1+$AR91))*$Q91*(1+IF(VLOOKUP($R91,武学奇术!$A:$ZZ,30,FALSE)="蓄力技",$B$21,0))*(1+IF(VLOOKUP($R91,武学奇术!$A:$ZZ,30,FALSE)="派生技",$B$20,0))*(1+$BW91)*(1+$BX91)</f>
        <v>12563.0500803001</v>
      </c>
      <c r="Q91" s="47">
        <f>IF($E$24="陌刀",1,0)</f>
        <v>1</v>
      </c>
      <c r="R91" s="48" t="s">
        <v>154</v>
      </c>
      <c r="S91" s="48" t="s">
        <v>99</v>
      </c>
      <c r="T91" s="48" t="s">
        <v>182</v>
      </c>
      <c r="U91" s="48" t="s">
        <v>79</v>
      </c>
      <c r="V91" s="48" t="s">
        <v>90</v>
      </c>
      <c r="W91" s="48" t="s">
        <v>141</v>
      </c>
      <c r="X91" s="48" t="s">
        <v>145</v>
      </c>
      <c r="Y91" s="48" t="s">
        <v>74</v>
      </c>
      <c r="Z91" s="48" t="s">
        <v>80</v>
      </c>
      <c r="AA91" s="48" t="s">
        <v>183</v>
      </c>
      <c r="AB91" s="48" t="s">
        <v>184</v>
      </c>
      <c r="AC91" s="48" t="s">
        <v>80</v>
      </c>
      <c r="AD91" s="48" t="s">
        <v>80</v>
      </c>
      <c r="AE91" s="48" t="s">
        <v>82</v>
      </c>
      <c r="AF91" s="48" t="s">
        <v>83</v>
      </c>
      <c r="AG91" s="48" t="s">
        <v>84</v>
      </c>
      <c r="AH91" s="48" t="s">
        <v>80</v>
      </c>
      <c r="AI91" s="48" t="s">
        <v>80</v>
      </c>
      <c r="AJ91" s="48" t="s">
        <v>80</v>
      </c>
      <c r="AK91" s="48" t="s">
        <v>80</v>
      </c>
      <c r="AL91" s="48" t="s">
        <v>85</v>
      </c>
      <c r="AM91" t="str">
        <f>VLOOKUP($R91,武学奇术!$A:$ZZ,25,FALSE)</f>
        <v>陌刀</v>
      </c>
      <c r="AN91" s="33">
        <f>VLOOKUP($R91,武学奇术!$A:$ZZ,26,FALSE)</f>
        <v>0.525</v>
      </c>
      <c r="AO91" s="34">
        <f>VLOOKUP($R91,武学奇术!$A:$ZZ,27,FALSE)*(1+IF(OR($AM91=$F$4,$AM91=$F$5),$B$22,0))</f>
        <v>0</v>
      </c>
      <c r="AP91" s="33">
        <f>VLOOKUP($R91,武学奇术!$A:$ZZ,28,FALSE)</f>
        <v>0.7875</v>
      </c>
      <c r="AQ91" s="34">
        <f>VLOOKUP($R91,武学奇术!$A:$ZZ,29,FALSE)*(1+IF(OR($AM91=$F$4,$AM91=$F$5),$B$22,0))</f>
        <v>0</v>
      </c>
      <c r="AR91" s="33" cm="1">
        <f t="array" ref="AR91">$G$3+IFERROR(VLOOKUP($AM91,$F$4:$G$7,2,FALSE),0)+VLOOKUP($R91,武学奇术!$A:$ZZ,2,FALSE)+SUM(_xlfn.XLOOKUP($S91:$AL91,增益!$A:$A,增益!$B:$B,0))</f>
        <v>0.6943</v>
      </c>
      <c r="AS91" s="33" cm="1">
        <f t="array" ref="AS91">VLOOKUP($R91,武学奇术!$A:$ZZ,5,FALSE)+SUM(_xlfn.XLOOKUP($S91:$AL91,增益!$A:$A,增益!$E:$E,0))</f>
        <v>0</v>
      </c>
      <c r="AT91" cm="1">
        <f t="array" ref="AT91">$D$10*(1+$AS91)+VLOOKUP($R91,武学奇术!$A:$ZZ,3,FALSE)+SUM(_xlfn.XLOOKUP($S91:$AL91,增益!$A:$A,增益!$C:$C,0))-$I$2</f>
        <v>4094.7</v>
      </c>
      <c r="AU91" cm="1">
        <f t="array" ref="AU91">$E$10*(1+$AS91)+VLOOKUP($R91,武学奇术!$A:$ZZ,4,FALSE)+SUM(_xlfn.XLOOKUP($S91:$AL91,增益!$A:$A,增益!$D:$D,0))-$I$2</f>
        <v>4094.7</v>
      </c>
      <c r="AV91" s="40" cm="1">
        <f t="array" ref="AV91">IF($F$10-$I$3+VLOOKUP($R91,武学奇术!$A:$ZZ,6,FALSE)+SUM(_xlfn.XLOOKUP($S91:$AL91,增益!$A:$A,增益!$F:$F,0))&gt;0,($F$10-$I$3+VLOOKUP($R91,武学奇术!$A:$ZZ,6,FALSE)+SUM(_xlfn.XLOOKUP($S91:$AL91,增益!$A:$A,增益!$F:$F,0)))/200,($F$10-$I$3+VLOOKUP($R91,武学奇术!$A:$ZZ,6,FALSE)+SUM(_xlfn.XLOOKUP($S91:$AL91,增益!$A:$A,增益!$F:$F,0)))/100)</f>
        <v>0.4384</v>
      </c>
      <c r="AW91" s="40" cm="1">
        <f t="array" ref="AW91">$G$10+VLOOKUP($R91,武学奇术!$A:$ZZ,7,FALSE)+SUM(_xlfn.XLOOKUP($S91:$AL91,增益!$A:$A,增益!$G:$G,0))</f>
        <v>0.14</v>
      </c>
      <c r="AX91" s="33" cm="1">
        <f t="array" ref="AX91">VLOOKUP($R91,武学奇术!$A:$ZZ,8,FALSE)+SUM(_xlfn.XLOOKUP($S91:$AL91,增益!$A:$A,增益!$H:$H,0))</f>
        <v>0</v>
      </c>
      <c r="AY91">
        <f t="shared" si="29"/>
        <v>0</v>
      </c>
      <c r="AZ91">
        <f t="shared" si="30"/>
        <v>0</v>
      </c>
      <c r="BA91" s="40" cm="1">
        <f t="array" ref="BA91">IF($F$11-$I$4+VLOOKUP($R91,武学奇术!$A:$ZZ,9,FALSE)+SUM(_xlfn.XLOOKUP($S91:$AL91,增益!$A:$A,增益!$I:$I,0))&gt;0,($F$11-$I$4+VLOOKUP($R91,武学奇术!$A:$ZZ,9,FALSE)+SUM(_xlfn.XLOOKUP($S91:$AL91,增益!$A:$A,增益!$I:$I,0)))/200,($F$11-$I$4+VLOOKUP($R91,武学奇术!$A:$ZZ,9,FALSE)+SUM(_xlfn.XLOOKUP($S91:$AL91,增益!$A:$A,增益!$I:$I,0)))/100)</f>
        <v>-0.14</v>
      </c>
      <c r="BB91" s="40" cm="1">
        <f t="array" ref="BB91">$G$11+VLOOKUP($R91,武学奇术!$A:$ZZ,10,FALSE)+SUM(_xlfn.XLOOKUP($S91:$AL91,增益!$A:$A,增益!$J:$J,0))</f>
        <v>0.12</v>
      </c>
      <c r="BC91">
        <f t="shared" si="31"/>
        <v>640.3</v>
      </c>
      <c r="BD91">
        <f t="shared" si="32"/>
        <v>1770.1</v>
      </c>
      <c r="BE91" s="40" cm="1">
        <f t="array" ref="BE91">IF($F$12-$I$4+VLOOKUP($R91,武学奇术!$A:$ZZ,11,FALSE)+SUM(_xlfn.XLOOKUP($S91:$AL91,增益!$A:$A,增益!$K:$K,0))&gt;0,($F$12-$I$4+VLOOKUP($R91,武学奇术!$A:$ZZ,11,FALSE)+SUM(_xlfn.XLOOKUP($S91:$AL91,增益!$A:$A,增益!$K:$K,0)))/200,($F$12-$I$4+VLOOKUP($R91,武学奇术!$A:$ZZ,11,FALSE)+SUM(_xlfn.XLOOKUP($S91:$AL91,增益!$A:$A,增益!$K:$K,0)))/100)</f>
        <v>0.17</v>
      </c>
      <c r="BF91" s="40" cm="1">
        <f t="array" ref="BF91">$G$12+VLOOKUP($R91,武学奇术!$A:$ZZ,12,FALSE)+SUM(_xlfn.XLOOKUP($S91:$AL91,增益!$A:$A,增益!$L:$L,0))</f>
        <v>0.29</v>
      </c>
      <c r="BG91">
        <f t="shared" si="33"/>
        <v>0</v>
      </c>
      <c r="BH91">
        <f t="shared" si="34"/>
        <v>0</v>
      </c>
      <c r="BI91" s="40" cm="1">
        <f t="array" ref="BI91">IF($F$13-$I$4+VLOOKUP($R91,武学奇术!$A:$ZZ,13,FALSE)+SUM(_xlfn.XLOOKUP($S91:$AL91,增益!$A:$A,增益!$M:$M,0))&gt;0,($F$13-$I$4+VLOOKUP($R91,武学奇术!$A:$ZZ,13,FALSE)+SUM(_xlfn.XLOOKUP($S91:$AL91,增益!$A:$A,增益!$K:$K,0)))/200,($F$13-$I$4+VLOOKUP($R91,武学奇术!$A:$ZZ,13,FALSE)+SUM(_xlfn.XLOOKUP($S91:$AL91,增益!$A:$A,增益!$M:$M,0)))/100)</f>
        <v>-0.14</v>
      </c>
      <c r="BJ91" s="40" cm="1">
        <f t="array" ref="BJ91">$G$13+VLOOKUP($R91,武学奇术!$A:$ZZ,14,FALSE)+SUM(_xlfn.XLOOKUP($S91:$AL91,增益!$A:$A,增益!$N:$N,0))</f>
        <v>0.02</v>
      </c>
      <c r="BK91">
        <f t="shared" si="35"/>
        <v>0</v>
      </c>
      <c r="BL91">
        <f t="shared" si="36"/>
        <v>0</v>
      </c>
      <c r="BM91" s="40" cm="1">
        <f t="array" ref="BM91">IF($F$14-$I$4+VLOOKUP($R91,武学奇术!$A:$ZZ,15,FALSE)+SUM(_xlfn.XLOOKUP($S91:$AL91,增益!$A:$A,增益!$O:$O,0))&gt;0,($F$14-$I$4+VLOOKUP($R91,武学奇术!$A:$ZZ,15,FALSE)+SUM(_xlfn.XLOOKUP($S91:$AL91,增益!$A:$A,增益!$O:$O,0)))/200,($F$14-$I$4+VLOOKUP($R91,武学奇术!$A:$ZZ,15,FALSE)+SUM(_xlfn.XLOOKUP($S91:$AL91,增益!$A:$A,增益!$O:$O,0)))/100)</f>
        <v>-0.14</v>
      </c>
      <c r="BN91" s="40" cm="1">
        <f t="array" ref="BN91">$G$14+VLOOKUP($R91,武学奇术!$A:$ZZ,16,FALSE)+SUM(_xlfn.XLOOKUP($S91:$AL91,增益!$A:$A,增益!$P:$P,0))</f>
        <v>0.02</v>
      </c>
      <c r="BO91" s="33">
        <f>MIN(IF(VLOOKUP($R91,武学奇术!$A:$ZZ,23,FALSE)=1,100%,$B$8),100%)</f>
        <v>1</v>
      </c>
      <c r="BP91" s="33" cm="1">
        <f t="array" ref="BP91">IF(VLOOKUP($R91,武学奇术!$A:$ZZ,23,FALSE)=1,100%,MIN(80%,$B$9+VLOOKUP($R91,武学奇术!$A:$ZZ,17,FALSE)+SUM(_xlfn.XLOOKUP($S91:$AL91,增益!$A:$A,增益!$Q:$Q,0)))+$B$11+SUM(_xlfn.XLOOKUP($S91:$AL91,增益!$A:$A,增益!$U:$U,0)))*IF(VLOOKUP($R91,武学奇术!$A:$ZZ,24,FALSE)=1,0,1)</f>
        <v>1</v>
      </c>
      <c r="BQ91" s="33" cm="1">
        <f t="array" ref="BQ91">1+$B$13+VLOOKUP($R91,武学奇术!$A:$ZZ,18,FALSE)+SUM(_xlfn.XLOOKUP($S91:$AL91,增益!$A:$A,增益!$R:$R,0))</f>
        <v>2.1</v>
      </c>
      <c r="BR91" s="33" cm="1">
        <f t="array" ref="BR91">IF(VLOOKUP($R91,武学奇术!$A:$ZZ,24,FALSE)=1,100%,MIN(40%,$B$10+VLOOKUP($R91,武学奇术!$A:$ZZ,19,FALSE)+SUM(_xlfn.XLOOKUP($S91:$AL91,增益!$A:$A,增益!$S:$S,0)))+$B$12+SUM(_xlfn.XLOOKUP($S91:$AL91,增益!$A:$A,增益!$V:$V,0)))*IF(VLOOKUP($R91,武学奇术!$A:$ZZ,23,FALSE)=1,0,1)</f>
        <v>0</v>
      </c>
      <c r="BS91" s="33" cm="1">
        <f t="array" ref="BS91">1+$B$14+VLOOKUP($R91,武学奇术!$A:$ZZ,20,FALSE)+SUM(_xlfn.XLOOKUP($S91:$AL91,增益!$A:$A,增益!$T:$T,0))</f>
        <v>1.35</v>
      </c>
      <c r="BT91" s="33">
        <f t="shared" si="37"/>
        <v>1</v>
      </c>
      <c r="BU91" s="33">
        <f t="shared" si="38"/>
        <v>0</v>
      </c>
      <c r="BV91" s="33">
        <f>IF(VLOOKUP($R91,武学奇术!$A:$ZZ,22,FALSE)=1,0,(1-$BO91))*(1-$BR91)</f>
        <v>0</v>
      </c>
      <c r="BW91" s="33" cm="1">
        <f t="array" ref="BW91">SUM(_xlfn.XLOOKUP($S91:$AL91,增益!$A:$A,增益!$W:$W,0))+$I$5</f>
        <v>0.31</v>
      </c>
      <c r="BX91" s="33" cm="1">
        <f t="array" ref="BX91">VLOOKUP($R91,武学奇术!$A:$ZZ,32,FALSE)+SUM(_xlfn.XLOOKUP($S91:$AL91,增益!$A:$A,增益!$X:$X,0))</f>
        <v>0</v>
      </c>
    </row>
    <row r="92" spans="1:76">
      <c r="L92" s="46">
        <f t="shared" si="40"/>
        <v>54927.4637635259</v>
      </c>
      <c r="M92" s="46">
        <f>((($AT92+$AU92)/2*$AN92+$AO92)*(1+$AV92)*(1+$AW92)+(($AY92+$AZ92)/2*IF($G$1="鸣金",$AP92,$AN92)+IF($G$1="鸣金",$AQ92*1.5,0))*(1+$BA92)*(1+$BB92)+(($BC92+$BD92)/2*IF($G$1="裂石",$AP92,$AN92)+IF($G$1="裂石",$AQ92*1.5,0))*(1+$BE92)*(1+$BF92)+(($BG92+$BH92)/2*IF($G$1="牵丝",$AP92,$AN92)+IF($G$1="牵丝",$AQ92*1.5,0))*(1+$BI92)*(1+$BJ92)+(($BK92+$BL92)/2*IF($G$1="破竹",$AP92,$AN92)+IF($G$1="破竹",$AQ92*1.5,0))*(1+$BM92)*(1+$BN92))*(1+$AR92)*$BQ92*$Q92*(1+IF(VLOOKUP($R92,武学奇术!$A:$ZZ,30,FALSE)="蓄力技",$B$21,0))*(1+IF(VLOOKUP($R92,武学奇术!$A:$ZZ,30,FALSE)="派生技",$B$20,0))*(1+$BW92)*(1+$BX92)</f>
        <v>54927.4637635259</v>
      </c>
      <c r="N92" s="46">
        <f>(($AU92*$AN92+$AO92)*(1+$AV92)*(1+$AW92)+($AZ92*IF($G$1="鸣金",$AP92,$AN92)+IF($G$1="鸣金",$AQ92*1.5,0))*(1+$BA92)*(1+$BB92)+($BD92*IF($G$1="裂石",$AP92,$AN92)+IF($G$1="裂石",$AQ92*1.5,0))*(1+$BE92)*(1+$BF92)+($BH92*IF($G$1="牵丝",$AP92,$AN92)+IF($G$1="牵丝",$AQ92*1.5,0))*(1+$BI92)*(1+$BJ92)+($BL92*IF($G$1="破竹",$AP92,$AN92)+IF($G$1="破竹",$AQ92*1.5,0))*(1+$BM92)*(1+$BN92))*(1+$AR92)*$BS92*$Q92*(1+IF(VLOOKUP($R92,武学奇术!$A:$ZZ,30,FALSE)="蓄力技",$B$21,0))*(1+IF(VLOOKUP($R92,武学奇术!$A:$ZZ,30,FALSE)="派生技",$B$20,0))*(1+$BW92)*(1+$BX92)</f>
        <v>40092.8131436897</v>
      </c>
      <c r="O92" s="46">
        <f>((($AT92+$AU92)/2*$AN92+$AO92)*(1+$AV92)*(1+$AW92)+(($AY92+$AZ92)/2*IF($G$1="鸣金",$AP92,$AN92)+IF($G$1="鸣金",$AQ92*1.5,0))*(1+$BA92)*(1+$BB92)+(($BC92+$BD92)/2*IF($G$1="裂石",$AP92,$AN92)+IF($G$1="裂石",$AQ92*1.5,0))*(1+$BE92)*(1+$BF92)+(($BG92+$BH92)/2*IF($G$1="牵丝",$AP92,$AN92)+IF($G$1="牵丝",$AQ92*1.5,0))*(1+$BI92)*(1+$BJ92)+(($BK92+$BL92)/2*IF($G$1="破竹",$AP92,$AN92)+IF($G$1="破竹",$AQ92*1.5,0))*(1+$BM92)*(1+$BN92))*(1+$AR92)*$Q92*(1+IF(VLOOKUP($R92,武学奇术!$A:$ZZ,30,FALSE)="蓄力技",$B$21,0))*(1+IF(VLOOKUP($R92,武学奇术!$A:$ZZ,30,FALSE)="派生技",$B$20,0))*(1+$BW92)*(1+$BX92)</f>
        <v>26155.9351254885</v>
      </c>
      <c r="P92" s="46">
        <f>((($AT92*$AN92+$AO92)*(1+$AV92)*(1+$AW92)+($AY92*IF($G$1="鸣金",$AP92,$AN92)+IF($G$1="鸣金",$AQ92*1.5,0))*(1+$BA92)*(1+$BB92)+($BC92*IF($G$1="裂石",$AP92,$AN92)+IF($G$1="裂石",$AQ92*1.5,0))*(1+$BE92)*(1+$BF92)+($BG92*IF($G$1="牵丝",$AP92,$AN92)+IF($G$1="牵丝",$AQ92*1.5,0))*(1+$BI92)*(1+$BJ92)+($BK92*IF($G$1="破竹",$AP92,$AN92)+IF($G$1="破竹",$AQ92*1.5,0))*(1+$BM92)*(1+$BN92))*(1+$AR92))*$Q92*(1+IF(VLOOKUP($R92,武学奇术!$A:$ZZ,30,FALSE)="蓄力技",$B$21,0))*(1+IF(VLOOKUP($R92,武学奇术!$A:$ZZ,30,FALSE)="派生技",$B$20,0))*(1+$BW92)*(1+$BX92)</f>
        <v>22613.4901445402</v>
      </c>
      <c r="Q92" s="47">
        <f t="shared" ref="Q92:Q105" si="42">IF($E$24="陌刀",1,0)</f>
        <v>1</v>
      </c>
      <c r="R92" s="48" t="s">
        <v>144</v>
      </c>
      <c r="S92" s="48" t="s">
        <v>99</v>
      </c>
      <c r="T92" s="48" t="s">
        <v>182</v>
      </c>
      <c r="U92" s="48" t="s">
        <v>79</v>
      </c>
      <c r="V92" s="48" t="s">
        <v>90</v>
      </c>
      <c r="W92" s="48" t="s">
        <v>141</v>
      </c>
      <c r="X92" s="48" t="s">
        <v>145</v>
      </c>
      <c r="Y92" s="48" t="s">
        <v>74</v>
      </c>
      <c r="Z92" s="48" t="s">
        <v>80</v>
      </c>
      <c r="AA92" s="48" t="s">
        <v>183</v>
      </c>
      <c r="AB92" s="48" t="s">
        <v>184</v>
      </c>
      <c r="AC92" s="48" t="s">
        <v>80</v>
      </c>
      <c r="AD92" s="48" t="s">
        <v>80</v>
      </c>
      <c r="AE92" s="48" t="s">
        <v>82</v>
      </c>
      <c r="AF92" s="48" t="s">
        <v>83</v>
      </c>
      <c r="AG92" s="48" t="s">
        <v>84</v>
      </c>
      <c r="AH92" s="48" t="s">
        <v>80</v>
      </c>
      <c r="AI92" s="48" t="s">
        <v>80</v>
      </c>
      <c r="AJ92" s="48" t="s">
        <v>80</v>
      </c>
      <c r="AK92" s="48" t="s">
        <v>80</v>
      </c>
      <c r="AL92" s="48" t="s">
        <v>85</v>
      </c>
      <c r="AM92" t="str">
        <f>VLOOKUP($R92,武学奇术!$A:$ZZ,25,FALSE)</f>
        <v>陌刀</v>
      </c>
      <c r="AN92" s="33">
        <f>VLOOKUP($R92,武学奇术!$A:$ZZ,26,FALSE)</f>
        <v>0.945</v>
      </c>
      <c r="AO92" s="34">
        <f>VLOOKUP($R92,武学奇术!$A:$ZZ,27,FALSE)*(1+IF(OR($AM92=$F$4,$AM92=$F$5),$B$22,0))</f>
        <v>0</v>
      </c>
      <c r="AP92" s="33">
        <f>VLOOKUP($R92,武学奇术!$A:$ZZ,28,FALSE)</f>
        <v>1.4175</v>
      </c>
      <c r="AQ92" s="34">
        <f>VLOOKUP($R92,武学奇术!$A:$ZZ,29,FALSE)*(1+IF(OR($AM92=$F$4,$AM92=$F$5),$B$22,0))</f>
        <v>0</v>
      </c>
      <c r="AR92" s="33" cm="1">
        <f t="array" ref="AR92">$G$3+IFERROR(VLOOKUP($AM92,$F$4:$G$7,2,FALSE),0)+VLOOKUP($R92,武学奇术!$A:$ZZ,2,FALSE)+SUM(_xlfn.XLOOKUP($S92:$AL92,增益!$A:$A,增益!$B:$B,0))</f>
        <v>0.6943</v>
      </c>
      <c r="AS92" s="33" cm="1">
        <f t="array" ref="AS92">VLOOKUP($R92,武学奇术!$A:$ZZ,5,FALSE)+SUM(_xlfn.XLOOKUP($S92:$AL92,增益!$A:$A,增益!$E:$E,0))</f>
        <v>0</v>
      </c>
      <c r="AT92" cm="1">
        <f t="array" ref="AT92">$D$10*(1+$AS92)+VLOOKUP($R92,武学奇术!$A:$ZZ,3,FALSE)+SUM(_xlfn.XLOOKUP($S92:$AL92,增益!$A:$A,增益!$C:$C,0))-$I$2</f>
        <v>4094.7</v>
      </c>
      <c r="AU92" cm="1">
        <f t="array" ref="AU92">$E$10*(1+$AS92)+VLOOKUP($R92,武学奇术!$A:$ZZ,4,FALSE)+SUM(_xlfn.XLOOKUP($S92:$AL92,增益!$A:$A,增益!$D:$D,0))-$I$2</f>
        <v>4094.7</v>
      </c>
      <c r="AV92" s="40" cm="1">
        <f t="array" ref="AV92">IF($F$10-$I$3+VLOOKUP($R92,武学奇术!$A:$ZZ,6,FALSE)+SUM(_xlfn.XLOOKUP($S92:$AL92,增益!$A:$A,增益!$F:$F,0))&gt;0,($F$10-$I$3+VLOOKUP($R92,武学奇术!$A:$ZZ,6,FALSE)+SUM(_xlfn.XLOOKUP($S92:$AL92,增益!$A:$A,增益!$F:$F,0)))/200,($F$10-$I$3+VLOOKUP($R92,武学奇术!$A:$ZZ,6,FALSE)+SUM(_xlfn.XLOOKUP($S92:$AL92,增益!$A:$A,增益!$F:$F,0)))/100)</f>
        <v>0.4384</v>
      </c>
      <c r="AW92" s="40" cm="1">
        <f t="array" ref="AW92">$G$10+VLOOKUP($R92,武学奇术!$A:$ZZ,7,FALSE)+SUM(_xlfn.XLOOKUP($S92:$AL92,增益!$A:$A,增益!$G:$G,0))</f>
        <v>0.14</v>
      </c>
      <c r="AX92" s="33" cm="1">
        <f t="array" ref="AX92">VLOOKUP($R92,武学奇术!$A:$ZZ,8,FALSE)+SUM(_xlfn.XLOOKUP($S92:$AL92,增益!$A:$A,增益!$H:$H,0))</f>
        <v>0</v>
      </c>
      <c r="AY92">
        <f t="shared" si="29"/>
        <v>0</v>
      </c>
      <c r="AZ92">
        <f t="shared" si="30"/>
        <v>0</v>
      </c>
      <c r="BA92" s="40" cm="1">
        <f t="array" ref="BA92">IF($F$11-$I$4+VLOOKUP($R92,武学奇术!$A:$ZZ,9,FALSE)+SUM(_xlfn.XLOOKUP($S92:$AL92,增益!$A:$A,增益!$I:$I,0))&gt;0,($F$11-$I$4+VLOOKUP($R92,武学奇术!$A:$ZZ,9,FALSE)+SUM(_xlfn.XLOOKUP($S92:$AL92,增益!$A:$A,增益!$I:$I,0)))/200,($F$11-$I$4+VLOOKUP($R92,武学奇术!$A:$ZZ,9,FALSE)+SUM(_xlfn.XLOOKUP($S92:$AL92,增益!$A:$A,增益!$I:$I,0)))/100)</f>
        <v>-0.14</v>
      </c>
      <c r="BB92" s="40" cm="1">
        <f t="array" ref="BB92">$G$11+VLOOKUP($R92,武学奇术!$A:$ZZ,10,FALSE)+SUM(_xlfn.XLOOKUP($S92:$AL92,增益!$A:$A,增益!$J:$J,0))</f>
        <v>0.12</v>
      </c>
      <c r="BC92">
        <f t="shared" si="31"/>
        <v>640.3</v>
      </c>
      <c r="BD92">
        <f t="shared" si="32"/>
        <v>1770.1</v>
      </c>
      <c r="BE92" s="40" cm="1">
        <f t="array" ref="BE92">IF($F$12-$I$4+VLOOKUP($R92,武学奇术!$A:$ZZ,11,FALSE)+SUM(_xlfn.XLOOKUP($S92:$AL92,增益!$A:$A,增益!$K:$K,0))&gt;0,($F$12-$I$4+VLOOKUP($R92,武学奇术!$A:$ZZ,11,FALSE)+SUM(_xlfn.XLOOKUP($S92:$AL92,增益!$A:$A,增益!$K:$K,0)))/200,($F$12-$I$4+VLOOKUP($R92,武学奇术!$A:$ZZ,11,FALSE)+SUM(_xlfn.XLOOKUP($S92:$AL92,增益!$A:$A,增益!$K:$K,0)))/100)</f>
        <v>0.17</v>
      </c>
      <c r="BF92" s="40" cm="1">
        <f t="array" ref="BF92">$G$12+VLOOKUP($R92,武学奇术!$A:$ZZ,12,FALSE)+SUM(_xlfn.XLOOKUP($S92:$AL92,增益!$A:$A,增益!$L:$L,0))</f>
        <v>0.29</v>
      </c>
      <c r="BG92">
        <f t="shared" si="33"/>
        <v>0</v>
      </c>
      <c r="BH92">
        <f t="shared" si="34"/>
        <v>0</v>
      </c>
      <c r="BI92" s="40" cm="1">
        <f t="array" ref="BI92">IF($F$13-$I$4+VLOOKUP($R92,武学奇术!$A:$ZZ,13,FALSE)+SUM(_xlfn.XLOOKUP($S92:$AL92,增益!$A:$A,增益!$M:$M,0))&gt;0,($F$13-$I$4+VLOOKUP($R92,武学奇术!$A:$ZZ,13,FALSE)+SUM(_xlfn.XLOOKUP($S92:$AL92,增益!$A:$A,增益!$K:$K,0)))/200,($F$13-$I$4+VLOOKUP($R92,武学奇术!$A:$ZZ,13,FALSE)+SUM(_xlfn.XLOOKUP($S92:$AL92,增益!$A:$A,增益!$M:$M,0)))/100)</f>
        <v>-0.14</v>
      </c>
      <c r="BJ92" s="40" cm="1">
        <f t="array" ref="BJ92">$G$13+VLOOKUP($R92,武学奇术!$A:$ZZ,14,FALSE)+SUM(_xlfn.XLOOKUP($S92:$AL92,增益!$A:$A,增益!$N:$N,0))</f>
        <v>0.02</v>
      </c>
      <c r="BK92">
        <f t="shared" si="35"/>
        <v>0</v>
      </c>
      <c r="BL92">
        <f t="shared" si="36"/>
        <v>0</v>
      </c>
      <c r="BM92" s="40" cm="1">
        <f t="array" ref="BM92">IF($F$14-$I$4+VLOOKUP($R92,武学奇术!$A:$ZZ,15,FALSE)+SUM(_xlfn.XLOOKUP($S92:$AL92,增益!$A:$A,增益!$O:$O,0))&gt;0,($F$14-$I$4+VLOOKUP($R92,武学奇术!$A:$ZZ,15,FALSE)+SUM(_xlfn.XLOOKUP($S92:$AL92,增益!$A:$A,增益!$O:$O,0)))/200,($F$14-$I$4+VLOOKUP($R92,武学奇术!$A:$ZZ,15,FALSE)+SUM(_xlfn.XLOOKUP($S92:$AL92,增益!$A:$A,增益!$O:$O,0)))/100)</f>
        <v>-0.14</v>
      </c>
      <c r="BN92" s="40" cm="1">
        <f t="array" ref="BN92">$G$14+VLOOKUP($R92,武学奇术!$A:$ZZ,16,FALSE)+SUM(_xlfn.XLOOKUP($S92:$AL92,增益!$A:$A,增益!$P:$P,0))</f>
        <v>0.02</v>
      </c>
      <c r="BO92" s="33">
        <f>MIN(IF(VLOOKUP($R92,武学奇术!$A:$ZZ,23,FALSE)=1,100%,$B$8),100%)</f>
        <v>1</v>
      </c>
      <c r="BP92" s="33" cm="1">
        <f t="array" ref="BP92">IF(VLOOKUP($R92,武学奇术!$A:$ZZ,23,FALSE)=1,100%,MIN(80%,$B$9+VLOOKUP($R92,武学奇术!$A:$ZZ,17,FALSE)+SUM(_xlfn.XLOOKUP($S92:$AL92,增益!$A:$A,增益!$Q:$Q,0)))+$B$11+SUM(_xlfn.XLOOKUP($S92:$AL92,增益!$A:$A,增益!$U:$U,0)))*IF(VLOOKUP($R92,武学奇术!$A:$ZZ,24,FALSE)=1,0,1)</f>
        <v>1</v>
      </c>
      <c r="BQ92" s="33" cm="1">
        <f t="array" ref="BQ92">1+$B$13+VLOOKUP($R92,武学奇术!$A:$ZZ,18,FALSE)+SUM(_xlfn.XLOOKUP($S92:$AL92,增益!$A:$A,增益!$R:$R,0))</f>
        <v>2.1</v>
      </c>
      <c r="BR92" s="33" cm="1">
        <f t="array" ref="BR92">IF(VLOOKUP($R92,武学奇术!$A:$ZZ,24,FALSE)=1,100%,MIN(40%,$B$10+VLOOKUP($R92,武学奇术!$A:$ZZ,19,FALSE)+SUM(_xlfn.XLOOKUP($S92:$AL92,增益!$A:$A,增益!$S:$S,0)))+$B$12+SUM(_xlfn.XLOOKUP($S92:$AL92,增益!$A:$A,增益!$V:$V,0)))*IF(VLOOKUP($R92,武学奇术!$A:$ZZ,23,FALSE)=1,0,1)</f>
        <v>0</v>
      </c>
      <c r="BS92" s="33" cm="1">
        <f t="array" ref="BS92">1+$B$14+VLOOKUP($R92,武学奇术!$A:$ZZ,20,FALSE)+SUM(_xlfn.XLOOKUP($S92:$AL92,增益!$A:$A,增益!$T:$T,0))</f>
        <v>1.35</v>
      </c>
      <c r="BT92" s="33">
        <f t="shared" si="37"/>
        <v>1</v>
      </c>
      <c r="BU92" s="33">
        <f t="shared" si="38"/>
        <v>0</v>
      </c>
      <c r="BV92" s="33">
        <f>IF(VLOOKUP($R92,武学奇术!$A:$ZZ,22,FALSE)=1,0,(1-$BO92))*(1-$BR92)</f>
        <v>0</v>
      </c>
      <c r="BW92" s="33" cm="1">
        <f t="array" ref="BW92">SUM(_xlfn.XLOOKUP($S92:$AL92,增益!$A:$A,增益!$W:$W,0))+$I$5</f>
        <v>0.31</v>
      </c>
      <c r="BX92" s="33" cm="1">
        <f t="array" ref="BX92">VLOOKUP($R92,武学奇术!$A:$ZZ,32,FALSE)+SUM(_xlfn.XLOOKUP($S92:$AL92,增益!$A:$A,增益!$X:$X,0))</f>
        <v>0</v>
      </c>
    </row>
    <row r="93" spans="1:76">
      <c r="L93" s="46">
        <f t="shared" ref="L93:L102" si="43">($M93*$BT93+$N93*$BR93+$O93*$BU93+$P93*$BV93)</f>
        <v>453913.935903635</v>
      </c>
      <c r="M93" s="46">
        <f>((($AT93+$AU93)/2*$AN93+$AO93)*(1+$AV93)*(1+$AW93)+(($AY93+$AZ93)/2*IF($G$1="鸣金",$AP93,$AN93)+IF($G$1="鸣金",$AQ93*1.5,0))*(1+$BA93)*(1+$BB93)+(($BC93+$BD93)/2*IF($G$1="裂石",$AP93,$AN93)+IF($G$1="裂石",$AQ93*1.5,0))*(1+$BE93)*(1+$BF93)+(($BG93+$BH93)/2*IF($G$1="牵丝",$AP93,$AN93)+IF($G$1="牵丝",$AQ93*1.5,0))*(1+$BI93)*(1+$BJ93)+(($BK93+$BL93)/2*IF($G$1="破竹",$AP93,$AN93)+IF($G$1="破竹",$AQ93*1.5,0))*(1+$BM93)*(1+$BN93))*(1+$AR93)*$BQ93*$Q93*(1+IF(VLOOKUP($R93,武学奇术!$A:$ZZ,30,FALSE)="蓄力技",$B$21,0))*(1+IF(VLOOKUP($R93,武学奇术!$A:$ZZ,30,FALSE)="派生技",$B$20,0))*(1+$BW93)*(1+$BX93)</f>
        <v>475304.584161629</v>
      </c>
      <c r="N93" s="46">
        <f>(($AU93*$AN93+$AO93)*(1+$AV93)*(1+$AW93)+($AZ93*IF($G$1="鸣金",$AP93,$AN93)+IF($G$1="鸣金",$AQ93*1.5,0))*(1+$BA93)*(1+$BB93)+($BD93*IF($G$1="裂石",$AP93,$AN93)+IF($G$1="裂石",$AQ93*1.5,0))*(1+$BE93)*(1+$BF93)+($BH93*IF($G$1="牵丝",$AP93,$AN93)+IF($G$1="牵丝",$AQ93*1.5,0))*(1+$BI93)*(1+$BJ93)+($BL93*IF($G$1="破竹",$AP93,$AN93)+IF($G$1="破竹",$AQ93*1.5,0))*(1+$BM93)*(1+$BN93))*(1+$AR93)*$BS93*$Q93*(1+IF(VLOOKUP($R93,武学奇术!$A:$ZZ,30,FALSE)="蓄力技",$B$21,0))*(1+IF(VLOOKUP($R93,武学奇术!$A:$ZZ,30,FALSE)="派生技",$B$20,0))*(1+$BW93)*(1+$BX93)</f>
        <v>359126.786183138</v>
      </c>
      <c r="O93" s="46">
        <f>((($AT93+$AU93)/2*$AN93+$AO93)*(1+$AV93)*(1+$AW93)+(($AY93+$AZ93)/2*IF($G$1="鸣金",$AP93,$AN93)+IF($G$1="鸣金",$AQ93*1.5,0))*(1+$BA93)*(1+$BB93)+(($BC93+$BD93)/2*IF($G$1="裂石",$AP93,$AN93)+IF($G$1="裂石",$AQ93*1.5,0))*(1+$BE93)*(1+$BF93)+(($BG93+$BH93)/2*IF($G$1="牵丝",$AP93,$AN93)+IF($G$1="牵丝",$AQ93*1.5,0))*(1+$BI93)*(1+$BJ93)+(($BK93+$BL93)/2*IF($G$1="破竹",$AP93,$AN93)+IF($G$1="破竹",$AQ93*1.5,0))*(1+$BM93)*(1+$BN93))*(1+$AR93)*$Q93*(1+IF(VLOOKUP($R93,武学奇术!$A:$ZZ,30,FALSE)="蓄力技",$B$21,0))*(1+IF(VLOOKUP($R93,武学奇术!$A:$ZZ,30,FALSE)="派生技",$B$20,0))*(1+$BW93)*(1+$BX93)</f>
        <v>237652.292080814</v>
      </c>
      <c r="P93" s="46">
        <f>((($AT93*$AN93+$AO93)*(1+$AV93)*(1+$AW93)+($AY93*IF($G$1="鸣金",$AP93,$AN93)+IF($G$1="鸣金",$AQ93*1.5,0))*(1+$BA93)*(1+$BB93)+($BC93*IF($G$1="裂石",$AP93,$AN93)+IF($G$1="裂石",$AQ93*1.5,0))*(1+$BE93)*(1+$BF93)+($BG93*IF($G$1="牵丝",$AP93,$AN93)+IF($G$1="牵丝",$AQ93*1.5,0))*(1+$BI93)*(1+$BJ93)+($BK93*IF($G$1="破竹",$AP93,$AN93)+IF($G$1="破竹",$AQ93*1.5,0))*(1+$BM93)*(1+$BN93))*(1+$AR93))*$Q93*(1+IF(VLOOKUP($R93,武学奇术!$A:$ZZ,30,FALSE)="蓄力技",$B$21,0))*(1+IF(VLOOKUP($R93,武学奇术!$A:$ZZ,30,FALSE)="派生技",$B$20,0))*(1+$BW93)*(1+$BX93)</f>
        <v>209284.742544489</v>
      </c>
      <c r="Q93" s="47">
        <f t="shared" si="42"/>
        <v>1</v>
      </c>
      <c r="R93" s="48" t="s">
        <v>185</v>
      </c>
      <c r="S93" s="48" t="s">
        <v>99</v>
      </c>
      <c r="T93" s="48" t="s">
        <v>182</v>
      </c>
      <c r="U93" s="48" t="s">
        <v>79</v>
      </c>
      <c r="V93" s="48" t="s">
        <v>90</v>
      </c>
      <c r="W93" s="48" t="s">
        <v>141</v>
      </c>
      <c r="X93" s="48" t="s">
        <v>80</v>
      </c>
      <c r="Y93" s="48" t="s">
        <v>74</v>
      </c>
      <c r="Z93" s="48" t="s">
        <v>80</v>
      </c>
      <c r="AA93" s="48" t="s">
        <v>183</v>
      </c>
      <c r="AB93" s="48" t="s">
        <v>184</v>
      </c>
      <c r="AC93" s="48" t="s">
        <v>80</v>
      </c>
      <c r="AD93" s="48" t="s">
        <v>80</v>
      </c>
      <c r="AE93" s="48" t="s">
        <v>82</v>
      </c>
      <c r="AF93" s="48" t="s">
        <v>83</v>
      </c>
      <c r="AG93" s="48" t="s">
        <v>84</v>
      </c>
      <c r="AH93" s="48" t="s">
        <v>80</v>
      </c>
      <c r="AI93" s="48" t="s">
        <v>80</v>
      </c>
      <c r="AJ93" s="48" t="s">
        <v>80</v>
      </c>
      <c r="AK93" s="48" t="s">
        <v>80</v>
      </c>
      <c r="AL93" s="48" t="s">
        <v>85</v>
      </c>
      <c r="AM93" t="str">
        <f>VLOOKUP($R93,武学奇术!$A:$ZZ,25,FALSE)</f>
        <v>陌刀</v>
      </c>
      <c r="AN93" s="33">
        <f>VLOOKUP($R93,武学奇术!$A:$ZZ,26,FALSE)</f>
        <v>7.5674</v>
      </c>
      <c r="AO93" s="34">
        <f>VLOOKUP($R93,武学奇术!$A:$ZZ,27,FALSE)*(1+IF(OR($AM93=$F$4,$AM93=$F$5),$B$22,0))</f>
        <v>3348.8</v>
      </c>
      <c r="AP93" s="33">
        <f>VLOOKUP($R93,武学奇术!$A:$ZZ,28,FALSE)</f>
        <v>11.3512</v>
      </c>
      <c r="AQ93" s="34">
        <f>VLOOKUP($R93,武学奇术!$A:$ZZ,29,FALSE)*(1+IF(OR($AM93=$F$4,$AM93=$F$5),$B$22,0))</f>
        <v>1824</v>
      </c>
      <c r="AR93" s="33" cm="1">
        <f t="array" ref="AR93">$G$3+IFERROR(VLOOKUP($AM93,$F$4:$G$7,2,FALSE),0)+VLOOKUP($R93,武学奇术!$A:$ZZ,2,FALSE)+SUM(_xlfn.XLOOKUP($S93:$AL93,增益!$A:$A,增益!$B:$B,0))</f>
        <v>0.6943</v>
      </c>
      <c r="AS93" s="33" cm="1">
        <f t="array" ref="AS93">VLOOKUP($R93,武学奇术!$A:$ZZ,5,FALSE)+SUM(_xlfn.XLOOKUP($S93:$AL93,增益!$A:$A,增益!$E:$E,0))</f>
        <v>0</v>
      </c>
      <c r="AT93" cm="1">
        <f t="array" ref="AT93">$D$10*(1+$AS93)+VLOOKUP($R93,武学奇术!$A:$ZZ,3,FALSE)+SUM(_xlfn.XLOOKUP($S93:$AL93,增益!$A:$A,增益!$C:$C,0))-$I$2</f>
        <v>4094.7</v>
      </c>
      <c r="AU93" cm="1">
        <f t="array" ref="AU93">$E$10*(1+$AS93)+VLOOKUP($R93,武学奇术!$A:$ZZ,4,FALSE)+SUM(_xlfn.XLOOKUP($S93:$AL93,增益!$A:$A,增益!$D:$D,0))-$I$2</f>
        <v>4094.7</v>
      </c>
      <c r="AV93" s="40" cm="1">
        <f t="array" ref="AV93">IF($F$10-$I$3+VLOOKUP($R93,武学奇术!$A:$ZZ,6,FALSE)+SUM(_xlfn.XLOOKUP($S93:$AL93,增益!$A:$A,增益!$F:$F,0))&gt;0,($F$10-$I$3+VLOOKUP($R93,武学奇术!$A:$ZZ,6,FALSE)+SUM(_xlfn.XLOOKUP($S93:$AL93,增益!$A:$A,增益!$F:$F,0)))/200,($F$10-$I$3+VLOOKUP($R93,武学奇术!$A:$ZZ,6,FALSE)+SUM(_xlfn.XLOOKUP($S93:$AL93,增益!$A:$A,增益!$F:$F,0)))/100)</f>
        <v>0.4384</v>
      </c>
      <c r="AW93" s="40" cm="1">
        <f t="array" ref="AW93">$G$10+VLOOKUP($R93,武学奇术!$A:$ZZ,7,FALSE)+SUM(_xlfn.XLOOKUP($S93:$AL93,增益!$A:$A,增益!$G:$G,0))</f>
        <v>0.14</v>
      </c>
      <c r="AX93" s="33" cm="1">
        <f t="array" ref="AX93">VLOOKUP($R93,武学奇术!$A:$ZZ,8,FALSE)+SUM(_xlfn.XLOOKUP($S93:$AL93,增益!$A:$A,增益!$H:$H,0))</f>
        <v>0</v>
      </c>
      <c r="AY93">
        <f t="shared" si="29"/>
        <v>0</v>
      </c>
      <c r="AZ93">
        <f t="shared" si="30"/>
        <v>0</v>
      </c>
      <c r="BA93" s="40" cm="1">
        <f t="array" ref="BA93">IF($F$11-$I$4+VLOOKUP($R93,武学奇术!$A:$ZZ,9,FALSE)+SUM(_xlfn.XLOOKUP($S93:$AL93,增益!$A:$A,增益!$I:$I,0))&gt;0,($F$11-$I$4+VLOOKUP($R93,武学奇术!$A:$ZZ,9,FALSE)+SUM(_xlfn.XLOOKUP($S93:$AL93,增益!$A:$A,增益!$I:$I,0)))/200,($F$11-$I$4+VLOOKUP($R93,武学奇术!$A:$ZZ,9,FALSE)+SUM(_xlfn.XLOOKUP($S93:$AL93,增益!$A:$A,增益!$I:$I,0)))/100)</f>
        <v>-0.14</v>
      </c>
      <c r="BB93" s="40" cm="1">
        <f t="array" ref="BB93">$G$11+VLOOKUP($R93,武学奇术!$A:$ZZ,10,FALSE)+SUM(_xlfn.XLOOKUP($S93:$AL93,增益!$A:$A,增益!$J:$J,0))</f>
        <v>0.12</v>
      </c>
      <c r="BC93">
        <f t="shared" si="31"/>
        <v>640.3</v>
      </c>
      <c r="BD93">
        <f t="shared" si="32"/>
        <v>1770.1</v>
      </c>
      <c r="BE93" s="40" cm="1">
        <f t="array" ref="BE93">IF($F$12-$I$4+VLOOKUP($R93,武学奇术!$A:$ZZ,11,FALSE)+SUM(_xlfn.XLOOKUP($S93:$AL93,增益!$A:$A,增益!$K:$K,0))&gt;0,($F$12-$I$4+VLOOKUP($R93,武学奇术!$A:$ZZ,11,FALSE)+SUM(_xlfn.XLOOKUP($S93:$AL93,增益!$A:$A,增益!$K:$K,0)))/200,($F$12-$I$4+VLOOKUP($R93,武学奇术!$A:$ZZ,11,FALSE)+SUM(_xlfn.XLOOKUP($S93:$AL93,增益!$A:$A,增益!$K:$K,0)))/100)</f>
        <v>0.17</v>
      </c>
      <c r="BF93" s="40" cm="1">
        <f t="array" ref="BF93">$G$12+VLOOKUP($R93,武学奇术!$A:$ZZ,12,FALSE)+SUM(_xlfn.XLOOKUP($S93:$AL93,增益!$A:$A,增益!$L:$L,0))</f>
        <v>0.29</v>
      </c>
      <c r="BG93">
        <f t="shared" si="33"/>
        <v>0</v>
      </c>
      <c r="BH93">
        <f t="shared" si="34"/>
        <v>0</v>
      </c>
      <c r="BI93" s="40" cm="1">
        <f t="array" ref="BI93">IF($F$13-$I$4+VLOOKUP($R93,武学奇术!$A:$ZZ,13,FALSE)+SUM(_xlfn.XLOOKUP($S93:$AL93,增益!$A:$A,增益!$M:$M,0))&gt;0,($F$13-$I$4+VLOOKUP($R93,武学奇术!$A:$ZZ,13,FALSE)+SUM(_xlfn.XLOOKUP($S93:$AL93,增益!$A:$A,增益!$K:$K,0)))/200,($F$13-$I$4+VLOOKUP($R93,武学奇术!$A:$ZZ,13,FALSE)+SUM(_xlfn.XLOOKUP($S93:$AL93,增益!$A:$A,增益!$M:$M,0)))/100)</f>
        <v>-0.14</v>
      </c>
      <c r="BJ93" s="40" cm="1">
        <f t="array" ref="BJ93">$G$13+VLOOKUP($R93,武学奇术!$A:$ZZ,14,FALSE)+SUM(_xlfn.XLOOKUP($S93:$AL93,增益!$A:$A,增益!$N:$N,0))</f>
        <v>0.02</v>
      </c>
      <c r="BK93">
        <f t="shared" si="35"/>
        <v>0</v>
      </c>
      <c r="BL93">
        <f t="shared" si="36"/>
        <v>0</v>
      </c>
      <c r="BM93" s="40" cm="1">
        <f t="array" ref="BM93">IF($F$14-$I$4+VLOOKUP($R93,武学奇术!$A:$ZZ,15,FALSE)+SUM(_xlfn.XLOOKUP($S93:$AL93,增益!$A:$A,增益!$O:$O,0))&gt;0,($F$14-$I$4+VLOOKUP($R93,武学奇术!$A:$ZZ,15,FALSE)+SUM(_xlfn.XLOOKUP($S93:$AL93,增益!$A:$A,增益!$O:$O,0)))/200,($F$14-$I$4+VLOOKUP($R93,武学奇术!$A:$ZZ,15,FALSE)+SUM(_xlfn.XLOOKUP($S93:$AL93,增益!$A:$A,增益!$O:$O,0)))/100)</f>
        <v>-0.14</v>
      </c>
      <c r="BN93" s="40" cm="1">
        <f t="array" ref="BN93">$G$14+VLOOKUP($R93,武学奇术!$A:$ZZ,16,FALSE)+SUM(_xlfn.XLOOKUP($S93:$AL93,增益!$A:$A,增益!$P:$P,0))</f>
        <v>0.02</v>
      </c>
      <c r="BO93" s="33">
        <f>MIN(IF(VLOOKUP($R93,武学奇术!$A:$ZZ,23,FALSE)=1,100%,$B$8),100%)</f>
        <v>0.9771</v>
      </c>
      <c r="BP93" s="33" cm="1">
        <f t="array" ref="BP93">IF(VLOOKUP($R93,武学奇术!$A:$ZZ,23,FALSE)=1,100%,MIN(80%,$B$9+VLOOKUP($R93,武学奇术!$A:$ZZ,17,FALSE)+SUM(_xlfn.XLOOKUP($S93:$AL93,增益!$A:$A,增益!$Q:$Q,0)))+$B$11+SUM(_xlfn.XLOOKUP($S93:$AL93,增益!$A:$A,增益!$U:$U,0)))*IF(VLOOKUP($R93,武学奇术!$A:$ZZ,24,FALSE)=1,0,1)</f>
        <v>0.8861</v>
      </c>
      <c r="BQ93" s="33" cm="1">
        <f t="array" ref="BQ93">1+$B$13+VLOOKUP($R93,武学奇术!$A:$ZZ,18,FALSE)+SUM(_xlfn.XLOOKUP($S93:$AL93,增益!$A:$A,增益!$R:$R,0))</f>
        <v>2</v>
      </c>
      <c r="BR93" s="33" cm="1">
        <f t="array" ref="BR93">IF(VLOOKUP($R93,武学奇术!$A:$ZZ,24,FALSE)=1,100%,MIN(40%,$B$10+VLOOKUP($R93,武学奇术!$A:$ZZ,19,FALSE)+SUM(_xlfn.XLOOKUP($S93:$AL93,增益!$A:$A,增益!$S:$S,0)))+$B$12+SUM(_xlfn.XLOOKUP($S93:$AL93,增益!$A:$A,增益!$V:$V,0)))*IF(VLOOKUP($R93,武学奇术!$A:$ZZ,23,FALSE)=1,0,1)</f>
        <v>0.0913</v>
      </c>
      <c r="BS93" s="33" cm="1">
        <f t="array" ref="BS93">1+$B$14+VLOOKUP($R93,武学奇术!$A:$ZZ,20,FALSE)+SUM(_xlfn.XLOOKUP($S93:$AL93,增益!$A:$A,增益!$T:$T,0))</f>
        <v>1.35</v>
      </c>
      <c r="BT93" s="33">
        <f t="shared" si="37"/>
        <v>0.86580831</v>
      </c>
      <c r="BU93" s="33">
        <f t="shared" si="38"/>
        <v>0.02208246</v>
      </c>
      <c r="BV93" s="33">
        <f>IF(VLOOKUP($R93,武学奇术!$A:$ZZ,22,FALSE)=1,0,(1-$BO93))*(1-$BR93)</f>
        <v>0.02080923</v>
      </c>
      <c r="BW93" s="33" cm="1">
        <f t="array" ref="BW93">SUM(_xlfn.XLOOKUP($S93:$AL93,增益!$A:$A,增益!$W:$W,0))+$I$5</f>
        <v>0.31</v>
      </c>
      <c r="BX93" s="33" cm="1">
        <f t="array" ref="BX93">VLOOKUP($R93,武学奇术!$A:$ZZ,32,FALSE)+SUM(_xlfn.XLOOKUP($S93:$AL93,增益!$A:$A,增益!$X:$X,0))</f>
        <v>0</v>
      </c>
    </row>
    <row r="94" spans="1:76">
      <c r="L94" s="46">
        <f t="shared" si="43"/>
        <v>27778.1569575824</v>
      </c>
      <c r="M94" s="46">
        <f>((($AT94+$AU94)/2*$AN94+$AO94)*(1+$AV94)*(1+$AW94)+(($AY94+$AZ94)/2*IF($G$1="鸣金",$AP94,$AN94)+IF($G$1="鸣金",$AQ94*1.5,0))*(1+$BA94)*(1+$BB94)+(($BC94+$BD94)/2*IF($G$1="裂石",$AP94,$AN94)+IF($G$1="裂石",$AQ94*1.5,0))*(1+$BE94)*(1+$BF94)+(($BG94+$BH94)/2*IF($G$1="牵丝",$AP94,$AN94)+IF($G$1="牵丝",$AQ94*1.5,0))*(1+$BI94)*(1+$BJ94)+(($BK94+$BL94)/2*IF($G$1="破竹",$AP94,$AN94)+IF($G$1="破竹",$AQ94*1.5,0))*(1+$BM94)*(1+$BN94))*(1+$AR94)*$BQ94*$Q94*(1+IF(VLOOKUP($R94,武学奇术!$A:$ZZ,30,FALSE)="蓄力技",$B$21,0))*(1+IF(VLOOKUP($R94,武学奇术!$A:$ZZ,30,FALSE)="派生技",$B$20,0))*(1+$BW94)*(1+$BX94)</f>
        <v>29062.1501394317</v>
      </c>
      <c r="N94" s="46">
        <f>(($AU94*$AN94+$AO94)*(1+$AV94)*(1+$AW94)+($AZ94*IF($G$1="鸣金",$AP94,$AN94)+IF($G$1="鸣金",$AQ94*1.5,0))*(1+$BA94)*(1+$BB94)+($BD94*IF($G$1="裂石",$AP94,$AN94)+IF($G$1="裂石",$AQ94*1.5,0))*(1+$BE94)*(1+$BF94)+($BH94*IF($G$1="牵丝",$AP94,$AN94)+IF($G$1="牵丝",$AQ94*1.5,0))*(1+$BI94)*(1+$BJ94)+($BL94*IF($G$1="破竹",$AP94,$AN94)+IF($G$1="破竹",$AQ94*1.5,0))*(1+$BM94)*(1+$BN94))*(1+$AR94)*$BS94*$Q94*(1+IF(VLOOKUP($R94,武学奇术!$A:$ZZ,30,FALSE)="蓄力技",$B$21,0))*(1+IF(VLOOKUP($R94,武学奇术!$A:$ZZ,30,FALSE)="派生技",$B$20,0))*(1+$BW94)*(1+$BX94)</f>
        <v>22273.7850798276</v>
      </c>
      <c r="O94" s="46">
        <f>((($AT94+$AU94)/2*$AN94+$AO94)*(1+$AV94)*(1+$AW94)+(($AY94+$AZ94)/2*IF($G$1="鸣金",$AP94,$AN94)+IF($G$1="鸣金",$AQ94*1.5,0))*(1+$BA94)*(1+$BB94)+(($BC94+$BD94)/2*IF($G$1="裂石",$AP94,$AN94)+IF($G$1="裂石",$AQ94*1.5,0))*(1+$BE94)*(1+$BF94)+(($BG94+$BH94)/2*IF($G$1="牵丝",$AP94,$AN94)+IF($G$1="牵丝",$AQ94*1.5,0))*(1+$BI94)*(1+$BJ94)+(($BK94+$BL94)/2*IF($G$1="破竹",$AP94,$AN94)+IF($G$1="破竹",$AQ94*1.5,0))*(1+$BM94)*(1+$BN94))*(1+$AR94)*$Q94*(1+IF(VLOOKUP($R94,武学奇术!$A:$ZZ,30,FALSE)="蓄力技",$B$21,0))*(1+IF(VLOOKUP($R94,武学奇术!$A:$ZZ,30,FALSE)="派生技",$B$20,0))*(1+$BW94)*(1+$BX94)</f>
        <v>14531.0750697158</v>
      </c>
      <c r="P94" s="46">
        <f>((($AT94*$AN94+$AO94)*(1+$AV94)*(1+$AW94)+($AY94*IF($G$1="鸣金",$AP94,$AN94)+IF($G$1="鸣金",$AQ94*1.5,0))*(1+$BA94)*(1+$BB94)+($BC94*IF($G$1="裂石",$AP94,$AN94)+IF($G$1="裂石",$AQ94*1.5,0))*(1+$BE94)*(1+$BF94)+($BG94*IF($G$1="牵丝",$AP94,$AN94)+IF($G$1="牵丝",$AQ94*1.5,0))*(1+$BI94)*(1+$BJ94)+($BK94*IF($G$1="破竹",$AP94,$AN94)+IF($G$1="破竹",$AQ94*1.5,0))*(1+$BM94)*(1+$BN94))*(1+$AR94))*$Q94*(1+IF(VLOOKUP($R94,武学奇术!$A:$ZZ,30,FALSE)="蓄力技",$B$21,0))*(1+IF(VLOOKUP($R94,武学奇术!$A:$ZZ,30,FALSE)="派生技",$B$20,0))*(1+$BW94)*(1+$BX94)</f>
        <v>12563.0500803001</v>
      </c>
      <c r="Q94" s="47">
        <f t="shared" si="42"/>
        <v>1</v>
      </c>
      <c r="R94" s="48" t="s">
        <v>140</v>
      </c>
      <c r="S94" s="48" t="s">
        <v>99</v>
      </c>
      <c r="T94" s="48" t="s">
        <v>182</v>
      </c>
      <c r="U94" s="48" t="s">
        <v>79</v>
      </c>
      <c r="V94" s="48" t="s">
        <v>90</v>
      </c>
      <c r="W94" s="48" t="s">
        <v>141</v>
      </c>
      <c r="X94" s="48" t="s">
        <v>80</v>
      </c>
      <c r="Y94" s="48" t="s">
        <v>74</v>
      </c>
      <c r="Z94" s="48" t="s">
        <v>80</v>
      </c>
      <c r="AA94" s="48" t="s">
        <v>183</v>
      </c>
      <c r="AB94" s="48" t="s">
        <v>184</v>
      </c>
      <c r="AC94" s="48" t="s">
        <v>80</v>
      </c>
      <c r="AD94" s="48" t="s">
        <v>80</v>
      </c>
      <c r="AE94" s="48" t="s">
        <v>82</v>
      </c>
      <c r="AF94" s="48" t="s">
        <v>83</v>
      </c>
      <c r="AG94" s="48" t="s">
        <v>84</v>
      </c>
      <c r="AH94" s="48" t="s">
        <v>80</v>
      </c>
      <c r="AI94" s="48" t="s">
        <v>80</v>
      </c>
      <c r="AJ94" s="48" t="s">
        <v>80</v>
      </c>
      <c r="AK94" s="48" t="s">
        <v>80</v>
      </c>
      <c r="AL94" s="48" t="s">
        <v>85</v>
      </c>
      <c r="AM94" t="str">
        <f>VLOOKUP($R94,武学奇术!$A:$ZZ,25,FALSE)</f>
        <v>陌刀</v>
      </c>
      <c r="AN94" s="33">
        <f>VLOOKUP($R94,武学奇术!$A:$ZZ,26,FALSE)</f>
        <v>0.525</v>
      </c>
      <c r="AO94" s="34">
        <f>VLOOKUP($R94,武学奇术!$A:$ZZ,27,FALSE)*(1+IF(OR($AM94=$F$4,$AM94=$F$5),$B$22,0))</f>
        <v>0</v>
      </c>
      <c r="AP94" s="33">
        <f>VLOOKUP($R94,武学奇术!$A:$ZZ,28,FALSE)</f>
        <v>0.7875</v>
      </c>
      <c r="AQ94" s="34">
        <f>VLOOKUP($R94,武学奇术!$A:$ZZ,29,FALSE)*(1+IF(OR($AM94=$F$4,$AM94=$F$5),$B$22,0))</f>
        <v>0</v>
      </c>
      <c r="AR94" s="33" cm="1">
        <f t="array" ref="AR94">$G$3+IFERROR(VLOOKUP($AM94,$F$4:$G$7,2,FALSE),0)+VLOOKUP($R94,武学奇术!$A:$ZZ,2,FALSE)+SUM(_xlfn.XLOOKUP($S94:$AL94,增益!$A:$A,增益!$B:$B,0))</f>
        <v>0.6943</v>
      </c>
      <c r="AS94" s="33" cm="1">
        <f t="array" ref="AS94">VLOOKUP($R94,武学奇术!$A:$ZZ,5,FALSE)+SUM(_xlfn.XLOOKUP($S94:$AL94,增益!$A:$A,增益!$E:$E,0))</f>
        <v>0</v>
      </c>
      <c r="AT94" cm="1">
        <f t="array" ref="AT94">$D$10*(1+$AS94)+VLOOKUP($R94,武学奇术!$A:$ZZ,3,FALSE)+SUM(_xlfn.XLOOKUP($S94:$AL94,增益!$A:$A,增益!$C:$C,0))-$I$2</f>
        <v>4094.7</v>
      </c>
      <c r="AU94" cm="1">
        <f t="array" ref="AU94">$E$10*(1+$AS94)+VLOOKUP($R94,武学奇术!$A:$ZZ,4,FALSE)+SUM(_xlfn.XLOOKUP($S94:$AL94,增益!$A:$A,增益!$D:$D,0))-$I$2</f>
        <v>4094.7</v>
      </c>
      <c r="AV94" s="40" cm="1">
        <f t="array" ref="AV94">IF($F$10-$I$3+VLOOKUP($R94,武学奇术!$A:$ZZ,6,FALSE)+SUM(_xlfn.XLOOKUP($S94:$AL94,增益!$A:$A,增益!$F:$F,0))&gt;0,($F$10-$I$3+VLOOKUP($R94,武学奇术!$A:$ZZ,6,FALSE)+SUM(_xlfn.XLOOKUP($S94:$AL94,增益!$A:$A,增益!$F:$F,0)))/200,($F$10-$I$3+VLOOKUP($R94,武学奇术!$A:$ZZ,6,FALSE)+SUM(_xlfn.XLOOKUP($S94:$AL94,增益!$A:$A,增益!$F:$F,0)))/100)</f>
        <v>0.4384</v>
      </c>
      <c r="AW94" s="40" cm="1">
        <f t="array" ref="AW94">$G$10+VLOOKUP($R94,武学奇术!$A:$ZZ,7,FALSE)+SUM(_xlfn.XLOOKUP($S94:$AL94,增益!$A:$A,增益!$G:$G,0))</f>
        <v>0.14</v>
      </c>
      <c r="AX94" s="33" cm="1">
        <f t="array" ref="AX94">VLOOKUP($R94,武学奇术!$A:$ZZ,8,FALSE)+SUM(_xlfn.XLOOKUP($S94:$AL94,增益!$A:$A,增益!$H:$H,0))</f>
        <v>0</v>
      </c>
      <c r="AY94">
        <f t="shared" si="29"/>
        <v>0</v>
      </c>
      <c r="AZ94">
        <f t="shared" si="30"/>
        <v>0</v>
      </c>
      <c r="BA94" s="40" cm="1">
        <f t="array" ref="BA94">IF($F$11-$I$4+VLOOKUP($R94,武学奇术!$A:$ZZ,9,FALSE)+SUM(_xlfn.XLOOKUP($S94:$AL94,增益!$A:$A,增益!$I:$I,0))&gt;0,($F$11-$I$4+VLOOKUP($R94,武学奇术!$A:$ZZ,9,FALSE)+SUM(_xlfn.XLOOKUP($S94:$AL94,增益!$A:$A,增益!$I:$I,0)))/200,($F$11-$I$4+VLOOKUP($R94,武学奇术!$A:$ZZ,9,FALSE)+SUM(_xlfn.XLOOKUP($S94:$AL94,增益!$A:$A,增益!$I:$I,0)))/100)</f>
        <v>-0.14</v>
      </c>
      <c r="BB94" s="40" cm="1">
        <f t="array" ref="BB94">$G$11+VLOOKUP($R94,武学奇术!$A:$ZZ,10,FALSE)+SUM(_xlfn.XLOOKUP($S94:$AL94,增益!$A:$A,增益!$J:$J,0))</f>
        <v>0.12</v>
      </c>
      <c r="BC94">
        <f t="shared" si="31"/>
        <v>640.3</v>
      </c>
      <c r="BD94">
        <f t="shared" si="32"/>
        <v>1770.1</v>
      </c>
      <c r="BE94" s="40" cm="1">
        <f t="array" ref="BE94">IF($F$12-$I$4+VLOOKUP($R94,武学奇术!$A:$ZZ,11,FALSE)+SUM(_xlfn.XLOOKUP($S94:$AL94,增益!$A:$A,增益!$K:$K,0))&gt;0,($F$12-$I$4+VLOOKUP($R94,武学奇术!$A:$ZZ,11,FALSE)+SUM(_xlfn.XLOOKUP($S94:$AL94,增益!$A:$A,增益!$K:$K,0)))/200,($F$12-$I$4+VLOOKUP($R94,武学奇术!$A:$ZZ,11,FALSE)+SUM(_xlfn.XLOOKUP($S94:$AL94,增益!$A:$A,增益!$K:$K,0)))/100)</f>
        <v>0.17</v>
      </c>
      <c r="BF94" s="40" cm="1">
        <f t="array" ref="BF94">$G$12+VLOOKUP($R94,武学奇术!$A:$ZZ,12,FALSE)+SUM(_xlfn.XLOOKUP($S94:$AL94,增益!$A:$A,增益!$L:$L,0))</f>
        <v>0.29</v>
      </c>
      <c r="BG94">
        <f t="shared" si="33"/>
        <v>0</v>
      </c>
      <c r="BH94">
        <f t="shared" si="34"/>
        <v>0</v>
      </c>
      <c r="BI94" s="40" cm="1">
        <f t="array" ref="BI94">IF($F$13-$I$4+VLOOKUP($R94,武学奇术!$A:$ZZ,13,FALSE)+SUM(_xlfn.XLOOKUP($S94:$AL94,增益!$A:$A,增益!$M:$M,0))&gt;0,($F$13-$I$4+VLOOKUP($R94,武学奇术!$A:$ZZ,13,FALSE)+SUM(_xlfn.XLOOKUP($S94:$AL94,增益!$A:$A,增益!$K:$K,0)))/200,($F$13-$I$4+VLOOKUP($R94,武学奇术!$A:$ZZ,13,FALSE)+SUM(_xlfn.XLOOKUP($S94:$AL94,增益!$A:$A,增益!$M:$M,0)))/100)</f>
        <v>-0.14</v>
      </c>
      <c r="BJ94" s="40" cm="1">
        <f t="array" ref="BJ94">$G$13+VLOOKUP($R94,武学奇术!$A:$ZZ,14,FALSE)+SUM(_xlfn.XLOOKUP($S94:$AL94,增益!$A:$A,增益!$N:$N,0))</f>
        <v>0.02</v>
      </c>
      <c r="BK94">
        <f t="shared" si="35"/>
        <v>0</v>
      </c>
      <c r="BL94">
        <f t="shared" si="36"/>
        <v>0</v>
      </c>
      <c r="BM94" s="40" cm="1">
        <f t="array" ref="BM94">IF($F$14-$I$4+VLOOKUP($R94,武学奇术!$A:$ZZ,15,FALSE)+SUM(_xlfn.XLOOKUP($S94:$AL94,增益!$A:$A,增益!$O:$O,0))&gt;0,($F$14-$I$4+VLOOKUP($R94,武学奇术!$A:$ZZ,15,FALSE)+SUM(_xlfn.XLOOKUP($S94:$AL94,增益!$A:$A,增益!$O:$O,0)))/200,($F$14-$I$4+VLOOKUP($R94,武学奇术!$A:$ZZ,15,FALSE)+SUM(_xlfn.XLOOKUP($S94:$AL94,增益!$A:$A,增益!$O:$O,0)))/100)</f>
        <v>-0.14</v>
      </c>
      <c r="BN94" s="40" cm="1">
        <f t="array" ref="BN94">$G$14+VLOOKUP($R94,武学奇术!$A:$ZZ,16,FALSE)+SUM(_xlfn.XLOOKUP($S94:$AL94,增益!$A:$A,增益!$P:$P,0))</f>
        <v>0.02</v>
      </c>
      <c r="BO94" s="33">
        <f>MIN(IF(VLOOKUP($R94,武学奇术!$A:$ZZ,23,FALSE)=1,100%,$B$8),100%)</f>
        <v>0.9771</v>
      </c>
      <c r="BP94" s="33" cm="1">
        <f t="array" ref="BP94">IF(VLOOKUP($R94,武学奇术!$A:$ZZ,23,FALSE)=1,100%,MIN(80%,$B$9+VLOOKUP($R94,武学奇术!$A:$ZZ,17,FALSE)+SUM(_xlfn.XLOOKUP($S94:$AL94,增益!$A:$A,增益!$Q:$Q,0)))+$B$11+SUM(_xlfn.XLOOKUP($S94:$AL94,增益!$A:$A,增益!$U:$U,0)))*IF(VLOOKUP($R94,武学奇术!$A:$ZZ,24,FALSE)=1,0,1)</f>
        <v>0.8861</v>
      </c>
      <c r="BQ94" s="33" cm="1">
        <f t="array" ref="BQ94">1+$B$13+VLOOKUP($R94,武学奇术!$A:$ZZ,18,FALSE)+SUM(_xlfn.XLOOKUP($S94:$AL94,增益!$A:$A,增益!$R:$R,0))</f>
        <v>2</v>
      </c>
      <c r="BR94" s="33" cm="1">
        <f t="array" ref="BR94">IF(VLOOKUP($R94,武学奇术!$A:$ZZ,24,FALSE)=1,100%,MIN(40%,$B$10+VLOOKUP($R94,武学奇术!$A:$ZZ,19,FALSE)+SUM(_xlfn.XLOOKUP($S94:$AL94,增益!$A:$A,增益!$S:$S,0)))+$B$12+SUM(_xlfn.XLOOKUP($S94:$AL94,增益!$A:$A,增益!$V:$V,0)))*IF(VLOOKUP($R94,武学奇术!$A:$ZZ,23,FALSE)=1,0,1)</f>
        <v>0.0913</v>
      </c>
      <c r="BS94" s="33" cm="1">
        <f t="array" ref="BS94">1+$B$14+VLOOKUP($R94,武学奇术!$A:$ZZ,20,FALSE)+SUM(_xlfn.XLOOKUP($S94:$AL94,增益!$A:$A,增益!$T:$T,0))</f>
        <v>1.35</v>
      </c>
      <c r="BT94" s="33">
        <f t="shared" si="37"/>
        <v>0.86580831</v>
      </c>
      <c r="BU94" s="33">
        <f t="shared" si="38"/>
        <v>0.02208246</v>
      </c>
      <c r="BV94" s="33">
        <f>IF(VLOOKUP($R94,武学奇术!$A:$ZZ,22,FALSE)=1,0,(1-$BO94))*(1-$BR94)</f>
        <v>0.02080923</v>
      </c>
      <c r="BW94" s="33" cm="1">
        <f t="array" ref="BW94">SUM(_xlfn.XLOOKUP($S94:$AL94,增益!$A:$A,增益!$W:$W,0))+$I$5</f>
        <v>0.31</v>
      </c>
      <c r="BX94" s="33" cm="1">
        <f t="array" ref="BX94">VLOOKUP($R94,武学奇术!$A:$ZZ,32,FALSE)+SUM(_xlfn.XLOOKUP($S94:$AL94,增益!$A:$A,增益!$X:$X,0))</f>
        <v>0</v>
      </c>
    </row>
    <row r="95" spans="1:76">
      <c r="L95" s="46">
        <f t="shared" si="43"/>
        <v>50000.6825236482</v>
      </c>
      <c r="M95" s="46">
        <f>((($AT95+$AU95)/2*$AN95+$AO95)*(1+$AV95)*(1+$AW95)+(($AY95+$AZ95)/2*IF($G$1="鸣金",$AP95,$AN95)+IF($G$1="鸣金",$AQ95*1.5,0))*(1+$BA95)*(1+$BB95)+(($BC95+$BD95)/2*IF($G$1="裂石",$AP95,$AN95)+IF($G$1="裂石",$AQ95*1.5,0))*(1+$BE95)*(1+$BF95)+(($BG95+$BH95)/2*IF($G$1="牵丝",$AP95,$AN95)+IF($G$1="牵丝",$AQ95*1.5,0))*(1+$BI95)*(1+$BJ95)+(($BK95+$BL95)/2*IF($G$1="破竹",$AP95,$AN95)+IF($G$1="破竹",$AQ95*1.5,0))*(1+$BM95)*(1+$BN95))*(1+$AR95)*$BQ95*$Q95*(1+IF(VLOOKUP($R95,武学奇术!$A:$ZZ,30,FALSE)="蓄力技",$B$21,0))*(1+IF(VLOOKUP($R95,武学奇术!$A:$ZZ,30,FALSE)="派生技",$B$20,0))*(1+$BW95)*(1+$BX95)</f>
        <v>52311.870250977</v>
      </c>
      <c r="N95" s="46">
        <f>(($AU95*$AN95+$AO95)*(1+$AV95)*(1+$AW95)+($AZ95*IF($G$1="鸣金",$AP95,$AN95)+IF($G$1="鸣金",$AQ95*1.5,0))*(1+$BA95)*(1+$BB95)+($BD95*IF($G$1="裂石",$AP95,$AN95)+IF($G$1="裂石",$AQ95*1.5,0))*(1+$BE95)*(1+$BF95)+($BH95*IF($G$1="牵丝",$AP95,$AN95)+IF($G$1="牵丝",$AQ95*1.5,0))*(1+$BI95)*(1+$BJ95)+($BL95*IF($G$1="破竹",$AP95,$AN95)+IF($G$1="破竹",$AQ95*1.5,0))*(1+$BM95)*(1+$BN95))*(1+$AR95)*$BS95*$Q95*(1+IF(VLOOKUP($R95,武学奇术!$A:$ZZ,30,FALSE)="蓄力技",$B$21,0))*(1+IF(VLOOKUP($R95,武学奇术!$A:$ZZ,30,FALSE)="派生技",$B$20,0))*(1+$BW95)*(1+$BX95)</f>
        <v>40092.8131436897</v>
      </c>
      <c r="O95" s="46">
        <f>((($AT95+$AU95)/2*$AN95+$AO95)*(1+$AV95)*(1+$AW95)+(($AY95+$AZ95)/2*IF($G$1="鸣金",$AP95,$AN95)+IF($G$1="鸣金",$AQ95*1.5,0))*(1+$BA95)*(1+$BB95)+(($BC95+$BD95)/2*IF($G$1="裂石",$AP95,$AN95)+IF($G$1="裂石",$AQ95*1.5,0))*(1+$BE95)*(1+$BF95)+(($BG95+$BH95)/2*IF($G$1="牵丝",$AP95,$AN95)+IF($G$1="牵丝",$AQ95*1.5,0))*(1+$BI95)*(1+$BJ95)+(($BK95+$BL95)/2*IF($G$1="破竹",$AP95,$AN95)+IF($G$1="破竹",$AQ95*1.5,0))*(1+$BM95)*(1+$BN95))*(1+$AR95)*$Q95*(1+IF(VLOOKUP($R95,武学奇术!$A:$ZZ,30,FALSE)="蓄力技",$B$21,0))*(1+IF(VLOOKUP($R95,武学奇术!$A:$ZZ,30,FALSE)="派生技",$B$20,0))*(1+$BW95)*(1+$BX95)</f>
        <v>26155.9351254885</v>
      </c>
      <c r="P95" s="46">
        <f>((($AT95*$AN95+$AO95)*(1+$AV95)*(1+$AW95)+($AY95*IF($G$1="鸣金",$AP95,$AN95)+IF($G$1="鸣金",$AQ95*1.5,0))*(1+$BA95)*(1+$BB95)+($BC95*IF($G$1="裂石",$AP95,$AN95)+IF($G$1="裂石",$AQ95*1.5,0))*(1+$BE95)*(1+$BF95)+($BG95*IF($G$1="牵丝",$AP95,$AN95)+IF($G$1="牵丝",$AQ95*1.5,0))*(1+$BI95)*(1+$BJ95)+($BK95*IF($G$1="破竹",$AP95,$AN95)+IF($G$1="破竹",$AQ95*1.5,0))*(1+$BM95)*(1+$BN95))*(1+$AR95))*$Q95*(1+IF(VLOOKUP($R95,武学奇术!$A:$ZZ,30,FALSE)="蓄力技",$B$21,0))*(1+IF(VLOOKUP($R95,武学奇术!$A:$ZZ,30,FALSE)="派生技",$B$20,0))*(1+$BW95)*(1+$BX95)</f>
        <v>22613.4901445402</v>
      </c>
      <c r="Q95" s="47">
        <f t="shared" si="42"/>
        <v>1</v>
      </c>
      <c r="R95" s="48" t="s">
        <v>169</v>
      </c>
      <c r="S95" s="48" t="s">
        <v>99</v>
      </c>
      <c r="T95" s="48" t="s">
        <v>182</v>
      </c>
      <c r="U95" s="48" t="s">
        <v>79</v>
      </c>
      <c r="V95" s="48" t="s">
        <v>90</v>
      </c>
      <c r="W95" s="48" t="s">
        <v>141</v>
      </c>
      <c r="X95" s="48" t="s">
        <v>80</v>
      </c>
      <c r="Y95" s="48" t="s">
        <v>74</v>
      </c>
      <c r="Z95" s="48" t="s">
        <v>80</v>
      </c>
      <c r="AA95" s="48" t="s">
        <v>183</v>
      </c>
      <c r="AB95" s="48" t="s">
        <v>184</v>
      </c>
      <c r="AC95" s="48" t="s">
        <v>80</v>
      </c>
      <c r="AD95" s="48" t="s">
        <v>80</v>
      </c>
      <c r="AE95" s="48" t="s">
        <v>82</v>
      </c>
      <c r="AF95" s="48" t="s">
        <v>83</v>
      </c>
      <c r="AG95" s="48" t="s">
        <v>84</v>
      </c>
      <c r="AH95" s="48" t="s">
        <v>80</v>
      </c>
      <c r="AI95" s="48" t="s">
        <v>80</v>
      </c>
      <c r="AJ95" s="48" t="s">
        <v>80</v>
      </c>
      <c r="AK95" s="48" t="s">
        <v>80</v>
      </c>
      <c r="AL95" s="48" t="s">
        <v>85</v>
      </c>
      <c r="AM95" t="str">
        <f>VLOOKUP($R95,武学奇术!$A:$ZZ,25,FALSE)</f>
        <v>陌刀</v>
      </c>
      <c r="AN95" s="33">
        <f>VLOOKUP($R95,武学奇术!$A:$ZZ,26,FALSE)</f>
        <v>0.945</v>
      </c>
      <c r="AO95" s="34">
        <f>VLOOKUP($R95,武学奇术!$A:$ZZ,27,FALSE)*(1+IF(OR($AM95=$F$4,$AM95=$F$5),$B$22,0))</f>
        <v>0</v>
      </c>
      <c r="AP95" s="33">
        <f>VLOOKUP($R95,武学奇术!$A:$ZZ,28,FALSE)</f>
        <v>1.4175</v>
      </c>
      <c r="AQ95" s="34">
        <f>VLOOKUP($R95,武学奇术!$A:$ZZ,29,FALSE)*(1+IF(OR($AM95=$F$4,$AM95=$F$5),$B$22,0))</f>
        <v>0</v>
      </c>
      <c r="AR95" s="33" cm="1">
        <f t="array" ref="AR95">$G$3+IFERROR(VLOOKUP($AM95,$F$4:$G$7,2,FALSE),0)+VLOOKUP($R95,武学奇术!$A:$ZZ,2,FALSE)+SUM(_xlfn.XLOOKUP($S95:$AL95,增益!$A:$A,增益!$B:$B,0))</f>
        <v>0.6943</v>
      </c>
      <c r="AS95" s="33" cm="1">
        <f t="array" ref="AS95">VLOOKUP($R95,武学奇术!$A:$ZZ,5,FALSE)+SUM(_xlfn.XLOOKUP($S95:$AL95,增益!$A:$A,增益!$E:$E,0))</f>
        <v>0</v>
      </c>
      <c r="AT95" cm="1">
        <f t="array" ref="AT95">$D$10*(1+$AS95)+VLOOKUP($R95,武学奇术!$A:$ZZ,3,FALSE)+SUM(_xlfn.XLOOKUP($S95:$AL95,增益!$A:$A,增益!$C:$C,0))-$I$2</f>
        <v>4094.7</v>
      </c>
      <c r="AU95" cm="1">
        <f t="array" ref="AU95">$E$10*(1+$AS95)+VLOOKUP($R95,武学奇术!$A:$ZZ,4,FALSE)+SUM(_xlfn.XLOOKUP($S95:$AL95,增益!$A:$A,增益!$D:$D,0))-$I$2</f>
        <v>4094.7</v>
      </c>
      <c r="AV95" s="40" cm="1">
        <f t="array" ref="AV95">IF($F$10-$I$3+VLOOKUP($R95,武学奇术!$A:$ZZ,6,FALSE)+SUM(_xlfn.XLOOKUP($S95:$AL95,增益!$A:$A,增益!$F:$F,0))&gt;0,($F$10-$I$3+VLOOKUP($R95,武学奇术!$A:$ZZ,6,FALSE)+SUM(_xlfn.XLOOKUP($S95:$AL95,增益!$A:$A,增益!$F:$F,0)))/200,($F$10-$I$3+VLOOKUP($R95,武学奇术!$A:$ZZ,6,FALSE)+SUM(_xlfn.XLOOKUP($S95:$AL95,增益!$A:$A,增益!$F:$F,0)))/100)</f>
        <v>0.4384</v>
      </c>
      <c r="AW95" s="40" cm="1">
        <f t="array" ref="AW95">$G$10+VLOOKUP($R95,武学奇术!$A:$ZZ,7,FALSE)+SUM(_xlfn.XLOOKUP($S95:$AL95,增益!$A:$A,增益!$G:$G,0))</f>
        <v>0.14</v>
      </c>
      <c r="AX95" s="33" cm="1">
        <f t="array" ref="AX95">VLOOKUP($R95,武学奇术!$A:$ZZ,8,FALSE)+SUM(_xlfn.XLOOKUP($S95:$AL95,增益!$A:$A,增益!$H:$H,0))</f>
        <v>0</v>
      </c>
      <c r="AY95">
        <f t="shared" si="29"/>
        <v>0</v>
      </c>
      <c r="AZ95">
        <f t="shared" si="30"/>
        <v>0</v>
      </c>
      <c r="BA95" s="40" cm="1">
        <f t="array" ref="BA95">IF($F$11-$I$4+VLOOKUP($R95,武学奇术!$A:$ZZ,9,FALSE)+SUM(_xlfn.XLOOKUP($S95:$AL95,增益!$A:$A,增益!$I:$I,0))&gt;0,($F$11-$I$4+VLOOKUP($R95,武学奇术!$A:$ZZ,9,FALSE)+SUM(_xlfn.XLOOKUP($S95:$AL95,增益!$A:$A,增益!$I:$I,0)))/200,($F$11-$I$4+VLOOKUP($R95,武学奇术!$A:$ZZ,9,FALSE)+SUM(_xlfn.XLOOKUP($S95:$AL95,增益!$A:$A,增益!$I:$I,0)))/100)</f>
        <v>-0.14</v>
      </c>
      <c r="BB95" s="40" cm="1">
        <f t="array" ref="BB95">$G$11+VLOOKUP($R95,武学奇术!$A:$ZZ,10,FALSE)+SUM(_xlfn.XLOOKUP($S95:$AL95,增益!$A:$A,增益!$J:$J,0))</f>
        <v>0.12</v>
      </c>
      <c r="BC95">
        <f t="shared" si="31"/>
        <v>640.3</v>
      </c>
      <c r="BD95">
        <f t="shared" si="32"/>
        <v>1770.1</v>
      </c>
      <c r="BE95" s="40" cm="1">
        <f t="array" ref="BE95">IF($F$12-$I$4+VLOOKUP($R95,武学奇术!$A:$ZZ,11,FALSE)+SUM(_xlfn.XLOOKUP($S95:$AL95,增益!$A:$A,增益!$K:$K,0))&gt;0,($F$12-$I$4+VLOOKUP($R95,武学奇术!$A:$ZZ,11,FALSE)+SUM(_xlfn.XLOOKUP($S95:$AL95,增益!$A:$A,增益!$K:$K,0)))/200,($F$12-$I$4+VLOOKUP($R95,武学奇术!$A:$ZZ,11,FALSE)+SUM(_xlfn.XLOOKUP($S95:$AL95,增益!$A:$A,增益!$K:$K,0)))/100)</f>
        <v>0.17</v>
      </c>
      <c r="BF95" s="40" cm="1">
        <f t="array" ref="BF95">$G$12+VLOOKUP($R95,武学奇术!$A:$ZZ,12,FALSE)+SUM(_xlfn.XLOOKUP($S95:$AL95,增益!$A:$A,增益!$L:$L,0))</f>
        <v>0.29</v>
      </c>
      <c r="BG95">
        <f t="shared" si="33"/>
        <v>0</v>
      </c>
      <c r="BH95">
        <f t="shared" si="34"/>
        <v>0</v>
      </c>
      <c r="BI95" s="40" cm="1">
        <f t="array" ref="BI95">IF($F$13-$I$4+VLOOKUP($R95,武学奇术!$A:$ZZ,13,FALSE)+SUM(_xlfn.XLOOKUP($S95:$AL95,增益!$A:$A,增益!$M:$M,0))&gt;0,($F$13-$I$4+VLOOKUP($R95,武学奇术!$A:$ZZ,13,FALSE)+SUM(_xlfn.XLOOKUP($S95:$AL95,增益!$A:$A,增益!$K:$K,0)))/200,($F$13-$I$4+VLOOKUP($R95,武学奇术!$A:$ZZ,13,FALSE)+SUM(_xlfn.XLOOKUP($S95:$AL95,增益!$A:$A,增益!$M:$M,0)))/100)</f>
        <v>-0.14</v>
      </c>
      <c r="BJ95" s="40" cm="1">
        <f t="array" ref="BJ95">$G$13+VLOOKUP($R95,武学奇术!$A:$ZZ,14,FALSE)+SUM(_xlfn.XLOOKUP($S95:$AL95,增益!$A:$A,增益!$N:$N,0))</f>
        <v>0.02</v>
      </c>
      <c r="BK95">
        <f t="shared" si="35"/>
        <v>0</v>
      </c>
      <c r="BL95">
        <f t="shared" si="36"/>
        <v>0</v>
      </c>
      <c r="BM95" s="40" cm="1">
        <f t="array" ref="BM95">IF($F$14-$I$4+VLOOKUP($R95,武学奇术!$A:$ZZ,15,FALSE)+SUM(_xlfn.XLOOKUP($S95:$AL95,增益!$A:$A,增益!$O:$O,0))&gt;0,($F$14-$I$4+VLOOKUP($R95,武学奇术!$A:$ZZ,15,FALSE)+SUM(_xlfn.XLOOKUP($S95:$AL95,增益!$A:$A,增益!$O:$O,0)))/200,($F$14-$I$4+VLOOKUP($R95,武学奇术!$A:$ZZ,15,FALSE)+SUM(_xlfn.XLOOKUP($S95:$AL95,增益!$A:$A,增益!$O:$O,0)))/100)</f>
        <v>-0.14</v>
      </c>
      <c r="BN95" s="40" cm="1">
        <f t="array" ref="BN95">$G$14+VLOOKUP($R95,武学奇术!$A:$ZZ,16,FALSE)+SUM(_xlfn.XLOOKUP($S95:$AL95,增益!$A:$A,增益!$P:$P,0))</f>
        <v>0.02</v>
      </c>
      <c r="BO95" s="33">
        <f>MIN(IF(VLOOKUP($R95,武学奇术!$A:$ZZ,23,FALSE)=1,100%,$B$8),100%)</f>
        <v>0.9771</v>
      </c>
      <c r="BP95" s="33" cm="1">
        <f t="array" ref="BP95">IF(VLOOKUP($R95,武学奇术!$A:$ZZ,23,FALSE)=1,100%,MIN(80%,$B$9+VLOOKUP($R95,武学奇术!$A:$ZZ,17,FALSE)+SUM(_xlfn.XLOOKUP($S95:$AL95,增益!$A:$A,增益!$Q:$Q,0)))+$B$11+SUM(_xlfn.XLOOKUP($S95:$AL95,增益!$A:$A,增益!$U:$U,0)))*IF(VLOOKUP($R95,武学奇术!$A:$ZZ,24,FALSE)=1,0,1)</f>
        <v>0.8861</v>
      </c>
      <c r="BQ95" s="33" cm="1">
        <f t="array" ref="BQ95">1+$B$13+VLOOKUP($R95,武学奇术!$A:$ZZ,18,FALSE)+SUM(_xlfn.XLOOKUP($S95:$AL95,增益!$A:$A,增益!$R:$R,0))</f>
        <v>2</v>
      </c>
      <c r="BR95" s="33" cm="1">
        <f t="array" ref="BR95">IF(VLOOKUP($R95,武学奇术!$A:$ZZ,24,FALSE)=1,100%,MIN(40%,$B$10+VLOOKUP($R95,武学奇术!$A:$ZZ,19,FALSE)+SUM(_xlfn.XLOOKUP($S95:$AL95,增益!$A:$A,增益!$S:$S,0)))+$B$12+SUM(_xlfn.XLOOKUP($S95:$AL95,增益!$A:$A,增益!$V:$V,0)))*IF(VLOOKUP($R95,武学奇术!$A:$ZZ,23,FALSE)=1,0,1)</f>
        <v>0.0913</v>
      </c>
      <c r="BS95" s="33" cm="1">
        <f t="array" ref="BS95">1+$B$14+VLOOKUP($R95,武学奇术!$A:$ZZ,20,FALSE)+SUM(_xlfn.XLOOKUP($S95:$AL95,增益!$A:$A,增益!$T:$T,0))</f>
        <v>1.35</v>
      </c>
      <c r="BT95" s="33">
        <f t="shared" si="37"/>
        <v>0.86580831</v>
      </c>
      <c r="BU95" s="33">
        <f t="shared" si="38"/>
        <v>0.02208246</v>
      </c>
      <c r="BV95" s="33">
        <f>IF(VLOOKUP($R95,武学奇术!$A:$ZZ,22,FALSE)=1,0,(1-$BO95))*(1-$BR95)</f>
        <v>0.02080923</v>
      </c>
      <c r="BW95" s="33" cm="1">
        <f t="array" ref="BW95">SUM(_xlfn.XLOOKUP($S95:$AL95,增益!$A:$A,增益!$W:$W,0))+$I$5</f>
        <v>0.31</v>
      </c>
      <c r="BX95" s="33" cm="1">
        <f t="array" ref="BX95">VLOOKUP($R95,武学奇术!$A:$ZZ,32,FALSE)+SUM(_xlfn.XLOOKUP($S95:$AL95,增益!$A:$A,增益!$X:$X,0))</f>
        <v>0</v>
      </c>
    </row>
    <row r="96" spans="1:76">
      <c r="L96" s="46">
        <f t="shared" si="43"/>
        <v>453913.935903635</v>
      </c>
      <c r="M96" s="46">
        <f>((($AT96+$AU96)/2*$AN96+$AO96)*(1+$AV96)*(1+$AW96)+(($AY96+$AZ96)/2*IF($G$1="鸣金",$AP96,$AN96)+IF($G$1="鸣金",$AQ96*1.5,0))*(1+$BA96)*(1+$BB96)+(($BC96+$BD96)/2*IF($G$1="裂石",$AP96,$AN96)+IF($G$1="裂石",$AQ96*1.5,0))*(1+$BE96)*(1+$BF96)+(($BG96+$BH96)/2*IF($G$1="牵丝",$AP96,$AN96)+IF($G$1="牵丝",$AQ96*1.5,0))*(1+$BI96)*(1+$BJ96)+(($BK96+$BL96)/2*IF($G$1="破竹",$AP96,$AN96)+IF($G$1="破竹",$AQ96*1.5,0))*(1+$BM96)*(1+$BN96))*(1+$AR96)*$BQ96*$Q96*(1+IF(VLOOKUP($R96,武学奇术!$A:$ZZ,30,FALSE)="蓄力技",$B$21,0))*(1+IF(VLOOKUP($R96,武学奇术!$A:$ZZ,30,FALSE)="派生技",$B$20,0))*(1+$BW96)*(1+$BX96)</f>
        <v>475304.584161629</v>
      </c>
      <c r="N96" s="46">
        <f>(($AU96*$AN96+$AO96)*(1+$AV96)*(1+$AW96)+($AZ96*IF($G$1="鸣金",$AP96,$AN96)+IF($G$1="鸣金",$AQ96*1.5,0))*(1+$BA96)*(1+$BB96)+($BD96*IF($G$1="裂石",$AP96,$AN96)+IF($G$1="裂石",$AQ96*1.5,0))*(1+$BE96)*(1+$BF96)+($BH96*IF($G$1="牵丝",$AP96,$AN96)+IF($G$1="牵丝",$AQ96*1.5,0))*(1+$BI96)*(1+$BJ96)+($BL96*IF($G$1="破竹",$AP96,$AN96)+IF($G$1="破竹",$AQ96*1.5,0))*(1+$BM96)*(1+$BN96))*(1+$AR96)*$BS96*$Q96*(1+IF(VLOOKUP($R96,武学奇术!$A:$ZZ,30,FALSE)="蓄力技",$B$21,0))*(1+IF(VLOOKUP($R96,武学奇术!$A:$ZZ,30,FALSE)="派生技",$B$20,0))*(1+$BW96)*(1+$BX96)</f>
        <v>359126.786183138</v>
      </c>
      <c r="O96" s="46">
        <f>((($AT96+$AU96)/2*$AN96+$AO96)*(1+$AV96)*(1+$AW96)+(($AY96+$AZ96)/2*IF($G$1="鸣金",$AP96,$AN96)+IF($G$1="鸣金",$AQ96*1.5,0))*(1+$BA96)*(1+$BB96)+(($BC96+$BD96)/2*IF($G$1="裂石",$AP96,$AN96)+IF($G$1="裂石",$AQ96*1.5,0))*(1+$BE96)*(1+$BF96)+(($BG96+$BH96)/2*IF($G$1="牵丝",$AP96,$AN96)+IF($G$1="牵丝",$AQ96*1.5,0))*(1+$BI96)*(1+$BJ96)+(($BK96+$BL96)/2*IF($G$1="破竹",$AP96,$AN96)+IF($G$1="破竹",$AQ96*1.5,0))*(1+$BM96)*(1+$BN96))*(1+$AR96)*$Q96*(1+IF(VLOOKUP($R96,武学奇术!$A:$ZZ,30,FALSE)="蓄力技",$B$21,0))*(1+IF(VLOOKUP($R96,武学奇术!$A:$ZZ,30,FALSE)="派生技",$B$20,0))*(1+$BW96)*(1+$BX96)</f>
        <v>237652.292080814</v>
      </c>
      <c r="P96" s="46">
        <f>((($AT96*$AN96+$AO96)*(1+$AV96)*(1+$AW96)+($AY96*IF($G$1="鸣金",$AP96,$AN96)+IF($G$1="鸣金",$AQ96*1.5,0))*(1+$BA96)*(1+$BB96)+($BC96*IF($G$1="裂石",$AP96,$AN96)+IF($G$1="裂石",$AQ96*1.5,0))*(1+$BE96)*(1+$BF96)+($BG96*IF($G$1="牵丝",$AP96,$AN96)+IF($G$1="牵丝",$AQ96*1.5,0))*(1+$BI96)*(1+$BJ96)+($BK96*IF($G$1="破竹",$AP96,$AN96)+IF($G$1="破竹",$AQ96*1.5,0))*(1+$BM96)*(1+$BN96))*(1+$AR96))*$Q96*(1+IF(VLOOKUP($R96,武学奇术!$A:$ZZ,30,FALSE)="蓄力技",$B$21,0))*(1+IF(VLOOKUP($R96,武学奇术!$A:$ZZ,30,FALSE)="派生技",$B$20,0))*(1+$BW96)*(1+$BX96)</f>
        <v>209284.742544489</v>
      </c>
      <c r="Q96" s="47">
        <f t="shared" si="42"/>
        <v>1</v>
      </c>
      <c r="R96" s="48" t="s">
        <v>185</v>
      </c>
      <c r="S96" s="48" t="s">
        <v>99</v>
      </c>
      <c r="T96" s="48" t="s">
        <v>182</v>
      </c>
      <c r="U96" s="48" t="s">
        <v>79</v>
      </c>
      <c r="V96" s="48" t="s">
        <v>90</v>
      </c>
      <c r="W96" s="48" t="s">
        <v>141</v>
      </c>
      <c r="X96" s="48" t="s">
        <v>80</v>
      </c>
      <c r="Y96" s="48" t="s">
        <v>74</v>
      </c>
      <c r="Z96" s="48" t="s">
        <v>80</v>
      </c>
      <c r="AA96" s="48" t="s">
        <v>183</v>
      </c>
      <c r="AB96" s="48" t="s">
        <v>184</v>
      </c>
      <c r="AC96" s="48" t="s">
        <v>80</v>
      </c>
      <c r="AD96" s="48" t="s">
        <v>80</v>
      </c>
      <c r="AE96" s="48" t="s">
        <v>82</v>
      </c>
      <c r="AF96" s="48" t="s">
        <v>83</v>
      </c>
      <c r="AG96" s="48" t="s">
        <v>84</v>
      </c>
      <c r="AH96" s="48" t="s">
        <v>80</v>
      </c>
      <c r="AI96" s="48" t="s">
        <v>80</v>
      </c>
      <c r="AJ96" s="48" t="s">
        <v>80</v>
      </c>
      <c r="AK96" s="48" t="s">
        <v>80</v>
      </c>
      <c r="AL96" s="48" t="s">
        <v>85</v>
      </c>
      <c r="AM96" t="str">
        <f>VLOOKUP($R96,武学奇术!$A:$ZZ,25,FALSE)</f>
        <v>陌刀</v>
      </c>
      <c r="AN96" s="33">
        <f>VLOOKUP($R96,武学奇术!$A:$ZZ,26,FALSE)</f>
        <v>7.5674</v>
      </c>
      <c r="AO96" s="34">
        <f>VLOOKUP($R96,武学奇术!$A:$ZZ,27,FALSE)*(1+IF(OR($AM96=$F$4,$AM96=$F$5),$B$22,0))</f>
        <v>3348.8</v>
      </c>
      <c r="AP96" s="33">
        <f>VLOOKUP($R96,武学奇术!$A:$ZZ,28,FALSE)</f>
        <v>11.3512</v>
      </c>
      <c r="AQ96" s="34">
        <f>VLOOKUP($R96,武学奇术!$A:$ZZ,29,FALSE)*(1+IF(OR($AM96=$F$4,$AM96=$F$5),$B$22,0))</f>
        <v>1824</v>
      </c>
      <c r="AR96" s="33" cm="1">
        <f t="array" ref="AR96">$G$3+IFERROR(VLOOKUP($AM96,$F$4:$G$7,2,FALSE),0)+VLOOKUP($R96,武学奇术!$A:$ZZ,2,FALSE)+SUM(_xlfn.XLOOKUP($S96:$AL96,增益!$A:$A,增益!$B:$B,0))</f>
        <v>0.6943</v>
      </c>
      <c r="AS96" s="33" cm="1">
        <f t="array" ref="AS96">VLOOKUP($R96,武学奇术!$A:$ZZ,5,FALSE)+SUM(_xlfn.XLOOKUP($S96:$AL96,增益!$A:$A,增益!$E:$E,0))</f>
        <v>0</v>
      </c>
      <c r="AT96" cm="1">
        <f t="array" ref="AT96">$D$10*(1+$AS96)+VLOOKUP($R96,武学奇术!$A:$ZZ,3,FALSE)+SUM(_xlfn.XLOOKUP($S96:$AL96,增益!$A:$A,增益!$C:$C,0))-$I$2</f>
        <v>4094.7</v>
      </c>
      <c r="AU96" cm="1">
        <f t="array" ref="AU96">$E$10*(1+$AS96)+VLOOKUP($R96,武学奇术!$A:$ZZ,4,FALSE)+SUM(_xlfn.XLOOKUP($S96:$AL96,增益!$A:$A,增益!$D:$D,0))-$I$2</f>
        <v>4094.7</v>
      </c>
      <c r="AV96" s="40" cm="1">
        <f t="array" ref="AV96">IF($F$10-$I$3+VLOOKUP($R96,武学奇术!$A:$ZZ,6,FALSE)+SUM(_xlfn.XLOOKUP($S96:$AL96,增益!$A:$A,增益!$F:$F,0))&gt;0,($F$10-$I$3+VLOOKUP($R96,武学奇术!$A:$ZZ,6,FALSE)+SUM(_xlfn.XLOOKUP($S96:$AL96,增益!$A:$A,增益!$F:$F,0)))/200,($F$10-$I$3+VLOOKUP($R96,武学奇术!$A:$ZZ,6,FALSE)+SUM(_xlfn.XLOOKUP($S96:$AL96,增益!$A:$A,增益!$F:$F,0)))/100)</f>
        <v>0.4384</v>
      </c>
      <c r="AW96" s="40" cm="1">
        <f t="array" ref="AW96">$G$10+VLOOKUP($R96,武学奇术!$A:$ZZ,7,FALSE)+SUM(_xlfn.XLOOKUP($S96:$AL96,增益!$A:$A,增益!$G:$G,0))</f>
        <v>0.14</v>
      </c>
      <c r="AX96" s="33" cm="1">
        <f t="array" ref="AX96">VLOOKUP($R96,武学奇术!$A:$ZZ,8,FALSE)+SUM(_xlfn.XLOOKUP($S96:$AL96,增益!$A:$A,增益!$H:$H,0))</f>
        <v>0</v>
      </c>
      <c r="AY96">
        <f t="shared" si="29"/>
        <v>0</v>
      </c>
      <c r="AZ96">
        <f t="shared" si="30"/>
        <v>0</v>
      </c>
      <c r="BA96" s="40" cm="1">
        <f t="array" ref="BA96">IF($F$11-$I$4+VLOOKUP($R96,武学奇术!$A:$ZZ,9,FALSE)+SUM(_xlfn.XLOOKUP($S96:$AL96,增益!$A:$A,增益!$I:$I,0))&gt;0,($F$11-$I$4+VLOOKUP($R96,武学奇术!$A:$ZZ,9,FALSE)+SUM(_xlfn.XLOOKUP($S96:$AL96,增益!$A:$A,增益!$I:$I,0)))/200,($F$11-$I$4+VLOOKUP($R96,武学奇术!$A:$ZZ,9,FALSE)+SUM(_xlfn.XLOOKUP($S96:$AL96,增益!$A:$A,增益!$I:$I,0)))/100)</f>
        <v>-0.14</v>
      </c>
      <c r="BB96" s="40" cm="1">
        <f t="array" ref="BB96">$G$11+VLOOKUP($R96,武学奇术!$A:$ZZ,10,FALSE)+SUM(_xlfn.XLOOKUP($S96:$AL96,增益!$A:$A,增益!$J:$J,0))</f>
        <v>0.12</v>
      </c>
      <c r="BC96">
        <f t="shared" si="31"/>
        <v>640.3</v>
      </c>
      <c r="BD96">
        <f t="shared" si="32"/>
        <v>1770.1</v>
      </c>
      <c r="BE96" s="40" cm="1">
        <f t="array" ref="BE96">IF($F$12-$I$4+VLOOKUP($R96,武学奇术!$A:$ZZ,11,FALSE)+SUM(_xlfn.XLOOKUP($S96:$AL96,增益!$A:$A,增益!$K:$K,0))&gt;0,($F$12-$I$4+VLOOKUP($R96,武学奇术!$A:$ZZ,11,FALSE)+SUM(_xlfn.XLOOKUP($S96:$AL96,增益!$A:$A,增益!$K:$K,0)))/200,($F$12-$I$4+VLOOKUP($R96,武学奇术!$A:$ZZ,11,FALSE)+SUM(_xlfn.XLOOKUP($S96:$AL96,增益!$A:$A,增益!$K:$K,0)))/100)</f>
        <v>0.17</v>
      </c>
      <c r="BF96" s="40" cm="1">
        <f t="array" ref="BF96">$G$12+VLOOKUP($R96,武学奇术!$A:$ZZ,12,FALSE)+SUM(_xlfn.XLOOKUP($S96:$AL96,增益!$A:$A,增益!$L:$L,0))</f>
        <v>0.29</v>
      </c>
      <c r="BG96">
        <f t="shared" si="33"/>
        <v>0</v>
      </c>
      <c r="BH96">
        <f t="shared" si="34"/>
        <v>0</v>
      </c>
      <c r="BI96" s="40" cm="1">
        <f t="array" ref="BI96">IF($F$13-$I$4+VLOOKUP($R96,武学奇术!$A:$ZZ,13,FALSE)+SUM(_xlfn.XLOOKUP($S96:$AL96,增益!$A:$A,增益!$M:$M,0))&gt;0,($F$13-$I$4+VLOOKUP($R96,武学奇术!$A:$ZZ,13,FALSE)+SUM(_xlfn.XLOOKUP($S96:$AL96,增益!$A:$A,增益!$K:$K,0)))/200,($F$13-$I$4+VLOOKUP($R96,武学奇术!$A:$ZZ,13,FALSE)+SUM(_xlfn.XLOOKUP($S96:$AL96,增益!$A:$A,增益!$M:$M,0)))/100)</f>
        <v>-0.14</v>
      </c>
      <c r="BJ96" s="40" cm="1">
        <f t="array" ref="BJ96">$G$13+VLOOKUP($R96,武学奇术!$A:$ZZ,14,FALSE)+SUM(_xlfn.XLOOKUP($S96:$AL96,增益!$A:$A,增益!$N:$N,0))</f>
        <v>0.02</v>
      </c>
      <c r="BK96">
        <f t="shared" si="35"/>
        <v>0</v>
      </c>
      <c r="BL96">
        <f t="shared" si="36"/>
        <v>0</v>
      </c>
      <c r="BM96" s="40" cm="1">
        <f t="array" ref="BM96">IF($F$14-$I$4+VLOOKUP($R96,武学奇术!$A:$ZZ,15,FALSE)+SUM(_xlfn.XLOOKUP($S96:$AL96,增益!$A:$A,增益!$O:$O,0))&gt;0,($F$14-$I$4+VLOOKUP($R96,武学奇术!$A:$ZZ,15,FALSE)+SUM(_xlfn.XLOOKUP($S96:$AL96,增益!$A:$A,增益!$O:$O,0)))/200,($F$14-$I$4+VLOOKUP($R96,武学奇术!$A:$ZZ,15,FALSE)+SUM(_xlfn.XLOOKUP($S96:$AL96,增益!$A:$A,增益!$O:$O,0)))/100)</f>
        <v>-0.14</v>
      </c>
      <c r="BN96" s="40" cm="1">
        <f t="array" ref="BN96">$G$14+VLOOKUP($R96,武学奇术!$A:$ZZ,16,FALSE)+SUM(_xlfn.XLOOKUP($S96:$AL96,增益!$A:$A,增益!$P:$P,0))</f>
        <v>0.02</v>
      </c>
      <c r="BO96" s="33">
        <f>MIN(IF(VLOOKUP($R96,武学奇术!$A:$ZZ,23,FALSE)=1,100%,$B$8),100%)</f>
        <v>0.9771</v>
      </c>
      <c r="BP96" s="33" cm="1">
        <f t="array" ref="BP96">IF(VLOOKUP($R96,武学奇术!$A:$ZZ,23,FALSE)=1,100%,MIN(80%,$B$9+VLOOKUP($R96,武学奇术!$A:$ZZ,17,FALSE)+SUM(_xlfn.XLOOKUP($S96:$AL96,增益!$A:$A,增益!$Q:$Q,0)))+$B$11+SUM(_xlfn.XLOOKUP($S96:$AL96,增益!$A:$A,增益!$U:$U,0)))*IF(VLOOKUP($R96,武学奇术!$A:$ZZ,24,FALSE)=1,0,1)</f>
        <v>0.8861</v>
      </c>
      <c r="BQ96" s="33" cm="1">
        <f t="array" ref="BQ96">1+$B$13+VLOOKUP($R96,武学奇术!$A:$ZZ,18,FALSE)+SUM(_xlfn.XLOOKUP($S96:$AL96,增益!$A:$A,增益!$R:$R,0))</f>
        <v>2</v>
      </c>
      <c r="BR96" s="33" cm="1">
        <f t="array" ref="BR96">IF(VLOOKUP($R96,武学奇术!$A:$ZZ,24,FALSE)=1,100%,MIN(40%,$B$10+VLOOKUP($R96,武学奇术!$A:$ZZ,19,FALSE)+SUM(_xlfn.XLOOKUP($S96:$AL96,增益!$A:$A,增益!$S:$S,0)))+$B$12+SUM(_xlfn.XLOOKUP($S96:$AL96,增益!$A:$A,增益!$V:$V,0)))*IF(VLOOKUP($R96,武学奇术!$A:$ZZ,23,FALSE)=1,0,1)</f>
        <v>0.0913</v>
      </c>
      <c r="BS96" s="33" cm="1">
        <f t="array" ref="BS96">1+$B$14+VLOOKUP($R96,武学奇术!$A:$ZZ,20,FALSE)+SUM(_xlfn.XLOOKUP($S96:$AL96,增益!$A:$A,增益!$T:$T,0))</f>
        <v>1.35</v>
      </c>
      <c r="BT96" s="33">
        <f t="shared" si="37"/>
        <v>0.86580831</v>
      </c>
      <c r="BU96" s="33">
        <f t="shared" si="38"/>
        <v>0.02208246</v>
      </c>
      <c r="BV96" s="33">
        <f>IF(VLOOKUP($R96,武学奇术!$A:$ZZ,22,FALSE)=1,0,(1-$BO96))*(1-$BR96)</f>
        <v>0.02080923</v>
      </c>
      <c r="BW96" s="33" cm="1">
        <f t="array" ref="BW96">SUM(_xlfn.XLOOKUP($S96:$AL96,增益!$A:$A,增益!$W:$W,0))+$I$5</f>
        <v>0.31</v>
      </c>
      <c r="BX96" s="33" cm="1">
        <f t="array" ref="BX96">VLOOKUP($R96,武学奇术!$A:$ZZ,32,FALSE)+SUM(_xlfn.XLOOKUP($S96:$AL96,增益!$A:$A,增益!$X:$X,0))</f>
        <v>0</v>
      </c>
    </row>
    <row r="97" spans="1:76">
      <c r="L97" s="46">
        <f t="shared" si="43"/>
        <v>23537.2169640583</v>
      </c>
      <c r="M97" s="46">
        <f>((($AT97+$AU97)/2*$AN97+$AO97)*(1+$AV97)*(1+$AW97)+(($AY97+$AZ97)/2*IF($G$1="鸣金",$AP97,$AN97)+IF($G$1="鸣金",$AQ97*1.5,0))*(1+$BA97)*(1+$BB97)+(($BC97+$BD97)/2*IF($G$1="裂石",$AP97,$AN97)+IF($G$1="裂石",$AQ97*1.5,0))*(1+$BE97)*(1+$BF97)+(($BG97+$BH97)/2*IF($G$1="牵丝",$AP97,$AN97)+IF($G$1="牵丝",$AQ97*1.5,0))*(1+$BI97)*(1+$BJ97)+(($BK97+$BL97)/2*IF($G$1="破竹",$AP97,$AN97)+IF($G$1="破竹",$AQ97*1.5,0))*(1+$BM97)*(1+$BN97))*(1+$AR97)*$BQ97*$Q97*(1+IF(VLOOKUP($R97,武学奇术!$A:$ZZ,30,FALSE)="蓄力技",$B$21,0))*(1+IF(VLOOKUP($R97,武学奇术!$A:$ZZ,30,FALSE)="派生技",$B$20,0))*(1+$BW97)*(1+$BX97)</f>
        <v>24625.1806524956</v>
      </c>
      <c r="N97" s="46">
        <f>(($AU97*$AN97+$AO97)*(1+$AV97)*(1+$AW97)+($AZ97*IF($G$1="鸣金",$AP97,$AN97)+IF($G$1="鸣金",$AQ97*1.5,0))*(1+$BA97)*(1+$BB97)+($BD97*IF($G$1="裂石",$AP97,$AN97)+IF($G$1="裂石",$AQ97*1.5,0))*(1+$BE97)*(1+$BF97)+($BH97*IF($G$1="牵丝",$AP97,$AN97)+IF($G$1="牵丝",$AQ97*1.5,0))*(1+$BI97)*(1+$BJ97)+($BL97*IF($G$1="破竹",$AP97,$AN97)+IF($G$1="破竹",$AQ97*1.5,0))*(1+$BM97)*(1+$BN97))*(1+$AR97)*$BS97*$Q97*(1+IF(VLOOKUP($R97,武学奇术!$A:$ZZ,30,FALSE)="蓄力技",$B$21,0))*(1+IF(VLOOKUP($R97,武学奇术!$A:$ZZ,30,FALSE)="派生技",$B$20,0))*(1+$BW97)*(1+$BX97)</f>
        <v>18873.2072050448</v>
      </c>
      <c r="O97" s="46">
        <f>((($AT97+$AU97)/2*$AN97+$AO97)*(1+$AV97)*(1+$AW97)+(($AY97+$AZ97)/2*IF($G$1="鸣金",$AP97,$AN97)+IF($G$1="鸣金",$AQ97*1.5,0))*(1+$BA97)*(1+$BB97)+(($BC97+$BD97)/2*IF($G$1="裂石",$AP97,$AN97)+IF($G$1="裂石",$AQ97*1.5,0))*(1+$BE97)*(1+$BF97)+(($BG97+$BH97)/2*IF($G$1="牵丝",$AP97,$AN97)+IF($G$1="牵丝",$AQ97*1.5,0))*(1+$BI97)*(1+$BJ97)+(($BK97+$BL97)/2*IF($G$1="破竹",$AP97,$AN97)+IF($G$1="破竹",$AQ97*1.5,0))*(1+$BM97)*(1+$BN97))*(1+$AR97)*$Q97*(1+IF(VLOOKUP($R97,武学奇术!$A:$ZZ,30,FALSE)="蓄力技",$B$21,0))*(1+IF(VLOOKUP($R97,武学奇术!$A:$ZZ,30,FALSE)="派生技",$B$20,0))*(1+$BW97)*(1+$BX97)</f>
        <v>12312.5903262478</v>
      </c>
      <c r="P97" s="46">
        <f>((($AT97*$AN97+$AO97)*(1+$AV97)*(1+$AW97)+($AY97*IF($G$1="鸣金",$AP97,$AN97)+IF($G$1="鸣金",$AQ97*1.5,0))*(1+$BA97)*(1+$BB97)+($BC97*IF($G$1="裂石",$AP97,$AN97)+IF($G$1="裂石",$AQ97*1.5,0))*(1+$BE97)*(1+$BF97)+($BG97*IF($G$1="牵丝",$AP97,$AN97)+IF($G$1="牵丝",$AQ97*1.5,0))*(1+$BI97)*(1+$BJ97)+($BK97*IF($G$1="破竹",$AP97,$AN97)+IF($G$1="破竹",$AQ97*1.5,0))*(1+$BM97)*(1+$BN97))*(1+$AR97))*$Q97*(1+IF(VLOOKUP($R97,武学奇术!$A:$ZZ,30,FALSE)="蓄力技",$B$21,0))*(1+IF(VLOOKUP($R97,武学奇术!$A:$ZZ,30,FALSE)="派生技",$B$20,0))*(1+$BW97)*(1+$BX97)</f>
        <v>10645.0271672772</v>
      </c>
      <c r="Q97" s="47">
        <f t="shared" si="42"/>
        <v>1</v>
      </c>
      <c r="R97" s="48" t="s">
        <v>140</v>
      </c>
      <c r="S97" s="48" t="s">
        <v>99</v>
      </c>
      <c r="T97" s="48" t="s">
        <v>182</v>
      </c>
      <c r="U97" s="48" t="s">
        <v>79</v>
      </c>
      <c r="V97" s="48" t="s">
        <v>90</v>
      </c>
      <c r="W97" s="48" t="s">
        <v>141</v>
      </c>
      <c r="X97" s="48" t="s">
        <v>80</v>
      </c>
      <c r="Y97" s="48" t="s">
        <v>74</v>
      </c>
      <c r="Z97" s="48" t="s">
        <v>80</v>
      </c>
      <c r="AA97" s="48" t="s">
        <v>80</v>
      </c>
      <c r="AB97" s="48" t="s">
        <v>80</v>
      </c>
      <c r="AC97" s="48" t="s">
        <v>80</v>
      </c>
      <c r="AD97" s="48" t="s">
        <v>80</v>
      </c>
      <c r="AE97" s="48" t="s">
        <v>82</v>
      </c>
      <c r="AF97" s="48" t="s">
        <v>83</v>
      </c>
      <c r="AG97" s="48" t="s">
        <v>84</v>
      </c>
      <c r="AH97" s="48" t="s">
        <v>80</v>
      </c>
      <c r="AI97" s="48" t="s">
        <v>80</v>
      </c>
      <c r="AJ97" s="48" t="s">
        <v>80</v>
      </c>
      <c r="AK97" s="48" t="s">
        <v>80</v>
      </c>
      <c r="AL97" s="48" t="s">
        <v>85</v>
      </c>
      <c r="AM97" t="str">
        <f>VLOOKUP($R97,武学奇术!$A:$ZZ,25,FALSE)</f>
        <v>陌刀</v>
      </c>
      <c r="AN97" s="33">
        <f>VLOOKUP($R97,武学奇术!$A:$ZZ,26,FALSE)</f>
        <v>0.525</v>
      </c>
      <c r="AO97" s="34">
        <f>VLOOKUP($R97,武学奇术!$A:$ZZ,27,FALSE)*(1+IF(OR($AM97=$F$4,$AM97=$F$5),$B$22,0))</f>
        <v>0</v>
      </c>
      <c r="AP97" s="33">
        <f>VLOOKUP($R97,武学奇术!$A:$ZZ,28,FALSE)</f>
        <v>0.7875</v>
      </c>
      <c r="AQ97" s="34">
        <f>VLOOKUP($R97,武学奇术!$A:$ZZ,29,FALSE)*(1+IF(OR($AM97=$F$4,$AM97=$F$5),$B$22,0))</f>
        <v>0</v>
      </c>
      <c r="AR97" s="33" cm="1">
        <f t="array" ref="AR97">$G$3+IFERROR(VLOOKUP($AM97,$F$4:$G$7,2,FALSE),0)+VLOOKUP($R97,武学奇术!$A:$ZZ,2,FALSE)+SUM(_xlfn.XLOOKUP($S97:$AL97,增益!$A:$A,增益!$B:$B,0))</f>
        <v>0.6943</v>
      </c>
      <c r="AS97" s="33" cm="1">
        <f t="array" ref="AS97">VLOOKUP($R97,武学奇术!$A:$ZZ,5,FALSE)+SUM(_xlfn.XLOOKUP($S97:$AL97,增益!$A:$A,增益!$E:$E,0))</f>
        <v>0</v>
      </c>
      <c r="AT97" cm="1">
        <f t="array" ref="AT97">$D$10*(1+$AS97)+VLOOKUP($R97,武学奇术!$A:$ZZ,3,FALSE)+SUM(_xlfn.XLOOKUP($S97:$AL97,增益!$A:$A,增益!$C:$C,0))-$I$2</f>
        <v>4094.7</v>
      </c>
      <c r="AU97" cm="1">
        <f t="array" ref="AU97">$E$10*(1+$AS97)+VLOOKUP($R97,武学奇术!$A:$ZZ,4,FALSE)+SUM(_xlfn.XLOOKUP($S97:$AL97,增益!$A:$A,增益!$D:$D,0))-$I$2</f>
        <v>4094.7</v>
      </c>
      <c r="AV97" s="40" cm="1">
        <f t="array" ref="AV97">IF($F$10-$I$3+VLOOKUP($R97,武学奇术!$A:$ZZ,6,FALSE)+SUM(_xlfn.XLOOKUP($S97:$AL97,增益!$A:$A,增益!$F:$F,0))&gt;0,($F$10-$I$3+VLOOKUP($R97,武学奇术!$A:$ZZ,6,FALSE)+SUM(_xlfn.XLOOKUP($S97:$AL97,增益!$A:$A,增益!$F:$F,0)))/200,($F$10-$I$3+VLOOKUP($R97,武学奇术!$A:$ZZ,6,FALSE)+SUM(_xlfn.XLOOKUP($S97:$AL97,增益!$A:$A,增益!$F:$F,0)))/100)</f>
        <v>0.4384</v>
      </c>
      <c r="AW97" s="40" cm="1">
        <f t="array" ref="AW97">$G$10+VLOOKUP($R97,武学奇术!$A:$ZZ,7,FALSE)+SUM(_xlfn.XLOOKUP($S97:$AL97,增益!$A:$A,增益!$G:$G,0))</f>
        <v>0.14</v>
      </c>
      <c r="AX97" s="33" cm="1">
        <f t="array" ref="AX97">VLOOKUP($R97,武学奇术!$A:$ZZ,8,FALSE)+SUM(_xlfn.XLOOKUP($S97:$AL97,增益!$A:$A,增益!$H:$H,0))</f>
        <v>0</v>
      </c>
      <c r="AY97">
        <f t="shared" si="29"/>
        <v>0</v>
      </c>
      <c r="AZ97">
        <f t="shared" si="30"/>
        <v>0</v>
      </c>
      <c r="BA97" s="40" cm="1">
        <f t="array" ref="BA97">IF($F$11-$I$4+VLOOKUP($R97,武学奇术!$A:$ZZ,9,FALSE)+SUM(_xlfn.XLOOKUP($S97:$AL97,增益!$A:$A,增益!$I:$I,0))&gt;0,($F$11-$I$4+VLOOKUP($R97,武学奇术!$A:$ZZ,9,FALSE)+SUM(_xlfn.XLOOKUP($S97:$AL97,增益!$A:$A,增益!$I:$I,0)))/200,($F$11-$I$4+VLOOKUP($R97,武学奇术!$A:$ZZ,9,FALSE)+SUM(_xlfn.XLOOKUP($S97:$AL97,增益!$A:$A,增益!$I:$I,0)))/100)</f>
        <v>-0.14</v>
      </c>
      <c r="BB97" s="40" cm="1">
        <f t="array" ref="BB97">$G$11+VLOOKUP($R97,武学奇术!$A:$ZZ,10,FALSE)+SUM(_xlfn.XLOOKUP($S97:$AL97,增益!$A:$A,增益!$J:$J,0))</f>
        <v>0.02</v>
      </c>
      <c r="BC97">
        <f t="shared" si="31"/>
        <v>640.3</v>
      </c>
      <c r="BD97">
        <f t="shared" si="32"/>
        <v>1770.1</v>
      </c>
      <c r="BE97" s="40" cm="1">
        <f t="array" ref="BE97">IF($F$12-$I$4+VLOOKUP($R97,武学奇术!$A:$ZZ,11,FALSE)+SUM(_xlfn.XLOOKUP($S97:$AL97,增益!$A:$A,增益!$K:$K,0))&gt;0,($F$12-$I$4+VLOOKUP($R97,武学奇术!$A:$ZZ,11,FALSE)+SUM(_xlfn.XLOOKUP($S97:$AL97,增益!$A:$A,增益!$K:$K,0)))/200,($F$12-$I$4+VLOOKUP($R97,武学奇术!$A:$ZZ,11,FALSE)+SUM(_xlfn.XLOOKUP($S97:$AL97,增益!$A:$A,增益!$K:$K,0)))/100)</f>
        <v>0.17</v>
      </c>
      <c r="BF97" s="40" cm="1">
        <f t="array" ref="BF97">$G$12+VLOOKUP($R97,武学奇术!$A:$ZZ,12,FALSE)+SUM(_xlfn.XLOOKUP($S97:$AL97,增益!$A:$A,增益!$L:$L,0))</f>
        <v>0.29</v>
      </c>
      <c r="BG97">
        <f t="shared" si="33"/>
        <v>0</v>
      </c>
      <c r="BH97">
        <f t="shared" si="34"/>
        <v>0</v>
      </c>
      <c r="BI97" s="40" cm="1">
        <f t="array" ref="BI97">IF($F$13-$I$4+VLOOKUP($R97,武学奇术!$A:$ZZ,13,FALSE)+SUM(_xlfn.XLOOKUP($S97:$AL97,增益!$A:$A,增益!$M:$M,0))&gt;0,($F$13-$I$4+VLOOKUP($R97,武学奇术!$A:$ZZ,13,FALSE)+SUM(_xlfn.XLOOKUP($S97:$AL97,增益!$A:$A,增益!$K:$K,0)))/200,($F$13-$I$4+VLOOKUP($R97,武学奇术!$A:$ZZ,13,FALSE)+SUM(_xlfn.XLOOKUP($S97:$AL97,增益!$A:$A,增益!$M:$M,0)))/100)</f>
        <v>-0.14</v>
      </c>
      <c r="BJ97" s="40" cm="1">
        <f t="array" ref="BJ97">$G$13+VLOOKUP($R97,武学奇术!$A:$ZZ,14,FALSE)+SUM(_xlfn.XLOOKUP($S97:$AL97,增益!$A:$A,增益!$N:$N,0))</f>
        <v>0.02</v>
      </c>
      <c r="BK97">
        <f t="shared" si="35"/>
        <v>0</v>
      </c>
      <c r="BL97">
        <f t="shared" si="36"/>
        <v>0</v>
      </c>
      <c r="BM97" s="40" cm="1">
        <f t="array" ref="BM97">IF($F$14-$I$4+VLOOKUP($R97,武学奇术!$A:$ZZ,15,FALSE)+SUM(_xlfn.XLOOKUP($S97:$AL97,增益!$A:$A,增益!$O:$O,0))&gt;0,($F$14-$I$4+VLOOKUP($R97,武学奇术!$A:$ZZ,15,FALSE)+SUM(_xlfn.XLOOKUP($S97:$AL97,增益!$A:$A,增益!$O:$O,0)))/200,($F$14-$I$4+VLOOKUP($R97,武学奇术!$A:$ZZ,15,FALSE)+SUM(_xlfn.XLOOKUP($S97:$AL97,增益!$A:$A,增益!$O:$O,0)))/100)</f>
        <v>-0.14</v>
      </c>
      <c r="BN97" s="40" cm="1">
        <f t="array" ref="BN97">$G$14+VLOOKUP($R97,武学奇术!$A:$ZZ,16,FALSE)+SUM(_xlfn.XLOOKUP($S97:$AL97,增益!$A:$A,增益!$P:$P,0))</f>
        <v>0.02</v>
      </c>
      <c r="BO97" s="33">
        <f>MIN(IF(VLOOKUP($R97,武学奇术!$A:$ZZ,23,FALSE)=1,100%,$B$8),100%)</f>
        <v>0.9771</v>
      </c>
      <c r="BP97" s="33" cm="1">
        <f t="array" ref="BP97">IF(VLOOKUP($R97,武学奇术!$A:$ZZ,23,FALSE)=1,100%,MIN(80%,$B$9+VLOOKUP($R97,武学奇术!$A:$ZZ,17,FALSE)+SUM(_xlfn.XLOOKUP($S97:$AL97,增益!$A:$A,增益!$Q:$Q,0)))+$B$11+SUM(_xlfn.XLOOKUP($S97:$AL97,增益!$A:$A,增益!$U:$U,0)))*IF(VLOOKUP($R97,武学奇术!$A:$ZZ,24,FALSE)=1,0,1)</f>
        <v>0.8861</v>
      </c>
      <c r="BQ97" s="33" cm="1">
        <f t="array" ref="BQ97">1+$B$13+VLOOKUP($R97,武学奇术!$A:$ZZ,18,FALSE)+SUM(_xlfn.XLOOKUP($S97:$AL97,增益!$A:$A,增益!$R:$R,0))</f>
        <v>2</v>
      </c>
      <c r="BR97" s="33" cm="1">
        <f t="array" ref="BR97">IF(VLOOKUP($R97,武学奇术!$A:$ZZ,24,FALSE)=1,100%,MIN(40%,$B$10+VLOOKUP($R97,武学奇术!$A:$ZZ,19,FALSE)+SUM(_xlfn.XLOOKUP($S97:$AL97,增益!$A:$A,增益!$S:$S,0)))+$B$12+SUM(_xlfn.XLOOKUP($S97:$AL97,增益!$A:$A,增益!$V:$V,0)))*IF(VLOOKUP($R97,武学奇术!$A:$ZZ,23,FALSE)=1,0,1)</f>
        <v>0.0913</v>
      </c>
      <c r="BS97" s="33" cm="1">
        <f t="array" ref="BS97">1+$B$14+VLOOKUP($R97,武学奇术!$A:$ZZ,20,FALSE)+SUM(_xlfn.XLOOKUP($S97:$AL97,增益!$A:$A,增益!$T:$T,0))</f>
        <v>1.35</v>
      </c>
      <c r="BT97" s="33">
        <f t="shared" si="37"/>
        <v>0.86580831</v>
      </c>
      <c r="BU97" s="33">
        <f t="shared" si="38"/>
        <v>0.02208246</v>
      </c>
      <c r="BV97" s="33">
        <f>IF(VLOOKUP($R97,武学奇术!$A:$ZZ,22,FALSE)=1,0,(1-$BO97))*(1-$BR97)</f>
        <v>0.02080923</v>
      </c>
      <c r="BW97" s="33" cm="1">
        <f t="array" ref="BW97">SUM(_xlfn.XLOOKUP($S97:$AL97,增益!$A:$A,增益!$W:$W,0))+$I$5</f>
        <v>0.11</v>
      </c>
      <c r="BX97" s="33" cm="1">
        <f t="array" ref="BX97">VLOOKUP($R97,武学奇术!$A:$ZZ,32,FALSE)+SUM(_xlfn.XLOOKUP($S97:$AL97,增益!$A:$A,增益!$X:$X,0))</f>
        <v>0</v>
      </c>
    </row>
    <row r="98" spans="1:76">
      <c r="L98" s="46">
        <f t="shared" si="43"/>
        <v>42366.990535305</v>
      </c>
      <c r="M98" s="46">
        <f>((($AT98+$AU98)/2*$AN98+$AO98)*(1+$AV98)*(1+$AW98)+(($AY98+$AZ98)/2*IF($G$1="鸣金",$AP98,$AN98)+IF($G$1="鸣金",$AQ98*1.5,0))*(1+$BA98)*(1+$BB98)+(($BC98+$BD98)/2*IF($G$1="裂石",$AP98,$AN98)+IF($G$1="裂石",$AQ98*1.5,0))*(1+$BE98)*(1+$BF98)+(($BG98+$BH98)/2*IF($G$1="牵丝",$AP98,$AN98)+IF($G$1="牵丝",$AQ98*1.5,0))*(1+$BI98)*(1+$BJ98)+(($BK98+$BL98)/2*IF($G$1="破竹",$AP98,$AN98)+IF($G$1="破竹",$AQ98*1.5,0))*(1+$BM98)*(1+$BN98))*(1+$AR98)*$BQ98*$Q98*(1+IF(VLOOKUP($R98,武学奇术!$A:$ZZ,30,FALSE)="蓄力技",$B$21,0))*(1+IF(VLOOKUP($R98,武学奇术!$A:$ZZ,30,FALSE)="派生技",$B$20,0))*(1+$BW98)*(1+$BX98)</f>
        <v>44325.325174492</v>
      </c>
      <c r="N98" s="46">
        <f>(($AU98*$AN98+$AO98)*(1+$AV98)*(1+$AW98)+($AZ98*IF($G$1="鸣金",$AP98,$AN98)+IF($G$1="鸣金",$AQ98*1.5,0))*(1+$BA98)*(1+$BB98)+($BD98*IF($G$1="裂石",$AP98,$AN98)+IF($G$1="裂石",$AQ98*1.5,0))*(1+$BE98)*(1+$BF98)+($BH98*IF($G$1="牵丝",$AP98,$AN98)+IF($G$1="牵丝",$AQ98*1.5,0))*(1+$BI98)*(1+$BJ98)+($BL98*IF($G$1="破竹",$AP98,$AN98)+IF($G$1="破竹",$AQ98*1.5,0))*(1+$BM98)*(1+$BN98))*(1+$AR98)*$BS98*$Q98*(1+IF(VLOOKUP($R98,武学奇术!$A:$ZZ,30,FALSE)="蓄力技",$B$21,0))*(1+IF(VLOOKUP($R98,武学奇术!$A:$ZZ,30,FALSE)="派生技",$B$20,0))*(1+$BW98)*(1+$BX98)</f>
        <v>33971.7729690806</v>
      </c>
      <c r="O98" s="46">
        <f>((($AT98+$AU98)/2*$AN98+$AO98)*(1+$AV98)*(1+$AW98)+(($AY98+$AZ98)/2*IF($G$1="鸣金",$AP98,$AN98)+IF($G$1="鸣金",$AQ98*1.5,0))*(1+$BA98)*(1+$BB98)+(($BC98+$BD98)/2*IF($G$1="裂石",$AP98,$AN98)+IF($G$1="裂石",$AQ98*1.5,0))*(1+$BE98)*(1+$BF98)+(($BG98+$BH98)/2*IF($G$1="牵丝",$AP98,$AN98)+IF($G$1="牵丝",$AQ98*1.5,0))*(1+$BI98)*(1+$BJ98)+(($BK98+$BL98)/2*IF($G$1="破竹",$AP98,$AN98)+IF($G$1="破竹",$AQ98*1.5,0))*(1+$BM98)*(1+$BN98))*(1+$AR98)*$Q98*(1+IF(VLOOKUP($R98,武学奇术!$A:$ZZ,30,FALSE)="蓄力技",$B$21,0))*(1+IF(VLOOKUP($R98,武学奇术!$A:$ZZ,30,FALSE)="派生技",$B$20,0))*(1+$BW98)*(1+$BX98)</f>
        <v>22162.662587246</v>
      </c>
      <c r="P98" s="46">
        <f>((($AT98*$AN98+$AO98)*(1+$AV98)*(1+$AW98)+($AY98*IF($G$1="鸣金",$AP98,$AN98)+IF($G$1="鸣金",$AQ98*1.5,0))*(1+$BA98)*(1+$BB98)+($BC98*IF($G$1="裂石",$AP98,$AN98)+IF($G$1="裂石",$AQ98*1.5,0))*(1+$BE98)*(1+$BF98)+($BG98*IF($G$1="牵丝",$AP98,$AN98)+IF($G$1="牵丝",$AQ98*1.5,0))*(1+$BI98)*(1+$BJ98)+($BK98*IF($G$1="破竹",$AP98,$AN98)+IF($G$1="破竹",$AQ98*1.5,0))*(1+$BM98)*(1+$BN98))*(1+$AR98))*$Q98*(1+IF(VLOOKUP($R98,武学奇术!$A:$ZZ,30,FALSE)="蓄力技",$B$21,0))*(1+IF(VLOOKUP($R98,武学奇术!$A:$ZZ,30,FALSE)="派生技",$B$20,0))*(1+$BW98)*(1+$BX98)</f>
        <v>19161.0489010989</v>
      </c>
      <c r="Q98" s="47">
        <f t="shared" si="42"/>
        <v>1</v>
      </c>
      <c r="R98" s="48" t="s">
        <v>169</v>
      </c>
      <c r="S98" s="48" t="s">
        <v>99</v>
      </c>
      <c r="T98" s="48" t="s">
        <v>182</v>
      </c>
      <c r="U98" s="48" t="s">
        <v>79</v>
      </c>
      <c r="V98" s="48" t="s">
        <v>90</v>
      </c>
      <c r="W98" s="48" t="s">
        <v>141</v>
      </c>
      <c r="X98" s="48" t="s">
        <v>80</v>
      </c>
      <c r="Y98" s="48" t="s">
        <v>74</v>
      </c>
      <c r="Z98" s="48" t="s">
        <v>80</v>
      </c>
      <c r="AA98" s="48" t="s">
        <v>80</v>
      </c>
      <c r="AB98" s="48" t="s">
        <v>80</v>
      </c>
      <c r="AC98" s="48" t="s">
        <v>80</v>
      </c>
      <c r="AD98" s="48" t="s">
        <v>80</v>
      </c>
      <c r="AE98" s="48" t="s">
        <v>82</v>
      </c>
      <c r="AF98" s="48" t="s">
        <v>83</v>
      </c>
      <c r="AG98" s="48" t="s">
        <v>84</v>
      </c>
      <c r="AH98" s="48" t="s">
        <v>80</v>
      </c>
      <c r="AI98" s="48" t="s">
        <v>80</v>
      </c>
      <c r="AJ98" s="48" t="s">
        <v>80</v>
      </c>
      <c r="AK98" s="48" t="s">
        <v>80</v>
      </c>
      <c r="AL98" s="48" t="s">
        <v>85</v>
      </c>
      <c r="AM98" t="str">
        <f>VLOOKUP($R98,武学奇术!$A:$ZZ,25,FALSE)</f>
        <v>陌刀</v>
      </c>
      <c r="AN98" s="33">
        <f>VLOOKUP($R98,武学奇术!$A:$ZZ,26,FALSE)</f>
        <v>0.945</v>
      </c>
      <c r="AO98" s="34">
        <f>VLOOKUP($R98,武学奇术!$A:$ZZ,27,FALSE)*(1+IF(OR($AM98=$F$4,$AM98=$F$5),$B$22,0))</f>
        <v>0</v>
      </c>
      <c r="AP98" s="33">
        <f>VLOOKUP($R98,武学奇术!$A:$ZZ,28,FALSE)</f>
        <v>1.4175</v>
      </c>
      <c r="AQ98" s="34">
        <f>VLOOKUP($R98,武学奇术!$A:$ZZ,29,FALSE)*(1+IF(OR($AM98=$F$4,$AM98=$F$5),$B$22,0))</f>
        <v>0</v>
      </c>
      <c r="AR98" s="33" cm="1">
        <f t="array" ref="AR98">$G$3+IFERROR(VLOOKUP($AM98,$F$4:$G$7,2,FALSE),0)+VLOOKUP($R98,武学奇术!$A:$ZZ,2,FALSE)+SUM(_xlfn.XLOOKUP($S98:$AL98,增益!$A:$A,增益!$B:$B,0))</f>
        <v>0.6943</v>
      </c>
      <c r="AS98" s="33" cm="1">
        <f t="array" ref="AS98">VLOOKUP($R98,武学奇术!$A:$ZZ,5,FALSE)+SUM(_xlfn.XLOOKUP($S98:$AL98,增益!$A:$A,增益!$E:$E,0))</f>
        <v>0</v>
      </c>
      <c r="AT98" cm="1">
        <f t="array" ref="AT98">$D$10*(1+$AS98)+VLOOKUP($R98,武学奇术!$A:$ZZ,3,FALSE)+SUM(_xlfn.XLOOKUP($S98:$AL98,增益!$A:$A,增益!$C:$C,0))-$I$2</f>
        <v>4094.7</v>
      </c>
      <c r="AU98" cm="1">
        <f t="array" ref="AU98">$E$10*(1+$AS98)+VLOOKUP($R98,武学奇术!$A:$ZZ,4,FALSE)+SUM(_xlfn.XLOOKUP($S98:$AL98,增益!$A:$A,增益!$D:$D,0))-$I$2</f>
        <v>4094.7</v>
      </c>
      <c r="AV98" s="40" cm="1">
        <f t="array" ref="AV98">IF($F$10-$I$3+VLOOKUP($R98,武学奇术!$A:$ZZ,6,FALSE)+SUM(_xlfn.XLOOKUP($S98:$AL98,增益!$A:$A,增益!$F:$F,0))&gt;0,($F$10-$I$3+VLOOKUP($R98,武学奇术!$A:$ZZ,6,FALSE)+SUM(_xlfn.XLOOKUP($S98:$AL98,增益!$A:$A,增益!$F:$F,0)))/200,($F$10-$I$3+VLOOKUP($R98,武学奇术!$A:$ZZ,6,FALSE)+SUM(_xlfn.XLOOKUP($S98:$AL98,增益!$A:$A,增益!$F:$F,0)))/100)</f>
        <v>0.4384</v>
      </c>
      <c r="AW98" s="40" cm="1">
        <f t="array" ref="AW98">$G$10+VLOOKUP($R98,武学奇术!$A:$ZZ,7,FALSE)+SUM(_xlfn.XLOOKUP($S98:$AL98,增益!$A:$A,增益!$G:$G,0))</f>
        <v>0.14</v>
      </c>
      <c r="AX98" s="33" cm="1">
        <f t="array" ref="AX98">VLOOKUP($R98,武学奇术!$A:$ZZ,8,FALSE)+SUM(_xlfn.XLOOKUP($S98:$AL98,增益!$A:$A,增益!$H:$H,0))</f>
        <v>0</v>
      </c>
      <c r="AY98">
        <f t="shared" si="29"/>
        <v>0</v>
      </c>
      <c r="AZ98">
        <f t="shared" si="30"/>
        <v>0</v>
      </c>
      <c r="BA98" s="40" cm="1">
        <f t="array" ref="BA98">IF($F$11-$I$4+VLOOKUP($R98,武学奇术!$A:$ZZ,9,FALSE)+SUM(_xlfn.XLOOKUP($S98:$AL98,增益!$A:$A,增益!$I:$I,0))&gt;0,($F$11-$I$4+VLOOKUP($R98,武学奇术!$A:$ZZ,9,FALSE)+SUM(_xlfn.XLOOKUP($S98:$AL98,增益!$A:$A,增益!$I:$I,0)))/200,($F$11-$I$4+VLOOKUP($R98,武学奇术!$A:$ZZ,9,FALSE)+SUM(_xlfn.XLOOKUP($S98:$AL98,增益!$A:$A,增益!$I:$I,0)))/100)</f>
        <v>-0.14</v>
      </c>
      <c r="BB98" s="40" cm="1">
        <f t="array" ref="BB98">$G$11+VLOOKUP($R98,武学奇术!$A:$ZZ,10,FALSE)+SUM(_xlfn.XLOOKUP($S98:$AL98,增益!$A:$A,增益!$J:$J,0))</f>
        <v>0.02</v>
      </c>
      <c r="BC98">
        <f t="shared" si="31"/>
        <v>640.3</v>
      </c>
      <c r="BD98">
        <f t="shared" si="32"/>
        <v>1770.1</v>
      </c>
      <c r="BE98" s="40" cm="1">
        <f t="array" ref="BE98">IF($F$12-$I$4+VLOOKUP($R98,武学奇术!$A:$ZZ,11,FALSE)+SUM(_xlfn.XLOOKUP($S98:$AL98,增益!$A:$A,增益!$K:$K,0))&gt;0,($F$12-$I$4+VLOOKUP($R98,武学奇术!$A:$ZZ,11,FALSE)+SUM(_xlfn.XLOOKUP($S98:$AL98,增益!$A:$A,增益!$K:$K,0)))/200,($F$12-$I$4+VLOOKUP($R98,武学奇术!$A:$ZZ,11,FALSE)+SUM(_xlfn.XLOOKUP($S98:$AL98,增益!$A:$A,增益!$K:$K,0)))/100)</f>
        <v>0.17</v>
      </c>
      <c r="BF98" s="40" cm="1">
        <f t="array" ref="BF98">$G$12+VLOOKUP($R98,武学奇术!$A:$ZZ,12,FALSE)+SUM(_xlfn.XLOOKUP($S98:$AL98,增益!$A:$A,增益!$L:$L,0))</f>
        <v>0.29</v>
      </c>
      <c r="BG98">
        <f t="shared" si="33"/>
        <v>0</v>
      </c>
      <c r="BH98">
        <f t="shared" si="34"/>
        <v>0</v>
      </c>
      <c r="BI98" s="40" cm="1">
        <f t="array" ref="BI98">IF($F$13-$I$4+VLOOKUP($R98,武学奇术!$A:$ZZ,13,FALSE)+SUM(_xlfn.XLOOKUP($S98:$AL98,增益!$A:$A,增益!$M:$M,0))&gt;0,($F$13-$I$4+VLOOKUP($R98,武学奇术!$A:$ZZ,13,FALSE)+SUM(_xlfn.XLOOKUP($S98:$AL98,增益!$A:$A,增益!$K:$K,0)))/200,($F$13-$I$4+VLOOKUP($R98,武学奇术!$A:$ZZ,13,FALSE)+SUM(_xlfn.XLOOKUP($S98:$AL98,增益!$A:$A,增益!$M:$M,0)))/100)</f>
        <v>-0.14</v>
      </c>
      <c r="BJ98" s="40" cm="1">
        <f t="array" ref="BJ98">$G$13+VLOOKUP($R98,武学奇术!$A:$ZZ,14,FALSE)+SUM(_xlfn.XLOOKUP($S98:$AL98,增益!$A:$A,增益!$N:$N,0))</f>
        <v>0.02</v>
      </c>
      <c r="BK98">
        <f t="shared" si="35"/>
        <v>0</v>
      </c>
      <c r="BL98">
        <f t="shared" si="36"/>
        <v>0</v>
      </c>
      <c r="BM98" s="40" cm="1">
        <f t="array" ref="BM98">IF($F$14-$I$4+VLOOKUP($R98,武学奇术!$A:$ZZ,15,FALSE)+SUM(_xlfn.XLOOKUP($S98:$AL98,增益!$A:$A,增益!$O:$O,0))&gt;0,($F$14-$I$4+VLOOKUP($R98,武学奇术!$A:$ZZ,15,FALSE)+SUM(_xlfn.XLOOKUP($S98:$AL98,增益!$A:$A,增益!$O:$O,0)))/200,($F$14-$I$4+VLOOKUP($R98,武学奇术!$A:$ZZ,15,FALSE)+SUM(_xlfn.XLOOKUP($S98:$AL98,增益!$A:$A,增益!$O:$O,0)))/100)</f>
        <v>-0.14</v>
      </c>
      <c r="BN98" s="40" cm="1">
        <f t="array" ref="BN98">$G$14+VLOOKUP($R98,武学奇术!$A:$ZZ,16,FALSE)+SUM(_xlfn.XLOOKUP($S98:$AL98,增益!$A:$A,增益!$P:$P,0))</f>
        <v>0.02</v>
      </c>
      <c r="BO98" s="33">
        <f>MIN(IF(VLOOKUP($R98,武学奇术!$A:$ZZ,23,FALSE)=1,100%,$B$8),100%)</f>
        <v>0.9771</v>
      </c>
      <c r="BP98" s="33" cm="1">
        <f t="array" ref="BP98">IF(VLOOKUP($R98,武学奇术!$A:$ZZ,23,FALSE)=1,100%,MIN(80%,$B$9+VLOOKUP($R98,武学奇术!$A:$ZZ,17,FALSE)+SUM(_xlfn.XLOOKUP($S98:$AL98,增益!$A:$A,增益!$Q:$Q,0)))+$B$11+SUM(_xlfn.XLOOKUP($S98:$AL98,增益!$A:$A,增益!$U:$U,0)))*IF(VLOOKUP($R98,武学奇术!$A:$ZZ,24,FALSE)=1,0,1)</f>
        <v>0.8861</v>
      </c>
      <c r="BQ98" s="33" cm="1">
        <f t="array" ref="BQ98">1+$B$13+VLOOKUP($R98,武学奇术!$A:$ZZ,18,FALSE)+SUM(_xlfn.XLOOKUP($S98:$AL98,增益!$A:$A,增益!$R:$R,0))</f>
        <v>2</v>
      </c>
      <c r="BR98" s="33" cm="1">
        <f t="array" ref="BR98">IF(VLOOKUP($R98,武学奇术!$A:$ZZ,24,FALSE)=1,100%,MIN(40%,$B$10+VLOOKUP($R98,武学奇术!$A:$ZZ,19,FALSE)+SUM(_xlfn.XLOOKUP($S98:$AL98,增益!$A:$A,增益!$S:$S,0)))+$B$12+SUM(_xlfn.XLOOKUP($S98:$AL98,增益!$A:$A,增益!$V:$V,0)))*IF(VLOOKUP($R98,武学奇术!$A:$ZZ,23,FALSE)=1,0,1)</f>
        <v>0.0913</v>
      </c>
      <c r="BS98" s="33" cm="1">
        <f t="array" ref="BS98">1+$B$14+VLOOKUP($R98,武学奇术!$A:$ZZ,20,FALSE)+SUM(_xlfn.XLOOKUP($S98:$AL98,增益!$A:$A,增益!$T:$T,0))</f>
        <v>1.35</v>
      </c>
      <c r="BT98" s="33">
        <f t="shared" si="37"/>
        <v>0.86580831</v>
      </c>
      <c r="BU98" s="33">
        <f t="shared" si="38"/>
        <v>0.02208246</v>
      </c>
      <c r="BV98" s="33">
        <f>IF(VLOOKUP($R98,武学奇术!$A:$ZZ,22,FALSE)=1,0,(1-$BO98))*(1-$BR98)</f>
        <v>0.02080923</v>
      </c>
      <c r="BW98" s="33" cm="1">
        <f t="array" ref="BW98">SUM(_xlfn.XLOOKUP($S98:$AL98,增益!$A:$A,增益!$W:$W,0))+$I$5</f>
        <v>0.11</v>
      </c>
      <c r="BX98" s="33" cm="1">
        <f t="array" ref="BX98">VLOOKUP($R98,武学奇术!$A:$ZZ,32,FALSE)+SUM(_xlfn.XLOOKUP($S98:$AL98,增益!$A:$A,增益!$X:$X,0))</f>
        <v>0</v>
      </c>
    </row>
    <row r="99" spans="1:76">
      <c r="A99" s="4"/>
      <c r="B99" s="4"/>
      <c r="L99" s="46">
        <f t="shared" si="43"/>
        <v>358685.132785587</v>
      </c>
      <c r="M99" s="46">
        <f>((($AT99+$AU99)/2*$AN99+$AO99)*(1+$AV99)*(1+$AW99)+(($AY99+$AZ99)/2*IF($G$1="鸣金",$AP99,$AN99)+IF($G$1="鸣金",$AQ99*1.5,0))*(1+$BA99)*(1+$BB99)+(($BC99+$BD99)/2*IF($G$1="裂石",$AP99,$AN99)+IF($G$1="裂石",$AQ99*1.5,0))*(1+$BE99)*(1+$BF99)+(($BG99+$BH99)/2*IF($G$1="牵丝",$AP99,$AN99)+IF($G$1="牵丝",$AQ99*1.5,0))*(1+$BI99)*(1+$BJ99)+(($BK99+$BL99)/2*IF($G$1="破竹",$AP99,$AN99)+IF($G$1="破竹",$AQ99*1.5,0))*(1+$BM99)*(1+$BN99))*(1+$AR99)*$BQ99*$Q99*(1+IF(VLOOKUP($R99,武学奇术!$A:$ZZ,30,FALSE)="蓄力技",$B$21,0))*(1+IF(VLOOKUP($R99,武学奇术!$A:$ZZ,30,FALSE)="派生技",$B$20,0))*(1+$BW99)*(1+$BX99)</f>
        <v>375704.781252844</v>
      </c>
      <c r="N99" s="46">
        <f>(($AU99*$AN99+$AO99)*(1+$AV99)*(1+$AW99)+($AZ99*IF($G$1="鸣金",$AP99,$AN99)+IF($G$1="鸣金",$AQ99*1.5,0))*(1+$BA99)*(1+$BB99)+($BD99*IF($G$1="裂石",$AP99,$AN99)+IF($G$1="裂石",$AQ99*1.5,0))*(1+$BE99)*(1+$BF99)+($BH99*IF($G$1="牵丝",$AP99,$AN99)+IF($G$1="牵丝",$AQ99*1.5,0))*(1+$BI99)*(1+$BJ99)+($BL99*IF($G$1="破竹",$AP99,$AN99)+IF($G$1="破竹",$AQ99*1.5,0))*(1+$BM99)*(1+$BN99))*(1+$AR99)*$BS99*$Q99*(1+IF(VLOOKUP($R99,武学奇术!$A:$ZZ,30,FALSE)="蓄力技",$B$21,0))*(1+IF(VLOOKUP($R99,武学奇术!$A:$ZZ,30,FALSE)="派生技",$B$20,0))*(1+$BW99)*(1+$BX99)</f>
        <v>282404.000673765</v>
      </c>
      <c r="O99" s="46">
        <f>((($AT99+$AU99)/2*$AN99+$AO99)*(1+$AV99)*(1+$AW99)+(($AY99+$AZ99)/2*IF($G$1="鸣金",$AP99,$AN99)+IF($G$1="鸣金",$AQ99*1.5,0))*(1+$BA99)*(1+$BB99)+(($BC99+$BD99)/2*IF($G$1="裂石",$AP99,$AN99)+IF($G$1="裂石",$AQ99*1.5,0))*(1+$BE99)*(1+$BF99)+(($BG99+$BH99)/2*IF($G$1="牵丝",$AP99,$AN99)+IF($G$1="牵丝",$AQ99*1.5,0))*(1+$BI99)*(1+$BJ99)+(($BK99+$BL99)/2*IF($G$1="破竹",$AP99,$AN99)+IF($G$1="破竹",$AQ99*1.5,0))*(1+$BM99)*(1+$BN99))*(1+$AR99)*$Q99*(1+IF(VLOOKUP($R99,武学奇术!$A:$ZZ,30,FALSE)="蓄力技",$B$21,0))*(1+IF(VLOOKUP($R99,武学奇术!$A:$ZZ,30,FALSE)="派生技",$B$20,0))*(1+$BW99)*(1+$BX99)</f>
        <v>187852.390626422</v>
      </c>
      <c r="P99" s="46">
        <f>((($AT99*$AN99+$AO99)*(1+$AV99)*(1+$AW99)+($AY99*IF($G$1="鸣金",$AP99,$AN99)+IF($G$1="鸣金",$AQ99*1.5,0))*(1+$BA99)*(1+$BB99)+($BC99*IF($G$1="裂石",$AP99,$AN99)+IF($G$1="裂石",$AQ99*1.5,0))*(1+$BE99)*(1+$BF99)+($BG99*IF($G$1="牵丝",$AP99,$AN99)+IF($G$1="牵丝",$AQ99*1.5,0))*(1+$BI99)*(1+$BJ99)+($BK99*IF($G$1="破竹",$AP99,$AN99)+IF($G$1="破竹",$AQ99*1.5,0))*(1+$BM99)*(1+$BN99))*(1+$AR99))*$Q99*(1+IF(VLOOKUP($R99,武学奇术!$A:$ZZ,30,FALSE)="蓄力技",$B$21,0))*(1+IF(VLOOKUP($R99,武学奇术!$A:$ZZ,30,FALSE)="派生技",$B$20,0))*(1+$BW99)*(1+$BX99)</f>
        <v>166516.632605611</v>
      </c>
      <c r="Q99" s="47">
        <f t="shared" si="42"/>
        <v>1</v>
      </c>
      <c r="R99" s="48" t="s">
        <v>185</v>
      </c>
      <c r="S99" s="48" t="s">
        <v>99</v>
      </c>
      <c r="T99" s="48" t="s">
        <v>182</v>
      </c>
      <c r="U99" s="48" t="s">
        <v>79</v>
      </c>
      <c r="V99" s="48" t="s">
        <v>80</v>
      </c>
      <c r="W99" s="48" t="s">
        <v>141</v>
      </c>
      <c r="X99" s="48" t="s">
        <v>80</v>
      </c>
      <c r="Y99" s="48" t="s">
        <v>74</v>
      </c>
      <c r="Z99" s="48" t="s">
        <v>80</v>
      </c>
      <c r="AA99" s="48" t="s">
        <v>80</v>
      </c>
      <c r="AB99" s="48" t="s">
        <v>80</v>
      </c>
      <c r="AC99" s="48" t="s">
        <v>80</v>
      </c>
      <c r="AD99" s="48" t="s">
        <v>80</v>
      </c>
      <c r="AE99" s="48" t="s">
        <v>82</v>
      </c>
      <c r="AF99" s="48" t="s">
        <v>83</v>
      </c>
      <c r="AG99" s="48" t="s">
        <v>84</v>
      </c>
      <c r="AH99" s="48" t="s">
        <v>80</v>
      </c>
      <c r="AI99" s="48" t="s">
        <v>80</v>
      </c>
      <c r="AJ99" s="48" t="s">
        <v>80</v>
      </c>
      <c r="AK99" s="48" t="s">
        <v>80</v>
      </c>
      <c r="AL99" s="48" t="s">
        <v>85</v>
      </c>
      <c r="AM99" t="str">
        <f>VLOOKUP($R99,武学奇术!$A:$ZZ,25,FALSE)</f>
        <v>陌刀</v>
      </c>
      <c r="AN99" s="33">
        <f>VLOOKUP($R99,武学奇术!$A:$ZZ,26,FALSE)</f>
        <v>7.5674</v>
      </c>
      <c r="AO99" s="34">
        <f>VLOOKUP($R99,武学奇术!$A:$ZZ,27,FALSE)*(1+IF(OR($AM99=$F$4,$AM99=$F$5),$B$22,0))</f>
        <v>3348.8</v>
      </c>
      <c r="AP99" s="33">
        <f>VLOOKUP($R99,武学奇术!$A:$ZZ,28,FALSE)</f>
        <v>11.3512</v>
      </c>
      <c r="AQ99" s="34">
        <f>VLOOKUP($R99,武学奇术!$A:$ZZ,29,FALSE)*(1+IF(OR($AM99=$F$4,$AM99=$F$5),$B$22,0))</f>
        <v>1824</v>
      </c>
      <c r="AR99" s="33" cm="1">
        <f t="array" ref="AR99">$G$3+IFERROR(VLOOKUP($AM99,$F$4:$G$7,2,FALSE),0)+VLOOKUP($R99,武学奇术!$A:$ZZ,2,FALSE)+SUM(_xlfn.XLOOKUP($S99:$AL99,增益!$A:$A,增益!$B:$B,0))</f>
        <v>0.6143</v>
      </c>
      <c r="AS99" s="33" cm="1">
        <f t="array" ref="AS99">VLOOKUP($R99,武学奇术!$A:$ZZ,5,FALSE)+SUM(_xlfn.XLOOKUP($S99:$AL99,增益!$A:$A,增益!$E:$E,0))</f>
        <v>0</v>
      </c>
      <c r="AT99" cm="1">
        <f t="array" ref="AT99">$D$10*(1+$AS99)+VLOOKUP($R99,武学奇术!$A:$ZZ,3,FALSE)+SUM(_xlfn.XLOOKUP($S99:$AL99,增益!$A:$A,增益!$C:$C,0))-$I$2</f>
        <v>4094.7</v>
      </c>
      <c r="AU99" cm="1">
        <f t="array" ref="AU99">$E$10*(1+$AS99)+VLOOKUP($R99,武学奇术!$A:$ZZ,4,FALSE)+SUM(_xlfn.XLOOKUP($S99:$AL99,增益!$A:$A,增益!$D:$D,0))-$I$2</f>
        <v>4094.7</v>
      </c>
      <c r="AV99" s="40" cm="1">
        <f t="array" ref="AV99">IF($F$10-$I$3+VLOOKUP($R99,武学奇术!$A:$ZZ,6,FALSE)+SUM(_xlfn.XLOOKUP($S99:$AL99,增益!$A:$A,增益!$F:$F,0))&gt;0,($F$10-$I$3+VLOOKUP($R99,武学奇术!$A:$ZZ,6,FALSE)+SUM(_xlfn.XLOOKUP($S99:$AL99,增益!$A:$A,增益!$F:$F,0)))/200,($F$10-$I$3+VLOOKUP($R99,武学奇术!$A:$ZZ,6,FALSE)+SUM(_xlfn.XLOOKUP($S99:$AL99,增益!$A:$A,增益!$F:$F,0)))/100)</f>
        <v>0.4384</v>
      </c>
      <c r="AW99" s="40" cm="1">
        <f t="array" ref="AW99">$G$10+VLOOKUP($R99,武学奇术!$A:$ZZ,7,FALSE)+SUM(_xlfn.XLOOKUP($S99:$AL99,增益!$A:$A,增益!$G:$G,0))</f>
        <v>0.14</v>
      </c>
      <c r="AX99" s="33" cm="1">
        <f t="array" ref="AX99">VLOOKUP($R99,武学奇术!$A:$ZZ,8,FALSE)+SUM(_xlfn.XLOOKUP($S99:$AL99,增益!$A:$A,增益!$H:$H,0))</f>
        <v>0</v>
      </c>
      <c r="AY99">
        <f t="shared" ref="AY99:AY127" si="44">$D$11*(1+$AX99)</f>
        <v>0</v>
      </c>
      <c r="AZ99">
        <f t="shared" ref="AZ99:AZ127" si="45">$E$11*(1+$AX99)</f>
        <v>0</v>
      </c>
      <c r="BA99" s="40" cm="1">
        <f t="array" ref="BA99">IF($F$11-$I$4+VLOOKUP($R99,武学奇术!$A:$ZZ,9,FALSE)+SUM(_xlfn.XLOOKUP($S99:$AL99,增益!$A:$A,增益!$I:$I,0))&gt;0,($F$11-$I$4+VLOOKUP($R99,武学奇术!$A:$ZZ,9,FALSE)+SUM(_xlfn.XLOOKUP($S99:$AL99,增益!$A:$A,增益!$I:$I,0)))/200,($F$11-$I$4+VLOOKUP($R99,武学奇术!$A:$ZZ,9,FALSE)+SUM(_xlfn.XLOOKUP($S99:$AL99,增益!$A:$A,增益!$I:$I,0)))/100)</f>
        <v>-0.3</v>
      </c>
      <c r="BB99" s="40" cm="1">
        <f t="array" ref="BB99">$G$11+VLOOKUP($R99,武学奇术!$A:$ZZ,10,FALSE)+SUM(_xlfn.XLOOKUP($S99:$AL99,增益!$A:$A,增益!$J:$J,0))</f>
        <v>0.02</v>
      </c>
      <c r="BC99">
        <f t="shared" ref="BC99:BC127" si="46">$D$12*(1+$AX99)</f>
        <v>640.3</v>
      </c>
      <c r="BD99">
        <f t="shared" ref="BD99:BD127" si="47">$E$12*(1+$AX99)</f>
        <v>1770.1</v>
      </c>
      <c r="BE99" s="40" cm="1">
        <f t="array" ref="BE99">IF($F$12-$I$4+VLOOKUP($R99,武学奇术!$A:$ZZ,11,FALSE)+SUM(_xlfn.XLOOKUP($S99:$AL99,增益!$A:$A,增益!$K:$K,0))&gt;0,($F$12-$I$4+VLOOKUP($R99,武学奇术!$A:$ZZ,11,FALSE)+SUM(_xlfn.XLOOKUP($S99:$AL99,增益!$A:$A,增益!$K:$K,0)))/200,($F$12-$I$4+VLOOKUP($R99,武学奇术!$A:$ZZ,11,FALSE)+SUM(_xlfn.XLOOKUP($S99:$AL99,增益!$A:$A,增益!$K:$K,0)))/100)</f>
        <v>0.09</v>
      </c>
      <c r="BF99" s="40" cm="1">
        <f t="array" ref="BF99">$G$12+VLOOKUP($R99,武学奇术!$A:$ZZ,12,FALSE)+SUM(_xlfn.XLOOKUP($S99:$AL99,增益!$A:$A,增益!$L:$L,0))</f>
        <v>0.29</v>
      </c>
      <c r="BG99">
        <f t="shared" ref="BG99:BG127" si="48">$D$13*(1+$AX99)</f>
        <v>0</v>
      </c>
      <c r="BH99">
        <f t="shared" ref="BH99:BH127" si="49">$E$13*(1+$AX99)</f>
        <v>0</v>
      </c>
      <c r="BI99" s="40" cm="1">
        <f t="array" ref="BI99">IF($F$13-$I$4+VLOOKUP($R99,武学奇术!$A:$ZZ,13,FALSE)+SUM(_xlfn.XLOOKUP($S99:$AL99,增益!$A:$A,增益!$M:$M,0))&gt;0,($F$13-$I$4+VLOOKUP($R99,武学奇术!$A:$ZZ,13,FALSE)+SUM(_xlfn.XLOOKUP($S99:$AL99,增益!$A:$A,增益!$K:$K,0)))/200,($F$13-$I$4+VLOOKUP($R99,武学奇术!$A:$ZZ,13,FALSE)+SUM(_xlfn.XLOOKUP($S99:$AL99,增益!$A:$A,增益!$M:$M,0)))/100)</f>
        <v>-0.3</v>
      </c>
      <c r="BJ99" s="40" cm="1">
        <f t="array" ref="BJ99">$G$13+VLOOKUP($R99,武学奇术!$A:$ZZ,14,FALSE)+SUM(_xlfn.XLOOKUP($S99:$AL99,增益!$A:$A,增益!$N:$N,0))</f>
        <v>0.02</v>
      </c>
      <c r="BK99">
        <f t="shared" ref="BK99:BK127" si="50">$D$14*(1+$AX99)</f>
        <v>0</v>
      </c>
      <c r="BL99">
        <f t="shared" ref="BL99:BL127" si="51">$E$14*(1+$AX99)</f>
        <v>0</v>
      </c>
      <c r="BM99" s="40" cm="1">
        <f t="array" ref="BM99">IF($F$14-$I$4+VLOOKUP($R99,武学奇术!$A:$ZZ,15,FALSE)+SUM(_xlfn.XLOOKUP($S99:$AL99,增益!$A:$A,增益!$O:$O,0))&gt;0,($F$14-$I$4+VLOOKUP($R99,武学奇术!$A:$ZZ,15,FALSE)+SUM(_xlfn.XLOOKUP($S99:$AL99,增益!$A:$A,增益!$O:$O,0)))/200,($F$14-$I$4+VLOOKUP($R99,武学奇术!$A:$ZZ,15,FALSE)+SUM(_xlfn.XLOOKUP($S99:$AL99,增益!$A:$A,增益!$O:$O,0)))/100)</f>
        <v>-0.3</v>
      </c>
      <c r="BN99" s="40" cm="1">
        <f t="array" ref="BN99">$G$14+VLOOKUP($R99,武学奇术!$A:$ZZ,16,FALSE)+SUM(_xlfn.XLOOKUP($S99:$AL99,增益!$A:$A,增益!$P:$P,0))</f>
        <v>0.02</v>
      </c>
      <c r="BO99" s="33">
        <f>MIN(IF(VLOOKUP($R99,武学奇术!$A:$ZZ,23,FALSE)=1,100%,$B$8),100%)</f>
        <v>0.9771</v>
      </c>
      <c r="BP99" s="33" cm="1">
        <f t="array" ref="BP99">IF(VLOOKUP($R99,武学奇术!$A:$ZZ,23,FALSE)=1,100%,MIN(80%,$B$9+VLOOKUP($R99,武学奇术!$A:$ZZ,17,FALSE)+SUM(_xlfn.XLOOKUP($S99:$AL99,增益!$A:$A,增益!$Q:$Q,0)))+$B$11+SUM(_xlfn.XLOOKUP($S99:$AL99,增益!$A:$A,增益!$U:$U,0)))*IF(VLOOKUP($R99,武学奇术!$A:$ZZ,24,FALSE)=1,0,1)</f>
        <v>0.8861</v>
      </c>
      <c r="BQ99" s="33" cm="1">
        <f t="array" ref="BQ99">1+$B$13+VLOOKUP($R99,武学奇术!$A:$ZZ,18,FALSE)+SUM(_xlfn.XLOOKUP($S99:$AL99,增益!$A:$A,增益!$R:$R,0))</f>
        <v>2</v>
      </c>
      <c r="BR99" s="33" cm="1">
        <f t="array" ref="BR99">IF(VLOOKUP($R99,武学奇术!$A:$ZZ,24,FALSE)=1,100%,MIN(40%,$B$10+VLOOKUP($R99,武学奇术!$A:$ZZ,19,FALSE)+SUM(_xlfn.XLOOKUP($S99:$AL99,增益!$A:$A,增益!$S:$S,0)))+$B$12+SUM(_xlfn.XLOOKUP($S99:$AL99,增益!$A:$A,增益!$V:$V,0)))*IF(VLOOKUP($R99,武学奇术!$A:$ZZ,23,FALSE)=1,0,1)</f>
        <v>0.0913</v>
      </c>
      <c r="BS99" s="33" cm="1">
        <f t="array" ref="BS99">1+$B$14+VLOOKUP($R99,武学奇术!$A:$ZZ,20,FALSE)+SUM(_xlfn.XLOOKUP($S99:$AL99,增益!$A:$A,增益!$T:$T,0))</f>
        <v>1.35</v>
      </c>
      <c r="BT99" s="33">
        <f t="shared" ref="BT99:BT127" si="52">MIN((1-BR99)*BO99,BO99*BP99)</f>
        <v>0.86580831</v>
      </c>
      <c r="BU99" s="33">
        <f t="shared" ref="BU99:BU127" si="53">1-BR99-BT99-BV99</f>
        <v>0.02208246</v>
      </c>
      <c r="BV99" s="33">
        <f>IF(VLOOKUP($R99,武学奇术!$A:$ZZ,22,FALSE)=1,0,(1-$BO99))*(1-$BR99)</f>
        <v>0.02080923</v>
      </c>
      <c r="BW99" s="33" cm="1">
        <f t="array" ref="BW99">SUM(_xlfn.XLOOKUP($S99:$AL99,增益!$A:$A,增益!$W:$W,0))+$I$5</f>
        <v>0.11</v>
      </c>
      <c r="BX99" s="33" cm="1">
        <f t="array" ref="BX99">VLOOKUP($R99,武学奇术!$A:$ZZ,32,FALSE)+SUM(_xlfn.XLOOKUP($S99:$AL99,增益!$A:$A,增益!$X:$X,0))</f>
        <v>0</v>
      </c>
    </row>
    <row r="100" spans="1:76">
      <c r="L100" s="46">
        <f t="shared" si="43"/>
        <v>110123.673731425</v>
      </c>
      <c r="M100" s="46">
        <f>((($AT100+$AU100)/2*$AN100+$AO100)*(1+$AV100)*(1+$AW100)+(($AY100+$AZ100)/2*IF($G$1="鸣金",$AP100,$AN100)+IF($G$1="鸣金",$AQ100*1.5,0))*(1+$BA100)*(1+$BB100)+(($BC100+$BD100)/2*IF($G$1="裂石",$AP100,$AN100)+IF($G$1="裂石",$AQ100*1.5,0))*(1+$BE100)*(1+$BF100)+(($BG100+$BH100)/2*IF($G$1="牵丝",$AP100,$AN100)+IF($G$1="牵丝",$AQ100*1.5,0))*(1+$BI100)*(1+$BJ100)+(($BK100+$BL100)/2*IF($G$1="破竹",$AP100,$AN100)+IF($G$1="破竹",$AQ100*1.5,0))*(1+$BM100)*(1+$BN100))*(1+$AR100)*$BQ100*$Q100*(1+IF(VLOOKUP($R100,武学奇术!$A:$ZZ,30,FALSE)="蓄力技",$B$21,0))*(1+IF(VLOOKUP($R100,武学奇术!$A:$ZZ,30,FALSE)="派生技",$B$20,0))*(1+$BW100)*(1+$BX100)</f>
        <v>115319.227795497</v>
      </c>
      <c r="N100" s="46">
        <f>(($AU100*$AN100+$AO100)*(1+$AV100)*(1+$AW100)+($AZ100*IF($G$1="鸣金",$AP100,$AN100)+IF($G$1="鸣金",$AQ100*1.5,0))*(1+$BA100)*(1+$BB100)+($BD100*IF($G$1="裂石",$AP100,$AN100)+IF($G$1="裂石",$AQ100*1.5,0))*(1+$BE100)*(1+$BF100)+($BH100*IF($G$1="牵丝",$AP100,$AN100)+IF($G$1="牵丝",$AQ100*1.5,0))*(1+$BI100)*(1+$BJ100)+($BL100*IF($G$1="破竹",$AP100,$AN100)+IF($G$1="破竹",$AQ100*1.5,0))*(1+$BM100)*(1+$BN100))*(1+$AR100)*$BS100*$Q100*(1+IF(VLOOKUP($R100,武学奇术!$A:$ZZ,30,FALSE)="蓄力技",$B$21,0))*(1+IF(VLOOKUP($R100,武学奇术!$A:$ZZ,30,FALSE)="派生技",$B$20,0))*(1+$BW100)*(1+$BX100)</f>
        <v>87056.6221922007</v>
      </c>
      <c r="O100" s="46">
        <f>((($AT100+$AU100)/2*$AN100+$AO100)*(1+$AV100)*(1+$AW100)+(($AY100+$AZ100)/2*IF($G$1="鸣金",$AP100,$AN100)+IF($G$1="鸣金",$AQ100*1.5,0))*(1+$BA100)*(1+$BB100)+(($BC100+$BD100)/2*IF($G$1="裂石",$AP100,$AN100)+IF($G$1="裂石",$AQ100*1.5,0))*(1+$BE100)*(1+$BF100)+(($BG100+$BH100)/2*IF($G$1="牵丝",$AP100,$AN100)+IF($G$1="牵丝",$AQ100*1.5,0))*(1+$BI100)*(1+$BJ100)+(($BK100+$BL100)/2*IF($G$1="破竹",$AP100,$AN100)+IF($G$1="破竹",$AQ100*1.5,0))*(1+$BM100)*(1+$BN100))*(1+$AR100)*$Q100*(1+IF(VLOOKUP($R100,武学奇术!$A:$ZZ,30,FALSE)="蓄力技",$B$21,0))*(1+IF(VLOOKUP($R100,武学奇术!$A:$ZZ,30,FALSE)="派生技",$B$20,0))*(1+$BW100)*(1+$BX100)</f>
        <v>57659.6138977486</v>
      </c>
      <c r="P100" s="46">
        <f>((($AT100*$AN100+$AO100)*(1+$AV100)*(1+$AW100)+($AY100*IF($G$1="鸣金",$AP100,$AN100)+IF($G$1="鸣金",$AQ100*1.5,0))*(1+$BA100)*(1+$BB100)+($BC100*IF($G$1="裂石",$AP100,$AN100)+IF($G$1="裂石",$AQ100*1.5,0))*(1+$BE100)*(1+$BF100)+($BG100*IF($G$1="牵丝",$AP100,$AN100)+IF($G$1="牵丝",$AQ100*1.5,0))*(1+$BI100)*(1+$BJ100)+($BK100*IF($G$1="破竹",$AP100,$AN100)+IF($G$1="破竹",$AQ100*1.5,0))*(1+$BM100)*(1+$BN100))*(1+$AR100))*$Q100*(1+IF(VLOOKUP($R100,武学奇术!$A:$ZZ,30,FALSE)="蓄力技",$B$21,0))*(1+IF(VLOOKUP($R100,武学奇术!$A:$ZZ,30,FALSE)="派生技",$B$20,0))*(1+$BW100)*(1+$BX100)</f>
        <v>50832.8409864596</v>
      </c>
      <c r="Q100" s="47">
        <f t="shared" si="42"/>
        <v>1</v>
      </c>
      <c r="R100" s="48" t="s">
        <v>172</v>
      </c>
      <c r="S100" s="48" t="s">
        <v>99</v>
      </c>
      <c r="T100" s="48" t="s">
        <v>182</v>
      </c>
      <c r="U100" s="48" t="s">
        <v>80</v>
      </c>
      <c r="V100" s="48" t="s">
        <v>80</v>
      </c>
      <c r="W100" s="48" t="s">
        <v>141</v>
      </c>
      <c r="X100" s="48" t="s">
        <v>80</v>
      </c>
      <c r="Y100" s="48" t="s">
        <v>74</v>
      </c>
      <c r="Z100" s="48" t="s">
        <v>80</v>
      </c>
      <c r="AA100" s="48" t="s">
        <v>80</v>
      </c>
      <c r="AB100" s="48" t="s">
        <v>80</v>
      </c>
      <c r="AC100" s="48" t="s">
        <v>80</v>
      </c>
      <c r="AD100" s="48" t="s">
        <v>80</v>
      </c>
      <c r="AE100" s="48" t="s">
        <v>82</v>
      </c>
      <c r="AF100" s="48" t="s">
        <v>83</v>
      </c>
      <c r="AG100" s="48" t="s">
        <v>84</v>
      </c>
      <c r="AH100" s="48" t="s">
        <v>80</v>
      </c>
      <c r="AI100" s="48" t="s">
        <v>80</v>
      </c>
      <c r="AJ100" s="48" t="s">
        <v>80</v>
      </c>
      <c r="AK100" s="48" t="s">
        <v>80</v>
      </c>
      <c r="AL100" s="48" t="s">
        <v>85</v>
      </c>
      <c r="AM100" t="str">
        <f>VLOOKUP($R100,武学奇术!$A:$ZZ,25,FALSE)</f>
        <v>陌刀</v>
      </c>
      <c r="AN100" s="33">
        <f>VLOOKUP($R100,武学奇术!$A:$ZZ,26,FALSE)</f>
        <v>3.5256</v>
      </c>
      <c r="AO100" s="34">
        <f>VLOOKUP($R100,武学奇术!$A:$ZZ,27,FALSE)*(1+IF(OR($AM100=$F$4,$AM100=$F$5),$B$22,0))</f>
        <v>846.144</v>
      </c>
      <c r="AP100" s="33">
        <f>VLOOKUP($R100,武学奇术!$A:$ZZ,28,FALSE)</f>
        <v>5.2884</v>
      </c>
      <c r="AQ100" s="34">
        <f>VLOOKUP($R100,武学奇术!$A:$ZZ,29,FALSE)*(1+IF(OR($AM100=$F$4,$AM100=$F$5),$B$22,0))</f>
        <v>851.2</v>
      </c>
      <c r="AR100" s="33" cm="1">
        <f t="array" ref="AR100">$G$3+IFERROR(VLOOKUP($AM100,$F$4:$G$7,2,FALSE),0)+VLOOKUP($R100,武学奇术!$A:$ZZ,2,FALSE)+SUM(_xlfn.XLOOKUP($S100:$AL100,增益!$A:$A,增益!$B:$B,0))</f>
        <v>0.6143</v>
      </c>
      <c r="AS100" s="33" cm="1">
        <f t="array" ref="AS100">VLOOKUP($R100,武学奇术!$A:$ZZ,5,FALSE)+SUM(_xlfn.XLOOKUP($S100:$AL100,增益!$A:$A,增益!$E:$E,0))</f>
        <v>0</v>
      </c>
      <c r="AT100" cm="1">
        <f t="array" ref="AT100">$D$10*(1+$AS100)+VLOOKUP($R100,武学奇术!$A:$ZZ,3,FALSE)+SUM(_xlfn.XLOOKUP($S100:$AL100,增益!$A:$A,增益!$C:$C,0))-$I$2</f>
        <v>4094.7</v>
      </c>
      <c r="AU100" cm="1">
        <f t="array" ref="AU100">$E$10*(1+$AS100)+VLOOKUP($R100,武学奇术!$A:$ZZ,4,FALSE)+SUM(_xlfn.XLOOKUP($S100:$AL100,增益!$A:$A,增益!$D:$D,0))-$I$2</f>
        <v>4094.7</v>
      </c>
      <c r="AV100" s="40" cm="1">
        <f t="array" ref="AV100">IF($F$10-$I$3+VLOOKUP($R100,武学奇术!$A:$ZZ,6,FALSE)+SUM(_xlfn.XLOOKUP($S100:$AL100,增益!$A:$A,增益!$F:$F,0))&gt;0,($F$10-$I$3+VLOOKUP($R100,武学奇术!$A:$ZZ,6,FALSE)+SUM(_xlfn.XLOOKUP($S100:$AL100,增益!$A:$A,增益!$F:$F,0)))/200,($F$10-$I$3+VLOOKUP($R100,武学奇术!$A:$ZZ,6,FALSE)+SUM(_xlfn.XLOOKUP($S100:$AL100,增益!$A:$A,增益!$F:$F,0)))/100)</f>
        <v>0.4384</v>
      </c>
      <c r="AW100" s="40" cm="1">
        <f t="array" ref="AW100">$G$10+VLOOKUP($R100,武学奇术!$A:$ZZ,7,FALSE)+SUM(_xlfn.XLOOKUP($S100:$AL100,增益!$A:$A,增益!$G:$G,0))</f>
        <v>0.02</v>
      </c>
      <c r="AX100" s="33" cm="1">
        <f t="array" ref="AX100">VLOOKUP($R100,武学奇术!$A:$ZZ,8,FALSE)+SUM(_xlfn.XLOOKUP($S100:$AL100,增益!$A:$A,增益!$H:$H,0))</f>
        <v>0</v>
      </c>
      <c r="AY100">
        <f t="shared" si="44"/>
        <v>0</v>
      </c>
      <c r="AZ100">
        <f t="shared" si="45"/>
        <v>0</v>
      </c>
      <c r="BA100" s="40" cm="1">
        <f t="array" ref="BA100">IF($F$11-$I$4+VLOOKUP($R100,武学奇术!$A:$ZZ,9,FALSE)+SUM(_xlfn.XLOOKUP($S100:$AL100,增益!$A:$A,增益!$I:$I,0))&gt;0,($F$11-$I$4+VLOOKUP($R100,武学奇术!$A:$ZZ,9,FALSE)+SUM(_xlfn.XLOOKUP($S100:$AL100,增益!$A:$A,增益!$I:$I,0)))/200,($F$11-$I$4+VLOOKUP($R100,武学奇术!$A:$ZZ,9,FALSE)+SUM(_xlfn.XLOOKUP($S100:$AL100,增益!$A:$A,增益!$I:$I,0)))/100)</f>
        <v>-0.3</v>
      </c>
      <c r="BB100" s="40" cm="1">
        <f t="array" ref="BB100">$G$11+VLOOKUP($R100,武学奇术!$A:$ZZ,10,FALSE)+SUM(_xlfn.XLOOKUP($S100:$AL100,增益!$A:$A,增益!$J:$J,0))</f>
        <v>0.02</v>
      </c>
      <c r="BC100">
        <f t="shared" si="46"/>
        <v>640.3</v>
      </c>
      <c r="BD100">
        <f t="shared" si="47"/>
        <v>1770.1</v>
      </c>
      <c r="BE100" s="40" cm="1">
        <f t="array" ref="BE100">IF($F$12-$I$4+VLOOKUP($R100,武学奇术!$A:$ZZ,11,FALSE)+SUM(_xlfn.XLOOKUP($S100:$AL100,增益!$A:$A,增益!$K:$K,0))&gt;0,($F$12-$I$4+VLOOKUP($R100,武学奇术!$A:$ZZ,11,FALSE)+SUM(_xlfn.XLOOKUP($S100:$AL100,增益!$A:$A,增益!$K:$K,0)))/200,($F$12-$I$4+VLOOKUP($R100,武学奇术!$A:$ZZ,11,FALSE)+SUM(_xlfn.XLOOKUP($S100:$AL100,增益!$A:$A,增益!$K:$K,0)))/100)</f>
        <v>0.09</v>
      </c>
      <c r="BF100" s="40" cm="1">
        <f t="array" ref="BF100">$G$12+VLOOKUP($R100,武学奇术!$A:$ZZ,12,FALSE)+SUM(_xlfn.XLOOKUP($S100:$AL100,增益!$A:$A,增益!$L:$L,0))</f>
        <v>0.17</v>
      </c>
      <c r="BG100">
        <f t="shared" si="48"/>
        <v>0</v>
      </c>
      <c r="BH100">
        <f t="shared" si="49"/>
        <v>0</v>
      </c>
      <c r="BI100" s="40" cm="1">
        <f t="array" ref="BI100">IF($F$13-$I$4+VLOOKUP($R100,武学奇术!$A:$ZZ,13,FALSE)+SUM(_xlfn.XLOOKUP($S100:$AL100,增益!$A:$A,增益!$M:$M,0))&gt;0,($F$13-$I$4+VLOOKUP($R100,武学奇术!$A:$ZZ,13,FALSE)+SUM(_xlfn.XLOOKUP($S100:$AL100,增益!$A:$A,增益!$K:$K,0)))/200,($F$13-$I$4+VLOOKUP($R100,武学奇术!$A:$ZZ,13,FALSE)+SUM(_xlfn.XLOOKUP($S100:$AL100,增益!$A:$A,增益!$M:$M,0)))/100)</f>
        <v>-0.3</v>
      </c>
      <c r="BJ100" s="40" cm="1">
        <f t="array" ref="BJ100">$G$13+VLOOKUP($R100,武学奇术!$A:$ZZ,14,FALSE)+SUM(_xlfn.XLOOKUP($S100:$AL100,增益!$A:$A,增益!$N:$N,0))</f>
        <v>0.02</v>
      </c>
      <c r="BK100">
        <f t="shared" si="50"/>
        <v>0</v>
      </c>
      <c r="BL100">
        <f t="shared" si="51"/>
        <v>0</v>
      </c>
      <c r="BM100" s="40" cm="1">
        <f t="array" ref="BM100">IF($F$14-$I$4+VLOOKUP($R100,武学奇术!$A:$ZZ,15,FALSE)+SUM(_xlfn.XLOOKUP($S100:$AL100,增益!$A:$A,增益!$O:$O,0))&gt;0,($F$14-$I$4+VLOOKUP($R100,武学奇术!$A:$ZZ,15,FALSE)+SUM(_xlfn.XLOOKUP($S100:$AL100,增益!$A:$A,增益!$O:$O,0)))/200,($F$14-$I$4+VLOOKUP($R100,武学奇术!$A:$ZZ,15,FALSE)+SUM(_xlfn.XLOOKUP($S100:$AL100,增益!$A:$A,增益!$O:$O,0)))/100)</f>
        <v>-0.3</v>
      </c>
      <c r="BN100" s="40" cm="1">
        <f t="array" ref="BN100">$G$14+VLOOKUP($R100,武学奇术!$A:$ZZ,16,FALSE)+SUM(_xlfn.XLOOKUP($S100:$AL100,增益!$A:$A,增益!$P:$P,0))</f>
        <v>0.02</v>
      </c>
      <c r="BO100" s="33">
        <f>MIN(IF(VLOOKUP($R100,武学奇术!$A:$ZZ,23,FALSE)=1,100%,$B$8),100%)</f>
        <v>0.9771</v>
      </c>
      <c r="BP100" s="33" cm="1">
        <f t="array" ref="BP100">IF(VLOOKUP($R100,武学奇术!$A:$ZZ,23,FALSE)=1,100%,MIN(80%,$B$9+VLOOKUP($R100,武学奇术!$A:$ZZ,17,FALSE)+SUM(_xlfn.XLOOKUP($S100:$AL100,增益!$A:$A,增益!$Q:$Q,0)))+$B$11+SUM(_xlfn.XLOOKUP($S100:$AL100,增益!$A:$A,增益!$U:$U,0)))*IF(VLOOKUP($R100,武学奇术!$A:$ZZ,24,FALSE)=1,0,1)</f>
        <v>0.8861</v>
      </c>
      <c r="BQ100" s="33" cm="1">
        <f t="array" ref="BQ100">1+$B$13+VLOOKUP($R100,武学奇术!$A:$ZZ,18,FALSE)+SUM(_xlfn.XLOOKUP($S100:$AL100,增益!$A:$A,增益!$R:$R,0))</f>
        <v>2</v>
      </c>
      <c r="BR100" s="33" cm="1">
        <f t="array" ref="BR100">IF(VLOOKUP($R100,武学奇术!$A:$ZZ,24,FALSE)=1,100%,MIN(40%,$B$10+VLOOKUP($R100,武学奇术!$A:$ZZ,19,FALSE)+SUM(_xlfn.XLOOKUP($S100:$AL100,增益!$A:$A,增益!$S:$S,0)))+$B$12+SUM(_xlfn.XLOOKUP($S100:$AL100,增益!$A:$A,增益!$V:$V,0)))*IF(VLOOKUP($R100,武学奇术!$A:$ZZ,23,FALSE)=1,0,1)</f>
        <v>0.0913</v>
      </c>
      <c r="BS100" s="33" cm="1">
        <f t="array" ref="BS100">1+$B$14+VLOOKUP($R100,武学奇术!$A:$ZZ,20,FALSE)+SUM(_xlfn.XLOOKUP($S100:$AL100,增益!$A:$A,增益!$T:$T,0))</f>
        <v>1.35</v>
      </c>
      <c r="BT100" s="33">
        <f t="shared" si="52"/>
        <v>0.86580831</v>
      </c>
      <c r="BU100" s="33">
        <f t="shared" si="53"/>
        <v>0.02208246</v>
      </c>
      <c r="BV100" s="33">
        <f>IF(VLOOKUP($R100,武学奇术!$A:$ZZ,22,FALSE)=1,0,(1-$BO100))*(1-$BR100)</f>
        <v>0.02080923</v>
      </c>
      <c r="BW100" s="33" cm="1">
        <f t="array" ref="BW100">SUM(_xlfn.XLOOKUP($S100:$AL100,增益!$A:$A,增益!$W:$W,0))+$I$5</f>
        <v>0.11</v>
      </c>
      <c r="BX100" s="33" cm="1">
        <f t="array" ref="BX100">VLOOKUP($R100,武学奇术!$A:$ZZ,32,FALSE)+SUM(_xlfn.XLOOKUP($S100:$AL100,增益!$A:$A,增益!$X:$X,0))</f>
        <v>0</v>
      </c>
    </row>
    <row r="101" spans="1:76">
      <c r="A101" t="s">
        <v>160</v>
      </c>
      <c r="B101">
        <v>1.1</v>
      </c>
      <c r="L101" s="46">
        <f t="shared" si="43"/>
        <v>29890.8643620298</v>
      </c>
      <c r="M101" s="46">
        <f>((($AT101+$AU101)/2*$AN101+$AO101)*(1+$AV101)*(1+$AW101)+(($AY101+$AZ101)/2*IF($G$1="鸣金",$AP101,$AN101)+IF($G$1="鸣金",$AQ101*1.5,0))*(1+$BA101)*(1+$BB101)+(($BC101+$BD101)/2*IF($G$1="裂石",$AP101,$AN101)+IF($G$1="裂石",$AQ101*1.5,0))*(1+$BE101)*(1+$BF101)+(($BG101+$BH101)/2*IF($G$1="牵丝",$AP101,$AN101)+IF($G$1="牵丝",$AQ101*1.5,0))*(1+$BI101)*(1+$BJ101)+(($BK101+$BL101)/2*IF($G$1="破竹",$AP101,$AN101)+IF($G$1="破竹",$AQ101*1.5,0))*(1+$BM101)*(1+$BN101))*(1+$AR101)*$BQ101*$Q101*(1+IF(VLOOKUP($R101,武学奇术!$A:$ZZ,30,FALSE)="蓄力技",$B$21,0))*(1+IF(VLOOKUP($R101,武学奇术!$A:$ZZ,30,FALSE)="派生技",$B$20,0))*(1+$BW101)*(1+$BX101)</f>
        <v>31281.6413791648</v>
      </c>
      <c r="N101" s="46">
        <f>(($AU101*$AN101+$AO101)*(1+$AV101)*(1+$AW101)+($AZ101*IF($G$1="鸣金",$AP101,$AN101)+IF($G$1="鸣金",$AQ101*1.5,0))*(1+$BA101)*(1+$BB101)+($BD101*IF($G$1="裂石",$AP101,$AN101)+IF($G$1="裂石",$AQ101*1.5,0))*(1+$BE101)*(1+$BF101)+($BH101*IF($G$1="牵丝",$AP101,$AN101)+IF($G$1="牵丝",$AQ101*1.5,0))*(1+$BI101)*(1+$BJ101)+($BL101*IF($G$1="破竹",$AP101,$AN101)+IF($G$1="破竹",$AQ101*1.5,0))*(1+$BM101)*(1+$BN101))*(1+$AR101)*$BS101*$Q101*(1+IF(VLOOKUP($R101,武学奇术!$A:$ZZ,30,FALSE)="蓄力技",$B$21,0))*(1+IF(VLOOKUP($R101,武学奇术!$A:$ZZ,30,FALSE)="派生技",$B$20,0))*(1+$BW101)*(1+$BX101)</f>
        <v>23859.8749498131</v>
      </c>
      <c r="O101" s="46">
        <f>((($AT101+$AU101)/2*$AN101+$AO101)*(1+$AV101)*(1+$AW101)+(($AY101+$AZ101)/2*IF($G$1="鸣金",$AP101,$AN101)+IF($G$1="鸣金",$AQ101*1.5,0))*(1+$BA101)*(1+$BB101)+(($BC101+$BD101)/2*IF($G$1="裂石",$AP101,$AN101)+IF($G$1="裂石",$AQ101*1.5,0))*(1+$BE101)*(1+$BF101)+(($BG101+$BH101)/2*IF($G$1="牵丝",$AP101,$AN101)+IF($G$1="牵丝",$AQ101*1.5,0))*(1+$BI101)*(1+$BJ101)+(($BK101+$BL101)/2*IF($G$1="破竹",$AP101,$AN101)+IF($G$1="破竹",$AQ101*1.5,0))*(1+$BM101)*(1+$BN101))*(1+$AR101)*$Q101*(1+IF(VLOOKUP($R101,武学奇术!$A:$ZZ,30,FALSE)="蓄力技",$B$21,0))*(1+IF(VLOOKUP($R101,武学奇术!$A:$ZZ,30,FALSE)="派生技",$B$20,0))*(1+$BW101)*(1+$BX101)</f>
        <v>15640.8206895824</v>
      </c>
      <c r="P101" s="46">
        <f>((($AT101*$AN101+$AO101)*(1+$AV101)*(1+$AW101)+($AY101*IF($G$1="鸣金",$AP101,$AN101)+IF($G$1="鸣金",$AQ101*1.5,0))*(1+$BA101)*(1+$BB101)+($BC101*IF($G$1="裂石",$AP101,$AN101)+IF($G$1="裂石",$AQ101*1.5,0))*(1+$BE101)*(1+$BF101)+($BG101*IF($G$1="牵丝",$AP101,$AN101)+IF($G$1="牵丝",$AQ101*1.5,0))*(1+$BI101)*(1+$BJ101)+($BK101*IF($G$1="破竹",$AP101,$AN101)+IF($G$1="破竹",$AQ101*1.5,0))*(1+$BM101)*(1+$BN101))*(1+$AR101))*$Q101*(1+IF(VLOOKUP($R101,武学奇术!$A:$ZZ,30,FALSE)="蓄力技",$B$21,0))*(1+IF(VLOOKUP($R101,武学奇术!$A:$ZZ,30,FALSE)="派生技",$B$20,0))*(1+$BW101)*(1+$BX101)</f>
        <v>13607.6599348588</v>
      </c>
      <c r="Q101" s="47">
        <f t="shared" si="42"/>
        <v>1</v>
      </c>
      <c r="R101" s="48" t="s">
        <v>173</v>
      </c>
      <c r="S101" s="48" t="s">
        <v>99</v>
      </c>
      <c r="T101" s="48" t="s">
        <v>182</v>
      </c>
      <c r="U101" s="48" t="s">
        <v>80</v>
      </c>
      <c r="V101" s="48" t="s">
        <v>80</v>
      </c>
      <c r="W101" s="48" t="s">
        <v>141</v>
      </c>
      <c r="X101" s="48" t="s">
        <v>80</v>
      </c>
      <c r="Y101" s="48" t="s">
        <v>74</v>
      </c>
      <c r="Z101" s="48" t="s">
        <v>80</v>
      </c>
      <c r="AA101" s="48" t="s">
        <v>80</v>
      </c>
      <c r="AB101" s="48" t="s">
        <v>80</v>
      </c>
      <c r="AC101" s="48" t="s">
        <v>80</v>
      </c>
      <c r="AD101" s="48" t="s">
        <v>80</v>
      </c>
      <c r="AE101" s="48" t="s">
        <v>82</v>
      </c>
      <c r="AF101" s="48" t="s">
        <v>83</v>
      </c>
      <c r="AG101" s="48" t="s">
        <v>84</v>
      </c>
      <c r="AH101" s="48" t="s">
        <v>80</v>
      </c>
      <c r="AI101" s="48" t="s">
        <v>80</v>
      </c>
      <c r="AJ101" s="48" t="s">
        <v>80</v>
      </c>
      <c r="AK101" s="48" t="s">
        <v>80</v>
      </c>
      <c r="AL101" s="48" t="s">
        <v>85</v>
      </c>
      <c r="AM101" t="str">
        <f>VLOOKUP($R101,武学奇术!$A:$ZZ,25,FALSE)</f>
        <v>陌刀</v>
      </c>
      <c r="AN101" s="33">
        <f>VLOOKUP($R101,武学奇术!$A:$ZZ,26,FALSE)</f>
        <v>1.05</v>
      </c>
      <c r="AO101" s="34">
        <f>VLOOKUP($R101,武学奇术!$A:$ZZ,27,FALSE)*(1+IF(OR($AM101=$F$4,$AM101=$F$5),$B$22,0))</f>
        <v>0</v>
      </c>
      <c r="AP101" s="33">
        <f>VLOOKUP($R101,武学奇术!$A:$ZZ,28,FALSE)</f>
        <v>1.575</v>
      </c>
      <c r="AQ101" s="34">
        <f>VLOOKUP($R101,武学奇术!$A:$ZZ,29,FALSE)*(1+IF(OR($AM101=$F$4,$AM101=$F$5),$B$22,0))</f>
        <v>0</v>
      </c>
      <c r="AR101" s="33" cm="1">
        <f t="array" ref="AR101">$G$3+IFERROR(VLOOKUP($AM101,$F$4:$G$7,2,FALSE),0)+VLOOKUP($R101,武学奇术!$A:$ZZ,2,FALSE)+SUM(_xlfn.XLOOKUP($S101:$AL101,增益!$A:$A,增益!$B:$B,0))</f>
        <v>0.6143</v>
      </c>
      <c r="AS101" s="33" cm="1">
        <f t="array" ref="AS101">VLOOKUP($R101,武学奇术!$A:$ZZ,5,FALSE)+SUM(_xlfn.XLOOKUP($S101:$AL101,增益!$A:$A,增益!$E:$E,0))</f>
        <v>0</v>
      </c>
      <c r="AT101" cm="1">
        <f t="array" ref="AT101">$D$10*(1+$AS101)+VLOOKUP($R101,武学奇术!$A:$ZZ,3,FALSE)+SUM(_xlfn.XLOOKUP($S101:$AL101,增益!$A:$A,增益!$C:$C,0))-$I$2</f>
        <v>4094.7</v>
      </c>
      <c r="AU101" cm="1">
        <f t="array" ref="AU101">$E$10*(1+$AS101)+VLOOKUP($R101,武学奇术!$A:$ZZ,4,FALSE)+SUM(_xlfn.XLOOKUP($S101:$AL101,增益!$A:$A,增益!$D:$D,0))-$I$2</f>
        <v>4094.7</v>
      </c>
      <c r="AV101" s="40" cm="1">
        <f t="array" ref="AV101">IF($F$10-$I$3+VLOOKUP($R101,武学奇术!$A:$ZZ,6,FALSE)+SUM(_xlfn.XLOOKUP($S101:$AL101,增益!$A:$A,增益!$F:$F,0))&gt;0,($F$10-$I$3+VLOOKUP($R101,武学奇术!$A:$ZZ,6,FALSE)+SUM(_xlfn.XLOOKUP($S101:$AL101,增益!$A:$A,增益!$F:$F,0)))/200,($F$10-$I$3+VLOOKUP($R101,武学奇术!$A:$ZZ,6,FALSE)+SUM(_xlfn.XLOOKUP($S101:$AL101,增益!$A:$A,增益!$F:$F,0)))/100)</f>
        <v>0.4384</v>
      </c>
      <c r="AW101" s="40" cm="1">
        <f t="array" ref="AW101">$G$10+VLOOKUP($R101,武学奇术!$A:$ZZ,7,FALSE)+SUM(_xlfn.XLOOKUP($S101:$AL101,增益!$A:$A,增益!$G:$G,0))</f>
        <v>0.02</v>
      </c>
      <c r="AX101" s="33" cm="1">
        <f t="array" ref="AX101">VLOOKUP($R101,武学奇术!$A:$ZZ,8,FALSE)+SUM(_xlfn.XLOOKUP($S101:$AL101,增益!$A:$A,增益!$H:$H,0))</f>
        <v>0</v>
      </c>
      <c r="AY101">
        <f t="shared" si="44"/>
        <v>0</v>
      </c>
      <c r="AZ101">
        <f t="shared" si="45"/>
        <v>0</v>
      </c>
      <c r="BA101" s="40" cm="1">
        <f t="array" ref="BA101">IF($F$11-$I$4+VLOOKUP($R101,武学奇术!$A:$ZZ,9,FALSE)+SUM(_xlfn.XLOOKUP($S101:$AL101,增益!$A:$A,增益!$I:$I,0))&gt;0,($F$11-$I$4+VLOOKUP($R101,武学奇术!$A:$ZZ,9,FALSE)+SUM(_xlfn.XLOOKUP($S101:$AL101,增益!$A:$A,增益!$I:$I,0)))/200,($F$11-$I$4+VLOOKUP($R101,武学奇术!$A:$ZZ,9,FALSE)+SUM(_xlfn.XLOOKUP($S101:$AL101,增益!$A:$A,增益!$I:$I,0)))/100)</f>
        <v>-0.3</v>
      </c>
      <c r="BB101" s="40" cm="1">
        <f t="array" ref="BB101">$G$11+VLOOKUP($R101,武学奇术!$A:$ZZ,10,FALSE)+SUM(_xlfn.XLOOKUP($S101:$AL101,增益!$A:$A,增益!$J:$J,0))</f>
        <v>0.02</v>
      </c>
      <c r="BC101">
        <f t="shared" si="46"/>
        <v>640.3</v>
      </c>
      <c r="BD101">
        <f t="shared" si="47"/>
        <v>1770.1</v>
      </c>
      <c r="BE101" s="40" cm="1">
        <f t="array" ref="BE101">IF($F$12-$I$4+VLOOKUP($R101,武学奇术!$A:$ZZ,11,FALSE)+SUM(_xlfn.XLOOKUP($S101:$AL101,增益!$A:$A,增益!$K:$K,0))&gt;0,($F$12-$I$4+VLOOKUP($R101,武学奇术!$A:$ZZ,11,FALSE)+SUM(_xlfn.XLOOKUP($S101:$AL101,增益!$A:$A,增益!$K:$K,0)))/200,($F$12-$I$4+VLOOKUP($R101,武学奇术!$A:$ZZ,11,FALSE)+SUM(_xlfn.XLOOKUP($S101:$AL101,增益!$A:$A,增益!$K:$K,0)))/100)</f>
        <v>0.09</v>
      </c>
      <c r="BF101" s="40" cm="1">
        <f t="array" ref="BF101">$G$12+VLOOKUP($R101,武学奇术!$A:$ZZ,12,FALSE)+SUM(_xlfn.XLOOKUP($S101:$AL101,增益!$A:$A,增益!$L:$L,0))</f>
        <v>0.17</v>
      </c>
      <c r="BG101">
        <f t="shared" si="48"/>
        <v>0</v>
      </c>
      <c r="BH101">
        <f t="shared" si="49"/>
        <v>0</v>
      </c>
      <c r="BI101" s="40" cm="1">
        <f t="array" ref="BI101">IF($F$13-$I$4+VLOOKUP($R101,武学奇术!$A:$ZZ,13,FALSE)+SUM(_xlfn.XLOOKUP($S101:$AL101,增益!$A:$A,增益!$M:$M,0))&gt;0,($F$13-$I$4+VLOOKUP($R101,武学奇术!$A:$ZZ,13,FALSE)+SUM(_xlfn.XLOOKUP($S101:$AL101,增益!$A:$A,增益!$K:$K,0)))/200,($F$13-$I$4+VLOOKUP($R101,武学奇术!$A:$ZZ,13,FALSE)+SUM(_xlfn.XLOOKUP($S101:$AL101,增益!$A:$A,增益!$M:$M,0)))/100)</f>
        <v>-0.3</v>
      </c>
      <c r="BJ101" s="40" cm="1">
        <f t="array" ref="BJ101">$G$13+VLOOKUP($R101,武学奇术!$A:$ZZ,14,FALSE)+SUM(_xlfn.XLOOKUP($S101:$AL101,增益!$A:$A,增益!$N:$N,0))</f>
        <v>0.02</v>
      </c>
      <c r="BK101">
        <f t="shared" si="50"/>
        <v>0</v>
      </c>
      <c r="BL101">
        <f t="shared" si="51"/>
        <v>0</v>
      </c>
      <c r="BM101" s="40" cm="1">
        <f t="array" ref="BM101">IF($F$14-$I$4+VLOOKUP($R101,武学奇术!$A:$ZZ,15,FALSE)+SUM(_xlfn.XLOOKUP($S101:$AL101,增益!$A:$A,增益!$O:$O,0))&gt;0,($F$14-$I$4+VLOOKUP($R101,武学奇术!$A:$ZZ,15,FALSE)+SUM(_xlfn.XLOOKUP($S101:$AL101,增益!$A:$A,增益!$O:$O,0)))/200,($F$14-$I$4+VLOOKUP($R101,武学奇术!$A:$ZZ,15,FALSE)+SUM(_xlfn.XLOOKUP($S101:$AL101,增益!$A:$A,增益!$O:$O,0)))/100)</f>
        <v>-0.3</v>
      </c>
      <c r="BN101" s="40" cm="1">
        <f t="array" ref="BN101">$G$14+VLOOKUP($R101,武学奇术!$A:$ZZ,16,FALSE)+SUM(_xlfn.XLOOKUP($S101:$AL101,增益!$A:$A,增益!$P:$P,0))</f>
        <v>0.02</v>
      </c>
      <c r="BO101" s="33">
        <f>MIN(IF(VLOOKUP($R101,武学奇术!$A:$ZZ,23,FALSE)=1,100%,$B$8),100%)</f>
        <v>0.9771</v>
      </c>
      <c r="BP101" s="33" cm="1">
        <f t="array" ref="BP101">IF(VLOOKUP($R101,武学奇术!$A:$ZZ,23,FALSE)=1,100%,MIN(80%,$B$9+VLOOKUP($R101,武学奇术!$A:$ZZ,17,FALSE)+SUM(_xlfn.XLOOKUP($S101:$AL101,增益!$A:$A,增益!$Q:$Q,0)))+$B$11+SUM(_xlfn.XLOOKUP($S101:$AL101,增益!$A:$A,增益!$U:$U,0)))*IF(VLOOKUP($R101,武学奇术!$A:$ZZ,24,FALSE)=1,0,1)</f>
        <v>0.8861</v>
      </c>
      <c r="BQ101" s="33" cm="1">
        <f t="array" ref="BQ101">1+$B$13+VLOOKUP($R101,武学奇术!$A:$ZZ,18,FALSE)+SUM(_xlfn.XLOOKUP($S101:$AL101,增益!$A:$A,增益!$R:$R,0))</f>
        <v>2</v>
      </c>
      <c r="BR101" s="33" cm="1">
        <f t="array" ref="BR101">IF(VLOOKUP($R101,武学奇术!$A:$ZZ,24,FALSE)=1,100%,MIN(40%,$B$10+VLOOKUP($R101,武学奇术!$A:$ZZ,19,FALSE)+SUM(_xlfn.XLOOKUP($S101:$AL101,增益!$A:$A,增益!$S:$S,0)))+$B$12+SUM(_xlfn.XLOOKUP($S101:$AL101,增益!$A:$A,增益!$V:$V,0)))*IF(VLOOKUP($R101,武学奇术!$A:$ZZ,23,FALSE)=1,0,1)</f>
        <v>0.0913</v>
      </c>
      <c r="BS101" s="33" cm="1">
        <f t="array" ref="BS101">1+$B$14+VLOOKUP($R101,武学奇术!$A:$ZZ,20,FALSE)+SUM(_xlfn.XLOOKUP($S101:$AL101,增益!$A:$A,增益!$T:$T,0))</f>
        <v>1.35</v>
      </c>
      <c r="BT101" s="33">
        <f t="shared" si="52"/>
        <v>0.86580831</v>
      </c>
      <c r="BU101" s="33">
        <f t="shared" si="53"/>
        <v>0.02208246</v>
      </c>
      <c r="BV101" s="33">
        <f>IF(VLOOKUP($R101,武学奇术!$A:$ZZ,22,FALSE)=1,0,(1-$BO101))*(1-$BR101)</f>
        <v>0.02080923</v>
      </c>
      <c r="BW101" s="33" cm="1">
        <f t="array" ref="BW101">SUM(_xlfn.XLOOKUP($S101:$AL101,增益!$A:$A,增益!$W:$W,0))+$I$5</f>
        <v>0.11</v>
      </c>
      <c r="BX101" s="33" cm="1">
        <f t="array" ref="BX101">VLOOKUP($R101,武学奇术!$A:$ZZ,32,FALSE)+SUM(_xlfn.XLOOKUP($S101:$AL101,增益!$A:$A,增益!$X:$X,0))</f>
        <v>0</v>
      </c>
    </row>
    <row r="102" spans="1:76">
      <c r="A102" t="s">
        <v>163</v>
      </c>
      <c r="B102">
        <v>1.3</v>
      </c>
      <c r="L102" s="46">
        <f t="shared" si="43"/>
        <v>105602.204372603</v>
      </c>
      <c r="M102" s="46">
        <f>((($AT102+$AU102)/2*$AN102+$AO102)*(1+$AV102)*(1+$AW102)+(($AY102+$AZ102)/2*IF($G$1="鸣金",$AP102,$AN102)+IF($G$1="鸣金",$AQ102*1.5,0))*(1+$BA102)*(1+$BB102)+(($BC102+$BD102)/2*IF($G$1="裂石",$AP102,$AN102)+IF($G$1="裂石",$AQ102*1.5,0))*(1+$BE102)*(1+$BF102)+(($BG102+$BH102)/2*IF($G$1="牵丝",$AP102,$AN102)+IF($G$1="牵丝",$AQ102*1.5,0))*(1+$BI102)*(1+$BJ102)+(($BK102+$BL102)/2*IF($G$1="破竹",$AP102,$AN102)+IF($G$1="破竹",$AQ102*1.5,0))*(1+$BM102)*(1+$BN102))*(1+$AR102)*$BQ102*$Q102*(1+IF(VLOOKUP($R102,武学奇术!$A:$ZZ,30,FALSE)="蓄力技",$B$21,0))*(1+IF(VLOOKUP($R102,武学奇术!$A:$ZZ,30,FALSE)="派生技",$B$20,0))*(1+$BW102)*(1+$BX102)</f>
        <v>110334.327076213</v>
      </c>
      <c r="N102" s="46">
        <f>(($AU102*$AN102+$AO102)*(1+$AV102)*(1+$AW102)+($AZ102*IF($G$1="鸣金",$AP102,$AN102)+IF($G$1="鸣金",$AQ102*1.5,0))*(1+$BA102)*(1+$BB102)+($BD102*IF($G$1="裂石",$AP102,$AN102)+IF($G$1="裂石",$AQ102*1.5,0))*(1+$BE102)*(1+$BF102)+($BH102*IF($G$1="牵丝",$AP102,$AN102)+IF($G$1="牵丝",$AQ102*1.5,0))*(1+$BI102)*(1+$BJ102)+($BL102*IF($G$1="破竹",$AP102,$AN102)+IF($G$1="破竹",$AQ102*1.5,0))*(1+$BM102)*(1+$BN102))*(1+$AR102)*$BS102*$Q102*(1+IF(VLOOKUP($R102,武学奇术!$A:$ZZ,30,FALSE)="蓄力技",$B$21,0))*(1+IF(VLOOKUP($R102,武学奇术!$A:$ZZ,30,FALSE)="派生技",$B$20,0))*(1+$BW102)*(1+$BX102)</f>
        <v>85253.4223944563</v>
      </c>
      <c r="O102" s="46">
        <f>((($AT102+$AU102)/2*$AN102+$AO102)*(1+$AV102)*(1+$AW102)+(($AY102+$AZ102)/2*IF($G$1="鸣金",$AP102,$AN102)+IF($G$1="鸣金",$AQ102*1.5,0))*(1+$BA102)*(1+$BB102)+(($BC102+$BD102)/2*IF($G$1="裂石",$AP102,$AN102)+IF($G$1="裂石",$AQ102*1.5,0))*(1+$BE102)*(1+$BF102)+(($BG102+$BH102)/2*IF($G$1="牵丝",$AP102,$AN102)+IF($G$1="牵丝",$AQ102*1.5,0))*(1+$BI102)*(1+$BJ102)+(($BK102+$BL102)/2*IF($G$1="破竹",$AP102,$AN102)+IF($G$1="破竹",$AQ102*1.5,0))*(1+$BM102)*(1+$BN102))*(1+$AR102)*$Q102*(1+IF(VLOOKUP($R102,武学奇术!$A:$ZZ,30,FALSE)="蓄力技",$B$21,0))*(1+IF(VLOOKUP($R102,武学奇术!$A:$ZZ,30,FALSE)="派生技",$B$20,0))*(1+$BW102)*(1+$BX102)</f>
        <v>56581.7061929299</v>
      </c>
      <c r="P102" s="46">
        <f>((($AT102*$AN102+$AO102)*(1+$AV102)*(1+$AW102)+($AY102*IF($G$1="鸣金",$AP102,$AN102)+IF($G$1="鸣金",$AQ102*1.5,0))*(1+$BA102)*(1+$BB102)+($BC102*IF($G$1="裂石",$AP102,$AN102)+IF($G$1="裂石",$AQ102*1.5,0))*(1+$BE102)*(1+$BF102)+($BG102*IF($G$1="牵丝",$AP102,$AN102)+IF($G$1="牵丝",$AQ102*1.5,0))*(1+$BI102)*(1+$BJ102)+($BK102*IF($G$1="破竹",$AP102,$AN102)+IF($G$1="破竹",$AQ102*1.5,0))*(1+$BM102)*(1+$BN102))*(1+$AR102))*$Q102*(1+IF(VLOOKUP($R102,武学奇术!$A:$ZZ,30,FALSE)="蓄力技",$B$21,0))*(1+IF(VLOOKUP($R102,武学奇术!$A:$ZZ,30,FALSE)="派生技",$B$20,0))*(1+$BW102)*(1+$BX102)</f>
        <v>50012.729130707</v>
      </c>
      <c r="Q102" s="47">
        <f t="shared" si="42"/>
        <v>1</v>
      </c>
      <c r="R102" s="48" t="s">
        <v>116</v>
      </c>
      <c r="S102" s="48" t="s">
        <v>99</v>
      </c>
      <c r="T102" s="48" t="s">
        <v>182</v>
      </c>
      <c r="U102" s="48" t="s">
        <v>80</v>
      </c>
      <c r="V102" s="48" t="s">
        <v>80</v>
      </c>
      <c r="W102" s="48" t="s">
        <v>91</v>
      </c>
      <c r="X102" s="48" t="s">
        <v>80</v>
      </c>
      <c r="Y102" s="48" t="s">
        <v>80</v>
      </c>
      <c r="Z102" s="48" t="s">
        <v>80</v>
      </c>
      <c r="AA102" s="48" t="s">
        <v>80</v>
      </c>
      <c r="AB102" s="48" t="s">
        <v>80</v>
      </c>
      <c r="AC102" s="48" t="s">
        <v>80</v>
      </c>
      <c r="AD102" s="48" t="s">
        <v>80</v>
      </c>
      <c r="AE102" s="48" t="s">
        <v>82</v>
      </c>
      <c r="AF102" s="48" t="s">
        <v>83</v>
      </c>
      <c r="AG102" s="48" t="s">
        <v>84</v>
      </c>
      <c r="AH102" s="48" t="s">
        <v>80</v>
      </c>
      <c r="AI102" s="48" t="s">
        <v>80</v>
      </c>
      <c r="AJ102" s="48" t="s">
        <v>80</v>
      </c>
      <c r="AK102" s="48" t="s">
        <v>80</v>
      </c>
      <c r="AL102" s="48" t="s">
        <v>85</v>
      </c>
      <c r="AM102" t="str">
        <f>VLOOKUP($R102,武学奇术!$A:$ZZ,25,FALSE)</f>
        <v>横刀</v>
      </c>
      <c r="AN102" s="33">
        <f>VLOOKUP($R102,武学奇术!$A:$ZZ,26,FALSE)</f>
        <v>3.7797</v>
      </c>
      <c r="AO102" s="34">
        <f>VLOOKUP($R102,武学奇术!$A:$ZZ,27,FALSE)*(1+IF(OR($AM102=$F$4,$AM102=$F$5),$B$22,0))</f>
        <v>1672</v>
      </c>
      <c r="AP102" s="33">
        <f>VLOOKUP($R102,武学奇术!$A:$ZZ,28,FALSE)</f>
        <v>5.6696</v>
      </c>
      <c r="AQ102" s="34">
        <f>VLOOKUP($R102,武学奇术!$A:$ZZ,29,FALSE)*(1+IF(OR($AM102=$F$4,$AM102=$F$5),$B$22,0))</f>
        <v>912</v>
      </c>
      <c r="AR102" s="33" cm="1">
        <f t="array" ref="AR102">$G$3+IFERROR(VLOOKUP($AM102,$F$4:$G$7,2,FALSE),0)+VLOOKUP($R102,武学奇术!$A:$ZZ,2,FALSE)+SUM(_xlfn.XLOOKUP($S102:$AL102,增益!$A:$A,增益!$B:$B,0))</f>
        <v>0.4489</v>
      </c>
      <c r="AS102" s="33" cm="1">
        <f t="array" ref="AS102">VLOOKUP($R102,武学奇术!$A:$ZZ,5,FALSE)+SUM(_xlfn.XLOOKUP($S102:$AL102,增益!$A:$A,增益!$E:$E,0))</f>
        <v>0</v>
      </c>
      <c r="AT102" cm="1">
        <f t="array" ref="AT102">$D$10*(1+$AS102)+VLOOKUP($R102,武学奇术!$A:$ZZ,3,FALSE)+SUM(_xlfn.XLOOKUP($S102:$AL102,增益!$A:$A,增益!$C:$C,0))-$I$2</f>
        <v>4094.7</v>
      </c>
      <c r="AU102" cm="1">
        <f t="array" ref="AU102">$E$10*(1+$AS102)+VLOOKUP($R102,武学奇术!$A:$ZZ,4,FALSE)+SUM(_xlfn.XLOOKUP($S102:$AL102,增益!$A:$A,增益!$D:$D,0))-$I$2</f>
        <v>4094.7</v>
      </c>
      <c r="AV102" s="40" cm="1">
        <f t="array" ref="AV102">IF($F$10-$I$3+VLOOKUP($R102,武学奇术!$A:$ZZ,6,FALSE)+SUM(_xlfn.XLOOKUP($S102:$AL102,增益!$A:$A,增益!$F:$F,0))&gt;0,($F$10-$I$3+VLOOKUP($R102,武学奇术!$A:$ZZ,6,FALSE)+SUM(_xlfn.XLOOKUP($S102:$AL102,增益!$A:$A,增益!$F:$F,0)))/200,($F$10-$I$3+VLOOKUP($R102,武学奇术!$A:$ZZ,6,FALSE)+SUM(_xlfn.XLOOKUP($S102:$AL102,增益!$A:$A,增益!$F:$F,0)))/100)</f>
        <v>0.4134</v>
      </c>
      <c r="AW102" s="40" cm="1">
        <f t="array" ref="AW102">$G$10+VLOOKUP($R102,武学奇术!$A:$ZZ,7,FALSE)+SUM(_xlfn.XLOOKUP($S102:$AL102,增益!$A:$A,增益!$G:$G,0))</f>
        <v>0.02</v>
      </c>
      <c r="AX102" s="33" cm="1">
        <f t="array" ref="AX102">VLOOKUP($R102,武学奇术!$A:$ZZ,8,FALSE)+SUM(_xlfn.XLOOKUP($S102:$AL102,增益!$A:$A,增益!$H:$H,0))</f>
        <v>0</v>
      </c>
      <c r="AY102">
        <f t="shared" si="44"/>
        <v>0</v>
      </c>
      <c r="AZ102">
        <f t="shared" si="45"/>
        <v>0</v>
      </c>
      <c r="BA102" s="40" cm="1">
        <f t="array" ref="BA102">IF($F$11-$I$4+VLOOKUP($R102,武学奇术!$A:$ZZ,9,FALSE)+SUM(_xlfn.XLOOKUP($S102:$AL102,增益!$A:$A,增益!$I:$I,0))&gt;0,($F$11-$I$4+VLOOKUP($R102,武学奇术!$A:$ZZ,9,FALSE)+SUM(_xlfn.XLOOKUP($S102:$AL102,增益!$A:$A,增益!$I:$I,0)))/200,($F$11-$I$4+VLOOKUP($R102,武学奇术!$A:$ZZ,9,FALSE)+SUM(_xlfn.XLOOKUP($S102:$AL102,增益!$A:$A,增益!$I:$I,0)))/100)</f>
        <v>-0.3</v>
      </c>
      <c r="BB102" s="40" cm="1">
        <f t="array" ref="BB102">$G$11+VLOOKUP($R102,武学奇术!$A:$ZZ,10,FALSE)+SUM(_xlfn.XLOOKUP($S102:$AL102,增益!$A:$A,增益!$J:$J,0))</f>
        <v>0.02</v>
      </c>
      <c r="BC102">
        <f t="shared" si="46"/>
        <v>640.3</v>
      </c>
      <c r="BD102">
        <f t="shared" si="47"/>
        <v>1770.1</v>
      </c>
      <c r="BE102" s="40" cm="1">
        <f t="array" ref="BE102">IF($F$12-$I$4+VLOOKUP($R102,武学奇术!$A:$ZZ,11,FALSE)+SUM(_xlfn.XLOOKUP($S102:$AL102,增益!$A:$A,增益!$K:$K,0))&gt;0,($F$12-$I$4+VLOOKUP($R102,武学奇术!$A:$ZZ,11,FALSE)+SUM(_xlfn.XLOOKUP($S102:$AL102,增益!$A:$A,增益!$K:$K,0)))/200,($F$12-$I$4+VLOOKUP($R102,武学奇术!$A:$ZZ,11,FALSE)+SUM(_xlfn.XLOOKUP($S102:$AL102,增益!$A:$A,增益!$K:$K,0)))/100)</f>
        <v>0.09</v>
      </c>
      <c r="BF102" s="40" cm="1">
        <f t="array" ref="BF102">$G$12+VLOOKUP($R102,武学奇术!$A:$ZZ,12,FALSE)+SUM(_xlfn.XLOOKUP($S102:$AL102,增益!$A:$A,增益!$L:$L,0))</f>
        <v>0.17</v>
      </c>
      <c r="BG102">
        <f t="shared" si="48"/>
        <v>0</v>
      </c>
      <c r="BH102">
        <f t="shared" si="49"/>
        <v>0</v>
      </c>
      <c r="BI102" s="40" cm="1">
        <f t="array" ref="BI102">IF($F$13-$I$4+VLOOKUP($R102,武学奇术!$A:$ZZ,13,FALSE)+SUM(_xlfn.XLOOKUP($S102:$AL102,增益!$A:$A,增益!$M:$M,0))&gt;0,($F$13-$I$4+VLOOKUP($R102,武学奇术!$A:$ZZ,13,FALSE)+SUM(_xlfn.XLOOKUP($S102:$AL102,增益!$A:$A,增益!$K:$K,0)))/200,($F$13-$I$4+VLOOKUP($R102,武学奇术!$A:$ZZ,13,FALSE)+SUM(_xlfn.XLOOKUP($S102:$AL102,增益!$A:$A,增益!$M:$M,0)))/100)</f>
        <v>-0.3</v>
      </c>
      <c r="BJ102" s="40" cm="1">
        <f t="array" ref="BJ102">$G$13+VLOOKUP($R102,武学奇术!$A:$ZZ,14,FALSE)+SUM(_xlfn.XLOOKUP($S102:$AL102,增益!$A:$A,增益!$N:$N,0))</f>
        <v>0.02</v>
      </c>
      <c r="BK102">
        <f t="shared" si="50"/>
        <v>0</v>
      </c>
      <c r="BL102">
        <f t="shared" si="51"/>
        <v>0</v>
      </c>
      <c r="BM102" s="40" cm="1">
        <f t="array" ref="BM102">IF($F$14-$I$4+VLOOKUP($R102,武学奇术!$A:$ZZ,15,FALSE)+SUM(_xlfn.XLOOKUP($S102:$AL102,增益!$A:$A,增益!$O:$O,0))&gt;0,($F$14-$I$4+VLOOKUP($R102,武学奇术!$A:$ZZ,15,FALSE)+SUM(_xlfn.XLOOKUP($S102:$AL102,增益!$A:$A,增益!$O:$O,0)))/200,($F$14-$I$4+VLOOKUP($R102,武学奇术!$A:$ZZ,15,FALSE)+SUM(_xlfn.XLOOKUP($S102:$AL102,增益!$A:$A,增益!$O:$O,0)))/100)</f>
        <v>-0.3</v>
      </c>
      <c r="BN102" s="40" cm="1">
        <f t="array" ref="BN102">$G$14+VLOOKUP($R102,武学奇术!$A:$ZZ,16,FALSE)+SUM(_xlfn.XLOOKUP($S102:$AL102,增益!$A:$A,增益!$P:$P,0))</f>
        <v>0.02</v>
      </c>
      <c r="BO102" s="33">
        <f>MIN(IF(VLOOKUP($R102,武学奇术!$A:$ZZ,23,FALSE)=1,100%,$B$8),100%)</f>
        <v>0.9771</v>
      </c>
      <c r="BP102" s="33" cm="1">
        <f t="array" ref="BP102">IF(VLOOKUP($R102,武学奇术!$A:$ZZ,23,FALSE)=1,100%,MIN(80%,$B$9+VLOOKUP($R102,武学奇术!$A:$ZZ,17,FALSE)+SUM(_xlfn.XLOOKUP($S102:$AL102,增益!$A:$A,增益!$Q:$Q,0)))+$B$11+SUM(_xlfn.XLOOKUP($S102:$AL102,增益!$A:$A,增益!$U:$U,0)))*IF(VLOOKUP($R102,武学奇术!$A:$ZZ,24,FALSE)=1,0,1)</f>
        <v>0.8861</v>
      </c>
      <c r="BQ102" s="33" cm="1">
        <f t="array" ref="BQ102">1+$B$13+VLOOKUP($R102,武学奇术!$A:$ZZ,18,FALSE)+SUM(_xlfn.XLOOKUP($S102:$AL102,增益!$A:$A,增益!$R:$R,0))</f>
        <v>1.95</v>
      </c>
      <c r="BR102" s="33" cm="1">
        <f t="array" ref="BR102">IF(VLOOKUP($R102,武学奇术!$A:$ZZ,24,FALSE)=1,100%,MIN(40%,$B$10+VLOOKUP($R102,武学奇术!$A:$ZZ,19,FALSE)+SUM(_xlfn.XLOOKUP($S102:$AL102,增益!$A:$A,增益!$S:$S,0)))+$B$12+SUM(_xlfn.XLOOKUP($S102:$AL102,增益!$A:$A,增益!$V:$V,0)))*IF(VLOOKUP($R102,武学奇术!$A:$ZZ,23,FALSE)=1,0,1)</f>
        <v>0.0913</v>
      </c>
      <c r="BS102" s="33" cm="1">
        <f t="array" ref="BS102">1+$B$14+VLOOKUP($R102,武学奇术!$A:$ZZ,20,FALSE)+SUM(_xlfn.XLOOKUP($S102:$AL102,增益!$A:$A,增益!$T:$T,0))</f>
        <v>1.35</v>
      </c>
      <c r="BT102" s="33">
        <f t="shared" si="52"/>
        <v>0.86580831</v>
      </c>
      <c r="BU102" s="33">
        <f t="shared" si="53"/>
        <v>0.02208246</v>
      </c>
      <c r="BV102" s="33">
        <f>IF(VLOOKUP($R102,武学奇术!$A:$ZZ,22,FALSE)=1,0,(1-$BO102))*(1-$BR102)</f>
        <v>0.02080923</v>
      </c>
      <c r="BW102" s="33" cm="1">
        <f t="array" ref="BW102">SUM(_xlfn.XLOOKUP($S102:$AL102,增益!$A:$A,增益!$W:$W,0))+$I$5</f>
        <v>0.11</v>
      </c>
      <c r="BX102" s="33" cm="1">
        <f t="array" ref="BX102">VLOOKUP($R102,武学奇术!$A:$ZZ,32,FALSE)+SUM(_xlfn.XLOOKUP($S102:$AL102,增益!$A:$A,增益!$X:$X,0))</f>
        <v>0</v>
      </c>
    </row>
    <row r="103" spans="1:76">
      <c r="A103" s="4" t="s">
        <v>188</v>
      </c>
      <c r="B103" s="4">
        <v>0.8</v>
      </c>
      <c r="L103" s="46">
        <f t="shared" ref="L103:L127" si="54">($M103*$BT103+$N103*$BR103+$O103*$BU103+$P103*$BV103)</f>
        <v>23537.2169640583</v>
      </c>
      <c r="M103" s="46">
        <f>((($AT103+$AU103)/2*$AN103+$AO103)*(1+$AV103)*(1+$AW103)+(($AY103+$AZ103)/2*IF($G$1="鸣金",$AP103,$AN103)+IF($G$1="鸣金",$AQ103*1.5,0))*(1+$BA103)*(1+$BB103)+(($BC103+$BD103)/2*IF($G$1="裂石",$AP103,$AN103)+IF($G$1="裂石",$AQ103*1.5,0))*(1+$BE103)*(1+$BF103)+(($BG103+$BH103)/2*IF($G$1="牵丝",$AP103,$AN103)+IF($G$1="牵丝",$AQ103*1.5,0))*(1+$BI103)*(1+$BJ103)+(($BK103+$BL103)/2*IF($G$1="破竹",$AP103,$AN103)+IF($G$1="破竹",$AQ103*1.5,0))*(1+$BM103)*(1+$BN103))*(1+$AR103)*$BQ103*$Q103*(1+IF(VLOOKUP($R103,武学奇术!$A:$ZZ,30,FALSE)="蓄力技",$B$21,0))*(1+IF(VLOOKUP($R103,武学奇术!$A:$ZZ,30,FALSE)="派生技",$B$20,0))*(1+$BW103)*(1+$BX103)</f>
        <v>24625.1806524956</v>
      </c>
      <c r="N103" s="46">
        <f>(($AU103*$AN103+$AO103)*(1+$AV103)*(1+$AW103)+($AZ103*IF($G$1="鸣金",$AP103,$AN103)+IF($G$1="鸣金",$AQ103*1.5,0))*(1+$BA103)*(1+$BB103)+($BD103*IF($G$1="裂石",$AP103,$AN103)+IF($G$1="裂石",$AQ103*1.5,0))*(1+$BE103)*(1+$BF103)+($BH103*IF($G$1="牵丝",$AP103,$AN103)+IF($G$1="牵丝",$AQ103*1.5,0))*(1+$BI103)*(1+$BJ103)+($BL103*IF($G$1="破竹",$AP103,$AN103)+IF($G$1="破竹",$AQ103*1.5,0))*(1+$BM103)*(1+$BN103))*(1+$AR103)*$BS103*$Q103*(1+IF(VLOOKUP($R103,武学奇术!$A:$ZZ,30,FALSE)="蓄力技",$B$21,0))*(1+IF(VLOOKUP($R103,武学奇术!$A:$ZZ,30,FALSE)="派生技",$B$20,0))*(1+$BW103)*(1+$BX103)</f>
        <v>18873.2072050448</v>
      </c>
      <c r="O103" s="46">
        <f>((($AT103+$AU103)/2*$AN103+$AO103)*(1+$AV103)*(1+$AW103)+(($AY103+$AZ103)/2*IF($G$1="鸣金",$AP103,$AN103)+IF($G$1="鸣金",$AQ103*1.5,0))*(1+$BA103)*(1+$BB103)+(($BC103+$BD103)/2*IF($G$1="裂石",$AP103,$AN103)+IF($G$1="裂石",$AQ103*1.5,0))*(1+$BE103)*(1+$BF103)+(($BG103+$BH103)/2*IF($G$1="牵丝",$AP103,$AN103)+IF($G$1="牵丝",$AQ103*1.5,0))*(1+$BI103)*(1+$BJ103)+(($BK103+$BL103)/2*IF($G$1="破竹",$AP103,$AN103)+IF($G$1="破竹",$AQ103*1.5,0))*(1+$BM103)*(1+$BN103))*(1+$AR103)*$Q103*(1+IF(VLOOKUP($R103,武学奇术!$A:$ZZ,30,FALSE)="蓄力技",$B$21,0))*(1+IF(VLOOKUP($R103,武学奇术!$A:$ZZ,30,FALSE)="派生技",$B$20,0))*(1+$BW103)*(1+$BX103)</f>
        <v>12312.5903262478</v>
      </c>
      <c r="P103" s="46">
        <f>((($AT103*$AN103+$AO103)*(1+$AV103)*(1+$AW103)+($AY103*IF($G$1="鸣金",$AP103,$AN103)+IF($G$1="鸣金",$AQ103*1.5,0))*(1+$BA103)*(1+$BB103)+($BC103*IF($G$1="裂石",$AP103,$AN103)+IF($G$1="裂石",$AQ103*1.5,0))*(1+$BE103)*(1+$BF103)+($BG103*IF($G$1="牵丝",$AP103,$AN103)+IF($G$1="牵丝",$AQ103*1.5,0))*(1+$BI103)*(1+$BJ103)+($BK103*IF($G$1="破竹",$AP103,$AN103)+IF($G$1="破竹",$AQ103*1.5,0))*(1+$BM103)*(1+$BN103))*(1+$AR103))*$Q103*(1+IF(VLOOKUP($R103,武学奇术!$A:$ZZ,30,FALSE)="蓄力技",$B$21,0))*(1+IF(VLOOKUP($R103,武学奇术!$A:$ZZ,30,FALSE)="派生技",$B$20,0))*(1+$BW103)*(1+$BX103)</f>
        <v>10645.0271672772</v>
      </c>
      <c r="Q103" s="47">
        <f t="shared" si="42"/>
        <v>1</v>
      </c>
      <c r="R103" s="48" t="s">
        <v>140</v>
      </c>
      <c r="S103" s="48" t="s">
        <v>99</v>
      </c>
      <c r="T103" s="48" t="s">
        <v>182</v>
      </c>
      <c r="U103" s="48" t="s">
        <v>79</v>
      </c>
      <c r="V103" s="48" t="s">
        <v>90</v>
      </c>
      <c r="W103" s="48" t="s">
        <v>141</v>
      </c>
      <c r="X103" s="48" t="s">
        <v>80</v>
      </c>
      <c r="Y103" s="48" t="s">
        <v>74</v>
      </c>
      <c r="Z103" s="48" t="s">
        <v>80</v>
      </c>
      <c r="AA103" s="48" t="s">
        <v>80</v>
      </c>
      <c r="AB103" s="48" t="s">
        <v>80</v>
      </c>
      <c r="AC103" s="48" t="s">
        <v>80</v>
      </c>
      <c r="AD103" s="48" t="s">
        <v>80</v>
      </c>
      <c r="AE103" s="48" t="s">
        <v>82</v>
      </c>
      <c r="AF103" s="48" t="s">
        <v>83</v>
      </c>
      <c r="AG103" s="48" t="s">
        <v>84</v>
      </c>
      <c r="AH103" s="48" t="s">
        <v>80</v>
      </c>
      <c r="AI103" s="48" t="s">
        <v>80</v>
      </c>
      <c r="AJ103" s="48" t="s">
        <v>80</v>
      </c>
      <c r="AK103" s="48" t="s">
        <v>80</v>
      </c>
      <c r="AL103" s="48" t="s">
        <v>85</v>
      </c>
      <c r="AM103" t="str">
        <f>VLOOKUP($R103,武学奇术!$A:$ZZ,25,FALSE)</f>
        <v>陌刀</v>
      </c>
      <c r="AN103" s="33">
        <f>VLOOKUP($R103,武学奇术!$A:$ZZ,26,FALSE)</f>
        <v>0.525</v>
      </c>
      <c r="AO103" s="34">
        <f>VLOOKUP($R103,武学奇术!$A:$ZZ,27,FALSE)*(1+IF(OR($AM103=$F$4,$AM103=$F$5),$B$22,0))</f>
        <v>0</v>
      </c>
      <c r="AP103" s="33">
        <f>VLOOKUP($R103,武学奇术!$A:$ZZ,28,FALSE)</f>
        <v>0.7875</v>
      </c>
      <c r="AQ103" s="34">
        <f>VLOOKUP($R103,武学奇术!$A:$ZZ,29,FALSE)*(1+IF(OR($AM103=$F$4,$AM103=$F$5),$B$22,0))</f>
        <v>0</v>
      </c>
      <c r="AR103" s="33" cm="1">
        <f t="array" ref="AR103">$G$3+IFERROR(VLOOKUP($AM103,$F$4:$G$7,2,FALSE),0)+VLOOKUP($R103,武学奇术!$A:$ZZ,2,FALSE)+SUM(_xlfn.XLOOKUP($S103:$AL103,增益!$A:$A,增益!$B:$B,0))</f>
        <v>0.6943</v>
      </c>
      <c r="AS103" s="33" cm="1">
        <f t="array" ref="AS103">VLOOKUP($R103,武学奇术!$A:$ZZ,5,FALSE)+SUM(_xlfn.XLOOKUP($S103:$AL103,增益!$A:$A,增益!$E:$E,0))</f>
        <v>0</v>
      </c>
      <c r="AT103" cm="1">
        <f t="array" ref="AT103">$D$10*(1+$AS103)+VLOOKUP($R103,武学奇术!$A:$ZZ,3,FALSE)+SUM(_xlfn.XLOOKUP($S103:$AL103,增益!$A:$A,增益!$C:$C,0))-$I$2</f>
        <v>4094.7</v>
      </c>
      <c r="AU103" cm="1">
        <f t="array" ref="AU103">$E$10*(1+$AS103)+VLOOKUP($R103,武学奇术!$A:$ZZ,4,FALSE)+SUM(_xlfn.XLOOKUP($S103:$AL103,增益!$A:$A,增益!$D:$D,0))-$I$2</f>
        <v>4094.7</v>
      </c>
      <c r="AV103" s="40" cm="1">
        <f t="array" ref="AV103">IF($F$10-$I$3+VLOOKUP($R103,武学奇术!$A:$ZZ,6,FALSE)+SUM(_xlfn.XLOOKUP($S103:$AL103,增益!$A:$A,增益!$F:$F,0))&gt;0,($F$10-$I$3+VLOOKUP($R103,武学奇术!$A:$ZZ,6,FALSE)+SUM(_xlfn.XLOOKUP($S103:$AL103,增益!$A:$A,增益!$F:$F,0)))/200,($F$10-$I$3+VLOOKUP($R103,武学奇术!$A:$ZZ,6,FALSE)+SUM(_xlfn.XLOOKUP($S103:$AL103,增益!$A:$A,增益!$F:$F,0)))/100)</f>
        <v>0.4384</v>
      </c>
      <c r="AW103" s="40" cm="1">
        <f t="array" ref="AW103">$G$10+VLOOKUP($R103,武学奇术!$A:$ZZ,7,FALSE)+SUM(_xlfn.XLOOKUP($S103:$AL103,增益!$A:$A,增益!$G:$G,0))</f>
        <v>0.14</v>
      </c>
      <c r="AX103" s="33" cm="1">
        <f t="array" ref="AX103">VLOOKUP($R103,武学奇术!$A:$ZZ,8,FALSE)+SUM(_xlfn.XLOOKUP($S103:$AL103,增益!$A:$A,增益!$H:$H,0))</f>
        <v>0</v>
      </c>
      <c r="AY103">
        <f t="shared" si="44"/>
        <v>0</v>
      </c>
      <c r="AZ103">
        <f t="shared" si="45"/>
        <v>0</v>
      </c>
      <c r="BA103" s="40" cm="1">
        <f t="array" ref="BA103">IF($F$11-$I$4+VLOOKUP($R103,武学奇术!$A:$ZZ,9,FALSE)+SUM(_xlfn.XLOOKUP($S103:$AL103,增益!$A:$A,增益!$I:$I,0))&gt;0,($F$11-$I$4+VLOOKUP($R103,武学奇术!$A:$ZZ,9,FALSE)+SUM(_xlfn.XLOOKUP($S103:$AL103,增益!$A:$A,增益!$I:$I,0)))/200,($F$11-$I$4+VLOOKUP($R103,武学奇术!$A:$ZZ,9,FALSE)+SUM(_xlfn.XLOOKUP($S103:$AL103,增益!$A:$A,增益!$I:$I,0)))/100)</f>
        <v>-0.14</v>
      </c>
      <c r="BB103" s="40" cm="1">
        <f t="array" ref="BB103">$G$11+VLOOKUP($R103,武学奇术!$A:$ZZ,10,FALSE)+SUM(_xlfn.XLOOKUP($S103:$AL103,增益!$A:$A,增益!$J:$J,0))</f>
        <v>0.02</v>
      </c>
      <c r="BC103">
        <f t="shared" si="46"/>
        <v>640.3</v>
      </c>
      <c r="BD103">
        <f t="shared" si="47"/>
        <v>1770.1</v>
      </c>
      <c r="BE103" s="40" cm="1">
        <f t="array" ref="BE103">IF($F$12-$I$4+VLOOKUP($R103,武学奇术!$A:$ZZ,11,FALSE)+SUM(_xlfn.XLOOKUP($S103:$AL103,增益!$A:$A,增益!$K:$K,0))&gt;0,($F$12-$I$4+VLOOKUP($R103,武学奇术!$A:$ZZ,11,FALSE)+SUM(_xlfn.XLOOKUP($S103:$AL103,增益!$A:$A,增益!$K:$K,0)))/200,($F$12-$I$4+VLOOKUP($R103,武学奇术!$A:$ZZ,11,FALSE)+SUM(_xlfn.XLOOKUP($S103:$AL103,增益!$A:$A,增益!$K:$K,0)))/100)</f>
        <v>0.17</v>
      </c>
      <c r="BF103" s="40" cm="1">
        <f t="array" ref="BF103">$G$12+VLOOKUP($R103,武学奇术!$A:$ZZ,12,FALSE)+SUM(_xlfn.XLOOKUP($S103:$AL103,增益!$A:$A,增益!$L:$L,0))</f>
        <v>0.29</v>
      </c>
      <c r="BG103">
        <f t="shared" si="48"/>
        <v>0</v>
      </c>
      <c r="BH103">
        <f t="shared" si="49"/>
        <v>0</v>
      </c>
      <c r="BI103" s="40" cm="1">
        <f t="array" ref="BI103">IF($F$13-$I$4+VLOOKUP($R103,武学奇术!$A:$ZZ,13,FALSE)+SUM(_xlfn.XLOOKUP($S103:$AL103,增益!$A:$A,增益!$M:$M,0))&gt;0,($F$13-$I$4+VLOOKUP($R103,武学奇术!$A:$ZZ,13,FALSE)+SUM(_xlfn.XLOOKUP($S103:$AL103,增益!$A:$A,增益!$K:$K,0)))/200,($F$13-$I$4+VLOOKUP($R103,武学奇术!$A:$ZZ,13,FALSE)+SUM(_xlfn.XLOOKUP($S103:$AL103,增益!$A:$A,增益!$M:$M,0)))/100)</f>
        <v>-0.14</v>
      </c>
      <c r="BJ103" s="40" cm="1">
        <f t="array" ref="BJ103">$G$13+VLOOKUP($R103,武学奇术!$A:$ZZ,14,FALSE)+SUM(_xlfn.XLOOKUP($S103:$AL103,增益!$A:$A,增益!$N:$N,0))</f>
        <v>0.02</v>
      </c>
      <c r="BK103">
        <f t="shared" si="50"/>
        <v>0</v>
      </c>
      <c r="BL103">
        <f t="shared" si="51"/>
        <v>0</v>
      </c>
      <c r="BM103" s="40" cm="1">
        <f t="array" ref="BM103">IF($F$14-$I$4+VLOOKUP($R103,武学奇术!$A:$ZZ,15,FALSE)+SUM(_xlfn.XLOOKUP($S103:$AL103,增益!$A:$A,增益!$O:$O,0))&gt;0,($F$14-$I$4+VLOOKUP($R103,武学奇术!$A:$ZZ,15,FALSE)+SUM(_xlfn.XLOOKUP($S103:$AL103,增益!$A:$A,增益!$O:$O,0)))/200,($F$14-$I$4+VLOOKUP($R103,武学奇术!$A:$ZZ,15,FALSE)+SUM(_xlfn.XLOOKUP($S103:$AL103,增益!$A:$A,增益!$O:$O,0)))/100)</f>
        <v>-0.14</v>
      </c>
      <c r="BN103" s="40" cm="1">
        <f t="array" ref="BN103">$G$14+VLOOKUP($R103,武学奇术!$A:$ZZ,16,FALSE)+SUM(_xlfn.XLOOKUP($S103:$AL103,增益!$A:$A,增益!$P:$P,0))</f>
        <v>0.02</v>
      </c>
      <c r="BO103" s="33">
        <f>MIN(IF(VLOOKUP($R103,武学奇术!$A:$ZZ,23,FALSE)=1,100%,$B$8),100%)</f>
        <v>0.9771</v>
      </c>
      <c r="BP103" s="33" cm="1">
        <f t="array" ref="BP103">IF(VLOOKUP($R103,武学奇术!$A:$ZZ,23,FALSE)=1,100%,MIN(80%,$B$9+VLOOKUP($R103,武学奇术!$A:$ZZ,17,FALSE)+SUM(_xlfn.XLOOKUP($S103:$AL103,增益!$A:$A,增益!$Q:$Q,0)))+$B$11+SUM(_xlfn.XLOOKUP($S103:$AL103,增益!$A:$A,增益!$U:$U,0)))*IF(VLOOKUP($R103,武学奇术!$A:$ZZ,24,FALSE)=1,0,1)</f>
        <v>0.8861</v>
      </c>
      <c r="BQ103" s="33" cm="1">
        <f t="array" ref="BQ103">1+$B$13+VLOOKUP($R103,武学奇术!$A:$ZZ,18,FALSE)+SUM(_xlfn.XLOOKUP($S103:$AL103,增益!$A:$A,增益!$R:$R,0))</f>
        <v>2</v>
      </c>
      <c r="BR103" s="33" cm="1">
        <f t="array" ref="BR103">IF(VLOOKUP($R103,武学奇术!$A:$ZZ,24,FALSE)=1,100%,MIN(40%,$B$10+VLOOKUP($R103,武学奇术!$A:$ZZ,19,FALSE)+SUM(_xlfn.XLOOKUP($S103:$AL103,增益!$A:$A,增益!$S:$S,0)))+$B$12+SUM(_xlfn.XLOOKUP($S103:$AL103,增益!$A:$A,增益!$V:$V,0)))*IF(VLOOKUP($R103,武学奇术!$A:$ZZ,23,FALSE)=1,0,1)</f>
        <v>0.0913</v>
      </c>
      <c r="BS103" s="33" cm="1">
        <f t="array" ref="BS103">1+$B$14+VLOOKUP($R103,武学奇术!$A:$ZZ,20,FALSE)+SUM(_xlfn.XLOOKUP($S103:$AL103,增益!$A:$A,增益!$T:$T,0))</f>
        <v>1.35</v>
      </c>
      <c r="BT103" s="33">
        <f t="shared" si="52"/>
        <v>0.86580831</v>
      </c>
      <c r="BU103" s="33">
        <f t="shared" si="53"/>
        <v>0.02208246</v>
      </c>
      <c r="BV103" s="33">
        <f>IF(VLOOKUP($R103,武学奇术!$A:$ZZ,22,FALSE)=1,0,(1-$BO103))*(1-$BR103)</f>
        <v>0.02080923</v>
      </c>
      <c r="BW103" s="33" cm="1">
        <f t="array" ref="BW103">SUM(_xlfn.XLOOKUP($S103:$AL103,增益!$A:$A,增益!$W:$W,0))+$I$5</f>
        <v>0.11</v>
      </c>
      <c r="BX103" s="33" cm="1">
        <f t="array" ref="BX103">VLOOKUP($R103,武学奇术!$A:$ZZ,32,FALSE)+SUM(_xlfn.XLOOKUP($S103:$AL103,增益!$A:$A,增益!$X:$X,0))</f>
        <v>0</v>
      </c>
    </row>
    <row r="104" spans="1:76">
      <c r="A104" t="s">
        <v>180</v>
      </c>
      <c r="B104">
        <v>1</v>
      </c>
      <c r="L104" s="46">
        <f t="shared" si="54"/>
        <v>46541.5914332166</v>
      </c>
      <c r="M104" s="46">
        <f>((($AT104+$AU104)/2*$AN104+$AO104)*(1+$AV104)*(1+$AW104)+(($AY104+$AZ104)/2*IF($G$1="鸣金",$AP104,$AN104)+IF($G$1="鸣金",$AQ104*1.5,0))*(1+$BA104)*(1+$BB104)+(($BC104+$BD104)/2*IF($G$1="裂石",$AP104,$AN104)+IF($G$1="裂石",$AQ104*1.5,0))*(1+$BE104)*(1+$BF104)+(($BG104+$BH104)/2*IF($G$1="牵丝",$AP104,$AN104)+IF($G$1="牵丝",$AQ104*1.5,0))*(1+$BI104)*(1+$BJ104)+(($BK104+$BL104)/2*IF($G$1="破竹",$AP104,$AN104)+IF($G$1="破竹",$AQ104*1.5,0))*(1+$BM104)*(1+$BN104))*(1+$AR104)*$BQ104*$Q104*(1+IF(VLOOKUP($R104,武学奇术!$A:$ZZ,30,FALSE)="蓄力技",$B$21,0))*(1+IF(VLOOKUP($R104,武学奇术!$A:$ZZ,30,FALSE)="派生技",$B$20,0))*(1+$BW104)*(1+$BX104)</f>
        <v>46541.5914332166</v>
      </c>
      <c r="N104" s="46">
        <f>(($AU104*$AN104+$AO104)*(1+$AV104)*(1+$AW104)+($AZ104*IF($G$1="鸣金",$AP104,$AN104)+IF($G$1="鸣金",$AQ104*1.5,0))*(1+$BA104)*(1+$BB104)+($BD104*IF($G$1="裂石",$AP104,$AN104)+IF($G$1="裂石",$AQ104*1.5,0))*(1+$BE104)*(1+$BF104)+($BH104*IF($G$1="牵丝",$AP104,$AN104)+IF($G$1="牵丝",$AQ104*1.5,0))*(1+$BI104)*(1+$BJ104)+($BL104*IF($G$1="破竹",$AP104,$AN104)+IF($G$1="破竹",$AQ104*1.5,0))*(1+$BM104)*(1+$BN104))*(1+$AR104)*$BS104*$Q104*(1+IF(VLOOKUP($R104,武学奇术!$A:$ZZ,30,FALSE)="蓄力技",$B$21,0))*(1+IF(VLOOKUP($R104,武学奇术!$A:$ZZ,30,FALSE)="派生技",$B$20,0))*(1+$BW104)*(1+$BX104)</f>
        <v>33971.7729690806</v>
      </c>
      <c r="O104" s="46">
        <f>((($AT104+$AU104)/2*$AN104+$AO104)*(1+$AV104)*(1+$AW104)+(($AY104+$AZ104)/2*IF($G$1="鸣金",$AP104,$AN104)+IF($G$1="鸣金",$AQ104*1.5,0))*(1+$BA104)*(1+$BB104)+(($BC104+$BD104)/2*IF($G$1="裂石",$AP104,$AN104)+IF($G$1="裂石",$AQ104*1.5,0))*(1+$BE104)*(1+$BF104)+(($BG104+$BH104)/2*IF($G$1="牵丝",$AP104,$AN104)+IF($G$1="牵丝",$AQ104*1.5,0))*(1+$BI104)*(1+$BJ104)+(($BK104+$BL104)/2*IF($G$1="破竹",$AP104,$AN104)+IF($G$1="破竹",$AQ104*1.5,0))*(1+$BM104)*(1+$BN104))*(1+$AR104)*$Q104*(1+IF(VLOOKUP($R104,武学奇术!$A:$ZZ,30,FALSE)="蓄力技",$B$21,0))*(1+IF(VLOOKUP($R104,武学奇术!$A:$ZZ,30,FALSE)="派生技",$B$20,0))*(1+$BW104)*(1+$BX104)</f>
        <v>22162.662587246</v>
      </c>
      <c r="P104" s="46">
        <f>((($AT104*$AN104+$AO104)*(1+$AV104)*(1+$AW104)+($AY104*IF($G$1="鸣金",$AP104,$AN104)+IF($G$1="鸣金",$AQ104*1.5,0))*(1+$BA104)*(1+$BB104)+($BC104*IF($G$1="裂石",$AP104,$AN104)+IF($G$1="裂石",$AQ104*1.5,0))*(1+$BE104)*(1+$BF104)+($BG104*IF($G$1="牵丝",$AP104,$AN104)+IF($G$1="牵丝",$AQ104*1.5,0))*(1+$BI104)*(1+$BJ104)+($BK104*IF($G$1="破竹",$AP104,$AN104)+IF($G$1="破竹",$AQ104*1.5,0))*(1+$BM104)*(1+$BN104))*(1+$AR104))*$Q104*(1+IF(VLOOKUP($R104,武学奇术!$A:$ZZ,30,FALSE)="蓄力技",$B$21,0))*(1+IF(VLOOKUP($R104,武学奇术!$A:$ZZ,30,FALSE)="派生技",$B$20,0))*(1+$BW104)*(1+$BX104)</f>
        <v>19161.0489010989</v>
      </c>
      <c r="Q104" s="47">
        <f t="shared" si="42"/>
        <v>1</v>
      </c>
      <c r="R104" s="48" t="s">
        <v>144</v>
      </c>
      <c r="S104" s="48" t="s">
        <v>99</v>
      </c>
      <c r="T104" s="48" t="s">
        <v>182</v>
      </c>
      <c r="U104" s="48" t="s">
        <v>79</v>
      </c>
      <c r="V104" s="48" t="s">
        <v>90</v>
      </c>
      <c r="W104" s="48" t="s">
        <v>141</v>
      </c>
      <c r="X104" s="48" t="s">
        <v>145</v>
      </c>
      <c r="Y104" s="48" t="s">
        <v>74</v>
      </c>
      <c r="Z104" s="48" t="s">
        <v>80</v>
      </c>
      <c r="AA104" s="48" t="s">
        <v>80</v>
      </c>
      <c r="AB104" s="48" t="s">
        <v>80</v>
      </c>
      <c r="AC104" s="48" t="s">
        <v>80</v>
      </c>
      <c r="AD104" s="48" t="s">
        <v>80</v>
      </c>
      <c r="AE104" s="48" t="s">
        <v>82</v>
      </c>
      <c r="AF104" s="48" t="s">
        <v>83</v>
      </c>
      <c r="AG104" s="48" t="s">
        <v>84</v>
      </c>
      <c r="AH104" s="48" t="s">
        <v>80</v>
      </c>
      <c r="AI104" s="48" t="s">
        <v>80</v>
      </c>
      <c r="AJ104" s="48" t="s">
        <v>80</v>
      </c>
      <c r="AK104" s="48" t="s">
        <v>80</v>
      </c>
      <c r="AL104" s="48" t="s">
        <v>85</v>
      </c>
      <c r="AM104" t="str">
        <f>VLOOKUP($R104,武学奇术!$A:$ZZ,25,FALSE)</f>
        <v>陌刀</v>
      </c>
      <c r="AN104" s="33">
        <f>VLOOKUP($R104,武学奇术!$A:$ZZ,26,FALSE)</f>
        <v>0.945</v>
      </c>
      <c r="AO104" s="34">
        <f>VLOOKUP($R104,武学奇术!$A:$ZZ,27,FALSE)*(1+IF(OR($AM104=$F$4,$AM104=$F$5),$B$22,0))</f>
        <v>0</v>
      </c>
      <c r="AP104" s="33">
        <f>VLOOKUP($R104,武学奇术!$A:$ZZ,28,FALSE)</f>
        <v>1.4175</v>
      </c>
      <c r="AQ104" s="34">
        <f>VLOOKUP($R104,武学奇术!$A:$ZZ,29,FALSE)*(1+IF(OR($AM104=$F$4,$AM104=$F$5),$B$22,0))</f>
        <v>0</v>
      </c>
      <c r="AR104" s="33" cm="1">
        <f t="array" ref="AR104">$G$3+IFERROR(VLOOKUP($AM104,$F$4:$G$7,2,FALSE),0)+VLOOKUP($R104,武学奇术!$A:$ZZ,2,FALSE)+SUM(_xlfn.XLOOKUP($S104:$AL104,增益!$A:$A,增益!$B:$B,0))</f>
        <v>0.6943</v>
      </c>
      <c r="AS104" s="33" cm="1">
        <f t="array" ref="AS104">VLOOKUP($R104,武学奇术!$A:$ZZ,5,FALSE)+SUM(_xlfn.XLOOKUP($S104:$AL104,增益!$A:$A,增益!$E:$E,0))</f>
        <v>0</v>
      </c>
      <c r="AT104" cm="1">
        <f t="array" ref="AT104">$D$10*(1+$AS104)+VLOOKUP($R104,武学奇术!$A:$ZZ,3,FALSE)+SUM(_xlfn.XLOOKUP($S104:$AL104,增益!$A:$A,增益!$C:$C,0))-$I$2</f>
        <v>4094.7</v>
      </c>
      <c r="AU104" cm="1">
        <f t="array" ref="AU104">$E$10*(1+$AS104)+VLOOKUP($R104,武学奇术!$A:$ZZ,4,FALSE)+SUM(_xlfn.XLOOKUP($S104:$AL104,增益!$A:$A,增益!$D:$D,0))-$I$2</f>
        <v>4094.7</v>
      </c>
      <c r="AV104" s="40" cm="1">
        <f t="array" ref="AV104">IF($F$10-$I$3+VLOOKUP($R104,武学奇术!$A:$ZZ,6,FALSE)+SUM(_xlfn.XLOOKUP($S104:$AL104,增益!$A:$A,增益!$F:$F,0))&gt;0,($F$10-$I$3+VLOOKUP($R104,武学奇术!$A:$ZZ,6,FALSE)+SUM(_xlfn.XLOOKUP($S104:$AL104,增益!$A:$A,增益!$F:$F,0)))/200,($F$10-$I$3+VLOOKUP($R104,武学奇术!$A:$ZZ,6,FALSE)+SUM(_xlfn.XLOOKUP($S104:$AL104,增益!$A:$A,增益!$F:$F,0)))/100)</f>
        <v>0.4384</v>
      </c>
      <c r="AW104" s="40" cm="1">
        <f t="array" ref="AW104">$G$10+VLOOKUP($R104,武学奇术!$A:$ZZ,7,FALSE)+SUM(_xlfn.XLOOKUP($S104:$AL104,增益!$A:$A,增益!$G:$G,0))</f>
        <v>0.14</v>
      </c>
      <c r="AX104" s="33" cm="1">
        <f t="array" ref="AX104">VLOOKUP($R104,武学奇术!$A:$ZZ,8,FALSE)+SUM(_xlfn.XLOOKUP($S104:$AL104,增益!$A:$A,增益!$H:$H,0))</f>
        <v>0</v>
      </c>
      <c r="AY104">
        <f t="shared" si="44"/>
        <v>0</v>
      </c>
      <c r="AZ104">
        <f t="shared" si="45"/>
        <v>0</v>
      </c>
      <c r="BA104" s="40" cm="1">
        <f t="array" ref="BA104">IF($F$11-$I$4+VLOOKUP($R104,武学奇术!$A:$ZZ,9,FALSE)+SUM(_xlfn.XLOOKUP($S104:$AL104,增益!$A:$A,增益!$I:$I,0))&gt;0,($F$11-$I$4+VLOOKUP($R104,武学奇术!$A:$ZZ,9,FALSE)+SUM(_xlfn.XLOOKUP($S104:$AL104,增益!$A:$A,增益!$I:$I,0)))/200,($F$11-$I$4+VLOOKUP($R104,武学奇术!$A:$ZZ,9,FALSE)+SUM(_xlfn.XLOOKUP($S104:$AL104,增益!$A:$A,增益!$I:$I,0)))/100)</f>
        <v>-0.14</v>
      </c>
      <c r="BB104" s="40" cm="1">
        <f t="array" ref="BB104">$G$11+VLOOKUP($R104,武学奇术!$A:$ZZ,10,FALSE)+SUM(_xlfn.XLOOKUP($S104:$AL104,增益!$A:$A,增益!$J:$J,0))</f>
        <v>0.02</v>
      </c>
      <c r="BC104">
        <f t="shared" si="46"/>
        <v>640.3</v>
      </c>
      <c r="BD104">
        <f t="shared" si="47"/>
        <v>1770.1</v>
      </c>
      <c r="BE104" s="40" cm="1">
        <f t="array" ref="BE104">IF($F$12-$I$4+VLOOKUP($R104,武学奇术!$A:$ZZ,11,FALSE)+SUM(_xlfn.XLOOKUP($S104:$AL104,增益!$A:$A,增益!$K:$K,0))&gt;0,($F$12-$I$4+VLOOKUP($R104,武学奇术!$A:$ZZ,11,FALSE)+SUM(_xlfn.XLOOKUP($S104:$AL104,增益!$A:$A,增益!$K:$K,0)))/200,($F$12-$I$4+VLOOKUP($R104,武学奇术!$A:$ZZ,11,FALSE)+SUM(_xlfn.XLOOKUP($S104:$AL104,增益!$A:$A,增益!$K:$K,0)))/100)</f>
        <v>0.17</v>
      </c>
      <c r="BF104" s="40" cm="1">
        <f t="array" ref="BF104">$G$12+VLOOKUP($R104,武学奇术!$A:$ZZ,12,FALSE)+SUM(_xlfn.XLOOKUP($S104:$AL104,增益!$A:$A,增益!$L:$L,0))</f>
        <v>0.29</v>
      </c>
      <c r="BG104">
        <f t="shared" si="48"/>
        <v>0</v>
      </c>
      <c r="BH104">
        <f t="shared" si="49"/>
        <v>0</v>
      </c>
      <c r="BI104" s="40" cm="1">
        <f t="array" ref="BI104">IF($F$13-$I$4+VLOOKUP($R104,武学奇术!$A:$ZZ,13,FALSE)+SUM(_xlfn.XLOOKUP($S104:$AL104,增益!$A:$A,增益!$M:$M,0))&gt;0,($F$13-$I$4+VLOOKUP($R104,武学奇术!$A:$ZZ,13,FALSE)+SUM(_xlfn.XLOOKUP($S104:$AL104,增益!$A:$A,增益!$K:$K,0)))/200,($F$13-$I$4+VLOOKUP($R104,武学奇术!$A:$ZZ,13,FALSE)+SUM(_xlfn.XLOOKUP($S104:$AL104,增益!$A:$A,增益!$M:$M,0)))/100)</f>
        <v>-0.14</v>
      </c>
      <c r="BJ104" s="40" cm="1">
        <f t="array" ref="BJ104">$G$13+VLOOKUP($R104,武学奇术!$A:$ZZ,14,FALSE)+SUM(_xlfn.XLOOKUP($S104:$AL104,增益!$A:$A,增益!$N:$N,0))</f>
        <v>0.02</v>
      </c>
      <c r="BK104">
        <f t="shared" si="50"/>
        <v>0</v>
      </c>
      <c r="BL104">
        <f t="shared" si="51"/>
        <v>0</v>
      </c>
      <c r="BM104" s="40" cm="1">
        <f t="array" ref="BM104">IF($F$14-$I$4+VLOOKUP($R104,武学奇术!$A:$ZZ,15,FALSE)+SUM(_xlfn.XLOOKUP($S104:$AL104,增益!$A:$A,增益!$O:$O,0))&gt;0,($F$14-$I$4+VLOOKUP($R104,武学奇术!$A:$ZZ,15,FALSE)+SUM(_xlfn.XLOOKUP($S104:$AL104,增益!$A:$A,增益!$O:$O,0)))/200,($F$14-$I$4+VLOOKUP($R104,武学奇术!$A:$ZZ,15,FALSE)+SUM(_xlfn.XLOOKUP($S104:$AL104,增益!$A:$A,增益!$O:$O,0)))/100)</f>
        <v>-0.14</v>
      </c>
      <c r="BN104" s="40" cm="1">
        <f t="array" ref="BN104">$G$14+VLOOKUP($R104,武学奇术!$A:$ZZ,16,FALSE)+SUM(_xlfn.XLOOKUP($S104:$AL104,增益!$A:$A,增益!$P:$P,0))</f>
        <v>0.02</v>
      </c>
      <c r="BO104" s="33">
        <f>MIN(IF(VLOOKUP($R104,武学奇术!$A:$ZZ,23,FALSE)=1,100%,$B$8),100%)</f>
        <v>1</v>
      </c>
      <c r="BP104" s="33" cm="1">
        <f t="array" ref="BP104">IF(VLOOKUP($R104,武学奇术!$A:$ZZ,23,FALSE)=1,100%,MIN(80%,$B$9+VLOOKUP($R104,武学奇术!$A:$ZZ,17,FALSE)+SUM(_xlfn.XLOOKUP($S104:$AL104,增益!$A:$A,增益!$Q:$Q,0)))+$B$11+SUM(_xlfn.XLOOKUP($S104:$AL104,增益!$A:$A,增益!$U:$U,0)))*IF(VLOOKUP($R104,武学奇术!$A:$ZZ,24,FALSE)=1,0,1)</f>
        <v>1</v>
      </c>
      <c r="BQ104" s="33" cm="1">
        <f t="array" ref="BQ104">1+$B$13+VLOOKUP($R104,武学奇术!$A:$ZZ,18,FALSE)+SUM(_xlfn.XLOOKUP($S104:$AL104,增益!$A:$A,增益!$R:$R,0))</f>
        <v>2.1</v>
      </c>
      <c r="BR104" s="33" cm="1">
        <f t="array" ref="BR104">IF(VLOOKUP($R104,武学奇术!$A:$ZZ,24,FALSE)=1,100%,MIN(40%,$B$10+VLOOKUP($R104,武学奇术!$A:$ZZ,19,FALSE)+SUM(_xlfn.XLOOKUP($S104:$AL104,增益!$A:$A,增益!$S:$S,0)))+$B$12+SUM(_xlfn.XLOOKUP($S104:$AL104,增益!$A:$A,增益!$V:$V,0)))*IF(VLOOKUP($R104,武学奇术!$A:$ZZ,23,FALSE)=1,0,1)</f>
        <v>0</v>
      </c>
      <c r="BS104" s="33" cm="1">
        <f t="array" ref="BS104">1+$B$14+VLOOKUP($R104,武学奇术!$A:$ZZ,20,FALSE)+SUM(_xlfn.XLOOKUP($S104:$AL104,增益!$A:$A,增益!$T:$T,0))</f>
        <v>1.35</v>
      </c>
      <c r="BT104" s="33">
        <f t="shared" si="52"/>
        <v>1</v>
      </c>
      <c r="BU104" s="33">
        <f t="shared" si="53"/>
        <v>0</v>
      </c>
      <c r="BV104" s="33">
        <f>IF(VLOOKUP($R104,武学奇术!$A:$ZZ,22,FALSE)=1,0,(1-$BO104))*(1-$BR104)</f>
        <v>0</v>
      </c>
      <c r="BW104" s="33" cm="1">
        <f t="array" ref="BW104">SUM(_xlfn.XLOOKUP($S104:$AL104,增益!$A:$A,增益!$W:$W,0))+$I$5</f>
        <v>0.11</v>
      </c>
      <c r="BX104" s="33" cm="1">
        <f t="array" ref="BX104">VLOOKUP($R104,武学奇术!$A:$ZZ,32,FALSE)+SUM(_xlfn.XLOOKUP($S104:$AL104,增益!$A:$A,增益!$X:$X,0))</f>
        <v>0</v>
      </c>
    </row>
    <row r="105" spans="1:76">
      <c r="A105" t="s">
        <v>116</v>
      </c>
      <c r="B105">
        <v>2.3</v>
      </c>
      <c r="C105" s="47" t="s">
        <v>163</v>
      </c>
      <c r="L105" s="46">
        <f t="shared" si="54"/>
        <v>422875.948733113</v>
      </c>
      <c r="M105" s="46">
        <f>((($AT105+$AU105)/2*$AN105+$AO105)*(1+$AV105)*(1+$AW105)+(($AY105+$AZ105)/2*IF($G$1="鸣金",$AP105,$AN105)+IF($G$1="鸣金",$AQ105*1.5,0))*(1+$BA105)*(1+$BB105)+(($BC105+$BD105)/2*IF($G$1="裂石",$AP105,$AN105)+IF($G$1="裂石",$AQ105*1.5,0))*(1+$BE105)*(1+$BF105)+(($BG105+$BH105)/2*IF($G$1="牵丝",$AP105,$AN105)+IF($G$1="牵丝",$AQ105*1.5,0))*(1+$BI105)*(1+$BJ105)+(($BK105+$BL105)/2*IF($G$1="破竹",$AP105,$AN105)+IF($G$1="破竹",$AQ105*1.5,0))*(1+$BM105)*(1+$BN105))*(1+$AR105)*$BQ105*$Q105*(1+IF(VLOOKUP($R105,武学奇术!$A:$ZZ,30,FALSE)="蓄力技",$B$21,0))*(1+IF(VLOOKUP($R105,武学奇术!$A:$ZZ,30,FALSE)="派生技",$B$20,0))*(1+$BW105)*(1+$BX105)</f>
        <v>422875.948733113</v>
      </c>
      <c r="N105" s="46">
        <f>(($AU105*$AN105+$AO105)*(1+$AV105)*(1+$AW105)+($AZ105*IF($G$1="鸣金",$AP105,$AN105)+IF($G$1="鸣金",$AQ105*1.5,0))*(1+$BA105)*(1+$BB105)+($BD105*IF($G$1="裂石",$AP105,$AN105)+IF($G$1="裂石",$AQ105*1.5,0))*(1+$BE105)*(1+$BF105)+($BH105*IF($G$1="牵丝",$AP105,$AN105)+IF($G$1="牵丝",$AQ105*1.5,0))*(1+$BI105)*(1+$BJ105)+($BL105*IF($G$1="破竹",$AP105,$AN105)+IF($G$1="破竹",$AQ105*1.5,0))*(1+$BM105)*(1+$BN105))*(1+$AR105)*$BS105*$Q105*(1+IF(VLOOKUP($R105,武学奇术!$A:$ZZ,30,FALSE)="蓄力技",$B$21,0))*(1+IF(VLOOKUP($R105,武学奇术!$A:$ZZ,30,FALSE)="派生技",$B$20,0))*(1+$BW105)*(1+$BX105)</f>
        <v>304298.269208613</v>
      </c>
      <c r="O105" s="46">
        <f>((($AT105+$AU105)/2*$AN105+$AO105)*(1+$AV105)*(1+$AW105)+(($AY105+$AZ105)/2*IF($G$1="鸣金",$AP105,$AN105)+IF($G$1="鸣金",$AQ105*1.5,0))*(1+$BA105)*(1+$BB105)+(($BC105+$BD105)/2*IF($G$1="裂石",$AP105,$AN105)+IF($G$1="裂石",$AQ105*1.5,0))*(1+$BE105)*(1+$BF105)+(($BG105+$BH105)/2*IF($G$1="牵丝",$AP105,$AN105)+IF($G$1="牵丝",$AQ105*1.5,0))*(1+$BI105)*(1+$BJ105)+(($BK105+$BL105)/2*IF($G$1="破竹",$AP105,$AN105)+IF($G$1="破竹",$AQ105*1.5,0))*(1+$BM105)*(1+$BN105))*(1+$AR105)*$Q105*(1+IF(VLOOKUP($R105,武学奇术!$A:$ZZ,30,FALSE)="蓄力技",$B$21,0))*(1+IF(VLOOKUP($R105,武学奇术!$A:$ZZ,30,FALSE)="派生技",$B$20,0))*(1+$BW105)*(1+$BX105)</f>
        <v>201369.499396721</v>
      </c>
      <c r="P105" s="46">
        <f>((($AT105*$AN105+$AO105)*(1+$AV105)*(1+$AW105)+($AY105*IF($G$1="鸣金",$AP105,$AN105)+IF($G$1="鸣金",$AQ105*1.5,0))*(1+$BA105)*(1+$BB105)+($BC105*IF($G$1="裂石",$AP105,$AN105)+IF($G$1="裂石",$AQ105*1.5,0))*(1+$BE105)*(1+$BF105)+($BG105*IF($G$1="牵丝",$AP105,$AN105)+IF($G$1="牵丝",$AQ105*1.5,0))*(1+$BI105)*(1+$BJ105)+($BK105*IF($G$1="破竹",$AP105,$AN105)+IF($G$1="破竹",$AQ105*1.5,0))*(1+$BM105)*(1+$BN105))*(1+$AR105))*$Q105*(1+IF(VLOOKUP($R105,武学奇术!$A:$ZZ,30,FALSE)="蓄力技",$B$21,0))*(1+IF(VLOOKUP($R105,武学奇术!$A:$ZZ,30,FALSE)="派生技",$B$20,0))*(1+$BW105)*(1+$BX105)</f>
        <v>177332.873453728</v>
      </c>
      <c r="Q105" s="47">
        <f t="shared" si="42"/>
        <v>1</v>
      </c>
      <c r="R105" s="48" t="s">
        <v>148</v>
      </c>
      <c r="S105" s="48" t="s">
        <v>99</v>
      </c>
      <c r="T105" s="48" t="s">
        <v>182</v>
      </c>
      <c r="U105" s="48" t="s">
        <v>79</v>
      </c>
      <c r="V105" s="48" t="s">
        <v>90</v>
      </c>
      <c r="W105" s="48" t="s">
        <v>141</v>
      </c>
      <c r="X105" s="48" t="s">
        <v>145</v>
      </c>
      <c r="Y105" s="48" t="s">
        <v>74</v>
      </c>
      <c r="Z105" s="48" t="s">
        <v>80</v>
      </c>
      <c r="AA105" s="48" t="s">
        <v>80</v>
      </c>
      <c r="AB105" s="48" t="s">
        <v>80</v>
      </c>
      <c r="AC105" s="48" t="s">
        <v>80</v>
      </c>
      <c r="AD105" s="48" t="s">
        <v>80</v>
      </c>
      <c r="AE105" s="48" t="s">
        <v>82</v>
      </c>
      <c r="AF105" s="48" t="s">
        <v>83</v>
      </c>
      <c r="AG105" s="48" t="s">
        <v>84</v>
      </c>
      <c r="AH105" s="48" t="s">
        <v>80</v>
      </c>
      <c r="AI105" s="48" t="s">
        <v>80</v>
      </c>
      <c r="AJ105" s="48" t="s">
        <v>80</v>
      </c>
      <c r="AK105" s="48" t="s">
        <v>80</v>
      </c>
      <c r="AL105" s="48" t="s">
        <v>85</v>
      </c>
      <c r="AM105" t="str">
        <f>VLOOKUP($R105,武学奇术!$A:$ZZ,25,FALSE)</f>
        <v>陌刀</v>
      </c>
      <c r="AN105" s="33">
        <f>VLOOKUP($R105,武学奇术!$A:$ZZ,26,FALSE)</f>
        <v>7.5674</v>
      </c>
      <c r="AO105" s="34">
        <f>VLOOKUP($R105,武学奇术!$A:$ZZ,27,FALSE)*(1+IF(OR($AM105=$F$4,$AM105=$F$5),$B$22,0))</f>
        <v>3348.8</v>
      </c>
      <c r="AP105" s="33">
        <f>VLOOKUP($R105,武学奇术!$A:$ZZ,28,FALSE)</f>
        <v>11.3512</v>
      </c>
      <c r="AQ105" s="34">
        <f>VLOOKUP($R105,武学奇术!$A:$ZZ,29,FALSE)*(1+IF(OR($AM105=$F$4,$AM105=$F$5),$B$22,0))</f>
        <v>1824</v>
      </c>
      <c r="AR105" s="33" cm="1">
        <f t="array" ref="AR105">$G$3+IFERROR(VLOOKUP($AM105,$F$4:$G$7,2,FALSE),0)+VLOOKUP($R105,武学奇术!$A:$ZZ,2,FALSE)+SUM(_xlfn.XLOOKUP($S105:$AL105,增益!$A:$A,增益!$B:$B,0))</f>
        <v>0.6943</v>
      </c>
      <c r="AS105" s="33" cm="1">
        <f t="array" ref="AS105">VLOOKUP($R105,武学奇术!$A:$ZZ,5,FALSE)+SUM(_xlfn.XLOOKUP($S105:$AL105,增益!$A:$A,增益!$E:$E,0))</f>
        <v>0</v>
      </c>
      <c r="AT105" cm="1">
        <f t="array" ref="AT105">$D$10*(1+$AS105)+VLOOKUP($R105,武学奇术!$A:$ZZ,3,FALSE)+SUM(_xlfn.XLOOKUP($S105:$AL105,增益!$A:$A,增益!$C:$C,0))-$I$2</f>
        <v>4094.7</v>
      </c>
      <c r="AU105" cm="1">
        <f t="array" ref="AU105">$E$10*(1+$AS105)+VLOOKUP($R105,武学奇术!$A:$ZZ,4,FALSE)+SUM(_xlfn.XLOOKUP($S105:$AL105,增益!$A:$A,增益!$D:$D,0))-$I$2</f>
        <v>4094.7</v>
      </c>
      <c r="AV105" s="40" cm="1">
        <f t="array" ref="AV105">IF($F$10-$I$3+VLOOKUP($R105,武学奇术!$A:$ZZ,6,FALSE)+SUM(_xlfn.XLOOKUP($S105:$AL105,增益!$A:$A,增益!$F:$F,0))&gt;0,($F$10-$I$3+VLOOKUP($R105,武学奇术!$A:$ZZ,6,FALSE)+SUM(_xlfn.XLOOKUP($S105:$AL105,增益!$A:$A,增益!$F:$F,0)))/200,($F$10-$I$3+VLOOKUP($R105,武学奇术!$A:$ZZ,6,FALSE)+SUM(_xlfn.XLOOKUP($S105:$AL105,增益!$A:$A,增益!$F:$F,0)))/100)</f>
        <v>0.4384</v>
      </c>
      <c r="AW105" s="40" cm="1">
        <f t="array" ref="AW105">$G$10+VLOOKUP($R105,武学奇术!$A:$ZZ,7,FALSE)+SUM(_xlfn.XLOOKUP($S105:$AL105,增益!$A:$A,增益!$G:$G,0))</f>
        <v>0.14</v>
      </c>
      <c r="AX105" s="33" cm="1">
        <f t="array" ref="AX105">VLOOKUP($R105,武学奇术!$A:$ZZ,8,FALSE)+SUM(_xlfn.XLOOKUP($S105:$AL105,增益!$A:$A,增益!$H:$H,0))</f>
        <v>0</v>
      </c>
      <c r="AY105">
        <f t="shared" si="44"/>
        <v>0</v>
      </c>
      <c r="AZ105">
        <f t="shared" si="45"/>
        <v>0</v>
      </c>
      <c r="BA105" s="40" cm="1">
        <f t="array" ref="BA105">IF($F$11-$I$4+VLOOKUP($R105,武学奇术!$A:$ZZ,9,FALSE)+SUM(_xlfn.XLOOKUP($S105:$AL105,增益!$A:$A,增益!$I:$I,0))&gt;0,($F$11-$I$4+VLOOKUP($R105,武学奇术!$A:$ZZ,9,FALSE)+SUM(_xlfn.XLOOKUP($S105:$AL105,增益!$A:$A,增益!$I:$I,0)))/200,($F$11-$I$4+VLOOKUP($R105,武学奇术!$A:$ZZ,9,FALSE)+SUM(_xlfn.XLOOKUP($S105:$AL105,增益!$A:$A,增益!$I:$I,0)))/100)</f>
        <v>-0.14</v>
      </c>
      <c r="BB105" s="40" cm="1">
        <f t="array" ref="BB105">$G$11+VLOOKUP($R105,武学奇术!$A:$ZZ,10,FALSE)+SUM(_xlfn.XLOOKUP($S105:$AL105,增益!$A:$A,增益!$J:$J,0))</f>
        <v>0.02</v>
      </c>
      <c r="BC105">
        <f t="shared" si="46"/>
        <v>640.3</v>
      </c>
      <c r="BD105">
        <f t="shared" si="47"/>
        <v>1770.1</v>
      </c>
      <c r="BE105" s="40" cm="1">
        <f t="array" ref="BE105">IF($F$12-$I$4+VLOOKUP($R105,武学奇术!$A:$ZZ,11,FALSE)+SUM(_xlfn.XLOOKUP($S105:$AL105,增益!$A:$A,增益!$K:$K,0))&gt;0,($F$12-$I$4+VLOOKUP($R105,武学奇术!$A:$ZZ,11,FALSE)+SUM(_xlfn.XLOOKUP($S105:$AL105,增益!$A:$A,增益!$K:$K,0)))/200,($F$12-$I$4+VLOOKUP($R105,武学奇术!$A:$ZZ,11,FALSE)+SUM(_xlfn.XLOOKUP($S105:$AL105,增益!$A:$A,增益!$K:$K,0)))/100)</f>
        <v>0.17</v>
      </c>
      <c r="BF105" s="40" cm="1">
        <f t="array" ref="BF105">$G$12+VLOOKUP($R105,武学奇术!$A:$ZZ,12,FALSE)+SUM(_xlfn.XLOOKUP($S105:$AL105,增益!$A:$A,增益!$L:$L,0))</f>
        <v>0.29</v>
      </c>
      <c r="BG105">
        <f t="shared" si="48"/>
        <v>0</v>
      </c>
      <c r="BH105">
        <f t="shared" si="49"/>
        <v>0</v>
      </c>
      <c r="BI105" s="40" cm="1">
        <f t="array" ref="BI105">IF($F$13-$I$4+VLOOKUP($R105,武学奇术!$A:$ZZ,13,FALSE)+SUM(_xlfn.XLOOKUP($S105:$AL105,增益!$A:$A,增益!$M:$M,0))&gt;0,($F$13-$I$4+VLOOKUP($R105,武学奇术!$A:$ZZ,13,FALSE)+SUM(_xlfn.XLOOKUP($S105:$AL105,增益!$A:$A,增益!$K:$K,0)))/200,($F$13-$I$4+VLOOKUP($R105,武学奇术!$A:$ZZ,13,FALSE)+SUM(_xlfn.XLOOKUP($S105:$AL105,增益!$A:$A,增益!$M:$M,0)))/100)</f>
        <v>-0.14</v>
      </c>
      <c r="BJ105" s="40" cm="1">
        <f t="array" ref="BJ105">$G$13+VLOOKUP($R105,武学奇术!$A:$ZZ,14,FALSE)+SUM(_xlfn.XLOOKUP($S105:$AL105,增益!$A:$A,增益!$N:$N,0))</f>
        <v>0.02</v>
      </c>
      <c r="BK105">
        <f t="shared" si="50"/>
        <v>0</v>
      </c>
      <c r="BL105">
        <f t="shared" si="51"/>
        <v>0</v>
      </c>
      <c r="BM105" s="40" cm="1">
        <f t="array" ref="BM105">IF($F$14-$I$4+VLOOKUP($R105,武学奇术!$A:$ZZ,15,FALSE)+SUM(_xlfn.XLOOKUP($S105:$AL105,增益!$A:$A,增益!$O:$O,0))&gt;0,($F$14-$I$4+VLOOKUP($R105,武学奇术!$A:$ZZ,15,FALSE)+SUM(_xlfn.XLOOKUP($S105:$AL105,增益!$A:$A,增益!$O:$O,0)))/200,($F$14-$I$4+VLOOKUP($R105,武学奇术!$A:$ZZ,15,FALSE)+SUM(_xlfn.XLOOKUP($S105:$AL105,增益!$A:$A,增益!$O:$O,0)))/100)</f>
        <v>-0.14</v>
      </c>
      <c r="BN105" s="40" cm="1">
        <f t="array" ref="BN105">$G$14+VLOOKUP($R105,武学奇术!$A:$ZZ,16,FALSE)+SUM(_xlfn.XLOOKUP($S105:$AL105,增益!$A:$A,增益!$P:$P,0))</f>
        <v>0.02</v>
      </c>
      <c r="BO105" s="33">
        <f>MIN(IF(VLOOKUP($R105,武学奇术!$A:$ZZ,23,FALSE)=1,100%,$B$8),100%)</f>
        <v>1</v>
      </c>
      <c r="BP105" s="33" cm="1">
        <f t="array" ref="BP105">IF(VLOOKUP($R105,武学奇术!$A:$ZZ,23,FALSE)=1,100%,MIN(80%,$B$9+VLOOKUP($R105,武学奇术!$A:$ZZ,17,FALSE)+SUM(_xlfn.XLOOKUP($S105:$AL105,增益!$A:$A,增益!$Q:$Q,0)))+$B$11+SUM(_xlfn.XLOOKUP($S105:$AL105,增益!$A:$A,增益!$U:$U,0)))*IF(VLOOKUP($R105,武学奇术!$A:$ZZ,24,FALSE)=1,0,1)</f>
        <v>1</v>
      </c>
      <c r="BQ105" s="33" cm="1">
        <f t="array" ref="BQ105">1+$B$13+VLOOKUP($R105,武学奇术!$A:$ZZ,18,FALSE)+SUM(_xlfn.XLOOKUP($S105:$AL105,增益!$A:$A,增益!$R:$R,0))</f>
        <v>2.1</v>
      </c>
      <c r="BR105" s="33" cm="1">
        <f t="array" ref="BR105">IF(VLOOKUP($R105,武学奇术!$A:$ZZ,24,FALSE)=1,100%,MIN(40%,$B$10+VLOOKUP($R105,武学奇术!$A:$ZZ,19,FALSE)+SUM(_xlfn.XLOOKUP($S105:$AL105,增益!$A:$A,增益!$S:$S,0)))+$B$12+SUM(_xlfn.XLOOKUP($S105:$AL105,增益!$A:$A,增益!$V:$V,0)))*IF(VLOOKUP($R105,武学奇术!$A:$ZZ,23,FALSE)=1,0,1)</f>
        <v>0</v>
      </c>
      <c r="BS105" s="33" cm="1">
        <f t="array" ref="BS105">1+$B$14+VLOOKUP($R105,武学奇术!$A:$ZZ,20,FALSE)+SUM(_xlfn.XLOOKUP($S105:$AL105,增益!$A:$A,增益!$T:$T,0))</f>
        <v>1.35</v>
      </c>
      <c r="BT105" s="33">
        <f t="shared" si="52"/>
        <v>1</v>
      </c>
      <c r="BU105" s="33">
        <f t="shared" si="53"/>
        <v>0</v>
      </c>
      <c r="BV105" s="33">
        <f>IF(VLOOKUP($R105,武学奇术!$A:$ZZ,22,FALSE)=1,0,(1-$BO105))*(1-$BR105)</f>
        <v>0</v>
      </c>
      <c r="BW105" s="33" cm="1">
        <f t="array" ref="BW105">SUM(_xlfn.XLOOKUP($S105:$AL105,增益!$A:$A,增益!$W:$W,0))+$I$5</f>
        <v>0.11</v>
      </c>
      <c r="BX105" s="33" cm="1">
        <f t="array" ref="BX105">VLOOKUP($R105,武学奇术!$A:$ZZ,32,FALSE)+SUM(_xlfn.XLOOKUP($S105:$AL105,增益!$A:$A,增益!$X:$X,0))</f>
        <v>0</v>
      </c>
    </row>
    <row r="106" spans="1:76">
      <c r="A106" s="4" t="s">
        <v>189</v>
      </c>
      <c r="B106" s="4">
        <v>0.8</v>
      </c>
      <c r="C106" s="47"/>
      <c r="E106" s="47" t="s">
        <v>79</v>
      </c>
      <c r="L106" s="46">
        <f t="shared" si="54"/>
        <v>51712.8793702407</v>
      </c>
      <c r="M106" s="46">
        <f>((($AT106+$AU106)/2*$AN106+$AO106)*(1+$AV106)*(1+$AW106)+(($AY106+$AZ106)/2*IF($G$1="鸣金",$AP106,$AN106)+IF($G$1="鸣金",$AQ106*1.5,0))*(1+$BA106)*(1+$BB106)+(($BC106+$BD106)/2*IF($G$1="裂石",$AP106,$AN106)+IF($G$1="裂石",$AQ106*1.5,0))*(1+$BE106)*(1+$BF106)+(($BG106+$BH106)/2*IF($G$1="牵丝",$AP106,$AN106)+IF($G$1="牵丝",$AQ106*1.5,0))*(1+$BI106)*(1+$BJ106)+(($BK106+$BL106)/2*IF($G$1="破竹",$AP106,$AN106)+IF($G$1="破竹",$AQ106*1.5,0))*(1+$BM106)*(1+$BN106))*(1+$AR106)*$BQ106*$Q106*(1+IF(VLOOKUP($R106,武学奇术!$A:$ZZ,30,FALSE)="蓄力技",$B$21,0))*(1+IF(VLOOKUP($R106,武学奇术!$A:$ZZ,30,FALSE)="派生技",$B$20,0))*(1+$BW106)*(1+$BX106)</f>
        <v>51712.8793702407</v>
      </c>
      <c r="N106" s="46">
        <f>(($AU106*$AN106+$AO106)*(1+$AV106)*(1+$AW106)+($AZ106*IF($G$1="鸣金",$AP106,$AN106)+IF($G$1="鸣金",$AQ106*1.5,0))*(1+$BA106)*(1+$BB106)+($BD106*IF($G$1="裂石",$AP106,$AN106)+IF($G$1="裂石",$AQ106*1.5,0))*(1+$BE106)*(1+$BF106)+($BH106*IF($G$1="牵丝",$AP106,$AN106)+IF($G$1="牵丝",$AQ106*1.5,0))*(1+$BI106)*(1+$BJ106)+($BL106*IF($G$1="破竹",$AP106,$AN106)+IF($G$1="破竹",$AQ106*1.5,0))*(1+$BM106)*(1+$BN106))*(1+$AR106)*$BS106*$Q106*(1+IF(VLOOKUP($R106,武学奇术!$A:$ZZ,30,FALSE)="蓄力技",$B$21,0))*(1+IF(VLOOKUP($R106,武学奇术!$A:$ZZ,30,FALSE)="派生技",$B$20,0))*(1+$BW106)*(1+$BX106)</f>
        <v>37746.4144100896</v>
      </c>
      <c r="O106" s="46">
        <f>((($AT106+$AU106)/2*$AN106+$AO106)*(1+$AV106)*(1+$AW106)+(($AY106+$AZ106)/2*IF($G$1="鸣金",$AP106,$AN106)+IF($G$1="鸣金",$AQ106*1.5,0))*(1+$BA106)*(1+$BB106)+(($BC106+$BD106)/2*IF($G$1="裂石",$AP106,$AN106)+IF($G$1="裂石",$AQ106*1.5,0))*(1+$BE106)*(1+$BF106)+(($BG106+$BH106)/2*IF($G$1="牵丝",$AP106,$AN106)+IF($G$1="牵丝",$AQ106*1.5,0))*(1+$BI106)*(1+$BJ106)+(($BK106+$BL106)/2*IF($G$1="破竹",$AP106,$AN106)+IF($G$1="破竹",$AQ106*1.5,0))*(1+$BM106)*(1+$BN106))*(1+$AR106)*$Q106*(1+IF(VLOOKUP($R106,武学奇术!$A:$ZZ,30,FALSE)="蓄力技",$B$21,0))*(1+IF(VLOOKUP($R106,武学奇术!$A:$ZZ,30,FALSE)="派生技",$B$20,0))*(1+$BW106)*(1+$BX106)</f>
        <v>24625.1806524956</v>
      </c>
      <c r="P106" s="46">
        <f>((($AT106*$AN106+$AO106)*(1+$AV106)*(1+$AW106)+($AY106*IF($G$1="鸣金",$AP106,$AN106)+IF($G$1="鸣金",$AQ106*1.5,0))*(1+$BA106)*(1+$BB106)+($BC106*IF($G$1="裂石",$AP106,$AN106)+IF($G$1="裂石",$AQ106*1.5,0))*(1+$BE106)*(1+$BF106)+($BG106*IF($G$1="牵丝",$AP106,$AN106)+IF($G$1="牵丝",$AQ106*1.5,0))*(1+$BI106)*(1+$BJ106)+($BK106*IF($G$1="破竹",$AP106,$AN106)+IF($G$1="破竹",$AQ106*1.5,0))*(1+$BM106)*(1+$BN106))*(1+$AR106))*$Q106*(1+IF(VLOOKUP($R106,武学奇术!$A:$ZZ,30,FALSE)="蓄力技",$B$21,0))*(1+IF(VLOOKUP($R106,武学奇术!$A:$ZZ,30,FALSE)="派生技",$B$20,0))*(1+$BW106)*(1+$BX106)</f>
        <v>21290.0543345544</v>
      </c>
      <c r="Q106" s="47">
        <f t="shared" ref="Q106:Q108" si="55">IF($E$24="陌刀",2,0)</f>
        <v>2</v>
      </c>
      <c r="R106" s="48" t="s">
        <v>154</v>
      </c>
      <c r="S106" s="48" t="s">
        <v>99</v>
      </c>
      <c r="T106" s="48" t="s">
        <v>182</v>
      </c>
      <c r="U106" s="48" t="s">
        <v>79</v>
      </c>
      <c r="V106" s="48" t="s">
        <v>90</v>
      </c>
      <c r="W106" s="48" t="s">
        <v>141</v>
      </c>
      <c r="X106" s="48" t="s">
        <v>145</v>
      </c>
      <c r="Y106" s="48" t="s">
        <v>74</v>
      </c>
      <c r="Z106" s="48" t="s">
        <v>80</v>
      </c>
      <c r="AA106" s="48" t="s">
        <v>80</v>
      </c>
      <c r="AB106" s="48" t="s">
        <v>80</v>
      </c>
      <c r="AC106" s="48" t="s">
        <v>80</v>
      </c>
      <c r="AD106" s="48" t="s">
        <v>80</v>
      </c>
      <c r="AE106" s="48" t="s">
        <v>82</v>
      </c>
      <c r="AF106" s="48" t="s">
        <v>83</v>
      </c>
      <c r="AG106" s="48" t="s">
        <v>84</v>
      </c>
      <c r="AH106" s="48" t="s">
        <v>80</v>
      </c>
      <c r="AI106" s="48" t="s">
        <v>80</v>
      </c>
      <c r="AJ106" s="48" t="s">
        <v>80</v>
      </c>
      <c r="AK106" s="48" t="s">
        <v>80</v>
      </c>
      <c r="AL106" s="48" t="s">
        <v>85</v>
      </c>
      <c r="AM106" t="str">
        <f>VLOOKUP($R106,武学奇术!$A:$ZZ,25,FALSE)</f>
        <v>陌刀</v>
      </c>
      <c r="AN106" s="33">
        <f>VLOOKUP($R106,武学奇术!$A:$ZZ,26,FALSE)</f>
        <v>0.525</v>
      </c>
      <c r="AO106" s="34">
        <f>VLOOKUP($R106,武学奇术!$A:$ZZ,27,FALSE)*(1+IF(OR($AM106=$F$4,$AM106=$F$5),$B$22,0))</f>
        <v>0</v>
      </c>
      <c r="AP106" s="33">
        <f>VLOOKUP($R106,武学奇术!$A:$ZZ,28,FALSE)</f>
        <v>0.7875</v>
      </c>
      <c r="AQ106" s="34">
        <f>VLOOKUP($R106,武学奇术!$A:$ZZ,29,FALSE)*(1+IF(OR($AM106=$F$4,$AM106=$F$5),$B$22,0))</f>
        <v>0</v>
      </c>
      <c r="AR106" s="33" cm="1">
        <f t="array" ref="AR106">$G$3+IFERROR(VLOOKUP($AM106,$F$4:$G$7,2,FALSE),0)+VLOOKUP($R106,武学奇术!$A:$ZZ,2,FALSE)+SUM(_xlfn.XLOOKUP($S106:$AL106,增益!$A:$A,增益!$B:$B,0))</f>
        <v>0.6943</v>
      </c>
      <c r="AS106" s="33" cm="1">
        <f t="array" ref="AS106">VLOOKUP($R106,武学奇术!$A:$ZZ,5,FALSE)+SUM(_xlfn.XLOOKUP($S106:$AL106,增益!$A:$A,增益!$E:$E,0))</f>
        <v>0</v>
      </c>
      <c r="AT106" cm="1">
        <f t="array" ref="AT106">$D$10*(1+$AS106)+VLOOKUP($R106,武学奇术!$A:$ZZ,3,FALSE)+SUM(_xlfn.XLOOKUP($S106:$AL106,增益!$A:$A,增益!$C:$C,0))-$I$2</f>
        <v>4094.7</v>
      </c>
      <c r="AU106" cm="1">
        <f t="array" ref="AU106">$E$10*(1+$AS106)+VLOOKUP($R106,武学奇术!$A:$ZZ,4,FALSE)+SUM(_xlfn.XLOOKUP($S106:$AL106,增益!$A:$A,增益!$D:$D,0))-$I$2</f>
        <v>4094.7</v>
      </c>
      <c r="AV106" s="40" cm="1">
        <f t="array" ref="AV106">IF($F$10-$I$3+VLOOKUP($R106,武学奇术!$A:$ZZ,6,FALSE)+SUM(_xlfn.XLOOKUP($S106:$AL106,增益!$A:$A,增益!$F:$F,0))&gt;0,($F$10-$I$3+VLOOKUP($R106,武学奇术!$A:$ZZ,6,FALSE)+SUM(_xlfn.XLOOKUP($S106:$AL106,增益!$A:$A,增益!$F:$F,0)))/200,($F$10-$I$3+VLOOKUP($R106,武学奇术!$A:$ZZ,6,FALSE)+SUM(_xlfn.XLOOKUP($S106:$AL106,增益!$A:$A,增益!$F:$F,0)))/100)</f>
        <v>0.4384</v>
      </c>
      <c r="AW106" s="40" cm="1">
        <f t="array" ref="AW106">$G$10+VLOOKUP($R106,武学奇术!$A:$ZZ,7,FALSE)+SUM(_xlfn.XLOOKUP($S106:$AL106,增益!$A:$A,增益!$G:$G,0))</f>
        <v>0.14</v>
      </c>
      <c r="AX106" s="33" cm="1">
        <f t="array" ref="AX106">VLOOKUP($R106,武学奇术!$A:$ZZ,8,FALSE)+SUM(_xlfn.XLOOKUP($S106:$AL106,增益!$A:$A,增益!$H:$H,0))</f>
        <v>0</v>
      </c>
      <c r="AY106">
        <f t="shared" si="44"/>
        <v>0</v>
      </c>
      <c r="AZ106">
        <f t="shared" si="45"/>
        <v>0</v>
      </c>
      <c r="BA106" s="40" cm="1">
        <f t="array" ref="BA106">IF($F$11-$I$4+VLOOKUP($R106,武学奇术!$A:$ZZ,9,FALSE)+SUM(_xlfn.XLOOKUP($S106:$AL106,增益!$A:$A,增益!$I:$I,0))&gt;0,($F$11-$I$4+VLOOKUP($R106,武学奇术!$A:$ZZ,9,FALSE)+SUM(_xlfn.XLOOKUP($S106:$AL106,增益!$A:$A,增益!$I:$I,0)))/200,($F$11-$I$4+VLOOKUP($R106,武学奇术!$A:$ZZ,9,FALSE)+SUM(_xlfn.XLOOKUP($S106:$AL106,增益!$A:$A,增益!$I:$I,0)))/100)</f>
        <v>-0.14</v>
      </c>
      <c r="BB106" s="40" cm="1">
        <f t="array" ref="BB106">$G$11+VLOOKUP($R106,武学奇术!$A:$ZZ,10,FALSE)+SUM(_xlfn.XLOOKUP($S106:$AL106,增益!$A:$A,增益!$J:$J,0))</f>
        <v>0.02</v>
      </c>
      <c r="BC106">
        <f t="shared" si="46"/>
        <v>640.3</v>
      </c>
      <c r="BD106">
        <f t="shared" si="47"/>
        <v>1770.1</v>
      </c>
      <c r="BE106" s="40" cm="1">
        <f t="array" ref="BE106">IF($F$12-$I$4+VLOOKUP($R106,武学奇术!$A:$ZZ,11,FALSE)+SUM(_xlfn.XLOOKUP($S106:$AL106,增益!$A:$A,增益!$K:$K,0))&gt;0,($F$12-$I$4+VLOOKUP($R106,武学奇术!$A:$ZZ,11,FALSE)+SUM(_xlfn.XLOOKUP($S106:$AL106,增益!$A:$A,增益!$K:$K,0)))/200,($F$12-$I$4+VLOOKUP($R106,武学奇术!$A:$ZZ,11,FALSE)+SUM(_xlfn.XLOOKUP($S106:$AL106,增益!$A:$A,增益!$K:$K,0)))/100)</f>
        <v>0.17</v>
      </c>
      <c r="BF106" s="40" cm="1">
        <f t="array" ref="BF106">$G$12+VLOOKUP($R106,武学奇术!$A:$ZZ,12,FALSE)+SUM(_xlfn.XLOOKUP($S106:$AL106,增益!$A:$A,增益!$L:$L,0))</f>
        <v>0.29</v>
      </c>
      <c r="BG106">
        <f t="shared" si="48"/>
        <v>0</v>
      </c>
      <c r="BH106">
        <f t="shared" si="49"/>
        <v>0</v>
      </c>
      <c r="BI106" s="40" cm="1">
        <f t="array" ref="BI106">IF($F$13-$I$4+VLOOKUP($R106,武学奇术!$A:$ZZ,13,FALSE)+SUM(_xlfn.XLOOKUP($S106:$AL106,增益!$A:$A,增益!$M:$M,0))&gt;0,($F$13-$I$4+VLOOKUP($R106,武学奇术!$A:$ZZ,13,FALSE)+SUM(_xlfn.XLOOKUP($S106:$AL106,增益!$A:$A,增益!$K:$K,0)))/200,($F$13-$I$4+VLOOKUP($R106,武学奇术!$A:$ZZ,13,FALSE)+SUM(_xlfn.XLOOKUP($S106:$AL106,增益!$A:$A,增益!$M:$M,0)))/100)</f>
        <v>-0.14</v>
      </c>
      <c r="BJ106" s="40" cm="1">
        <f t="array" ref="BJ106">$G$13+VLOOKUP($R106,武学奇术!$A:$ZZ,14,FALSE)+SUM(_xlfn.XLOOKUP($S106:$AL106,增益!$A:$A,增益!$N:$N,0))</f>
        <v>0.02</v>
      </c>
      <c r="BK106">
        <f t="shared" si="50"/>
        <v>0</v>
      </c>
      <c r="BL106">
        <f t="shared" si="51"/>
        <v>0</v>
      </c>
      <c r="BM106" s="40" cm="1">
        <f t="array" ref="BM106">IF($F$14-$I$4+VLOOKUP($R106,武学奇术!$A:$ZZ,15,FALSE)+SUM(_xlfn.XLOOKUP($S106:$AL106,增益!$A:$A,增益!$O:$O,0))&gt;0,($F$14-$I$4+VLOOKUP($R106,武学奇术!$A:$ZZ,15,FALSE)+SUM(_xlfn.XLOOKUP($S106:$AL106,增益!$A:$A,增益!$O:$O,0)))/200,($F$14-$I$4+VLOOKUP($R106,武学奇术!$A:$ZZ,15,FALSE)+SUM(_xlfn.XLOOKUP($S106:$AL106,增益!$A:$A,增益!$O:$O,0)))/100)</f>
        <v>-0.14</v>
      </c>
      <c r="BN106" s="40" cm="1">
        <f t="array" ref="BN106">$G$14+VLOOKUP($R106,武学奇术!$A:$ZZ,16,FALSE)+SUM(_xlfn.XLOOKUP($S106:$AL106,增益!$A:$A,增益!$P:$P,0))</f>
        <v>0.02</v>
      </c>
      <c r="BO106" s="33">
        <f>MIN(IF(VLOOKUP($R106,武学奇术!$A:$ZZ,23,FALSE)=1,100%,$B$8),100%)</f>
        <v>1</v>
      </c>
      <c r="BP106" s="33" cm="1">
        <f t="array" ref="BP106">IF(VLOOKUP($R106,武学奇术!$A:$ZZ,23,FALSE)=1,100%,MIN(80%,$B$9+VLOOKUP($R106,武学奇术!$A:$ZZ,17,FALSE)+SUM(_xlfn.XLOOKUP($S106:$AL106,增益!$A:$A,增益!$Q:$Q,0)))+$B$11+SUM(_xlfn.XLOOKUP($S106:$AL106,增益!$A:$A,增益!$U:$U,0)))*IF(VLOOKUP($R106,武学奇术!$A:$ZZ,24,FALSE)=1,0,1)</f>
        <v>1</v>
      </c>
      <c r="BQ106" s="33" cm="1">
        <f t="array" ref="BQ106">1+$B$13+VLOOKUP($R106,武学奇术!$A:$ZZ,18,FALSE)+SUM(_xlfn.XLOOKUP($S106:$AL106,增益!$A:$A,增益!$R:$R,0))</f>
        <v>2.1</v>
      </c>
      <c r="BR106" s="33" cm="1">
        <f t="array" ref="BR106">IF(VLOOKUP($R106,武学奇术!$A:$ZZ,24,FALSE)=1,100%,MIN(40%,$B$10+VLOOKUP($R106,武学奇术!$A:$ZZ,19,FALSE)+SUM(_xlfn.XLOOKUP($S106:$AL106,增益!$A:$A,增益!$S:$S,0)))+$B$12+SUM(_xlfn.XLOOKUP($S106:$AL106,增益!$A:$A,增益!$V:$V,0)))*IF(VLOOKUP($R106,武学奇术!$A:$ZZ,23,FALSE)=1,0,1)</f>
        <v>0</v>
      </c>
      <c r="BS106" s="33" cm="1">
        <f t="array" ref="BS106">1+$B$14+VLOOKUP($R106,武学奇术!$A:$ZZ,20,FALSE)+SUM(_xlfn.XLOOKUP($S106:$AL106,增益!$A:$A,增益!$T:$T,0))</f>
        <v>1.35</v>
      </c>
      <c r="BT106" s="33">
        <f t="shared" si="52"/>
        <v>1</v>
      </c>
      <c r="BU106" s="33">
        <f t="shared" si="53"/>
        <v>0</v>
      </c>
      <c r="BV106" s="33">
        <f>IF(VLOOKUP($R106,武学奇术!$A:$ZZ,22,FALSE)=1,0,(1-$BO106))*(1-$BR106)</f>
        <v>0</v>
      </c>
      <c r="BW106" s="33" cm="1">
        <f t="array" ref="BW106">SUM(_xlfn.XLOOKUP($S106:$AL106,增益!$A:$A,增益!$W:$W,0))+$I$5</f>
        <v>0.11</v>
      </c>
      <c r="BX106" s="33" cm="1">
        <f t="array" ref="BX106">VLOOKUP($R106,武学奇术!$A:$ZZ,32,FALSE)+SUM(_xlfn.XLOOKUP($S106:$AL106,增益!$A:$A,增益!$X:$X,0))</f>
        <v>0</v>
      </c>
    </row>
    <row r="107" spans="1:76">
      <c r="A107" s="4" t="s">
        <v>190</v>
      </c>
      <c r="B107" s="4">
        <v>1.1</v>
      </c>
      <c r="C107" s="47"/>
      <c r="E107" s="47"/>
      <c r="L107" s="46">
        <f t="shared" si="54"/>
        <v>93083.1828664332</v>
      </c>
      <c r="M107" s="46">
        <f>((($AT107+$AU107)/2*$AN107+$AO107)*(1+$AV107)*(1+$AW107)+(($AY107+$AZ107)/2*IF($G$1="鸣金",$AP107,$AN107)+IF($G$1="鸣金",$AQ107*1.5,0))*(1+$BA107)*(1+$BB107)+(($BC107+$BD107)/2*IF($G$1="裂石",$AP107,$AN107)+IF($G$1="裂石",$AQ107*1.5,0))*(1+$BE107)*(1+$BF107)+(($BG107+$BH107)/2*IF($G$1="牵丝",$AP107,$AN107)+IF($G$1="牵丝",$AQ107*1.5,0))*(1+$BI107)*(1+$BJ107)+(($BK107+$BL107)/2*IF($G$1="破竹",$AP107,$AN107)+IF($G$1="破竹",$AQ107*1.5,0))*(1+$BM107)*(1+$BN107))*(1+$AR107)*$BQ107*$Q107*(1+IF(VLOOKUP($R107,武学奇术!$A:$ZZ,30,FALSE)="蓄力技",$B$21,0))*(1+IF(VLOOKUP($R107,武学奇术!$A:$ZZ,30,FALSE)="派生技",$B$20,0))*(1+$BW107)*(1+$BX107)</f>
        <v>93083.1828664332</v>
      </c>
      <c r="N107" s="46">
        <f>(($AU107*$AN107+$AO107)*(1+$AV107)*(1+$AW107)+($AZ107*IF($G$1="鸣金",$AP107,$AN107)+IF($G$1="鸣金",$AQ107*1.5,0))*(1+$BA107)*(1+$BB107)+($BD107*IF($G$1="裂石",$AP107,$AN107)+IF($G$1="裂石",$AQ107*1.5,0))*(1+$BE107)*(1+$BF107)+($BH107*IF($G$1="牵丝",$AP107,$AN107)+IF($G$1="牵丝",$AQ107*1.5,0))*(1+$BI107)*(1+$BJ107)+($BL107*IF($G$1="破竹",$AP107,$AN107)+IF($G$1="破竹",$AQ107*1.5,0))*(1+$BM107)*(1+$BN107))*(1+$AR107)*$BS107*$Q107*(1+IF(VLOOKUP($R107,武学奇术!$A:$ZZ,30,FALSE)="蓄力技",$B$21,0))*(1+IF(VLOOKUP($R107,武学奇术!$A:$ZZ,30,FALSE)="派生技",$B$20,0))*(1+$BW107)*(1+$BX107)</f>
        <v>67943.5459381612</v>
      </c>
      <c r="O107" s="46">
        <f>((($AT107+$AU107)/2*$AN107+$AO107)*(1+$AV107)*(1+$AW107)+(($AY107+$AZ107)/2*IF($G$1="鸣金",$AP107,$AN107)+IF($G$1="鸣金",$AQ107*1.5,0))*(1+$BA107)*(1+$BB107)+(($BC107+$BD107)/2*IF($G$1="裂石",$AP107,$AN107)+IF($G$1="裂石",$AQ107*1.5,0))*(1+$BE107)*(1+$BF107)+(($BG107+$BH107)/2*IF($G$1="牵丝",$AP107,$AN107)+IF($G$1="牵丝",$AQ107*1.5,0))*(1+$BI107)*(1+$BJ107)+(($BK107+$BL107)/2*IF($G$1="破竹",$AP107,$AN107)+IF($G$1="破竹",$AQ107*1.5,0))*(1+$BM107)*(1+$BN107))*(1+$AR107)*$Q107*(1+IF(VLOOKUP($R107,武学奇术!$A:$ZZ,30,FALSE)="蓄力技",$B$21,0))*(1+IF(VLOOKUP($R107,武学奇术!$A:$ZZ,30,FALSE)="派生技",$B$20,0))*(1+$BW107)*(1+$BX107)</f>
        <v>44325.325174492</v>
      </c>
      <c r="P107" s="46">
        <f>((($AT107*$AN107+$AO107)*(1+$AV107)*(1+$AW107)+($AY107*IF($G$1="鸣金",$AP107,$AN107)+IF($G$1="鸣金",$AQ107*1.5,0))*(1+$BA107)*(1+$BB107)+($BC107*IF($G$1="裂石",$AP107,$AN107)+IF($G$1="裂石",$AQ107*1.5,0))*(1+$BE107)*(1+$BF107)+($BG107*IF($G$1="牵丝",$AP107,$AN107)+IF($G$1="牵丝",$AQ107*1.5,0))*(1+$BI107)*(1+$BJ107)+($BK107*IF($G$1="破竹",$AP107,$AN107)+IF($G$1="破竹",$AQ107*1.5,0))*(1+$BM107)*(1+$BN107))*(1+$AR107))*$Q107*(1+IF(VLOOKUP($R107,武学奇术!$A:$ZZ,30,FALSE)="蓄力技",$B$21,0))*(1+IF(VLOOKUP($R107,武学奇术!$A:$ZZ,30,FALSE)="派生技",$B$20,0))*(1+$BW107)*(1+$BX107)</f>
        <v>38322.0978021979</v>
      </c>
      <c r="Q107" s="47">
        <f t="shared" si="55"/>
        <v>2</v>
      </c>
      <c r="R107" s="48" t="s">
        <v>144</v>
      </c>
      <c r="S107" s="48" t="s">
        <v>99</v>
      </c>
      <c r="T107" s="48" t="s">
        <v>182</v>
      </c>
      <c r="U107" s="48" t="s">
        <v>79</v>
      </c>
      <c r="V107" s="48" t="s">
        <v>90</v>
      </c>
      <c r="W107" s="48" t="s">
        <v>141</v>
      </c>
      <c r="X107" s="48" t="s">
        <v>145</v>
      </c>
      <c r="Y107" s="48" t="s">
        <v>74</v>
      </c>
      <c r="Z107" s="48" t="s">
        <v>80</v>
      </c>
      <c r="AA107" s="48" t="s">
        <v>80</v>
      </c>
      <c r="AB107" s="48" t="s">
        <v>80</v>
      </c>
      <c r="AC107" s="48" t="s">
        <v>80</v>
      </c>
      <c r="AD107" s="48" t="s">
        <v>80</v>
      </c>
      <c r="AE107" s="48" t="s">
        <v>82</v>
      </c>
      <c r="AF107" s="48" t="s">
        <v>83</v>
      </c>
      <c r="AG107" s="48" t="s">
        <v>84</v>
      </c>
      <c r="AH107" s="48" t="s">
        <v>80</v>
      </c>
      <c r="AI107" s="48" t="s">
        <v>80</v>
      </c>
      <c r="AJ107" s="48" t="s">
        <v>80</v>
      </c>
      <c r="AK107" s="48" t="s">
        <v>80</v>
      </c>
      <c r="AL107" s="48" t="s">
        <v>85</v>
      </c>
      <c r="AM107" t="str">
        <f>VLOOKUP($R107,武学奇术!$A:$ZZ,25,FALSE)</f>
        <v>陌刀</v>
      </c>
      <c r="AN107" s="33">
        <f>VLOOKUP($R107,武学奇术!$A:$ZZ,26,FALSE)</f>
        <v>0.945</v>
      </c>
      <c r="AO107" s="34">
        <f>VLOOKUP($R107,武学奇术!$A:$ZZ,27,FALSE)*(1+IF(OR($AM107=$F$4,$AM107=$F$5),$B$22,0))</f>
        <v>0</v>
      </c>
      <c r="AP107" s="33">
        <f>VLOOKUP($R107,武学奇术!$A:$ZZ,28,FALSE)</f>
        <v>1.4175</v>
      </c>
      <c r="AQ107" s="34">
        <f>VLOOKUP($R107,武学奇术!$A:$ZZ,29,FALSE)*(1+IF(OR($AM107=$F$4,$AM107=$F$5),$B$22,0))</f>
        <v>0</v>
      </c>
      <c r="AR107" s="33" cm="1">
        <f t="array" ref="AR107">$G$3+IFERROR(VLOOKUP($AM107,$F$4:$G$7,2,FALSE),0)+VLOOKUP($R107,武学奇术!$A:$ZZ,2,FALSE)+SUM(_xlfn.XLOOKUP($S107:$AL107,增益!$A:$A,增益!$B:$B,0))</f>
        <v>0.6943</v>
      </c>
      <c r="AS107" s="33" cm="1">
        <f t="array" ref="AS107">VLOOKUP($R107,武学奇术!$A:$ZZ,5,FALSE)+SUM(_xlfn.XLOOKUP($S107:$AL107,增益!$A:$A,增益!$E:$E,0))</f>
        <v>0</v>
      </c>
      <c r="AT107" cm="1">
        <f t="array" ref="AT107">$D$10*(1+$AS107)+VLOOKUP($R107,武学奇术!$A:$ZZ,3,FALSE)+SUM(_xlfn.XLOOKUP($S107:$AL107,增益!$A:$A,增益!$C:$C,0))-$I$2</f>
        <v>4094.7</v>
      </c>
      <c r="AU107" cm="1">
        <f t="array" ref="AU107">$E$10*(1+$AS107)+VLOOKUP($R107,武学奇术!$A:$ZZ,4,FALSE)+SUM(_xlfn.XLOOKUP($S107:$AL107,增益!$A:$A,增益!$D:$D,0))-$I$2</f>
        <v>4094.7</v>
      </c>
      <c r="AV107" s="40" cm="1">
        <f t="array" ref="AV107">IF($F$10-$I$3+VLOOKUP($R107,武学奇术!$A:$ZZ,6,FALSE)+SUM(_xlfn.XLOOKUP($S107:$AL107,增益!$A:$A,增益!$F:$F,0))&gt;0,($F$10-$I$3+VLOOKUP($R107,武学奇术!$A:$ZZ,6,FALSE)+SUM(_xlfn.XLOOKUP($S107:$AL107,增益!$A:$A,增益!$F:$F,0)))/200,($F$10-$I$3+VLOOKUP($R107,武学奇术!$A:$ZZ,6,FALSE)+SUM(_xlfn.XLOOKUP($S107:$AL107,增益!$A:$A,增益!$F:$F,0)))/100)</f>
        <v>0.4384</v>
      </c>
      <c r="AW107" s="40" cm="1">
        <f t="array" ref="AW107">$G$10+VLOOKUP($R107,武学奇术!$A:$ZZ,7,FALSE)+SUM(_xlfn.XLOOKUP($S107:$AL107,增益!$A:$A,增益!$G:$G,0))</f>
        <v>0.14</v>
      </c>
      <c r="AX107" s="33" cm="1">
        <f t="array" ref="AX107">VLOOKUP($R107,武学奇术!$A:$ZZ,8,FALSE)+SUM(_xlfn.XLOOKUP($S107:$AL107,增益!$A:$A,增益!$H:$H,0))</f>
        <v>0</v>
      </c>
      <c r="AY107">
        <f t="shared" si="44"/>
        <v>0</v>
      </c>
      <c r="AZ107">
        <f t="shared" si="45"/>
        <v>0</v>
      </c>
      <c r="BA107" s="40" cm="1">
        <f t="array" ref="BA107">IF($F$11-$I$4+VLOOKUP($R107,武学奇术!$A:$ZZ,9,FALSE)+SUM(_xlfn.XLOOKUP($S107:$AL107,增益!$A:$A,增益!$I:$I,0))&gt;0,($F$11-$I$4+VLOOKUP($R107,武学奇术!$A:$ZZ,9,FALSE)+SUM(_xlfn.XLOOKUP($S107:$AL107,增益!$A:$A,增益!$I:$I,0)))/200,($F$11-$I$4+VLOOKUP($R107,武学奇术!$A:$ZZ,9,FALSE)+SUM(_xlfn.XLOOKUP($S107:$AL107,增益!$A:$A,增益!$I:$I,0)))/100)</f>
        <v>-0.14</v>
      </c>
      <c r="BB107" s="40" cm="1">
        <f t="array" ref="BB107">$G$11+VLOOKUP($R107,武学奇术!$A:$ZZ,10,FALSE)+SUM(_xlfn.XLOOKUP($S107:$AL107,增益!$A:$A,增益!$J:$J,0))</f>
        <v>0.02</v>
      </c>
      <c r="BC107">
        <f t="shared" si="46"/>
        <v>640.3</v>
      </c>
      <c r="BD107">
        <f t="shared" si="47"/>
        <v>1770.1</v>
      </c>
      <c r="BE107" s="40" cm="1">
        <f t="array" ref="BE107">IF($F$12-$I$4+VLOOKUP($R107,武学奇术!$A:$ZZ,11,FALSE)+SUM(_xlfn.XLOOKUP($S107:$AL107,增益!$A:$A,增益!$K:$K,0))&gt;0,($F$12-$I$4+VLOOKUP($R107,武学奇术!$A:$ZZ,11,FALSE)+SUM(_xlfn.XLOOKUP($S107:$AL107,增益!$A:$A,增益!$K:$K,0)))/200,($F$12-$I$4+VLOOKUP($R107,武学奇术!$A:$ZZ,11,FALSE)+SUM(_xlfn.XLOOKUP($S107:$AL107,增益!$A:$A,增益!$K:$K,0)))/100)</f>
        <v>0.17</v>
      </c>
      <c r="BF107" s="40" cm="1">
        <f t="array" ref="BF107">$G$12+VLOOKUP($R107,武学奇术!$A:$ZZ,12,FALSE)+SUM(_xlfn.XLOOKUP($S107:$AL107,增益!$A:$A,增益!$L:$L,0))</f>
        <v>0.29</v>
      </c>
      <c r="BG107">
        <f t="shared" si="48"/>
        <v>0</v>
      </c>
      <c r="BH107">
        <f t="shared" si="49"/>
        <v>0</v>
      </c>
      <c r="BI107" s="40" cm="1">
        <f t="array" ref="BI107">IF($F$13-$I$4+VLOOKUP($R107,武学奇术!$A:$ZZ,13,FALSE)+SUM(_xlfn.XLOOKUP($S107:$AL107,增益!$A:$A,增益!$M:$M,0))&gt;0,($F$13-$I$4+VLOOKUP($R107,武学奇术!$A:$ZZ,13,FALSE)+SUM(_xlfn.XLOOKUP($S107:$AL107,增益!$A:$A,增益!$K:$K,0)))/200,($F$13-$I$4+VLOOKUP($R107,武学奇术!$A:$ZZ,13,FALSE)+SUM(_xlfn.XLOOKUP($S107:$AL107,增益!$A:$A,增益!$M:$M,0)))/100)</f>
        <v>-0.14</v>
      </c>
      <c r="BJ107" s="40" cm="1">
        <f t="array" ref="BJ107">$G$13+VLOOKUP($R107,武学奇术!$A:$ZZ,14,FALSE)+SUM(_xlfn.XLOOKUP($S107:$AL107,增益!$A:$A,增益!$N:$N,0))</f>
        <v>0.02</v>
      </c>
      <c r="BK107">
        <f t="shared" si="50"/>
        <v>0</v>
      </c>
      <c r="BL107">
        <f t="shared" si="51"/>
        <v>0</v>
      </c>
      <c r="BM107" s="40" cm="1">
        <f t="array" ref="BM107">IF($F$14-$I$4+VLOOKUP($R107,武学奇术!$A:$ZZ,15,FALSE)+SUM(_xlfn.XLOOKUP($S107:$AL107,增益!$A:$A,增益!$O:$O,0))&gt;0,($F$14-$I$4+VLOOKUP($R107,武学奇术!$A:$ZZ,15,FALSE)+SUM(_xlfn.XLOOKUP($S107:$AL107,增益!$A:$A,增益!$O:$O,0)))/200,($F$14-$I$4+VLOOKUP($R107,武学奇术!$A:$ZZ,15,FALSE)+SUM(_xlfn.XLOOKUP($S107:$AL107,增益!$A:$A,增益!$O:$O,0)))/100)</f>
        <v>-0.14</v>
      </c>
      <c r="BN107" s="40" cm="1">
        <f t="array" ref="BN107">$G$14+VLOOKUP($R107,武学奇术!$A:$ZZ,16,FALSE)+SUM(_xlfn.XLOOKUP($S107:$AL107,增益!$A:$A,增益!$P:$P,0))</f>
        <v>0.02</v>
      </c>
      <c r="BO107" s="33">
        <f>MIN(IF(VLOOKUP($R107,武学奇术!$A:$ZZ,23,FALSE)=1,100%,$B$8),100%)</f>
        <v>1</v>
      </c>
      <c r="BP107" s="33" cm="1">
        <f t="array" ref="BP107">IF(VLOOKUP($R107,武学奇术!$A:$ZZ,23,FALSE)=1,100%,MIN(80%,$B$9+VLOOKUP($R107,武学奇术!$A:$ZZ,17,FALSE)+SUM(_xlfn.XLOOKUP($S107:$AL107,增益!$A:$A,增益!$Q:$Q,0)))+$B$11+SUM(_xlfn.XLOOKUP($S107:$AL107,增益!$A:$A,增益!$U:$U,0)))*IF(VLOOKUP($R107,武学奇术!$A:$ZZ,24,FALSE)=1,0,1)</f>
        <v>1</v>
      </c>
      <c r="BQ107" s="33" cm="1">
        <f t="array" ref="BQ107">1+$B$13+VLOOKUP($R107,武学奇术!$A:$ZZ,18,FALSE)+SUM(_xlfn.XLOOKUP($S107:$AL107,增益!$A:$A,增益!$R:$R,0))</f>
        <v>2.1</v>
      </c>
      <c r="BR107" s="33" cm="1">
        <f t="array" ref="BR107">IF(VLOOKUP($R107,武学奇术!$A:$ZZ,24,FALSE)=1,100%,MIN(40%,$B$10+VLOOKUP($R107,武学奇术!$A:$ZZ,19,FALSE)+SUM(_xlfn.XLOOKUP($S107:$AL107,增益!$A:$A,增益!$S:$S,0)))+$B$12+SUM(_xlfn.XLOOKUP($S107:$AL107,增益!$A:$A,增益!$V:$V,0)))*IF(VLOOKUP($R107,武学奇术!$A:$ZZ,23,FALSE)=1,0,1)</f>
        <v>0</v>
      </c>
      <c r="BS107" s="33" cm="1">
        <f t="array" ref="BS107">1+$B$14+VLOOKUP($R107,武学奇术!$A:$ZZ,20,FALSE)+SUM(_xlfn.XLOOKUP($S107:$AL107,增益!$A:$A,增益!$T:$T,0))</f>
        <v>1.35</v>
      </c>
      <c r="BT107" s="33">
        <f t="shared" si="52"/>
        <v>1</v>
      </c>
      <c r="BU107" s="33">
        <f t="shared" si="53"/>
        <v>0</v>
      </c>
      <c r="BV107" s="33">
        <f>IF(VLOOKUP($R107,武学奇术!$A:$ZZ,22,FALSE)=1,0,(1-$BO107))*(1-$BR107)</f>
        <v>0</v>
      </c>
      <c r="BW107" s="33" cm="1">
        <f t="array" ref="BW107">SUM(_xlfn.XLOOKUP($S107:$AL107,增益!$A:$A,增益!$W:$W,0))+$I$5</f>
        <v>0.11</v>
      </c>
      <c r="BX107" s="33" cm="1">
        <f t="array" ref="BX107">VLOOKUP($R107,武学奇术!$A:$ZZ,32,FALSE)+SUM(_xlfn.XLOOKUP($S107:$AL107,增益!$A:$A,增益!$X:$X,0))</f>
        <v>0</v>
      </c>
    </row>
    <row r="108" spans="1:76">
      <c r="A108" t="s">
        <v>164</v>
      </c>
      <c r="B108">
        <v>1</v>
      </c>
      <c r="C108" s="47"/>
      <c r="E108" s="47"/>
      <c r="L108" s="46">
        <f t="shared" si="54"/>
        <v>845751.897466227</v>
      </c>
      <c r="M108" s="46">
        <f>((($AT108+$AU108)/2*$AN108+$AO108)*(1+$AV108)*(1+$AW108)+(($AY108+$AZ108)/2*IF($G$1="鸣金",$AP108,$AN108)+IF($G$1="鸣金",$AQ108*1.5,0))*(1+$BA108)*(1+$BB108)+(($BC108+$BD108)/2*IF($G$1="裂石",$AP108,$AN108)+IF($G$1="裂石",$AQ108*1.5,0))*(1+$BE108)*(1+$BF108)+(($BG108+$BH108)/2*IF($G$1="牵丝",$AP108,$AN108)+IF($G$1="牵丝",$AQ108*1.5,0))*(1+$BI108)*(1+$BJ108)+(($BK108+$BL108)/2*IF($G$1="破竹",$AP108,$AN108)+IF($G$1="破竹",$AQ108*1.5,0))*(1+$BM108)*(1+$BN108))*(1+$AR108)*$BQ108*$Q108*(1+IF(VLOOKUP($R108,武学奇术!$A:$ZZ,30,FALSE)="蓄力技",$B$21,0))*(1+IF(VLOOKUP($R108,武学奇术!$A:$ZZ,30,FALSE)="派生技",$B$20,0))*(1+$BW108)*(1+$BX108)</f>
        <v>845751.897466227</v>
      </c>
      <c r="N108" s="46">
        <f>(($AU108*$AN108+$AO108)*(1+$AV108)*(1+$AW108)+($AZ108*IF($G$1="鸣金",$AP108,$AN108)+IF($G$1="鸣金",$AQ108*1.5,0))*(1+$BA108)*(1+$BB108)+($BD108*IF($G$1="裂石",$AP108,$AN108)+IF($G$1="裂石",$AQ108*1.5,0))*(1+$BE108)*(1+$BF108)+($BH108*IF($G$1="牵丝",$AP108,$AN108)+IF($G$1="牵丝",$AQ108*1.5,0))*(1+$BI108)*(1+$BJ108)+($BL108*IF($G$1="破竹",$AP108,$AN108)+IF($G$1="破竹",$AQ108*1.5,0))*(1+$BM108)*(1+$BN108))*(1+$AR108)*$BS108*$Q108*(1+IF(VLOOKUP($R108,武学奇术!$A:$ZZ,30,FALSE)="蓄力技",$B$21,0))*(1+IF(VLOOKUP($R108,武学奇术!$A:$ZZ,30,FALSE)="派生技",$B$20,0))*(1+$BW108)*(1+$BX108)</f>
        <v>608596.538417227</v>
      </c>
      <c r="O108" s="46">
        <f>((($AT108+$AU108)/2*$AN108+$AO108)*(1+$AV108)*(1+$AW108)+(($AY108+$AZ108)/2*IF($G$1="鸣金",$AP108,$AN108)+IF($G$1="鸣金",$AQ108*1.5,0))*(1+$BA108)*(1+$BB108)+(($BC108+$BD108)/2*IF($G$1="裂石",$AP108,$AN108)+IF($G$1="裂石",$AQ108*1.5,0))*(1+$BE108)*(1+$BF108)+(($BG108+$BH108)/2*IF($G$1="牵丝",$AP108,$AN108)+IF($G$1="牵丝",$AQ108*1.5,0))*(1+$BI108)*(1+$BJ108)+(($BK108+$BL108)/2*IF($G$1="破竹",$AP108,$AN108)+IF($G$1="破竹",$AQ108*1.5,0))*(1+$BM108)*(1+$BN108))*(1+$AR108)*$Q108*(1+IF(VLOOKUP($R108,武学奇术!$A:$ZZ,30,FALSE)="蓄力技",$B$21,0))*(1+IF(VLOOKUP($R108,武学奇术!$A:$ZZ,30,FALSE)="派生技",$B$20,0))*(1+$BW108)*(1+$BX108)</f>
        <v>402738.998793441</v>
      </c>
      <c r="P108" s="46">
        <f>((($AT108*$AN108+$AO108)*(1+$AV108)*(1+$AW108)+($AY108*IF($G$1="鸣金",$AP108,$AN108)+IF($G$1="鸣金",$AQ108*1.5,0))*(1+$BA108)*(1+$BB108)+($BC108*IF($G$1="裂石",$AP108,$AN108)+IF($G$1="裂石",$AQ108*1.5,0))*(1+$BE108)*(1+$BF108)+($BG108*IF($G$1="牵丝",$AP108,$AN108)+IF($G$1="牵丝",$AQ108*1.5,0))*(1+$BI108)*(1+$BJ108)+($BK108*IF($G$1="破竹",$AP108,$AN108)+IF($G$1="破竹",$AQ108*1.5,0))*(1+$BM108)*(1+$BN108))*(1+$AR108))*$Q108*(1+IF(VLOOKUP($R108,武学奇术!$A:$ZZ,30,FALSE)="蓄力技",$B$21,0))*(1+IF(VLOOKUP($R108,武学奇术!$A:$ZZ,30,FALSE)="派生技",$B$20,0))*(1+$BW108)*(1+$BX108)</f>
        <v>354665.746907455</v>
      </c>
      <c r="Q108" s="47">
        <f t="shared" si="55"/>
        <v>2</v>
      </c>
      <c r="R108" s="48" t="s">
        <v>148</v>
      </c>
      <c r="S108" s="48" t="s">
        <v>99</v>
      </c>
      <c r="T108" s="48" t="s">
        <v>182</v>
      </c>
      <c r="U108" s="48" t="s">
        <v>79</v>
      </c>
      <c r="V108" s="48" t="s">
        <v>90</v>
      </c>
      <c r="W108" s="48" t="s">
        <v>141</v>
      </c>
      <c r="X108" s="48" t="s">
        <v>145</v>
      </c>
      <c r="Y108" s="48" t="s">
        <v>74</v>
      </c>
      <c r="Z108" s="48" t="s">
        <v>80</v>
      </c>
      <c r="AA108" s="48" t="s">
        <v>80</v>
      </c>
      <c r="AB108" s="48" t="s">
        <v>80</v>
      </c>
      <c r="AC108" s="48" t="s">
        <v>80</v>
      </c>
      <c r="AD108" s="48" t="s">
        <v>80</v>
      </c>
      <c r="AE108" s="48" t="s">
        <v>82</v>
      </c>
      <c r="AF108" s="48" t="s">
        <v>83</v>
      </c>
      <c r="AG108" s="48" t="s">
        <v>84</v>
      </c>
      <c r="AH108" s="48" t="s">
        <v>80</v>
      </c>
      <c r="AI108" s="48" t="s">
        <v>80</v>
      </c>
      <c r="AJ108" s="48" t="s">
        <v>80</v>
      </c>
      <c r="AK108" s="48" t="s">
        <v>80</v>
      </c>
      <c r="AL108" s="48" t="s">
        <v>85</v>
      </c>
      <c r="AM108" t="str">
        <f>VLOOKUP($R108,武学奇术!$A:$ZZ,25,FALSE)</f>
        <v>陌刀</v>
      </c>
      <c r="AN108" s="33">
        <f>VLOOKUP($R108,武学奇术!$A:$ZZ,26,FALSE)</f>
        <v>7.5674</v>
      </c>
      <c r="AO108" s="34">
        <f>VLOOKUP($R108,武学奇术!$A:$ZZ,27,FALSE)*(1+IF(OR($AM108=$F$4,$AM108=$F$5),$B$22,0))</f>
        <v>3348.8</v>
      </c>
      <c r="AP108" s="33">
        <f>VLOOKUP($R108,武学奇术!$A:$ZZ,28,FALSE)</f>
        <v>11.3512</v>
      </c>
      <c r="AQ108" s="34">
        <f>VLOOKUP($R108,武学奇术!$A:$ZZ,29,FALSE)*(1+IF(OR($AM108=$F$4,$AM108=$F$5),$B$22,0))</f>
        <v>1824</v>
      </c>
      <c r="AR108" s="33" cm="1">
        <f t="array" ref="AR108">$G$3+IFERROR(VLOOKUP($AM108,$F$4:$G$7,2,FALSE),0)+VLOOKUP($R108,武学奇术!$A:$ZZ,2,FALSE)+SUM(_xlfn.XLOOKUP($S108:$AL108,增益!$A:$A,增益!$B:$B,0))</f>
        <v>0.6943</v>
      </c>
      <c r="AS108" s="33" cm="1">
        <f t="array" ref="AS108">VLOOKUP($R108,武学奇术!$A:$ZZ,5,FALSE)+SUM(_xlfn.XLOOKUP($S108:$AL108,增益!$A:$A,增益!$E:$E,0))</f>
        <v>0</v>
      </c>
      <c r="AT108" cm="1">
        <f t="array" ref="AT108">$D$10*(1+$AS108)+VLOOKUP($R108,武学奇术!$A:$ZZ,3,FALSE)+SUM(_xlfn.XLOOKUP($S108:$AL108,增益!$A:$A,增益!$C:$C,0))-$I$2</f>
        <v>4094.7</v>
      </c>
      <c r="AU108" cm="1">
        <f t="array" ref="AU108">$E$10*(1+$AS108)+VLOOKUP($R108,武学奇术!$A:$ZZ,4,FALSE)+SUM(_xlfn.XLOOKUP($S108:$AL108,增益!$A:$A,增益!$D:$D,0))-$I$2</f>
        <v>4094.7</v>
      </c>
      <c r="AV108" s="40" cm="1">
        <f t="array" ref="AV108">IF($F$10-$I$3+VLOOKUP($R108,武学奇术!$A:$ZZ,6,FALSE)+SUM(_xlfn.XLOOKUP($S108:$AL108,增益!$A:$A,增益!$F:$F,0))&gt;0,($F$10-$I$3+VLOOKUP($R108,武学奇术!$A:$ZZ,6,FALSE)+SUM(_xlfn.XLOOKUP($S108:$AL108,增益!$A:$A,增益!$F:$F,0)))/200,($F$10-$I$3+VLOOKUP($R108,武学奇术!$A:$ZZ,6,FALSE)+SUM(_xlfn.XLOOKUP($S108:$AL108,增益!$A:$A,增益!$F:$F,0)))/100)</f>
        <v>0.4384</v>
      </c>
      <c r="AW108" s="40" cm="1">
        <f t="array" ref="AW108">$G$10+VLOOKUP($R108,武学奇术!$A:$ZZ,7,FALSE)+SUM(_xlfn.XLOOKUP($S108:$AL108,增益!$A:$A,增益!$G:$G,0))</f>
        <v>0.14</v>
      </c>
      <c r="AX108" s="33" cm="1">
        <f t="array" ref="AX108">VLOOKUP($R108,武学奇术!$A:$ZZ,8,FALSE)+SUM(_xlfn.XLOOKUP($S108:$AL108,增益!$A:$A,增益!$H:$H,0))</f>
        <v>0</v>
      </c>
      <c r="AY108">
        <f t="shared" si="44"/>
        <v>0</v>
      </c>
      <c r="AZ108">
        <f t="shared" si="45"/>
        <v>0</v>
      </c>
      <c r="BA108" s="40" cm="1">
        <f t="array" ref="BA108">IF($F$11-$I$4+VLOOKUP($R108,武学奇术!$A:$ZZ,9,FALSE)+SUM(_xlfn.XLOOKUP($S108:$AL108,增益!$A:$A,增益!$I:$I,0))&gt;0,($F$11-$I$4+VLOOKUP($R108,武学奇术!$A:$ZZ,9,FALSE)+SUM(_xlfn.XLOOKUP($S108:$AL108,增益!$A:$A,增益!$I:$I,0)))/200,($F$11-$I$4+VLOOKUP($R108,武学奇术!$A:$ZZ,9,FALSE)+SUM(_xlfn.XLOOKUP($S108:$AL108,增益!$A:$A,增益!$I:$I,0)))/100)</f>
        <v>-0.14</v>
      </c>
      <c r="BB108" s="40" cm="1">
        <f t="array" ref="BB108">$G$11+VLOOKUP($R108,武学奇术!$A:$ZZ,10,FALSE)+SUM(_xlfn.XLOOKUP($S108:$AL108,增益!$A:$A,增益!$J:$J,0))</f>
        <v>0.02</v>
      </c>
      <c r="BC108">
        <f t="shared" si="46"/>
        <v>640.3</v>
      </c>
      <c r="BD108">
        <f t="shared" si="47"/>
        <v>1770.1</v>
      </c>
      <c r="BE108" s="40" cm="1">
        <f t="array" ref="BE108">IF($F$12-$I$4+VLOOKUP($R108,武学奇术!$A:$ZZ,11,FALSE)+SUM(_xlfn.XLOOKUP($S108:$AL108,增益!$A:$A,增益!$K:$K,0))&gt;0,($F$12-$I$4+VLOOKUP($R108,武学奇术!$A:$ZZ,11,FALSE)+SUM(_xlfn.XLOOKUP($S108:$AL108,增益!$A:$A,增益!$K:$K,0)))/200,($F$12-$I$4+VLOOKUP($R108,武学奇术!$A:$ZZ,11,FALSE)+SUM(_xlfn.XLOOKUP($S108:$AL108,增益!$A:$A,增益!$K:$K,0)))/100)</f>
        <v>0.17</v>
      </c>
      <c r="BF108" s="40" cm="1">
        <f t="array" ref="BF108">$G$12+VLOOKUP($R108,武学奇术!$A:$ZZ,12,FALSE)+SUM(_xlfn.XLOOKUP($S108:$AL108,增益!$A:$A,增益!$L:$L,0))</f>
        <v>0.29</v>
      </c>
      <c r="BG108">
        <f t="shared" si="48"/>
        <v>0</v>
      </c>
      <c r="BH108">
        <f t="shared" si="49"/>
        <v>0</v>
      </c>
      <c r="BI108" s="40" cm="1">
        <f t="array" ref="BI108">IF($F$13-$I$4+VLOOKUP($R108,武学奇术!$A:$ZZ,13,FALSE)+SUM(_xlfn.XLOOKUP($S108:$AL108,增益!$A:$A,增益!$M:$M,0))&gt;0,($F$13-$I$4+VLOOKUP($R108,武学奇术!$A:$ZZ,13,FALSE)+SUM(_xlfn.XLOOKUP($S108:$AL108,增益!$A:$A,增益!$K:$K,0)))/200,($F$13-$I$4+VLOOKUP($R108,武学奇术!$A:$ZZ,13,FALSE)+SUM(_xlfn.XLOOKUP($S108:$AL108,增益!$A:$A,增益!$M:$M,0)))/100)</f>
        <v>-0.14</v>
      </c>
      <c r="BJ108" s="40" cm="1">
        <f t="array" ref="BJ108">$G$13+VLOOKUP($R108,武学奇术!$A:$ZZ,14,FALSE)+SUM(_xlfn.XLOOKUP($S108:$AL108,增益!$A:$A,增益!$N:$N,0))</f>
        <v>0.02</v>
      </c>
      <c r="BK108">
        <f t="shared" si="50"/>
        <v>0</v>
      </c>
      <c r="BL108">
        <f t="shared" si="51"/>
        <v>0</v>
      </c>
      <c r="BM108" s="40" cm="1">
        <f t="array" ref="BM108">IF($F$14-$I$4+VLOOKUP($R108,武学奇术!$A:$ZZ,15,FALSE)+SUM(_xlfn.XLOOKUP($S108:$AL108,增益!$A:$A,增益!$O:$O,0))&gt;0,($F$14-$I$4+VLOOKUP($R108,武学奇术!$A:$ZZ,15,FALSE)+SUM(_xlfn.XLOOKUP($S108:$AL108,增益!$A:$A,增益!$O:$O,0)))/200,($F$14-$I$4+VLOOKUP($R108,武学奇术!$A:$ZZ,15,FALSE)+SUM(_xlfn.XLOOKUP($S108:$AL108,增益!$A:$A,增益!$O:$O,0)))/100)</f>
        <v>-0.14</v>
      </c>
      <c r="BN108" s="40" cm="1">
        <f t="array" ref="BN108">$G$14+VLOOKUP($R108,武学奇术!$A:$ZZ,16,FALSE)+SUM(_xlfn.XLOOKUP($S108:$AL108,增益!$A:$A,增益!$P:$P,0))</f>
        <v>0.02</v>
      </c>
      <c r="BO108" s="33">
        <f>MIN(IF(VLOOKUP($R108,武学奇术!$A:$ZZ,23,FALSE)=1,100%,$B$8),100%)</f>
        <v>1</v>
      </c>
      <c r="BP108" s="33" cm="1">
        <f t="array" ref="BP108">IF(VLOOKUP($R108,武学奇术!$A:$ZZ,23,FALSE)=1,100%,MIN(80%,$B$9+VLOOKUP($R108,武学奇术!$A:$ZZ,17,FALSE)+SUM(_xlfn.XLOOKUP($S108:$AL108,增益!$A:$A,增益!$Q:$Q,0)))+$B$11+SUM(_xlfn.XLOOKUP($S108:$AL108,增益!$A:$A,增益!$U:$U,0)))*IF(VLOOKUP($R108,武学奇术!$A:$ZZ,24,FALSE)=1,0,1)</f>
        <v>1</v>
      </c>
      <c r="BQ108" s="33" cm="1">
        <f t="array" ref="BQ108">1+$B$13+VLOOKUP($R108,武学奇术!$A:$ZZ,18,FALSE)+SUM(_xlfn.XLOOKUP($S108:$AL108,增益!$A:$A,增益!$R:$R,0))</f>
        <v>2.1</v>
      </c>
      <c r="BR108" s="33" cm="1">
        <f t="array" ref="BR108">IF(VLOOKUP($R108,武学奇术!$A:$ZZ,24,FALSE)=1,100%,MIN(40%,$B$10+VLOOKUP($R108,武学奇术!$A:$ZZ,19,FALSE)+SUM(_xlfn.XLOOKUP($S108:$AL108,增益!$A:$A,增益!$S:$S,0)))+$B$12+SUM(_xlfn.XLOOKUP($S108:$AL108,增益!$A:$A,增益!$V:$V,0)))*IF(VLOOKUP($R108,武学奇术!$A:$ZZ,23,FALSE)=1,0,1)</f>
        <v>0</v>
      </c>
      <c r="BS108" s="33" cm="1">
        <f t="array" ref="BS108">1+$B$14+VLOOKUP($R108,武学奇术!$A:$ZZ,20,FALSE)+SUM(_xlfn.XLOOKUP($S108:$AL108,增益!$A:$A,增益!$T:$T,0))</f>
        <v>1.35</v>
      </c>
      <c r="BT108" s="33">
        <f t="shared" si="52"/>
        <v>1</v>
      </c>
      <c r="BU108" s="33">
        <f t="shared" si="53"/>
        <v>0</v>
      </c>
      <c r="BV108" s="33">
        <f>IF(VLOOKUP($R108,武学奇术!$A:$ZZ,22,FALSE)=1,0,(1-$BO108))*(1-$BR108)</f>
        <v>0</v>
      </c>
      <c r="BW108" s="33" cm="1">
        <f t="array" ref="BW108">SUM(_xlfn.XLOOKUP($S108:$AL108,增益!$A:$A,增益!$W:$W,0))+$I$5</f>
        <v>0.11</v>
      </c>
      <c r="BX108" s="33" cm="1">
        <f t="array" ref="BX108">VLOOKUP($R108,武学奇术!$A:$ZZ,32,FALSE)+SUM(_xlfn.XLOOKUP($S108:$AL108,增益!$A:$A,增益!$X:$X,0))</f>
        <v>0</v>
      </c>
    </row>
    <row r="109" spans="1:76">
      <c r="A109" s="4" t="s">
        <v>189</v>
      </c>
      <c r="B109" s="4">
        <v>0.8</v>
      </c>
      <c r="C109" s="47"/>
      <c r="D109" s="47" t="s">
        <v>167</v>
      </c>
      <c r="E109" s="47"/>
      <c r="L109" s="46">
        <f t="shared" si="54"/>
        <v>0</v>
      </c>
      <c r="M109" s="46">
        <f>((($AT109+$AU109)/2*$AN109+$AO109)*(1+$AV109)*(1+$AW109)+(($AY109+$AZ109)/2*IF($G$1="鸣金",$AP109,$AN109)+IF($G$1="鸣金",$AQ109*1.5,0))*(1+$BA109)*(1+$BB109)+(($BC109+$BD109)/2*IF($G$1="裂石",$AP109,$AN109)+IF($G$1="裂石",$AQ109*1.5,0))*(1+$BE109)*(1+$BF109)+(($BG109+$BH109)/2*IF($G$1="牵丝",$AP109,$AN109)+IF($G$1="牵丝",$AQ109*1.5,0))*(1+$BI109)*(1+$BJ109)+(($BK109+$BL109)/2*IF($G$1="破竹",$AP109,$AN109)+IF($G$1="破竹",$AQ109*1.5,0))*(1+$BM109)*(1+$BN109))*(1+$AR109)*$BQ109*$Q109*(1+IF(VLOOKUP($R109,武学奇术!$A:$ZZ,30,FALSE)="蓄力技",$B$21,0))*(1+IF(VLOOKUP($R109,武学奇术!$A:$ZZ,30,FALSE)="派生技",$B$20,0))*(1+$BW109)*(1+$BX109)</f>
        <v>0</v>
      </c>
      <c r="N109" s="46">
        <f>(($AU109*$AN109+$AO109)*(1+$AV109)*(1+$AW109)+($AZ109*IF($G$1="鸣金",$AP109,$AN109)+IF($G$1="鸣金",$AQ109*1.5,0))*(1+$BA109)*(1+$BB109)+($BD109*IF($G$1="裂石",$AP109,$AN109)+IF($G$1="裂石",$AQ109*1.5,0))*(1+$BE109)*(1+$BF109)+($BH109*IF($G$1="牵丝",$AP109,$AN109)+IF($G$1="牵丝",$AQ109*1.5,0))*(1+$BI109)*(1+$BJ109)+($BL109*IF($G$1="破竹",$AP109,$AN109)+IF($G$1="破竹",$AQ109*1.5,0))*(1+$BM109)*(1+$BN109))*(1+$AR109)*$BS109*$Q109*(1+IF(VLOOKUP($R109,武学奇术!$A:$ZZ,30,FALSE)="蓄力技",$B$21,0))*(1+IF(VLOOKUP($R109,武学奇术!$A:$ZZ,30,FALSE)="派生技",$B$20,0))*(1+$BW109)*(1+$BX109)</f>
        <v>0</v>
      </c>
      <c r="O109" s="46">
        <f>((($AT109+$AU109)/2*$AN109+$AO109)*(1+$AV109)*(1+$AW109)+(($AY109+$AZ109)/2*IF($G$1="鸣金",$AP109,$AN109)+IF($G$1="鸣金",$AQ109*1.5,0))*(1+$BA109)*(1+$BB109)+(($BC109+$BD109)/2*IF($G$1="裂石",$AP109,$AN109)+IF($G$1="裂石",$AQ109*1.5,0))*(1+$BE109)*(1+$BF109)+(($BG109+$BH109)/2*IF($G$1="牵丝",$AP109,$AN109)+IF($G$1="牵丝",$AQ109*1.5,0))*(1+$BI109)*(1+$BJ109)+(($BK109+$BL109)/2*IF($G$1="破竹",$AP109,$AN109)+IF($G$1="破竹",$AQ109*1.5,0))*(1+$BM109)*(1+$BN109))*(1+$AR109)*$Q109*(1+IF(VLOOKUP($R109,武学奇术!$A:$ZZ,30,FALSE)="蓄力技",$B$21,0))*(1+IF(VLOOKUP($R109,武学奇术!$A:$ZZ,30,FALSE)="派生技",$B$20,0))*(1+$BW109)*(1+$BX109)</f>
        <v>0</v>
      </c>
      <c r="P109" s="46">
        <f>((($AT109*$AN109+$AO109)*(1+$AV109)*(1+$AW109)+($AY109*IF($G$1="鸣金",$AP109,$AN109)+IF($G$1="鸣金",$AQ109*1.5,0))*(1+$BA109)*(1+$BB109)+($BC109*IF($G$1="裂石",$AP109,$AN109)+IF($G$1="裂石",$AQ109*1.5,0))*(1+$BE109)*(1+$BF109)+($BG109*IF($G$1="牵丝",$AP109,$AN109)+IF($G$1="牵丝",$AQ109*1.5,0))*(1+$BI109)*(1+$BJ109)+($BK109*IF($G$1="破竹",$AP109,$AN109)+IF($G$1="破竹",$AQ109*1.5,0))*(1+$BM109)*(1+$BN109))*(1+$AR109))*$Q109*(1+IF(VLOOKUP($R109,武学奇术!$A:$ZZ,30,FALSE)="蓄力技",$B$21,0))*(1+IF(VLOOKUP($R109,武学奇术!$A:$ZZ,30,FALSE)="派生技",$B$20,0))*(1+$BW109)*(1+$BX109)</f>
        <v>0</v>
      </c>
      <c r="Q109" s="47">
        <v>1</v>
      </c>
      <c r="R109" s="48" t="s">
        <v>80</v>
      </c>
      <c r="S109" s="48" t="s">
        <v>80</v>
      </c>
      <c r="T109" s="48" t="s">
        <v>80</v>
      </c>
      <c r="U109" s="48" t="s">
        <v>80</v>
      </c>
      <c r="V109" s="48" t="s">
        <v>80</v>
      </c>
      <c r="W109" s="48" t="s">
        <v>80</v>
      </c>
      <c r="X109" s="48" t="s">
        <v>80</v>
      </c>
      <c r="Y109" s="48" t="s">
        <v>80</v>
      </c>
      <c r="Z109" s="48" t="s">
        <v>80</v>
      </c>
      <c r="AA109" s="48" t="s">
        <v>80</v>
      </c>
      <c r="AB109" s="48" t="s">
        <v>80</v>
      </c>
      <c r="AC109" s="48" t="s">
        <v>80</v>
      </c>
      <c r="AD109" s="48" t="s">
        <v>80</v>
      </c>
      <c r="AE109" s="48" t="s">
        <v>82</v>
      </c>
      <c r="AF109" s="48" t="s">
        <v>83</v>
      </c>
      <c r="AG109" s="48" t="s">
        <v>84</v>
      </c>
      <c r="AH109" s="48" t="s">
        <v>80</v>
      </c>
      <c r="AI109" s="48" t="s">
        <v>80</v>
      </c>
      <c r="AJ109" s="48" t="s">
        <v>80</v>
      </c>
      <c r="AK109" s="48" t="s">
        <v>80</v>
      </c>
      <c r="AL109" s="48" t="s">
        <v>85</v>
      </c>
      <c r="AM109" t="str">
        <f>VLOOKUP($R109,武学奇术!$A:$ZZ,25,FALSE)</f>
        <v>心法</v>
      </c>
      <c r="AN109" s="33">
        <f>VLOOKUP($R109,武学奇术!$A:$ZZ,26,FALSE)</f>
        <v>0</v>
      </c>
      <c r="AO109" s="34">
        <f>VLOOKUP($R109,武学奇术!$A:$ZZ,27,FALSE)*(1+IF(OR($AM109=$F$4,$AM109=$F$5),$B$22,0))</f>
        <v>0</v>
      </c>
      <c r="AP109" s="33">
        <f>VLOOKUP($R109,武学奇术!$A:$ZZ,28,FALSE)</f>
        <v>0</v>
      </c>
      <c r="AQ109" s="34">
        <f>VLOOKUP($R109,武学奇术!$A:$ZZ,29,FALSE)*(1+IF(OR($AM109=$F$4,$AM109=$F$5),$B$22,0))</f>
        <v>0</v>
      </c>
      <c r="AR109" s="33" cm="1">
        <f t="array" ref="AR109">$G$3+IFERROR(VLOOKUP($AM109,$F$4:$G$7,2,FALSE),0)+VLOOKUP($R109,武学奇术!$A:$ZZ,2,FALSE)+SUM(_xlfn.XLOOKUP($S109:$AL109,增益!$A:$A,增益!$B:$B,0))</f>
        <v>0.3142</v>
      </c>
      <c r="AS109" s="33" cm="1">
        <f t="array" ref="AS109">VLOOKUP($R109,武学奇术!$A:$ZZ,5,FALSE)+SUM(_xlfn.XLOOKUP($S109:$AL109,增益!$A:$A,增益!$E:$E,0))</f>
        <v>0</v>
      </c>
      <c r="AT109" cm="1">
        <f t="array" ref="AT109">$D$10*(1+$AS109)+VLOOKUP($R109,武学奇术!$A:$ZZ,3,FALSE)+SUM(_xlfn.XLOOKUP($S109:$AL109,增益!$A:$A,增益!$C:$C,0))-$I$2</f>
        <v>4094.7</v>
      </c>
      <c r="AU109" cm="1">
        <f t="array" ref="AU109">$E$10*(1+$AS109)+VLOOKUP($R109,武学奇术!$A:$ZZ,4,FALSE)+SUM(_xlfn.XLOOKUP($S109:$AL109,增益!$A:$A,增益!$D:$D,0))-$I$2</f>
        <v>4094.7</v>
      </c>
      <c r="AV109" s="40" cm="1">
        <f t="array" ref="AV109">IF($F$10-$I$3+VLOOKUP($R109,武学奇术!$A:$ZZ,6,FALSE)+SUM(_xlfn.XLOOKUP($S109:$AL109,增益!$A:$A,增益!$F:$F,0))&gt;0,($F$10-$I$3+VLOOKUP($R109,武学奇术!$A:$ZZ,6,FALSE)+SUM(_xlfn.XLOOKUP($S109:$AL109,增益!$A:$A,增益!$F:$F,0)))/200,($F$10-$I$3+VLOOKUP($R109,武学奇术!$A:$ZZ,6,FALSE)+SUM(_xlfn.XLOOKUP($S109:$AL109,增益!$A:$A,增益!$F:$F,0)))/100)</f>
        <v>0.3134</v>
      </c>
      <c r="AW109" s="40" cm="1">
        <f t="array" ref="AW109">$G$10+VLOOKUP($R109,武学奇术!$A:$ZZ,7,FALSE)+SUM(_xlfn.XLOOKUP($S109:$AL109,增益!$A:$A,增益!$G:$G,0))</f>
        <v>0.02</v>
      </c>
      <c r="AX109" s="33" cm="1">
        <f t="array" ref="AX109">VLOOKUP($R109,武学奇术!$A:$ZZ,8,FALSE)+SUM(_xlfn.XLOOKUP($S109:$AL109,增益!$A:$A,增益!$H:$H,0))</f>
        <v>0</v>
      </c>
      <c r="AY109">
        <f t="shared" si="44"/>
        <v>0</v>
      </c>
      <c r="AZ109">
        <f t="shared" si="45"/>
        <v>0</v>
      </c>
      <c r="BA109" s="40" cm="1">
        <f t="array" ref="BA109">IF($F$11-$I$4+VLOOKUP($R109,武学奇术!$A:$ZZ,9,FALSE)+SUM(_xlfn.XLOOKUP($S109:$AL109,增益!$A:$A,增益!$I:$I,0))&gt;0,($F$11-$I$4+VLOOKUP($R109,武学奇术!$A:$ZZ,9,FALSE)+SUM(_xlfn.XLOOKUP($S109:$AL109,增益!$A:$A,增益!$I:$I,0)))/200,($F$11-$I$4+VLOOKUP($R109,武学奇术!$A:$ZZ,9,FALSE)+SUM(_xlfn.XLOOKUP($S109:$AL109,增益!$A:$A,增益!$I:$I,0)))/100)</f>
        <v>-0.3</v>
      </c>
      <c r="BB109" s="40" cm="1">
        <f t="array" ref="BB109">$G$11+VLOOKUP($R109,武学奇术!$A:$ZZ,10,FALSE)+SUM(_xlfn.XLOOKUP($S109:$AL109,增益!$A:$A,增益!$J:$J,0))</f>
        <v>0.02</v>
      </c>
      <c r="BC109">
        <f t="shared" si="46"/>
        <v>640.3</v>
      </c>
      <c r="BD109">
        <f t="shared" si="47"/>
        <v>1770.1</v>
      </c>
      <c r="BE109" s="40" cm="1">
        <f t="array" ref="BE109">IF($F$12-$I$4+VLOOKUP($R109,武学奇术!$A:$ZZ,11,FALSE)+SUM(_xlfn.XLOOKUP($S109:$AL109,增益!$A:$A,增益!$K:$K,0))&gt;0,($F$12-$I$4+VLOOKUP($R109,武学奇术!$A:$ZZ,11,FALSE)+SUM(_xlfn.XLOOKUP($S109:$AL109,增益!$A:$A,增益!$K:$K,0)))/200,($F$12-$I$4+VLOOKUP($R109,武学奇术!$A:$ZZ,11,FALSE)+SUM(_xlfn.XLOOKUP($S109:$AL109,增益!$A:$A,增益!$K:$K,0)))/100)</f>
        <v>0.09</v>
      </c>
      <c r="BF109" s="40" cm="1">
        <f t="array" ref="BF109">$G$12+VLOOKUP($R109,武学奇术!$A:$ZZ,12,FALSE)+SUM(_xlfn.XLOOKUP($S109:$AL109,增益!$A:$A,增益!$L:$L,0))</f>
        <v>0.17</v>
      </c>
      <c r="BG109">
        <f t="shared" si="48"/>
        <v>0</v>
      </c>
      <c r="BH109">
        <f t="shared" si="49"/>
        <v>0</v>
      </c>
      <c r="BI109" s="40" cm="1">
        <f t="array" ref="BI109">IF($F$13-$I$4+VLOOKUP($R109,武学奇术!$A:$ZZ,13,FALSE)+SUM(_xlfn.XLOOKUP($S109:$AL109,增益!$A:$A,增益!$M:$M,0))&gt;0,($F$13-$I$4+VLOOKUP($R109,武学奇术!$A:$ZZ,13,FALSE)+SUM(_xlfn.XLOOKUP($S109:$AL109,增益!$A:$A,增益!$K:$K,0)))/200,($F$13-$I$4+VLOOKUP($R109,武学奇术!$A:$ZZ,13,FALSE)+SUM(_xlfn.XLOOKUP($S109:$AL109,增益!$A:$A,增益!$M:$M,0)))/100)</f>
        <v>-0.3</v>
      </c>
      <c r="BJ109" s="40" cm="1">
        <f t="array" ref="BJ109">$G$13+VLOOKUP($R109,武学奇术!$A:$ZZ,14,FALSE)+SUM(_xlfn.XLOOKUP($S109:$AL109,增益!$A:$A,增益!$N:$N,0))</f>
        <v>0.02</v>
      </c>
      <c r="BK109">
        <f t="shared" si="50"/>
        <v>0</v>
      </c>
      <c r="BL109">
        <f t="shared" si="51"/>
        <v>0</v>
      </c>
      <c r="BM109" s="40" cm="1">
        <f t="array" ref="BM109">IF($F$14-$I$4+VLOOKUP($R109,武学奇术!$A:$ZZ,15,FALSE)+SUM(_xlfn.XLOOKUP($S109:$AL109,增益!$A:$A,增益!$O:$O,0))&gt;0,($F$14-$I$4+VLOOKUP($R109,武学奇术!$A:$ZZ,15,FALSE)+SUM(_xlfn.XLOOKUP($S109:$AL109,增益!$A:$A,增益!$O:$O,0)))/200,($F$14-$I$4+VLOOKUP($R109,武学奇术!$A:$ZZ,15,FALSE)+SUM(_xlfn.XLOOKUP($S109:$AL109,增益!$A:$A,增益!$O:$O,0)))/100)</f>
        <v>-0.3</v>
      </c>
      <c r="BN109" s="40" cm="1">
        <f t="array" ref="BN109">$G$14+VLOOKUP($R109,武学奇术!$A:$ZZ,16,FALSE)+SUM(_xlfn.XLOOKUP($S109:$AL109,增益!$A:$A,增益!$P:$P,0))</f>
        <v>0.02</v>
      </c>
      <c r="BO109" s="33">
        <f>MIN(IF(VLOOKUP($R109,武学奇术!$A:$ZZ,23,FALSE)=1,100%,$B$8),100%)</f>
        <v>0.9771</v>
      </c>
      <c r="BP109" s="33" cm="1">
        <f t="array" ref="BP109">IF(VLOOKUP($R109,武学奇术!$A:$ZZ,23,FALSE)=1,100%,MIN(80%,$B$9+VLOOKUP($R109,武学奇术!$A:$ZZ,17,FALSE)+SUM(_xlfn.XLOOKUP($S109:$AL109,增益!$A:$A,增益!$Q:$Q,0)))+$B$11+SUM(_xlfn.XLOOKUP($S109:$AL109,增益!$A:$A,增益!$U:$U,0)))*IF(VLOOKUP($R109,武学奇术!$A:$ZZ,24,FALSE)=1,0,1)</f>
        <v>0.8861</v>
      </c>
      <c r="BQ109" s="33" cm="1">
        <f t="array" ref="BQ109">1+$B$13+VLOOKUP($R109,武学奇术!$A:$ZZ,18,FALSE)+SUM(_xlfn.XLOOKUP($S109:$AL109,增益!$A:$A,增益!$R:$R,0))</f>
        <v>1.54</v>
      </c>
      <c r="BR109" s="33" cm="1">
        <f t="array" ref="BR109">IF(VLOOKUP($R109,武学奇术!$A:$ZZ,24,FALSE)=1,100%,MIN(40%,$B$10+VLOOKUP($R109,武学奇术!$A:$ZZ,19,FALSE)+SUM(_xlfn.XLOOKUP($S109:$AL109,增益!$A:$A,增益!$S:$S,0)))+$B$12+SUM(_xlfn.XLOOKUP($S109:$AL109,增益!$A:$A,增益!$V:$V,0)))*IF(VLOOKUP($R109,武学奇术!$A:$ZZ,23,FALSE)=1,0,1)</f>
        <v>0.0913</v>
      </c>
      <c r="BS109" s="33" cm="1">
        <f t="array" ref="BS109">1+$B$14+VLOOKUP($R109,武学奇术!$A:$ZZ,20,FALSE)+SUM(_xlfn.XLOOKUP($S109:$AL109,增益!$A:$A,增益!$T:$T,0))</f>
        <v>1.35</v>
      </c>
      <c r="BT109" s="33">
        <f t="shared" si="52"/>
        <v>0.86580831</v>
      </c>
      <c r="BU109" s="33">
        <f t="shared" si="53"/>
        <v>0.02208246</v>
      </c>
      <c r="BV109" s="33">
        <f>IF(VLOOKUP($R109,武学奇术!$A:$ZZ,22,FALSE)=1,0,(1-$BO109))*(1-$BR109)</f>
        <v>0.02080923</v>
      </c>
      <c r="BW109" s="33" cm="1">
        <f t="array" ref="BW109">SUM(_xlfn.XLOOKUP($S109:$AL109,增益!$A:$A,增益!$W:$W,0))+$I$5</f>
        <v>0.11</v>
      </c>
      <c r="BX109" s="33" cm="1">
        <f t="array" ref="BX109">VLOOKUP($R109,武学奇术!$A:$ZZ,32,FALSE)+SUM(_xlfn.XLOOKUP($S109:$AL109,增益!$A:$A,增益!$X:$X,0))</f>
        <v>0</v>
      </c>
    </row>
    <row r="110" spans="1:76">
      <c r="A110" s="4" t="s">
        <v>191</v>
      </c>
      <c r="B110" s="4">
        <v>1.8</v>
      </c>
      <c r="C110" s="47"/>
      <c r="D110" s="47"/>
      <c r="E110" s="47"/>
      <c r="L110" s="46">
        <f t="shared" si="54"/>
        <v>0</v>
      </c>
      <c r="M110" s="46">
        <f>((($AT110+$AU110)/2*$AN110+$AO110)*(1+$AV110)*(1+$AW110)+(($AY110+$AZ110)/2*IF($G$1="鸣金",$AP110,$AN110)+IF($G$1="鸣金",$AQ110*1.5,0))*(1+$BA110)*(1+$BB110)+(($BC110+$BD110)/2*IF($G$1="裂石",$AP110,$AN110)+IF($G$1="裂石",$AQ110*1.5,0))*(1+$BE110)*(1+$BF110)+(($BG110+$BH110)/2*IF($G$1="牵丝",$AP110,$AN110)+IF($G$1="牵丝",$AQ110*1.5,0))*(1+$BI110)*(1+$BJ110)+(($BK110+$BL110)/2*IF($G$1="破竹",$AP110,$AN110)+IF($G$1="破竹",$AQ110*1.5,0))*(1+$BM110)*(1+$BN110))*(1+$AR110)*$BQ110*$Q110*(1+IF(VLOOKUP($R110,武学奇术!$A:$ZZ,30,FALSE)="蓄力技",$B$21,0))*(1+IF(VLOOKUP($R110,武学奇术!$A:$ZZ,30,FALSE)="派生技",$B$20,0))*(1+$BW110)*(1+$BX110)</f>
        <v>0</v>
      </c>
      <c r="N110" s="46">
        <f>(($AU110*$AN110+$AO110)*(1+$AV110)*(1+$AW110)+($AZ110*IF($G$1="鸣金",$AP110,$AN110)+IF($G$1="鸣金",$AQ110*1.5,0))*(1+$BA110)*(1+$BB110)+($BD110*IF($G$1="裂石",$AP110,$AN110)+IF($G$1="裂石",$AQ110*1.5,0))*(1+$BE110)*(1+$BF110)+($BH110*IF($G$1="牵丝",$AP110,$AN110)+IF($G$1="牵丝",$AQ110*1.5,0))*(1+$BI110)*(1+$BJ110)+($BL110*IF($G$1="破竹",$AP110,$AN110)+IF($G$1="破竹",$AQ110*1.5,0))*(1+$BM110)*(1+$BN110))*(1+$AR110)*$BS110*$Q110*(1+IF(VLOOKUP($R110,武学奇术!$A:$ZZ,30,FALSE)="蓄力技",$B$21,0))*(1+IF(VLOOKUP($R110,武学奇术!$A:$ZZ,30,FALSE)="派生技",$B$20,0))*(1+$BW110)*(1+$BX110)</f>
        <v>0</v>
      </c>
      <c r="O110" s="46">
        <f>((($AT110+$AU110)/2*$AN110+$AO110)*(1+$AV110)*(1+$AW110)+(($AY110+$AZ110)/2*IF($G$1="鸣金",$AP110,$AN110)+IF($G$1="鸣金",$AQ110*1.5,0))*(1+$BA110)*(1+$BB110)+(($BC110+$BD110)/2*IF($G$1="裂石",$AP110,$AN110)+IF($G$1="裂石",$AQ110*1.5,0))*(1+$BE110)*(1+$BF110)+(($BG110+$BH110)/2*IF($G$1="牵丝",$AP110,$AN110)+IF($G$1="牵丝",$AQ110*1.5,0))*(1+$BI110)*(1+$BJ110)+(($BK110+$BL110)/2*IF($G$1="破竹",$AP110,$AN110)+IF($G$1="破竹",$AQ110*1.5,0))*(1+$BM110)*(1+$BN110))*(1+$AR110)*$Q110*(1+IF(VLOOKUP($R110,武学奇术!$A:$ZZ,30,FALSE)="蓄力技",$B$21,0))*(1+IF(VLOOKUP($R110,武学奇术!$A:$ZZ,30,FALSE)="派生技",$B$20,0))*(1+$BW110)*(1+$BX110)</f>
        <v>0</v>
      </c>
      <c r="P110" s="46">
        <f>((($AT110*$AN110+$AO110)*(1+$AV110)*(1+$AW110)+($AY110*IF($G$1="鸣金",$AP110,$AN110)+IF($G$1="鸣金",$AQ110*1.5,0))*(1+$BA110)*(1+$BB110)+($BC110*IF($G$1="裂石",$AP110,$AN110)+IF($G$1="裂石",$AQ110*1.5,0))*(1+$BE110)*(1+$BF110)+($BG110*IF($G$1="牵丝",$AP110,$AN110)+IF($G$1="牵丝",$AQ110*1.5,0))*(1+$BI110)*(1+$BJ110)+($BK110*IF($G$1="破竹",$AP110,$AN110)+IF($G$1="破竹",$AQ110*1.5,0))*(1+$BM110)*(1+$BN110))*(1+$AR110))*$Q110*(1+IF(VLOOKUP($R110,武学奇术!$A:$ZZ,30,FALSE)="蓄力技",$B$21,0))*(1+IF(VLOOKUP($R110,武学奇术!$A:$ZZ,30,FALSE)="派生技",$B$20,0))*(1+$BW110)*(1+$BX110)</f>
        <v>0</v>
      </c>
      <c r="Q110" s="47">
        <v>1</v>
      </c>
      <c r="R110" s="48" t="s">
        <v>80</v>
      </c>
      <c r="S110" s="48" t="s">
        <v>80</v>
      </c>
      <c r="T110" s="48" t="s">
        <v>80</v>
      </c>
      <c r="U110" s="48" t="s">
        <v>80</v>
      </c>
      <c r="V110" s="48" t="s">
        <v>80</v>
      </c>
      <c r="W110" s="48" t="s">
        <v>80</v>
      </c>
      <c r="X110" s="48" t="s">
        <v>80</v>
      </c>
      <c r="Y110" s="48" t="s">
        <v>80</v>
      </c>
      <c r="Z110" s="48" t="s">
        <v>80</v>
      </c>
      <c r="AA110" s="48" t="s">
        <v>80</v>
      </c>
      <c r="AB110" s="48" t="s">
        <v>80</v>
      </c>
      <c r="AC110" s="48" t="s">
        <v>80</v>
      </c>
      <c r="AD110" s="48" t="s">
        <v>80</v>
      </c>
      <c r="AE110" s="48" t="s">
        <v>82</v>
      </c>
      <c r="AF110" s="48" t="s">
        <v>83</v>
      </c>
      <c r="AG110" s="48" t="s">
        <v>84</v>
      </c>
      <c r="AH110" s="48" t="s">
        <v>80</v>
      </c>
      <c r="AI110" s="48" t="s">
        <v>80</v>
      </c>
      <c r="AJ110" s="48" t="s">
        <v>80</v>
      </c>
      <c r="AK110" s="48" t="s">
        <v>80</v>
      </c>
      <c r="AL110" s="48" t="s">
        <v>85</v>
      </c>
      <c r="AM110" t="str">
        <f>VLOOKUP($R110,武学奇术!$A:$ZZ,25,FALSE)</f>
        <v>心法</v>
      </c>
      <c r="AN110" s="33">
        <f>VLOOKUP($R110,武学奇术!$A:$ZZ,26,FALSE)</f>
        <v>0</v>
      </c>
      <c r="AO110" s="34">
        <f>VLOOKUP($R110,武学奇术!$A:$ZZ,27,FALSE)*(1+IF(OR($AM110=$F$4,$AM110=$F$5),$B$22,0))</f>
        <v>0</v>
      </c>
      <c r="AP110" s="33">
        <f>VLOOKUP($R110,武学奇术!$A:$ZZ,28,FALSE)</f>
        <v>0</v>
      </c>
      <c r="AQ110" s="34">
        <f>VLOOKUP($R110,武学奇术!$A:$ZZ,29,FALSE)*(1+IF(OR($AM110=$F$4,$AM110=$F$5),$B$22,0))</f>
        <v>0</v>
      </c>
      <c r="AR110" s="33" cm="1">
        <f t="array" ref="AR110">$G$3+IFERROR(VLOOKUP($AM110,$F$4:$G$7,2,FALSE),0)+VLOOKUP($R110,武学奇术!$A:$ZZ,2,FALSE)+SUM(_xlfn.XLOOKUP($S110:$AL110,增益!$A:$A,增益!$B:$B,0))</f>
        <v>0.3142</v>
      </c>
      <c r="AS110" s="33" cm="1">
        <f t="array" ref="AS110">VLOOKUP($R110,武学奇术!$A:$ZZ,5,FALSE)+SUM(_xlfn.XLOOKUP($S110:$AL110,增益!$A:$A,增益!$E:$E,0))</f>
        <v>0</v>
      </c>
      <c r="AT110" cm="1">
        <f t="array" ref="AT110">$D$10*(1+$AS110)+VLOOKUP($R110,武学奇术!$A:$ZZ,3,FALSE)+SUM(_xlfn.XLOOKUP($S110:$AL110,增益!$A:$A,增益!$C:$C,0))-$I$2</f>
        <v>4094.7</v>
      </c>
      <c r="AU110" cm="1">
        <f t="array" ref="AU110">$E$10*(1+$AS110)+VLOOKUP($R110,武学奇术!$A:$ZZ,4,FALSE)+SUM(_xlfn.XLOOKUP($S110:$AL110,增益!$A:$A,增益!$D:$D,0))-$I$2</f>
        <v>4094.7</v>
      </c>
      <c r="AV110" s="40" cm="1">
        <f t="array" ref="AV110">IF($F$10-$I$3+VLOOKUP($R110,武学奇术!$A:$ZZ,6,FALSE)+SUM(_xlfn.XLOOKUP($S110:$AL110,增益!$A:$A,增益!$F:$F,0))&gt;0,($F$10-$I$3+VLOOKUP($R110,武学奇术!$A:$ZZ,6,FALSE)+SUM(_xlfn.XLOOKUP($S110:$AL110,增益!$A:$A,增益!$F:$F,0)))/200,($F$10-$I$3+VLOOKUP($R110,武学奇术!$A:$ZZ,6,FALSE)+SUM(_xlfn.XLOOKUP($S110:$AL110,增益!$A:$A,增益!$F:$F,0)))/100)</f>
        <v>0.3134</v>
      </c>
      <c r="AW110" s="40" cm="1">
        <f t="array" ref="AW110">$G$10+VLOOKUP($R110,武学奇术!$A:$ZZ,7,FALSE)+SUM(_xlfn.XLOOKUP($S110:$AL110,增益!$A:$A,增益!$G:$G,0))</f>
        <v>0.02</v>
      </c>
      <c r="AX110" s="33" cm="1">
        <f t="array" ref="AX110">VLOOKUP($R110,武学奇术!$A:$ZZ,8,FALSE)+SUM(_xlfn.XLOOKUP($S110:$AL110,增益!$A:$A,增益!$H:$H,0))</f>
        <v>0</v>
      </c>
      <c r="AY110">
        <f t="shared" si="44"/>
        <v>0</v>
      </c>
      <c r="AZ110">
        <f t="shared" si="45"/>
        <v>0</v>
      </c>
      <c r="BA110" s="40" cm="1">
        <f t="array" ref="BA110">IF($F$11-$I$4+VLOOKUP($R110,武学奇术!$A:$ZZ,9,FALSE)+SUM(_xlfn.XLOOKUP($S110:$AL110,增益!$A:$A,增益!$I:$I,0))&gt;0,($F$11-$I$4+VLOOKUP($R110,武学奇术!$A:$ZZ,9,FALSE)+SUM(_xlfn.XLOOKUP($S110:$AL110,增益!$A:$A,增益!$I:$I,0)))/200,($F$11-$I$4+VLOOKUP($R110,武学奇术!$A:$ZZ,9,FALSE)+SUM(_xlfn.XLOOKUP($S110:$AL110,增益!$A:$A,增益!$I:$I,0)))/100)</f>
        <v>-0.3</v>
      </c>
      <c r="BB110" s="40" cm="1">
        <f t="array" ref="BB110">$G$11+VLOOKUP($R110,武学奇术!$A:$ZZ,10,FALSE)+SUM(_xlfn.XLOOKUP($S110:$AL110,增益!$A:$A,增益!$J:$J,0))</f>
        <v>0.02</v>
      </c>
      <c r="BC110">
        <f t="shared" si="46"/>
        <v>640.3</v>
      </c>
      <c r="BD110">
        <f t="shared" si="47"/>
        <v>1770.1</v>
      </c>
      <c r="BE110" s="40" cm="1">
        <f t="array" ref="BE110">IF($F$12-$I$4+VLOOKUP($R110,武学奇术!$A:$ZZ,11,FALSE)+SUM(_xlfn.XLOOKUP($S110:$AL110,增益!$A:$A,增益!$K:$K,0))&gt;0,($F$12-$I$4+VLOOKUP($R110,武学奇术!$A:$ZZ,11,FALSE)+SUM(_xlfn.XLOOKUP($S110:$AL110,增益!$A:$A,增益!$K:$K,0)))/200,($F$12-$I$4+VLOOKUP($R110,武学奇术!$A:$ZZ,11,FALSE)+SUM(_xlfn.XLOOKUP($S110:$AL110,增益!$A:$A,增益!$K:$K,0)))/100)</f>
        <v>0.09</v>
      </c>
      <c r="BF110" s="40" cm="1">
        <f t="array" ref="BF110">$G$12+VLOOKUP($R110,武学奇术!$A:$ZZ,12,FALSE)+SUM(_xlfn.XLOOKUP($S110:$AL110,增益!$A:$A,增益!$L:$L,0))</f>
        <v>0.17</v>
      </c>
      <c r="BG110">
        <f t="shared" si="48"/>
        <v>0</v>
      </c>
      <c r="BH110">
        <f t="shared" si="49"/>
        <v>0</v>
      </c>
      <c r="BI110" s="40" cm="1">
        <f t="array" ref="BI110">IF($F$13-$I$4+VLOOKUP($R110,武学奇术!$A:$ZZ,13,FALSE)+SUM(_xlfn.XLOOKUP($S110:$AL110,增益!$A:$A,增益!$M:$M,0))&gt;0,($F$13-$I$4+VLOOKUP($R110,武学奇术!$A:$ZZ,13,FALSE)+SUM(_xlfn.XLOOKUP($S110:$AL110,增益!$A:$A,增益!$K:$K,0)))/200,($F$13-$I$4+VLOOKUP($R110,武学奇术!$A:$ZZ,13,FALSE)+SUM(_xlfn.XLOOKUP($S110:$AL110,增益!$A:$A,增益!$M:$M,0)))/100)</f>
        <v>-0.3</v>
      </c>
      <c r="BJ110" s="40" cm="1">
        <f t="array" ref="BJ110">$G$13+VLOOKUP($R110,武学奇术!$A:$ZZ,14,FALSE)+SUM(_xlfn.XLOOKUP($S110:$AL110,增益!$A:$A,增益!$N:$N,0))</f>
        <v>0.02</v>
      </c>
      <c r="BK110">
        <f t="shared" si="50"/>
        <v>0</v>
      </c>
      <c r="BL110">
        <f t="shared" si="51"/>
        <v>0</v>
      </c>
      <c r="BM110" s="40" cm="1">
        <f t="array" ref="BM110">IF($F$14-$I$4+VLOOKUP($R110,武学奇术!$A:$ZZ,15,FALSE)+SUM(_xlfn.XLOOKUP($S110:$AL110,增益!$A:$A,增益!$O:$O,0))&gt;0,($F$14-$I$4+VLOOKUP($R110,武学奇术!$A:$ZZ,15,FALSE)+SUM(_xlfn.XLOOKUP($S110:$AL110,增益!$A:$A,增益!$O:$O,0)))/200,($F$14-$I$4+VLOOKUP($R110,武学奇术!$A:$ZZ,15,FALSE)+SUM(_xlfn.XLOOKUP($S110:$AL110,增益!$A:$A,增益!$O:$O,0)))/100)</f>
        <v>-0.3</v>
      </c>
      <c r="BN110" s="40" cm="1">
        <f t="array" ref="BN110">$G$14+VLOOKUP($R110,武学奇术!$A:$ZZ,16,FALSE)+SUM(_xlfn.XLOOKUP($S110:$AL110,增益!$A:$A,增益!$P:$P,0))</f>
        <v>0.02</v>
      </c>
      <c r="BO110" s="33">
        <f>MIN(IF(VLOOKUP($R110,武学奇术!$A:$ZZ,23,FALSE)=1,100%,$B$8),100%)</f>
        <v>0.9771</v>
      </c>
      <c r="BP110" s="33" cm="1">
        <f t="array" ref="BP110">IF(VLOOKUP($R110,武学奇术!$A:$ZZ,23,FALSE)=1,100%,MIN(80%,$B$9+VLOOKUP($R110,武学奇术!$A:$ZZ,17,FALSE)+SUM(_xlfn.XLOOKUP($S110:$AL110,增益!$A:$A,增益!$Q:$Q,0)))+$B$11+SUM(_xlfn.XLOOKUP($S110:$AL110,增益!$A:$A,增益!$U:$U,0)))*IF(VLOOKUP($R110,武学奇术!$A:$ZZ,24,FALSE)=1,0,1)</f>
        <v>0.8861</v>
      </c>
      <c r="BQ110" s="33" cm="1">
        <f t="array" ref="BQ110">1+$B$13+VLOOKUP($R110,武学奇术!$A:$ZZ,18,FALSE)+SUM(_xlfn.XLOOKUP($S110:$AL110,增益!$A:$A,增益!$R:$R,0))</f>
        <v>1.54</v>
      </c>
      <c r="BR110" s="33" cm="1">
        <f t="array" ref="BR110">IF(VLOOKUP($R110,武学奇术!$A:$ZZ,24,FALSE)=1,100%,MIN(40%,$B$10+VLOOKUP($R110,武学奇术!$A:$ZZ,19,FALSE)+SUM(_xlfn.XLOOKUP($S110:$AL110,增益!$A:$A,增益!$S:$S,0)))+$B$12+SUM(_xlfn.XLOOKUP($S110:$AL110,增益!$A:$A,增益!$V:$V,0)))*IF(VLOOKUP($R110,武学奇术!$A:$ZZ,23,FALSE)=1,0,1)</f>
        <v>0.0913</v>
      </c>
      <c r="BS110" s="33" cm="1">
        <f t="array" ref="BS110">1+$B$14+VLOOKUP($R110,武学奇术!$A:$ZZ,20,FALSE)+SUM(_xlfn.XLOOKUP($S110:$AL110,增益!$A:$A,增益!$T:$T,0))</f>
        <v>1.35</v>
      </c>
      <c r="BT110" s="33">
        <f t="shared" si="52"/>
        <v>0.86580831</v>
      </c>
      <c r="BU110" s="33">
        <f t="shared" si="53"/>
        <v>0.02208246</v>
      </c>
      <c r="BV110" s="33">
        <f>IF(VLOOKUP($R110,武学奇术!$A:$ZZ,22,FALSE)=1,0,(1-$BO110))*(1-$BR110)</f>
        <v>0.02080923</v>
      </c>
      <c r="BW110" s="33" cm="1">
        <f t="array" ref="BW110">SUM(_xlfn.XLOOKUP($S110:$AL110,增益!$A:$A,增益!$W:$W,0))+$I$5</f>
        <v>0.11</v>
      </c>
      <c r="BX110" s="33" cm="1">
        <f t="array" ref="BX110">VLOOKUP($R110,武学奇术!$A:$ZZ,32,FALSE)+SUM(_xlfn.XLOOKUP($S110:$AL110,增益!$A:$A,增益!$X:$X,0))</f>
        <v>0</v>
      </c>
    </row>
    <row r="111" spans="1:76">
      <c r="A111" s="4" t="s">
        <v>189</v>
      </c>
      <c r="B111" s="4">
        <v>0.8</v>
      </c>
      <c r="C111" s="47"/>
      <c r="D111" s="47"/>
      <c r="E111" s="47"/>
      <c r="L111" s="46">
        <f t="shared" si="54"/>
        <v>0</v>
      </c>
      <c r="M111" s="46">
        <f>((($AT111+$AU111)/2*$AN111+$AO111)*(1+$AV111)*(1+$AW111)+(($AY111+$AZ111)/2*IF($G$1="鸣金",$AP111,$AN111)+IF($G$1="鸣金",$AQ111*1.5,0))*(1+$BA111)*(1+$BB111)+(($BC111+$BD111)/2*IF($G$1="裂石",$AP111,$AN111)+IF($G$1="裂石",$AQ111*1.5,0))*(1+$BE111)*(1+$BF111)+(($BG111+$BH111)/2*IF($G$1="牵丝",$AP111,$AN111)+IF($G$1="牵丝",$AQ111*1.5,0))*(1+$BI111)*(1+$BJ111)+(($BK111+$BL111)/2*IF($G$1="破竹",$AP111,$AN111)+IF($G$1="破竹",$AQ111*1.5,0))*(1+$BM111)*(1+$BN111))*(1+$AR111)*$BQ111*$Q111*(1+IF(VLOOKUP($R111,武学奇术!$A:$ZZ,30,FALSE)="蓄力技",$B$21,0))*(1+IF(VLOOKUP($R111,武学奇术!$A:$ZZ,30,FALSE)="派生技",$B$20,0))*(1+$BW111)*(1+$BX111)</f>
        <v>0</v>
      </c>
      <c r="N111" s="46">
        <f>(($AU111*$AN111+$AO111)*(1+$AV111)*(1+$AW111)+($AZ111*IF($G$1="鸣金",$AP111,$AN111)+IF($G$1="鸣金",$AQ111*1.5,0))*(1+$BA111)*(1+$BB111)+($BD111*IF($G$1="裂石",$AP111,$AN111)+IF($G$1="裂石",$AQ111*1.5,0))*(1+$BE111)*(1+$BF111)+($BH111*IF($G$1="牵丝",$AP111,$AN111)+IF($G$1="牵丝",$AQ111*1.5,0))*(1+$BI111)*(1+$BJ111)+($BL111*IF($G$1="破竹",$AP111,$AN111)+IF($G$1="破竹",$AQ111*1.5,0))*(1+$BM111)*(1+$BN111))*(1+$AR111)*$BS111*$Q111*(1+IF(VLOOKUP($R111,武学奇术!$A:$ZZ,30,FALSE)="蓄力技",$B$21,0))*(1+IF(VLOOKUP($R111,武学奇术!$A:$ZZ,30,FALSE)="派生技",$B$20,0))*(1+$BW111)*(1+$BX111)</f>
        <v>0</v>
      </c>
      <c r="O111" s="46">
        <f>((($AT111+$AU111)/2*$AN111+$AO111)*(1+$AV111)*(1+$AW111)+(($AY111+$AZ111)/2*IF($G$1="鸣金",$AP111,$AN111)+IF($G$1="鸣金",$AQ111*1.5,0))*(1+$BA111)*(1+$BB111)+(($BC111+$BD111)/2*IF($G$1="裂石",$AP111,$AN111)+IF($G$1="裂石",$AQ111*1.5,0))*(1+$BE111)*(1+$BF111)+(($BG111+$BH111)/2*IF($G$1="牵丝",$AP111,$AN111)+IF($G$1="牵丝",$AQ111*1.5,0))*(1+$BI111)*(1+$BJ111)+(($BK111+$BL111)/2*IF($G$1="破竹",$AP111,$AN111)+IF($G$1="破竹",$AQ111*1.5,0))*(1+$BM111)*(1+$BN111))*(1+$AR111)*$Q111*(1+IF(VLOOKUP($R111,武学奇术!$A:$ZZ,30,FALSE)="蓄力技",$B$21,0))*(1+IF(VLOOKUP($R111,武学奇术!$A:$ZZ,30,FALSE)="派生技",$B$20,0))*(1+$BW111)*(1+$BX111)</f>
        <v>0</v>
      </c>
      <c r="P111" s="46">
        <f>((($AT111*$AN111+$AO111)*(1+$AV111)*(1+$AW111)+($AY111*IF($G$1="鸣金",$AP111,$AN111)+IF($G$1="鸣金",$AQ111*1.5,0))*(1+$BA111)*(1+$BB111)+($BC111*IF($G$1="裂石",$AP111,$AN111)+IF($G$1="裂石",$AQ111*1.5,0))*(1+$BE111)*(1+$BF111)+($BG111*IF($G$1="牵丝",$AP111,$AN111)+IF($G$1="牵丝",$AQ111*1.5,0))*(1+$BI111)*(1+$BJ111)+($BK111*IF($G$1="破竹",$AP111,$AN111)+IF($G$1="破竹",$AQ111*1.5,0))*(1+$BM111)*(1+$BN111))*(1+$AR111))*$Q111*(1+IF(VLOOKUP($R111,武学奇术!$A:$ZZ,30,FALSE)="蓄力技",$B$21,0))*(1+IF(VLOOKUP($R111,武学奇术!$A:$ZZ,30,FALSE)="派生技",$B$20,0))*(1+$BW111)*(1+$BX111)</f>
        <v>0</v>
      </c>
      <c r="Q111" s="47">
        <v>1</v>
      </c>
      <c r="R111" s="48" t="s">
        <v>80</v>
      </c>
      <c r="S111" s="48" t="s">
        <v>80</v>
      </c>
      <c r="T111" s="48" t="s">
        <v>80</v>
      </c>
      <c r="U111" s="48" t="s">
        <v>80</v>
      </c>
      <c r="V111" s="48" t="s">
        <v>80</v>
      </c>
      <c r="W111" s="48" t="s">
        <v>80</v>
      </c>
      <c r="X111" s="48" t="s">
        <v>80</v>
      </c>
      <c r="Y111" s="48" t="s">
        <v>80</v>
      </c>
      <c r="Z111" s="48" t="s">
        <v>80</v>
      </c>
      <c r="AA111" s="48" t="s">
        <v>80</v>
      </c>
      <c r="AB111" s="48" t="s">
        <v>80</v>
      </c>
      <c r="AC111" s="48" t="s">
        <v>80</v>
      </c>
      <c r="AD111" s="48" t="s">
        <v>80</v>
      </c>
      <c r="AE111" s="48" t="s">
        <v>82</v>
      </c>
      <c r="AF111" s="48" t="s">
        <v>83</v>
      </c>
      <c r="AG111" s="48" t="s">
        <v>84</v>
      </c>
      <c r="AH111" s="48" t="s">
        <v>80</v>
      </c>
      <c r="AI111" s="48" t="s">
        <v>80</v>
      </c>
      <c r="AJ111" s="48" t="s">
        <v>80</v>
      </c>
      <c r="AK111" s="48" t="s">
        <v>80</v>
      </c>
      <c r="AL111" s="48" t="s">
        <v>85</v>
      </c>
      <c r="AM111" t="str">
        <f>VLOOKUP($R111,武学奇术!$A:$ZZ,25,FALSE)</f>
        <v>心法</v>
      </c>
      <c r="AN111" s="33">
        <f>VLOOKUP($R111,武学奇术!$A:$ZZ,26,FALSE)</f>
        <v>0</v>
      </c>
      <c r="AO111" s="34">
        <f>VLOOKUP($R111,武学奇术!$A:$ZZ,27,FALSE)*(1+IF(OR($AM111=$F$4,$AM111=$F$5),$B$22,0))</f>
        <v>0</v>
      </c>
      <c r="AP111" s="33">
        <f>VLOOKUP($R111,武学奇术!$A:$ZZ,28,FALSE)</f>
        <v>0</v>
      </c>
      <c r="AQ111" s="34">
        <f>VLOOKUP($R111,武学奇术!$A:$ZZ,29,FALSE)*(1+IF(OR($AM111=$F$4,$AM111=$F$5),$B$22,0))</f>
        <v>0</v>
      </c>
      <c r="AR111" s="33" cm="1">
        <f t="array" ref="AR111">$G$3+IFERROR(VLOOKUP($AM111,$F$4:$G$7,2,FALSE),0)+VLOOKUP($R111,武学奇术!$A:$ZZ,2,FALSE)+SUM(_xlfn.XLOOKUP($S111:$AL111,增益!$A:$A,增益!$B:$B,0))</f>
        <v>0.3142</v>
      </c>
      <c r="AS111" s="33" cm="1">
        <f t="array" ref="AS111">VLOOKUP($R111,武学奇术!$A:$ZZ,5,FALSE)+SUM(_xlfn.XLOOKUP($S111:$AL111,增益!$A:$A,增益!$E:$E,0))</f>
        <v>0</v>
      </c>
      <c r="AT111" cm="1">
        <f t="array" ref="AT111">$D$10*(1+$AS111)+VLOOKUP($R111,武学奇术!$A:$ZZ,3,FALSE)+SUM(_xlfn.XLOOKUP($S111:$AL111,增益!$A:$A,增益!$C:$C,0))-$I$2</f>
        <v>4094.7</v>
      </c>
      <c r="AU111" cm="1">
        <f t="array" ref="AU111">$E$10*(1+$AS111)+VLOOKUP($R111,武学奇术!$A:$ZZ,4,FALSE)+SUM(_xlfn.XLOOKUP($S111:$AL111,增益!$A:$A,增益!$D:$D,0))-$I$2</f>
        <v>4094.7</v>
      </c>
      <c r="AV111" s="40" cm="1">
        <f t="array" ref="AV111">IF($F$10-$I$3+VLOOKUP($R111,武学奇术!$A:$ZZ,6,FALSE)+SUM(_xlfn.XLOOKUP($S111:$AL111,增益!$A:$A,增益!$F:$F,0))&gt;0,($F$10-$I$3+VLOOKUP($R111,武学奇术!$A:$ZZ,6,FALSE)+SUM(_xlfn.XLOOKUP($S111:$AL111,增益!$A:$A,增益!$F:$F,0)))/200,($F$10-$I$3+VLOOKUP($R111,武学奇术!$A:$ZZ,6,FALSE)+SUM(_xlfn.XLOOKUP($S111:$AL111,增益!$A:$A,增益!$F:$F,0)))/100)</f>
        <v>0.3134</v>
      </c>
      <c r="AW111" s="40" cm="1">
        <f t="array" ref="AW111">$G$10+VLOOKUP($R111,武学奇术!$A:$ZZ,7,FALSE)+SUM(_xlfn.XLOOKUP($S111:$AL111,增益!$A:$A,增益!$G:$G,0))</f>
        <v>0.02</v>
      </c>
      <c r="AX111" s="33" cm="1">
        <f t="array" ref="AX111">VLOOKUP($R111,武学奇术!$A:$ZZ,8,FALSE)+SUM(_xlfn.XLOOKUP($S111:$AL111,增益!$A:$A,增益!$H:$H,0))</f>
        <v>0</v>
      </c>
      <c r="AY111">
        <f t="shared" si="44"/>
        <v>0</v>
      </c>
      <c r="AZ111">
        <f t="shared" si="45"/>
        <v>0</v>
      </c>
      <c r="BA111" s="40" cm="1">
        <f t="array" ref="BA111">IF($F$11-$I$4+VLOOKUP($R111,武学奇术!$A:$ZZ,9,FALSE)+SUM(_xlfn.XLOOKUP($S111:$AL111,增益!$A:$A,增益!$I:$I,0))&gt;0,($F$11-$I$4+VLOOKUP($R111,武学奇术!$A:$ZZ,9,FALSE)+SUM(_xlfn.XLOOKUP($S111:$AL111,增益!$A:$A,增益!$I:$I,0)))/200,($F$11-$I$4+VLOOKUP($R111,武学奇术!$A:$ZZ,9,FALSE)+SUM(_xlfn.XLOOKUP($S111:$AL111,增益!$A:$A,增益!$I:$I,0)))/100)</f>
        <v>-0.3</v>
      </c>
      <c r="BB111" s="40" cm="1">
        <f t="array" ref="BB111">$G$11+VLOOKUP($R111,武学奇术!$A:$ZZ,10,FALSE)+SUM(_xlfn.XLOOKUP($S111:$AL111,增益!$A:$A,增益!$J:$J,0))</f>
        <v>0.02</v>
      </c>
      <c r="BC111">
        <f t="shared" si="46"/>
        <v>640.3</v>
      </c>
      <c r="BD111">
        <f t="shared" si="47"/>
        <v>1770.1</v>
      </c>
      <c r="BE111" s="40" cm="1">
        <f t="array" ref="BE111">IF($F$12-$I$4+VLOOKUP($R111,武学奇术!$A:$ZZ,11,FALSE)+SUM(_xlfn.XLOOKUP($S111:$AL111,增益!$A:$A,增益!$K:$K,0))&gt;0,($F$12-$I$4+VLOOKUP($R111,武学奇术!$A:$ZZ,11,FALSE)+SUM(_xlfn.XLOOKUP($S111:$AL111,增益!$A:$A,增益!$K:$K,0)))/200,($F$12-$I$4+VLOOKUP($R111,武学奇术!$A:$ZZ,11,FALSE)+SUM(_xlfn.XLOOKUP($S111:$AL111,增益!$A:$A,增益!$K:$K,0)))/100)</f>
        <v>0.09</v>
      </c>
      <c r="BF111" s="40" cm="1">
        <f t="array" ref="BF111">$G$12+VLOOKUP($R111,武学奇术!$A:$ZZ,12,FALSE)+SUM(_xlfn.XLOOKUP($S111:$AL111,增益!$A:$A,增益!$L:$L,0))</f>
        <v>0.17</v>
      </c>
      <c r="BG111">
        <f t="shared" si="48"/>
        <v>0</v>
      </c>
      <c r="BH111">
        <f t="shared" si="49"/>
        <v>0</v>
      </c>
      <c r="BI111" s="40" cm="1">
        <f t="array" ref="BI111">IF($F$13-$I$4+VLOOKUP($R111,武学奇术!$A:$ZZ,13,FALSE)+SUM(_xlfn.XLOOKUP($S111:$AL111,增益!$A:$A,增益!$M:$M,0))&gt;0,($F$13-$I$4+VLOOKUP($R111,武学奇术!$A:$ZZ,13,FALSE)+SUM(_xlfn.XLOOKUP($S111:$AL111,增益!$A:$A,增益!$K:$K,0)))/200,($F$13-$I$4+VLOOKUP($R111,武学奇术!$A:$ZZ,13,FALSE)+SUM(_xlfn.XLOOKUP($S111:$AL111,增益!$A:$A,增益!$M:$M,0)))/100)</f>
        <v>-0.3</v>
      </c>
      <c r="BJ111" s="40" cm="1">
        <f t="array" ref="BJ111">$G$13+VLOOKUP($R111,武学奇术!$A:$ZZ,14,FALSE)+SUM(_xlfn.XLOOKUP($S111:$AL111,增益!$A:$A,增益!$N:$N,0))</f>
        <v>0.02</v>
      </c>
      <c r="BK111">
        <f t="shared" si="50"/>
        <v>0</v>
      </c>
      <c r="BL111">
        <f t="shared" si="51"/>
        <v>0</v>
      </c>
      <c r="BM111" s="40" cm="1">
        <f t="array" ref="BM111">IF($F$14-$I$4+VLOOKUP($R111,武学奇术!$A:$ZZ,15,FALSE)+SUM(_xlfn.XLOOKUP($S111:$AL111,增益!$A:$A,增益!$O:$O,0))&gt;0,($F$14-$I$4+VLOOKUP($R111,武学奇术!$A:$ZZ,15,FALSE)+SUM(_xlfn.XLOOKUP($S111:$AL111,增益!$A:$A,增益!$O:$O,0)))/200,($F$14-$I$4+VLOOKUP($R111,武学奇术!$A:$ZZ,15,FALSE)+SUM(_xlfn.XLOOKUP($S111:$AL111,增益!$A:$A,增益!$O:$O,0)))/100)</f>
        <v>-0.3</v>
      </c>
      <c r="BN111" s="40" cm="1">
        <f t="array" ref="BN111">$G$14+VLOOKUP($R111,武学奇术!$A:$ZZ,16,FALSE)+SUM(_xlfn.XLOOKUP($S111:$AL111,增益!$A:$A,增益!$P:$P,0))</f>
        <v>0.02</v>
      </c>
      <c r="BO111" s="33">
        <f>MIN(IF(VLOOKUP($R111,武学奇术!$A:$ZZ,23,FALSE)=1,100%,$B$8),100%)</f>
        <v>0.9771</v>
      </c>
      <c r="BP111" s="33" cm="1">
        <f t="array" ref="BP111">IF(VLOOKUP($R111,武学奇术!$A:$ZZ,23,FALSE)=1,100%,MIN(80%,$B$9+VLOOKUP($R111,武学奇术!$A:$ZZ,17,FALSE)+SUM(_xlfn.XLOOKUP($S111:$AL111,增益!$A:$A,增益!$Q:$Q,0)))+$B$11+SUM(_xlfn.XLOOKUP($S111:$AL111,增益!$A:$A,增益!$U:$U,0)))*IF(VLOOKUP($R111,武学奇术!$A:$ZZ,24,FALSE)=1,0,1)</f>
        <v>0.8861</v>
      </c>
      <c r="BQ111" s="33" cm="1">
        <f t="array" ref="BQ111">1+$B$13+VLOOKUP($R111,武学奇术!$A:$ZZ,18,FALSE)+SUM(_xlfn.XLOOKUP($S111:$AL111,增益!$A:$A,增益!$R:$R,0))</f>
        <v>1.54</v>
      </c>
      <c r="BR111" s="33" cm="1">
        <f t="array" ref="BR111">IF(VLOOKUP($R111,武学奇术!$A:$ZZ,24,FALSE)=1,100%,MIN(40%,$B$10+VLOOKUP($R111,武学奇术!$A:$ZZ,19,FALSE)+SUM(_xlfn.XLOOKUP($S111:$AL111,增益!$A:$A,增益!$S:$S,0)))+$B$12+SUM(_xlfn.XLOOKUP($S111:$AL111,增益!$A:$A,增益!$V:$V,0)))*IF(VLOOKUP($R111,武学奇术!$A:$ZZ,23,FALSE)=1,0,1)</f>
        <v>0.0913</v>
      </c>
      <c r="BS111" s="33" cm="1">
        <f t="array" ref="BS111">1+$B$14+VLOOKUP($R111,武学奇术!$A:$ZZ,20,FALSE)+SUM(_xlfn.XLOOKUP($S111:$AL111,增益!$A:$A,增益!$T:$T,0))</f>
        <v>1.35</v>
      </c>
      <c r="BT111" s="33">
        <f t="shared" si="52"/>
        <v>0.86580831</v>
      </c>
      <c r="BU111" s="33">
        <f t="shared" si="53"/>
        <v>0.02208246</v>
      </c>
      <c r="BV111" s="33">
        <f>IF(VLOOKUP($R111,武学奇术!$A:$ZZ,22,FALSE)=1,0,(1-$BO111))*(1-$BR111)</f>
        <v>0.02080923</v>
      </c>
      <c r="BW111" s="33" cm="1">
        <f t="array" ref="BW111">SUM(_xlfn.XLOOKUP($S111:$AL111,增益!$A:$A,增益!$W:$W,0))+$I$5</f>
        <v>0.11</v>
      </c>
      <c r="BX111" s="33" cm="1">
        <f t="array" ref="BX111">VLOOKUP($R111,武学奇术!$A:$ZZ,32,FALSE)+SUM(_xlfn.XLOOKUP($S111:$AL111,增益!$A:$A,增益!$X:$X,0))</f>
        <v>0</v>
      </c>
    </row>
    <row r="112" spans="1:76">
      <c r="A112" s="4" t="s">
        <v>190</v>
      </c>
      <c r="B112" s="4">
        <v>1.1</v>
      </c>
      <c r="C112" s="47"/>
      <c r="D112" s="47"/>
      <c r="E112" s="47"/>
      <c r="L112" s="46">
        <f t="shared" si="54"/>
        <v>0</v>
      </c>
      <c r="M112" s="46">
        <f>((($AT112+$AU112)/2*$AN112+$AO112)*(1+$AV112)*(1+$AW112)+(($AY112+$AZ112)/2*IF($G$1="鸣金",$AP112,$AN112)+IF($G$1="鸣金",$AQ112*1.5,0))*(1+$BA112)*(1+$BB112)+(($BC112+$BD112)/2*IF($G$1="裂石",$AP112,$AN112)+IF($G$1="裂石",$AQ112*1.5,0))*(1+$BE112)*(1+$BF112)+(($BG112+$BH112)/2*IF($G$1="牵丝",$AP112,$AN112)+IF($G$1="牵丝",$AQ112*1.5,0))*(1+$BI112)*(1+$BJ112)+(($BK112+$BL112)/2*IF($G$1="破竹",$AP112,$AN112)+IF($G$1="破竹",$AQ112*1.5,0))*(1+$BM112)*(1+$BN112))*(1+$AR112)*$BQ112*$Q112*(1+IF(VLOOKUP($R112,武学奇术!$A:$ZZ,30,FALSE)="蓄力技",$B$21,0))*(1+IF(VLOOKUP($R112,武学奇术!$A:$ZZ,30,FALSE)="派生技",$B$20,0))*(1+$BW112)*(1+$BX112)</f>
        <v>0</v>
      </c>
      <c r="N112" s="46">
        <f>(($AU112*$AN112+$AO112)*(1+$AV112)*(1+$AW112)+($AZ112*IF($G$1="鸣金",$AP112,$AN112)+IF($G$1="鸣金",$AQ112*1.5,0))*(1+$BA112)*(1+$BB112)+($BD112*IF($G$1="裂石",$AP112,$AN112)+IF($G$1="裂石",$AQ112*1.5,0))*(1+$BE112)*(1+$BF112)+($BH112*IF($G$1="牵丝",$AP112,$AN112)+IF($G$1="牵丝",$AQ112*1.5,0))*(1+$BI112)*(1+$BJ112)+($BL112*IF($G$1="破竹",$AP112,$AN112)+IF($G$1="破竹",$AQ112*1.5,0))*(1+$BM112)*(1+$BN112))*(1+$AR112)*$BS112*$Q112*(1+IF(VLOOKUP($R112,武学奇术!$A:$ZZ,30,FALSE)="蓄力技",$B$21,0))*(1+IF(VLOOKUP($R112,武学奇术!$A:$ZZ,30,FALSE)="派生技",$B$20,0))*(1+$BW112)*(1+$BX112)</f>
        <v>0</v>
      </c>
      <c r="O112" s="46">
        <f>((($AT112+$AU112)/2*$AN112+$AO112)*(1+$AV112)*(1+$AW112)+(($AY112+$AZ112)/2*IF($G$1="鸣金",$AP112,$AN112)+IF($G$1="鸣金",$AQ112*1.5,0))*(1+$BA112)*(1+$BB112)+(($BC112+$BD112)/2*IF($G$1="裂石",$AP112,$AN112)+IF($G$1="裂石",$AQ112*1.5,0))*(1+$BE112)*(1+$BF112)+(($BG112+$BH112)/2*IF($G$1="牵丝",$AP112,$AN112)+IF($G$1="牵丝",$AQ112*1.5,0))*(1+$BI112)*(1+$BJ112)+(($BK112+$BL112)/2*IF($G$1="破竹",$AP112,$AN112)+IF($G$1="破竹",$AQ112*1.5,0))*(1+$BM112)*(1+$BN112))*(1+$AR112)*$Q112*(1+IF(VLOOKUP($R112,武学奇术!$A:$ZZ,30,FALSE)="蓄力技",$B$21,0))*(1+IF(VLOOKUP($R112,武学奇术!$A:$ZZ,30,FALSE)="派生技",$B$20,0))*(1+$BW112)*(1+$BX112)</f>
        <v>0</v>
      </c>
      <c r="P112" s="46">
        <f>((($AT112*$AN112+$AO112)*(1+$AV112)*(1+$AW112)+($AY112*IF($G$1="鸣金",$AP112,$AN112)+IF($G$1="鸣金",$AQ112*1.5,0))*(1+$BA112)*(1+$BB112)+($BC112*IF($G$1="裂石",$AP112,$AN112)+IF($G$1="裂石",$AQ112*1.5,0))*(1+$BE112)*(1+$BF112)+($BG112*IF($G$1="牵丝",$AP112,$AN112)+IF($G$1="牵丝",$AQ112*1.5,0))*(1+$BI112)*(1+$BJ112)+($BK112*IF($G$1="破竹",$AP112,$AN112)+IF($G$1="破竹",$AQ112*1.5,0))*(1+$BM112)*(1+$BN112))*(1+$AR112))*$Q112*(1+IF(VLOOKUP($R112,武学奇术!$A:$ZZ,30,FALSE)="蓄力技",$B$21,0))*(1+IF(VLOOKUP($R112,武学奇术!$A:$ZZ,30,FALSE)="派生技",$B$20,0))*(1+$BW112)*(1+$BX112)</f>
        <v>0</v>
      </c>
      <c r="Q112" s="47">
        <v>1</v>
      </c>
      <c r="R112" s="48" t="s">
        <v>80</v>
      </c>
      <c r="S112" s="48" t="s">
        <v>80</v>
      </c>
      <c r="T112" s="48" t="s">
        <v>80</v>
      </c>
      <c r="U112" s="48" t="s">
        <v>80</v>
      </c>
      <c r="V112" s="48" t="s">
        <v>80</v>
      </c>
      <c r="W112" s="48" t="s">
        <v>80</v>
      </c>
      <c r="X112" s="48" t="s">
        <v>80</v>
      </c>
      <c r="Y112" s="48" t="s">
        <v>80</v>
      </c>
      <c r="Z112" s="48" t="s">
        <v>80</v>
      </c>
      <c r="AA112" s="48" t="s">
        <v>80</v>
      </c>
      <c r="AB112" s="48" t="s">
        <v>80</v>
      </c>
      <c r="AC112" s="48" t="s">
        <v>80</v>
      </c>
      <c r="AD112" s="48" t="s">
        <v>80</v>
      </c>
      <c r="AE112" s="48" t="s">
        <v>82</v>
      </c>
      <c r="AF112" s="48" t="s">
        <v>83</v>
      </c>
      <c r="AG112" s="48" t="s">
        <v>84</v>
      </c>
      <c r="AH112" s="48" t="s">
        <v>80</v>
      </c>
      <c r="AI112" s="48" t="s">
        <v>80</v>
      </c>
      <c r="AJ112" s="48" t="s">
        <v>80</v>
      </c>
      <c r="AK112" s="48" t="s">
        <v>80</v>
      </c>
      <c r="AL112" s="48" t="s">
        <v>85</v>
      </c>
      <c r="AM112" t="str">
        <f>VLOOKUP($R112,武学奇术!$A:$ZZ,25,FALSE)</f>
        <v>心法</v>
      </c>
      <c r="AN112" s="33">
        <f>VLOOKUP($R112,武学奇术!$A:$ZZ,26,FALSE)</f>
        <v>0</v>
      </c>
      <c r="AO112" s="34">
        <f>VLOOKUP($R112,武学奇术!$A:$ZZ,27,FALSE)*(1+IF(OR($AM112=$F$4,$AM112=$F$5),$B$22,0))</f>
        <v>0</v>
      </c>
      <c r="AP112" s="33">
        <f>VLOOKUP($R112,武学奇术!$A:$ZZ,28,FALSE)</f>
        <v>0</v>
      </c>
      <c r="AQ112" s="34">
        <f>VLOOKUP($R112,武学奇术!$A:$ZZ,29,FALSE)*(1+IF(OR($AM112=$F$4,$AM112=$F$5),$B$22,0))</f>
        <v>0</v>
      </c>
      <c r="AR112" s="33" cm="1">
        <f t="array" ref="AR112">$G$3+IFERROR(VLOOKUP($AM112,$F$4:$G$7,2,FALSE),0)+VLOOKUP($R112,武学奇术!$A:$ZZ,2,FALSE)+SUM(_xlfn.XLOOKUP($S112:$AL112,增益!$A:$A,增益!$B:$B,0))</f>
        <v>0.3142</v>
      </c>
      <c r="AS112" s="33" cm="1">
        <f t="array" ref="AS112">VLOOKUP($R112,武学奇术!$A:$ZZ,5,FALSE)+SUM(_xlfn.XLOOKUP($S112:$AL112,增益!$A:$A,增益!$E:$E,0))</f>
        <v>0</v>
      </c>
      <c r="AT112" cm="1">
        <f t="array" ref="AT112">$D$10*(1+$AS112)+VLOOKUP($R112,武学奇术!$A:$ZZ,3,FALSE)+SUM(_xlfn.XLOOKUP($S112:$AL112,增益!$A:$A,增益!$C:$C,0))-$I$2</f>
        <v>4094.7</v>
      </c>
      <c r="AU112" cm="1">
        <f t="array" ref="AU112">$E$10*(1+$AS112)+VLOOKUP($R112,武学奇术!$A:$ZZ,4,FALSE)+SUM(_xlfn.XLOOKUP($S112:$AL112,增益!$A:$A,增益!$D:$D,0))-$I$2</f>
        <v>4094.7</v>
      </c>
      <c r="AV112" s="40" cm="1">
        <f t="array" ref="AV112">IF($F$10-$I$3+VLOOKUP($R112,武学奇术!$A:$ZZ,6,FALSE)+SUM(_xlfn.XLOOKUP($S112:$AL112,增益!$A:$A,增益!$F:$F,0))&gt;0,($F$10-$I$3+VLOOKUP($R112,武学奇术!$A:$ZZ,6,FALSE)+SUM(_xlfn.XLOOKUP($S112:$AL112,增益!$A:$A,增益!$F:$F,0)))/200,($F$10-$I$3+VLOOKUP($R112,武学奇术!$A:$ZZ,6,FALSE)+SUM(_xlfn.XLOOKUP($S112:$AL112,增益!$A:$A,增益!$F:$F,0)))/100)</f>
        <v>0.3134</v>
      </c>
      <c r="AW112" s="40" cm="1">
        <f t="array" ref="AW112">$G$10+VLOOKUP($R112,武学奇术!$A:$ZZ,7,FALSE)+SUM(_xlfn.XLOOKUP($S112:$AL112,增益!$A:$A,增益!$G:$G,0))</f>
        <v>0.02</v>
      </c>
      <c r="AX112" s="33" cm="1">
        <f t="array" ref="AX112">VLOOKUP($R112,武学奇术!$A:$ZZ,8,FALSE)+SUM(_xlfn.XLOOKUP($S112:$AL112,增益!$A:$A,增益!$H:$H,0))</f>
        <v>0</v>
      </c>
      <c r="AY112">
        <f t="shared" si="44"/>
        <v>0</v>
      </c>
      <c r="AZ112">
        <f t="shared" si="45"/>
        <v>0</v>
      </c>
      <c r="BA112" s="40" cm="1">
        <f t="array" ref="BA112">IF($F$11-$I$4+VLOOKUP($R112,武学奇术!$A:$ZZ,9,FALSE)+SUM(_xlfn.XLOOKUP($S112:$AL112,增益!$A:$A,增益!$I:$I,0))&gt;0,($F$11-$I$4+VLOOKUP($R112,武学奇术!$A:$ZZ,9,FALSE)+SUM(_xlfn.XLOOKUP($S112:$AL112,增益!$A:$A,增益!$I:$I,0)))/200,($F$11-$I$4+VLOOKUP($R112,武学奇术!$A:$ZZ,9,FALSE)+SUM(_xlfn.XLOOKUP($S112:$AL112,增益!$A:$A,增益!$I:$I,0)))/100)</f>
        <v>-0.3</v>
      </c>
      <c r="BB112" s="40" cm="1">
        <f t="array" ref="BB112">$G$11+VLOOKUP($R112,武学奇术!$A:$ZZ,10,FALSE)+SUM(_xlfn.XLOOKUP($S112:$AL112,增益!$A:$A,增益!$J:$J,0))</f>
        <v>0.02</v>
      </c>
      <c r="BC112">
        <f t="shared" si="46"/>
        <v>640.3</v>
      </c>
      <c r="BD112">
        <f t="shared" si="47"/>
        <v>1770.1</v>
      </c>
      <c r="BE112" s="40" cm="1">
        <f t="array" ref="BE112">IF($F$12-$I$4+VLOOKUP($R112,武学奇术!$A:$ZZ,11,FALSE)+SUM(_xlfn.XLOOKUP($S112:$AL112,增益!$A:$A,增益!$K:$K,0))&gt;0,($F$12-$I$4+VLOOKUP($R112,武学奇术!$A:$ZZ,11,FALSE)+SUM(_xlfn.XLOOKUP($S112:$AL112,增益!$A:$A,增益!$K:$K,0)))/200,($F$12-$I$4+VLOOKUP($R112,武学奇术!$A:$ZZ,11,FALSE)+SUM(_xlfn.XLOOKUP($S112:$AL112,增益!$A:$A,增益!$K:$K,0)))/100)</f>
        <v>0.09</v>
      </c>
      <c r="BF112" s="40" cm="1">
        <f t="array" ref="BF112">$G$12+VLOOKUP($R112,武学奇术!$A:$ZZ,12,FALSE)+SUM(_xlfn.XLOOKUP($S112:$AL112,增益!$A:$A,增益!$L:$L,0))</f>
        <v>0.17</v>
      </c>
      <c r="BG112">
        <f t="shared" si="48"/>
        <v>0</v>
      </c>
      <c r="BH112">
        <f t="shared" si="49"/>
        <v>0</v>
      </c>
      <c r="BI112" s="40" cm="1">
        <f t="array" ref="BI112">IF($F$13-$I$4+VLOOKUP($R112,武学奇术!$A:$ZZ,13,FALSE)+SUM(_xlfn.XLOOKUP($S112:$AL112,增益!$A:$A,增益!$M:$M,0))&gt;0,($F$13-$I$4+VLOOKUP($R112,武学奇术!$A:$ZZ,13,FALSE)+SUM(_xlfn.XLOOKUP($S112:$AL112,增益!$A:$A,增益!$K:$K,0)))/200,($F$13-$I$4+VLOOKUP($R112,武学奇术!$A:$ZZ,13,FALSE)+SUM(_xlfn.XLOOKUP($S112:$AL112,增益!$A:$A,增益!$M:$M,0)))/100)</f>
        <v>-0.3</v>
      </c>
      <c r="BJ112" s="40" cm="1">
        <f t="array" ref="BJ112">$G$13+VLOOKUP($R112,武学奇术!$A:$ZZ,14,FALSE)+SUM(_xlfn.XLOOKUP($S112:$AL112,增益!$A:$A,增益!$N:$N,0))</f>
        <v>0.02</v>
      </c>
      <c r="BK112">
        <f t="shared" si="50"/>
        <v>0</v>
      </c>
      <c r="BL112">
        <f t="shared" si="51"/>
        <v>0</v>
      </c>
      <c r="BM112" s="40" cm="1">
        <f t="array" ref="BM112">IF($F$14-$I$4+VLOOKUP($R112,武学奇术!$A:$ZZ,15,FALSE)+SUM(_xlfn.XLOOKUP($S112:$AL112,增益!$A:$A,增益!$O:$O,0))&gt;0,($F$14-$I$4+VLOOKUP($R112,武学奇术!$A:$ZZ,15,FALSE)+SUM(_xlfn.XLOOKUP($S112:$AL112,增益!$A:$A,增益!$O:$O,0)))/200,($F$14-$I$4+VLOOKUP($R112,武学奇术!$A:$ZZ,15,FALSE)+SUM(_xlfn.XLOOKUP($S112:$AL112,增益!$A:$A,增益!$O:$O,0)))/100)</f>
        <v>-0.3</v>
      </c>
      <c r="BN112" s="40" cm="1">
        <f t="array" ref="BN112">$G$14+VLOOKUP($R112,武学奇术!$A:$ZZ,16,FALSE)+SUM(_xlfn.XLOOKUP($S112:$AL112,增益!$A:$A,增益!$P:$P,0))</f>
        <v>0.02</v>
      </c>
      <c r="BO112" s="33">
        <f>MIN(IF(VLOOKUP($R112,武学奇术!$A:$ZZ,23,FALSE)=1,100%,$B$8),100%)</f>
        <v>0.9771</v>
      </c>
      <c r="BP112" s="33" cm="1">
        <f t="array" ref="BP112">IF(VLOOKUP($R112,武学奇术!$A:$ZZ,23,FALSE)=1,100%,MIN(80%,$B$9+VLOOKUP($R112,武学奇术!$A:$ZZ,17,FALSE)+SUM(_xlfn.XLOOKUP($S112:$AL112,增益!$A:$A,增益!$Q:$Q,0)))+$B$11+SUM(_xlfn.XLOOKUP($S112:$AL112,增益!$A:$A,增益!$U:$U,0)))*IF(VLOOKUP($R112,武学奇术!$A:$ZZ,24,FALSE)=1,0,1)</f>
        <v>0.8861</v>
      </c>
      <c r="BQ112" s="33" cm="1">
        <f t="array" ref="BQ112">1+$B$13+VLOOKUP($R112,武学奇术!$A:$ZZ,18,FALSE)+SUM(_xlfn.XLOOKUP($S112:$AL112,增益!$A:$A,增益!$R:$R,0))</f>
        <v>1.54</v>
      </c>
      <c r="BR112" s="33" cm="1">
        <f t="array" ref="BR112">IF(VLOOKUP($R112,武学奇术!$A:$ZZ,24,FALSE)=1,100%,MIN(40%,$B$10+VLOOKUP($R112,武学奇术!$A:$ZZ,19,FALSE)+SUM(_xlfn.XLOOKUP($S112:$AL112,增益!$A:$A,增益!$S:$S,0)))+$B$12+SUM(_xlfn.XLOOKUP($S112:$AL112,增益!$A:$A,增益!$V:$V,0)))*IF(VLOOKUP($R112,武学奇术!$A:$ZZ,23,FALSE)=1,0,1)</f>
        <v>0.0913</v>
      </c>
      <c r="BS112" s="33" cm="1">
        <f t="array" ref="BS112">1+$B$14+VLOOKUP($R112,武学奇术!$A:$ZZ,20,FALSE)+SUM(_xlfn.XLOOKUP($S112:$AL112,增益!$A:$A,增益!$T:$T,0))</f>
        <v>1.35</v>
      </c>
      <c r="BT112" s="33">
        <f t="shared" si="52"/>
        <v>0.86580831</v>
      </c>
      <c r="BU112" s="33">
        <f t="shared" si="53"/>
        <v>0.02208246</v>
      </c>
      <c r="BV112" s="33">
        <f>IF(VLOOKUP($R112,武学奇术!$A:$ZZ,22,FALSE)=1,0,(1-$BO112))*(1-$BR112)</f>
        <v>0.02080923</v>
      </c>
      <c r="BW112" s="33" cm="1">
        <f t="array" ref="BW112">SUM(_xlfn.XLOOKUP($S112:$AL112,增益!$A:$A,增益!$W:$W,0))+$I$5</f>
        <v>0.11</v>
      </c>
      <c r="BX112" s="33" cm="1">
        <f t="array" ref="BX112">VLOOKUP($R112,武学奇术!$A:$ZZ,32,FALSE)+SUM(_xlfn.XLOOKUP($S112:$AL112,增益!$A:$A,增益!$X:$X,0))</f>
        <v>0</v>
      </c>
    </row>
    <row r="113" spans="1:76">
      <c r="A113" s="4" t="s">
        <v>189</v>
      </c>
      <c r="B113" s="4">
        <v>0.8</v>
      </c>
      <c r="C113" s="47"/>
      <c r="D113" s="47"/>
      <c r="E113" s="47"/>
      <c r="L113" s="46">
        <f t="shared" si="54"/>
        <v>0</v>
      </c>
      <c r="M113" s="46">
        <f>((($AT113+$AU113)/2*$AN113+$AO113)*(1+$AV113)*(1+$AW113)+(($AY113+$AZ113)/2*IF($G$1="鸣金",$AP113,$AN113)+IF($G$1="鸣金",$AQ113*1.5,0))*(1+$BA113)*(1+$BB113)+(($BC113+$BD113)/2*IF($G$1="裂石",$AP113,$AN113)+IF($G$1="裂石",$AQ113*1.5,0))*(1+$BE113)*(1+$BF113)+(($BG113+$BH113)/2*IF($G$1="牵丝",$AP113,$AN113)+IF($G$1="牵丝",$AQ113*1.5,0))*(1+$BI113)*(1+$BJ113)+(($BK113+$BL113)/2*IF($G$1="破竹",$AP113,$AN113)+IF($G$1="破竹",$AQ113*1.5,0))*(1+$BM113)*(1+$BN113))*(1+$AR113)*$BQ113*$Q113*(1+IF(VLOOKUP($R113,武学奇术!$A:$ZZ,30,FALSE)="蓄力技",$B$21,0))*(1+IF(VLOOKUP($R113,武学奇术!$A:$ZZ,30,FALSE)="派生技",$B$20,0))*(1+$BW113)*(1+$BX113)</f>
        <v>0</v>
      </c>
      <c r="N113" s="46">
        <f>(($AU113*$AN113+$AO113)*(1+$AV113)*(1+$AW113)+($AZ113*IF($G$1="鸣金",$AP113,$AN113)+IF($G$1="鸣金",$AQ113*1.5,0))*(1+$BA113)*(1+$BB113)+($BD113*IF($G$1="裂石",$AP113,$AN113)+IF($G$1="裂石",$AQ113*1.5,0))*(1+$BE113)*(1+$BF113)+($BH113*IF($G$1="牵丝",$AP113,$AN113)+IF($G$1="牵丝",$AQ113*1.5,0))*(1+$BI113)*(1+$BJ113)+($BL113*IF($G$1="破竹",$AP113,$AN113)+IF($G$1="破竹",$AQ113*1.5,0))*(1+$BM113)*(1+$BN113))*(1+$AR113)*$BS113*$Q113*(1+IF(VLOOKUP($R113,武学奇术!$A:$ZZ,30,FALSE)="蓄力技",$B$21,0))*(1+IF(VLOOKUP($R113,武学奇术!$A:$ZZ,30,FALSE)="派生技",$B$20,0))*(1+$BW113)*(1+$BX113)</f>
        <v>0</v>
      </c>
      <c r="O113" s="46">
        <f>((($AT113+$AU113)/2*$AN113+$AO113)*(1+$AV113)*(1+$AW113)+(($AY113+$AZ113)/2*IF($G$1="鸣金",$AP113,$AN113)+IF($G$1="鸣金",$AQ113*1.5,0))*(1+$BA113)*(1+$BB113)+(($BC113+$BD113)/2*IF($G$1="裂石",$AP113,$AN113)+IF($G$1="裂石",$AQ113*1.5,0))*(1+$BE113)*(1+$BF113)+(($BG113+$BH113)/2*IF($G$1="牵丝",$AP113,$AN113)+IF($G$1="牵丝",$AQ113*1.5,0))*(1+$BI113)*(1+$BJ113)+(($BK113+$BL113)/2*IF($G$1="破竹",$AP113,$AN113)+IF($G$1="破竹",$AQ113*1.5,0))*(1+$BM113)*(1+$BN113))*(1+$AR113)*$Q113*(1+IF(VLOOKUP($R113,武学奇术!$A:$ZZ,30,FALSE)="蓄力技",$B$21,0))*(1+IF(VLOOKUP($R113,武学奇术!$A:$ZZ,30,FALSE)="派生技",$B$20,0))*(1+$BW113)*(1+$BX113)</f>
        <v>0</v>
      </c>
      <c r="P113" s="46">
        <f>((($AT113*$AN113+$AO113)*(1+$AV113)*(1+$AW113)+($AY113*IF($G$1="鸣金",$AP113,$AN113)+IF($G$1="鸣金",$AQ113*1.5,0))*(1+$BA113)*(1+$BB113)+($BC113*IF($G$1="裂石",$AP113,$AN113)+IF($G$1="裂石",$AQ113*1.5,0))*(1+$BE113)*(1+$BF113)+($BG113*IF($G$1="牵丝",$AP113,$AN113)+IF($G$1="牵丝",$AQ113*1.5,0))*(1+$BI113)*(1+$BJ113)+($BK113*IF($G$1="破竹",$AP113,$AN113)+IF($G$1="破竹",$AQ113*1.5,0))*(1+$BM113)*(1+$BN113))*(1+$AR113))*$Q113*(1+IF(VLOOKUP($R113,武学奇术!$A:$ZZ,30,FALSE)="蓄力技",$B$21,0))*(1+IF(VLOOKUP($R113,武学奇术!$A:$ZZ,30,FALSE)="派生技",$B$20,0))*(1+$BW113)*(1+$BX113)</f>
        <v>0</v>
      </c>
      <c r="Q113" s="47">
        <v>1</v>
      </c>
      <c r="R113" s="48" t="s">
        <v>80</v>
      </c>
      <c r="S113" s="48" t="s">
        <v>80</v>
      </c>
      <c r="T113" s="48" t="s">
        <v>80</v>
      </c>
      <c r="U113" s="48" t="s">
        <v>80</v>
      </c>
      <c r="V113" s="48" t="s">
        <v>80</v>
      </c>
      <c r="W113" s="48" t="s">
        <v>80</v>
      </c>
      <c r="X113" s="48" t="s">
        <v>80</v>
      </c>
      <c r="Y113" s="48" t="s">
        <v>80</v>
      </c>
      <c r="Z113" s="48" t="s">
        <v>80</v>
      </c>
      <c r="AA113" s="48" t="s">
        <v>80</v>
      </c>
      <c r="AB113" s="48" t="s">
        <v>80</v>
      </c>
      <c r="AC113" s="48" t="s">
        <v>80</v>
      </c>
      <c r="AD113" s="48" t="s">
        <v>80</v>
      </c>
      <c r="AE113" s="48" t="s">
        <v>82</v>
      </c>
      <c r="AF113" s="48" t="s">
        <v>83</v>
      </c>
      <c r="AG113" s="48" t="s">
        <v>84</v>
      </c>
      <c r="AH113" s="48" t="s">
        <v>80</v>
      </c>
      <c r="AI113" s="48" t="s">
        <v>80</v>
      </c>
      <c r="AJ113" s="48" t="s">
        <v>80</v>
      </c>
      <c r="AK113" s="48" t="s">
        <v>80</v>
      </c>
      <c r="AL113" s="48" t="s">
        <v>85</v>
      </c>
      <c r="AM113" t="str">
        <f>VLOOKUP($R113,武学奇术!$A:$ZZ,25,FALSE)</f>
        <v>心法</v>
      </c>
      <c r="AN113" s="33">
        <f>VLOOKUP($R113,武学奇术!$A:$ZZ,26,FALSE)</f>
        <v>0</v>
      </c>
      <c r="AO113" s="34">
        <f>VLOOKUP($R113,武学奇术!$A:$ZZ,27,FALSE)*(1+IF(OR($AM113=$F$4,$AM113=$F$5),$B$22,0))</f>
        <v>0</v>
      </c>
      <c r="AP113" s="33">
        <f>VLOOKUP($R113,武学奇术!$A:$ZZ,28,FALSE)</f>
        <v>0</v>
      </c>
      <c r="AQ113" s="34">
        <f>VLOOKUP($R113,武学奇术!$A:$ZZ,29,FALSE)*(1+IF(OR($AM113=$F$4,$AM113=$F$5),$B$22,0))</f>
        <v>0</v>
      </c>
      <c r="AR113" s="33" cm="1">
        <f t="array" ref="AR113">$G$3+IFERROR(VLOOKUP($AM113,$F$4:$G$7,2,FALSE),0)+VLOOKUP($R113,武学奇术!$A:$ZZ,2,FALSE)+SUM(_xlfn.XLOOKUP($S113:$AL113,增益!$A:$A,增益!$B:$B,0))</f>
        <v>0.3142</v>
      </c>
      <c r="AS113" s="33" cm="1">
        <f t="array" ref="AS113">VLOOKUP($R113,武学奇术!$A:$ZZ,5,FALSE)+SUM(_xlfn.XLOOKUP($S113:$AL113,增益!$A:$A,增益!$E:$E,0))</f>
        <v>0</v>
      </c>
      <c r="AT113" cm="1">
        <f t="array" ref="AT113">$D$10*(1+$AS113)+VLOOKUP($R113,武学奇术!$A:$ZZ,3,FALSE)+SUM(_xlfn.XLOOKUP($S113:$AL113,增益!$A:$A,增益!$C:$C,0))-$I$2</f>
        <v>4094.7</v>
      </c>
      <c r="AU113" cm="1">
        <f t="array" ref="AU113">$E$10*(1+$AS113)+VLOOKUP($R113,武学奇术!$A:$ZZ,4,FALSE)+SUM(_xlfn.XLOOKUP($S113:$AL113,增益!$A:$A,增益!$D:$D,0))-$I$2</f>
        <v>4094.7</v>
      </c>
      <c r="AV113" s="40" cm="1">
        <f t="array" ref="AV113">IF($F$10-$I$3+VLOOKUP($R113,武学奇术!$A:$ZZ,6,FALSE)+SUM(_xlfn.XLOOKUP($S113:$AL113,增益!$A:$A,增益!$F:$F,0))&gt;0,($F$10-$I$3+VLOOKUP($R113,武学奇术!$A:$ZZ,6,FALSE)+SUM(_xlfn.XLOOKUP($S113:$AL113,增益!$A:$A,增益!$F:$F,0)))/200,($F$10-$I$3+VLOOKUP($R113,武学奇术!$A:$ZZ,6,FALSE)+SUM(_xlfn.XLOOKUP($S113:$AL113,增益!$A:$A,增益!$F:$F,0)))/100)</f>
        <v>0.3134</v>
      </c>
      <c r="AW113" s="40" cm="1">
        <f t="array" ref="AW113">$G$10+VLOOKUP($R113,武学奇术!$A:$ZZ,7,FALSE)+SUM(_xlfn.XLOOKUP($S113:$AL113,增益!$A:$A,增益!$G:$G,0))</f>
        <v>0.02</v>
      </c>
      <c r="AX113" s="33" cm="1">
        <f t="array" ref="AX113">VLOOKUP($R113,武学奇术!$A:$ZZ,8,FALSE)+SUM(_xlfn.XLOOKUP($S113:$AL113,增益!$A:$A,增益!$H:$H,0))</f>
        <v>0</v>
      </c>
      <c r="AY113">
        <f t="shared" si="44"/>
        <v>0</v>
      </c>
      <c r="AZ113">
        <f t="shared" si="45"/>
        <v>0</v>
      </c>
      <c r="BA113" s="40" cm="1">
        <f t="array" ref="BA113">IF($F$11-$I$4+VLOOKUP($R113,武学奇术!$A:$ZZ,9,FALSE)+SUM(_xlfn.XLOOKUP($S113:$AL113,增益!$A:$A,增益!$I:$I,0))&gt;0,($F$11-$I$4+VLOOKUP($R113,武学奇术!$A:$ZZ,9,FALSE)+SUM(_xlfn.XLOOKUP($S113:$AL113,增益!$A:$A,增益!$I:$I,0)))/200,($F$11-$I$4+VLOOKUP($R113,武学奇术!$A:$ZZ,9,FALSE)+SUM(_xlfn.XLOOKUP($S113:$AL113,增益!$A:$A,增益!$I:$I,0)))/100)</f>
        <v>-0.3</v>
      </c>
      <c r="BB113" s="40" cm="1">
        <f t="array" ref="BB113">$G$11+VLOOKUP($R113,武学奇术!$A:$ZZ,10,FALSE)+SUM(_xlfn.XLOOKUP($S113:$AL113,增益!$A:$A,增益!$J:$J,0))</f>
        <v>0.02</v>
      </c>
      <c r="BC113">
        <f t="shared" si="46"/>
        <v>640.3</v>
      </c>
      <c r="BD113">
        <f t="shared" si="47"/>
        <v>1770.1</v>
      </c>
      <c r="BE113" s="40" cm="1">
        <f t="array" ref="BE113">IF($F$12-$I$4+VLOOKUP($R113,武学奇术!$A:$ZZ,11,FALSE)+SUM(_xlfn.XLOOKUP($S113:$AL113,增益!$A:$A,增益!$K:$K,0))&gt;0,($F$12-$I$4+VLOOKUP($R113,武学奇术!$A:$ZZ,11,FALSE)+SUM(_xlfn.XLOOKUP($S113:$AL113,增益!$A:$A,增益!$K:$K,0)))/200,($F$12-$I$4+VLOOKUP($R113,武学奇术!$A:$ZZ,11,FALSE)+SUM(_xlfn.XLOOKUP($S113:$AL113,增益!$A:$A,增益!$K:$K,0)))/100)</f>
        <v>0.09</v>
      </c>
      <c r="BF113" s="40" cm="1">
        <f t="array" ref="BF113">$G$12+VLOOKUP($R113,武学奇术!$A:$ZZ,12,FALSE)+SUM(_xlfn.XLOOKUP($S113:$AL113,增益!$A:$A,增益!$L:$L,0))</f>
        <v>0.17</v>
      </c>
      <c r="BG113">
        <f t="shared" si="48"/>
        <v>0</v>
      </c>
      <c r="BH113">
        <f t="shared" si="49"/>
        <v>0</v>
      </c>
      <c r="BI113" s="40" cm="1">
        <f t="array" ref="BI113">IF($F$13-$I$4+VLOOKUP($R113,武学奇术!$A:$ZZ,13,FALSE)+SUM(_xlfn.XLOOKUP($S113:$AL113,增益!$A:$A,增益!$M:$M,0))&gt;0,($F$13-$I$4+VLOOKUP($R113,武学奇术!$A:$ZZ,13,FALSE)+SUM(_xlfn.XLOOKUP($S113:$AL113,增益!$A:$A,增益!$K:$K,0)))/200,($F$13-$I$4+VLOOKUP($R113,武学奇术!$A:$ZZ,13,FALSE)+SUM(_xlfn.XLOOKUP($S113:$AL113,增益!$A:$A,增益!$M:$M,0)))/100)</f>
        <v>-0.3</v>
      </c>
      <c r="BJ113" s="40" cm="1">
        <f t="array" ref="BJ113">$G$13+VLOOKUP($R113,武学奇术!$A:$ZZ,14,FALSE)+SUM(_xlfn.XLOOKUP($S113:$AL113,增益!$A:$A,增益!$N:$N,0))</f>
        <v>0.02</v>
      </c>
      <c r="BK113">
        <f t="shared" si="50"/>
        <v>0</v>
      </c>
      <c r="BL113">
        <f t="shared" si="51"/>
        <v>0</v>
      </c>
      <c r="BM113" s="40" cm="1">
        <f t="array" ref="BM113">IF($F$14-$I$4+VLOOKUP($R113,武学奇术!$A:$ZZ,15,FALSE)+SUM(_xlfn.XLOOKUP($S113:$AL113,增益!$A:$A,增益!$O:$O,0))&gt;0,($F$14-$I$4+VLOOKUP($R113,武学奇术!$A:$ZZ,15,FALSE)+SUM(_xlfn.XLOOKUP($S113:$AL113,增益!$A:$A,增益!$O:$O,0)))/200,($F$14-$I$4+VLOOKUP($R113,武学奇术!$A:$ZZ,15,FALSE)+SUM(_xlfn.XLOOKUP($S113:$AL113,增益!$A:$A,增益!$O:$O,0)))/100)</f>
        <v>-0.3</v>
      </c>
      <c r="BN113" s="40" cm="1">
        <f t="array" ref="BN113">$G$14+VLOOKUP($R113,武学奇术!$A:$ZZ,16,FALSE)+SUM(_xlfn.XLOOKUP($S113:$AL113,增益!$A:$A,增益!$P:$P,0))</f>
        <v>0.02</v>
      </c>
      <c r="BO113" s="33">
        <f>MIN(IF(VLOOKUP($R113,武学奇术!$A:$ZZ,23,FALSE)=1,100%,$B$8),100%)</f>
        <v>0.9771</v>
      </c>
      <c r="BP113" s="33" cm="1">
        <f t="array" ref="BP113">IF(VLOOKUP($R113,武学奇术!$A:$ZZ,23,FALSE)=1,100%,MIN(80%,$B$9+VLOOKUP($R113,武学奇术!$A:$ZZ,17,FALSE)+SUM(_xlfn.XLOOKUP($S113:$AL113,增益!$A:$A,增益!$Q:$Q,0)))+$B$11+SUM(_xlfn.XLOOKUP($S113:$AL113,增益!$A:$A,增益!$U:$U,0)))*IF(VLOOKUP($R113,武学奇术!$A:$ZZ,24,FALSE)=1,0,1)</f>
        <v>0.8861</v>
      </c>
      <c r="BQ113" s="33" cm="1">
        <f t="array" ref="BQ113">1+$B$13+VLOOKUP($R113,武学奇术!$A:$ZZ,18,FALSE)+SUM(_xlfn.XLOOKUP($S113:$AL113,增益!$A:$A,增益!$R:$R,0))</f>
        <v>1.54</v>
      </c>
      <c r="BR113" s="33" cm="1">
        <f t="array" ref="BR113">IF(VLOOKUP($R113,武学奇术!$A:$ZZ,24,FALSE)=1,100%,MIN(40%,$B$10+VLOOKUP($R113,武学奇术!$A:$ZZ,19,FALSE)+SUM(_xlfn.XLOOKUP($S113:$AL113,增益!$A:$A,增益!$S:$S,0)))+$B$12+SUM(_xlfn.XLOOKUP($S113:$AL113,增益!$A:$A,增益!$V:$V,0)))*IF(VLOOKUP($R113,武学奇术!$A:$ZZ,23,FALSE)=1,0,1)</f>
        <v>0.0913</v>
      </c>
      <c r="BS113" s="33" cm="1">
        <f t="array" ref="BS113">1+$B$14+VLOOKUP($R113,武学奇术!$A:$ZZ,20,FALSE)+SUM(_xlfn.XLOOKUP($S113:$AL113,增益!$A:$A,增益!$T:$T,0))</f>
        <v>1.35</v>
      </c>
      <c r="BT113" s="33">
        <f t="shared" si="52"/>
        <v>0.86580831</v>
      </c>
      <c r="BU113" s="33">
        <f t="shared" si="53"/>
        <v>0.02208246</v>
      </c>
      <c r="BV113" s="33">
        <f>IF(VLOOKUP($R113,武学奇术!$A:$ZZ,22,FALSE)=1,0,(1-$BO113))*(1-$BR113)</f>
        <v>0.02080923</v>
      </c>
      <c r="BW113" s="33" cm="1">
        <f t="array" ref="BW113">SUM(_xlfn.XLOOKUP($S113:$AL113,增益!$A:$A,增益!$W:$W,0))+$I$5</f>
        <v>0.11</v>
      </c>
      <c r="BX113" s="33" cm="1">
        <f t="array" ref="BX113">VLOOKUP($R113,武学奇术!$A:$ZZ,32,FALSE)+SUM(_xlfn.XLOOKUP($S113:$AL113,增益!$A:$A,增益!$X:$X,0))</f>
        <v>0</v>
      </c>
    </row>
    <row r="114" spans="1:76">
      <c r="A114" s="4" t="s">
        <v>191</v>
      </c>
      <c r="B114" s="4">
        <v>1.8</v>
      </c>
      <c r="C114" s="47"/>
      <c r="D114" s="47"/>
      <c r="E114" s="47"/>
      <c r="L114" s="46">
        <f t="shared" si="54"/>
        <v>0</v>
      </c>
      <c r="M114" s="46">
        <f>((($AT114+$AU114)/2*$AN114+$AO114)*(1+$AV114)*(1+$AW114)+(($AY114+$AZ114)/2*IF($G$1="鸣金",$AP114,$AN114)+IF($G$1="鸣金",$AQ114*1.5,0))*(1+$BA114)*(1+$BB114)+(($BC114+$BD114)/2*IF($G$1="裂石",$AP114,$AN114)+IF($G$1="裂石",$AQ114*1.5,0))*(1+$BE114)*(1+$BF114)+(($BG114+$BH114)/2*IF($G$1="牵丝",$AP114,$AN114)+IF($G$1="牵丝",$AQ114*1.5,0))*(1+$BI114)*(1+$BJ114)+(($BK114+$BL114)/2*IF($G$1="破竹",$AP114,$AN114)+IF($G$1="破竹",$AQ114*1.5,0))*(1+$BM114)*(1+$BN114))*(1+$AR114)*$BQ114*$Q114*(1+IF(VLOOKUP($R114,武学奇术!$A:$ZZ,30,FALSE)="蓄力技",$B$21,0))*(1+IF(VLOOKUP($R114,武学奇术!$A:$ZZ,30,FALSE)="派生技",$B$20,0))*(1+$BW114)*(1+$BX114)</f>
        <v>0</v>
      </c>
      <c r="N114" s="46">
        <f>(($AU114*$AN114+$AO114)*(1+$AV114)*(1+$AW114)+($AZ114*IF($G$1="鸣金",$AP114,$AN114)+IF($G$1="鸣金",$AQ114*1.5,0))*(1+$BA114)*(1+$BB114)+($BD114*IF($G$1="裂石",$AP114,$AN114)+IF($G$1="裂石",$AQ114*1.5,0))*(1+$BE114)*(1+$BF114)+($BH114*IF($G$1="牵丝",$AP114,$AN114)+IF($G$1="牵丝",$AQ114*1.5,0))*(1+$BI114)*(1+$BJ114)+($BL114*IF($G$1="破竹",$AP114,$AN114)+IF($G$1="破竹",$AQ114*1.5,0))*(1+$BM114)*(1+$BN114))*(1+$AR114)*$BS114*$Q114*(1+IF(VLOOKUP($R114,武学奇术!$A:$ZZ,30,FALSE)="蓄力技",$B$21,0))*(1+IF(VLOOKUP($R114,武学奇术!$A:$ZZ,30,FALSE)="派生技",$B$20,0))*(1+$BW114)*(1+$BX114)</f>
        <v>0</v>
      </c>
      <c r="O114" s="46">
        <f>((($AT114+$AU114)/2*$AN114+$AO114)*(1+$AV114)*(1+$AW114)+(($AY114+$AZ114)/2*IF($G$1="鸣金",$AP114,$AN114)+IF($G$1="鸣金",$AQ114*1.5,0))*(1+$BA114)*(1+$BB114)+(($BC114+$BD114)/2*IF($G$1="裂石",$AP114,$AN114)+IF($G$1="裂石",$AQ114*1.5,0))*(1+$BE114)*(1+$BF114)+(($BG114+$BH114)/2*IF($G$1="牵丝",$AP114,$AN114)+IF($G$1="牵丝",$AQ114*1.5,0))*(1+$BI114)*(1+$BJ114)+(($BK114+$BL114)/2*IF($G$1="破竹",$AP114,$AN114)+IF($G$1="破竹",$AQ114*1.5,0))*(1+$BM114)*(1+$BN114))*(1+$AR114)*$Q114*(1+IF(VLOOKUP($R114,武学奇术!$A:$ZZ,30,FALSE)="蓄力技",$B$21,0))*(1+IF(VLOOKUP($R114,武学奇术!$A:$ZZ,30,FALSE)="派生技",$B$20,0))*(1+$BW114)*(1+$BX114)</f>
        <v>0</v>
      </c>
      <c r="P114" s="46">
        <f>((($AT114*$AN114+$AO114)*(1+$AV114)*(1+$AW114)+($AY114*IF($G$1="鸣金",$AP114,$AN114)+IF($G$1="鸣金",$AQ114*1.5,0))*(1+$BA114)*(1+$BB114)+($BC114*IF($G$1="裂石",$AP114,$AN114)+IF($G$1="裂石",$AQ114*1.5,0))*(1+$BE114)*(1+$BF114)+($BG114*IF($G$1="牵丝",$AP114,$AN114)+IF($G$1="牵丝",$AQ114*1.5,0))*(1+$BI114)*(1+$BJ114)+($BK114*IF($G$1="破竹",$AP114,$AN114)+IF($G$1="破竹",$AQ114*1.5,0))*(1+$BM114)*(1+$BN114))*(1+$AR114))*$Q114*(1+IF(VLOOKUP($R114,武学奇术!$A:$ZZ,30,FALSE)="蓄力技",$B$21,0))*(1+IF(VLOOKUP($R114,武学奇术!$A:$ZZ,30,FALSE)="派生技",$B$20,0))*(1+$BW114)*(1+$BX114)</f>
        <v>0</v>
      </c>
      <c r="Q114" s="47">
        <v>1</v>
      </c>
      <c r="R114" s="48" t="s">
        <v>80</v>
      </c>
      <c r="S114" s="48" t="s">
        <v>80</v>
      </c>
      <c r="T114" s="48" t="s">
        <v>80</v>
      </c>
      <c r="U114" s="48" t="s">
        <v>80</v>
      </c>
      <c r="V114" s="48" t="s">
        <v>80</v>
      </c>
      <c r="W114" s="48" t="s">
        <v>80</v>
      </c>
      <c r="X114" s="48" t="s">
        <v>80</v>
      </c>
      <c r="Y114" s="48" t="s">
        <v>80</v>
      </c>
      <c r="Z114" s="48" t="s">
        <v>80</v>
      </c>
      <c r="AA114" s="48" t="s">
        <v>80</v>
      </c>
      <c r="AB114" s="48" t="s">
        <v>80</v>
      </c>
      <c r="AC114" s="48" t="s">
        <v>80</v>
      </c>
      <c r="AD114" s="48" t="s">
        <v>80</v>
      </c>
      <c r="AE114" s="48" t="s">
        <v>82</v>
      </c>
      <c r="AF114" s="48" t="s">
        <v>83</v>
      </c>
      <c r="AG114" s="48" t="s">
        <v>84</v>
      </c>
      <c r="AH114" s="48" t="s">
        <v>80</v>
      </c>
      <c r="AI114" s="48" t="s">
        <v>80</v>
      </c>
      <c r="AJ114" s="48" t="s">
        <v>80</v>
      </c>
      <c r="AK114" s="48" t="s">
        <v>80</v>
      </c>
      <c r="AL114" s="48" t="s">
        <v>85</v>
      </c>
      <c r="AM114" t="str">
        <f>VLOOKUP($R114,武学奇术!$A:$ZZ,25,FALSE)</f>
        <v>心法</v>
      </c>
      <c r="AN114" s="33">
        <f>VLOOKUP($R114,武学奇术!$A:$ZZ,26,FALSE)</f>
        <v>0</v>
      </c>
      <c r="AO114" s="34">
        <f>VLOOKUP($R114,武学奇术!$A:$ZZ,27,FALSE)*(1+IF(OR($AM114=$F$4,$AM114=$F$5),$B$22,0))</f>
        <v>0</v>
      </c>
      <c r="AP114" s="33">
        <f>VLOOKUP($R114,武学奇术!$A:$ZZ,28,FALSE)</f>
        <v>0</v>
      </c>
      <c r="AQ114" s="34">
        <f>VLOOKUP($R114,武学奇术!$A:$ZZ,29,FALSE)*(1+IF(OR($AM114=$F$4,$AM114=$F$5),$B$22,0))</f>
        <v>0</v>
      </c>
      <c r="AR114" s="33" cm="1">
        <f t="array" ref="AR114">$G$3+IFERROR(VLOOKUP($AM114,$F$4:$G$7,2,FALSE),0)+VLOOKUP($R114,武学奇术!$A:$ZZ,2,FALSE)+SUM(_xlfn.XLOOKUP($S114:$AL114,增益!$A:$A,增益!$B:$B,0))</f>
        <v>0.3142</v>
      </c>
      <c r="AS114" s="33" cm="1">
        <f t="array" ref="AS114">VLOOKUP($R114,武学奇术!$A:$ZZ,5,FALSE)+SUM(_xlfn.XLOOKUP($S114:$AL114,增益!$A:$A,增益!$E:$E,0))</f>
        <v>0</v>
      </c>
      <c r="AT114" cm="1">
        <f t="array" ref="AT114">$D$10*(1+$AS114)+VLOOKUP($R114,武学奇术!$A:$ZZ,3,FALSE)+SUM(_xlfn.XLOOKUP($S114:$AL114,增益!$A:$A,增益!$C:$C,0))-$I$2</f>
        <v>4094.7</v>
      </c>
      <c r="AU114" cm="1">
        <f t="array" ref="AU114">$E$10*(1+$AS114)+VLOOKUP($R114,武学奇术!$A:$ZZ,4,FALSE)+SUM(_xlfn.XLOOKUP($S114:$AL114,增益!$A:$A,增益!$D:$D,0))-$I$2</f>
        <v>4094.7</v>
      </c>
      <c r="AV114" s="40" cm="1">
        <f t="array" ref="AV114">IF($F$10-$I$3+VLOOKUP($R114,武学奇术!$A:$ZZ,6,FALSE)+SUM(_xlfn.XLOOKUP($S114:$AL114,增益!$A:$A,增益!$F:$F,0))&gt;0,($F$10-$I$3+VLOOKUP($R114,武学奇术!$A:$ZZ,6,FALSE)+SUM(_xlfn.XLOOKUP($S114:$AL114,增益!$A:$A,增益!$F:$F,0)))/200,($F$10-$I$3+VLOOKUP($R114,武学奇术!$A:$ZZ,6,FALSE)+SUM(_xlfn.XLOOKUP($S114:$AL114,增益!$A:$A,增益!$F:$F,0)))/100)</f>
        <v>0.3134</v>
      </c>
      <c r="AW114" s="40" cm="1">
        <f t="array" ref="AW114">$G$10+VLOOKUP($R114,武学奇术!$A:$ZZ,7,FALSE)+SUM(_xlfn.XLOOKUP($S114:$AL114,增益!$A:$A,增益!$G:$G,0))</f>
        <v>0.02</v>
      </c>
      <c r="AX114" s="33" cm="1">
        <f t="array" ref="AX114">VLOOKUP($R114,武学奇术!$A:$ZZ,8,FALSE)+SUM(_xlfn.XLOOKUP($S114:$AL114,增益!$A:$A,增益!$H:$H,0))</f>
        <v>0</v>
      </c>
      <c r="AY114">
        <f t="shared" si="44"/>
        <v>0</v>
      </c>
      <c r="AZ114">
        <f t="shared" si="45"/>
        <v>0</v>
      </c>
      <c r="BA114" s="40" cm="1">
        <f t="array" ref="BA114">IF($F$11-$I$4+VLOOKUP($R114,武学奇术!$A:$ZZ,9,FALSE)+SUM(_xlfn.XLOOKUP($S114:$AL114,增益!$A:$A,增益!$I:$I,0))&gt;0,($F$11-$I$4+VLOOKUP($R114,武学奇术!$A:$ZZ,9,FALSE)+SUM(_xlfn.XLOOKUP($S114:$AL114,增益!$A:$A,增益!$I:$I,0)))/200,($F$11-$I$4+VLOOKUP($R114,武学奇术!$A:$ZZ,9,FALSE)+SUM(_xlfn.XLOOKUP($S114:$AL114,增益!$A:$A,增益!$I:$I,0)))/100)</f>
        <v>-0.3</v>
      </c>
      <c r="BB114" s="40" cm="1">
        <f t="array" ref="BB114">$G$11+VLOOKUP($R114,武学奇术!$A:$ZZ,10,FALSE)+SUM(_xlfn.XLOOKUP($S114:$AL114,增益!$A:$A,增益!$J:$J,0))</f>
        <v>0.02</v>
      </c>
      <c r="BC114">
        <f t="shared" si="46"/>
        <v>640.3</v>
      </c>
      <c r="BD114">
        <f t="shared" si="47"/>
        <v>1770.1</v>
      </c>
      <c r="BE114" s="40" cm="1">
        <f t="array" ref="BE114">IF($F$12-$I$4+VLOOKUP($R114,武学奇术!$A:$ZZ,11,FALSE)+SUM(_xlfn.XLOOKUP($S114:$AL114,增益!$A:$A,增益!$K:$K,0))&gt;0,($F$12-$I$4+VLOOKUP($R114,武学奇术!$A:$ZZ,11,FALSE)+SUM(_xlfn.XLOOKUP($S114:$AL114,增益!$A:$A,增益!$K:$K,0)))/200,($F$12-$I$4+VLOOKUP($R114,武学奇术!$A:$ZZ,11,FALSE)+SUM(_xlfn.XLOOKUP($S114:$AL114,增益!$A:$A,增益!$K:$K,0)))/100)</f>
        <v>0.09</v>
      </c>
      <c r="BF114" s="40" cm="1">
        <f t="array" ref="BF114">$G$12+VLOOKUP($R114,武学奇术!$A:$ZZ,12,FALSE)+SUM(_xlfn.XLOOKUP($S114:$AL114,增益!$A:$A,增益!$L:$L,0))</f>
        <v>0.17</v>
      </c>
      <c r="BG114">
        <f t="shared" si="48"/>
        <v>0</v>
      </c>
      <c r="BH114">
        <f t="shared" si="49"/>
        <v>0</v>
      </c>
      <c r="BI114" s="40" cm="1">
        <f t="array" ref="BI114">IF($F$13-$I$4+VLOOKUP($R114,武学奇术!$A:$ZZ,13,FALSE)+SUM(_xlfn.XLOOKUP($S114:$AL114,增益!$A:$A,增益!$M:$M,0))&gt;0,($F$13-$I$4+VLOOKUP($R114,武学奇术!$A:$ZZ,13,FALSE)+SUM(_xlfn.XLOOKUP($S114:$AL114,增益!$A:$A,增益!$K:$K,0)))/200,($F$13-$I$4+VLOOKUP($R114,武学奇术!$A:$ZZ,13,FALSE)+SUM(_xlfn.XLOOKUP($S114:$AL114,增益!$A:$A,增益!$M:$M,0)))/100)</f>
        <v>-0.3</v>
      </c>
      <c r="BJ114" s="40" cm="1">
        <f t="array" ref="BJ114">$G$13+VLOOKUP($R114,武学奇术!$A:$ZZ,14,FALSE)+SUM(_xlfn.XLOOKUP($S114:$AL114,增益!$A:$A,增益!$N:$N,0))</f>
        <v>0.02</v>
      </c>
      <c r="BK114">
        <f t="shared" si="50"/>
        <v>0</v>
      </c>
      <c r="BL114">
        <f t="shared" si="51"/>
        <v>0</v>
      </c>
      <c r="BM114" s="40" cm="1">
        <f t="array" ref="BM114">IF($F$14-$I$4+VLOOKUP($R114,武学奇术!$A:$ZZ,15,FALSE)+SUM(_xlfn.XLOOKUP($S114:$AL114,增益!$A:$A,增益!$O:$O,0))&gt;0,($F$14-$I$4+VLOOKUP($R114,武学奇术!$A:$ZZ,15,FALSE)+SUM(_xlfn.XLOOKUP($S114:$AL114,增益!$A:$A,增益!$O:$O,0)))/200,($F$14-$I$4+VLOOKUP($R114,武学奇术!$A:$ZZ,15,FALSE)+SUM(_xlfn.XLOOKUP($S114:$AL114,增益!$A:$A,增益!$O:$O,0)))/100)</f>
        <v>-0.3</v>
      </c>
      <c r="BN114" s="40" cm="1">
        <f t="array" ref="BN114">$G$14+VLOOKUP($R114,武学奇术!$A:$ZZ,16,FALSE)+SUM(_xlfn.XLOOKUP($S114:$AL114,增益!$A:$A,增益!$P:$P,0))</f>
        <v>0.02</v>
      </c>
      <c r="BO114" s="33">
        <f>MIN(IF(VLOOKUP($R114,武学奇术!$A:$ZZ,23,FALSE)=1,100%,$B$8),100%)</f>
        <v>0.9771</v>
      </c>
      <c r="BP114" s="33" cm="1">
        <f t="array" ref="BP114">IF(VLOOKUP($R114,武学奇术!$A:$ZZ,23,FALSE)=1,100%,MIN(80%,$B$9+VLOOKUP($R114,武学奇术!$A:$ZZ,17,FALSE)+SUM(_xlfn.XLOOKUP($S114:$AL114,增益!$A:$A,增益!$Q:$Q,0)))+$B$11+SUM(_xlfn.XLOOKUP($S114:$AL114,增益!$A:$A,增益!$U:$U,0)))*IF(VLOOKUP($R114,武学奇术!$A:$ZZ,24,FALSE)=1,0,1)</f>
        <v>0.8861</v>
      </c>
      <c r="BQ114" s="33" cm="1">
        <f t="array" ref="BQ114">1+$B$13+VLOOKUP($R114,武学奇术!$A:$ZZ,18,FALSE)+SUM(_xlfn.XLOOKUP($S114:$AL114,增益!$A:$A,增益!$R:$R,0))</f>
        <v>1.54</v>
      </c>
      <c r="BR114" s="33" cm="1">
        <f t="array" ref="BR114">IF(VLOOKUP($R114,武学奇术!$A:$ZZ,24,FALSE)=1,100%,MIN(40%,$B$10+VLOOKUP($R114,武学奇术!$A:$ZZ,19,FALSE)+SUM(_xlfn.XLOOKUP($S114:$AL114,增益!$A:$A,增益!$S:$S,0)))+$B$12+SUM(_xlfn.XLOOKUP($S114:$AL114,增益!$A:$A,增益!$V:$V,0)))*IF(VLOOKUP($R114,武学奇术!$A:$ZZ,23,FALSE)=1,0,1)</f>
        <v>0.0913</v>
      </c>
      <c r="BS114" s="33" cm="1">
        <f t="array" ref="BS114">1+$B$14+VLOOKUP($R114,武学奇术!$A:$ZZ,20,FALSE)+SUM(_xlfn.XLOOKUP($S114:$AL114,增益!$A:$A,增益!$T:$T,0))</f>
        <v>1.35</v>
      </c>
      <c r="BT114" s="33">
        <f t="shared" si="52"/>
        <v>0.86580831</v>
      </c>
      <c r="BU114" s="33">
        <f t="shared" si="53"/>
        <v>0.02208246</v>
      </c>
      <c r="BV114" s="33">
        <f>IF(VLOOKUP($R114,武学奇术!$A:$ZZ,22,FALSE)=1,0,(1-$BO114))*(1-$BR114)</f>
        <v>0.02080923</v>
      </c>
      <c r="BW114" s="33" cm="1">
        <f t="array" ref="BW114">SUM(_xlfn.XLOOKUP($S114:$AL114,增益!$A:$A,增益!$W:$W,0))+$I$5</f>
        <v>0.11</v>
      </c>
      <c r="BX114" s="33" cm="1">
        <f t="array" ref="BX114">VLOOKUP($R114,武学奇术!$A:$ZZ,32,FALSE)+SUM(_xlfn.XLOOKUP($S114:$AL114,增益!$A:$A,增益!$X:$X,0))</f>
        <v>0</v>
      </c>
    </row>
    <row r="115" spans="1:76">
      <c r="A115" s="4" t="s">
        <v>174</v>
      </c>
      <c r="B115" s="4">
        <v>2.1</v>
      </c>
      <c r="D115" s="47"/>
      <c r="E115" s="47"/>
      <c r="L115" s="46">
        <f t="shared" si="54"/>
        <v>0</v>
      </c>
      <c r="M115" s="46">
        <f>((($AT115+$AU115)/2*$AN115+$AO115)*(1+$AV115)*(1+$AW115)+(($AY115+$AZ115)/2*IF($G$1="鸣金",$AP115,$AN115)+IF($G$1="鸣金",$AQ115*1.5,0))*(1+$BA115)*(1+$BB115)+(($BC115+$BD115)/2*IF($G$1="裂石",$AP115,$AN115)+IF($G$1="裂石",$AQ115*1.5,0))*(1+$BE115)*(1+$BF115)+(($BG115+$BH115)/2*IF($G$1="牵丝",$AP115,$AN115)+IF($G$1="牵丝",$AQ115*1.5,0))*(1+$BI115)*(1+$BJ115)+(($BK115+$BL115)/2*IF($G$1="破竹",$AP115,$AN115)+IF($G$1="破竹",$AQ115*1.5,0))*(1+$BM115)*(1+$BN115))*(1+$AR115)*$BQ115*$Q115*(1+IF(VLOOKUP($R115,武学奇术!$A:$ZZ,30,FALSE)="蓄力技",$B$21,0))*(1+IF(VLOOKUP($R115,武学奇术!$A:$ZZ,30,FALSE)="派生技",$B$20,0))*(1+$BW115)*(1+$BX115)</f>
        <v>0</v>
      </c>
      <c r="N115" s="46">
        <f>(($AU115*$AN115+$AO115)*(1+$AV115)*(1+$AW115)+($AZ115*IF($G$1="鸣金",$AP115,$AN115)+IF($G$1="鸣金",$AQ115*1.5,0))*(1+$BA115)*(1+$BB115)+($BD115*IF($G$1="裂石",$AP115,$AN115)+IF($G$1="裂石",$AQ115*1.5,0))*(1+$BE115)*(1+$BF115)+($BH115*IF($G$1="牵丝",$AP115,$AN115)+IF($G$1="牵丝",$AQ115*1.5,0))*(1+$BI115)*(1+$BJ115)+($BL115*IF($G$1="破竹",$AP115,$AN115)+IF($G$1="破竹",$AQ115*1.5,0))*(1+$BM115)*(1+$BN115))*(1+$AR115)*$BS115*$Q115*(1+IF(VLOOKUP($R115,武学奇术!$A:$ZZ,30,FALSE)="蓄力技",$B$21,0))*(1+IF(VLOOKUP($R115,武学奇术!$A:$ZZ,30,FALSE)="派生技",$B$20,0))*(1+$BW115)*(1+$BX115)</f>
        <v>0</v>
      </c>
      <c r="O115" s="46">
        <f>((($AT115+$AU115)/2*$AN115+$AO115)*(1+$AV115)*(1+$AW115)+(($AY115+$AZ115)/2*IF($G$1="鸣金",$AP115,$AN115)+IF($G$1="鸣金",$AQ115*1.5,0))*(1+$BA115)*(1+$BB115)+(($BC115+$BD115)/2*IF($G$1="裂石",$AP115,$AN115)+IF($G$1="裂石",$AQ115*1.5,0))*(1+$BE115)*(1+$BF115)+(($BG115+$BH115)/2*IF($G$1="牵丝",$AP115,$AN115)+IF($G$1="牵丝",$AQ115*1.5,0))*(1+$BI115)*(1+$BJ115)+(($BK115+$BL115)/2*IF($G$1="破竹",$AP115,$AN115)+IF($G$1="破竹",$AQ115*1.5,0))*(1+$BM115)*(1+$BN115))*(1+$AR115)*$Q115*(1+IF(VLOOKUP($R115,武学奇术!$A:$ZZ,30,FALSE)="蓄力技",$B$21,0))*(1+IF(VLOOKUP($R115,武学奇术!$A:$ZZ,30,FALSE)="派生技",$B$20,0))*(1+$BW115)*(1+$BX115)</f>
        <v>0</v>
      </c>
      <c r="P115" s="46">
        <f>((($AT115*$AN115+$AO115)*(1+$AV115)*(1+$AW115)+($AY115*IF($G$1="鸣金",$AP115,$AN115)+IF($G$1="鸣金",$AQ115*1.5,0))*(1+$BA115)*(1+$BB115)+($BC115*IF($G$1="裂石",$AP115,$AN115)+IF($G$1="裂石",$AQ115*1.5,0))*(1+$BE115)*(1+$BF115)+($BG115*IF($G$1="牵丝",$AP115,$AN115)+IF($G$1="牵丝",$AQ115*1.5,0))*(1+$BI115)*(1+$BJ115)+($BK115*IF($G$1="破竹",$AP115,$AN115)+IF($G$1="破竹",$AQ115*1.5,0))*(1+$BM115)*(1+$BN115))*(1+$AR115))*$Q115*(1+IF(VLOOKUP($R115,武学奇术!$A:$ZZ,30,FALSE)="蓄力技",$B$21,0))*(1+IF(VLOOKUP($R115,武学奇术!$A:$ZZ,30,FALSE)="派生技",$B$20,0))*(1+$BW115)*(1+$BX115)</f>
        <v>0</v>
      </c>
      <c r="Q115" s="47">
        <v>1</v>
      </c>
      <c r="R115" s="48" t="s">
        <v>80</v>
      </c>
      <c r="S115" s="48" t="s">
        <v>80</v>
      </c>
      <c r="T115" s="48" t="s">
        <v>80</v>
      </c>
      <c r="U115" s="48" t="s">
        <v>80</v>
      </c>
      <c r="V115" s="48" t="s">
        <v>80</v>
      </c>
      <c r="W115" s="48" t="s">
        <v>80</v>
      </c>
      <c r="X115" s="48" t="s">
        <v>80</v>
      </c>
      <c r="Y115" s="48" t="s">
        <v>80</v>
      </c>
      <c r="Z115" s="48" t="s">
        <v>80</v>
      </c>
      <c r="AA115" s="48" t="s">
        <v>80</v>
      </c>
      <c r="AB115" s="48" t="s">
        <v>80</v>
      </c>
      <c r="AC115" s="48" t="s">
        <v>80</v>
      </c>
      <c r="AD115" s="48" t="s">
        <v>80</v>
      </c>
      <c r="AE115" s="48" t="s">
        <v>82</v>
      </c>
      <c r="AF115" s="48" t="s">
        <v>83</v>
      </c>
      <c r="AG115" s="48" t="s">
        <v>84</v>
      </c>
      <c r="AH115" s="48" t="s">
        <v>80</v>
      </c>
      <c r="AI115" s="48" t="s">
        <v>80</v>
      </c>
      <c r="AJ115" s="48" t="s">
        <v>80</v>
      </c>
      <c r="AK115" s="48" t="s">
        <v>80</v>
      </c>
      <c r="AL115" s="48" t="s">
        <v>85</v>
      </c>
      <c r="AM115" t="str">
        <f>VLOOKUP($R115,武学奇术!$A:$ZZ,25,FALSE)</f>
        <v>心法</v>
      </c>
      <c r="AN115" s="33">
        <f>VLOOKUP($R115,武学奇术!$A:$ZZ,26,FALSE)</f>
        <v>0</v>
      </c>
      <c r="AO115" s="34">
        <f>VLOOKUP($R115,武学奇术!$A:$ZZ,27,FALSE)*(1+IF(OR($AM115=$F$4,$AM115=$F$5),$B$22,0))</f>
        <v>0</v>
      </c>
      <c r="AP115" s="33">
        <f>VLOOKUP($R115,武学奇术!$A:$ZZ,28,FALSE)</f>
        <v>0</v>
      </c>
      <c r="AQ115" s="34">
        <f>VLOOKUP($R115,武学奇术!$A:$ZZ,29,FALSE)*(1+IF(OR($AM115=$F$4,$AM115=$F$5),$B$22,0))</f>
        <v>0</v>
      </c>
      <c r="AR115" s="33" cm="1">
        <f t="array" ref="AR115">$G$3+IFERROR(VLOOKUP($AM115,$F$4:$G$7,2,FALSE),0)+VLOOKUP($R115,武学奇术!$A:$ZZ,2,FALSE)+SUM(_xlfn.XLOOKUP($S115:$AL115,增益!$A:$A,增益!$B:$B,0))</f>
        <v>0.3142</v>
      </c>
      <c r="AS115" s="33" cm="1">
        <f t="array" ref="AS115">VLOOKUP($R115,武学奇术!$A:$ZZ,5,FALSE)+SUM(_xlfn.XLOOKUP($S115:$AL115,增益!$A:$A,增益!$E:$E,0))</f>
        <v>0</v>
      </c>
      <c r="AT115" cm="1">
        <f t="array" ref="AT115">$D$10*(1+$AS115)+VLOOKUP($R115,武学奇术!$A:$ZZ,3,FALSE)+SUM(_xlfn.XLOOKUP($S115:$AL115,增益!$A:$A,增益!$C:$C,0))-$I$2</f>
        <v>4094.7</v>
      </c>
      <c r="AU115" cm="1">
        <f t="array" ref="AU115">$E$10*(1+$AS115)+VLOOKUP($R115,武学奇术!$A:$ZZ,4,FALSE)+SUM(_xlfn.XLOOKUP($S115:$AL115,增益!$A:$A,增益!$D:$D,0))-$I$2</f>
        <v>4094.7</v>
      </c>
      <c r="AV115" s="40" cm="1">
        <f t="array" ref="AV115">IF($F$10-$I$3+VLOOKUP($R115,武学奇术!$A:$ZZ,6,FALSE)+SUM(_xlfn.XLOOKUP($S115:$AL115,增益!$A:$A,增益!$F:$F,0))&gt;0,($F$10-$I$3+VLOOKUP($R115,武学奇术!$A:$ZZ,6,FALSE)+SUM(_xlfn.XLOOKUP($S115:$AL115,增益!$A:$A,增益!$F:$F,0)))/200,($F$10-$I$3+VLOOKUP($R115,武学奇术!$A:$ZZ,6,FALSE)+SUM(_xlfn.XLOOKUP($S115:$AL115,增益!$A:$A,增益!$F:$F,0)))/100)</f>
        <v>0.3134</v>
      </c>
      <c r="AW115" s="40" cm="1">
        <f t="array" ref="AW115">$G$10+VLOOKUP($R115,武学奇术!$A:$ZZ,7,FALSE)+SUM(_xlfn.XLOOKUP($S115:$AL115,增益!$A:$A,增益!$G:$G,0))</f>
        <v>0.02</v>
      </c>
      <c r="AX115" s="33" cm="1">
        <f t="array" ref="AX115">VLOOKUP($R115,武学奇术!$A:$ZZ,8,FALSE)+SUM(_xlfn.XLOOKUP($S115:$AL115,增益!$A:$A,增益!$H:$H,0))</f>
        <v>0</v>
      </c>
      <c r="AY115">
        <f t="shared" si="44"/>
        <v>0</v>
      </c>
      <c r="AZ115">
        <f t="shared" si="45"/>
        <v>0</v>
      </c>
      <c r="BA115" s="40" cm="1">
        <f t="array" ref="BA115">IF($F$11-$I$4+VLOOKUP($R115,武学奇术!$A:$ZZ,9,FALSE)+SUM(_xlfn.XLOOKUP($S115:$AL115,增益!$A:$A,增益!$I:$I,0))&gt;0,($F$11-$I$4+VLOOKUP($R115,武学奇术!$A:$ZZ,9,FALSE)+SUM(_xlfn.XLOOKUP($S115:$AL115,增益!$A:$A,增益!$I:$I,0)))/200,($F$11-$I$4+VLOOKUP($R115,武学奇术!$A:$ZZ,9,FALSE)+SUM(_xlfn.XLOOKUP($S115:$AL115,增益!$A:$A,增益!$I:$I,0)))/100)</f>
        <v>-0.3</v>
      </c>
      <c r="BB115" s="40" cm="1">
        <f t="array" ref="BB115">$G$11+VLOOKUP($R115,武学奇术!$A:$ZZ,10,FALSE)+SUM(_xlfn.XLOOKUP($S115:$AL115,增益!$A:$A,增益!$J:$J,0))</f>
        <v>0.02</v>
      </c>
      <c r="BC115">
        <f t="shared" si="46"/>
        <v>640.3</v>
      </c>
      <c r="BD115">
        <f t="shared" si="47"/>
        <v>1770.1</v>
      </c>
      <c r="BE115" s="40" cm="1">
        <f t="array" ref="BE115">IF($F$12-$I$4+VLOOKUP($R115,武学奇术!$A:$ZZ,11,FALSE)+SUM(_xlfn.XLOOKUP($S115:$AL115,增益!$A:$A,增益!$K:$K,0))&gt;0,($F$12-$I$4+VLOOKUP($R115,武学奇术!$A:$ZZ,11,FALSE)+SUM(_xlfn.XLOOKUP($S115:$AL115,增益!$A:$A,增益!$K:$K,0)))/200,($F$12-$I$4+VLOOKUP($R115,武学奇术!$A:$ZZ,11,FALSE)+SUM(_xlfn.XLOOKUP($S115:$AL115,增益!$A:$A,增益!$K:$K,0)))/100)</f>
        <v>0.09</v>
      </c>
      <c r="BF115" s="40" cm="1">
        <f t="array" ref="BF115">$G$12+VLOOKUP($R115,武学奇术!$A:$ZZ,12,FALSE)+SUM(_xlfn.XLOOKUP($S115:$AL115,增益!$A:$A,增益!$L:$L,0))</f>
        <v>0.17</v>
      </c>
      <c r="BG115">
        <f t="shared" si="48"/>
        <v>0</v>
      </c>
      <c r="BH115">
        <f t="shared" si="49"/>
        <v>0</v>
      </c>
      <c r="BI115" s="40" cm="1">
        <f t="array" ref="BI115">IF($F$13-$I$4+VLOOKUP($R115,武学奇术!$A:$ZZ,13,FALSE)+SUM(_xlfn.XLOOKUP($S115:$AL115,增益!$A:$A,增益!$M:$M,0))&gt;0,($F$13-$I$4+VLOOKUP($R115,武学奇术!$A:$ZZ,13,FALSE)+SUM(_xlfn.XLOOKUP($S115:$AL115,增益!$A:$A,增益!$K:$K,0)))/200,($F$13-$I$4+VLOOKUP($R115,武学奇术!$A:$ZZ,13,FALSE)+SUM(_xlfn.XLOOKUP($S115:$AL115,增益!$A:$A,增益!$M:$M,0)))/100)</f>
        <v>-0.3</v>
      </c>
      <c r="BJ115" s="40" cm="1">
        <f t="array" ref="BJ115">$G$13+VLOOKUP($R115,武学奇术!$A:$ZZ,14,FALSE)+SUM(_xlfn.XLOOKUP($S115:$AL115,增益!$A:$A,增益!$N:$N,0))</f>
        <v>0.02</v>
      </c>
      <c r="BK115">
        <f t="shared" si="50"/>
        <v>0</v>
      </c>
      <c r="BL115">
        <f t="shared" si="51"/>
        <v>0</v>
      </c>
      <c r="BM115" s="40" cm="1">
        <f t="array" ref="BM115">IF($F$14-$I$4+VLOOKUP($R115,武学奇术!$A:$ZZ,15,FALSE)+SUM(_xlfn.XLOOKUP($S115:$AL115,增益!$A:$A,增益!$O:$O,0))&gt;0,($F$14-$I$4+VLOOKUP($R115,武学奇术!$A:$ZZ,15,FALSE)+SUM(_xlfn.XLOOKUP($S115:$AL115,增益!$A:$A,增益!$O:$O,0)))/200,($F$14-$I$4+VLOOKUP($R115,武学奇术!$A:$ZZ,15,FALSE)+SUM(_xlfn.XLOOKUP($S115:$AL115,增益!$A:$A,增益!$O:$O,0)))/100)</f>
        <v>-0.3</v>
      </c>
      <c r="BN115" s="40" cm="1">
        <f t="array" ref="BN115">$G$14+VLOOKUP($R115,武学奇术!$A:$ZZ,16,FALSE)+SUM(_xlfn.XLOOKUP($S115:$AL115,增益!$A:$A,增益!$P:$P,0))</f>
        <v>0.02</v>
      </c>
      <c r="BO115" s="33">
        <f>MIN(IF(VLOOKUP($R115,武学奇术!$A:$ZZ,23,FALSE)=1,100%,$B$8),100%)</f>
        <v>0.9771</v>
      </c>
      <c r="BP115" s="33" cm="1">
        <f t="array" ref="BP115">IF(VLOOKUP($R115,武学奇术!$A:$ZZ,23,FALSE)=1,100%,MIN(80%,$B$9+VLOOKUP($R115,武学奇术!$A:$ZZ,17,FALSE)+SUM(_xlfn.XLOOKUP($S115:$AL115,增益!$A:$A,增益!$Q:$Q,0)))+$B$11+SUM(_xlfn.XLOOKUP($S115:$AL115,增益!$A:$A,增益!$U:$U,0)))*IF(VLOOKUP($R115,武学奇术!$A:$ZZ,24,FALSE)=1,0,1)</f>
        <v>0.8861</v>
      </c>
      <c r="BQ115" s="33" cm="1">
        <f t="array" ref="BQ115">1+$B$13+VLOOKUP($R115,武学奇术!$A:$ZZ,18,FALSE)+SUM(_xlfn.XLOOKUP($S115:$AL115,增益!$A:$A,增益!$R:$R,0))</f>
        <v>1.54</v>
      </c>
      <c r="BR115" s="33" cm="1">
        <f t="array" ref="BR115">IF(VLOOKUP($R115,武学奇术!$A:$ZZ,24,FALSE)=1,100%,MIN(40%,$B$10+VLOOKUP($R115,武学奇术!$A:$ZZ,19,FALSE)+SUM(_xlfn.XLOOKUP($S115:$AL115,增益!$A:$A,增益!$S:$S,0)))+$B$12+SUM(_xlfn.XLOOKUP($S115:$AL115,增益!$A:$A,增益!$V:$V,0)))*IF(VLOOKUP($R115,武学奇术!$A:$ZZ,23,FALSE)=1,0,1)</f>
        <v>0.0913</v>
      </c>
      <c r="BS115" s="33" cm="1">
        <f t="array" ref="BS115">1+$B$14+VLOOKUP($R115,武学奇术!$A:$ZZ,20,FALSE)+SUM(_xlfn.XLOOKUP($S115:$AL115,增益!$A:$A,增益!$T:$T,0))</f>
        <v>1.35</v>
      </c>
      <c r="BT115" s="33">
        <f t="shared" si="52"/>
        <v>0.86580831</v>
      </c>
      <c r="BU115" s="33">
        <f t="shared" si="53"/>
        <v>0.02208246</v>
      </c>
      <c r="BV115" s="33">
        <f>IF(VLOOKUP($R115,武学奇术!$A:$ZZ,22,FALSE)=1,0,(1-$BO115))*(1-$BR115)</f>
        <v>0.02080923</v>
      </c>
      <c r="BW115" s="33" cm="1">
        <f t="array" ref="BW115">SUM(_xlfn.XLOOKUP($S115:$AL115,增益!$A:$A,增益!$W:$W,0))+$I$5</f>
        <v>0.11</v>
      </c>
      <c r="BX115" s="33" cm="1">
        <f t="array" ref="BX115">VLOOKUP($R115,武学奇术!$A:$ZZ,32,FALSE)+SUM(_xlfn.XLOOKUP($S115:$AL115,增益!$A:$A,增益!$X:$X,0))</f>
        <v>0</v>
      </c>
    </row>
    <row r="116" spans="1:76">
      <c r="A116" s="4" t="s">
        <v>189</v>
      </c>
      <c r="B116" s="4">
        <v>0.8</v>
      </c>
      <c r="D116" s="47"/>
      <c r="E116" s="47"/>
      <c r="L116" s="46">
        <f t="shared" si="54"/>
        <v>0</v>
      </c>
      <c r="M116" s="46">
        <f>((($AT116+$AU116)/2*$AN116+$AO116)*(1+$AV116)*(1+$AW116)+(($AY116+$AZ116)/2*IF($G$1="鸣金",$AP116,$AN116)+IF($G$1="鸣金",$AQ116*1.5,0))*(1+$BA116)*(1+$BB116)+(($BC116+$BD116)/2*IF($G$1="裂石",$AP116,$AN116)+IF($G$1="裂石",$AQ116*1.5,0))*(1+$BE116)*(1+$BF116)+(($BG116+$BH116)/2*IF($G$1="牵丝",$AP116,$AN116)+IF($G$1="牵丝",$AQ116*1.5,0))*(1+$BI116)*(1+$BJ116)+(($BK116+$BL116)/2*IF($G$1="破竹",$AP116,$AN116)+IF($G$1="破竹",$AQ116*1.5,0))*(1+$BM116)*(1+$BN116))*(1+$AR116)*$BQ116*$Q116*(1+IF(VLOOKUP($R116,武学奇术!$A:$ZZ,30,FALSE)="蓄力技",$B$21,0))*(1+IF(VLOOKUP($R116,武学奇术!$A:$ZZ,30,FALSE)="派生技",$B$20,0))*(1+$BW116)*(1+$BX116)</f>
        <v>0</v>
      </c>
      <c r="N116" s="46">
        <f>(($AU116*$AN116+$AO116)*(1+$AV116)*(1+$AW116)+($AZ116*IF($G$1="鸣金",$AP116,$AN116)+IF($G$1="鸣金",$AQ116*1.5,0))*(1+$BA116)*(1+$BB116)+($BD116*IF($G$1="裂石",$AP116,$AN116)+IF($G$1="裂石",$AQ116*1.5,0))*(1+$BE116)*(1+$BF116)+($BH116*IF($G$1="牵丝",$AP116,$AN116)+IF($G$1="牵丝",$AQ116*1.5,0))*(1+$BI116)*(1+$BJ116)+($BL116*IF($G$1="破竹",$AP116,$AN116)+IF($G$1="破竹",$AQ116*1.5,0))*(1+$BM116)*(1+$BN116))*(1+$AR116)*$BS116*$Q116*(1+IF(VLOOKUP($R116,武学奇术!$A:$ZZ,30,FALSE)="蓄力技",$B$21,0))*(1+IF(VLOOKUP($R116,武学奇术!$A:$ZZ,30,FALSE)="派生技",$B$20,0))*(1+$BW116)*(1+$BX116)</f>
        <v>0</v>
      </c>
      <c r="O116" s="46">
        <f>((($AT116+$AU116)/2*$AN116+$AO116)*(1+$AV116)*(1+$AW116)+(($AY116+$AZ116)/2*IF($G$1="鸣金",$AP116,$AN116)+IF($G$1="鸣金",$AQ116*1.5,0))*(1+$BA116)*(1+$BB116)+(($BC116+$BD116)/2*IF($G$1="裂石",$AP116,$AN116)+IF($G$1="裂石",$AQ116*1.5,0))*(1+$BE116)*(1+$BF116)+(($BG116+$BH116)/2*IF($G$1="牵丝",$AP116,$AN116)+IF($G$1="牵丝",$AQ116*1.5,0))*(1+$BI116)*(1+$BJ116)+(($BK116+$BL116)/2*IF($G$1="破竹",$AP116,$AN116)+IF($G$1="破竹",$AQ116*1.5,0))*(1+$BM116)*(1+$BN116))*(1+$AR116)*$Q116*(1+IF(VLOOKUP($R116,武学奇术!$A:$ZZ,30,FALSE)="蓄力技",$B$21,0))*(1+IF(VLOOKUP($R116,武学奇术!$A:$ZZ,30,FALSE)="派生技",$B$20,0))*(1+$BW116)*(1+$BX116)</f>
        <v>0</v>
      </c>
      <c r="P116" s="46">
        <f>((($AT116*$AN116+$AO116)*(1+$AV116)*(1+$AW116)+($AY116*IF($G$1="鸣金",$AP116,$AN116)+IF($G$1="鸣金",$AQ116*1.5,0))*(1+$BA116)*(1+$BB116)+($BC116*IF($G$1="裂石",$AP116,$AN116)+IF($G$1="裂石",$AQ116*1.5,0))*(1+$BE116)*(1+$BF116)+($BG116*IF($G$1="牵丝",$AP116,$AN116)+IF($G$1="牵丝",$AQ116*1.5,0))*(1+$BI116)*(1+$BJ116)+($BK116*IF($G$1="破竹",$AP116,$AN116)+IF($G$1="破竹",$AQ116*1.5,0))*(1+$BM116)*(1+$BN116))*(1+$AR116))*$Q116*(1+IF(VLOOKUP($R116,武学奇术!$A:$ZZ,30,FALSE)="蓄力技",$B$21,0))*(1+IF(VLOOKUP($R116,武学奇术!$A:$ZZ,30,FALSE)="派生技",$B$20,0))*(1+$BW116)*(1+$BX116)</f>
        <v>0</v>
      </c>
      <c r="Q116" s="47">
        <v>1</v>
      </c>
      <c r="R116" s="48" t="s">
        <v>80</v>
      </c>
      <c r="S116" s="48" t="s">
        <v>80</v>
      </c>
      <c r="T116" s="48" t="s">
        <v>80</v>
      </c>
      <c r="U116" s="48" t="s">
        <v>80</v>
      </c>
      <c r="V116" s="48" t="s">
        <v>80</v>
      </c>
      <c r="W116" s="48" t="s">
        <v>80</v>
      </c>
      <c r="X116" s="48" t="s">
        <v>80</v>
      </c>
      <c r="Y116" s="48" t="s">
        <v>80</v>
      </c>
      <c r="Z116" s="48" t="s">
        <v>80</v>
      </c>
      <c r="AA116" s="48" t="s">
        <v>80</v>
      </c>
      <c r="AB116" s="48" t="s">
        <v>80</v>
      </c>
      <c r="AC116" s="48" t="s">
        <v>80</v>
      </c>
      <c r="AD116" s="48" t="s">
        <v>80</v>
      </c>
      <c r="AE116" s="48" t="s">
        <v>82</v>
      </c>
      <c r="AF116" s="48" t="s">
        <v>83</v>
      </c>
      <c r="AG116" s="48" t="s">
        <v>84</v>
      </c>
      <c r="AH116" s="48" t="s">
        <v>80</v>
      </c>
      <c r="AI116" s="48" t="s">
        <v>80</v>
      </c>
      <c r="AJ116" s="48" t="s">
        <v>80</v>
      </c>
      <c r="AK116" s="48" t="s">
        <v>80</v>
      </c>
      <c r="AL116" s="48" t="s">
        <v>85</v>
      </c>
      <c r="AM116" t="str">
        <f>VLOOKUP($R116,武学奇术!$A:$ZZ,25,FALSE)</f>
        <v>心法</v>
      </c>
      <c r="AN116" s="33">
        <f>VLOOKUP($R116,武学奇术!$A:$ZZ,26,FALSE)</f>
        <v>0</v>
      </c>
      <c r="AO116" s="34">
        <f>VLOOKUP($R116,武学奇术!$A:$ZZ,27,FALSE)*(1+IF(OR($AM116=$F$4,$AM116=$F$5),$B$22,0))</f>
        <v>0</v>
      </c>
      <c r="AP116" s="33">
        <f>VLOOKUP($R116,武学奇术!$A:$ZZ,28,FALSE)</f>
        <v>0</v>
      </c>
      <c r="AQ116" s="34">
        <f>VLOOKUP($R116,武学奇术!$A:$ZZ,29,FALSE)*(1+IF(OR($AM116=$F$4,$AM116=$F$5),$B$22,0))</f>
        <v>0</v>
      </c>
      <c r="AR116" s="33" cm="1">
        <f t="array" ref="AR116">$G$3+IFERROR(VLOOKUP($AM116,$F$4:$G$7,2,FALSE),0)+VLOOKUP($R116,武学奇术!$A:$ZZ,2,FALSE)+SUM(_xlfn.XLOOKUP($S116:$AL116,增益!$A:$A,增益!$B:$B,0))</f>
        <v>0.3142</v>
      </c>
      <c r="AS116" s="33" cm="1">
        <f t="array" ref="AS116">VLOOKUP($R116,武学奇术!$A:$ZZ,5,FALSE)+SUM(_xlfn.XLOOKUP($S116:$AL116,增益!$A:$A,增益!$E:$E,0))</f>
        <v>0</v>
      </c>
      <c r="AT116" cm="1">
        <f t="array" ref="AT116">$D$10*(1+$AS116)+VLOOKUP($R116,武学奇术!$A:$ZZ,3,FALSE)+SUM(_xlfn.XLOOKUP($S116:$AL116,增益!$A:$A,增益!$C:$C,0))-$I$2</f>
        <v>4094.7</v>
      </c>
      <c r="AU116" cm="1">
        <f t="array" ref="AU116">$E$10*(1+$AS116)+VLOOKUP($R116,武学奇术!$A:$ZZ,4,FALSE)+SUM(_xlfn.XLOOKUP($S116:$AL116,增益!$A:$A,增益!$D:$D,0))-$I$2</f>
        <v>4094.7</v>
      </c>
      <c r="AV116" s="40" cm="1">
        <f t="array" ref="AV116">IF($F$10-$I$3+VLOOKUP($R116,武学奇术!$A:$ZZ,6,FALSE)+SUM(_xlfn.XLOOKUP($S116:$AL116,增益!$A:$A,增益!$F:$F,0))&gt;0,($F$10-$I$3+VLOOKUP($R116,武学奇术!$A:$ZZ,6,FALSE)+SUM(_xlfn.XLOOKUP($S116:$AL116,增益!$A:$A,增益!$F:$F,0)))/200,($F$10-$I$3+VLOOKUP($R116,武学奇术!$A:$ZZ,6,FALSE)+SUM(_xlfn.XLOOKUP($S116:$AL116,增益!$A:$A,增益!$F:$F,0)))/100)</f>
        <v>0.3134</v>
      </c>
      <c r="AW116" s="40" cm="1">
        <f t="array" ref="AW116">$G$10+VLOOKUP($R116,武学奇术!$A:$ZZ,7,FALSE)+SUM(_xlfn.XLOOKUP($S116:$AL116,增益!$A:$A,增益!$G:$G,0))</f>
        <v>0.02</v>
      </c>
      <c r="AX116" s="33" cm="1">
        <f t="array" ref="AX116">VLOOKUP($R116,武学奇术!$A:$ZZ,8,FALSE)+SUM(_xlfn.XLOOKUP($S116:$AL116,增益!$A:$A,增益!$H:$H,0))</f>
        <v>0</v>
      </c>
      <c r="AY116">
        <f t="shared" si="44"/>
        <v>0</v>
      </c>
      <c r="AZ116">
        <f t="shared" si="45"/>
        <v>0</v>
      </c>
      <c r="BA116" s="40" cm="1">
        <f t="array" ref="BA116">IF($F$11-$I$4+VLOOKUP($R116,武学奇术!$A:$ZZ,9,FALSE)+SUM(_xlfn.XLOOKUP($S116:$AL116,增益!$A:$A,增益!$I:$I,0))&gt;0,($F$11-$I$4+VLOOKUP($R116,武学奇术!$A:$ZZ,9,FALSE)+SUM(_xlfn.XLOOKUP($S116:$AL116,增益!$A:$A,增益!$I:$I,0)))/200,($F$11-$I$4+VLOOKUP($R116,武学奇术!$A:$ZZ,9,FALSE)+SUM(_xlfn.XLOOKUP($S116:$AL116,增益!$A:$A,增益!$I:$I,0)))/100)</f>
        <v>-0.3</v>
      </c>
      <c r="BB116" s="40" cm="1">
        <f t="array" ref="BB116">$G$11+VLOOKUP($R116,武学奇术!$A:$ZZ,10,FALSE)+SUM(_xlfn.XLOOKUP($S116:$AL116,增益!$A:$A,增益!$J:$J,0))</f>
        <v>0.02</v>
      </c>
      <c r="BC116">
        <f t="shared" si="46"/>
        <v>640.3</v>
      </c>
      <c r="BD116">
        <f t="shared" si="47"/>
        <v>1770.1</v>
      </c>
      <c r="BE116" s="40" cm="1">
        <f t="array" ref="BE116">IF($F$12-$I$4+VLOOKUP($R116,武学奇术!$A:$ZZ,11,FALSE)+SUM(_xlfn.XLOOKUP($S116:$AL116,增益!$A:$A,增益!$K:$K,0))&gt;0,($F$12-$I$4+VLOOKUP($R116,武学奇术!$A:$ZZ,11,FALSE)+SUM(_xlfn.XLOOKUP($S116:$AL116,增益!$A:$A,增益!$K:$K,0)))/200,($F$12-$I$4+VLOOKUP($R116,武学奇术!$A:$ZZ,11,FALSE)+SUM(_xlfn.XLOOKUP($S116:$AL116,增益!$A:$A,增益!$K:$K,0)))/100)</f>
        <v>0.09</v>
      </c>
      <c r="BF116" s="40" cm="1">
        <f t="array" ref="BF116">$G$12+VLOOKUP($R116,武学奇术!$A:$ZZ,12,FALSE)+SUM(_xlfn.XLOOKUP($S116:$AL116,增益!$A:$A,增益!$L:$L,0))</f>
        <v>0.17</v>
      </c>
      <c r="BG116">
        <f t="shared" si="48"/>
        <v>0</v>
      </c>
      <c r="BH116">
        <f t="shared" si="49"/>
        <v>0</v>
      </c>
      <c r="BI116" s="40" cm="1">
        <f t="array" ref="BI116">IF($F$13-$I$4+VLOOKUP($R116,武学奇术!$A:$ZZ,13,FALSE)+SUM(_xlfn.XLOOKUP($S116:$AL116,增益!$A:$A,增益!$M:$M,0))&gt;0,($F$13-$I$4+VLOOKUP($R116,武学奇术!$A:$ZZ,13,FALSE)+SUM(_xlfn.XLOOKUP($S116:$AL116,增益!$A:$A,增益!$K:$K,0)))/200,($F$13-$I$4+VLOOKUP($R116,武学奇术!$A:$ZZ,13,FALSE)+SUM(_xlfn.XLOOKUP($S116:$AL116,增益!$A:$A,增益!$M:$M,0)))/100)</f>
        <v>-0.3</v>
      </c>
      <c r="BJ116" s="40" cm="1">
        <f t="array" ref="BJ116">$G$13+VLOOKUP($R116,武学奇术!$A:$ZZ,14,FALSE)+SUM(_xlfn.XLOOKUP($S116:$AL116,增益!$A:$A,增益!$N:$N,0))</f>
        <v>0.02</v>
      </c>
      <c r="BK116">
        <f t="shared" si="50"/>
        <v>0</v>
      </c>
      <c r="BL116">
        <f t="shared" si="51"/>
        <v>0</v>
      </c>
      <c r="BM116" s="40" cm="1">
        <f t="array" ref="BM116">IF($F$14-$I$4+VLOOKUP($R116,武学奇术!$A:$ZZ,15,FALSE)+SUM(_xlfn.XLOOKUP($S116:$AL116,增益!$A:$A,增益!$O:$O,0))&gt;0,($F$14-$I$4+VLOOKUP($R116,武学奇术!$A:$ZZ,15,FALSE)+SUM(_xlfn.XLOOKUP($S116:$AL116,增益!$A:$A,增益!$O:$O,0)))/200,($F$14-$I$4+VLOOKUP($R116,武学奇术!$A:$ZZ,15,FALSE)+SUM(_xlfn.XLOOKUP($S116:$AL116,增益!$A:$A,增益!$O:$O,0)))/100)</f>
        <v>-0.3</v>
      </c>
      <c r="BN116" s="40" cm="1">
        <f t="array" ref="BN116">$G$14+VLOOKUP($R116,武学奇术!$A:$ZZ,16,FALSE)+SUM(_xlfn.XLOOKUP($S116:$AL116,增益!$A:$A,增益!$P:$P,0))</f>
        <v>0.02</v>
      </c>
      <c r="BO116" s="33">
        <f>MIN(IF(VLOOKUP($R116,武学奇术!$A:$ZZ,23,FALSE)=1,100%,$B$8),100%)</f>
        <v>0.9771</v>
      </c>
      <c r="BP116" s="33" cm="1">
        <f t="array" ref="BP116">IF(VLOOKUP($R116,武学奇术!$A:$ZZ,23,FALSE)=1,100%,MIN(80%,$B$9+VLOOKUP($R116,武学奇术!$A:$ZZ,17,FALSE)+SUM(_xlfn.XLOOKUP($S116:$AL116,增益!$A:$A,增益!$Q:$Q,0)))+$B$11+SUM(_xlfn.XLOOKUP($S116:$AL116,增益!$A:$A,增益!$U:$U,0)))*IF(VLOOKUP($R116,武学奇术!$A:$ZZ,24,FALSE)=1,0,1)</f>
        <v>0.8861</v>
      </c>
      <c r="BQ116" s="33" cm="1">
        <f t="array" ref="BQ116">1+$B$13+VLOOKUP($R116,武学奇术!$A:$ZZ,18,FALSE)+SUM(_xlfn.XLOOKUP($S116:$AL116,增益!$A:$A,增益!$R:$R,0))</f>
        <v>1.54</v>
      </c>
      <c r="BR116" s="33" cm="1">
        <f t="array" ref="BR116">IF(VLOOKUP($R116,武学奇术!$A:$ZZ,24,FALSE)=1,100%,MIN(40%,$B$10+VLOOKUP($R116,武学奇术!$A:$ZZ,19,FALSE)+SUM(_xlfn.XLOOKUP($S116:$AL116,增益!$A:$A,增益!$S:$S,0)))+$B$12+SUM(_xlfn.XLOOKUP($S116:$AL116,增益!$A:$A,增益!$V:$V,0)))*IF(VLOOKUP($R116,武学奇术!$A:$ZZ,23,FALSE)=1,0,1)</f>
        <v>0.0913</v>
      </c>
      <c r="BS116" s="33" cm="1">
        <f t="array" ref="BS116">1+$B$14+VLOOKUP($R116,武学奇术!$A:$ZZ,20,FALSE)+SUM(_xlfn.XLOOKUP($S116:$AL116,增益!$A:$A,增益!$T:$T,0))</f>
        <v>1.35</v>
      </c>
      <c r="BT116" s="33">
        <f t="shared" si="52"/>
        <v>0.86580831</v>
      </c>
      <c r="BU116" s="33">
        <f t="shared" si="53"/>
        <v>0.02208246</v>
      </c>
      <c r="BV116" s="33">
        <f>IF(VLOOKUP($R116,武学奇术!$A:$ZZ,22,FALSE)=1,0,(1-$BO116))*(1-$BR116)</f>
        <v>0.02080923</v>
      </c>
      <c r="BW116" s="33" cm="1">
        <f t="array" ref="BW116">SUM(_xlfn.XLOOKUP($S116:$AL116,增益!$A:$A,增益!$W:$W,0))+$I$5</f>
        <v>0.11</v>
      </c>
      <c r="BX116" s="33" cm="1">
        <f t="array" ref="BX116">VLOOKUP($R116,武学奇术!$A:$ZZ,32,FALSE)+SUM(_xlfn.XLOOKUP($S116:$AL116,增益!$A:$A,增益!$X:$X,0))</f>
        <v>0</v>
      </c>
    </row>
    <row r="117" spans="1:76">
      <c r="A117" s="4" t="s">
        <v>190</v>
      </c>
      <c r="B117" s="4">
        <v>1.1</v>
      </c>
      <c r="D117" s="47"/>
      <c r="E117" s="47"/>
      <c r="L117" s="46">
        <f t="shared" si="54"/>
        <v>0</v>
      </c>
      <c r="M117" s="46">
        <f>((($AT117+$AU117)/2*$AN117+$AO117)*(1+$AV117)*(1+$AW117)+(($AY117+$AZ117)/2*IF($G$1="鸣金",$AP117,$AN117)+IF($G$1="鸣金",$AQ117*1.5,0))*(1+$BA117)*(1+$BB117)+(($BC117+$BD117)/2*IF($G$1="裂石",$AP117,$AN117)+IF($G$1="裂石",$AQ117*1.5,0))*(1+$BE117)*(1+$BF117)+(($BG117+$BH117)/2*IF($G$1="牵丝",$AP117,$AN117)+IF($G$1="牵丝",$AQ117*1.5,0))*(1+$BI117)*(1+$BJ117)+(($BK117+$BL117)/2*IF($G$1="破竹",$AP117,$AN117)+IF($G$1="破竹",$AQ117*1.5,0))*(1+$BM117)*(1+$BN117))*(1+$AR117)*$BQ117*$Q117*(1+IF(VLOOKUP($R117,武学奇术!$A:$ZZ,30,FALSE)="蓄力技",$B$21,0))*(1+IF(VLOOKUP($R117,武学奇术!$A:$ZZ,30,FALSE)="派生技",$B$20,0))*(1+$BW117)*(1+$BX117)</f>
        <v>0</v>
      </c>
      <c r="N117" s="46">
        <f>(($AU117*$AN117+$AO117)*(1+$AV117)*(1+$AW117)+($AZ117*IF($G$1="鸣金",$AP117,$AN117)+IF($G$1="鸣金",$AQ117*1.5,0))*(1+$BA117)*(1+$BB117)+($BD117*IF($G$1="裂石",$AP117,$AN117)+IF($G$1="裂石",$AQ117*1.5,0))*(1+$BE117)*(1+$BF117)+($BH117*IF($G$1="牵丝",$AP117,$AN117)+IF($G$1="牵丝",$AQ117*1.5,0))*(1+$BI117)*(1+$BJ117)+($BL117*IF($G$1="破竹",$AP117,$AN117)+IF($G$1="破竹",$AQ117*1.5,0))*(1+$BM117)*(1+$BN117))*(1+$AR117)*$BS117*$Q117*(1+IF(VLOOKUP($R117,武学奇术!$A:$ZZ,30,FALSE)="蓄力技",$B$21,0))*(1+IF(VLOOKUP($R117,武学奇术!$A:$ZZ,30,FALSE)="派生技",$B$20,0))*(1+$BW117)*(1+$BX117)</f>
        <v>0</v>
      </c>
      <c r="O117" s="46">
        <f>((($AT117+$AU117)/2*$AN117+$AO117)*(1+$AV117)*(1+$AW117)+(($AY117+$AZ117)/2*IF($G$1="鸣金",$AP117,$AN117)+IF($G$1="鸣金",$AQ117*1.5,0))*(1+$BA117)*(1+$BB117)+(($BC117+$BD117)/2*IF($G$1="裂石",$AP117,$AN117)+IF($G$1="裂石",$AQ117*1.5,0))*(1+$BE117)*(1+$BF117)+(($BG117+$BH117)/2*IF($G$1="牵丝",$AP117,$AN117)+IF($G$1="牵丝",$AQ117*1.5,0))*(1+$BI117)*(1+$BJ117)+(($BK117+$BL117)/2*IF($G$1="破竹",$AP117,$AN117)+IF($G$1="破竹",$AQ117*1.5,0))*(1+$BM117)*(1+$BN117))*(1+$AR117)*$Q117*(1+IF(VLOOKUP($R117,武学奇术!$A:$ZZ,30,FALSE)="蓄力技",$B$21,0))*(1+IF(VLOOKUP($R117,武学奇术!$A:$ZZ,30,FALSE)="派生技",$B$20,0))*(1+$BW117)*(1+$BX117)</f>
        <v>0</v>
      </c>
      <c r="P117" s="46">
        <f>((($AT117*$AN117+$AO117)*(1+$AV117)*(1+$AW117)+($AY117*IF($G$1="鸣金",$AP117,$AN117)+IF($G$1="鸣金",$AQ117*1.5,0))*(1+$BA117)*(1+$BB117)+($BC117*IF($G$1="裂石",$AP117,$AN117)+IF($G$1="裂石",$AQ117*1.5,0))*(1+$BE117)*(1+$BF117)+($BG117*IF($G$1="牵丝",$AP117,$AN117)+IF($G$1="牵丝",$AQ117*1.5,0))*(1+$BI117)*(1+$BJ117)+($BK117*IF($G$1="破竹",$AP117,$AN117)+IF($G$1="破竹",$AQ117*1.5,0))*(1+$BM117)*(1+$BN117))*(1+$AR117))*$Q117*(1+IF(VLOOKUP($R117,武学奇术!$A:$ZZ,30,FALSE)="蓄力技",$B$21,0))*(1+IF(VLOOKUP($R117,武学奇术!$A:$ZZ,30,FALSE)="派生技",$B$20,0))*(1+$BW117)*(1+$BX117)</f>
        <v>0</v>
      </c>
      <c r="Q117" s="47">
        <v>1</v>
      </c>
      <c r="R117" s="48" t="s">
        <v>80</v>
      </c>
      <c r="S117" s="48" t="s">
        <v>80</v>
      </c>
      <c r="T117" s="48" t="s">
        <v>80</v>
      </c>
      <c r="U117" s="48" t="s">
        <v>80</v>
      </c>
      <c r="V117" s="48" t="s">
        <v>80</v>
      </c>
      <c r="W117" s="48" t="s">
        <v>80</v>
      </c>
      <c r="X117" s="48" t="s">
        <v>80</v>
      </c>
      <c r="Y117" s="48" t="s">
        <v>80</v>
      </c>
      <c r="Z117" s="48" t="s">
        <v>80</v>
      </c>
      <c r="AA117" s="48" t="s">
        <v>80</v>
      </c>
      <c r="AB117" s="48" t="s">
        <v>80</v>
      </c>
      <c r="AC117" s="48" t="s">
        <v>80</v>
      </c>
      <c r="AD117" s="48" t="s">
        <v>80</v>
      </c>
      <c r="AE117" s="48" t="s">
        <v>82</v>
      </c>
      <c r="AF117" s="48" t="s">
        <v>83</v>
      </c>
      <c r="AG117" s="48" t="s">
        <v>84</v>
      </c>
      <c r="AH117" s="48" t="s">
        <v>80</v>
      </c>
      <c r="AI117" s="48" t="s">
        <v>80</v>
      </c>
      <c r="AJ117" s="48" t="s">
        <v>80</v>
      </c>
      <c r="AK117" s="48" t="s">
        <v>80</v>
      </c>
      <c r="AL117" s="48" t="s">
        <v>85</v>
      </c>
      <c r="AM117" t="str">
        <f>VLOOKUP($R117,武学奇术!$A:$ZZ,25,FALSE)</f>
        <v>心法</v>
      </c>
      <c r="AN117" s="33">
        <f>VLOOKUP($R117,武学奇术!$A:$ZZ,26,FALSE)</f>
        <v>0</v>
      </c>
      <c r="AO117" s="34">
        <f>VLOOKUP($R117,武学奇术!$A:$ZZ,27,FALSE)*(1+IF(OR($AM117=$F$4,$AM117=$F$5),$B$22,0))</f>
        <v>0</v>
      </c>
      <c r="AP117" s="33">
        <f>VLOOKUP($R117,武学奇术!$A:$ZZ,28,FALSE)</f>
        <v>0</v>
      </c>
      <c r="AQ117" s="34">
        <f>VLOOKUP($R117,武学奇术!$A:$ZZ,29,FALSE)*(1+IF(OR($AM117=$F$4,$AM117=$F$5),$B$22,0))</f>
        <v>0</v>
      </c>
      <c r="AR117" s="33" cm="1">
        <f t="array" ref="AR117">$G$3+IFERROR(VLOOKUP($AM117,$F$4:$G$7,2,FALSE),0)+VLOOKUP($R117,武学奇术!$A:$ZZ,2,FALSE)+SUM(_xlfn.XLOOKUP($S117:$AL117,增益!$A:$A,增益!$B:$B,0))</f>
        <v>0.3142</v>
      </c>
      <c r="AS117" s="33" cm="1">
        <f t="array" ref="AS117">VLOOKUP($R117,武学奇术!$A:$ZZ,5,FALSE)+SUM(_xlfn.XLOOKUP($S117:$AL117,增益!$A:$A,增益!$E:$E,0))</f>
        <v>0</v>
      </c>
      <c r="AT117" cm="1">
        <f t="array" ref="AT117">$D$10*(1+$AS117)+VLOOKUP($R117,武学奇术!$A:$ZZ,3,FALSE)+SUM(_xlfn.XLOOKUP($S117:$AL117,增益!$A:$A,增益!$C:$C,0))-$I$2</f>
        <v>4094.7</v>
      </c>
      <c r="AU117" cm="1">
        <f t="array" ref="AU117">$E$10*(1+$AS117)+VLOOKUP($R117,武学奇术!$A:$ZZ,4,FALSE)+SUM(_xlfn.XLOOKUP($S117:$AL117,增益!$A:$A,增益!$D:$D,0))-$I$2</f>
        <v>4094.7</v>
      </c>
      <c r="AV117" s="40" cm="1">
        <f t="array" ref="AV117">IF($F$10-$I$3+VLOOKUP($R117,武学奇术!$A:$ZZ,6,FALSE)+SUM(_xlfn.XLOOKUP($S117:$AL117,增益!$A:$A,增益!$F:$F,0))&gt;0,($F$10-$I$3+VLOOKUP($R117,武学奇术!$A:$ZZ,6,FALSE)+SUM(_xlfn.XLOOKUP($S117:$AL117,增益!$A:$A,增益!$F:$F,0)))/200,($F$10-$I$3+VLOOKUP($R117,武学奇术!$A:$ZZ,6,FALSE)+SUM(_xlfn.XLOOKUP($S117:$AL117,增益!$A:$A,增益!$F:$F,0)))/100)</f>
        <v>0.3134</v>
      </c>
      <c r="AW117" s="40" cm="1">
        <f t="array" ref="AW117">$G$10+VLOOKUP($R117,武学奇术!$A:$ZZ,7,FALSE)+SUM(_xlfn.XLOOKUP($S117:$AL117,增益!$A:$A,增益!$G:$G,0))</f>
        <v>0.02</v>
      </c>
      <c r="AX117" s="33" cm="1">
        <f t="array" ref="AX117">VLOOKUP($R117,武学奇术!$A:$ZZ,8,FALSE)+SUM(_xlfn.XLOOKUP($S117:$AL117,增益!$A:$A,增益!$H:$H,0))</f>
        <v>0</v>
      </c>
      <c r="AY117">
        <f t="shared" si="44"/>
        <v>0</v>
      </c>
      <c r="AZ117">
        <f t="shared" si="45"/>
        <v>0</v>
      </c>
      <c r="BA117" s="40" cm="1">
        <f t="array" ref="BA117">IF($F$11-$I$4+VLOOKUP($R117,武学奇术!$A:$ZZ,9,FALSE)+SUM(_xlfn.XLOOKUP($S117:$AL117,增益!$A:$A,增益!$I:$I,0))&gt;0,($F$11-$I$4+VLOOKUP($R117,武学奇术!$A:$ZZ,9,FALSE)+SUM(_xlfn.XLOOKUP($S117:$AL117,增益!$A:$A,增益!$I:$I,0)))/200,($F$11-$I$4+VLOOKUP($R117,武学奇术!$A:$ZZ,9,FALSE)+SUM(_xlfn.XLOOKUP($S117:$AL117,增益!$A:$A,增益!$I:$I,0)))/100)</f>
        <v>-0.3</v>
      </c>
      <c r="BB117" s="40" cm="1">
        <f t="array" ref="BB117">$G$11+VLOOKUP($R117,武学奇术!$A:$ZZ,10,FALSE)+SUM(_xlfn.XLOOKUP($S117:$AL117,增益!$A:$A,增益!$J:$J,0))</f>
        <v>0.02</v>
      </c>
      <c r="BC117">
        <f t="shared" si="46"/>
        <v>640.3</v>
      </c>
      <c r="BD117">
        <f t="shared" si="47"/>
        <v>1770.1</v>
      </c>
      <c r="BE117" s="40" cm="1">
        <f t="array" ref="BE117">IF($F$12-$I$4+VLOOKUP($R117,武学奇术!$A:$ZZ,11,FALSE)+SUM(_xlfn.XLOOKUP($S117:$AL117,增益!$A:$A,增益!$K:$K,0))&gt;0,($F$12-$I$4+VLOOKUP($R117,武学奇术!$A:$ZZ,11,FALSE)+SUM(_xlfn.XLOOKUP($S117:$AL117,增益!$A:$A,增益!$K:$K,0)))/200,($F$12-$I$4+VLOOKUP($R117,武学奇术!$A:$ZZ,11,FALSE)+SUM(_xlfn.XLOOKUP($S117:$AL117,增益!$A:$A,增益!$K:$K,0)))/100)</f>
        <v>0.09</v>
      </c>
      <c r="BF117" s="40" cm="1">
        <f t="array" ref="BF117">$G$12+VLOOKUP($R117,武学奇术!$A:$ZZ,12,FALSE)+SUM(_xlfn.XLOOKUP($S117:$AL117,增益!$A:$A,增益!$L:$L,0))</f>
        <v>0.17</v>
      </c>
      <c r="BG117">
        <f t="shared" si="48"/>
        <v>0</v>
      </c>
      <c r="BH117">
        <f t="shared" si="49"/>
        <v>0</v>
      </c>
      <c r="BI117" s="40" cm="1">
        <f t="array" ref="BI117">IF($F$13-$I$4+VLOOKUP($R117,武学奇术!$A:$ZZ,13,FALSE)+SUM(_xlfn.XLOOKUP($S117:$AL117,增益!$A:$A,增益!$M:$M,0))&gt;0,($F$13-$I$4+VLOOKUP($R117,武学奇术!$A:$ZZ,13,FALSE)+SUM(_xlfn.XLOOKUP($S117:$AL117,增益!$A:$A,增益!$K:$K,0)))/200,($F$13-$I$4+VLOOKUP($R117,武学奇术!$A:$ZZ,13,FALSE)+SUM(_xlfn.XLOOKUP($S117:$AL117,增益!$A:$A,增益!$M:$M,0)))/100)</f>
        <v>-0.3</v>
      </c>
      <c r="BJ117" s="40" cm="1">
        <f t="array" ref="BJ117">$G$13+VLOOKUP($R117,武学奇术!$A:$ZZ,14,FALSE)+SUM(_xlfn.XLOOKUP($S117:$AL117,增益!$A:$A,增益!$N:$N,0))</f>
        <v>0.02</v>
      </c>
      <c r="BK117">
        <f t="shared" si="50"/>
        <v>0</v>
      </c>
      <c r="BL117">
        <f t="shared" si="51"/>
        <v>0</v>
      </c>
      <c r="BM117" s="40" cm="1">
        <f t="array" ref="BM117">IF($F$14-$I$4+VLOOKUP($R117,武学奇术!$A:$ZZ,15,FALSE)+SUM(_xlfn.XLOOKUP($S117:$AL117,增益!$A:$A,增益!$O:$O,0))&gt;0,($F$14-$I$4+VLOOKUP($R117,武学奇术!$A:$ZZ,15,FALSE)+SUM(_xlfn.XLOOKUP($S117:$AL117,增益!$A:$A,增益!$O:$O,0)))/200,($F$14-$I$4+VLOOKUP($R117,武学奇术!$A:$ZZ,15,FALSE)+SUM(_xlfn.XLOOKUP($S117:$AL117,增益!$A:$A,增益!$O:$O,0)))/100)</f>
        <v>-0.3</v>
      </c>
      <c r="BN117" s="40" cm="1">
        <f t="array" ref="BN117">$G$14+VLOOKUP($R117,武学奇术!$A:$ZZ,16,FALSE)+SUM(_xlfn.XLOOKUP($S117:$AL117,增益!$A:$A,增益!$P:$P,0))</f>
        <v>0.02</v>
      </c>
      <c r="BO117" s="33">
        <f>MIN(IF(VLOOKUP($R117,武学奇术!$A:$ZZ,23,FALSE)=1,100%,$B$8),100%)</f>
        <v>0.9771</v>
      </c>
      <c r="BP117" s="33" cm="1">
        <f t="array" ref="BP117">IF(VLOOKUP($R117,武学奇术!$A:$ZZ,23,FALSE)=1,100%,MIN(80%,$B$9+VLOOKUP($R117,武学奇术!$A:$ZZ,17,FALSE)+SUM(_xlfn.XLOOKUP($S117:$AL117,增益!$A:$A,增益!$Q:$Q,0)))+$B$11+SUM(_xlfn.XLOOKUP($S117:$AL117,增益!$A:$A,增益!$U:$U,0)))*IF(VLOOKUP($R117,武学奇术!$A:$ZZ,24,FALSE)=1,0,1)</f>
        <v>0.8861</v>
      </c>
      <c r="BQ117" s="33" cm="1">
        <f t="array" ref="BQ117">1+$B$13+VLOOKUP($R117,武学奇术!$A:$ZZ,18,FALSE)+SUM(_xlfn.XLOOKUP($S117:$AL117,增益!$A:$A,增益!$R:$R,0))</f>
        <v>1.54</v>
      </c>
      <c r="BR117" s="33" cm="1">
        <f t="array" ref="BR117">IF(VLOOKUP($R117,武学奇术!$A:$ZZ,24,FALSE)=1,100%,MIN(40%,$B$10+VLOOKUP($R117,武学奇术!$A:$ZZ,19,FALSE)+SUM(_xlfn.XLOOKUP($S117:$AL117,增益!$A:$A,增益!$S:$S,0)))+$B$12+SUM(_xlfn.XLOOKUP($S117:$AL117,增益!$A:$A,增益!$V:$V,0)))*IF(VLOOKUP($R117,武学奇术!$A:$ZZ,23,FALSE)=1,0,1)</f>
        <v>0.0913</v>
      </c>
      <c r="BS117" s="33" cm="1">
        <f t="array" ref="BS117">1+$B$14+VLOOKUP($R117,武学奇术!$A:$ZZ,20,FALSE)+SUM(_xlfn.XLOOKUP($S117:$AL117,增益!$A:$A,增益!$T:$T,0))</f>
        <v>1.35</v>
      </c>
      <c r="BT117" s="33">
        <f t="shared" si="52"/>
        <v>0.86580831</v>
      </c>
      <c r="BU117" s="33">
        <f t="shared" si="53"/>
        <v>0.02208246</v>
      </c>
      <c r="BV117" s="33">
        <f>IF(VLOOKUP($R117,武学奇术!$A:$ZZ,22,FALSE)=1,0,(1-$BO117))*(1-$BR117)</f>
        <v>0.02080923</v>
      </c>
      <c r="BW117" s="33" cm="1">
        <f t="array" ref="BW117">SUM(_xlfn.XLOOKUP($S117:$AL117,增益!$A:$A,增益!$W:$W,0))+$I$5</f>
        <v>0.11</v>
      </c>
      <c r="BX117" s="33" cm="1">
        <f t="array" ref="BX117">VLOOKUP($R117,武学奇术!$A:$ZZ,32,FALSE)+SUM(_xlfn.XLOOKUP($S117:$AL117,增益!$A:$A,增益!$X:$X,0))</f>
        <v>0</v>
      </c>
    </row>
    <row r="118" spans="1:76">
      <c r="A118" s="4" t="s">
        <v>189</v>
      </c>
      <c r="B118" s="4">
        <v>0.8</v>
      </c>
      <c r="D118" s="47"/>
      <c r="E118" s="47"/>
      <c r="L118" s="46">
        <f t="shared" si="54"/>
        <v>24680.8721136438</v>
      </c>
      <c r="M118" s="46">
        <f>((($AT118+$AU118)/2*$AN118+$AO118)*(1+$AV118)*(1+$AW118)+(($AY118+$AZ118)/2*IF($G$1="鸣金",$AP118,$AN118)+IF($G$1="鸣金",$AQ118*1.5,0))*(1+$BA118)*(1+$BB118)+(($BC118+$BD118)/2*IF($G$1="裂石",$AP118,$AN118)+IF($G$1="裂石",$AQ118*1.5,0))*(1+$BE118)*(1+$BF118)+(($BG118+$BH118)/2*IF($G$1="牵丝",$AP118,$AN118)+IF($G$1="牵丝",$AQ118*1.5,0))*(1+$BI118)*(1+$BJ118)+(($BK118+$BL118)/2*IF($G$1="破竹",$AP118,$AN118)+IF($G$1="破竹",$AQ118*1.5,0))*(1+$BM118)*(1+$BN118))*(1+$AR118)*$BQ118*$Q118*(1+IF(VLOOKUP($R118,武学奇术!$A:$ZZ,30,FALSE)="蓄力技",$B$21,0))*(1+IF(VLOOKUP($R118,武学奇术!$A:$ZZ,30,FALSE)="派生技",$B$20,0))*(1+$BW118)*(1+$BX118)</f>
        <v>25717.1648322951</v>
      </c>
      <c r="N118" s="46">
        <f>(($AU118*$AN118+$AO118)*(1+$AV118)*(1+$AW118)+($AZ118*IF($G$1="鸣金",$AP118,$AN118)+IF($G$1="鸣金",$AQ118*1.5,0))*(1+$BA118)*(1+$BB118)+($BD118*IF($G$1="裂石",$AP118,$AN118)+IF($G$1="裂石",$AQ118*1.5,0))*(1+$BE118)*(1+$BF118)+($BH118*IF($G$1="牵丝",$AP118,$AN118)+IF($G$1="牵丝",$AQ118*1.5,0))*(1+$BI118)*(1+$BJ118)+($BL118*IF($G$1="破竹",$AP118,$AN118)+IF($G$1="破竹",$AQ118*1.5,0))*(1+$BM118)*(1+$BN118))*(1+$AR118)*$BS118*$Q118*(1+IF(VLOOKUP($R118,武学奇术!$A:$ZZ,30,FALSE)="蓄力技",$B$21,0))*(1+IF(VLOOKUP($R118,武学奇术!$A:$ZZ,30,FALSE)="派生技",$B$20,0))*(1+$BW118)*(1+$BX118)</f>
        <v>20337.8136920375</v>
      </c>
      <c r="O118" s="46">
        <f>((($AT118+$AU118)/2*$AN118+$AO118)*(1+$AV118)*(1+$AW118)+(($AY118+$AZ118)/2*IF($G$1="鸣金",$AP118,$AN118)+IF($G$1="鸣金",$AQ118*1.5,0))*(1+$BA118)*(1+$BB118)+(($BC118+$BD118)/2*IF($G$1="裂石",$AP118,$AN118)+IF($G$1="裂石",$AQ118*1.5,0))*(1+$BE118)*(1+$BF118)+(($BG118+$BH118)/2*IF($G$1="牵丝",$AP118,$AN118)+IF($G$1="牵丝",$AQ118*1.5,0))*(1+$BI118)*(1+$BJ118)+(($BK118+$BL118)/2*IF($G$1="破竹",$AP118,$AN118)+IF($G$1="破竹",$AQ118*1.5,0))*(1+$BM118)*(1+$BN118))*(1+$AR118)*$Q118*(1+IF(VLOOKUP($R118,武学奇术!$A:$ZZ,30,FALSE)="蓄力技",$B$21,0))*(1+IF(VLOOKUP($R118,武学奇术!$A:$ZZ,30,FALSE)="派生技",$B$20,0))*(1+$BW118)*(1+$BX118)</f>
        <v>13679.3429959017</v>
      </c>
      <c r="P118" s="46">
        <f>((($AT118*$AN118+$AO118)*(1+$AV118)*(1+$AW118)+($AY118*IF($G$1="鸣金",$AP118,$AN118)+IF($G$1="鸣金",$AQ118*1.5,0))*(1+$BA118)*(1+$BB118)+($BC118*IF($G$1="裂石",$AP118,$AN118)+IF($G$1="裂石",$AQ118*1.5,0))*(1+$BE118)*(1+$BF118)+($BG118*IF($G$1="牵丝",$AP118,$AN118)+IF($G$1="牵丝",$AQ118*1.5,0))*(1+$BI118)*(1+$BJ118)+($BK118*IF($G$1="破竹",$AP118,$AN118)+IF($G$1="破竹",$AQ118*1.5,0))*(1+$BM118)*(1+$BN118))*(1+$AR118))*$Q118*(1+IF(VLOOKUP($R118,武学奇术!$A:$ZZ,30,FALSE)="蓄力技",$B$21,0))*(1+IF(VLOOKUP($R118,武学奇术!$A:$ZZ,30,FALSE)="派生技",$B$20,0))*(1+$BW118)*(1+$BX118)</f>
        <v>12293.6388125163</v>
      </c>
      <c r="Q118" s="47">
        <v>1</v>
      </c>
      <c r="R118" s="48" t="s">
        <v>192</v>
      </c>
      <c r="S118" s="48" t="s">
        <v>99</v>
      </c>
      <c r="T118" s="48" t="s">
        <v>95</v>
      </c>
      <c r="U118" s="48" t="s">
        <v>79</v>
      </c>
      <c r="V118" s="48" t="s">
        <v>90</v>
      </c>
      <c r="W118" s="48" t="s">
        <v>91</v>
      </c>
      <c r="X118" s="48" t="s">
        <v>80</v>
      </c>
      <c r="Y118" s="48" t="s">
        <v>80</v>
      </c>
      <c r="Z118" s="48" t="s">
        <v>81</v>
      </c>
      <c r="AA118" s="48" t="s">
        <v>80</v>
      </c>
      <c r="AB118" s="48" t="s">
        <v>80</v>
      </c>
      <c r="AC118" s="48" t="s">
        <v>80</v>
      </c>
      <c r="AD118" s="48" t="s">
        <v>80</v>
      </c>
      <c r="AE118" s="48" t="s">
        <v>82</v>
      </c>
      <c r="AF118" s="48" t="s">
        <v>83</v>
      </c>
      <c r="AG118" s="48" t="s">
        <v>84</v>
      </c>
      <c r="AH118" s="48" t="s">
        <v>80</v>
      </c>
      <c r="AI118" s="48" t="s">
        <v>80</v>
      </c>
      <c r="AJ118" s="48" t="s">
        <v>80</v>
      </c>
      <c r="AK118" s="48" t="s">
        <v>80</v>
      </c>
      <c r="AL118" s="48" t="s">
        <v>85</v>
      </c>
      <c r="AM118" t="str">
        <f>VLOOKUP($R118,武学奇术!$A:$ZZ,25,FALSE)</f>
        <v>心法</v>
      </c>
      <c r="AN118" s="33">
        <f>VLOOKUP($R118,武学奇术!$A:$ZZ,26,FALSE)</f>
        <v>1</v>
      </c>
      <c r="AO118" s="34">
        <f>VLOOKUP($R118,武学奇术!$A:$ZZ,27,FALSE)*(1+IF(OR($AM118=$F$4,$AM118=$F$5),$B$22,0))</f>
        <v>0</v>
      </c>
      <c r="AP118" s="33">
        <f>VLOOKUP($R118,武学奇术!$A:$ZZ,28,FALSE)</f>
        <v>1</v>
      </c>
      <c r="AQ118" s="34">
        <f>VLOOKUP($R118,武学奇术!$A:$ZZ,29,FALSE)*(1+IF(OR($AM118=$F$4,$AM118=$F$5),$B$22,0))</f>
        <v>0</v>
      </c>
      <c r="AR118" s="33" cm="1">
        <f t="array" ref="AR118">$G$3+IFERROR(VLOOKUP($AM118,$F$4:$G$7,2,FALSE),0)+VLOOKUP($R118,武学奇术!$A:$ZZ,2,FALSE)+SUM(_xlfn.XLOOKUP($S118:$AL118,增益!$A:$A,增益!$B:$B,0))</f>
        <v>0.4642</v>
      </c>
      <c r="AS118" s="33" cm="1">
        <f t="array" ref="AS118">VLOOKUP($R118,武学奇术!$A:$ZZ,5,FALSE)+SUM(_xlfn.XLOOKUP($S118:$AL118,增益!$A:$A,增益!$E:$E,0))</f>
        <v>0</v>
      </c>
      <c r="AT118" cm="1">
        <f t="array" ref="AT118">$D$10*(1+$AS118)+VLOOKUP($R118,武学奇术!$A:$ZZ,3,FALSE)+SUM(_xlfn.XLOOKUP($S118:$AL118,增益!$A:$A,增益!$C:$C,0))-$I$2</f>
        <v>4094.7</v>
      </c>
      <c r="AU118" cm="1">
        <f t="array" ref="AU118">$E$10*(1+$AS118)+VLOOKUP($R118,武学奇术!$A:$ZZ,4,FALSE)+SUM(_xlfn.XLOOKUP($S118:$AL118,增益!$A:$A,增益!$D:$D,0))-$I$2</f>
        <v>4094.7</v>
      </c>
      <c r="AV118" s="40" cm="1">
        <f t="array" ref="AV118">IF($F$10-$I$3+VLOOKUP($R118,武学奇术!$A:$ZZ,6,FALSE)+SUM(_xlfn.XLOOKUP($S118:$AL118,增益!$A:$A,增益!$F:$F,0))&gt;0,($F$10-$I$3+VLOOKUP($R118,武学奇术!$A:$ZZ,6,FALSE)+SUM(_xlfn.XLOOKUP($S118:$AL118,增益!$A:$A,增益!$F:$F,0)))/200,($F$10-$I$3+VLOOKUP($R118,武学奇术!$A:$ZZ,6,FALSE)+SUM(_xlfn.XLOOKUP($S118:$AL118,增益!$A:$A,增益!$F:$F,0)))/100)</f>
        <v>0.4134</v>
      </c>
      <c r="AW118" s="40" cm="1">
        <f t="array" ref="AW118">$G$10+VLOOKUP($R118,武学奇术!$A:$ZZ,7,FALSE)+SUM(_xlfn.XLOOKUP($S118:$AL118,增益!$A:$A,增益!$G:$G,0))</f>
        <v>0.14</v>
      </c>
      <c r="AX118" s="33" cm="1">
        <f t="array" ref="AX118">VLOOKUP($R118,武学奇术!$A:$ZZ,8,FALSE)+SUM(_xlfn.XLOOKUP($S118:$AL118,增益!$A:$A,增益!$H:$H,0))</f>
        <v>0</v>
      </c>
      <c r="AY118">
        <f t="shared" si="44"/>
        <v>0</v>
      </c>
      <c r="AZ118">
        <f t="shared" si="45"/>
        <v>0</v>
      </c>
      <c r="BA118" s="40" cm="1">
        <f t="array" ref="BA118">IF($F$11-$I$4+VLOOKUP($R118,武学奇术!$A:$ZZ,9,FALSE)+SUM(_xlfn.XLOOKUP($S118:$AL118,增益!$A:$A,增益!$I:$I,0))&gt;0,($F$11-$I$4+VLOOKUP($R118,武学奇术!$A:$ZZ,9,FALSE)+SUM(_xlfn.XLOOKUP($S118:$AL118,增益!$A:$A,增益!$I:$I,0)))/200,($F$11-$I$4+VLOOKUP($R118,武学奇术!$A:$ZZ,9,FALSE)+SUM(_xlfn.XLOOKUP($S118:$AL118,增益!$A:$A,增益!$I:$I,0)))/100)</f>
        <v>-0.14</v>
      </c>
      <c r="BB118" s="40" cm="1">
        <f t="array" ref="BB118">$G$11+VLOOKUP($R118,武学奇术!$A:$ZZ,10,FALSE)+SUM(_xlfn.XLOOKUP($S118:$AL118,增益!$A:$A,增益!$J:$J,0))</f>
        <v>0.02</v>
      </c>
      <c r="BC118">
        <f t="shared" si="46"/>
        <v>640.3</v>
      </c>
      <c r="BD118">
        <f t="shared" si="47"/>
        <v>1770.1</v>
      </c>
      <c r="BE118" s="40" cm="1">
        <f t="array" ref="BE118">IF($F$12-$I$4+VLOOKUP($R118,武学奇术!$A:$ZZ,11,FALSE)+SUM(_xlfn.XLOOKUP($S118:$AL118,增益!$A:$A,增益!$K:$K,0))&gt;0,($F$12-$I$4+VLOOKUP($R118,武学奇术!$A:$ZZ,11,FALSE)+SUM(_xlfn.XLOOKUP($S118:$AL118,增益!$A:$A,增益!$K:$K,0)))/200,($F$12-$I$4+VLOOKUP($R118,武学奇术!$A:$ZZ,11,FALSE)+SUM(_xlfn.XLOOKUP($S118:$AL118,增益!$A:$A,增益!$K:$K,0)))/100)</f>
        <v>0.17</v>
      </c>
      <c r="BF118" s="40" cm="1">
        <f t="array" ref="BF118">$G$12+VLOOKUP($R118,武学奇术!$A:$ZZ,12,FALSE)+SUM(_xlfn.XLOOKUP($S118:$AL118,增益!$A:$A,增益!$L:$L,0))</f>
        <v>0.29</v>
      </c>
      <c r="BG118">
        <f t="shared" si="48"/>
        <v>0</v>
      </c>
      <c r="BH118">
        <f t="shared" si="49"/>
        <v>0</v>
      </c>
      <c r="BI118" s="40" cm="1">
        <f t="array" ref="BI118">IF($F$13-$I$4+VLOOKUP($R118,武学奇术!$A:$ZZ,13,FALSE)+SUM(_xlfn.XLOOKUP($S118:$AL118,增益!$A:$A,增益!$M:$M,0))&gt;0,($F$13-$I$4+VLOOKUP($R118,武学奇术!$A:$ZZ,13,FALSE)+SUM(_xlfn.XLOOKUP($S118:$AL118,增益!$A:$A,增益!$K:$K,0)))/200,($F$13-$I$4+VLOOKUP($R118,武学奇术!$A:$ZZ,13,FALSE)+SUM(_xlfn.XLOOKUP($S118:$AL118,增益!$A:$A,增益!$M:$M,0)))/100)</f>
        <v>-0.14</v>
      </c>
      <c r="BJ118" s="40" cm="1">
        <f t="array" ref="BJ118">$G$13+VLOOKUP($R118,武学奇术!$A:$ZZ,14,FALSE)+SUM(_xlfn.XLOOKUP($S118:$AL118,增益!$A:$A,增益!$N:$N,0))</f>
        <v>0.02</v>
      </c>
      <c r="BK118">
        <f t="shared" si="50"/>
        <v>0</v>
      </c>
      <c r="BL118">
        <f t="shared" si="51"/>
        <v>0</v>
      </c>
      <c r="BM118" s="40" cm="1">
        <f t="array" ref="BM118">IF($F$14-$I$4+VLOOKUP($R118,武学奇术!$A:$ZZ,15,FALSE)+SUM(_xlfn.XLOOKUP($S118:$AL118,增益!$A:$A,增益!$O:$O,0))&gt;0,($F$14-$I$4+VLOOKUP($R118,武学奇术!$A:$ZZ,15,FALSE)+SUM(_xlfn.XLOOKUP($S118:$AL118,增益!$A:$A,增益!$O:$O,0)))/200,($F$14-$I$4+VLOOKUP($R118,武学奇术!$A:$ZZ,15,FALSE)+SUM(_xlfn.XLOOKUP($S118:$AL118,增益!$A:$A,增益!$O:$O,0)))/100)</f>
        <v>-0.14</v>
      </c>
      <c r="BN118" s="40" cm="1">
        <f t="array" ref="BN118">$G$14+VLOOKUP($R118,武学奇术!$A:$ZZ,16,FALSE)+SUM(_xlfn.XLOOKUP($S118:$AL118,增益!$A:$A,增益!$P:$P,0))</f>
        <v>0.02</v>
      </c>
      <c r="BO118" s="33">
        <f>MIN(IF(VLOOKUP($R118,武学奇术!$A:$ZZ,23,FALSE)=1,100%,$B$8),100%)</f>
        <v>0.9771</v>
      </c>
      <c r="BP118" s="33" cm="1">
        <f t="array" ref="BP118">IF(VLOOKUP($R118,武学奇术!$A:$ZZ,23,FALSE)=1,100%,MIN(80%,$B$9+VLOOKUP($R118,武学奇术!$A:$ZZ,17,FALSE)+SUM(_xlfn.XLOOKUP($S118:$AL118,增益!$A:$A,增益!$Q:$Q,0)))+$B$11+SUM(_xlfn.XLOOKUP($S118:$AL118,增益!$A:$A,增益!$U:$U,0)))*IF(VLOOKUP($R118,武学奇术!$A:$ZZ,24,FALSE)=1,0,1)</f>
        <v>0.8861</v>
      </c>
      <c r="BQ118" s="33" cm="1">
        <f t="array" ref="BQ118">1+$B$13+VLOOKUP($R118,武学奇术!$A:$ZZ,18,FALSE)+SUM(_xlfn.XLOOKUP($S118:$AL118,增益!$A:$A,增益!$R:$R,0))</f>
        <v>1.88</v>
      </c>
      <c r="BR118" s="33" cm="1">
        <f t="array" ref="BR118">IF(VLOOKUP($R118,武学奇术!$A:$ZZ,24,FALSE)=1,100%,MIN(40%,$B$10+VLOOKUP($R118,武学奇术!$A:$ZZ,19,FALSE)+SUM(_xlfn.XLOOKUP($S118:$AL118,增益!$A:$A,增益!$S:$S,0)))+$B$12+SUM(_xlfn.XLOOKUP($S118:$AL118,增益!$A:$A,增益!$V:$V,0)))*IF(VLOOKUP($R118,武学奇术!$A:$ZZ,23,FALSE)=1,0,1)</f>
        <v>0.0913</v>
      </c>
      <c r="BS118" s="33" cm="1">
        <f t="array" ref="BS118">1+$B$14+VLOOKUP($R118,武学奇术!$A:$ZZ,20,FALSE)+SUM(_xlfn.XLOOKUP($S118:$AL118,增益!$A:$A,增益!$T:$T,0))</f>
        <v>1.35</v>
      </c>
      <c r="BT118" s="33">
        <f t="shared" si="52"/>
        <v>0.86580831</v>
      </c>
      <c r="BU118" s="33">
        <f t="shared" si="53"/>
        <v>0.02208246</v>
      </c>
      <c r="BV118" s="33">
        <f>IF(VLOOKUP($R118,武学奇术!$A:$ZZ,22,FALSE)=1,0,(1-$BO118))*(1-$BR118)</f>
        <v>0.02080923</v>
      </c>
      <c r="BW118" s="33" cm="1">
        <f t="array" ref="BW118">SUM(_xlfn.XLOOKUP($S118:$AL118,增益!$A:$A,增益!$W:$W,0))+$I$5</f>
        <v>0.11</v>
      </c>
      <c r="BX118" s="33" cm="1">
        <f t="array" ref="BX118">VLOOKUP($R118,武学奇术!$A:$ZZ,32,FALSE)+SUM(_xlfn.XLOOKUP($S118:$AL118,增益!$A:$A,增益!$X:$X,0))</f>
        <v>0</v>
      </c>
    </row>
    <row r="119" spans="1:76">
      <c r="A119" t="s">
        <v>166</v>
      </c>
      <c r="B119">
        <v>0.1</v>
      </c>
      <c r="D119" s="47"/>
      <c r="E119" s="47"/>
      <c r="L119" s="46">
        <f t="shared" si="54"/>
        <v>23083.2216574082</v>
      </c>
      <c r="M119" s="46">
        <f>((($AT119+$AU119)/2*$AN119+$AO119)*(1+$AV119)*(1+$AW119)+(($AY119+$AZ119)/2*IF($G$1="鸣金",$AP119,$AN119)+IF($G$1="鸣金",$AQ119*1.5,0))*(1+$BA119)*(1+$BB119)+(($BC119+$BD119)/2*IF($G$1="裂石",$AP119,$AN119)+IF($G$1="裂石",$AQ119*1.5,0))*(1+$BE119)*(1+$BF119)+(($BG119+$BH119)/2*IF($G$1="牵丝",$AP119,$AN119)+IF($G$1="牵丝",$AQ119*1.5,0))*(1+$BI119)*(1+$BJ119)+(($BK119+$BL119)/2*IF($G$1="破竹",$AP119,$AN119)+IF($G$1="破竹",$AQ119*1.5,0))*(1+$BM119)*(1+$BN119))*(1+$AR119)*$BQ119*$Q119*(1+IF(VLOOKUP($R119,武学奇术!$A:$ZZ,30,FALSE)="蓄力技",$B$21,0))*(1+IF(VLOOKUP($R119,武学奇术!$A:$ZZ,30,FALSE)="派生技",$B$20,0))*(1+$BW119)*(1+$BX119)</f>
        <v>24108.9608723957</v>
      </c>
      <c r="N119" s="46">
        <f>(($AU119*$AN119+$AO119)*(1+$AV119)*(1+$AW119)+($AZ119*IF($G$1="鸣金",$AP119,$AN119)+IF($G$1="鸣金",$AQ119*1.5,0))*(1+$BA119)*(1+$BB119)+($BD119*IF($G$1="裂石",$AP119,$AN119)+IF($G$1="裂石",$AQ119*1.5,0))*(1+$BE119)*(1+$BF119)+($BH119*IF($G$1="牵丝",$AP119,$AN119)+IF($G$1="牵丝",$AQ119*1.5,0))*(1+$BI119)*(1+$BJ119)+($BL119*IF($G$1="破竹",$AP119,$AN119)+IF($G$1="破竹",$AQ119*1.5,0))*(1+$BM119)*(1+$BN119))*(1+$AR119)*$BS119*$Q119*(1+IF(VLOOKUP($R119,武学奇术!$A:$ZZ,30,FALSE)="蓄力技",$B$21,0))*(1+IF(VLOOKUP($R119,武学奇术!$A:$ZZ,30,FALSE)="派生技",$B$20,0))*(1+$BW119)*(1+$BX119)</f>
        <v>18575.3758679676</v>
      </c>
      <c r="O119" s="46">
        <f>((($AT119+$AU119)/2*$AN119+$AO119)*(1+$AV119)*(1+$AW119)+(($AY119+$AZ119)/2*IF($G$1="鸣金",$AP119,$AN119)+IF($G$1="鸣金",$AQ119*1.5,0))*(1+$BA119)*(1+$BB119)+(($BC119+$BD119)/2*IF($G$1="裂石",$AP119,$AN119)+IF($G$1="裂石",$AQ119*1.5,0))*(1+$BE119)*(1+$BF119)+(($BG119+$BH119)/2*IF($G$1="牵丝",$AP119,$AN119)+IF($G$1="牵丝",$AQ119*1.5,0))*(1+$BI119)*(1+$BJ119)+(($BK119+$BL119)/2*IF($G$1="破竹",$AP119,$AN119)+IF($G$1="破竹",$AQ119*1.5,0))*(1+$BM119)*(1+$BN119))*(1+$AR119)*$Q119*(1+IF(VLOOKUP($R119,武学奇术!$A:$ZZ,30,FALSE)="蓄力技",$B$21,0))*(1+IF(VLOOKUP($R119,武学奇术!$A:$ZZ,30,FALSE)="派生技",$B$20,0))*(1+$BW119)*(1+$BX119)</f>
        <v>12556.7504543728</v>
      </c>
      <c r="P119" s="46">
        <f>((($AT119*$AN119+$AO119)*(1+$AV119)*(1+$AW119)+($AY119*IF($G$1="鸣金",$AP119,$AN119)+IF($G$1="鸣金",$AQ119*1.5,0))*(1+$BA119)*(1+$BB119)+($BC119*IF($G$1="裂石",$AP119,$AN119)+IF($G$1="裂石",$AQ119*1.5,0))*(1+$BE119)*(1+$BF119)+($BG119*IF($G$1="牵丝",$AP119,$AN119)+IF($G$1="牵丝",$AQ119*1.5,0))*(1+$BI119)*(1+$BJ119)+($BK119*IF($G$1="破竹",$AP119,$AN119)+IF($G$1="破竹",$AQ119*1.5,0))*(1+$BM119)*(1+$BN119))*(1+$AR119))*$Q119*(1+IF(VLOOKUP($R119,武学奇术!$A:$ZZ,30,FALSE)="蓄力技",$B$21,0))*(1+IF(VLOOKUP($R119,武学奇术!$A:$ZZ,30,FALSE)="派生技",$B$20,0))*(1+$BW119)*(1+$BX119)</f>
        <v>11353.9632287696</v>
      </c>
      <c r="Q119" s="47">
        <v>1</v>
      </c>
      <c r="R119" s="48" t="s">
        <v>192</v>
      </c>
      <c r="S119" s="48" t="s">
        <v>99</v>
      </c>
      <c r="T119" s="48" t="s">
        <v>176</v>
      </c>
      <c r="U119" s="48" t="s">
        <v>79</v>
      </c>
      <c r="V119" s="48" t="s">
        <v>80</v>
      </c>
      <c r="W119" s="48" t="s">
        <v>91</v>
      </c>
      <c r="X119" s="48" t="s">
        <v>80</v>
      </c>
      <c r="Y119" s="48" t="s">
        <v>80</v>
      </c>
      <c r="Z119" s="48" t="s">
        <v>80</v>
      </c>
      <c r="AA119" s="48" t="s">
        <v>80</v>
      </c>
      <c r="AB119" s="48" t="s">
        <v>80</v>
      </c>
      <c r="AC119" s="48" t="s">
        <v>80</v>
      </c>
      <c r="AD119" s="48" t="s">
        <v>80</v>
      </c>
      <c r="AE119" s="48" t="s">
        <v>82</v>
      </c>
      <c r="AF119" s="48" t="s">
        <v>83</v>
      </c>
      <c r="AG119" s="48" t="s">
        <v>84</v>
      </c>
      <c r="AH119" s="48" t="s">
        <v>80</v>
      </c>
      <c r="AI119" s="48" t="s">
        <v>80</v>
      </c>
      <c r="AJ119" s="48" t="s">
        <v>80</v>
      </c>
      <c r="AK119" s="48" t="s">
        <v>80</v>
      </c>
      <c r="AL119" s="48" t="s">
        <v>85</v>
      </c>
      <c r="AM119" t="str">
        <f>VLOOKUP($R119,武学奇术!$A:$ZZ,25,FALSE)</f>
        <v>心法</v>
      </c>
      <c r="AN119" s="33">
        <f>VLOOKUP($R119,武学奇术!$A:$ZZ,26,FALSE)</f>
        <v>1</v>
      </c>
      <c r="AO119" s="34">
        <f>VLOOKUP($R119,武学奇术!$A:$ZZ,27,FALSE)*(1+IF(OR($AM119=$F$4,$AM119=$F$5),$B$22,0))</f>
        <v>0</v>
      </c>
      <c r="AP119" s="33">
        <f>VLOOKUP($R119,武学奇术!$A:$ZZ,28,FALSE)</f>
        <v>1</v>
      </c>
      <c r="AQ119" s="34">
        <f>VLOOKUP($R119,武学奇术!$A:$ZZ,29,FALSE)*(1+IF(OR($AM119=$F$4,$AM119=$F$5),$B$22,0))</f>
        <v>0</v>
      </c>
      <c r="AR119" s="33" cm="1">
        <f t="array" ref="AR119">$G$3+IFERROR(VLOOKUP($AM119,$F$4:$G$7,2,FALSE),0)+VLOOKUP($R119,武学奇术!$A:$ZZ,2,FALSE)+SUM(_xlfn.XLOOKUP($S119:$AL119,增益!$A:$A,增益!$B:$B,0))</f>
        <v>0.3642</v>
      </c>
      <c r="AS119" s="33" cm="1">
        <f t="array" ref="AS119">VLOOKUP($R119,武学奇术!$A:$ZZ,5,FALSE)+SUM(_xlfn.XLOOKUP($S119:$AL119,增益!$A:$A,增益!$E:$E,0))</f>
        <v>0</v>
      </c>
      <c r="AT119" cm="1">
        <f t="array" ref="AT119">$D$10*(1+$AS119)+VLOOKUP($R119,武学奇术!$A:$ZZ,3,FALSE)+SUM(_xlfn.XLOOKUP($S119:$AL119,增益!$A:$A,增益!$C:$C,0))-$I$2</f>
        <v>4094.7</v>
      </c>
      <c r="AU119" cm="1">
        <f t="array" ref="AU119">$E$10*(1+$AS119)+VLOOKUP($R119,武学奇术!$A:$ZZ,4,FALSE)+SUM(_xlfn.XLOOKUP($S119:$AL119,增益!$A:$A,增益!$D:$D,0))-$I$2</f>
        <v>4094.7</v>
      </c>
      <c r="AV119" s="40" cm="1">
        <f t="array" ref="AV119">IF($F$10-$I$3+VLOOKUP($R119,武学奇术!$A:$ZZ,6,FALSE)+SUM(_xlfn.XLOOKUP($S119:$AL119,增益!$A:$A,增益!$F:$F,0))&gt;0,($F$10-$I$3+VLOOKUP($R119,武学奇术!$A:$ZZ,6,FALSE)+SUM(_xlfn.XLOOKUP($S119:$AL119,增益!$A:$A,增益!$F:$F,0)))/200,($F$10-$I$3+VLOOKUP($R119,武学奇术!$A:$ZZ,6,FALSE)+SUM(_xlfn.XLOOKUP($S119:$AL119,增益!$A:$A,增益!$F:$F,0)))/100)</f>
        <v>0.4134</v>
      </c>
      <c r="AW119" s="40" cm="1">
        <f t="array" ref="AW119">$G$10+VLOOKUP($R119,武学奇术!$A:$ZZ,7,FALSE)+SUM(_xlfn.XLOOKUP($S119:$AL119,增益!$A:$A,增益!$G:$G,0))</f>
        <v>0.14</v>
      </c>
      <c r="AX119" s="33" cm="1">
        <f t="array" ref="AX119">VLOOKUP($R119,武学奇术!$A:$ZZ,8,FALSE)+SUM(_xlfn.XLOOKUP($S119:$AL119,增益!$A:$A,增益!$H:$H,0))</f>
        <v>0</v>
      </c>
      <c r="AY119">
        <f t="shared" si="44"/>
        <v>0</v>
      </c>
      <c r="AZ119">
        <f t="shared" si="45"/>
        <v>0</v>
      </c>
      <c r="BA119" s="40" cm="1">
        <f t="array" ref="BA119">IF($F$11-$I$4+VLOOKUP($R119,武学奇术!$A:$ZZ,9,FALSE)+SUM(_xlfn.XLOOKUP($S119:$AL119,增益!$A:$A,增益!$I:$I,0))&gt;0,($F$11-$I$4+VLOOKUP($R119,武学奇术!$A:$ZZ,9,FALSE)+SUM(_xlfn.XLOOKUP($S119:$AL119,增益!$A:$A,增益!$I:$I,0)))/200,($F$11-$I$4+VLOOKUP($R119,武学奇术!$A:$ZZ,9,FALSE)+SUM(_xlfn.XLOOKUP($S119:$AL119,增益!$A:$A,增益!$I:$I,0)))/100)</f>
        <v>-0.3</v>
      </c>
      <c r="BB119" s="40" cm="1">
        <f t="array" ref="BB119">$G$11+VLOOKUP($R119,武学奇术!$A:$ZZ,10,FALSE)+SUM(_xlfn.XLOOKUP($S119:$AL119,增益!$A:$A,增益!$J:$J,0))</f>
        <v>0.02</v>
      </c>
      <c r="BC119">
        <f t="shared" si="46"/>
        <v>640.3</v>
      </c>
      <c r="BD119">
        <f t="shared" si="47"/>
        <v>1770.1</v>
      </c>
      <c r="BE119" s="40" cm="1">
        <f t="array" ref="BE119">IF($F$12-$I$4+VLOOKUP($R119,武学奇术!$A:$ZZ,11,FALSE)+SUM(_xlfn.XLOOKUP($S119:$AL119,增益!$A:$A,增益!$K:$K,0))&gt;0,($F$12-$I$4+VLOOKUP($R119,武学奇术!$A:$ZZ,11,FALSE)+SUM(_xlfn.XLOOKUP($S119:$AL119,增益!$A:$A,增益!$K:$K,0)))/200,($F$12-$I$4+VLOOKUP($R119,武学奇术!$A:$ZZ,11,FALSE)+SUM(_xlfn.XLOOKUP($S119:$AL119,增益!$A:$A,增益!$K:$K,0)))/100)</f>
        <v>0.09</v>
      </c>
      <c r="BF119" s="40" cm="1">
        <f t="array" ref="BF119">$G$12+VLOOKUP($R119,武学奇术!$A:$ZZ,12,FALSE)+SUM(_xlfn.XLOOKUP($S119:$AL119,增益!$A:$A,增益!$L:$L,0))</f>
        <v>0.29</v>
      </c>
      <c r="BG119">
        <f t="shared" si="48"/>
        <v>0</v>
      </c>
      <c r="BH119">
        <f t="shared" si="49"/>
        <v>0</v>
      </c>
      <c r="BI119" s="40" cm="1">
        <f t="array" ref="BI119">IF($F$13-$I$4+VLOOKUP($R119,武学奇术!$A:$ZZ,13,FALSE)+SUM(_xlfn.XLOOKUP($S119:$AL119,增益!$A:$A,增益!$M:$M,0))&gt;0,($F$13-$I$4+VLOOKUP($R119,武学奇术!$A:$ZZ,13,FALSE)+SUM(_xlfn.XLOOKUP($S119:$AL119,增益!$A:$A,增益!$K:$K,0)))/200,($F$13-$I$4+VLOOKUP($R119,武学奇术!$A:$ZZ,13,FALSE)+SUM(_xlfn.XLOOKUP($S119:$AL119,增益!$A:$A,增益!$M:$M,0)))/100)</f>
        <v>-0.3</v>
      </c>
      <c r="BJ119" s="40" cm="1">
        <f t="array" ref="BJ119">$G$13+VLOOKUP($R119,武学奇术!$A:$ZZ,14,FALSE)+SUM(_xlfn.XLOOKUP($S119:$AL119,增益!$A:$A,增益!$N:$N,0))</f>
        <v>0.02</v>
      </c>
      <c r="BK119">
        <f t="shared" si="50"/>
        <v>0</v>
      </c>
      <c r="BL119">
        <f t="shared" si="51"/>
        <v>0</v>
      </c>
      <c r="BM119" s="40" cm="1">
        <f t="array" ref="BM119">IF($F$14-$I$4+VLOOKUP($R119,武学奇术!$A:$ZZ,15,FALSE)+SUM(_xlfn.XLOOKUP($S119:$AL119,增益!$A:$A,增益!$O:$O,0))&gt;0,($F$14-$I$4+VLOOKUP($R119,武学奇术!$A:$ZZ,15,FALSE)+SUM(_xlfn.XLOOKUP($S119:$AL119,增益!$A:$A,增益!$O:$O,0)))/200,($F$14-$I$4+VLOOKUP($R119,武学奇术!$A:$ZZ,15,FALSE)+SUM(_xlfn.XLOOKUP($S119:$AL119,增益!$A:$A,增益!$O:$O,0)))/100)</f>
        <v>-0.3</v>
      </c>
      <c r="BN119" s="40" cm="1">
        <f t="array" ref="BN119">$G$14+VLOOKUP($R119,武学奇术!$A:$ZZ,16,FALSE)+SUM(_xlfn.XLOOKUP($S119:$AL119,增益!$A:$A,增益!$P:$P,0))</f>
        <v>0.02</v>
      </c>
      <c r="BO119" s="33">
        <f>MIN(IF(VLOOKUP($R119,武学奇术!$A:$ZZ,23,FALSE)=1,100%,$B$8),100%)</f>
        <v>0.9771</v>
      </c>
      <c r="BP119" s="33" cm="1">
        <f t="array" ref="BP119">IF(VLOOKUP($R119,武学奇术!$A:$ZZ,23,FALSE)=1,100%,MIN(80%,$B$9+VLOOKUP($R119,武学奇术!$A:$ZZ,17,FALSE)+SUM(_xlfn.XLOOKUP($S119:$AL119,增益!$A:$A,增益!$Q:$Q,0)))+$B$11+SUM(_xlfn.XLOOKUP($S119:$AL119,增益!$A:$A,增益!$U:$U,0)))*IF(VLOOKUP($R119,武学奇术!$A:$ZZ,24,FALSE)=1,0,1)</f>
        <v>0.8861</v>
      </c>
      <c r="BQ119" s="33" cm="1">
        <f t="array" ref="BQ119">1+$B$13+VLOOKUP($R119,武学奇术!$A:$ZZ,18,FALSE)+SUM(_xlfn.XLOOKUP($S119:$AL119,增益!$A:$A,增益!$R:$R,0))</f>
        <v>1.92</v>
      </c>
      <c r="BR119" s="33" cm="1">
        <f t="array" ref="BR119">IF(VLOOKUP($R119,武学奇术!$A:$ZZ,24,FALSE)=1,100%,MIN(40%,$B$10+VLOOKUP($R119,武学奇术!$A:$ZZ,19,FALSE)+SUM(_xlfn.XLOOKUP($S119:$AL119,增益!$A:$A,增益!$S:$S,0)))+$B$12+SUM(_xlfn.XLOOKUP($S119:$AL119,增益!$A:$A,增益!$V:$V,0)))*IF(VLOOKUP($R119,武学奇术!$A:$ZZ,23,FALSE)=1,0,1)</f>
        <v>0.0913</v>
      </c>
      <c r="BS119" s="33" cm="1">
        <f t="array" ref="BS119">1+$B$14+VLOOKUP($R119,武学奇术!$A:$ZZ,20,FALSE)+SUM(_xlfn.XLOOKUP($S119:$AL119,增益!$A:$A,增益!$T:$T,0))</f>
        <v>1.35</v>
      </c>
      <c r="BT119" s="33">
        <f t="shared" si="52"/>
        <v>0.86580831</v>
      </c>
      <c r="BU119" s="33">
        <f t="shared" si="53"/>
        <v>0.02208246</v>
      </c>
      <c r="BV119" s="33">
        <f>IF(VLOOKUP($R119,武学奇术!$A:$ZZ,22,FALSE)=1,0,(1-$BO119))*(1-$BR119)</f>
        <v>0.02080923</v>
      </c>
      <c r="BW119" s="33" cm="1">
        <f t="array" ref="BW119">SUM(_xlfn.XLOOKUP($S119:$AL119,增益!$A:$A,增益!$W:$W,0))+$I$5</f>
        <v>0.11</v>
      </c>
      <c r="BX119" s="33" cm="1">
        <f t="array" ref="BX119">VLOOKUP($R119,武学奇术!$A:$ZZ,32,FALSE)+SUM(_xlfn.XLOOKUP($S119:$AL119,增益!$A:$A,增益!$X:$X,0))</f>
        <v>0</v>
      </c>
    </row>
    <row r="120" spans="1:76">
      <c r="A120" t="s">
        <v>179</v>
      </c>
      <c r="B120">
        <v>1</v>
      </c>
      <c r="D120" s="47"/>
      <c r="E120" s="47"/>
      <c r="L120" s="46">
        <f t="shared" si="54"/>
        <v>25161.4816187924</v>
      </c>
      <c r="M120" s="46">
        <f>((($AT120+$AU120)/2*$AN120+$AO120)*(1+$AV120)*(1+$AW120)+(($AY120+$AZ120)/2*IF($G$1="鸣金",$AP120,$AN120)+IF($G$1="鸣金",$AQ120*1.5,0))*(1+$BA120)*(1+$BB120)+(($BC120+$BD120)/2*IF($G$1="裂石",$AP120,$AN120)+IF($G$1="裂石",$AQ120*1.5,0))*(1+$BE120)*(1+$BF120)+(($BG120+$BH120)/2*IF($G$1="牵丝",$AP120,$AN120)+IF($G$1="牵丝",$AQ120*1.5,0))*(1+$BI120)*(1+$BJ120)+(($BK120+$BL120)/2*IF($G$1="破竹",$AP120,$AN120)+IF($G$1="破竹",$AQ120*1.5,0))*(1+$BM120)*(1+$BN120))*(1+$AR120)*$BQ120*$Q120*(1+IF(VLOOKUP($R120,武学奇术!$A:$ZZ,30,FALSE)="蓄力技",$B$21,0))*(1+IF(VLOOKUP($R120,武学奇术!$A:$ZZ,30,FALSE)="派生技",$B$20,0))*(1+$BW120)*(1+$BX120)</f>
        <v>26310.3598904715</v>
      </c>
      <c r="N120" s="46">
        <f>(($AU120*$AN120+$AO120)*(1+$AV120)*(1+$AW120)+($AZ120*IF($G$1="鸣金",$AP120,$AN120)+IF($G$1="鸣金",$AQ120*1.5,0))*(1+$BA120)*(1+$BB120)+($BD120*IF($G$1="裂石",$AP120,$AN120)+IF($G$1="裂石",$AQ120*1.5,0))*(1+$BE120)*(1+$BF120)+($BH120*IF($G$1="牵丝",$AP120,$AN120)+IF($G$1="牵丝",$AQ120*1.5,0))*(1+$BI120)*(1+$BJ120)+($BL120*IF($G$1="破竹",$AP120,$AN120)+IF($G$1="破竹",$AQ120*1.5,0))*(1+$BM120)*(1+$BN120))*(1+$AR120)*$BS120*$Q120*(1+IF(VLOOKUP($R120,武学奇术!$A:$ZZ,30,FALSE)="蓄力技",$B$21,0))*(1+IF(VLOOKUP($R120,武学奇术!$A:$ZZ,30,FALSE)="派生技",$B$20,0))*(1+$BW120)*(1+$BX120)</f>
        <v>20060.0126581345</v>
      </c>
      <c r="O120" s="46">
        <f>((($AT120+$AU120)/2*$AN120+$AO120)*(1+$AV120)*(1+$AW120)+(($AY120+$AZ120)/2*IF($G$1="鸣金",$AP120,$AN120)+IF($G$1="鸣金",$AQ120*1.5,0))*(1+$BA120)*(1+$BB120)+(($BC120+$BD120)/2*IF($G$1="裂石",$AP120,$AN120)+IF($G$1="裂石",$AQ120*1.5,0))*(1+$BE120)*(1+$BF120)+(($BG120+$BH120)/2*IF($G$1="牵丝",$AP120,$AN120)+IF($G$1="牵丝",$AQ120*1.5,0))*(1+$BI120)*(1+$BJ120)+(($BK120+$BL120)/2*IF($G$1="破竹",$AP120,$AN120)+IF($G$1="破竹",$AQ120*1.5,0))*(1+$BM120)*(1+$BN120))*(1+$AR120)*$Q120*(1+IF(VLOOKUP($R120,武学奇术!$A:$ZZ,30,FALSE)="蓄力技",$B$21,0))*(1+IF(VLOOKUP($R120,武学奇术!$A:$ZZ,30,FALSE)="派生技",$B$20,0))*(1+$BW120)*(1+$BX120)</f>
        <v>13492.4922515238</v>
      </c>
      <c r="P120" s="46">
        <f>((($AT120*$AN120+$AO120)*(1+$AV120)*(1+$AW120)+($AY120*IF($G$1="鸣金",$AP120,$AN120)+IF($G$1="鸣金",$AQ120*1.5,0))*(1+$BA120)*(1+$BB120)+($BC120*IF($G$1="裂石",$AP120,$AN120)+IF($G$1="裂石",$AQ120*1.5,0))*(1+$BE120)*(1+$BF120)+($BG120*IF($G$1="牵丝",$AP120,$AN120)+IF($G$1="牵丝",$AQ120*1.5,0))*(1+$BI120)*(1+$BJ120)+($BK120*IF($G$1="破竹",$AP120,$AN120)+IF($G$1="破竹",$AQ120*1.5,0))*(1+$BM120)*(1+$BN120))*(1+$AR120))*$Q120*(1+IF(VLOOKUP($R120,武学奇术!$A:$ZZ,30,FALSE)="蓄力技",$B$21,0))*(1+IF(VLOOKUP($R120,武学奇术!$A:$ZZ,30,FALSE)="派生技",$B$20,0))*(1+$BW120)*(1+$BX120)</f>
        <v>12125.7158673925</v>
      </c>
      <c r="Q120" s="47">
        <v>1</v>
      </c>
      <c r="R120" s="48" t="s">
        <v>192</v>
      </c>
      <c r="S120" s="48" t="s">
        <v>99</v>
      </c>
      <c r="T120" s="48" t="s">
        <v>182</v>
      </c>
      <c r="U120" s="48" t="s">
        <v>79</v>
      </c>
      <c r="V120" s="48" t="s">
        <v>90</v>
      </c>
      <c r="W120" s="48" t="s">
        <v>91</v>
      </c>
      <c r="X120" s="48" t="s">
        <v>80</v>
      </c>
      <c r="Y120" s="48" t="s">
        <v>80</v>
      </c>
      <c r="Z120" s="48" t="s">
        <v>80</v>
      </c>
      <c r="AA120" s="48" t="s">
        <v>80</v>
      </c>
      <c r="AB120" s="48" t="s">
        <v>80</v>
      </c>
      <c r="AC120" s="48" t="s">
        <v>80</v>
      </c>
      <c r="AD120" s="48" t="s">
        <v>80</v>
      </c>
      <c r="AE120" s="48" t="s">
        <v>82</v>
      </c>
      <c r="AF120" s="48" t="s">
        <v>83</v>
      </c>
      <c r="AG120" s="48" t="s">
        <v>84</v>
      </c>
      <c r="AH120" s="48" t="s">
        <v>80</v>
      </c>
      <c r="AI120" s="48" t="s">
        <v>80</v>
      </c>
      <c r="AJ120" s="48" t="s">
        <v>80</v>
      </c>
      <c r="AK120" s="48" t="s">
        <v>80</v>
      </c>
      <c r="AL120" s="48" t="s">
        <v>85</v>
      </c>
      <c r="AM120" t="str">
        <f>VLOOKUP($R120,武学奇术!$A:$ZZ,25,FALSE)</f>
        <v>心法</v>
      </c>
      <c r="AN120" s="33">
        <f>VLOOKUP($R120,武学奇术!$A:$ZZ,26,FALSE)</f>
        <v>1</v>
      </c>
      <c r="AO120" s="34">
        <f>VLOOKUP($R120,武学奇术!$A:$ZZ,27,FALSE)*(1+IF(OR($AM120=$F$4,$AM120=$F$5),$B$22,0))</f>
        <v>0</v>
      </c>
      <c r="AP120" s="33">
        <f>VLOOKUP($R120,武学奇术!$A:$ZZ,28,FALSE)</f>
        <v>1</v>
      </c>
      <c r="AQ120" s="34">
        <f>VLOOKUP($R120,武学奇术!$A:$ZZ,29,FALSE)*(1+IF(OR($AM120=$F$4,$AM120=$F$5),$B$22,0))</f>
        <v>0</v>
      </c>
      <c r="AR120" s="33" cm="1">
        <f t="array" ref="AR120">$G$3+IFERROR(VLOOKUP($AM120,$F$4:$G$7,2,FALSE),0)+VLOOKUP($R120,武学奇术!$A:$ZZ,2,FALSE)+SUM(_xlfn.XLOOKUP($S120:$AL120,增益!$A:$A,增益!$B:$B,0))</f>
        <v>0.4442</v>
      </c>
      <c r="AS120" s="33" cm="1">
        <f t="array" ref="AS120">VLOOKUP($R120,武学奇术!$A:$ZZ,5,FALSE)+SUM(_xlfn.XLOOKUP($S120:$AL120,增益!$A:$A,增益!$E:$E,0))</f>
        <v>0</v>
      </c>
      <c r="AT120" cm="1">
        <f t="array" ref="AT120">$D$10*(1+$AS120)+VLOOKUP($R120,武学奇术!$A:$ZZ,3,FALSE)+SUM(_xlfn.XLOOKUP($S120:$AL120,增益!$A:$A,增益!$C:$C,0))-$I$2</f>
        <v>4094.7</v>
      </c>
      <c r="AU120" cm="1">
        <f t="array" ref="AU120">$E$10*(1+$AS120)+VLOOKUP($R120,武学奇术!$A:$ZZ,4,FALSE)+SUM(_xlfn.XLOOKUP($S120:$AL120,增益!$A:$A,增益!$D:$D,0))-$I$2</f>
        <v>4094.7</v>
      </c>
      <c r="AV120" s="40" cm="1">
        <f t="array" ref="AV120">IF($F$10-$I$3+VLOOKUP($R120,武学奇术!$A:$ZZ,6,FALSE)+SUM(_xlfn.XLOOKUP($S120:$AL120,增益!$A:$A,增益!$F:$F,0))&gt;0,($F$10-$I$3+VLOOKUP($R120,武学奇术!$A:$ZZ,6,FALSE)+SUM(_xlfn.XLOOKUP($S120:$AL120,增益!$A:$A,增益!$F:$F,0)))/200,($F$10-$I$3+VLOOKUP($R120,武学奇术!$A:$ZZ,6,FALSE)+SUM(_xlfn.XLOOKUP($S120:$AL120,增益!$A:$A,增益!$F:$F,0)))/100)</f>
        <v>0.4134</v>
      </c>
      <c r="AW120" s="40" cm="1">
        <f t="array" ref="AW120">$G$10+VLOOKUP($R120,武学奇术!$A:$ZZ,7,FALSE)+SUM(_xlfn.XLOOKUP($S120:$AL120,增益!$A:$A,增益!$G:$G,0))</f>
        <v>0.14</v>
      </c>
      <c r="AX120" s="33" cm="1">
        <f t="array" ref="AX120">VLOOKUP($R120,武学奇术!$A:$ZZ,8,FALSE)+SUM(_xlfn.XLOOKUP($S120:$AL120,增益!$A:$A,增益!$H:$H,0))</f>
        <v>0</v>
      </c>
      <c r="AY120">
        <f t="shared" si="44"/>
        <v>0</v>
      </c>
      <c r="AZ120">
        <f t="shared" si="45"/>
        <v>0</v>
      </c>
      <c r="BA120" s="40" cm="1">
        <f t="array" ref="BA120">IF($F$11-$I$4+VLOOKUP($R120,武学奇术!$A:$ZZ,9,FALSE)+SUM(_xlfn.XLOOKUP($S120:$AL120,增益!$A:$A,增益!$I:$I,0))&gt;0,($F$11-$I$4+VLOOKUP($R120,武学奇术!$A:$ZZ,9,FALSE)+SUM(_xlfn.XLOOKUP($S120:$AL120,增益!$A:$A,增益!$I:$I,0)))/200,($F$11-$I$4+VLOOKUP($R120,武学奇术!$A:$ZZ,9,FALSE)+SUM(_xlfn.XLOOKUP($S120:$AL120,增益!$A:$A,增益!$I:$I,0)))/100)</f>
        <v>-0.14</v>
      </c>
      <c r="BB120" s="40" cm="1">
        <f t="array" ref="BB120">$G$11+VLOOKUP($R120,武学奇术!$A:$ZZ,10,FALSE)+SUM(_xlfn.XLOOKUP($S120:$AL120,增益!$A:$A,增益!$J:$J,0))</f>
        <v>0.02</v>
      </c>
      <c r="BC120">
        <f t="shared" si="46"/>
        <v>640.3</v>
      </c>
      <c r="BD120">
        <f t="shared" si="47"/>
        <v>1770.1</v>
      </c>
      <c r="BE120" s="40" cm="1">
        <f t="array" ref="BE120">IF($F$12-$I$4+VLOOKUP($R120,武学奇术!$A:$ZZ,11,FALSE)+SUM(_xlfn.XLOOKUP($S120:$AL120,增益!$A:$A,增益!$K:$K,0))&gt;0,($F$12-$I$4+VLOOKUP($R120,武学奇术!$A:$ZZ,11,FALSE)+SUM(_xlfn.XLOOKUP($S120:$AL120,增益!$A:$A,增益!$K:$K,0)))/200,($F$12-$I$4+VLOOKUP($R120,武学奇术!$A:$ZZ,11,FALSE)+SUM(_xlfn.XLOOKUP($S120:$AL120,增益!$A:$A,增益!$K:$K,0)))/100)</f>
        <v>0.17</v>
      </c>
      <c r="BF120" s="40" cm="1">
        <f t="array" ref="BF120">$G$12+VLOOKUP($R120,武学奇术!$A:$ZZ,12,FALSE)+SUM(_xlfn.XLOOKUP($S120:$AL120,增益!$A:$A,增益!$L:$L,0))</f>
        <v>0.29</v>
      </c>
      <c r="BG120">
        <f t="shared" si="48"/>
        <v>0</v>
      </c>
      <c r="BH120">
        <f t="shared" si="49"/>
        <v>0</v>
      </c>
      <c r="BI120" s="40" cm="1">
        <f t="array" ref="BI120">IF($F$13-$I$4+VLOOKUP($R120,武学奇术!$A:$ZZ,13,FALSE)+SUM(_xlfn.XLOOKUP($S120:$AL120,增益!$A:$A,增益!$M:$M,0))&gt;0,($F$13-$I$4+VLOOKUP($R120,武学奇术!$A:$ZZ,13,FALSE)+SUM(_xlfn.XLOOKUP($S120:$AL120,增益!$A:$A,增益!$K:$K,0)))/200,($F$13-$I$4+VLOOKUP($R120,武学奇术!$A:$ZZ,13,FALSE)+SUM(_xlfn.XLOOKUP($S120:$AL120,增益!$A:$A,增益!$M:$M,0)))/100)</f>
        <v>-0.14</v>
      </c>
      <c r="BJ120" s="40" cm="1">
        <f t="array" ref="BJ120">$G$13+VLOOKUP($R120,武学奇术!$A:$ZZ,14,FALSE)+SUM(_xlfn.XLOOKUP($S120:$AL120,增益!$A:$A,增益!$N:$N,0))</f>
        <v>0.02</v>
      </c>
      <c r="BK120">
        <f t="shared" si="50"/>
        <v>0</v>
      </c>
      <c r="BL120">
        <f t="shared" si="51"/>
        <v>0</v>
      </c>
      <c r="BM120" s="40" cm="1">
        <f t="array" ref="BM120">IF($F$14-$I$4+VLOOKUP($R120,武学奇术!$A:$ZZ,15,FALSE)+SUM(_xlfn.XLOOKUP($S120:$AL120,增益!$A:$A,增益!$O:$O,0))&gt;0,($F$14-$I$4+VLOOKUP($R120,武学奇术!$A:$ZZ,15,FALSE)+SUM(_xlfn.XLOOKUP($S120:$AL120,增益!$A:$A,增益!$O:$O,0)))/200,($F$14-$I$4+VLOOKUP($R120,武学奇术!$A:$ZZ,15,FALSE)+SUM(_xlfn.XLOOKUP($S120:$AL120,增益!$A:$A,增益!$O:$O,0)))/100)</f>
        <v>-0.14</v>
      </c>
      <c r="BN120" s="40" cm="1">
        <f t="array" ref="BN120">$G$14+VLOOKUP($R120,武学奇术!$A:$ZZ,16,FALSE)+SUM(_xlfn.XLOOKUP($S120:$AL120,增益!$A:$A,增益!$P:$P,0))</f>
        <v>0.02</v>
      </c>
      <c r="BO120" s="33">
        <f>MIN(IF(VLOOKUP($R120,武学奇术!$A:$ZZ,23,FALSE)=1,100%,$B$8),100%)</f>
        <v>0.9771</v>
      </c>
      <c r="BP120" s="33" cm="1">
        <f t="array" ref="BP120">IF(VLOOKUP($R120,武学奇术!$A:$ZZ,23,FALSE)=1,100%,MIN(80%,$B$9+VLOOKUP($R120,武学奇术!$A:$ZZ,17,FALSE)+SUM(_xlfn.XLOOKUP($S120:$AL120,增益!$A:$A,增益!$Q:$Q,0)))+$B$11+SUM(_xlfn.XLOOKUP($S120:$AL120,增益!$A:$A,增益!$U:$U,0)))*IF(VLOOKUP($R120,武学奇术!$A:$ZZ,24,FALSE)=1,0,1)</f>
        <v>0.8861</v>
      </c>
      <c r="BQ120" s="33" cm="1">
        <f t="array" ref="BQ120">1+$B$13+VLOOKUP($R120,武学奇术!$A:$ZZ,18,FALSE)+SUM(_xlfn.XLOOKUP($S120:$AL120,增益!$A:$A,增益!$R:$R,0))</f>
        <v>1.95</v>
      </c>
      <c r="BR120" s="33" cm="1">
        <f t="array" ref="BR120">IF(VLOOKUP($R120,武学奇术!$A:$ZZ,24,FALSE)=1,100%,MIN(40%,$B$10+VLOOKUP($R120,武学奇术!$A:$ZZ,19,FALSE)+SUM(_xlfn.XLOOKUP($S120:$AL120,增益!$A:$A,增益!$S:$S,0)))+$B$12+SUM(_xlfn.XLOOKUP($S120:$AL120,增益!$A:$A,增益!$V:$V,0)))*IF(VLOOKUP($R120,武学奇术!$A:$ZZ,23,FALSE)=1,0,1)</f>
        <v>0.0913</v>
      </c>
      <c r="BS120" s="33" cm="1">
        <f t="array" ref="BS120">1+$B$14+VLOOKUP($R120,武学奇术!$A:$ZZ,20,FALSE)+SUM(_xlfn.XLOOKUP($S120:$AL120,增益!$A:$A,增益!$T:$T,0))</f>
        <v>1.35</v>
      </c>
      <c r="BT120" s="33">
        <f t="shared" si="52"/>
        <v>0.86580831</v>
      </c>
      <c r="BU120" s="33">
        <f t="shared" si="53"/>
        <v>0.02208246</v>
      </c>
      <c r="BV120" s="33">
        <f>IF(VLOOKUP($R120,武学奇术!$A:$ZZ,22,FALSE)=1,0,(1-$BO120))*(1-$BR120)</f>
        <v>0.02080923</v>
      </c>
      <c r="BW120" s="33" cm="1">
        <f t="array" ref="BW120">SUM(_xlfn.XLOOKUP($S120:$AL120,增益!$A:$A,增益!$W:$W,0))+$I$5</f>
        <v>0.11</v>
      </c>
      <c r="BX120" s="33" cm="1">
        <f t="array" ref="BX120">VLOOKUP($R120,武学奇术!$A:$ZZ,32,FALSE)+SUM(_xlfn.XLOOKUP($S120:$AL120,增益!$A:$A,增益!$X:$X,0))</f>
        <v>0</v>
      </c>
    </row>
    <row r="121" spans="1:76">
      <c r="A121" s="4" t="s">
        <v>188</v>
      </c>
      <c r="B121" s="4">
        <v>0.8</v>
      </c>
      <c r="D121" s="47"/>
      <c r="E121" s="47"/>
      <c r="L121" s="46">
        <f t="shared" si="54"/>
        <v>27627.2790176409</v>
      </c>
      <c r="M121" s="46">
        <f>((($AT121+$AU121)/2*$AN121+$AO121)*(1+$AV121)*(1+$AW121)+(($AY121+$AZ121)/2*IF($G$1="鸣金",$AP121,$AN121)+IF($G$1="鸣金",$AQ121*1.5,0))*(1+$BA121)*(1+$BB121)+(($BC121+$BD121)/2*IF($G$1="裂石",$AP121,$AN121)+IF($G$1="裂石",$AQ121*1.5,0))*(1+$BE121)*(1+$BF121)+(($BG121+$BH121)/2*IF($G$1="牵丝",$AP121,$AN121)+IF($G$1="牵丝",$AQ121*1.5,0))*(1+$BI121)*(1+$BJ121)+(($BK121+$BL121)/2*IF($G$1="破竹",$AP121,$AN121)+IF($G$1="破竹",$AQ121*1.5,0))*(1+$BM121)*(1+$BN121))*(1+$AR121)*$BQ121*$Q121*(1+IF(VLOOKUP($R121,武学奇术!$A:$ZZ,30,FALSE)="蓄力技",$B$21,0))*(1+IF(VLOOKUP($R121,武学奇术!$A:$ZZ,30,FALSE)="派生技",$B$20,0))*(1+$BW121)*(1+$BX121)</f>
        <v>28897.4946267525</v>
      </c>
      <c r="N121" s="46">
        <f>(($AU121*$AN121+$AO121)*(1+$AV121)*(1+$AW121)+($AZ121*IF($G$1="鸣金",$AP121,$AN121)+IF($G$1="鸣金",$AQ121*1.5,0))*(1+$BA121)*(1+$BB121)+($BD121*IF($G$1="裂石",$AP121,$AN121)+IF($G$1="裂石",$AQ121*1.5,0))*(1+$BE121)*(1+$BF121)+($BH121*IF($G$1="牵丝",$AP121,$AN121)+IF($G$1="牵丝",$AQ121*1.5,0))*(1+$BI121)*(1+$BJ121)+($BL121*IF($G$1="破竹",$AP121,$AN121)+IF($G$1="破竹",$AQ121*1.5,0))*(1+$BM121)*(1+$BN121))*(1+$AR121)*$BS121*$Q121*(1+IF(VLOOKUP($R121,武学奇术!$A:$ZZ,30,FALSE)="蓄力技",$B$21,0))*(1+IF(VLOOKUP($R121,武学奇术!$A:$ZZ,30,FALSE)="派生技",$B$20,0))*(1+$BW121)*(1+$BX121)</f>
        <v>21922.2904387725</v>
      </c>
      <c r="O121" s="46">
        <f>((($AT121+$AU121)/2*$AN121+$AO121)*(1+$AV121)*(1+$AW121)+(($AY121+$AZ121)/2*IF($G$1="鸣金",$AP121,$AN121)+IF($G$1="鸣金",$AQ121*1.5,0))*(1+$BA121)*(1+$BB121)+(($BC121+$BD121)/2*IF($G$1="裂石",$AP121,$AN121)+IF($G$1="裂石",$AQ121*1.5,0))*(1+$BE121)*(1+$BF121)+(($BG121+$BH121)/2*IF($G$1="牵丝",$AP121,$AN121)+IF($G$1="牵丝",$AQ121*1.5,0))*(1+$BI121)*(1+$BJ121)+(($BK121+$BL121)/2*IF($G$1="破竹",$AP121,$AN121)+IF($G$1="破竹",$AQ121*1.5,0))*(1+$BM121)*(1+$BN121))*(1+$AR121)*$Q121*(1+IF(VLOOKUP($R121,武学奇术!$A:$ZZ,30,FALSE)="蓄力技",$B$21,0))*(1+IF(VLOOKUP($R121,武学奇术!$A:$ZZ,30,FALSE)="派生技",$B$20,0))*(1+$BW121)*(1+$BX121)</f>
        <v>14819.2280137192</v>
      </c>
      <c r="P121" s="46">
        <f>((($AT121*$AN121+$AO121)*(1+$AV121)*(1+$AW121)+($AY121*IF($G$1="鸣金",$AP121,$AN121)+IF($G$1="鸣金",$AQ121*1.5,0))*(1+$BA121)*(1+$BB121)+($BC121*IF($G$1="裂石",$AP121,$AN121)+IF($G$1="裂石",$AQ121*1.5,0))*(1+$BE121)*(1+$BF121)+($BG121*IF($G$1="牵丝",$AP121,$AN121)+IF($G$1="牵丝",$AQ121*1.5,0))*(1+$BI121)*(1+$BJ121)+($BK121*IF($G$1="破竹",$AP121,$AN121)+IF($G$1="破竹",$AQ121*1.5,0))*(1+$BM121)*(1+$BN121))*(1+$AR121))*$Q121*(1+IF(VLOOKUP($R121,武学奇术!$A:$ZZ,30,FALSE)="蓄力技",$B$21,0))*(1+IF(VLOOKUP($R121,武学奇术!$A:$ZZ,30,FALSE)="派生技",$B$20,0))*(1+$BW121)*(1+$BX121)</f>
        <v>13399.7223690885</v>
      </c>
      <c r="Q121" s="47">
        <v>1</v>
      </c>
      <c r="R121" s="48" t="s">
        <v>192</v>
      </c>
      <c r="S121" s="48" t="s">
        <v>99</v>
      </c>
      <c r="T121" s="48" t="s">
        <v>182</v>
      </c>
      <c r="U121" s="48" t="s">
        <v>79</v>
      </c>
      <c r="V121" s="48" t="s">
        <v>80</v>
      </c>
      <c r="W121" s="48" t="s">
        <v>91</v>
      </c>
      <c r="X121" s="48" t="s">
        <v>80</v>
      </c>
      <c r="Y121" s="48" t="s">
        <v>80</v>
      </c>
      <c r="Z121" s="48" t="s">
        <v>80</v>
      </c>
      <c r="AA121" s="48" t="s">
        <v>183</v>
      </c>
      <c r="AB121" s="48" t="s">
        <v>184</v>
      </c>
      <c r="AC121" s="48" t="s">
        <v>193</v>
      </c>
      <c r="AD121" s="48" t="s">
        <v>80</v>
      </c>
      <c r="AE121" s="48" t="s">
        <v>82</v>
      </c>
      <c r="AF121" s="48" t="s">
        <v>83</v>
      </c>
      <c r="AG121" s="48" t="s">
        <v>84</v>
      </c>
      <c r="AH121" s="48" t="s">
        <v>80</v>
      </c>
      <c r="AI121" s="48" t="s">
        <v>80</v>
      </c>
      <c r="AJ121" s="48" t="s">
        <v>80</v>
      </c>
      <c r="AK121" s="48" t="s">
        <v>80</v>
      </c>
      <c r="AL121" s="48" t="s">
        <v>85</v>
      </c>
      <c r="AM121" t="str">
        <f>VLOOKUP($R121,武学奇术!$A:$ZZ,25,FALSE)</f>
        <v>心法</v>
      </c>
      <c r="AN121" s="33">
        <f>VLOOKUP($R121,武学奇术!$A:$ZZ,26,FALSE)</f>
        <v>1</v>
      </c>
      <c r="AO121" s="34">
        <f>VLOOKUP($R121,武学奇术!$A:$ZZ,27,FALSE)*(1+IF(OR($AM121=$F$4,$AM121=$F$5),$B$22,0))</f>
        <v>0</v>
      </c>
      <c r="AP121" s="33">
        <f>VLOOKUP($R121,武学奇术!$A:$ZZ,28,FALSE)</f>
        <v>1</v>
      </c>
      <c r="AQ121" s="34">
        <f>VLOOKUP($R121,武学奇术!$A:$ZZ,29,FALSE)*(1+IF(OR($AM121=$F$4,$AM121=$F$5),$B$22,0))</f>
        <v>0</v>
      </c>
      <c r="AR121" s="33" cm="1">
        <f t="array" ref="AR121">$G$3+IFERROR(VLOOKUP($AM121,$F$4:$G$7,2,FALSE),0)+VLOOKUP($R121,武学奇术!$A:$ZZ,2,FALSE)+SUM(_xlfn.XLOOKUP($S121:$AL121,增益!$A:$A,增益!$B:$B,0))</f>
        <v>0.3642</v>
      </c>
      <c r="AS121" s="33" cm="1">
        <f t="array" ref="AS121">VLOOKUP($R121,武学奇术!$A:$ZZ,5,FALSE)+SUM(_xlfn.XLOOKUP($S121:$AL121,增益!$A:$A,增益!$E:$E,0))</f>
        <v>0</v>
      </c>
      <c r="AT121" cm="1">
        <f t="array" ref="AT121">$D$10*(1+$AS121)+VLOOKUP($R121,武学奇术!$A:$ZZ,3,FALSE)+SUM(_xlfn.XLOOKUP($S121:$AL121,增益!$A:$A,增益!$C:$C,0))-$I$2</f>
        <v>4094.7</v>
      </c>
      <c r="AU121" cm="1">
        <f t="array" ref="AU121">$E$10*(1+$AS121)+VLOOKUP($R121,武学奇术!$A:$ZZ,4,FALSE)+SUM(_xlfn.XLOOKUP($S121:$AL121,增益!$A:$A,增益!$D:$D,0))-$I$2</f>
        <v>4094.7</v>
      </c>
      <c r="AV121" s="40" cm="1">
        <f t="array" ref="AV121">IF($F$10-$I$3+VLOOKUP($R121,武学奇术!$A:$ZZ,6,FALSE)+SUM(_xlfn.XLOOKUP($S121:$AL121,增益!$A:$A,增益!$F:$F,0))&gt;0,($F$10-$I$3+VLOOKUP($R121,武学奇术!$A:$ZZ,6,FALSE)+SUM(_xlfn.XLOOKUP($S121:$AL121,增益!$A:$A,增益!$F:$F,0)))/200,($F$10-$I$3+VLOOKUP($R121,武学奇术!$A:$ZZ,6,FALSE)+SUM(_xlfn.XLOOKUP($S121:$AL121,增益!$A:$A,增益!$F:$F,0)))/100)</f>
        <v>0.4134</v>
      </c>
      <c r="AW121" s="40" cm="1">
        <f t="array" ref="AW121">$G$10+VLOOKUP($R121,武学奇术!$A:$ZZ,7,FALSE)+SUM(_xlfn.XLOOKUP($S121:$AL121,增益!$A:$A,增益!$G:$G,0))</f>
        <v>0.14</v>
      </c>
      <c r="AX121" s="33" cm="1">
        <f t="array" ref="AX121">VLOOKUP($R121,武学奇术!$A:$ZZ,8,FALSE)+SUM(_xlfn.XLOOKUP($S121:$AL121,增益!$A:$A,增益!$H:$H,0))</f>
        <v>0</v>
      </c>
      <c r="AY121">
        <f t="shared" si="44"/>
        <v>0</v>
      </c>
      <c r="AZ121">
        <f t="shared" si="45"/>
        <v>0</v>
      </c>
      <c r="BA121" s="40" cm="1">
        <f t="array" ref="BA121">IF($F$11-$I$4+VLOOKUP($R121,武学奇术!$A:$ZZ,9,FALSE)+SUM(_xlfn.XLOOKUP($S121:$AL121,增益!$A:$A,增益!$I:$I,0))&gt;0,($F$11-$I$4+VLOOKUP($R121,武学奇术!$A:$ZZ,9,FALSE)+SUM(_xlfn.XLOOKUP($S121:$AL121,增益!$A:$A,增益!$I:$I,0)))/200,($F$11-$I$4+VLOOKUP($R121,武学奇术!$A:$ZZ,9,FALSE)+SUM(_xlfn.XLOOKUP($S121:$AL121,增益!$A:$A,增益!$I:$I,0)))/100)</f>
        <v>-0.3</v>
      </c>
      <c r="BB121" s="40" cm="1">
        <f t="array" ref="BB121">$G$11+VLOOKUP($R121,武学奇术!$A:$ZZ,10,FALSE)+SUM(_xlfn.XLOOKUP($S121:$AL121,增益!$A:$A,增益!$J:$J,0))</f>
        <v>0.12</v>
      </c>
      <c r="BC121">
        <f t="shared" si="46"/>
        <v>640.3</v>
      </c>
      <c r="BD121">
        <f t="shared" si="47"/>
        <v>1770.1</v>
      </c>
      <c r="BE121" s="40" cm="1">
        <f t="array" ref="BE121">IF($F$12-$I$4+VLOOKUP($R121,武学奇术!$A:$ZZ,11,FALSE)+SUM(_xlfn.XLOOKUP($S121:$AL121,增益!$A:$A,增益!$K:$K,0))&gt;0,($F$12-$I$4+VLOOKUP($R121,武学奇术!$A:$ZZ,11,FALSE)+SUM(_xlfn.XLOOKUP($S121:$AL121,增益!$A:$A,增益!$K:$K,0)))/200,($F$12-$I$4+VLOOKUP($R121,武学奇术!$A:$ZZ,11,FALSE)+SUM(_xlfn.XLOOKUP($S121:$AL121,增益!$A:$A,增益!$K:$K,0)))/100)</f>
        <v>0.09</v>
      </c>
      <c r="BF121" s="40" cm="1">
        <f t="array" ref="BF121">$G$12+VLOOKUP($R121,武学奇术!$A:$ZZ,12,FALSE)+SUM(_xlfn.XLOOKUP($S121:$AL121,增益!$A:$A,增益!$L:$L,0))</f>
        <v>0.29</v>
      </c>
      <c r="BG121">
        <f t="shared" si="48"/>
        <v>0</v>
      </c>
      <c r="BH121">
        <f t="shared" si="49"/>
        <v>0</v>
      </c>
      <c r="BI121" s="40" cm="1">
        <f t="array" ref="BI121">IF($F$13-$I$4+VLOOKUP($R121,武学奇术!$A:$ZZ,13,FALSE)+SUM(_xlfn.XLOOKUP($S121:$AL121,增益!$A:$A,增益!$M:$M,0))&gt;0,($F$13-$I$4+VLOOKUP($R121,武学奇术!$A:$ZZ,13,FALSE)+SUM(_xlfn.XLOOKUP($S121:$AL121,增益!$A:$A,增益!$K:$K,0)))/200,($F$13-$I$4+VLOOKUP($R121,武学奇术!$A:$ZZ,13,FALSE)+SUM(_xlfn.XLOOKUP($S121:$AL121,增益!$A:$A,增益!$M:$M,0)))/100)</f>
        <v>-0.3</v>
      </c>
      <c r="BJ121" s="40" cm="1">
        <f t="array" ref="BJ121">$G$13+VLOOKUP($R121,武学奇术!$A:$ZZ,14,FALSE)+SUM(_xlfn.XLOOKUP($S121:$AL121,增益!$A:$A,增益!$N:$N,0))</f>
        <v>0.02</v>
      </c>
      <c r="BK121">
        <f t="shared" si="50"/>
        <v>0</v>
      </c>
      <c r="BL121">
        <f t="shared" si="51"/>
        <v>0</v>
      </c>
      <c r="BM121" s="40" cm="1">
        <f t="array" ref="BM121">IF($F$14-$I$4+VLOOKUP($R121,武学奇术!$A:$ZZ,15,FALSE)+SUM(_xlfn.XLOOKUP($S121:$AL121,增益!$A:$A,增益!$O:$O,0))&gt;0,($F$14-$I$4+VLOOKUP($R121,武学奇术!$A:$ZZ,15,FALSE)+SUM(_xlfn.XLOOKUP($S121:$AL121,增益!$A:$A,增益!$O:$O,0)))/200,($F$14-$I$4+VLOOKUP($R121,武学奇术!$A:$ZZ,15,FALSE)+SUM(_xlfn.XLOOKUP($S121:$AL121,增益!$A:$A,增益!$O:$O,0)))/100)</f>
        <v>-0.3</v>
      </c>
      <c r="BN121" s="40" cm="1">
        <f t="array" ref="BN121">$G$14+VLOOKUP($R121,武学奇术!$A:$ZZ,16,FALSE)+SUM(_xlfn.XLOOKUP($S121:$AL121,增益!$A:$A,增益!$P:$P,0))</f>
        <v>0.02</v>
      </c>
      <c r="BO121" s="33">
        <f>MIN(IF(VLOOKUP($R121,武学奇术!$A:$ZZ,23,FALSE)=1,100%,$B$8),100%)</f>
        <v>0.9771</v>
      </c>
      <c r="BP121" s="33" cm="1">
        <f t="array" ref="BP121">IF(VLOOKUP($R121,武学奇术!$A:$ZZ,23,FALSE)=1,100%,MIN(80%,$B$9+VLOOKUP($R121,武学奇术!$A:$ZZ,17,FALSE)+SUM(_xlfn.XLOOKUP($S121:$AL121,增益!$A:$A,增益!$Q:$Q,0)))+$B$11+SUM(_xlfn.XLOOKUP($S121:$AL121,增益!$A:$A,增益!$U:$U,0)))*IF(VLOOKUP($R121,武学奇术!$A:$ZZ,24,FALSE)=1,0,1)</f>
        <v>0.8861</v>
      </c>
      <c r="BQ121" s="33" cm="1">
        <f t="array" ref="BQ121">1+$B$13+VLOOKUP($R121,武学奇术!$A:$ZZ,18,FALSE)+SUM(_xlfn.XLOOKUP($S121:$AL121,增益!$A:$A,增益!$R:$R,0))</f>
        <v>1.95</v>
      </c>
      <c r="BR121" s="33" cm="1">
        <f t="array" ref="BR121">IF(VLOOKUP($R121,武学奇术!$A:$ZZ,24,FALSE)=1,100%,MIN(40%,$B$10+VLOOKUP($R121,武学奇术!$A:$ZZ,19,FALSE)+SUM(_xlfn.XLOOKUP($S121:$AL121,增益!$A:$A,增益!$S:$S,0)))+$B$12+SUM(_xlfn.XLOOKUP($S121:$AL121,增益!$A:$A,增益!$V:$V,0)))*IF(VLOOKUP($R121,武学奇术!$A:$ZZ,23,FALSE)=1,0,1)</f>
        <v>0.0913</v>
      </c>
      <c r="BS121" s="33" cm="1">
        <f t="array" ref="BS121">1+$B$14+VLOOKUP($R121,武学奇术!$A:$ZZ,20,FALSE)+SUM(_xlfn.XLOOKUP($S121:$AL121,增益!$A:$A,增益!$T:$T,0))</f>
        <v>1.35</v>
      </c>
      <c r="BT121" s="33">
        <f t="shared" si="52"/>
        <v>0.86580831</v>
      </c>
      <c r="BU121" s="33">
        <f t="shared" si="53"/>
        <v>0.02208246</v>
      </c>
      <c r="BV121" s="33">
        <f>IF(VLOOKUP($R121,武学奇术!$A:$ZZ,22,FALSE)=1,0,(1-$BO121))*(1-$BR121)</f>
        <v>0.02080923</v>
      </c>
      <c r="BW121" s="33" cm="1">
        <f t="array" ref="BW121">SUM(_xlfn.XLOOKUP($S121:$AL121,增益!$A:$A,增益!$W:$W,0))+$I$5</f>
        <v>0.31</v>
      </c>
      <c r="BX121" s="33" cm="1">
        <f t="array" ref="BX121">VLOOKUP($R121,武学奇术!$A:$ZZ,32,FALSE)+SUM(_xlfn.XLOOKUP($S121:$AL121,增益!$A:$A,增益!$X:$X,0))</f>
        <v>0</v>
      </c>
    </row>
    <row r="122" spans="1:76">
      <c r="A122" t="s">
        <v>180</v>
      </c>
      <c r="B122">
        <v>1</v>
      </c>
      <c r="D122" s="47"/>
      <c r="L122" s="46">
        <f t="shared" si="54"/>
        <v>25161.4816187924</v>
      </c>
      <c r="M122" s="46">
        <f>((($AT122+$AU122)/2*$AN122+$AO122)*(1+$AV122)*(1+$AW122)+(($AY122+$AZ122)/2*IF($G$1="鸣金",$AP122,$AN122)+IF($G$1="鸣金",$AQ122*1.5,0))*(1+$BA122)*(1+$BB122)+(($BC122+$BD122)/2*IF($G$1="裂石",$AP122,$AN122)+IF($G$1="裂石",$AQ122*1.5,0))*(1+$BE122)*(1+$BF122)+(($BG122+$BH122)/2*IF($G$1="牵丝",$AP122,$AN122)+IF($G$1="牵丝",$AQ122*1.5,0))*(1+$BI122)*(1+$BJ122)+(($BK122+$BL122)/2*IF($G$1="破竹",$AP122,$AN122)+IF($G$1="破竹",$AQ122*1.5,0))*(1+$BM122)*(1+$BN122))*(1+$AR122)*$BQ122*$Q122*(1+IF(VLOOKUP($R122,武学奇术!$A:$ZZ,30,FALSE)="蓄力技",$B$21,0))*(1+IF(VLOOKUP($R122,武学奇术!$A:$ZZ,30,FALSE)="派生技",$B$20,0))*(1+$BW122)*(1+$BX122)</f>
        <v>26310.3598904715</v>
      </c>
      <c r="N122" s="46">
        <f>(($AU122*$AN122+$AO122)*(1+$AV122)*(1+$AW122)+($AZ122*IF($G$1="鸣金",$AP122,$AN122)+IF($G$1="鸣金",$AQ122*1.5,0))*(1+$BA122)*(1+$BB122)+($BD122*IF($G$1="裂石",$AP122,$AN122)+IF($G$1="裂石",$AQ122*1.5,0))*(1+$BE122)*(1+$BF122)+($BH122*IF($G$1="牵丝",$AP122,$AN122)+IF($G$1="牵丝",$AQ122*1.5,0))*(1+$BI122)*(1+$BJ122)+($BL122*IF($G$1="破竹",$AP122,$AN122)+IF($G$1="破竹",$AQ122*1.5,0))*(1+$BM122)*(1+$BN122))*(1+$AR122)*$BS122*$Q122*(1+IF(VLOOKUP($R122,武学奇术!$A:$ZZ,30,FALSE)="蓄力技",$B$21,0))*(1+IF(VLOOKUP($R122,武学奇术!$A:$ZZ,30,FALSE)="派生技",$B$20,0))*(1+$BW122)*(1+$BX122)</f>
        <v>20060.0126581345</v>
      </c>
      <c r="O122" s="46">
        <f>((($AT122+$AU122)/2*$AN122+$AO122)*(1+$AV122)*(1+$AW122)+(($AY122+$AZ122)/2*IF($G$1="鸣金",$AP122,$AN122)+IF($G$1="鸣金",$AQ122*1.5,0))*(1+$BA122)*(1+$BB122)+(($BC122+$BD122)/2*IF($G$1="裂石",$AP122,$AN122)+IF($G$1="裂石",$AQ122*1.5,0))*(1+$BE122)*(1+$BF122)+(($BG122+$BH122)/2*IF($G$1="牵丝",$AP122,$AN122)+IF($G$1="牵丝",$AQ122*1.5,0))*(1+$BI122)*(1+$BJ122)+(($BK122+$BL122)/2*IF($G$1="破竹",$AP122,$AN122)+IF($G$1="破竹",$AQ122*1.5,0))*(1+$BM122)*(1+$BN122))*(1+$AR122)*$Q122*(1+IF(VLOOKUP($R122,武学奇术!$A:$ZZ,30,FALSE)="蓄力技",$B$21,0))*(1+IF(VLOOKUP($R122,武学奇术!$A:$ZZ,30,FALSE)="派生技",$B$20,0))*(1+$BW122)*(1+$BX122)</f>
        <v>13492.4922515238</v>
      </c>
      <c r="P122" s="46">
        <f>((($AT122*$AN122+$AO122)*(1+$AV122)*(1+$AW122)+($AY122*IF($G$1="鸣金",$AP122,$AN122)+IF($G$1="鸣金",$AQ122*1.5,0))*(1+$BA122)*(1+$BB122)+($BC122*IF($G$1="裂石",$AP122,$AN122)+IF($G$1="裂石",$AQ122*1.5,0))*(1+$BE122)*(1+$BF122)+($BG122*IF($G$1="牵丝",$AP122,$AN122)+IF($G$1="牵丝",$AQ122*1.5,0))*(1+$BI122)*(1+$BJ122)+($BK122*IF($G$1="破竹",$AP122,$AN122)+IF($G$1="破竹",$AQ122*1.5,0))*(1+$BM122)*(1+$BN122))*(1+$AR122))*$Q122*(1+IF(VLOOKUP($R122,武学奇术!$A:$ZZ,30,FALSE)="蓄力技",$B$21,0))*(1+IF(VLOOKUP($R122,武学奇术!$A:$ZZ,30,FALSE)="派生技",$B$20,0))*(1+$BW122)*(1+$BX122)</f>
        <v>12125.7158673925</v>
      </c>
      <c r="Q122" s="47">
        <v>1</v>
      </c>
      <c r="R122" s="48" t="s">
        <v>192</v>
      </c>
      <c r="S122" s="48" t="s">
        <v>99</v>
      </c>
      <c r="T122" s="48" t="s">
        <v>182</v>
      </c>
      <c r="U122" s="48" t="s">
        <v>79</v>
      </c>
      <c r="V122" s="48" t="s">
        <v>90</v>
      </c>
      <c r="W122" s="48" t="s">
        <v>91</v>
      </c>
      <c r="X122" s="48" t="s">
        <v>80</v>
      </c>
      <c r="Y122" s="48" t="s">
        <v>80</v>
      </c>
      <c r="Z122" s="48" t="s">
        <v>80</v>
      </c>
      <c r="AA122" s="48" t="s">
        <v>80</v>
      </c>
      <c r="AB122" s="48" t="s">
        <v>80</v>
      </c>
      <c r="AC122" s="48" t="s">
        <v>80</v>
      </c>
      <c r="AD122" s="48" t="s">
        <v>80</v>
      </c>
      <c r="AE122" s="48" t="s">
        <v>82</v>
      </c>
      <c r="AF122" s="48" t="s">
        <v>83</v>
      </c>
      <c r="AG122" s="48" t="s">
        <v>84</v>
      </c>
      <c r="AH122" s="48" t="s">
        <v>80</v>
      </c>
      <c r="AI122" s="48" t="s">
        <v>80</v>
      </c>
      <c r="AJ122" s="48" t="s">
        <v>80</v>
      </c>
      <c r="AK122" s="48" t="s">
        <v>80</v>
      </c>
      <c r="AL122" s="48" t="s">
        <v>85</v>
      </c>
      <c r="AM122" t="str">
        <f>VLOOKUP($R122,武学奇术!$A:$ZZ,25,FALSE)</f>
        <v>心法</v>
      </c>
      <c r="AN122" s="33">
        <f>VLOOKUP($R122,武学奇术!$A:$ZZ,26,FALSE)</f>
        <v>1</v>
      </c>
      <c r="AO122" s="34">
        <f>VLOOKUP($R122,武学奇术!$A:$ZZ,27,FALSE)*(1+IF(OR($AM122=$F$4,$AM122=$F$5),$B$22,0))</f>
        <v>0</v>
      </c>
      <c r="AP122" s="33">
        <f>VLOOKUP($R122,武学奇术!$A:$ZZ,28,FALSE)</f>
        <v>1</v>
      </c>
      <c r="AQ122" s="34">
        <f>VLOOKUP($R122,武学奇术!$A:$ZZ,29,FALSE)*(1+IF(OR($AM122=$F$4,$AM122=$F$5),$B$22,0))</f>
        <v>0</v>
      </c>
      <c r="AR122" s="33" cm="1">
        <f t="array" ref="AR122">$G$3+IFERROR(VLOOKUP($AM122,$F$4:$G$7,2,FALSE),0)+VLOOKUP($R122,武学奇术!$A:$ZZ,2,FALSE)+SUM(_xlfn.XLOOKUP($S122:$AL122,增益!$A:$A,增益!$B:$B,0))</f>
        <v>0.4442</v>
      </c>
      <c r="AS122" s="33" cm="1">
        <f t="array" ref="AS122">VLOOKUP($R122,武学奇术!$A:$ZZ,5,FALSE)+SUM(_xlfn.XLOOKUP($S122:$AL122,增益!$A:$A,增益!$E:$E,0))</f>
        <v>0</v>
      </c>
      <c r="AT122" cm="1">
        <f t="array" ref="AT122">$D$10*(1+$AS122)+VLOOKUP($R122,武学奇术!$A:$ZZ,3,FALSE)+SUM(_xlfn.XLOOKUP($S122:$AL122,增益!$A:$A,增益!$C:$C,0))-$I$2</f>
        <v>4094.7</v>
      </c>
      <c r="AU122" cm="1">
        <f t="array" ref="AU122">$E$10*(1+$AS122)+VLOOKUP($R122,武学奇术!$A:$ZZ,4,FALSE)+SUM(_xlfn.XLOOKUP($S122:$AL122,增益!$A:$A,增益!$D:$D,0))-$I$2</f>
        <v>4094.7</v>
      </c>
      <c r="AV122" s="40" cm="1">
        <f t="array" ref="AV122">IF($F$10-$I$3+VLOOKUP($R122,武学奇术!$A:$ZZ,6,FALSE)+SUM(_xlfn.XLOOKUP($S122:$AL122,增益!$A:$A,增益!$F:$F,0))&gt;0,($F$10-$I$3+VLOOKUP($R122,武学奇术!$A:$ZZ,6,FALSE)+SUM(_xlfn.XLOOKUP($S122:$AL122,增益!$A:$A,增益!$F:$F,0)))/200,($F$10-$I$3+VLOOKUP($R122,武学奇术!$A:$ZZ,6,FALSE)+SUM(_xlfn.XLOOKUP($S122:$AL122,增益!$A:$A,增益!$F:$F,0)))/100)</f>
        <v>0.4134</v>
      </c>
      <c r="AW122" s="40" cm="1">
        <f t="array" ref="AW122">$G$10+VLOOKUP($R122,武学奇术!$A:$ZZ,7,FALSE)+SUM(_xlfn.XLOOKUP($S122:$AL122,增益!$A:$A,增益!$G:$G,0))</f>
        <v>0.14</v>
      </c>
      <c r="AX122" s="33" cm="1">
        <f t="array" ref="AX122">VLOOKUP($R122,武学奇术!$A:$ZZ,8,FALSE)+SUM(_xlfn.XLOOKUP($S122:$AL122,增益!$A:$A,增益!$H:$H,0))</f>
        <v>0</v>
      </c>
      <c r="AY122">
        <f t="shared" si="44"/>
        <v>0</v>
      </c>
      <c r="AZ122">
        <f t="shared" si="45"/>
        <v>0</v>
      </c>
      <c r="BA122" s="40" cm="1">
        <f t="array" ref="BA122">IF($F$11-$I$4+VLOOKUP($R122,武学奇术!$A:$ZZ,9,FALSE)+SUM(_xlfn.XLOOKUP($S122:$AL122,增益!$A:$A,增益!$I:$I,0))&gt;0,($F$11-$I$4+VLOOKUP($R122,武学奇术!$A:$ZZ,9,FALSE)+SUM(_xlfn.XLOOKUP($S122:$AL122,增益!$A:$A,增益!$I:$I,0)))/200,($F$11-$I$4+VLOOKUP($R122,武学奇术!$A:$ZZ,9,FALSE)+SUM(_xlfn.XLOOKUP($S122:$AL122,增益!$A:$A,增益!$I:$I,0)))/100)</f>
        <v>-0.14</v>
      </c>
      <c r="BB122" s="40" cm="1">
        <f t="array" ref="BB122">$G$11+VLOOKUP($R122,武学奇术!$A:$ZZ,10,FALSE)+SUM(_xlfn.XLOOKUP($S122:$AL122,增益!$A:$A,增益!$J:$J,0))</f>
        <v>0.02</v>
      </c>
      <c r="BC122">
        <f t="shared" si="46"/>
        <v>640.3</v>
      </c>
      <c r="BD122">
        <f t="shared" si="47"/>
        <v>1770.1</v>
      </c>
      <c r="BE122" s="40" cm="1">
        <f t="array" ref="BE122">IF($F$12-$I$4+VLOOKUP($R122,武学奇术!$A:$ZZ,11,FALSE)+SUM(_xlfn.XLOOKUP($S122:$AL122,增益!$A:$A,增益!$K:$K,0))&gt;0,($F$12-$I$4+VLOOKUP($R122,武学奇术!$A:$ZZ,11,FALSE)+SUM(_xlfn.XLOOKUP($S122:$AL122,增益!$A:$A,增益!$K:$K,0)))/200,($F$12-$I$4+VLOOKUP($R122,武学奇术!$A:$ZZ,11,FALSE)+SUM(_xlfn.XLOOKUP($S122:$AL122,增益!$A:$A,增益!$K:$K,0)))/100)</f>
        <v>0.17</v>
      </c>
      <c r="BF122" s="40" cm="1">
        <f t="array" ref="BF122">$G$12+VLOOKUP($R122,武学奇术!$A:$ZZ,12,FALSE)+SUM(_xlfn.XLOOKUP($S122:$AL122,增益!$A:$A,增益!$L:$L,0))</f>
        <v>0.29</v>
      </c>
      <c r="BG122">
        <f t="shared" si="48"/>
        <v>0</v>
      </c>
      <c r="BH122">
        <f t="shared" si="49"/>
        <v>0</v>
      </c>
      <c r="BI122" s="40" cm="1">
        <f t="array" ref="BI122">IF($F$13-$I$4+VLOOKUP($R122,武学奇术!$A:$ZZ,13,FALSE)+SUM(_xlfn.XLOOKUP($S122:$AL122,增益!$A:$A,增益!$M:$M,0))&gt;0,($F$13-$I$4+VLOOKUP($R122,武学奇术!$A:$ZZ,13,FALSE)+SUM(_xlfn.XLOOKUP($S122:$AL122,增益!$A:$A,增益!$K:$K,0)))/200,($F$13-$I$4+VLOOKUP($R122,武学奇术!$A:$ZZ,13,FALSE)+SUM(_xlfn.XLOOKUP($S122:$AL122,增益!$A:$A,增益!$M:$M,0)))/100)</f>
        <v>-0.14</v>
      </c>
      <c r="BJ122" s="40" cm="1">
        <f t="array" ref="BJ122">$G$13+VLOOKUP($R122,武学奇术!$A:$ZZ,14,FALSE)+SUM(_xlfn.XLOOKUP($S122:$AL122,增益!$A:$A,增益!$N:$N,0))</f>
        <v>0.02</v>
      </c>
      <c r="BK122">
        <f t="shared" si="50"/>
        <v>0</v>
      </c>
      <c r="BL122">
        <f t="shared" si="51"/>
        <v>0</v>
      </c>
      <c r="BM122" s="40" cm="1">
        <f t="array" ref="BM122">IF($F$14-$I$4+VLOOKUP($R122,武学奇术!$A:$ZZ,15,FALSE)+SUM(_xlfn.XLOOKUP($S122:$AL122,增益!$A:$A,增益!$O:$O,0))&gt;0,($F$14-$I$4+VLOOKUP($R122,武学奇术!$A:$ZZ,15,FALSE)+SUM(_xlfn.XLOOKUP($S122:$AL122,增益!$A:$A,增益!$O:$O,0)))/200,($F$14-$I$4+VLOOKUP($R122,武学奇术!$A:$ZZ,15,FALSE)+SUM(_xlfn.XLOOKUP($S122:$AL122,增益!$A:$A,增益!$O:$O,0)))/100)</f>
        <v>-0.14</v>
      </c>
      <c r="BN122" s="40" cm="1">
        <f t="array" ref="BN122">$G$14+VLOOKUP($R122,武学奇术!$A:$ZZ,16,FALSE)+SUM(_xlfn.XLOOKUP($S122:$AL122,增益!$A:$A,增益!$P:$P,0))</f>
        <v>0.02</v>
      </c>
      <c r="BO122" s="33">
        <f>MIN(IF(VLOOKUP($R122,武学奇术!$A:$ZZ,23,FALSE)=1,100%,$B$8),100%)</f>
        <v>0.9771</v>
      </c>
      <c r="BP122" s="33" cm="1">
        <f t="array" ref="BP122">IF(VLOOKUP($R122,武学奇术!$A:$ZZ,23,FALSE)=1,100%,MIN(80%,$B$9+VLOOKUP($R122,武学奇术!$A:$ZZ,17,FALSE)+SUM(_xlfn.XLOOKUP($S122:$AL122,增益!$A:$A,增益!$Q:$Q,0)))+$B$11+SUM(_xlfn.XLOOKUP($S122:$AL122,增益!$A:$A,增益!$U:$U,0)))*IF(VLOOKUP($R122,武学奇术!$A:$ZZ,24,FALSE)=1,0,1)</f>
        <v>0.8861</v>
      </c>
      <c r="BQ122" s="33" cm="1">
        <f t="array" ref="BQ122">1+$B$13+VLOOKUP($R122,武学奇术!$A:$ZZ,18,FALSE)+SUM(_xlfn.XLOOKUP($S122:$AL122,增益!$A:$A,增益!$R:$R,0))</f>
        <v>1.95</v>
      </c>
      <c r="BR122" s="33" cm="1">
        <f t="array" ref="BR122">IF(VLOOKUP($R122,武学奇术!$A:$ZZ,24,FALSE)=1,100%,MIN(40%,$B$10+VLOOKUP($R122,武学奇术!$A:$ZZ,19,FALSE)+SUM(_xlfn.XLOOKUP($S122:$AL122,增益!$A:$A,增益!$S:$S,0)))+$B$12+SUM(_xlfn.XLOOKUP($S122:$AL122,增益!$A:$A,增益!$V:$V,0)))*IF(VLOOKUP($R122,武学奇术!$A:$ZZ,23,FALSE)=1,0,1)</f>
        <v>0.0913</v>
      </c>
      <c r="BS122" s="33" cm="1">
        <f t="array" ref="BS122">1+$B$14+VLOOKUP($R122,武学奇术!$A:$ZZ,20,FALSE)+SUM(_xlfn.XLOOKUP($S122:$AL122,增益!$A:$A,增益!$T:$T,0))</f>
        <v>1.35</v>
      </c>
      <c r="BT122" s="33">
        <f t="shared" si="52"/>
        <v>0.86580831</v>
      </c>
      <c r="BU122" s="33">
        <f t="shared" si="53"/>
        <v>0.02208246</v>
      </c>
      <c r="BV122" s="33">
        <f>IF(VLOOKUP($R122,武学奇术!$A:$ZZ,22,FALSE)=1,0,(1-$BO122))*(1-$BR122)</f>
        <v>0.02080923</v>
      </c>
      <c r="BW122" s="33" cm="1">
        <f t="array" ref="BW122">SUM(_xlfn.XLOOKUP($S122:$AL122,增益!$A:$A,增益!$W:$W,0))+$I$5</f>
        <v>0.11</v>
      </c>
      <c r="BX122" s="33" cm="1">
        <f t="array" ref="BX122">VLOOKUP($R122,武学奇术!$A:$ZZ,32,FALSE)+SUM(_xlfn.XLOOKUP($S122:$AL122,增益!$A:$A,增益!$X:$X,0))</f>
        <v>0</v>
      </c>
    </row>
    <row r="123" spans="1:76">
      <c r="A123" t="s">
        <v>116</v>
      </c>
      <c r="B123">
        <v>2.3</v>
      </c>
      <c r="L123" s="46">
        <f t="shared" si="54"/>
        <v>23409.373824108</v>
      </c>
      <c r="M123" s="46">
        <f>((($AT123+$AU123)/2*$AN123+$AO123)*(1+$AV123)*(1+$AW123)+(($AY123+$AZ123)/2*IF($G$1="鸣金",$AP123,$AN123)+IF($G$1="鸣金",$AQ123*1.5,0))*(1+$BA123)*(1+$BB123)+(($BC123+$BD123)/2*IF($G$1="裂石",$AP123,$AN123)+IF($G$1="裂石",$AQ123*1.5,0))*(1+$BE123)*(1+$BF123)+(($BG123+$BH123)/2*IF($G$1="牵丝",$AP123,$AN123)+IF($G$1="牵丝",$AQ123*1.5,0))*(1+$BI123)*(1+$BJ123)+(($BK123+$BL123)/2*IF($G$1="破竹",$AP123,$AN123)+IF($G$1="破竹",$AQ123*1.5,0))*(1+$BM123)*(1+$BN123))*(1+$AR123)*$BQ123*$Q123*(1+IF(VLOOKUP($R123,武学奇术!$A:$ZZ,30,FALSE)="蓄力技",$B$21,0))*(1+IF(VLOOKUP($R123,武学奇术!$A:$ZZ,30,FALSE)="派生技",$B$20,0))*(1+$BW123)*(1+$BX123)</f>
        <v>24485.6633860269</v>
      </c>
      <c r="N123" s="46">
        <f>(($AU123*$AN123+$AO123)*(1+$AV123)*(1+$AW123)+($AZ123*IF($G$1="鸣金",$AP123,$AN123)+IF($G$1="鸣金",$AQ123*1.5,0))*(1+$BA123)*(1+$BB123)+($BD123*IF($G$1="裂石",$AP123,$AN123)+IF($G$1="裂石",$AQ123*1.5,0))*(1+$BE123)*(1+$BF123)+($BH123*IF($G$1="牵丝",$AP123,$AN123)+IF($G$1="牵丝",$AQ123*1.5,0))*(1+$BI123)*(1+$BJ123)+($BL123*IF($G$1="破竹",$AP123,$AN123)+IF($G$1="破竹",$AQ123*1.5,0))*(1+$BM123)*(1+$BN123))*(1+$AR123)*$BS123*$Q123*(1+IF(VLOOKUP($R123,武学奇术!$A:$ZZ,30,FALSE)="蓄力技",$B$21,0))*(1+IF(VLOOKUP($R123,武学奇术!$A:$ZZ,30,FALSE)="派生技",$B$20,0))*(1+$BW123)*(1+$BX123)</f>
        <v>18575.3758679676</v>
      </c>
      <c r="O123" s="46">
        <f>((($AT123+$AU123)/2*$AN123+$AO123)*(1+$AV123)*(1+$AW123)+(($AY123+$AZ123)/2*IF($G$1="鸣金",$AP123,$AN123)+IF($G$1="鸣金",$AQ123*1.5,0))*(1+$BA123)*(1+$BB123)+(($BC123+$BD123)/2*IF($G$1="裂石",$AP123,$AN123)+IF($G$1="裂石",$AQ123*1.5,0))*(1+$BE123)*(1+$BF123)+(($BG123+$BH123)/2*IF($G$1="牵丝",$AP123,$AN123)+IF($G$1="牵丝",$AQ123*1.5,0))*(1+$BI123)*(1+$BJ123)+(($BK123+$BL123)/2*IF($G$1="破竹",$AP123,$AN123)+IF($G$1="破竹",$AQ123*1.5,0))*(1+$BM123)*(1+$BN123))*(1+$AR123)*$Q123*(1+IF(VLOOKUP($R123,武学奇术!$A:$ZZ,30,FALSE)="蓄力技",$B$21,0))*(1+IF(VLOOKUP($R123,武学奇术!$A:$ZZ,30,FALSE)="派生技",$B$20,0))*(1+$BW123)*(1+$BX123)</f>
        <v>12556.7504543728</v>
      </c>
      <c r="P123" s="46">
        <f>((($AT123*$AN123+$AO123)*(1+$AV123)*(1+$AW123)+($AY123*IF($G$1="鸣金",$AP123,$AN123)+IF($G$1="鸣金",$AQ123*1.5,0))*(1+$BA123)*(1+$BB123)+($BC123*IF($G$1="裂石",$AP123,$AN123)+IF($G$1="裂石",$AQ123*1.5,0))*(1+$BE123)*(1+$BF123)+($BG123*IF($G$1="牵丝",$AP123,$AN123)+IF($G$1="牵丝",$AQ123*1.5,0))*(1+$BI123)*(1+$BJ123)+($BK123*IF($G$1="破竹",$AP123,$AN123)+IF($G$1="破竹",$AQ123*1.5,0))*(1+$BM123)*(1+$BN123))*(1+$AR123))*$Q123*(1+IF(VLOOKUP($R123,武学奇术!$A:$ZZ,30,FALSE)="蓄力技",$B$21,0))*(1+IF(VLOOKUP($R123,武学奇术!$A:$ZZ,30,FALSE)="派生技",$B$20,0))*(1+$BW123)*(1+$BX123)</f>
        <v>11353.9632287696</v>
      </c>
      <c r="Q123" s="47">
        <v>1</v>
      </c>
      <c r="R123" s="48" t="s">
        <v>192</v>
      </c>
      <c r="S123" s="48" t="s">
        <v>99</v>
      </c>
      <c r="T123" s="48" t="s">
        <v>182</v>
      </c>
      <c r="U123" s="48" t="s">
        <v>79</v>
      </c>
      <c r="V123" s="48" t="s">
        <v>80</v>
      </c>
      <c r="W123" s="48" t="s">
        <v>91</v>
      </c>
      <c r="X123" s="48" t="s">
        <v>80</v>
      </c>
      <c r="Y123" s="48" t="s">
        <v>80</v>
      </c>
      <c r="Z123" s="48" t="s">
        <v>80</v>
      </c>
      <c r="AA123" s="48" t="s">
        <v>80</v>
      </c>
      <c r="AB123" s="48" t="s">
        <v>80</v>
      </c>
      <c r="AC123" s="48" t="s">
        <v>80</v>
      </c>
      <c r="AD123" s="48" t="s">
        <v>80</v>
      </c>
      <c r="AE123" s="48" t="s">
        <v>82</v>
      </c>
      <c r="AF123" s="48" t="s">
        <v>83</v>
      </c>
      <c r="AG123" s="48" t="s">
        <v>84</v>
      </c>
      <c r="AH123" s="48" t="s">
        <v>80</v>
      </c>
      <c r="AI123" s="48" t="s">
        <v>80</v>
      </c>
      <c r="AJ123" s="48" t="s">
        <v>80</v>
      </c>
      <c r="AK123" s="48" t="s">
        <v>80</v>
      </c>
      <c r="AL123" s="48" t="s">
        <v>85</v>
      </c>
      <c r="AM123" t="str">
        <f>VLOOKUP($R123,武学奇术!$A:$ZZ,25,FALSE)</f>
        <v>心法</v>
      </c>
      <c r="AN123" s="33">
        <f>VLOOKUP($R123,武学奇术!$A:$ZZ,26,FALSE)</f>
        <v>1</v>
      </c>
      <c r="AO123" s="34">
        <f>VLOOKUP($R123,武学奇术!$A:$ZZ,27,FALSE)*(1+IF(OR($AM123=$F$4,$AM123=$F$5),$B$22,0))</f>
        <v>0</v>
      </c>
      <c r="AP123" s="33">
        <f>VLOOKUP($R123,武学奇术!$A:$ZZ,28,FALSE)</f>
        <v>1</v>
      </c>
      <c r="AQ123" s="34">
        <f>VLOOKUP($R123,武学奇术!$A:$ZZ,29,FALSE)*(1+IF(OR($AM123=$F$4,$AM123=$F$5),$B$22,0))</f>
        <v>0</v>
      </c>
      <c r="AR123" s="33" cm="1">
        <f t="array" ref="AR123">$G$3+IFERROR(VLOOKUP($AM123,$F$4:$G$7,2,FALSE),0)+VLOOKUP($R123,武学奇术!$A:$ZZ,2,FALSE)+SUM(_xlfn.XLOOKUP($S123:$AL123,增益!$A:$A,增益!$B:$B,0))</f>
        <v>0.3642</v>
      </c>
      <c r="AS123" s="33" cm="1">
        <f t="array" ref="AS123">VLOOKUP($R123,武学奇术!$A:$ZZ,5,FALSE)+SUM(_xlfn.XLOOKUP($S123:$AL123,增益!$A:$A,增益!$E:$E,0))</f>
        <v>0</v>
      </c>
      <c r="AT123" cm="1">
        <f t="array" ref="AT123">$D$10*(1+$AS123)+VLOOKUP($R123,武学奇术!$A:$ZZ,3,FALSE)+SUM(_xlfn.XLOOKUP($S123:$AL123,增益!$A:$A,增益!$C:$C,0))-$I$2</f>
        <v>4094.7</v>
      </c>
      <c r="AU123" cm="1">
        <f t="array" ref="AU123">$E$10*(1+$AS123)+VLOOKUP($R123,武学奇术!$A:$ZZ,4,FALSE)+SUM(_xlfn.XLOOKUP($S123:$AL123,增益!$A:$A,增益!$D:$D,0))-$I$2</f>
        <v>4094.7</v>
      </c>
      <c r="AV123" s="40" cm="1">
        <f t="array" ref="AV123">IF($F$10-$I$3+VLOOKUP($R123,武学奇术!$A:$ZZ,6,FALSE)+SUM(_xlfn.XLOOKUP($S123:$AL123,增益!$A:$A,增益!$F:$F,0))&gt;0,($F$10-$I$3+VLOOKUP($R123,武学奇术!$A:$ZZ,6,FALSE)+SUM(_xlfn.XLOOKUP($S123:$AL123,增益!$A:$A,增益!$F:$F,0)))/200,($F$10-$I$3+VLOOKUP($R123,武学奇术!$A:$ZZ,6,FALSE)+SUM(_xlfn.XLOOKUP($S123:$AL123,增益!$A:$A,增益!$F:$F,0)))/100)</f>
        <v>0.4134</v>
      </c>
      <c r="AW123" s="40" cm="1">
        <f t="array" ref="AW123">$G$10+VLOOKUP($R123,武学奇术!$A:$ZZ,7,FALSE)+SUM(_xlfn.XLOOKUP($S123:$AL123,增益!$A:$A,增益!$G:$G,0))</f>
        <v>0.14</v>
      </c>
      <c r="AX123" s="33" cm="1">
        <f t="array" ref="AX123">VLOOKUP($R123,武学奇术!$A:$ZZ,8,FALSE)+SUM(_xlfn.XLOOKUP($S123:$AL123,增益!$A:$A,增益!$H:$H,0))</f>
        <v>0</v>
      </c>
      <c r="AY123">
        <f t="shared" si="44"/>
        <v>0</v>
      </c>
      <c r="AZ123">
        <f t="shared" si="45"/>
        <v>0</v>
      </c>
      <c r="BA123" s="40" cm="1">
        <f t="array" ref="BA123">IF($F$11-$I$4+VLOOKUP($R123,武学奇术!$A:$ZZ,9,FALSE)+SUM(_xlfn.XLOOKUP($S123:$AL123,增益!$A:$A,增益!$I:$I,0))&gt;0,($F$11-$I$4+VLOOKUP($R123,武学奇术!$A:$ZZ,9,FALSE)+SUM(_xlfn.XLOOKUP($S123:$AL123,增益!$A:$A,增益!$I:$I,0)))/200,($F$11-$I$4+VLOOKUP($R123,武学奇术!$A:$ZZ,9,FALSE)+SUM(_xlfn.XLOOKUP($S123:$AL123,增益!$A:$A,增益!$I:$I,0)))/100)</f>
        <v>-0.3</v>
      </c>
      <c r="BB123" s="40" cm="1">
        <f t="array" ref="BB123">$G$11+VLOOKUP($R123,武学奇术!$A:$ZZ,10,FALSE)+SUM(_xlfn.XLOOKUP($S123:$AL123,增益!$A:$A,增益!$J:$J,0))</f>
        <v>0.02</v>
      </c>
      <c r="BC123">
        <f t="shared" si="46"/>
        <v>640.3</v>
      </c>
      <c r="BD123">
        <f t="shared" si="47"/>
        <v>1770.1</v>
      </c>
      <c r="BE123" s="40" cm="1">
        <f t="array" ref="BE123">IF($F$12-$I$4+VLOOKUP($R123,武学奇术!$A:$ZZ,11,FALSE)+SUM(_xlfn.XLOOKUP($S123:$AL123,增益!$A:$A,增益!$K:$K,0))&gt;0,($F$12-$I$4+VLOOKUP($R123,武学奇术!$A:$ZZ,11,FALSE)+SUM(_xlfn.XLOOKUP($S123:$AL123,增益!$A:$A,增益!$K:$K,0)))/200,($F$12-$I$4+VLOOKUP($R123,武学奇术!$A:$ZZ,11,FALSE)+SUM(_xlfn.XLOOKUP($S123:$AL123,增益!$A:$A,增益!$K:$K,0)))/100)</f>
        <v>0.09</v>
      </c>
      <c r="BF123" s="40" cm="1">
        <f t="array" ref="BF123">$G$12+VLOOKUP($R123,武学奇术!$A:$ZZ,12,FALSE)+SUM(_xlfn.XLOOKUP($S123:$AL123,增益!$A:$A,增益!$L:$L,0))</f>
        <v>0.29</v>
      </c>
      <c r="BG123">
        <f t="shared" si="48"/>
        <v>0</v>
      </c>
      <c r="BH123">
        <f t="shared" si="49"/>
        <v>0</v>
      </c>
      <c r="BI123" s="40" cm="1">
        <f t="array" ref="BI123">IF($F$13-$I$4+VLOOKUP($R123,武学奇术!$A:$ZZ,13,FALSE)+SUM(_xlfn.XLOOKUP($S123:$AL123,增益!$A:$A,增益!$M:$M,0))&gt;0,($F$13-$I$4+VLOOKUP($R123,武学奇术!$A:$ZZ,13,FALSE)+SUM(_xlfn.XLOOKUP($S123:$AL123,增益!$A:$A,增益!$K:$K,0)))/200,($F$13-$I$4+VLOOKUP($R123,武学奇术!$A:$ZZ,13,FALSE)+SUM(_xlfn.XLOOKUP($S123:$AL123,增益!$A:$A,增益!$M:$M,0)))/100)</f>
        <v>-0.3</v>
      </c>
      <c r="BJ123" s="40" cm="1">
        <f t="array" ref="BJ123">$G$13+VLOOKUP($R123,武学奇术!$A:$ZZ,14,FALSE)+SUM(_xlfn.XLOOKUP($S123:$AL123,增益!$A:$A,增益!$N:$N,0))</f>
        <v>0.02</v>
      </c>
      <c r="BK123">
        <f t="shared" si="50"/>
        <v>0</v>
      </c>
      <c r="BL123">
        <f t="shared" si="51"/>
        <v>0</v>
      </c>
      <c r="BM123" s="40" cm="1">
        <f t="array" ref="BM123">IF($F$14-$I$4+VLOOKUP($R123,武学奇术!$A:$ZZ,15,FALSE)+SUM(_xlfn.XLOOKUP($S123:$AL123,增益!$A:$A,增益!$O:$O,0))&gt;0,($F$14-$I$4+VLOOKUP($R123,武学奇术!$A:$ZZ,15,FALSE)+SUM(_xlfn.XLOOKUP($S123:$AL123,增益!$A:$A,增益!$O:$O,0)))/200,($F$14-$I$4+VLOOKUP($R123,武学奇术!$A:$ZZ,15,FALSE)+SUM(_xlfn.XLOOKUP($S123:$AL123,增益!$A:$A,增益!$O:$O,0)))/100)</f>
        <v>-0.3</v>
      </c>
      <c r="BN123" s="40" cm="1">
        <f t="array" ref="BN123">$G$14+VLOOKUP($R123,武学奇术!$A:$ZZ,16,FALSE)+SUM(_xlfn.XLOOKUP($S123:$AL123,增益!$A:$A,增益!$P:$P,0))</f>
        <v>0.02</v>
      </c>
      <c r="BO123" s="33">
        <f>MIN(IF(VLOOKUP($R123,武学奇术!$A:$ZZ,23,FALSE)=1,100%,$B$8),100%)</f>
        <v>0.9771</v>
      </c>
      <c r="BP123" s="33" cm="1">
        <f t="array" ref="BP123">IF(VLOOKUP($R123,武学奇术!$A:$ZZ,23,FALSE)=1,100%,MIN(80%,$B$9+VLOOKUP($R123,武学奇术!$A:$ZZ,17,FALSE)+SUM(_xlfn.XLOOKUP($S123:$AL123,增益!$A:$A,增益!$Q:$Q,0)))+$B$11+SUM(_xlfn.XLOOKUP($S123:$AL123,增益!$A:$A,增益!$U:$U,0)))*IF(VLOOKUP($R123,武学奇术!$A:$ZZ,24,FALSE)=1,0,1)</f>
        <v>0.8861</v>
      </c>
      <c r="BQ123" s="33" cm="1">
        <f t="array" ref="BQ123">1+$B$13+VLOOKUP($R123,武学奇术!$A:$ZZ,18,FALSE)+SUM(_xlfn.XLOOKUP($S123:$AL123,增益!$A:$A,增益!$R:$R,0))</f>
        <v>1.95</v>
      </c>
      <c r="BR123" s="33" cm="1">
        <f t="array" ref="BR123">IF(VLOOKUP($R123,武学奇术!$A:$ZZ,24,FALSE)=1,100%,MIN(40%,$B$10+VLOOKUP($R123,武学奇术!$A:$ZZ,19,FALSE)+SUM(_xlfn.XLOOKUP($S123:$AL123,增益!$A:$A,增益!$S:$S,0)))+$B$12+SUM(_xlfn.XLOOKUP($S123:$AL123,增益!$A:$A,增益!$V:$V,0)))*IF(VLOOKUP($R123,武学奇术!$A:$ZZ,23,FALSE)=1,0,1)</f>
        <v>0.0913</v>
      </c>
      <c r="BS123" s="33" cm="1">
        <f t="array" ref="BS123">1+$B$14+VLOOKUP($R123,武学奇术!$A:$ZZ,20,FALSE)+SUM(_xlfn.XLOOKUP($S123:$AL123,增益!$A:$A,增益!$T:$T,0))</f>
        <v>1.35</v>
      </c>
      <c r="BT123" s="33">
        <f t="shared" si="52"/>
        <v>0.86580831</v>
      </c>
      <c r="BU123" s="33">
        <f t="shared" si="53"/>
        <v>0.02208246</v>
      </c>
      <c r="BV123" s="33">
        <f>IF(VLOOKUP($R123,武学奇术!$A:$ZZ,22,FALSE)=1,0,(1-$BO123))*(1-$BR123)</f>
        <v>0.02080923</v>
      </c>
      <c r="BW123" s="33" cm="1">
        <f t="array" ref="BW123">SUM(_xlfn.XLOOKUP($S123:$AL123,增益!$A:$A,增益!$W:$W,0))+$I$5</f>
        <v>0.11</v>
      </c>
      <c r="BX123" s="33" cm="1">
        <f t="array" ref="BX123">VLOOKUP($R123,武学奇术!$A:$ZZ,32,FALSE)+SUM(_xlfn.XLOOKUP($S123:$AL123,增益!$A:$A,增益!$X:$X,0))</f>
        <v>0</v>
      </c>
    </row>
    <row r="124" spans="1:76">
      <c r="A124" s="4" t="s">
        <v>189</v>
      </c>
      <c r="B124" s="4">
        <v>0.8</v>
      </c>
      <c r="E124" s="47" t="s">
        <v>79</v>
      </c>
      <c r="L124" s="46">
        <f t="shared" si="54"/>
        <v>25161.4816187924</v>
      </c>
      <c r="M124" s="46">
        <f>((($AT124+$AU124)/2*$AN124+$AO124)*(1+$AV124)*(1+$AW124)+(($AY124+$AZ124)/2*IF($G$1="鸣金",$AP124,$AN124)+IF($G$1="鸣金",$AQ124*1.5,0))*(1+$BA124)*(1+$BB124)+(($BC124+$BD124)/2*IF($G$1="裂石",$AP124,$AN124)+IF($G$1="裂石",$AQ124*1.5,0))*(1+$BE124)*(1+$BF124)+(($BG124+$BH124)/2*IF($G$1="牵丝",$AP124,$AN124)+IF($G$1="牵丝",$AQ124*1.5,0))*(1+$BI124)*(1+$BJ124)+(($BK124+$BL124)/2*IF($G$1="破竹",$AP124,$AN124)+IF($G$1="破竹",$AQ124*1.5,0))*(1+$BM124)*(1+$BN124))*(1+$AR124)*$BQ124*$Q124*(1+IF(VLOOKUP($R124,武学奇术!$A:$ZZ,30,FALSE)="蓄力技",$B$21,0))*(1+IF(VLOOKUP($R124,武学奇术!$A:$ZZ,30,FALSE)="派生技",$B$20,0))*(1+$BW124)*(1+$BX124)</f>
        <v>26310.3598904715</v>
      </c>
      <c r="N124" s="46">
        <f>(($AU124*$AN124+$AO124)*(1+$AV124)*(1+$AW124)+($AZ124*IF($G$1="鸣金",$AP124,$AN124)+IF($G$1="鸣金",$AQ124*1.5,0))*(1+$BA124)*(1+$BB124)+($BD124*IF($G$1="裂石",$AP124,$AN124)+IF($G$1="裂石",$AQ124*1.5,0))*(1+$BE124)*(1+$BF124)+($BH124*IF($G$1="牵丝",$AP124,$AN124)+IF($G$1="牵丝",$AQ124*1.5,0))*(1+$BI124)*(1+$BJ124)+($BL124*IF($G$1="破竹",$AP124,$AN124)+IF($G$1="破竹",$AQ124*1.5,0))*(1+$BM124)*(1+$BN124))*(1+$AR124)*$BS124*$Q124*(1+IF(VLOOKUP($R124,武学奇术!$A:$ZZ,30,FALSE)="蓄力技",$B$21,0))*(1+IF(VLOOKUP($R124,武学奇术!$A:$ZZ,30,FALSE)="派生技",$B$20,0))*(1+$BW124)*(1+$BX124)</f>
        <v>20060.0126581345</v>
      </c>
      <c r="O124" s="46">
        <f>((($AT124+$AU124)/2*$AN124+$AO124)*(1+$AV124)*(1+$AW124)+(($AY124+$AZ124)/2*IF($G$1="鸣金",$AP124,$AN124)+IF($G$1="鸣金",$AQ124*1.5,0))*(1+$BA124)*(1+$BB124)+(($BC124+$BD124)/2*IF($G$1="裂石",$AP124,$AN124)+IF($G$1="裂石",$AQ124*1.5,0))*(1+$BE124)*(1+$BF124)+(($BG124+$BH124)/2*IF($G$1="牵丝",$AP124,$AN124)+IF($G$1="牵丝",$AQ124*1.5,0))*(1+$BI124)*(1+$BJ124)+(($BK124+$BL124)/2*IF($G$1="破竹",$AP124,$AN124)+IF($G$1="破竹",$AQ124*1.5,0))*(1+$BM124)*(1+$BN124))*(1+$AR124)*$Q124*(1+IF(VLOOKUP($R124,武学奇术!$A:$ZZ,30,FALSE)="蓄力技",$B$21,0))*(1+IF(VLOOKUP($R124,武学奇术!$A:$ZZ,30,FALSE)="派生技",$B$20,0))*(1+$BW124)*(1+$BX124)</f>
        <v>13492.4922515238</v>
      </c>
      <c r="P124" s="46">
        <f>((($AT124*$AN124+$AO124)*(1+$AV124)*(1+$AW124)+($AY124*IF($G$1="鸣金",$AP124,$AN124)+IF($G$1="鸣金",$AQ124*1.5,0))*(1+$BA124)*(1+$BB124)+($BC124*IF($G$1="裂石",$AP124,$AN124)+IF($G$1="裂石",$AQ124*1.5,0))*(1+$BE124)*(1+$BF124)+($BG124*IF($G$1="牵丝",$AP124,$AN124)+IF($G$1="牵丝",$AQ124*1.5,0))*(1+$BI124)*(1+$BJ124)+($BK124*IF($G$1="破竹",$AP124,$AN124)+IF($G$1="破竹",$AQ124*1.5,0))*(1+$BM124)*(1+$BN124))*(1+$AR124))*$Q124*(1+IF(VLOOKUP($R124,武学奇术!$A:$ZZ,30,FALSE)="蓄力技",$B$21,0))*(1+IF(VLOOKUP($R124,武学奇术!$A:$ZZ,30,FALSE)="派生技",$B$20,0))*(1+$BW124)*(1+$BX124)</f>
        <v>12125.7158673925</v>
      </c>
      <c r="Q124" s="47">
        <v>1</v>
      </c>
      <c r="R124" s="48" t="s">
        <v>192</v>
      </c>
      <c r="S124" s="48" t="s">
        <v>99</v>
      </c>
      <c r="T124" s="48" t="s">
        <v>182</v>
      </c>
      <c r="U124" s="48" t="s">
        <v>79</v>
      </c>
      <c r="V124" s="48" t="s">
        <v>90</v>
      </c>
      <c r="W124" s="48" t="s">
        <v>91</v>
      </c>
      <c r="X124" s="48" t="s">
        <v>80</v>
      </c>
      <c r="Y124" s="48" t="s">
        <v>80</v>
      </c>
      <c r="Z124" s="48" t="s">
        <v>80</v>
      </c>
      <c r="AA124" s="48" t="s">
        <v>80</v>
      </c>
      <c r="AB124" s="48" t="s">
        <v>80</v>
      </c>
      <c r="AC124" s="48" t="s">
        <v>80</v>
      </c>
      <c r="AD124" s="48" t="s">
        <v>80</v>
      </c>
      <c r="AE124" s="48" t="s">
        <v>82</v>
      </c>
      <c r="AF124" s="48" t="s">
        <v>83</v>
      </c>
      <c r="AG124" s="48" t="s">
        <v>84</v>
      </c>
      <c r="AH124" s="48" t="s">
        <v>80</v>
      </c>
      <c r="AI124" s="48" t="s">
        <v>80</v>
      </c>
      <c r="AJ124" s="48" t="s">
        <v>80</v>
      </c>
      <c r="AK124" s="48" t="s">
        <v>80</v>
      </c>
      <c r="AL124" s="48" t="s">
        <v>85</v>
      </c>
      <c r="AM124" t="str">
        <f>VLOOKUP($R124,武学奇术!$A:$ZZ,25,FALSE)</f>
        <v>心法</v>
      </c>
      <c r="AN124" s="33">
        <f>VLOOKUP($R124,武学奇术!$A:$ZZ,26,FALSE)</f>
        <v>1</v>
      </c>
      <c r="AO124" s="34">
        <f>VLOOKUP($R124,武学奇术!$A:$ZZ,27,FALSE)*(1+IF(OR($AM124=$F$4,$AM124=$F$5),$B$22,0))</f>
        <v>0</v>
      </c>
      <c r="AP124" s="33">
        <f>VLOOKUP($R124,武学奇术!$A:$ZZ,28,FALSE)</f>
        <v>1</v>
      </c>
      <c r="AQ124" s="34">
        <f>VLOOKUP($R124,武学奇术!$A:$ZZ,29,FALSE)*(1+IF(OR($AM124=$F$4,$AM124=$F$5),$B$22,0))</f>
        <v>0</v>
      </c>
      <c r="AR124" s="33" cm="1">
        <f t="array" ref="AR124">$G$3+IFERROR(VLOOKUP($AM124,$F$4:$G$7,2,FALSE),0)+VLOOKUP($R124,武学奇术!$A:$ZZ,2,FALSE)+SUM(_xlfn.XLOOKUP($S124:$AL124,增益!$A:$A,增益!$B:$B,0))</f>
        <v>0.4442</v>
      </c>
      <c r="AS124" s="33" cm="1">
        <f t="array" ref="AS124">VLOOKUP($R124,武学奇术!$A:$ZZ,5,FALSE)+SUM(_xlfn.XLOOKUP($S124:$AL124,增益!$A:$A,增益!$E:$E,0))</f>
        <v>0</v>
      </c>
      <c r="AT124" cm="1">
        <f t="array" ref="AT124">$D$10*(1+$AS124)+VLOOKUP($R124,武学奇术!$A:$ZZ,3,FALSE)+SUM(_xlfn.XLOOKUP($S124:$AL124,增益!$A:$A,增益!$C:$C,0))-$I$2</f>
        <v>4094.7</v>
      </c>
      <c r="AU124" cm="1">
        <f t="array" ref="AU124">$E$10*(1+$AS124)+VLOOKUP($R124,武学奇术!$A:$ZZ,4,FALSE)+SUM(_xlfn.XLOOKUP($S124:$AL124,增益!$A:$A,增益!$D:$D,0))-$I$2</f>
        <v>4094.7</v>
      </c>
      <c r="AV124" s="40" cm="1">
        <f t="array" ref="AV124">IF($F$10-$I$3+VLOOKUP($R124,武学奇术!$A:$ZZ,6,FALSE)+SUM(_xlfn.XLOOKUP($S124:$AL124,增益!$A:$A,增益!$F:$F,0))&gt;0,($F$10-$I$3+VLOOKUP($R124,武学奇术!$A:$ZZ,6,FALSE)+SUM(_xlfn.XLOOKUP($S124:$AL124,增益!$A:$A,增益!$F:$F,0)))/200,($F$10-$I$3+VLOOKUP($R124,武学奇术!$A:$ZZ,6,FALSE)+SUM(_xlfn.XLOOKUP($S124:$AL124,增益!$A:$A,增益!$F:$F,0)))/100)</f>
        <v>0.4134</v>
      </c>
      <c r="AW124" s="40" cm="1">
        <f t="array" ref="AW124">$G$10+VLOOKUP($R124,武学奇术!$A:$ZZ,7,FALSE)+SUM(_xlfn.XLOOKUP($S124:$AL124,增益!$A:$A,增益!$G:$G,0))</f>
        <v>0.14</v>
      </c>
      <c r="AX124" s="33" cm="1">
        <f t="array" ref="AX124">VLOOKUP($R124,武学奇术!$A:$ZZ,8,FALSE)+SUM(_xlfn.XLOOKUP($S124:$AL124,增益!$A:$A,增益!$H:$H,0))</f>
        <v>0</v>
      </c>
      <c r="AY124">
        <f t="shared" si="44"/>
        <v>0</v>
      </c>
      <c r="AZ124">
        <f t="shared" si="45"/>
        <v>0</v>
      </c>
      <c r="BA124" s="40" cm="1">
        <f t="array" ref="BA124">IF($F$11-$I$4+VLOOKUP($R124,武学奇术!$A:$ZZ,9,FALSE)+SUM(_xlfn.XLOOKUP($S124:$AL124,增益!$A:$A,增益!$I:$I,0))&gt;0,($F$11-$I$4+VLOOKUP($R124,武学奇术!$A:$ZZ,9,FALSE)+SUM(_xlfn.XLOOKUP($S124:$AL124,增益!$A:$A,增益!$I:$I,0)))/200,($F$11-$I$4+VLOOKUP($R124,武学奇术!$A:$ZZ,9,FALSE)+SUM(_xlfn.XLOOKUP($S124:$AL124,增益!$A:$A,增益!$I:$I,0)))/100)</f>
        <v>-0.14</v>
      </c>
      <c r="BB124" s="40" cm="1">
        <f t="array" ref="BB124">$G$11+VLOOKUP($R124,武学奇术!$A:$ZZ,10,FALSE)+SUM(_xlfn.XLOOKUP($S124:$AL124,增益!$A:$A,增益!$J:$J,0))</f>
        <v>0.02</v>
      </c>
      <c r="BC124">
        <f t="shared" si="46"/>
        <v>640.3</v>
      </c>
      <c r="BD124">
        <f t="shared" si="47"/>
        <v>1770.1</v>
      </c>
      <c r="BE124" s="40" cm="1">
        <f t="array" ref="BE124">IF($F$12-$I$4+VLOOKUP($R124,武学奇术!$A:$ZZ,11,FALSE)+SUM(_xlfn.XLOOKUP($S124:$AL124,增益!$A:$A,增益!$K:$K,0))&gt;0,($F$12-$I$4+VLOOKUP($R124,武学奇术!$A:$ZZ,11,FALSE)+SUM(_xlfn.XLOOKUP($S124:$AL124,增益!$A:$A,增益!$K:$K,0)))/200,($F$12-$I$4+VLOOKUP($R124,武学奇术!$A:$ZZ,11,FALSE)+SUM(_xlfn.XLOOKUP($S124:$AL124,增益!$A:$A,增益!$K:$K,0)))/100)</f>
        <v>0.17</v>
      </c>
      <c r="BF124" s="40" cm="1">
        <f t="array" ref="BF124">$G$12+VLOOKUP($R124,武学奇术!$A:$ZZ,12,FALSE)+SUM(_xlfn.XLOOKUP($S124:$AL124,增益!$A:$A,增益!$L:$L,0))</f>
        <v>0.29</v>
      </c>
      <c r="BG124">
        <f t="shared" si="48"/>
        <v>0</v>
      </c>
      <c r="BH124">
        <f t="shared" si="49"/>
        <v>0</v>
      </c>
      <c r="BI124" s="40" cm="1">
        <f t="array" ref="BI124">IF($F$13-$I$4+VLOOKUP($R124,武学奇术!$A:$ZZ,13,FALSE)+SUM(_xlfn.XLOOKUP($S124:$AL124,增益!$A:$A,增益!$M:$M,0))&gt;0,($F$13-$I$4+VLOOKUP($R124,武学奇术!$A:$ZZ,13,FALSE)+SUM(_xlfn.XLOOKUP($S124:$AL124,增益!$A:$A,增益!$K:$K,0)))/200,($F$13-$I$4+VLOOKUP($R124,武学奇术!$A:$ZZ,13,FALSE)+SUM(_xlfn.XLOOKUP($S124:$AL124,增益!$A:$A,增益!$M:$M,0)))/100)</f>
        <v>-0.14</v>
      </c>
      <c r="BJ124" s="40" cm="1">
        <f t="array" ref="BJ124">$G$13+VLOOKUP($R124,武学奇术!$A:$ZZ,14,FALSE)+SUM(_xlfn.XLOOKUP($S124:$AL124,增益!$A:$A,增益!$N:$N,0))</f>
        <v>0.02</v>
      </c>
      <c r="BK124">
        <f t="shared" si="50"/>
        <v>0</v>
      </c>
      <c r="BL124">
        <f t="shared" si="51"/>
        <v>0</v>
      </c>
      <c r="BM124" s="40" cm="1">
        <f t="array" ref="BM124">IF($F$14-$I$4+VLOOKUP($R124,武学奇术!$A:$ZZ,15,FALSE)+SUM(_xlfn.XLOOKUP($S124:$AL124,增益!$A:$A,增益!$O:$O,0))&gt;0,($F$14-$I$4+VLOOKUP($R124,武学奇术!$A:$ZZ,15,FALSE)+SUM(_xlfn.XLOOKUP($S124:$AL124,增益!$A:$A,增益!$O:$O,0)))/200,($F$14-$I$4+VLOOKUP($R124,武学奇术!$A:$ZZ,15,FALSE)+SUM(_xlfn.XLOOKUP($S124:$AL124,增益!$A:$A,增益!$O:$O,0)))/100)</f>
        <v>-0.14</v>
      </c>
      <c r="BN124" s="40" cm="1">
        <f t="array" ref="BN124">$G$14+VLOOKUP($R124,武学奇术!$A:$ZZ,16,FALSE)+SUM(_xlfn.XLOOKUP($S124:$AL124,增益!$A:$A,增益!$P:$P,0))</f>
        <v>0.02</v>
      </c>
      <c r="BO124" s="33">
        <f>MIN(IF(VLOOKUP($R124,武学奇术!$A:$ZZ,23,FALSE)=1,100%,$B$8),100%)</f>
        <v>0.9771</v>
      </c>
      <c r="BP124" s="33" cm="1">
        <f t="array" ref="BP124">IF(VLOOKUP($R124,武学奇术!$A:$ZZ,23,FALSE)=1,100%,MIN(80%,$B$9+VLOOKUP($R124,武学奇术!$A:$ZZ,17,FALSE)+SUM(_xlfn.XLOOKUP($S124:$AL124,增益!$A:$A,增益!$Q:$Q,0)))+$B$11+SUM(_xlfn.XLOOKUP($S124:$AL124,增益!$A:$A,增益!$U:$U,0)))*IF(VLOOKUP($R124,武学奇术!$A:$ZZ,24,FALSE)=1,0,1)</f>
        <v>0.8861</v>
      </c>
      <c r="BQ124" s="33" cm="1">
        <f t="array" ref="BQ124">1+$B$13+VLOOKUP($R124,武学奇术!$A:$ZZ,18,FALSE)+SUM(_xlfn.XLOOKUP($S124:$AL124,增益!$A:$A,增益!$R:$R,0))</f>
        <v>1.95</v>
      </c>
      <c r="BR124" s="33" cm="1">
        <f t="array" ref="BR124">IF(VLOOKUP($R124,武学奇术!$A:$ZZ,24,FALSE)=1,100%,MIN(40%,$B$10+VLOOKUP($R124,武学奇术!$A:$ZZ,19,FALSE)+SUM(_xlfn.XLOOKUP($S124:$AL124,增益!$A:$A,增益!$S:$S,0)))+$B$12+SUM(_xlfn.XLOOKUP($S124:$AL124,增益!$A:$A,增益!$V:$V,0)))*IF(VLOOKUP($R124,武学奇术!$A:$ZZ,23,FALSE)=1,0,1)</f>
        <v>0.0913</v>
      </c>
      <c r="BS124" s="33" cm="1">
        <f t="array" ref="BS124">1+$B$14+VLOOKUP($R124,武学奇术!$A:$ZZ,20,FALSE)+SUM(_xlfn.XLOOKUP($S124:$AL124,增益!$A:$A,增益!$T:$T,0))</f>
        <v>1.35</v>
      </c>
      <c r="BT124" s="33">
        <f t="shared" si="52"/>
        <v>0.86580831</v>
      </c>
      <c r="BU124" s="33">
        <f t="shared" si="53"/>
        <v>0.02208246</v>
      </c>
      <c r="BV124" s="33">
        <f>IF(VLOOKUP($R124,武学奇术!$A:$ZZ,22,FALSE)=1,0,(1-$BO124))*(1-$BR124)</f>
        <v>0.02080923</v>
      </c>
      <c r="BW124" s="33" cm="1">
        <f t="array" ref="BW124">SUM(_xlfn.XLOOKUP($S124:$AL124,增益!$A:$A,增益!$W:$W,0))+$I$5</f>
        <v>0.11</v>
      </c>
      <c r="BX124" s="33" cm="1">
        <f t="array" ref="BX124">VLOOKUP($R124,武学奇术!$A:$ZZ,32,FALSE)+SUM(_xlfn.XLOOKUP($S124:$AL124,增益!$A:$A,增益!$X:$X,0))</f>
        <v>0</v>
      </c>
    </row>
    <row r="125" spans="1:76">
      <c r="A125" s="4" t="s">
        <v>190</v>
      </c>
      <c r="B125" s="4">
        <v>1.1</v>
      </c>
      <c r="E125" s="47"/>
      <c r="L125" s="46">
        <f t="shared" si="54"/>
        <v>27627.2790176409</v>
      </c>
      <c r="M125" s="46">
        <f>((($AT125+$AU125)/2*$AN125+$AO125)*(1+$AV125)*(1+$AW125)+(($AY125+$AZ125)/2*IF($G$1="鸣金",$AP125,$AN125)+IF($G$1="鸣金",$AQ125*1.5,0))*(1+$BA125)*(1+$BB125)+(($BC125+$BD125)/2*IF($G$1="裂石",$AP125,$AN125)+IF($G$1="裂石",$AQ125*1.5,0))*(1+$BE125)*(1+$BF125)+(($BG125+$BH125)/2*IF($G$1="牵丝",$AP125,$AN125)+IF($G$1="牵丝",$AQ125*1.5,0))*(1+$BI125)*(1+$BJ125)+(($BK125+$BL125)/2*IF($G$1="破竹",$AP125,$AN125)+IF($G$1="破竹",$AQ125*1.5,0))*(1+$BM125)*(1+$BN125))*(1+$AR125)*$BQ125*$Q125*(1+IF(VLOOKUP($R125,武学奇术!$A:$ZZ,30,FALSE)="蓄力技",$B$21,0))*(1+IF(VLOOKUP($R125,武学奇术!$A:$ZZ,30,FALSE)="派生技",$B$20,0))*(1+$BW125)*(1+$BX125)</f>
        <v>28897.4946267525</v>
      </c>
      <c r="N125" s="46">
        <f>(($AU125*$AN125+$AO125)*(1+$AV125)*(1+$AW125)+($AZ125*IF($G$1="鸣金",$AP125,$AN125)+IF($G$1="鸣金",$AQ125*1.5,0))*(1+$BA125)*(1+$BB125)+($BD125*IF($G$1="裂石",$AP125,$AN125)+IF($G$1="裂石",$AQ125*1.5,0))*(1+$BE125)*(1+$BF125)+($BH125*IF($G$1="牵丝",$AP125,$AN125)+IF($G$1="牵丝",$AQ125*1.5,0))*(1+$BI125)*(1+$BJ125)+($BL125*IF($G$1="破竹",$AP125,$AN125)+IF($G$1="破竹",$AQ125*1.5,0))*(1+$BM125)*(1+$BN125))*(1+$AR125)*$BS125*$Q125*(1+IF(VLOOKUP($R125,武学奇术!$A:$ZZ,30,FALSE)="蓄力技",$B$21,0))*(1+IF(VLOOKUP($R125,武学奇术!$A:$ZZ,30,FALSE)="派生技",$B$20,0))*(1+$BW125)*(1+$BX125)</f>
        <v>21922.2904387725</v>
      </c>
      <c r="O125" s="46">
        <f>((($AT125+$AU125)/2*$AN125+$AO125)*(1+$AV125)*(1+$AW125)+(($AY125+$AZ125)/2*IF($G$1="鸣金",$AP125,$AN125)+IF($G$1="鸣金",$AQ125*1.5,0))*(1+$BA125)*(1+$BB125)+(($BC125+$BD125)/2*IF($G$1="裂石",$AP125,$AN125)+IF($G$1="裂石",$AQ125*1.5,0))*(1+$BE125)*(1+$BF125)+(($BG125+$BH125)/2*IF($G$1="牵丝",$AP125,$AN125)+IF($G$1="牵丝",$AQ125*1.5,0))*(1+$BI125)*(1+$BJ125)+(($BK125+$BL125)/2*IF($G$1="破竹",$AP125,$AN125)+IF($G$1="破竹",$AQ125*1.5,0))*(1+$BM125)*(1+$BN125))*(1+$AR125)*$Q125*(1+IF(VLOOKUP($R125,武学奇术!$A:$ZZ,30,FALSE)="蓄力技",$B$21,0))*(1+IF(VLOOKUP($R125,武学奇术!$A:$ZZ,30,FALSE)="派生技",$B$20,0))*(1+$BW125)*(1+$BX125)</f>
        <v>14819.2280137192</v>
      </c>
      <c r="P125" s="46">
        <f>((($AT125*$AN125+$AO125)*(1+$AV125)*(1+$AW125)+($AY125*IF($G$1="鸣金",$AP125,$AN125)+IF($G$1="鸣金",$AQ125*1.5,0))*(1+$BA125)*(1+$BB125)+($BC125*IF($G$1="裂石",$AP125,$AN125)+IF($G$1="裂石",$AQ125*1.5,0))*(1+$BE125)*(1+$BF125)+($BG125*IF($G$1="牵丝",$AP125,$AN125)+IF($G$1="牵丝",$AQ125*1.5,0))*(1+$BI125)*(1+$BJ125)+($BK125*IF($G$1="破竹",$AP125,$AN125)+IF($G$1="破竹",$AQ125*1.5,0))*(1+$BM125)*(1+$BN125))*(1+$AR125))*$Q125*(1+IF(VLOOKUP($R125,武学奇术!$A:$ZZ,30,FALSE)="蓄力技",$B$21,0))*(1+IF(VLOOKUP($R125,武学奇术!$A:$ZZ,30,FALSE)="派生技",$B$20,0))*(1+$BW125)*(1+$BX125)</f>
        <v>13399.7223690885</v>
      </c>
      <c r="Q125" s="47">
        <v>1</v>
      </c>
      <c r="R125" s="48" t="s">
        <v>192</v>
      </c>
      <c r="S125" s="48" t="s">
        <v>99</v>
      </c>
      <c r="T125" s="48" t="s">
        <v>182</v>
      </c>
      <c r="U125" s="48" t="s">
        <v>79</v>
      </c>
      <c r="V125" s="48" t="s">
        <v>80</v>
      </c>
      <c r="W125" s="48" t="s">
        <v>91</v>
      </c>
      <c r="X125" s="48" t="s">
        <v>80</v>
      </c>
      <c r="Y125" s="48" t="s">
        <v>80</v>
      </c>
      <c r="Z125" s="48" t="s">
        <v>80</v>
      </c>
      <c r="AA125" s="48" t="s">
        <v>183</v>
      </c>
      <c r="AB125" s="48" t="s">
        <v>184</v>
      </c>
      <c r="AC125" s="48" t="s">
        <v>193</v>
      </c>
      <c r="AD125" s="48" t="s">
        <v>80</v>
      </c>
      <c r="AE125" s="48" t="s">
        <v>82</v>
      </c>
      <c r="AF125" s="48" t="s">
        <v>83</v>
      </c>
      <c r="AG125" s="48" t="s">
        <v>84</v>
      </c>
      <c r="AH125" s="48" t="s">
        <v>80</v>
      </c>
      <c r="AI125" s="48" t="s">
        <v>80</v>
      </c>
      <c r="AJ125" s="48" t="s">
        <v>80</v>
      </c>
      <c r="AK125" s="48" t="s">
        <v>80</v>
      </c>
      <c r="AL125" s="48" t="s">
        <v>85</v>
      </c>
      <c r="AM125" t="str">
        <f>VLOOKUP($R125,武学奇术!$A:$ZZ,25,FALSE)</f>
        <v>心法</v>
      </c>
      <c r="AN125" s="33">
        <f>VLOOKUP($R125,武学奇术!$A:$ZZ,26,FALSE)</f>
        <v>1</v>
      </c>
      <c r="AO125" s="34">
        <f>VLOOKUP($R125,武学奇术!$A:$ZZ,27,FALSE)*(1+IF(OR($AM125=$F$4,$AM125=$F$5),$B$22,0))</f>
        <v>0</v>
      </c>
      <c r="AP125" s="33">
        <f>VLOOKUP($R125,武学奇术!$A:$ZZ,28,FALSE)</f>
        <v>1</v>
      </c>
      <c r="AQ125" s="34">
        <f>VLOOKUP($R125,武学奇术!$A:$ZZ,29,FALSE)*(1+IF(OR($AM125=$F$4,$AM125=$F$5),$B$22,0))</f>
        <v>0</v>
      </c>
      <c r="AR125" s="33" cm="1">
        <f t="array" ref="AR125">$G$3+IFERROR(VLOOKUP($AM125,$F$4:$G$7,2,FALSE),0)+VLOOKUP($R125,武学奇术!$A:$ZZ,2,FALSE)+SUM(_xlfn.XLOOKUP($S125:$AL125,增益!$A:$A,增益!$B:$B,0))</f>
        <v>0.3642</v>
      </c>
      <c r="AS125" s="33" cm="1">
        <f t="array" ref="AS125">VLOOKUP($R125,武学奇术!$A:$ZZ,5,FALSE)+SUM(_xlfn.XLOOKUP($S125:$AL125,增益!$A:$A,增益!$E:$E,0))</f>
        <v>0</v>
      </c>
      <c r="AT125" cm="1">
        <f t="array" ref="AT125">$D$10*(1+$AS125)+VLOOKUP($R125,武学奇术!$A:$ZZ,3,FALSE)+SUM(_xlfn.XLOOKUP($S125:$AL125,增益!$A:$A,增益!$C:$C,0))-$I$2</f>
        <v>4094.7</v>
      </c>
      <c r="AU125" cm="1">
        <f t="array" ref="AU125">$E$10*(1+$AS125)+VLOOKUP($R125,武学奇术!$A:$ZZ,4,FALSE)+SUM(_xlfn.XLOOKUP($S125:$AL125,增益!$A:$A,增益!$D:$D,0))-$I$2</f>
        <v>4094.7</v>
      </c>
      <c r="AV125" s="40" cm="1">
        <f t="array" ref="AV125">IF($F$10-$I$3+VLOOKUP($R125,武学奇术!$A:$ZZ,6,FALSE)+SUM(_xlfn.XLOOKUP($S125:$AL125,增益!$A:$A,增益!$F:$F,0))&gt;0,($F$10-$I$3+VLOOKUP($R125,武学奇术!$A:$ZZ,6,FALSE)+SUM(_xlfn.XLOOKUP($S125:$AL125,增益!$A:$A,增益!$F:$F,0)))/200,($F$10-$I$3+VLOOKUP($R125,武学奇术!$A:$ZZ,6,FALSE)+SUM(_xlfn.XLOOKUP($S125:$AL125,增益!$A:$A,增益!$F:$F,0)))/100)</f>
        <v>0.4134</v>
      </c>
      <c r="AW125" s="40" cm="1">
        <f t="array" ref="AW125">$G$10+VLOOKUP($R125,武学奇术!$A:$ZZ,7,FALSE)+SUM(_xlfn.XLOOKUP($S125:$AL125,增益!$A:$A,增益!$G:$G,0))</f>
        <v>0.14</v>
      </c>
      <c r="AX125" s="33" cm="1">
        <f t="array" ref="AX125">VLOOKUP($R125,武学奇术!$A:$ZZ,8,FALSE)+SUM(_xlfn.XLOOKUP($S125:$AL125,增益!$A:$A,增益!$H:$H,0))</f>
        <v>0</v>
      </c>
      <c r="AY125">
        <f t="shared" si="44"/>
        <v>0</v>
      </c>
      <c r="AZ125">
        <f t="shared" si="45"/>
        <v>0</v>
      </c>
      <c r="BA125" s="40" cm="1">
        <f t="array" ref="BA125">IF($F$11-$I$4+VLOOKUP($R125,武学奇术!$A:$ZZ,9,FALSE)+SUM(_xlfn.XLOOKUP($S125:$AL125,增益!$A:$A,增益!$I:$I,0))&gt;0,($F$11-$I$4+VLOOKUP($R125,武学奇术!$A:$ZZ,9,FALSE)+SUM(_xlfn.XLOOKUP($S125:$AL125,增益!$A:$A,增益!$I:$I,0)))/200,($F$11-$I$4+VLOOKUP($R125,武学奇术!$A:$ZZ,9,FALSE)+SUM(_xlfn.XLOOKUP($S125:$AL125,增益!$A:$A,增益!$I:$I,0)))/100)</f>
        <v>-0.3</v>
      </c>
      <c r="BB125" s="40" cm="1">
        <f t="array" ref="BB125">$G$11+VLOOKUP($R125,武学奇术!$A:$ZZ,10,FALSE)+SUM(_xlfn.XLOOKUP($S125:$AL125,增益!$A:$A,增益!$J:$J,0))</f>
        <v>0.12</v>
      </c>
      <c r="BC125">
        <f t="shared" si="46"/>
        <v>640.3</v>
      </c>
      <c r="BD125">
        <f t="shared" si="47"/>
        <v>1770.1</v>
      </c>
      <c r="BE125" s="40" cm="1">
        <f t="array" ref="BE125">IF($F$12-$I$4+VLOOKUP($R125,武学奇术!$A:$ZZ,11,FALSE)+SUM(_xlfn.XLOOKUP($S125:$AL125,增益!$A:$A,增益!$K:$K,0))&gt;0,($F$12-$I$4+VLOOKUP($R125,武学奇术!$A:$ZZ,11,FALSE)+SUM(_xlfn.XLOOKUP($S125:$AL125,增益!$A:$A,增益!$K:$K,0)))/200,($F$12-$I$4+VLOOKUP($R125,武学奇术!$A:$ZZ,11,FALSE)+SUM(_xlfn.XLOOKUP($S125:$AL125,增益!$A:$A,增益!$K:$K,0)))/100)</f>
        <v>0.09</v>
      </c>
      <c r="BF125" s="40" cm="1">
        <f t="array" ref="BF125">$G$12+VLOOKUP($R125,武学奇术!$A:$ZZ,12,FALSE)+SUM(_xlfn.XLOOKUP($S125:$AL125,增益!$A:$A,增益!$L:$L,0))</f>
        <v>0.29</v>
      </c>
      <c r="BG125">
        <f t="shared" si="48"/>
        <v>0</v>
      </c>
      <c r="BH125">
        <f t="shared" si="49"/>
        <v>0</v>
      </c>
      <c r="BI125" s="40" cm="1">
        <f t="array" ref="BI125">IF($F$13-$I$4+VLOOKUP($R125,武学奇术!$A:$ZZ,13,FALSE)+SUM(_xlfn.XLOOKUP($S125:$AL125,增益!$A:$A,增益!$M:$M,0))&gt;0,($F$13-$I$4+VLOOKUP($R125,武学奇术!$A:$ZZ,13,FALSE)+SUM(_xlfn.XLOOKUP($S125:$AL125,增益!$A:$A,增益!$K:$K,0)))/200,($F$13-$I$4+VLOOKUP($R125,武学奇术!$A:$ZZ,13,FALSE)+SUM(_xlfn.XLOOKUP($S125:$AL125,增益!$A:$A,增益!$M:$M,0)))/100)</f>
        <v>-0.3</v>
      </c>
      <c r="BJ125" s="40" cm="1">
        <f t="array" ref="BJ125">$G$13+VLOOKUP($R125,武学奇术!$A:$ZZ,14,FALSE)+SUM(_xlfn.XLOOKUP($S125:$AL125,增益!$A:$A,增益!$N:$N,0))</f>
        <v>0.02</v>
      </c>
      <c r="BK125">
        <f t="shared" si="50"/>
        <v>0</v>
      </c>
      <c r="BL125">
        <f t="shared" si="51"/>
        <v>0</v>
      </c>
      <c r="BM125" s="40" cm="1">
        <f t="array" ref="BM125">IF($F$14-$I$4+VLOOKUP($R125,武学奇术!$A:$ZZ,15,FALSE)+SUM(_xlfn.XLOOKUP($S125:$AL125,增益!$A:$A,增益!$O:$O,0))&gt;0,($F$14-$I$4+VLOOKUP($R125,武学奇术!$A:$ZZ,15,FALSE)+SUM(_xlfn.XLOOKUP($S125:$AL125,增益!$A:$A,增益!$O:$O,0)))/200,($F$14-$I$4+VLOOKUP($R125,武学奇术!$A:$ZZ,15,FALSE)+SUM(_xlfn.XLOOKUP($S125:$AL125,增益!$A:$A,增益!$O:$O,0)))/100)</f>
        <v>-0.3</v>
      </c>
      <c r="BN125" s="40" cm="1">
        <f t="array" ref="BN125">$G$14+VLOOKUP($R125,武学奇术!$A:$ZZ,16,FALSE)+SUM(_xlfn.XLOOKUP($S125:$AL125,增益!$A:$A,增益!$P:$P,0))</f>
        <v>0.02</v>
      </c>
      <c r="BO125" s="33">
        <f>MIN(IF(VLOOKUP($R125,武学奇术!$A:$ZZ,23,FALSE)=1,100%,$B$8),100%)</f>
        <v>0.9771</v>
      </c>
      <c r="BP125" s="33" cm="1">
        <f t="array" ref="BP125">IF(VLOOKUP($R125,武学奇术!$A:$ZZ,23,FALSE)=1,100%,MIN(80%,$B$9+VLOOKUP($R125,武学奇术!$A:$ZZ,17,FALSE)+SUM(_xlfn.XLOOKUP($S125:$AL125,增益!$A:$A,增益!$Q:$Q,0)))+$B$11+SUM(_xlfn.XLOOKUP($S125:$AL125,增益!$A:$A,增益!$U:$U,0)))*IF(VLOOKUP($R125,武学奇术!$A:$ZZ,24,FALSE)=1,0,1)</f>
        <v>0.8861</v>
      </c>
      <c r="BQ125" s="33" cm="1">
        <f t="array" ref="BQ125">1+$B$13+VLOOKUP($R125,武学奇术!$A:$ZZ,18,FALSE)+SUM(_xlfn.XLOOKUP($S125:$AL125,增益!$A:$A,增益!$R:$R,0))</f>
        <v>1.95</v>
      </c>
      <c r="BR125" s="33" cm="1">
        <f t="array" ref="BR125">IF(VLOOKUP($R125,武学奇术!$A:$ZZ,24,FALSE)=1,100%,MIN(40%,$B$10+VLOOKUP($R125,武学奇术!$A:$ZZ,19,FALSE)+SUM(_xlfn.XLOOKUP($S125:$AL125,增益!$A:$A,增益!$S:$S,0)))+$B$12+SUM(_xlfn.XLOOKUP($S125:$AL125,增益!$A:$A,增益!$V:$V,0)))*IF(VLOOKUP($R125,武学奇术!$A:$ZZ,23,FALSE)=1,0,1)</f>
        <v>0.0913</v>
      </c>
      <c r="BS125" s="33" cm="1">
        <f t="array" ref="BS125">1+$B$14+VLOOKUP($R125,武学奇术!$A:$ZZ,20,FALSE)+SUM(_xlfn.XLOOKUP($S125:$AL125,增益!$A:$A,增益!$T:$T,0))</f>
        <v>1.35</v>
      </c>
      <c r="BT125" s="33">
        <f t="shared" si="52"/>
        <v>0.86580831</v>
      </c>
      <c r="BU125" s="33">
        <f t="shared" si="53"/>
        <v>0.02208246</v>
      </c>
      <c r="BV125" s="33">
        <f>IF(VLOOKUP($R125,武学奇术!$A:$ZZ,22,FALSE)=1,0,(1-$BO125))*(1-$BR125)</f>
        <v>0.02080923</v>
      </c>
      <c r="BW125" s="33" cm="1">
        <f t="array" ref="BW125">SUM(_xlfn.XLOOKUP($S125:$AL125,增益!$A:$A,增益!$W:$W,0))+$I$5</f>
        <v>0.31</v>
      </c>
      <c r="BX125" s="33" cm="1">
        <f t="array" ref="BX125">VLOOKUP($R125,武学奇术!$A:$ZZ,32,FALSE)+SUM(_xlfn.XLOOKUP($S125:$AL125,增益!$A:$A,增益!$X:$X,0))</f>
        <v>0</v>
      </c>
    </row>
    <row r="126" spans="1:76">
      <c r="A126" t="s">
        <v>164</v>
      </c>
      <c r="B126">
        <v>1</v>
      </c>
      <c r="E126" s="47"/>
      <c r="L126" s="46">
        <f t="shared" si="54"/>
        <v>23409.373824108</v>
      </c>
      <c r="M126" s="46">
        <f>((($AT126+$AU126)/2*$AN126+$AO126)*(1+$AV126)*(1+$AW126)+(($AY126+$AZ126)/2*IF($G$1="鸣金",$AP126,$AN126)+IF($G$1="鸣金",$AQ126*1.5,0))*(1+$BA126)*(1+$BB126)+(($BC126+$BD126)/2*IF($G$1="裂石",$AP126,$AN126)+IF($G$1="裂石",$AQ126*1.5,0))*(1+$BE126)*(1+$BF126)+(($BG126+$BH126)/2*IF($G$1="牵丝",$AP126,$AN126)+IF($G$1="牵丝",$AQ126*1.5,0))*(1+$BI126)*(1+$BJ126)+(($BK126+$BL126)/2*IF($G$1="破竹",$AP126,$AN126)+IF($G$1="破竹",$AQ126*1.5,0))*(1+$BM126)*(1+$BN126))*(1+$AR126)*$BQ126*$Q126*(1+IF(VLOOKUP($R126,武学奇术!$A:$ZZ,30,FALSE)="蓄力技",$B$21,0))*(1+IF(VLOOKUP($R126,武学奇术!$A:$ZZ,30,FALSE)="派生技",$B$20,0))*(1+$BW126)*(1+$BX126)</f>
        <v>24485.6633860269</v>
      </c>
      <c r="N126" s="46">
        <f>(($AU126*$AN126+$AO126)*(1+$AV126)*(1+$AW126)+($AZ126*IF($G$1="鸣金",$AP126,$AN126)+IF($G$1="鸣金",$AQ126*1.5,0))*(1+$BA126)*(1+$BB126)+($BD126*IF($G$1="裂石",$AP126,$AN126)+IF($G$1="裂石",$AQ126*1.5,0))*(1+$BE126)*(1+$BF126)+($BH126*IF($G$1="牵丝",$AP126,$AN126)+IF($G$1="牵丝",$AQ126*1.5,0))*(1+$BI126)*(1+$BJ126)+($BL126*IF($G$1="破竹",$AP126,$AN126)+IF($G$1="破竹",$AQ126*1.5,0))*(1+$BM126)*(1+$BN126))*(1+$AR126)*$BS126*$Q126*(1+IF(VLOOKUP($R126,武学奇术!$A:$ZZ,30,FALSE)="蓄力技",$B$21,0))*(1+IF(VLOOKUP($R126,武学奇术!$A:$ZZ,30,FALSE)="派生技",$B$20,0))*(1+$BW126)*(1+$BX126)</f>
        <v>18575.3758679676</v>
      </c>
      <c r="O126" s="46">
        <f>((($AT126+$AU126)/2*$AN126+$AO126)*(1+$AV126)*(1+$AW126)+(($AY126+$AZ126)/2*IF($G$1="鸣金",$AP126,$AN126)+IF($G$1="鸣金",$AQ126*1.5,0))*(1+$BA126)*(1+$BB126)+(($BC126+$BD126)/2*IF($G$1="裂石",$AP126,$AN126)+IF($G$1="裂石",$AQ126*1.5,0))*(1+$BE126)*(1+$BF126)+(($BG126+$BH126)/2*IF($G$1="牵丝",$AP126,$AN126)+IF($G$1="牵丝",$AQ126*1.5,0))*(1+$BI126)*(1+$BJ126)+(($BK126+$BL126)/2*IF($G$1="破竹",$AP126,$AN126)+IF($G$1="破竹",$AQ126*1.5,0))*(1+$BM126)*(1+$BN126))*(1+$AR126)*$Q126*(1+IF(VLOOKUP($R126,武学奇术!$A:$ZZ,30,FALSE)="蓄力技",$B$21,0))*(1+IF(VLOOKUP($R126,武学奇术!$A:$ZZ,30,FALSE)="派生技",$B$20,0))*(1+$BW126)*(1+$BX126)</f>
        <v>12556.7504543728</v>
      </c>
      <c r="P126" s="46">
        <f>((($AT126*$AN126+$AO126)*(1+$AV126)*(1+$AW126)+($AY126*IF($G$1="鸣金",$AP126,$AN126)+IF($G$1="鸣金",$AQ126*1.5,0))*(1+$BA126)*(1+$BB126)+($BC126*IF($G$1="裂石",$AP126,$AN126)+IF($G$1="裂石",$AQ126*1.5,0))*(1+$BE126)*(1+$BF126)+($BG126*IF($G$1="牵丝",$AP126,$AN126)+IF($G$1="牵丝",$AQ126*1.5,0))*(1+$BI126)*(1+$BJ126)+($BK126*IF($G$1="破竹",$AP126,$AN126)+IF($G$1="破竹",$AQ126*1.5,0))*(1+$BM126)*(1+$BN126))*(1+$AR126))*$Q126*(1+IF(VLOOKUP($R126,武学奇术!$A:$ZZ,30,FALSE)="蓄力技",$B$21,0))*(1+IF(VLOOKUP($R126,武学奇术!$A:$ZZ,30,FALSE)="派生技",$B$20,0))*(1+$BW126)*(1+$BX126)</f>
        <v>11353.9632287696</v>
      </c>
      <c r="Q126" s="47">
        <v>1</v>
      </c>
      <c r="R126" s="48" t="s">
        <v>192</v>
      </c>
      <c r="S126" s="48" t="s">
        <v>99</v>
      </c>
      <c r="T126" s="48" t="s">
        <v>182</v>
      </c>
      <c r="U126" s="48" t="s">
        <v>79</v>
      </c>
      <c r="V126" s="48" t="s">
        <v>80</v>
      </c>
      <c r="W126" s="48" t="s">
        <v>91</v>
      </c>
      <c r="X126" s="48" t="s">
        <v>80</v>
      </c>
      <c r="Y126" s="48" t="s">
        <v>80</v>
      </c>
      <c r="Z126" s="48" t="s">
        <v>80</v>
      </c>
      <c r="AA126" s="48" t="s">
        <v>80</v>
      </c>
      <c r="AB126" s="48" t="s">
        <v>80</v>
      </c>
      <c r="AC126" s="48" t="s">
        <v>80</v>
      </c>
      <c r="AD126" s="48" t="s">
        <v>80</v>
      </c>
      <c r="AE126" s="48" t="s">
        <v>82</v>
      </c>
      <c r="AF126" s="48" t="s">
        <v>83</v>
      </c>
      <c r="AG126" s="48" t="s">
        <v>84</v>
      </c>
      <c r="AH126" s="48" t="s">
        <v>80</v>
      </c>
      <c r="AI126" s="48" t="s">
        <v>80</v>
      </c>
      <c r="AJ126" s="48" t="s">
        <v>80</v>
      </c>
      <c r="AK126" s="48" t="s">
        <v>80</v>
      </c>
      <c r="AL126" s="48" t="s">
        <v>85</v>
      </c>
      <c r="AM126" t="str">
        <f>VLOOKUP($R126,武学奇术!$A:$ZZ,25,FALSE)</f>
        <v>心法</v>
      </c>
      <c r="AN126" s="33">
        <f>VLOOKUP($R126,武学奇术!$A:$ZZ,26,FALSE)</f>
        <v>1</v>
      </c>
      <c r="AO126" s="34">
        <f>VLOOKUP($R126,武学奇术!$A:$ZZ,27,FALSE)*(1+IF(OR($AM126=$F$4,$AM126=$F$5),$B$22,0))</f>
        <v>0</v>
      </c>
      <c r="AP126" s="33">
        <f>VLOOKUP($R126,武学奇术!$A:$ZZ,28,FALSE)</f>
        <v>1</v>
      </c>
      <c r="AQ126" s="34">
        <f>VLOOKUP($R126,武学奇术!$A:$ZZ,29,FALSE)*(1+IF(OR($AM126=$F$4,$AM126=$F$5),$B$22,0))</f>
        <v>0</v>
      </c>
      <c r="AR126" s="33" cm="1">
        <f t="array" ref="AR126">$G$3+IFERROR(VLOOKUP($AM126,$F$4:$G$7,2,FALSE),0)+VLOOKUP($R126,武学奇术!$A:$ZZ,2,FALSE)+SUM(_xlfn.XLOOKUP($S126:$AL126,增益!$A:$A,增益!$B:$B,0))</f>
        <v>0.3642</v>
      </c>
      <c r="AS126" s="33" cm="1">
        <f t="array" ref="AS126">VLOOKUP($R126,武学奇术!$A:$ZZ,5,FALSE)+SUM(_xlfn.XLOOKUP($S126:$AL126,增益!$A:$A,增益!$E:$E,0))</f>
        <v>0</v>
      </c>
      <c r="AT126" cm="1">
        <f t="array" ref="AT126">$D$10*(1+$AS126)+VLOOKUP($R126,武学奇术!$A:$ZZ,3,FALSE)+SUM(_xlfn.XLOOKUP($S126:$AL126,增益!$A:$A,增益!$C:$C,0))-$I$2</f>
        <v>4094.7</v>
      </c>
      <c r="AU126" cm="1">
        <f t="array" ref="AU126">$E$10*(1+$AS126)+VLOOKUP($R126,武学奇术!$A:$ZZ,4,FALSE)+SUM(_xlfn.XLOOKUP($S126:$AL126,增益!$A:$A,增益!$D:$D,0))-$I$2</f>
        <v>4094.7</v>
      </c>
      <c r="AV126" s="40" cm="1">
        <f t="array" ref="AV126">IF($F$10-$I$3+VLOOKUP($R126,武学奇术!$A:$ZZ,6,FALSE)+SUM(_xlfn.XLOOKUP($S126:$AL126,增益!$A:$A,增益!$F:$F,0))&gt;0,($F$10-$I$3+VLOOKUP($R126,武学奇术!$A:$ZZ,6,FALSE)+SUM(_xlfn.XLOOKUP($S126:$AL126,增益!$A:$A,增益!$F:$F,0)))/200,($F$10-$I$3+VLOOKUP($R126,武学奇术!$A:$ZZ,6,FALSE)+SUM(_xlfn.XLOOKUP($S126:$AL126,增益!$A:$A,增益!$F:$F,0)))/100)</f>
        <v>0.4134</v>
      </c>
      <c r="AW126" s="40" cm="1">
        <f t="array" ref="AW126">$G$10+VLOOKUP($R126,武学奇术!$A:$ZZ,7,FALSE)+SUM(_xlfn.XLOOKUP($S126:$AL126,增益!$A:$A,增益!$G:$G,0))</f>
        <v>0.14</v>
      </c>
      <c r="AX126" s="33" cm="1">
        <f t="array" ref="AX126">VLOOKUP($R126,武学奇术!$A:$ZZ,8,FALSE)+SUM(_xlfn.XLOOKUP($S126:$AL126,增益!$A:$A,增益!$H:$H,0))</f>
        <v>0</v>
      </c>
      <c r="AY126">
        <f t="shared" si="44"/>
        <v>0</v>
      </c>
      <c r="AZ126">
        <f t="shared" si="45"/>
        <v>0</v>
      </c>
      <c r="BA126" s="40" cm="1">
        <f t="array" ref="BA126">IF($F$11-$I$4+VLOOKUP($R126,武学奇术!$A:$ZZ,9,FALSE)+SUM(_xlfn.XLOOKUP($S126:$AL126,增益!$A:$A,增益!$I:$I,0))&gt;0,($F$11-$I$4+VLOOKUP($R126,武学奇术!$A:$ZZ,9,FALSE)+SUM(_xlfn.XLOOKUP($S126:$AL126,增益!$A:$A,增益!$I:$I,0)))/200,($F$11-$I$4+VLOOKUP($R126,武学奇术!$A:$ZZ,9,FALSE)+SUM(_xlfn.XLOOKUP($S126:$AL126,增益!$A:$A,增益!$I:$I,0)))/100)</f>
        <v>-0.3</v>
      </c>
      <c r="BB126" s="40" cm="1">
        <f t="array" ref="BB126">$G$11+VLOOKUP($R126,武学奇术!$A:$ZZ,10,FALSE)+SUM(_xlfn.XLOOKUP($S126:$AL126,增益!$A:$A,增益!$J:$J,0))</f>
        <v>0.02</v>
      </c>
      <c r="BC126">
        <f t="shared" si="46"/>
        <v>640.3</v>
      </c>
      <c r="BD126">
        <f t="shared" si="47"/>
        <v>1770.1</v>
      </c>
      <c r="BE126" s="40" cm="1">
        <f t="array" ref="BE126">IF($F$12-$I$4+VLOOKUP($R126,武学奇术!$A:$ZZ,11,FALSE)+SUM(_xlfn.XLOOKUP($S126:$AL126,增益!$A:$A,增益!$K:$K,0))&gt;0,($F$12-$I$4+VLOOKUP($R126,武学奇术!$A:$ZZ,11,FALSE)+SUM(_xlfn.XLOOKUP($S126:$AL126,增益!$A:$A,增益!$K:$K,0)))/200,($F$12-$I$4+VLOOKUP($R126,武学奇术!$A:$ZZ,11,FALSE)+SUM(_xlfn.XLOOKUP($S126:$AL126,增益!$A:$A,增益!$K:$K,0)))/100)</f>
        <v>0.09</v>
      </c>
      <c r="BF126" s="40" cm="1">
        <f t="array" ref="BF126">$G$12+VLOOKUP($R126,武学奇术!$A:$ZZ,12,FALSE)+SUM(_xlfn.XLOOKUP($S126:$AL126,增益!$A:$A,增益!$L:$L,0))</f>
        <v>0.29</v>
      </c>
      <c r="BG126">
        <f t="shared" si="48"/>
        <v>0</v>
      </c>
      <c r="BH126">
        <f t="shared" si="49"/>
        <v>0</v>
      </c>
      <c r="BI126" s="40" cm="1">
        <f t="array" ref="BI126">IF($F$13-$I$4+VLOOKUP($R126,武学奇术!$A:$ZZ,13,FALSE)+SUM(_xlfn.XLOOKUP($S126:$AL126,增益!$A:$A,增益!$M:$M,0))&gt;0,($F$13-$I$4+VLOOKUP($R126,武学奇术!$A:$ZZ,13,FALSE)+SUM(_xlfn.XLOOKUP($S126:$AL126,增益!$A:$A,增益!$K:$K,0)))/200,($F$13-$I$4+VLOOKUP($R126,武学奇术!$A:$ZZ,13,FALSE)+SUM(_xlfn.XLOOKUP($S126:$AL126,增益!$A:$A,增益!$M:$M,0)))/100)</f>
        <v>-0.3</v>
      </c>
      <c r="BJ126" s="40" cm="1">
        <f t="array" ref="BJ126">$G$13+VLOOKUP($R126,武学奇术!$A:$ZZ,14,FALSE)+SUM(_xlfn.XLOOKUP($S126:$AL126,增益!$A:$A,增益!$N:$N,0))</f>
        <v>0.02</v>
      </c>
      <c r="BK126">
        <f t="shared" si="50"/>
        <v>0</v>
      </c>
      <c r="BL126">
        <f t="shared" si="51"/>
        <v>0</v>
      </c>
      <c r="BM126" s="40" cm="1">
        <f t="array" ref="BM126">IF($F$14-$I$4+VLOOKUP($R126,武学奇术!$A:$ZZ,15,FALSE)+SUM(_xlfn.XLOOKUP($S126:$AL126,增益!$A:$A,增益!$O:$O,0))&gt;0,($F$14-$I$4+VLOOKUP($R126,武学奇术!$A:$ZZ,15,FALSE)+SUM(_xlfn.XLOOKUP($S126:$AL126,增益!$A:$A,增益!$O:$O,0)))/200,($F$14-$I$4+VLOOKUP($R126,武学奇术!$A:$ZZ,15,FALSE)+SUM(_xlfn.XLOOKUP($S126:$AL126,增益!$A:$A,增益!$O:$O,0)))/100)</f>
        <v>-0.3</v>
      </c>
      <c r="BN126" s="40" cm="1">
        <f t="array" ref="BN126">$G$14+VLOOKUP($R126,武学奇术!$A:$ZZ,16,FALSE)+SUM(_xlfn.XLOOKUP($S126:$AL126,增益!$A:$A,增益!$P:$P,0))</f>
        <v>0.02</v>
      </c>
      <c r="BO126" s="33">
        <f>MIN(IF(VLOOKUP($R126,武学奇术!$A:$ZZ,23,FALSE)=1,100%,$B$8),100%)</f>
        <v>0.9771</v>
      </c>
      <c r="BP126" s="33" cm="1">
        <f t="array" ref="BP126">IF(VLOOKUP($R126,武学奇术!$A:$ZZ,23,FALSE)=1,100%,MIN(80%,$B$9+VLOOKUP($R126,武学奇术!$A:$ZZ,17,FALSE)+SUM(_xlfn.XLOOKUP($S126:$AL126,增益!$A:$A,增益!$Q:$Q,0)))+$B$11+SUM(_xlfn.XLOOKUP($S126:$AL126,增益!$A:$A,增益!$U:$U,0)))*IF(VLOOKUP($R126,武学奇术!$A:$ZZ,24,FALSE)=1,0,1)</f>
        <v>0.8861</v>
      </c>
      <c r="BQ126" s="33" cm="1">
        <f t="array" ref="BQ126">1+$B$13+VLOOKUP($R126,武学奇术!$A:$ZZ,18,FALSE)+SUM(_xlfn.XLOOKUP($S126:$AL126,增益!$A:$A,增益!$R:$R,0))</f>
        <v>1.95</v>
      </c>
      <c r="BR126" s="33" cm="1">
        <f t="array" ref="BR126">IF(VLOOKUP($R126,武学奇术!$A:$ZZ,24,FALSE)=1,100%,MIN(40%,$B$10+VLOOKUP($R126,武学奇术!$A:$ZZ,19,FALSE)+SUM(_xlfn.XLOOKUP($S126:$AL126,增益!$A:$A,增益!$S:$S,0)))+$B$12+SUM(_xlfn.XLOOKUP($S126:$AL126,增益!$A:$A,增益!$V:$V,0)))*IF(VLOOKUP($R126,武学奇术!$A:$ZZ,23,FALSE)=1,0,1)</f>
        <v>0.0913</v>
      </c>
      <c r="BS126" s="33" cm="1">
        <f t="array" ref="BS126">1+$B$14+VLOOKUP($R126,武学奇术!$A:$ZZ,20,FALSE)+SUM(_xlfn.XLOOKUP($S126:$AL126,增益!$A:$A,增益!$T:$T,0))</f>
        <v>1.35</v>
      </c>
      <c r="BT126" s="33">
        <f t="shared" si="52"/>
        <v>0.86580831</v>
      </c>
      <c r="BU126" s="33">
        <f t="shared" si="53"/>
        <v>0.02208246</v>
      </c>
      <c r="BV126" s="33">
        <f>IF(VLOOKUP($R126,武学奇术!$A:$ZZ,22,FALSE)=1,0,(1-$BO126))*(1-$BR126)</f>
        <v>0.02080923</v>
      </c>
      <c r="BW126" s="33" cm="1">
        <f t="array" ref="BW126">SUM(_xlfn.XLOOKUP($S126:$AL126,增益!$A:$A,增益!$W:$W,0))+$I$5</f>
        <v>0.11</v>
      </c>
      <c r="BX126" s="33" cm="1">
        <f t="array" ref="BX126">VLOOKUP($R126,武学奇术!$A:$ZZ,32,FALSE)+SUM(_xlfn.XLOOKUP($S126:$AL126,增益!$A:$A,增益!$X:$X,0))</f>
        <v>0</v>
      </c>
    </row>
    <row r="127" spans="1:76">
      <c r="A127" s="4" t="s">
        <v>189</v>
      </c>
      <c r="B127" s="4">
        <v>0.8</v>
      </c>
      <c r="D127" s="47" t="s">
        <v>167</v>
      </c>
      <c r="E127" s="47"/>
      <c r="L127" s="46">
        <f t="shared" si="54"/>
        <v>0</v>
      </c>
      <c r="M127" s="46">
        <f>((($AT127+$AU127)/2*$AN127+$AO127)*(1+$AV127)*(1+$AW127)+(($AY127+$AZ127)/2*IF($G$1="鸣金",$AP127,$AN127)+IF($G$1="鸣金",$AQ127*1.5,0))*(1+$BA127)*(1+$BB127)+(($BC127+$BD127)/2*IF($G$1="裂石",$AP127,$AN127)+IF($G$1="裂石",$AQ127*1.5,0))*(1+$BE127)*(1+$BF127)+(($BG127+$BH127)/2*IF($G$1="牵丝",$AP127,$AN127)+IF($G$1="牵丝",$AQ127*1.5,0))*(1+$BI127)*(1+$BJ127)+(($BK127+$BL127)/2*IF($G$1="破竹",$AP127,$AN127)+IF($G$1="破竹",$AQ127*1.5,0))*(1+$BM127)*(1+$BN127))*(1+$AR127)*$BQ127*$Q127*(1+IF(VLOOKUP($R127,武学奇术!$A:$ZZ,30,FALSE)="蓄力技",$B$21,0))*(1+IF(VLOOKUP($R127,武学奇术!$A:$ZZ,30,FALSE)="派生技",$B$20,0))*(1+$BW127)*(1+$BX127)</f>
        <v>0</v>
      </c>
      <c r="N127" s="46">
        <f>(($AU127*$AN127+$AO127)*(1+$AV127)*(1+$AW127)+($AZ127*IF($G$1="鸣金",$AP127,$AN127)+IF($G$1="鸣金",$AQ127*1.5,0))*(1+$BA127)*(1+$BB127)+($BD127*IF($G$1="裂石",$AP127,$AN127)+IF($G$1="裂石",$AQ127*1.5,0))*(1+$BE127)*(1+$BF127)+($BH127*IF($G$1="牵丝",$AP127,$AN127)+IF($G$1="牵丝",$AQ127*1.5,0))*(1+$BI127)*(1+$BJ127)+($BL127*IF($G$1="破竹",$AP127,$AN127)+IF($G$1="破竹",$AQ127*1.5,0))*(1+$BM127)*(1+$BN127))*(1+$AR127)*$BS127*$Q127*(1+IF(VLOOKUP($R127,武学奇术!$A:$ZZ,30,FALSE)="蓄力技",$B$21,0))*(1+IF(VLOOKUP($R127,武学奇术!$A:$ZZ,30,FALSE)="派生技",$B$20,0))*(1+$BW127)*(1+$BX127)</f>
        <v>0</v>
      </c>
      <c r="O127" s="46">
        <f>((($AT127+$AU127)/2*$AN127+$AO127)*(1+$AV127)*(1+$AW127)+(($AY127+$AZ127)/2*IF($G$1="鸣金",$AP127,$AN127)+IF($G$1="鸣金",$AQ127*1.5,0))*(1+$BA127)*(1+$BB127)+(($BC127+$BD127)/2*IF($G$1="裂石",$AP127,$AN127)+IF($G$1="裂石",$AQ127*1.5,0))*(1+$BE127)*(1+$BF127)+(($BG127+$BH127)/2*IF($G$1="牵丝",$AP127,$AN127)+IF($G$1="牵丝",$AQ127*1.5,0))*(1+$BI127)*(1+$BJ127)+(($BK127+$BL127)/2*IF($G$1="破竹",$AP127,$AN127)+IF($G$1="破竹",$AQ127*1.5,0))*(1+$BM127)*(1+$BN127))*(1+$AR127)*$Q127*(1+IF(VLOOKUP($R127,武学奇术!$A:$ZZ,30,FALSE)="蓄力技",$B$21,0))*(1+IF(VLOOKUP($R127,武学奇术!$A:$ZZ,30,FALSE)="派生技",$B$20,0))*(1+$BW127)*(1+$BX127)</f>
        <v>0</v>
      </c>
      <c r="P127" s="46">
        <f>((($AT127*$AN127+$AO127)*(1+$AV127)*(1+$AW127)+($AY127*IF($G$1="鸣金",$AP127,$AN127)+IF($G$1="鸣金",$AQ127*1.5,0))*(1+$BA127)*(1+$BB127)+($BC127*IF($G$1="裂石",$AP127,$AN127)+IF($G$1="裂石",$AQ127*1.5,0))*(1+$BE127)*(1+$BF127)+($BG127*IF($G$1="牵丝",$AP127,$AN127)+IF($G$1="牵丝",$AQ127*1.5,0))*(1+$BI127)*(1+$BJ127)+($BK127*IF($G$1="破竹",$AP127,$AN127)+IF($G$1="破竹",$AQ127*1.5,0))*(1+$BM127)*(1+$BN127))*(1+$AR127))*$Q127*(1+IF(VLOOKUP($R127,武学奇术!$A:$ZZ,30,FALSE)="蓄力技",$B$21,0))*(1+IF(VLOOKUP($R127,武学奇术!$A:$ZZ,30,FALSE)="派生技",$B$20,0))*(1+$BW127)*(1+$BX127)</f>
        <v>0</v>
      </c>
      <c r="Q127" s="47">
        <v>1</v>
      </c>
      <c r="R127" s="48" t="s">
        <v>80</v>
      </c>
      <c r="S127" s="48" t="s">
        <v>80</v>
      </c>
      <c r="T127" s="48" t="s">
        <v>80</v>
      </c>
      <c r="U127" s="48" t="s">
        <v>80</v>
      </c>
      <c r="V127" s="48" t="s">
        <v>80</v>
      </c>
      <c r="W127" s="48" t="s">
        <v>80</v>
      </c>
      <c r="X127" s="48" t="s">
        <v>80</v>
      </c>
      <c r="Y127" s="48" t="s">
        <v>80</v>
      </c>
      <c r="Z127" s="48" t="s">
        <v>80</v>
      </c>
      <c r="AA127" s="48" t="s">
        <v>80</v>
      </c>
      <c r="AB127" s="48" t="s">
        <v>80</v>
      </c>
      <c r="AC127" s="48" t="s">
        <v>80</v>
      </c>
      <c r="AD127" s="48" t="s">
        <v>80</v>
      </c>
      <c r="AE127" s="48" t="s">
        <v>82</v>
      </c>
      <c r="AF127" s="48" t="s">
        <v>83</v>
      </c>
      <c r="AG127" s="48" t="s">
        <v>84</v>
      </c>
      <c r="AH127" s="48" t="s">
        <v>80</v>
      </c>
      <c r="AI127" s="48" t="s">
        <v>80</v>
      </c>
      <c r="AJ127" s="48" t="s">
        <v>80</v>
      </c>
      <c r="AK127" s="48" t="s">
        <v>80</v>
      </c>
      <c r="AL127" s="48" t="s">
        <v>85</v>
      </c>
      <c r="AM127" t="str">
        <f>VLOOKUP($R127,武学奇术!$A:$ZZ,25,FALSE)</f>
        <v>心法</v>
      </c>
      <c r="AN127" s="33">
        <f>VLOOKUP($R127,武学奇术!$A:$ZZ,26,FALSE)</f>
        <v>0</v>
      </c>
      <c r="AO127" s="34">
        <f>VLOOKUP($R127,武学奇术!$A:$ZZ,27,FALSE)*(1+IF(OR($AM127=$F$4,$AM127=$F$5),$B$22,0))</f>
        <v>0</v>
      </c>
      <c r="AP127" s="33">
        <f>VLOOKUP($R127,武学奇术!$A:$ZZ,28,FALSE)</f>
        <v>0</v>
      </c>
      <c r="AQ127" s="34">
        <f>VLOOKUP($R127,武学奇术!$A:$ZZ,29,FALSE)*(1+IF(OR($AM127=$F$4,$AM127=$F$5),$B$22,0))</f>
        <v>0</v>
      </c>
      <c r="AR127" s="33" cm="1">
        <f t="array" ref="AR127">$G$3+IFERROR(VLOOKUP($AM127,$F$4:$G$7,2,FALSE),0)+VLOOKUP($R127,武学奇术!$A:$ZZ,2,FALSE)+SUM(_xlfn.XLOOKUP($S127:$AL127,增益!$A:$A,增益!$B:$B,0))</f>
        <v>0.3142</v>
      </c>
      <c r="AS127" s="33" cm="1">
        <f t="array" ref="AS127">VLOOKUP($R127,武学奇术!$A:$ZZ,5,FALSE)+SUM(_xlfn.XLOOKUP($S127:$AL127,增益!$A:$A,增益!$E:$E,0))</f>
        <v>0</v>
      </c>
      <c r="AT127" cm="1">
        <f t="array" ref="AT127">$D$10*(1+$AS127)+VLOOKUP($R127,武学奇术!$A:$ZZ,3,FALSE)+SUM(_xlfn.XLOOKUP($S127:$AL127,增益!$A:$A,增益!$C:$C,0))-$I$2</f>
        <v>4094.7</v>
      </c>
      <c r="AU127" cm="1">
        <f t="array" ref="AU127">$E$10*(1+$AS127)+VLOOKUP($R127,武学奇术!$A:$ZZ,4,FALSE)+SUM(_xlfn.XLOOKUP($S127:$AL127,增益!$A:$A,增益!$D:$D,0))-$I$2</f>
        <v>4094.7</v>
      </c>
      <c r="AV127" s="40" cm="1">
        <f t="array" ref="AV127">IF($F$10-$I$3+VLOOKUP($R127,武学奇术!$A:$ZZ,6,FALSE)+SUM(_xlfn.XLOOKUP($S127:$AL127,增益!$A:$A,增益!$F:$F,0))&gt;0,($F$10-$I$3+VLOOKUP($R127,武学奇术!$A:$ZZ,6,FALSE)+SUM(_xlfn.XLOOKUP($S127:$AL127,增益!$A:$A,增益!$F:$F,0)))/200,($F$10-$I$3+VLOOKUP($R127,武学奇术!$A:$ZZ,6,FALSE)+SUM(_xlfn.XLOOKUP($S127:$AL127,增益!$A:$A,增益!$F:$F,0)))/100)</f>
        <v>0.3134</v>
      </c>
      <c r="AW127" s="40" cm="1">
        <f t="array" ref="AW127">$G$10+VLOOKUP($R127,武学奇术!$A:$ZZ,7,FALSE)+SUM(_xlfn.XLOOKUP($S127:$AL127,增益!$A:$A,增益!$G:$G,0))</f>
        <v>0.02</v>
      </c>
      <c r="AX127" s="33" cm="1">
        <f t="array" ref="AX127">VLOOKUP($R127,武学奇术!$A:$ZZ,8,FALSE)+SUM(_xlfn.XLOOKUP($S127:$AL127,增益!$A:$A,增益!$H:$H,0))</f>
        <v>0</v>
      </c>
      <c r="AY127">
        <f t="shared" si="44"/>
        <v>0</v>
      </c>
      <c r="AZ127">
        <f t="shared" si="45"/>
        <v>0</v>
      </c>
      <c r="BA127" s="40" cm="1">
        <f t="array" ref="BA127">IF($F$11-$I$4+VLOOKUP($R127,武学奇术!$A:$ZZ,9,FALSE)+SUM(_xlfn.XLOOKUP($S127:$AL127,增益!$A:$A,增益!$I:$I,0))&gt;0,($F$11-$I$4+VLOOKUP($R127,武学奇术!$A:$ZZ,9,FALSE)+SUM(_xlfn.XLOOKUP($S127:$AL127,增益!$A:$A,增益!$I:$I,0)))/200,($F$11-$I$4+VLOOKUP($R127,武学奇术!$A:$ZZ,9,FALSE)+SUM(_xlfn.XLOOKUP($S127:$AL127,增益!$A:$A,增益!$I:$I,0)))/100)</f>
        <v>-0.3</v>
      </c>
      <c r="BB127" s="40" cm="1">
        <f t="array" ref="BB127">$G$11+VLOOKUP($R127,武学奇术!$A:$ZZ,10,FALSE)+SUM(_xlfn.XLOOKUP($S127:$AL127,增益!$A:$A,增益!$J:$J,0))</f>
        <v>0.02</v>
      </c>
      <c r="BC127">
        <f t="shared" si="46"/>
        <v>640.3</v>
      </c>
      <c r="BD127">
        <f t="shared" si="47"/>
        <v>1770.1</v>
      </c>
      <c r="BE127" s="40" cm="1">
        <f t="array" ref="BE127">IF($F$12-$I$4+VLOOKUP($R127,武学奇术!$A:$ZZ,11,FALSE)+SUM(_xlfn.XLOOKUP($S127:$AL127,增益!$A:$A,增益!$K:$K,0))&gt;0,($F$12-$I$4+VLOOKUP($R127,武学奇术!$A:$ZZ,11,FALSE)+SUM(_xlfn.XLOOKUP($S127:$AL127,增益!$A:$A,增益!$K:$K,0)))/200,($F$12-$I$4+VLOOKUP($R127,武学奇术!$A:$ZZ,11,FALSE)+SUM(_xlfn.XLOOKUP($S127:$AL127,增益!$A:$A,增益!$K:$K,0)))/100)</f>
        <v>0.09</v>
      </c>
      <c r="BF127" s="40" cm="1">
        <f t="array" ref="BF127">$G$12+VLOOKUP($R127,武学奇术!$A:$ZZ,12,FALSE)+SUM(_xlfn.XLOOKUP($S127:$AL127,增益!$A:$A,增益!$L:$L,0))</f>
        <v>0.17</v>
      </c>
      <c r="BG127">
        <f t="shared" si="48"/>
        <v>0</v>
      </c>
      <c r="BH127">
        <f t="shared" si="49"/>
        <v>0</v>
      </c>
      <c r="BI127" s="40" cm="1">
        <f t="array" ref="BI127">IF($F$13-$I$4+VLOOKUP($R127,武学奇术!$A:$ZZ,13,FALSE)+SUM(_xlfn.XLOOKUP($S127:$AL127,增益!$A:$A,增益!$M:$M,0))&gt;0,($F$13-$I$4+VLOOKUP($R127,武学奇术!$A:$ZZ,13,FALSE)+SUM(_xlfn.XLOOKUP($S127:$AL127,增益!$A:$A,增益!$K:$K,0)))/200,($F$13-$I$4+VLOOKUP($R127,武学奇术!$A:$ZZ,13,FALSE)+SUM(_xlfn.XLOOKUP($S127:$AL127,增益!$A:$A,增益!$M:$M,0)))/100)</f>
        <v>-0.3</v>
      </c>
      <c r="BJ127" s="40" cm="1">
        <f t="array" ref="BJ127">$G$13+VLOOKUP($R127,武学奇术!$A:$ZZ,14,FALSE)+SUM(_xlfn.XLOOKUP($S127:$AL127,增益!$A:$A,增益!$N:$N,0))</f>
        <v>0.02</v>
      </c>
      <c r="BK127">
        <f t="shared" si="50"/>
        <v>0</v>
      </c>
      <c r="BL127">
        <f t="shared" si="51"/>
        <v>0</v>
      </c>
      <c r="BM127" s="40" cm="1">
        <f t="array" ref="BM127">IF($F$14-$I$4+VLOOKUP($R127,武学奇术!$A:$ZZ,15,FALSE)+SUM(_xlfn.XLOOKUP($S127:$AL127,增益!$A:$A,增益!$O:$O,0))&gt;0,($F$14-$I$4+VLOOKUP($R127,武学奇术!$A:$ZZ,15,FALSE)+SUM(_xlfn.XLOOKUP($S127:$AL127,增益!$A:$A,增益!$O:$O,0)))/200,($F$14-$I$4+VLOOKUP($R127,武学奇术!$A:$ZZ,15,FALSE)+SUM(_xlfn.XLOOKUP($S127:$AL127,增益!$A:$A,增益!$O:$O,0)))/100)</f>
        <v>-0.3</v>
      </c>
      <c r="BN127" s="40" cm="1">
        <f t="array" ref="BN127">$G$14+VLOOKUP($R127,武学奇术!$A:$ZZ,16,FALSE)+SUM(_xlfn.XLOOKUP($S127:$AL127,增益!$A:$A,增益!$P:$P,0))</f>
        <v>0.02</v>
      </c>
      <c r="BO127" s="33">
        <f>MIN(IF(VLOOKUP($R127,武学奇术!$A:$ZZ,23,FALSE)=1,100%,$B$8),100%)</f>
        <v>0.9771</v>
      </c>
      <c r="BP127" s="33" cm="1">
        <f t="array" ref="BP127">IF(VLOOKUP($R127,武学奇术!$A:$ZZ,23,FALSE)=1,100%,MIN(80%,$B$9+VLOOKUP($R127,武学奇术!$A:$ZZ,17,FALSE)+SUM(_xlfn.XLOOKUP($S127:$AL127,增益!$A:$A,增益!$Q:$Q,0)))+$B$11+SUM(_xlfn.XLOOKUP($S127:$AL127,增益!$A:$A,增益!$U:$U,0)))*IF(VLOOKUP($R127,武学奇术!$A:$ZZ,24,FALSE)=1,0,1)</f>
        <v>0.8861</v>
      </c>
      <c r="BQ127" s="33" cm="1">
        <f t="array" ref="BQ127">1+$B$13+VLOOKUP($R127,武学奇术!$A:$ZZ,18,FALSE)+SUM(_xlfn.XLOOKUP($S127:$AL127,增益!$A:$A,增益!$R:$R,0))</f>
        <v>1.54</v>
      </c>
      <c r="BR127" s="33" cm="1">
        <f t="array" ref="BR127">IF(VLOOKUP($R127,武学奇术!$A:$ZZ,24,FALSE)=1,100%,MIN(40%,$B$10+VLOOKUP($R127,武学奇术!$A:$ZZ,19,FALSE)+SUM(_xlfn.XLOOKUP($S127:$AL127,增益!$A:$A,增益!$S:$S,0)))+$B$12+SUM(_xlfn.XLOOKUP($S127:$AL127,增益!$A:$A,增益!$V:$V,0)))*IF(VLOOKUP($R127,武学奇术!$A:$ZZ,23,FALSE)=1,0,1)</f>
        <v>0.0913</v>
      </c>
      <c r="BS127" s="33" cm="1">
        <f t="array" ref="BS127">1+$B$14+VLOOKUP($R127,武学奇术!$A:$ZZ,20,FALSE)+SUM(_xlfn.XLOOKUP($S127:$AL127,增益!$A:$A,增益!$T:$T,0))</f>
        <v>1.35</v>
      </c>
      <c r="BT127" s="33">
        <f t="shared" si="52"/>
        <v>0.86580831</v>
      </c>
      <c r="BU127" s="33">
        <f t="shared" si="53"/>
        <v>0.02208246</v>
      </c>
      <c r="BV127" s="33">
        <f>IF(VLOOKUP($R127,武学奇术!$A:$ZZ,22,FALSE)=1,0,(1-$BO127))*(1-$BR127)</f>
        <v>0.02080923</v>
      </c>
      <c r="BW127" s="33" cm="1">
        <f t="array" ref="BW127">SUM(_xlfn.XLOOKUP($S127:$AL127,增益!$A:$A,增益!$W:$W,0))+$I$5</f>
        <v>0.11</v>
      </c>
      <c r="BX127" s="33" cm="1">
        <f t="array" ref="BX127">VLOOKUP($R127,武学奇术!$A:$ZZ,32,FALSE)+SUM(_xlfn.XLOOKUP($S127:$AL127,增益!$A:$A,增益!$X:$X,0))</f>
        <v>0</v>
      </c>
    </row>
    <row r="128" spans="1:76">
      <c r="A128" s="4" t="s">
        <v>191</v>
      </c>
      <c r="B128" s="4">
        <v>1.8</v>
      </c>
      <c r="D128" s="47"/>
      <c r="E128" s="47"/>
      <c r="L128" s="46">
        <f t="shared" ref="L128:L157" si="56">($M128*$BT128+$N128*$BR128+$O128*$BU128+$P128*$BV128)</f>
        <v>0</v>
      </c>
      <c r="M128" s="46">
        <f>((($AT128+$AU128)/2*$AN128+$AO128)*(1+$AV128)*(1+$AW128)+(($AY128+$AZ128)/2*IF($G$1="鸣金",$AP128,$AN128)+IF($G$1="鸣金",$AQ128*1.5,0))*(1+$BA128)*(1+$BB128)+(($BC128+$BD128)/2*IF($G$1="裂石",$AP128,$AN128)+IF($G$1="裂石",$AQ128*1.5,0))*(1+$BE128)*(1+$BF128)+(($BG128+$BH128)/2*IF($G$1="牵丝",$AP128,$AN128)+IF($G$1="牵丝",$AQ128*1.5,0))*(1+$BI128)*(1+$BJ128)+(($BK128+$BL128)/2*IF($G$1="破竹",$AP128,$AN128)+IF($G$1="破竹",$AQ128*1.5,0))*(1+$BM128)*(1+$BN128))*(1+$AR128)*$BQ128*$Q128*(1+IF(VLOOKUP($R128,武学奇术!$A:$ZZ,30,FALSE)="蓄力技",$B$21,0))*(1+IF(VLOOKUP($R128,武学奇术!$A:$ZZ,30,FALSE)="派生技",$B$20,0))*(1+$BW128)*(1+$BX128)</f>
        <v>0</v>
      </c>
      <c r="N128" s="46">
        <f>(($AU128*$AN128+$AO128)*(1+$AV128)*(1+$AW128)+($AZ128*IF($G$1="鸣金",$AP128,$AN128)+IF($G$1="鸣金",$AQ128*1.5,0))*(1+$BA128)*(1+$BB128)+($BD128*IF($G$1="裂石",$AP128,$AN128)+IF($G$1="裂石",$AQ128*1.5,0))*(1+$BE128)*(1+$BF128)+($BH128*IF($G$1="牵丝",$AP128,$AN128)+IF($G$1="牵丝",$AQ128*1.5,0))*(1+$BI128)*(1+$BJ128)+($BL128*IF($G$1="破竹",$AP128,$AN128)+IF($G$1="破竹",$AQ128*1.5,0))*(1+$BM128)*(1+$BN128))*(1+$AR128)*$BS128*$Q128*(1+IF(VLOOKUP($R128,武学奇术!$A:$ZZ,30,FALSE)="蓄力技",$B$21,0))*(1+IF(VLOOKUP($R128,武学奇术!$A:$ZZ,30,FALSE)="派生技",$B$20,0))*(1+$BW128)*(1+$BX128)</f>
        <v>0</v>
      </c>
      <c r="O128" s="46">
        <f>((($AT128+$AU128)/2*$AN128+$AO128)*(1+$AV128)*(1+$AW128)+(($AY128+$AZ128)/2*IF($G$1="鸣金",$AP128,$AN128)+IF($G$1="鸣金",$AQ128*1.5,0))*(1+$BA128)*(1+$BB128)+(($BC128+$BD128)/2*IF($G$1="裂石",$AP128,$AN128)+IF($G$1="裂石",$AQ128*1.5,0))*(1+$BE128)*(1+$BF128)+(($BG128+$BH128)/2*IF($G$1="牵丝",$AP128,$AN128)+IF($G$1="牵丝",$AQ128*1.5,0))*(1+$BI128)*(1+$BJ128)+(($BK128+$BL128)/2*IF($G$1="破竹",$AP128,$AN128)+IF($G$1="破竹",$AQ128*1.5,0))*(1+$BM128)*(1+$BN128))*(1+$AR128)*$Q128*(1+IF(VLOOKUP($R128,武学奇术!$A:$ZZ,30,FALSE)="蓄力技",$B$21,0))*(1+IF(VLOOKUP($R128,武学奇术!$A:$ZZ,30,FALSE)="派生技",$B$20,0))*(1+$BW128)*(1+$BX128)</f>
        <v>0</v>
      </c>
      <c r="P128" s="46">
        <f>((($AT128*$AN128+$AO128)*(1+$AV128)*(1+$AW128)+($AY128*IF($G$1="鸣金",$AP128,$AN128)+IF($G$1="鸣金",$AQ128*1.5,0))*(1+$BA128)*(1+$BB128)+($BC128*IF($G$1="裂石",$AP128,$AN128)+IF($G$1="裂石",$AQ128*1.5,0))*(1+$BE128)*(1+$BF128)+($BG128*IF($G$1="牵丝",$AP128,$AN128)+IF($G$1="牵丝",$AQ128*1.5,0))*(1+$BI128)*(1+$BJ128)+($BK128*IF($G$1="破竹",$AP128,$AN128)+IF($G$1="破竹",$AQ128*1.5,0))*(1+$BM128)*(1+$BN128))*(1+$AR128))*$Q128*(1+IF(VLOOKUP($R128,武学奇术!$A:$ZZ,30,FALSE)="蓄力技",$B$21,0))*(1+IF(VLOOKUP($R128,武学奇术!$A:$ZZ,30,FALSE)="派生技",$B$20,0))*(1+$BW128)*(1+$BX128)</f>
        <v>0</v>
      </c>
      <c r="Q128" s="47">
        <v>1</v>
      </c>
      <c r="R128" s="48" t="s">
        <v>80</v>
      </c>
      <c r="S128" s="48" t="s">
        <v>80</v>
      </c>
      <c r="T128" s="48" t="s">
        <v>80</v>
      </c>
      <c r="U128" s="48" t="s">
        <v>80</v>
      </c>
      <c r="V128" s="48" t="s">
        <v>80</v>
      </c>
      <c r="W128" s="48" t="s">
        <v>80</v>
      </c>
      <c r="X128" s="48" t="s">
        <v>80</v>
      </c>
      <c r="Y128" s="48" t="s">
        <v>80</v>
      </c>
      <c r="Z128" s="48" t="s">
        <v>80</v>
      </c>
      <c r="AA128" s="48" t="s">
        <v>80</v>
      </c>
      <c r="AB128" s="48" t="s">
        <v>80</v>
      </c>
      <c r="AC128" s="48" t="s">
        <v>80</v>
      </c>
      <c r="AD128" s="48" t="s">
        <v>80</v>
      </c>
      <c r="AE128" s="48" t="s">
        <v>82</v>
      </c>
      <c r="AF128" s="48" t="s">
        <v>83</v>
      </c>
      <c r="AG128" s="48" t="s">
        <v>84</v>
      </c>
      <c r="AH128" s="48" t="s">
        <v>80</v>
      </c>
      <c r="AI128" s="48" t="s">
        <v>80</v>
      </c>
      <c r="AJ128" s="48" t="s">
        <v>80</v>
      </c>
      <c r="AK128" s="48" t="s">
        <v>80</v>
      </c>
      <c r="AL128" s="48" t="s">
        <v>85</v>
      </c>
      <c r="AM128" t="str">
        <f>VLOOKUP($R128,武学奇术!$A:$ZZ,25,FALSE)</f>
        <v>心法</v>
      </c>
      <c r="AN128" s="33">
        <f>VLOOKUP($R128,武学奇术!$A:$ZZ,26,FALSE)</f>
        <v>0</v>
      </c>
      <c r="AO128" s="34">
        <f>VLOOKUP($R128,武学奇术!$A:$ZZ,27,FALSE)*(1+IF(OR($AM128=$F$4,$AM128=$F$5),$B$22,0))</f>
        <v>0</v>
      </c>
      <c r="AP128" s="33">
        <f>VLOOKUP($R128,武学奇术!$A:$ZZ,28,FALSE)</f>
        <v>0</v>
      </c>
      <c r="AQ128" s="34">
        <f>VLOOKUP($R128,武学奇术!$A:$ZZ,29,FALSE)*(1+IF(OR($AM128=$F$4,$AM128=$F$5),$B$22,0))</f>
        <v>0</v>
      </c>
      <c r="AR128" s="33" cm="1">
        <f t="array" ref="AR128">$G$3+IFERROR(VLOOKUP($AM128,$F$4:$G$7,2,FALSE),0)+VLOOKUP($R128,武学奇术!$A:$ZZ,2,FALSE)+SUM(_xlfn.XLOOKUP($S128:$AL128,增益!$A:$A,增益!$B:$B,0))</f>
        <v>0.3142</v>
      </c>
      <c r="AS128" s="33" cm="1">
        <f t="array" ref="AS128">VLOOKUP($R128,武学奇术!$A:$ZZ,5,FALSE)+SUM(_xlfn.XLOOKUP($S128:$AL128,增益!$A:$A,增益!$E:$E,0))</f>
        <v>0</v>
      </c>
      <c r="AT128" cm="1">
        <f t="array" ref="AT128">$D$10*(1+$AS128)+VLOOKUP($R128,武学奇术!$A:$ZZ,3,FALSE)+SUM(_xlfn.XLOOKUP($S128:$AL128,增益!$A:$A,增益!$C:$C,0))-$I$2</f>
        <v>4094.7</v>
      </c>
      <c r="AU128" cm="1">
        <f t="array" ref="AU128">$E$10*(1+$AS128)+VLOOKUP($R128,武学奇术!$A:$ZZ,4,FALSE)+SUM(_xlfn.XLOOKUP($S128:$AL128,增益!$A:$A,增益!$D:$D,0))-$I$2</f>
        <v>4094.7</v>
      </c>
      <c r="AV128" s="40" cm="1">
        <f t="array" ref="AV128">IF($F$10-$I$3+VLOOKUP($R128,武学奇术!$A:$ZZ,6,FALSE)+SUM(_xlfn.XLOOKUP($S128:$AL128,增益!$A:$A,增益!$F:$F,0))&gt;0,($F$10-$I$3+VLOOKUP($R128,武学奇术!$A:$ZZ,6,FALSE)+SUM(_xlfn.XLOOKUP($S128:$AL128,增益!$A:$A,增益!$F:$F,0)))/200,($F$10-$I$3+VLOOKUP($R128,武学奇术!$A:$ZZ,6,FALSE)+SUM(_xlfn.XLOOKUP($S128:$AL128,增益!$A:$A,增益!$F:$F,0)))/100)</f>
        <v>0.3134</v>
      </c>
      <c r="AW128" s="40" cm="1">
        <f t="array" ref="AW128">$G$10+VLOOKUP($R128,武学奇术!$A:$ZZ,7,FALSE)+SUM(_xlfn.XLOOKUP($S128:$AL128,增益!$A:$A,增益!$G:$G,0))</f>
        <v>0.02</v>
      </c>
      <c r="AX128" s="33" cm="1">
        <f t="array" ref="AX128">VLOOKUP($R128,武学奇术!$A:$ZZ,8,FALSE)+SUM(_xlfn.XLOOKUP($S128:$AL128,增益!$A:$A,增益!$H:$H,0))</f>
        <v>0</v>
      </c>
      <c r="AY128">
        <f t="shared" ref="AY128:AY157" si="57">$D$11*(1+$AX128)</f>
        <v>0</v>
      </c>
      <c r="AZ128">
        <f t="shared" ref="AZ128:AZ157" si="58">$E$11*(1+$AX128)</f>
        <v>0</v>
      </c>
      <c r="BA128" s="40" cm="1">
        <f t="array" ref="BA128">IF($F$11-$I$4+VLOOKUP($R128,武学奇术!$A:$ZZ,9,FALSE)+SUM(_xlfn.XLOOKUP($S128:$AL128,增益!$A:$A,增益!$I:$I,0))&gt;0,($F$11-$I$4+VLOOKUP($R128,武学奇术!$A:$ZZ,9,FALSE)+SUM(_xlfn.XLOOKUP($S128:$AL128,增益!$A:$A,增益!$I:$I,0)))/200,($F$11-$I$4+VLOOKUP($R128,武学奇术!$A:$ZZ,9,FALSE)+SUM(_xlfn.XLOOKUP($S128:$AL128,增益!$A:$A,增益!$I:$I,0)))/100)</f>
        <v>-0.3</v>
      </c>
      <c r="BB128" s="40" cm="1">
        <f t="array" ref="BB128">$G$11+VLOOKUP($R128,武学奇术!$A:$ZZ,10,FALSE)+SUM(_xlfn.XLOOKUP($S128:$AL128,增益!$A:$A,增益!$J:$J,0))</f>
        <v>0.02</v>
      </c>
      <c r="BC128">
        <f t="shared" ref="BC128:BC157" si="59">$D$12*(1+$AX128)</f>
        <v>640.3</v>
      </c>
      <c r="BD128">
        <f t="shared" ref="BD128:BD157" si="60">$E$12*(1+$AX128)</f>
        <v>1770.1</v>
      </c>
      <c r="BE128" s="40" cm="1">
        <f t="array" ref="BE128">IF($F$12-$I$4+VLOOKUP($R128,武学奇术!$A:$ZZ,11,FALSE)+SUM(_xlfn.XLOOKUP($S128:$AL128,增益!$A:$A,增益!$K:$K,0))&gt;0,($F$12-$I$4+VLOOKUP($R128,武学奇术!$A:$ZZ,11,FALSE)+SUM(_xlfn.XLOOKUP($S128:$AL128,增益!$A:$A,增益!$K:$K,0)))/200,($F$12-$I$4+VLOOKUP($R128,武学奇术!$A:$ZZ,11,FALSE)+SUM(_xlfn.XLOOKUP($S128:$AL128,增益!$A:$A,增益!$K:$K,0)))/100)</f>
        <v>0.09</v>
      </c>
      <c r="BF128" s="40" cm="1">
        <f t="array" ref="BF128">$G$12+VLOOKUP($R128,武学奇术!$A:$ZZ,12,FALSE)+SUM(_xlfn.XLOOKUP($S128:$AL128,增益!$A:$A,增益!$L:$L,0))</f>
        <v>0.17</v>
      </c>
      <c r="BG128">
        <f t="shared" ref="BG128:BG157" si="61">$D$13*(1+$AX128)</f>
        <v>0</v>
      </c>
      <c r="BH128">
        <f t="shared" ref="BH128:BH157" si="62">$E$13*(1+$AX128)</f>
        <v>0</v>
      </c>
      <c r="BI128" s="40" cm="1">
        <f t="array" ref="BI128">IF($F$13-$I$4+VLOOKUP($R128,武学奇术!$A:$ZZ,13,FALSE)+SUM(_xlfn.XLOOKUP($S128:$AL128,增益!$A:$A,增益!$M:$M,0))&gt;0,($F$13-$I$4+VLOOKUP($R128,武学奇术!$A:$ZZ,13,FALSE)+SUM(_xlfn.XLOOKUP($S128:$AL128,增益!$A:$A,增益!$K:$K,0)))/200,($F$13-$I$4+VLOOKUP($R128,武学奇术!$A:$ZZ,13,FALSE)+SUM(_xlfn.XLOOKUP($S128:$AL128,增益!$A:$A,增益!$M:$M,0)))/100)</f>
        <v>-0.3</v>
      </c>
      <c r="BJ128" s="40" cm="1">
        <f t="array" ref="BJ128">$G$13+VLOOKUP($R128,武学奇术!$A:$ZZ,14,FALSE)+SUM(_xlfn.XLOOKUP($S128:$AL128,增益!$A:$A,增益!$N:$N,0))</f>
        <v>0.02</v>
      </c>
      <c r="BK128">
        <f t="shared" ref="BK128:BK157" si="63">$D$14*(1+$AX128)</f>
        <v>0</v>
      </c>
      <c r="BL128">
        <f t="shared" ref="BL128:BL157" si="64">$E$14*(1+$AX128)</f>
        <v>0</v>
      </c>
      <c r="BM128" s="40" cm="1">
        <f t="array" ref="BM128">IF($F$14-$I$4+VLOOKUP($R128,武学奇术!$A:$ZZ,15,FALSE)+SUM(_xlfn.XLOOKUP($S128:$AL128,增益!$A:$A,增益!$O:$O,0))&gt;0,($F$14-$I$4+VLOOKUP($R128,武学奇术!$A:$ZZ,15,FALSE)+SUM(_xlfn.XLOOKUP($S128:$AL128,增益!$A:$A,增益!$O:$O,0)))/200,($F$14-$I$4+VLOOKUP($R128,武学奇术!$A:$ZZ,15,FALSE)+SUM(_xlfn.XLOOKUP($S128:$AL128,增益!$A:$A,增益!$O:$O,0)))/100)</f>
        <v>-0.3</v>
      </c>
      <c r="BN128" s="40" cm="1">
        <f t="array" ref="BN128">$G$14+VLOOKUP($R128,武学奇术!$A:$ZZ,16,FALSE)+SUM(_xlfn.XLOOKUP($S128:$AL128,增益!$A:$A,增益!$P:$P,0))</f>
        <v>0.02</v>
      </c>
      <c r="BO128" s="33">
        <f>MIN(IF(VLOOKUP($R128,武学奇术!$A:$ZZ,23,FALSE)=1,100%,$B$8),100%)</f>
        <v>0.9771</v>
      </c>
      <c r="BP128" s="33" cm="1">
        <f t="array" ref="BP128">IF(VLOOKUP($R128,武学奇术!$A:$ZZ,23,FALSE)=1,100%,MIN(80%,$B$9+VLOOKUP($R128,武学奇术!$A:$ZZ,17,FALSE)+SUM(_xlfn.XLOOKUP($S128:$AL128,增益!$A:$A,增益!$Q:$Q,0)))+$B$11+SUM(_xlfn.XLOOKUP($S128:$AL128,增益!$A:$A,增益!$U:$U,0)))*IF(VLOOKUP($R128,武学奇术!$A:$ZZ,24,FALSE)=1,0,1)</f>
        <v>0.8861</v>
      </c>
      <c r="BQ128" s="33" cm="1">
        <f t="array" ref="BQ128">1+$B$13+VLOOKUP($R128,武学奇术!$A:$ZZ,18,FALSE)+SUM(_xlfn.XLOOKUP($S128:$AL128,增益!$A:$A,增益!$R:$R,0))</f>
        <v>1.54</v>
      </c>
      <c r="BR128" s="33" cm="1">
        <f t="array" ref="BR128">IF(VLOOKUP($R128,武学奇术!$A:$ZZ,24,FALSE)=1,100%,MIN(40%,$B$10+VLOOKUP($R128,武学奇术!$A:$ZZ,19,FALSE)+SUM(_xlfn.XLOOKUP($S128:$AL128,增益!$A:$A,增益!$S:$S,0)))+$B$12+SUM(_xlfn.XLOOKUP($S128:$AL128,增益!$A:$A,增益!$V:$V,0)))*IF(VLOOKUP($R128,武学奇术!$A:$ZZ,23,FALSE)=1,0,1)</f>
        <v>0.0913</v>
      </c>
      <c r="BS128" s="33" cm="1">
        <f t="array" ref="BS128">1+$B$14+VLOOKUP($R128,武学奇术!$A:$ZZ,20,FALSE)+SUM(_xlfn.XLOOKUP($S128:$AL128,增益!$A:$A,增益!$T:$T,0))</f>
        <v>1.35</v>
      </c>
      <c r="BT128" s="33">
        <f t="shared" ref="BT128:BT157" si="65">MIN((1-BR128)*BO128,BO128*BP128)</f>
        <v>0.86580831</v>
      </c>
      <c r="BU128" s="33">
        <f t="shared" ref="BU128:BU157" si="66">1-BR128-BT128-BV128</f>
        <v>0.02208246</v>
      </c>
      <c r="BV128" s="33">
        <f>IF(VLOOKUP($R128,武学奇术!$A:$ZZ,22,FALSE)=1,0,(1-$BO128))*(1-$BR128)</f>
        <v>0.02080923</v>
      </c>
      <c r="BW128" s="33" cm="1">
        <f t="array" ref="BW128">SUM(_xlfn.XLOOKUP($S128:$AL128,增益!$A:$A,增益!$W:$W,0))+$I$5</f>
        <v>0.11</v>
      </c>
      <c r="BX128" s="33" cm="1">
        <f t="array" ref="BX128">VLOOKUP($R128,武学奇术!$A:$ZZ,32,FALSE)+SUM(_xlfn.XLOOKUP($S128:$AL128,增益!$A:$A,增益!$X:$X,0))</f>
        <v>0</v>
      </c>
    </row>
    <row r="129" spans="1:76">
      <c r="A129" s="4" t="s">
        <v>189</v>
      </c>
      <c r="B129" s="4">
        <v>0.8</v>
      </c>
      <c r="C129"/>
      <c r="D129" s="47"/>
      <c r="E129" s="47"/>
      <c r="L129" s="46">
        <f t="shared" si="56"/>
        <v>0</v>
      </c>
      <c r="M129" s="46">
        <f>((($AT129+$AU129)/2*$AN129+$AO129)*(1+$AV129)*(1+$AW129)+(($AY129+$AZ129)/2*IF($G$1="鸣金",$AP129,$AN129)+IF($G$1="鸣金",$AQ129*1.5,0))*(1+$BA129)*(1+$BB129)+(($BC129+$BD129)/2*IF($G$1="裂石",$AP129,$AN129)+IF($G$1="裂石",$AQ129*1.5,0))*(1+$BE129)*(1+$BF129)+(($BG129+$BH129)/2*IF($G$1="牵丝",$AP129,$AN129)+IF($G$1="牵丝",$AQ129*1.5,0))*(1+$BI129)*(1+$BJ129)+(($BK129+$BL129)/2*IF($G$1="破竹",$AP129,$AN129)+IF($G$1="破竹",$AQ129*1.5,0))*(1+$BM129)*(1+$BN129))*(1+$AR129)*$BQ129*$Q129*(1+IF(VLOOKUP($R129,武学奇术!$A:$ZZ,30,FALSE)="蓄力技",$B$21,0))*(1+IF(VLOOKUP($R129,武学奇术!$A:$ZZ,30,FALSE)="派生技",$B$20,0))*(1+$BW129)*(1+$BX129)</f>
        <v>0</v>
      </c>
      <c r="N129" s="46">
        <f>(($AU129*$AN129+$AO129)*(1+$AV129)*(1+$AW129)+($AZ129*IF($G$1="鸣金",$AP129,$AN129)+IF($G$1="鸣金",$AQ129*1.5,0))*(1+$BA129)*(1+$BB129)+($BD129*IF($G$1="裂石",$AP129,$AN129)+IF($G$1="裂石",$AQ129*1.5,0))*(1+$BE129)*(1+$BF129)+($BH129*IF($G$1="牵丝",$AP129,$AN129)+IF($G$1="牵丝",$AQ129*1.5,0))*(1+$BI129)*(1+$BJ129)+($BL129*IF($G$1="破竹",$AP129,$AN129)+IF($G$1="破竹",$AQ129*1.5,0))*(1+$BM129)*(1+$BN129))*(1+$AR129)*$BS129*$Q129*(1+IF(VLOOKUP($R129,武学奇术!$A:$ZZ,30,FALSE)="蓄力技",$B$21,0))*(1+IF(VLOOKUP($R129,武学奇术!$A:$ZZ,30,FALSE)="派生技",$B$20,0))*(1+$BW129)*(1+$BX129)</f>
        <v>0</v>
      </c>
      <c r="O129" s="46">
        <f>((($AT129+$AU129)/2*$AN129+$AO129)*(1+$AV129)*(1+$AW129)+(($AY129+$AZ129)/2*IF($G$1="鸣金",$AP129,$AN129)+IF($G$1="鸣金",$AQ129*1.5,0))*(1+$BA129)*(1+$BB129)+(($BC129+$BD129)/2*IF($G$1="裂石",$AP129,$AN129)+IF($G$1="裂石",$AQ129*1.5,0))*(1+$BE129)*(1+$BF129)+(($BG129+$BH129)/2*IF($G$1="牵丝",$AP129,$AN129)+IF($G$1="牵丝",$AQ129*1.5,0))*(1+$BI129)*(1+$BJ129)+(($BK129+$BL129)/2*IF($G$1="破竹",$AP129,$AN129)+IF($G$1="破竹",$AQ129*1.5,0))*(1+$BM129)*(1+$BN129))*(1+$AR129)*$Q129*(1+IF(VLOOKUP($R129,武学奇术!$A:$ZZ,30,FALSE)="蓄力技",$B$21,0))*(1+IF(VLOOKUP($R129,武学奇术!$A:$ZZ,30,FALSE)="派生技",$B$20,0))*(1+$BW129)*(1+$BX129)</f>
        <v>0</v>
      </c>
      <c r="P129" s="46">
        <f>((($AT129*$AN129+$AO129)*(1+$AV129)*(1+$AW129)+($AY129*IF($G$1="鸣金",$AP129,$AN129)+IF($G$1="鸣金",$AQ129*1.5,0))*(1+$BA129)*(1+$BB129)+($BC129*IF($G$1="裂石",$AP129,$AN129)+IF($G$1="裂石",$AQ129*1.5,0))*(1+$BE129)*(1+$BF129)+($BG129*IF($G$1="牵丝",$AP129,$AN129)+IF($G$1="牵丝",$AQ129*1.5,0))*(1+$BI129)*(1+$BJ129)+($BK129*IF($G$1="破竹",$AP129,$AN129)+IF($G$1="破竹",$AQ129*1.5,0))*(1+$BM129)*(1+$BN129))*(1+$AR129))*$Q129*(1+IF(VLOOKUP($R129,武学奇术!$A:$ZZ,30,FALSE)="蓄力技",$B$21,0))*(1+IF(VLOOKUP($R129,武学奇术!$A:$ZZ,30,FALSE)="派生技",$B$20,0))*(1+$BW129)*(1+$BX129)</f>
        <v>0</v>
      </c>
      <c r="Q129" s="47">
        <f>IF($E$24="唐刀",1,0)</f>
        <v>0</v>
      </c>
      <c r="R129" s="48" t="s">
        <v>76</v>
      </c>
      <c r="S129" s="48" t="s">
        <v>117</v>
      </c>
      <c r="T129" s="48" t="s">
        <v>78</v>
      </c>
      <c r="U129" s="48" t="s">
        <v>80</v>
      </c>
      <c r="V129" s="48" t="s">
        <v>80</v>
      </c>
      <c r="W129" s="48" t="s">
        <v>80</v>
      </c>
      <c r="X129" s="48" t="s">
        <v>80</v>
      </c>
      <c r="Y129" s="48" t="s">
        <v>80</v>
      </c>
      <c r="Z129" s="48" t="s">
        <v>81</v>
      </c>
      <c r="AA129" s="48" t="s">
        <v>80</v>
      </c>
      <c r="AB129" s="48" t="s">
        <v>80</v>
      </c>
      <c r="AC129" s="48" t="s">
        <v>80</v>
      </c>
      <c r="AD129" s="48" t="s">
        <v>80</v>
      </c>
      <c r="AE129" s="48" t="s">
        <v>82</v>
      </c>
      <c r="AF129" s="48" t="s">
        <v>83</v>
      </c>
      <c r="AG129" s="48" t="s">
        <v>84</v>
      </c>
      <c r="AH129" s="48" t="s">
        <v>80</v>
      </c>
      <c r="AI129" s="48" t="s">
        <v>80</v>
      </c>
      <c r="AJ129" s="48" t="s">
        <v>80</v>
      </c>
      <c r="AK129" s="48" t="s">
        <v>80</v>
      </c>
      <c r="AL129" s="48" t="s">
        <v>85</v>
      </c>
      <c r="AM129" t="str">
        <f>VLOOKUP($R129,武学奇术!$A:$ZZ,25,FALSE)</f>
        <v>群体奇术</v>
      </c>
      <c r="AN129" s="33">
        <f>VLOOKUP($R129,武学奇术!$A:$ZZ,26,FALSE)</f>
        <v>1.4906</v>
      </c>
      <c r="AO129" s="34">
        <f>VLOOKUP($R129,武学奇术!$A:$ZZ,27,FALSE)*(1+IF(OR($AM129=$F$4,$AM129=$F$5),$B$22,0))</f>
        <v>386</v>
      </c>
      <c r="AP129" s="33">
        <f>VLOOKUP($R129,武学奇术!$A:$ZZ,28,FALSE)</f>
        <v>2.2359</v>
      </c>
      <c r="AQ129" s="34">
        <f>VLOOKUP($R129,武学奇术!$A:$ZZ,29,FALSE)*(1+IF(OR($AM129=$F$4,$AM129=$F$5),$B$22,0))</f>
        <v>0</v>
      </c>
      <c r="AR129" s="33" cm="1">
        <f t="array" ref="AR129">$G$3+IFERROR(VLOOKUP($AM129,$F$4:$G$7,2,FALSE),0)+VLOOKUP($R129,武学奇术!$A:$ZZ,2,FALSE)+SUM(_xlfn.XLOOKUP($S129:$AL129,增益!$A:$A,增益!$B:$B,0))</f>
        <v>0.3442</v>
      </c>
      <c r="AS129" s="33" cm="1">
        <f t="array" ref="AS129">VLOOKUP($R129,武学奇术!$A:$ZZ,5,FALSE)+SUM(_xlfn.XLOOKUP($S129:$AL129,增益!$A:$A,增益!$E:$E,0))</f>
        <v>0</v>
      </c>
      <c r="AT129" cm="1">
        <f t="array" ref="AT129">$D$10*(1+$AS129)+VLOOKUP($R129,武学奇术!$A:$ZZ,3,FALSE)+SUM(_xlfn.XLOOKUP($S129:$AL129,增益!$A:$A,增益!$C:$C,0))-$I$2</f>
        <v>4094.7</v>
      </c>
      <c r="AU129" cm="1">
        <f t="array" ref="AU129">$E$10*(1+$AS129)+VLOOKUP($R129,武学奇术!$A:$ZZ,4,FALSE)+SUM(_xlfn.XLOOKUP($S129:$AL129,增益!$A:$A,增益!$D:$D,0))-$I$2</f>
        <v>4094.7</v>
      </c>
      <c r="AV129" s="40" cm="1">
        <f t="array" ref="AV129">IF($F$10-$I$3+VLOOKUP($R129,武学奇术!$A:$ZZ,6,FALSE)+SUM(_xlfn.XLOOKUP($S129:$AL129,增益!$A:$A,增益!$F:$F,0))&gt;0,($F$10-$I$3+VLOOKUP($R129,武学奇术!$A:$ZZ,6,FALSE)+SUM(_xlfn.XLOOKUP($S129:$AL129,增益!$A:$A,增益!$F:$F,0)))/200,($F$10-$I$3+VLOOKUP($R129,武学奇术!$A:$ZZ,6,FALSE)+SUM(_xlfn.XLOOKUP($S129:$AL129,增益!$A:$A,增益!$F:$F,0)))/100)</f>
        <v>0.3234</v>
      </c>
      <c r="AW129" s="40" cm="1">
        <f t="array" ref="AW129">$G$10+VLOOKUP($R129,武学奇术!$A:$ZZ,7,FALSE)+SUM(_xlfn.XLOOKUP($S129:$AL129,增益!$A:$A,增益!$G:$G,0))</f>
        <v>0.02</v>
      </c>
      <c r="AX129" s="33" cm="1">
        <f t="array" ref="AX129">VLOOKUP($R129,武学奇术!$A:$ZZ,8,FALSE)+SUM(_xlfn.XLOOKUP($S129:$AL129,增益!$A:$A,增益!$H:$H,0))</f>
        <v>0</v>
      </c>
      <c r="AY129">
        <f t="shared" si="57"/>
        <v>0</v>
      </c>
      <c r="AZ129">
        <f t="shared" si="58"/>
        <v>0</v>
      </c>
      <c r="BA129" s="40" cm="1">
        <f t="array" ref="BA129">IF($F$11-$I$4+VLOOKUP($R129,武学奇术!$A:$ZZ,9,FALSE)+SUM(_xlfn.XLOOKUP($S129:$AL129,增益!$A:$A,增益!$I:$I,0))&gt;0,($F$11-$I$4+VLOOKUP($R129,武学奇术!$A:$ZZ,9,FALSE)+SUM(_xlfn.XLOOKUP($S129:$AL129,增益!$A:$A,增益!$I:$I,0)))/200,($F$11-$I$4+VLOOKUP($R129,武学奇术!$A:$ZZ,9,FALSE)+SUM(_xlfn.XLOOKUP($S129:$AL129,增益!$A:$A,增益!$I:$I,0)))/100)</f>
        <v>-0.3</v>
      </c>
      <c r="BB129" s="40" cm="1">
        <f t="array" ref="BB129">$G$11+VLOOKUP($R129,武学奇术!$A:$ZZ,10,FALSE)+SUM(_xlfn.XLOOKUP($S129:$AL129,增益!$A:$A,增益!$J:$J,0))</f>
        <v>0.02</v>
      </c>
      <c r="BC129">
        <f t="shared" si="59"/>
        <v>640.3</v>
      </c>
      <c r="BD129">
        <f t="shared" si="60"/>
        <v>1770.1</v>
      </c>
      <c r="BE129" s="40" cm="1">
        <f t="array" ref="BE129">IF($F$12-$I$4+VLOOKUP($R129,武学奇术!$A:$ZZ,11,FALSE)+SUM(_xlfn.XLOOKUP($S129:$AL129,增益!$A:$A,增益!$K:$K,0))&gt;0,($F$12-$I$4+VLOOKUP($R129,武学奇术!$A:$ZZ,11,FALSE)+SUM(_xlfn.XLOOKUP($S129:$AL129,增益!$A:$A,增益!$K:$K,0)))/200,($F$12-$I$4+VLOOKUP($R129,武学奇术!$A:$ZZ,11,FALSE)+SUM(_xlfn.XLOOKUP($S129:$AL129,增益!$A:$A,增益!$K:$K,0)))/100)</f>
        <v>0.09</v>
      </c>
      <c r="BF129" s="40" cm="1">
        <f t="array" ref="BF129">$G$12+VLOOKUP($R129,武学奇术!$A:$ZZ,12,FALSE)+SUM(_xlfn.XLOOKUP($S129:$AL129,增益!$A:$A,增益!$L:$L,0))</f>
        <v>0.17</v>
      </c>
      <c r="BG129">
        <f t="shared" si="61"/>
        <v>0</v>
      </c>
      <c r="BH129">
        <f t="shared" si="62"/>
        <v>0</v>
      </c>
      <c r="BI129" s="40" cm="1">
        <f t="array" ref="BI129">IF($F$13-$I$4+VLOOKUP($R129,武学奇术!$A:$ZZ,13,FALSE)+SUM(_xlfn.XLOOKUP($S129:$AL129,增益!$A:$A,增益!$M:$M,0))&gt;0,($F$13-$I$4+VLOOKUP($R129,武学奇术!$A:$ZZ,13,FALSE)+SUM(_xlfn.XLOOKUP($S129:$AL129,增益!$A:$A,增益!$K:$K,0)))/200,($F$13-$I$4+VLOOKUP($R129,武学奇术!$A:$ZZ,13,FALSE)+SUM(_xlfn.XLOOKUP($S129:$AL129,增益!$A:$A,增益!$M:$M,0)))/100)</f>
        <v>-0.3</v>
      </c>
      <c r="BJ129" s="40" cm="1">
        <f t="array" ref="BJ129">$G$13+VLOOKUP($R129,武学奇术!$A:$ZZ,14,FALSE)+SUM(_xlfn.XLOOKUP($S129:$AL129,增益!$A:$A,增益!$N:$N,0))</f>
        <v>0.02</v>
      </c>
      <c r="BK129">
        <f t="shared" si="63"/>
        <v>0</v>
      </c>
      <c r="BL129">
        <f t="shared" si="64"/>
        <v>0</v>
      </c>
      <c r="BM129" s="40" cm="1">
        <f t="array" ref="BM129">IF($F$14-$I$4+VLOOKUP($R129,武学奇术!$A:$ZZ,15,FALSE)+SUM(_xlfn.XLOOKUP($S129:$AL129,增益!$A:$A,增益!$O:$O,0))&gt;0,($F$14-$I$4+VLOOKUP($R129,武学奇术!$A:$ZZ,15,FALSE)+SUM(_xlfn.XLOOKUP($S129:$AL129,增益!$A:$A,增益!$O:$O,0)))/200,($F$14-$I$4+VLOOKUP($R129,武学奇术!$A:$ZZ,15,FALSE)+SUM(_xlfn.XLOOKUP($S129:$AL129,增益!$A:$A,增益!$O:$O,0)))/100)</f>
        <v>-0.3</v>
      </c>
      <c r="BN129" s="40" cm="1">
        <f t="array" ref="BN129">$G$14+VLOOKUP($R129,武学奇术!$A:$ZZ,16,FALSE)+SUM(_xlfn.XLOOKUP($S129:$AL129,增益!$A:$A,增益!$P:$P,0))</f>
        <v>0.02</v>
      </c>
      <c r="BO129" s="33">
        <f>MIN(IF(VLOOKUP($R129,武学奇术!$A:$ZZ,23,FALSE)=1,100%,$B$8),100%)</f>
        <v>0.9771</v>
      </c>
      <c r="BP129" s="33" cm="1">
        <f t="array" ref="BP129">IF(VLOOKUP($R129,武学奇术!$A:$ZZ,23,FALSE)=1,100%,MIN(80%,$B$9+VLOOKUP($R129,武学奇术!$A:$ZZ,17,FALSE)+SUM(_xlfn.XLOOKUP($S129:$AL129,增益!$A:$A,增益!$Q:$Q,0)))+$B$11+SUM(_xlfn.XLOOKUP($S129:$AL129,增益!$A:$A,增益!$U:$U,0)))*IF(VLOOKUP($R129,武学奇术!$A:$ZZ,24,FALSE)=1,0,1)</f>
        <v>0.8861</v>
      </c>
      <c r="BQ129" s="33" cm="1">
        <f t="array" ref="BQ129">1+$B$13+VLOOKUP($R129,武学奇术!$A:$ZZ,18,FALSE)+SUM(_xlfn.XLOOKUP($S129:$AL129,增益!$A:$A,增益!$R:$R,0))</f>
        <v>1.76</v>
      </c>
      <c r="BR129" s="33" cm="1">
        <f t="array" ref="BR129">IF(VLOOKUP($R129,武学奇术!$A:$ZZ,24,FALSE)=1,100%,MIN(40%,$B$10+VLOOKUP($R129,武学奇术!$A:$ZZ,19,FALSE)+SUM(_xlfn.XLOOKUP($S129:$AL129,增益!$A:$A,增益!$S:$S,0)))+$B$12+SUM(_xlfn.XLOOKUP($S129:$AL129,增益!$A:$A,增益!$V:$V,0)))*IF(VLOOKUP($R129,武学奇术!$A:$ZZ,23,FALSE)=1,0,1)</f>
        <v>0.0913</v>
      </c>
      <c r="BS129" s="33" cm="1">
        <f t="array" ref="BS129">1+$B$14+VLOOKUP($R129,武学奇术!$A:$ZZ,20,FALSE)+SUM(_xlfn.XLOOKUP($S129:$AL129,增益!$A:$A,增益!$T:$T,0))</f>
        <v>1.35</v>
      </c>
      <c r="BT129" s="33">
        <f t="shared" si="65"/>
        <v>0.86580831</v>
      </c>
      <c r="BU129" s="33">
        <f t="shared" si="66"/>
        <v>0.02208246</v>
      </c>
      <c r="BV129" s="33">
        <f>IF(VLOOKUP($R129,武学奇术!$A:$ZZ,22,FALSE)=1,0,(1-$BO129))*(1-$BR129)</f>
        <v>0.02080923</v>
      </c>
      <c r="BW129" s="33" cm="1">
        <f t="array" ref="BW129">SUM(_xlfn.XLOOKUP($S129:$AL129,增益!$A:$A,增益!$W:$W,0))+$I$5</f>
        <v>0.11</v>
      </c>
      <c r="BX129" s="33" cm="1">
        <f t="array" ref="BX129">VLOOKUP($R129,武学奇术!$A:$ZZ,32,FALSE)+SUM(_xlfn.XLOOKUP($S129:$AL129,增益!$A:$A,增益!$X:$X,0))</f>
        <v>0</v>
      </c>
    </row>
    <row r="130" spans="1:76">
      <c r="A130" s="4" t="s">
        <v>190</v>
      </c>
      <c r="B130" s="4">
        <v>1.1</v>
      </c>
      <c r="C130" s="47" t="s">
        <v>183</v>
      </c>
      <c r="D130" s="47"/>
      <c r="E130" s="47"/>
      <c r="L130" s="46">
        <f t="shared" si="56"/>
        <v>0</v>
      </c>
      <c r="M130" s="46">
        <f>((($AT130+$AU130)/2*$AN130+$AO130)*(1+$AV130)*(1+$AW130)+(($AY130+$AZ130)/2*IF($G$1="鸣金",$AP130,$AN130)+IF($G$1="鸣金",$AQ130*1.5,0))*(1+$BA130)*(1+$BB130)+(($BC130+$BD130)/2*IF($G$1="裂石",$AP130,$AN130)+IF($G$1="裂石",$AQ130*1.5,0))*(1+$BE130)*(1+$BF130)+(($BG130+$BH130)/2*IF($G$1="牵丝",$AP130,$AN130)+IF($G$1="牵丝",$AQ130*1.5,0))*(1+$BI130)*(1+$BJ130)+(($BK130+$BL130)/2*IF($G$1="破竹",$AP130,$AN130)+IF($G$1="破竹",$AQ130*1.5,0))*(1+$BM130)*(1+$BN130))*(1+$AR130)*$BQ130*$Q130*(1+IF(VLOOKUP($R130,武学奇术!$A:$ZZ,30,FALSE)="蓄力技",$B$21,0))*(1+IF(VLOOKUP($R130,武学奇术!$A:$ZZ,30,FALSE)="派生技",$B$20,0))*(1+$BW130)*(1+$BX130)</f>
        <v>0</v>
      </c>
      <c r="N130" s="46">
        <f>(($AU130*$AN130+$AO130)*(1+$AV130)*(1+$AW130)+($AZ130*IF($G$1="鸣金",$AP130,$AN130)+IF($G$1="鸣金",$AQ130*1.5,0))*(1+$BA130)*(1+$BB130)+($BD130*IF($G$1="裂石",$AP130,$AN130)+IF($G$1="裂石",$AQ130*1.5,0))*(1+$BE130)*(1+$BF130)+($BH130*IF($G$1="牵丝",$AP130,$AN130)+IF($G$1="牵丝",$AQ130*1.5,0))*(1+$BI130)*(1+$BJ130)+($BL130*IF($G$1="破竹",$AP130,$AN130)+IF($G$1="破竹",$AQ130*1.5,0))*(1+$BM130)*(1+$BN130))*(1+$AR130)*$BS130*$Q130*(1+IF(VLOOKUP($R130,武学奇术!$A:$ZZ,30,FALSE)="蓄力技",$B$21,0))*(1+IF(VLOOKUP($R130,武学奇术!$A:$ZZ,30,FALSE)="派生技",$B$20,0))*(1+$BW130)*(1+$BX130)</f>
        <v>0</v>
      </c>
      <c r="O130" s="46">
        <f>((($AT130+$AU130)/2*$AN130+$AO130)*(1+$AV130)*(1+$AW130)+(($AY130+$AZ130)/2*IF($G$1="鸣金",$AP130,$AN130)+IF($G$1="鸣金",$AQ130*1.5,0))*(1+$BA130)*(1+$BB130)+(($BC130+$BD130)/2*IF($G$1="裂石",$AP130,$AN130)+IF($G$1="裂石",$AQ130*1.5,0))*(1+$BE130)*(1+$BF130)+(($BG130+$BH130)/2*IF($G$1="牵丝",$AP130,$AN130)+IF($G$1="牵丝",$AQ130*1.5,0))*(1+$BI130)*(1+$BJ130)+(($BK130+$BL130)/2*IF($G$1="破竹",$AP130,$AN130)+IF($G$1="破竹",$AQ130*1.5,0))*(1+$BM130)*(1+$BN130))*(1+$AR130)*$Q130*(1+IF(VLOOKUP($R130,武学奇术!$A:$ZZ,30,FALSE)="蓄力技",$B$21,0))*(1+IF(VLOOKUP($R130,武学奇术!$A:$ZZ,30,FALSE)="派生技",$B$20,0))*(1+$BW130)*(1+$BX130)</f>
        <v>0</v>
      </c>
      <c r="P130" s="46">
        <f>((($AT130*$AN130+$AO130)*(1+$AV130)*(1+$AW130)+($AY130*IF($G$1="鸣金",$AP130,$AN130)+IF($G$1="鸣金",$AQ130*1.5,0))*(1+$BA130)*(1+$BB130)+($BC130*IF($G$1="裂石",$AP130,$AN130)+IF($G$1="裂石",$AQ130*1.5,0))*(1+$BE130)*(1+$BF130)+($BG130*IF($G$1="牵丝",$AP130,$AN130)+IF($G$1="牵丝",$AQ130*1.5,0))*(1+$BI130)*(1+$BJ130)+($BK130*IF($G$1="破竹",$AP130,$AN130)+IF($G$1="破竹",$AQ130*1.5,0))*(1+$BM130)*(1+$BN130))*(1+$AR130))*$Q130*(1+IF(VLOOKUP($R130,武学奇术!$A:$ZZ,30,FALSE)="蓄力技",$B$21,0))*(1+IF(VLOOKUP($R130,武学奇术!$A:$ZZ,30,FALSE)="派生技",$B$20,0))*(1+$BW130)*(1+$BX130)</f>
        <v>0</v>
      </c>
      <c r="Q130" s="47">
        <f t="shared" ref="Q130:Q138" si="67">IF($E$24="唐刀",1,0)</f>
        <v>0</v>
      </c>
      <c r="R130" s="48" t="s">
        <v>76</v>
      </c>
      <c r="S130" s="48" t="s">
        <v>77</v>
      </c>
      <c r="T130" s="48" t="s">
        <v>89</v>
      </c>
      <c r="U130" s="48" t="s">
        <v>79</v>
      </c>
      <c r="V130" s="48" t="s">
        <v>80</v>
      </c>
      <c r="W130" s="48" t="s">
        <v>80</v>
      </c>
      <c r="X130" s="48" t="s">
        <v>80</v>
      </c>
      <c r="Y130" s="48" t="s">
        <v>80</v>
      </c>
      <c r="Z130" s="48" t="s">
        <v>81</v>
      </c>
      <c r="AA130" s="48" t="s">
        <v>80</v>
      </c>
      <c r="AB130" s="48" t="s">
        <v>80</v>
      </c>
      <c r="AC130" s="48" t="s">
        <v>80</v>
      </c>
      <c r="AD130" s="48" t="s">
        <v>80</v>
      </c>
      <c r="AE130" s="48" t="s">
        <v>82</v>
      </c>
      <c r="AF130" s="48" t="s">
        <v>83</v>
      </c>
      <c r="AG130" s="48" t="s">
        <v>84</v>
      </c>
      <c r="AH130" s="48" t="s">
        <v>80</v>
      </c>
      <c r="AI130" s="48" t="s">
        <v>80</v>
      </c>
      <c r="AJ130" s="48" t="s">
        <v>80</v>
      </c>
      <c r="AK130" s="48" t="s">
        <v>80</v>
      </c>
      <c r="AL130" s="48" t="s">
        <v>85</v>
      </c>
      <c r="AM130" t="str">
        <f>VLOOKUP($R130,武学奇术!$A:$ZZ,25,FALSE)</f>
        <v>群体奇术</v>
      </c>
      <c r="AN130" s="33">
        <f>VLOOKUP($R130,武学奇术!$A:$ZZ,26,FALSE)</f>
        <v>1.4906</v>
      </c>
      <c r="AO130" s="34">
        <f>VLOOKUP($R130,武学奇术!$A:$ZZ,27,FALSE)*(1+IF(OR($AM130=$F$4,$AM130=$F$5),$B$22,0))</f>
        <v>386</v>
      </c>
      <c r="AP130" s="33">
        <f>VLOOKUP($R130,武学奇术!$A:$ZZ,28,FALSE)</f>
        <v>2.2359</v>
      </c>
      <c r="AQ130" s="34">
        <f>VLOOKUP($R130,武学奇术!$A:$ZZ,29,FALSE)*(1+IF(OR($AM130=$F$4,$AM130=$F$5),$B$22,0))</f>
        <v>0</v>
      </c>
      <c r="AR130" s="33" cm="1">
        <f t="array" ref="AR130">$G$3+IFERROR(VLOOKUP($AM130,$F$4:$G$7,2,FALSE),0)+VLOOKUP($R130,武学奇术!$A:$ZZ,2,FALSE)+SUM(_xlfn.XLOOKUP($S130:$AL130,增益!$A:$A,增益!$B:$B,0))</f>
        <v>0.3542</v>
      </c>
      <c r="AS130" s="33" cm="1">
        <f t="array" ref="AS130">VLOOKUP($R130,武学奇术!$A:$ZZ,5,FALSE)+SUM(_xlfn.XLOOKUP($S130:$AL130,增益!$A:$A,增益!$E:$E,0))</f>
        <v>0</v>
      </c>
      <c r="AT130" cm="1">
        <f t="array" ref="AT130">$D$10*(1+$AS130)+VLOOKUP($R130,武学奇术!$A:$ZZ,3,FALSE)+SUM(_xlfn.XLOOKUP($S130:$AL130,增益!$A:$A,增益!$C:$C,0))-$I$2</f>
        <v>4094.7</v>
      </c>
      <c r="AU130" cm="1">
        <f t="array" ref="AU130">$E$10*(1+$AS130)+VLOOKUP($R130,武学奇术!$A:$ZZ,4,FALSE)+SUM(_xlfn.XLOOKUP($S130:$AL130,增益!$A:$A,增益!$D:$D,0))-$I$2</f>
        <v>4094.7</v>
      </c>
      <c r="AV130" s="40" cm="1">
        <f t="array" ref="AV130">IF($F$10-$I$3+VLOOKUP($R130,武学奇术!$A:$ZZ,6,FALSE)+SUM(_xlfn.XLOOKUP($S130:$AL130,增益!$A:$A,增益!$F:$F,0))&gt;0,($F$10-$I$3+VLOOKUP($R130,武学奇术!$A:$ZZ,6,FALSE)+SUM(_xlfn.XLOOKUP($S130:$AL130,增益!$A:$A,增益!$F:$F,0)))/200,($F$10-$I$3+VLOOKUP($R130,武学奇术!$A:$ZZ,6,FALSE)+SUM(_xlfn.XLOOKUP($S130:$AL130,增益!$A:$A,增益!$F:$F,0)))/100)</f>
        <v>0.3334</v>
      </c>
      <c r="AW130" s="40" cm="1">
        <f t="array" ref="AW130">$G$10+VLOOKUP($R130,武学奇术!$A:$ZZ,7,FALSE)+SUM(_xlfn.XLOOKUP($S130:$AL130,增益!$A:$A,增益!$G:$G,0))</f>
        <v>0.14</v>
      </c>
      <c r="AX130" s="33" cm="1">
        <f t="array" ref="AX130">VLOOKUP($R130,武学奇术!$A:$ZZ,8,FALSE)+SUM(_xlfn.XLOOKUP($S130:$AL130,增益!$A:$A,增益!$H:$H,0))</f>
        <v>0</v>
      </c>
      <c r="AY130">
        <f t="shared" si="57"/>
        <v>0</v>
      </c>
      <c r="AZ130">
        <f t="shared" si="58"/>
        <v>0</v>
      </c>
      <c r="BA130" s="40" cm="1">
        <f t="array" ref="BA130">IF($F$11-$I$4+VLOOKUP($R130,武学奇术!$A:$ZZ,9,FALSE)+SUM(_xlfn.XLOOKUP($S130:$AL130,增益!$A:$A,增益!$I:$I,0))&gt;0,($F$11-$I$4+VLOOKUP($R130,武学奇术!$A:$ZZ,9,FALSE)+SUM(_xlfn.XLOOKUP($S130:$AL130,增益!$A:$A,增益!$I:$I,0)))/200,($F$11-$I$4+VLOOKUP($R130,武学奇术!$A:$ZZ,9,FALSE)+SUM(_xlfn.XLOOKUP($S130:$AL130,增益!$A:$A,增益!$I:$I,0)))/100)</f>
        <v>-0.3</v>
      </c>
      <c r="BB130" s="40" cm="1">
        <f t="array" ref="BB130">$G$11+VLOOKUP($R130,武学奇术!$A:$ZZ,10,FALSE)+SUM(_xlfn.XLOOKUP($S130:$AL130,增益!$A:$A,增益!$J:$J,0))</f>
        <v>0.02</v>
      </c>
      <c r="BC130">
        <f t="shared" si="59"/>
        <v>640.3</v>
      </c>
      <c r="BD130">
        <f t="shared" si="60"/>
        <v>1770.1</v>
      </c>
      <c r="BE130" s="40" cm="1">
        <f t="array" ref="BE130">IF($F$12-$I$4+VLOOKUP($R130,武学奇术!$A:$ZZ,11,FALSE)+SUM(_xlfn.XLOOKUP($S130:$AL130,增益!$A:$A,增益!$K:$K,0))&gt;0,($F$12-$I$4+VLOOKUP($R130,武学奇术!$A:$ZZ,11,FALSE)+SUM(_xlfn.XLOOKUP($S130:$AL130,增益!$A:$A,增益!$K:$K,0)))/200,($F$12-$I$4+VLOOKUP($R130,武学奇术!$A:$ZZ,11,FALSE)+SUM(_xlfn.XLOOKUP($S130:$AL130,增益!$A:$A,增益!$K:$K,0)))/100)</f>
        <v>0.09</v>
      </c>
      <c r="BF130" s="40" cm="1">
        <f t="array" ref="BF130">$G$12+VLOOKUP($R130,武学奇术!$A:$ZZ,12,FALSE)+SUM(_xlfn.XLOOKUP($S130:$AL130,增益!$A:$A,增益!$L:$L,0))</f>
        <v>0.29</v>
      </c>
      <c r="BG130">
        <f t="shared" si="61"/>
        <v>0</v>
      </c>
      <c r="BH130">
        <f t="shared" si="62"/>
        <v>0</v>
      </c>
      <c r="BI130" s="40" cm="1">
        <f t="array" ref="BI130">IF($F$13-$I$4+VLOOKUP($R130,武学奇术!$A:$ZZ,13,FALSE)+SUM(_xlfn.XLOOKUP($S130:$AL130,增益!$A:$A,增益!$M:$M,0))&gt;0,($F$13-$I$4+VLOOKUP($R130,武学奇术!$A:$ZZ,13,FALSE)+SUM(_xlfn.XLOOKUP($S130:$AL130,增益!$A:$A,增益!$K:$K,0)))/200,($F$13-$I$4+VLOOKUP($R130,武学奇术!$A:$ZZ,13,FALSE)+SUM(_xlfn.XLOOKUP($S130:$AL130,增益!$A:$A,增益!$M:$M,0)))/100)</f>
        <v>-0.3</v>
      </c>
      <c r="BJ130" s="40" cm="1">
        <f t="array" ref="BJ130">$G$13+VLOOKUP($R130,武学奇术!$A:$ZZ,14,FALSE)+SUM(_xlfn.XLOOKUP($S130:$AL130,增益!$A:$A,增益!$N:$N,0))</f>
        <v>0.02</v>
      </c>
      <c r="BK130">
        <f t="shared" si="63"/>
        <v>0</v>
      </c>
      <c r="BL130">
        <f t="shared" si="64"/>
        <v>0</v>
      </c>
      <c r="BM130" s="40" cm="1">
        <f t="array" ref="BM130">IF($F$14-$I$4+VLOOKUP($R130,武学奇术!$A:$ZZ,15,FALSE)+SUM(_xlfn.XLOOKUP($S130:$AL130,增益!$A:$A,增益!$O:$O,0))&gt;0,($F$14-$I$4+VLOOKUP($R130,武学奇术!$A:$ZZ,15,FALSE)+SUM(_xlfn.XLOOKUP($S130:$AL130,增益!$A:$A,增益!$O:$O,0)))/200,($F$14-$I$4+VLOOKUP($R130,武学奇术!$A:$ZZ,15,FALSE)+SUM(_xlfn.XLOOKUP($S130:$AL130,增益!$A:$A,增益!$O:$O,0)))/100)</f>
        <v>-0.3</v>
      </c>
      <c r="BN130" s="40" cm="1">
        <f t="array" ref="BN130">$G$14+VLOOKUP($R130,武学奇术!$A:$ZZ,16,FALSE)+SUM(_xlfn.XLOOKUP($S130:$AL130,增益!$A:$A,增益!$P:$P,0))</f>
        <v>0.02</v>
      </c>
      <c r="BO130" s="33">
        <f>MIN(IF(VLOOKUP($R130,武学奇术!$A:$ZZ,23,FALSE)=1,100%,$B$8),100%)</f>
        <v>0.9771</v>
      </c>
      <c r="BP130" s="33" cm="1">
        <f t="array" ref="BP130">IF(VLOOKUP($R130,武学奇术!$A:$ZZ,23,FALSE)=1,100%,MIN(80%,$B$9+VLOOKUP($R130,武学奇术!$A:$ZZ,17,FALSE)+SUM(_xlfn.XLOOKUP($S130:$AL130,增益!$A:$A,增益!$Q:$Q,0)))+$B$11+SUM(_xlfn.XLOOKUP($S130:$AL130,增益!$A:$A,增益!$U:$U,0)))*IF(VLOOKUP($R130,武学奇术!$A:$ZZ,24,FALSE)=1,0,1)</f>
        <v>0.8861</v>
      </c>
      <c r="BQ130" s="33" cm="1">
        <f t="array" ref="BQ130">1+$B$13+VLOOKUP($R130,武学奇术!$A:$ZZ,18,FALSE)+SUM(_xlfn.XLOOKUP($S130:$AL130,增益!$A:$A,增益!$R:$R,0))</f>
        <v>1.77</v>
      </c>
      <c r="BR130" s="33" cm="1">
        <f t="array" ref="BR130">IF(VLOOKUP($R130,武学奇术!$A:$ZZ,24,FALSE)=1,100%,MIN(40%,$B$10+VLOOKUP($R130,武学奇术!$A:$ZZ,19,FALSE)+SUM(_xlfn.XLOOKUP($S130:$AL130,增益!$A:$A,增益!$S:$S,0)))+$B$12+SUM(_xlfn.XLOOKUP($S130:$AL130,增益!$A:$A,增益!$V:$V,0)))*IF(VLOOKUP($R130,武学奇术!$A:$ZZ,23,FALSE)=1,0,1)</f>
        <v>0.0913</v>
      </c>
      <c r="BS130" s="33" cm="1">
        <f t="array" ref="BS130">1+$B$14+VLOOKUP($R130,武学奇术!$A:$ZZ,20,FALSE)+SUM(_xlfn.XLOOKUP($S130:$AL130,增益!$A:$A,增益!$T:$T,0))</f>
        <v>1.35</v>
      </c>
      <c r="BT130" s="33">
        <f t="shared" si="65"/>
        <v>0.86580831</v>
      </c>
      <c r="BU130" s="33">
        <f t="shared" si="66"/>
        <v>0.02208246</v>
      </c>
      <c r="BV130" s="33">
        <f>IF(VLOOKUP($R130,武学奇术!$A:$ZZ,22,FALSE)=1,0,(1-$BO130))*(1-$BR130)</f>
        <v>0.02080923</v>
      </c>
      <c r="BW130" s="33" cm="1">
        <f t="array" ref="BW130">SUM(_xlfn.XLOOKUP($S130:$AL130,增益!$A:$A,增益!$W:$W,0))+$I$5</f>
        <v>0.11</v>
      </c>
      <c r="BX130" s="33" cm="1">
        <f t="array" ref="BX130">VLOOKUP($R130,武学奇术!$A:$ZZ,32,FALSE)+SUM(_xlfn.XLOOKUP($S130:$AL130,增益!$A:$A,增益!$X:$X,0))</f>
        <v>0</v>
      </c>
    </row>
    <row r="131" spans="1:76">
      <c r="A131" s="4" t="s">
        <v>189</v>
      </c>
      <c r="B131" s="4">
        <v>0.8</v>
      </c>
      <c r="C131" s="47"/>
      <c r="D131" s="47"/>
      <c r="E131" s="47"/>
      <c r="L131" s="46">
        <f t="shared" si="56"/>
        <v>0</v>
      </c>
      <c r="M131" s="46">
        <f>((($AT131+$AU131)/2*$AN131+$AO131)*(1+$AV131)*(1+$AW131)+(($AY131+$AZ131)/2*IF($G$1="鸣金",$AP131,$AN131)+IF($G$1="鸣金",$AQ131*1.5,0))*(1+$BA131)*(1+$BB131)+(($BC131+$BD131)/2*IF($G$1="裂石",$AP131,$AN131)+IF($G$1="裂石",$AQ131*1.5,0))*(1+$BE131)*(1+$BF131)+(($BG131+$BH131)/2*IF($G$1="牵丝",$AP131,$AN131)+IF($G$1="牵丝",$AQ131*1.5,0))*(1+$BI131)*(1+$BJ131)+(($BK131+$BL131)/2*IF($G$1="破竹",$AP131,$AN131)+IF($G$1="破竹",$AQ131*1.5,0))*(1+$BM131)*(1+$BN131))*(1+$AR131)*$BQ131*$Q131*(1+IF(VLOOKUP($R131,武学奇术!$A:$ZZ,30,FALSE)="蓄力技",$B$21,0))*(1+IF(VLOOKUP($R131,武学奇术!$A:$ZZ,30,FALSE)="派生技",$B$20,0))*(1+$BW131)*(1+$BX131)</f>
        <v>0</v>
      </c>
      <c r="N131" s="46">
        <f>(($AU131*$AN131+$AO131)*(1+$AV131)*(1+$AW131)+($AZ131*IF($G$1="鸣金",$AP131,$AN131)+IF($G$1="鸣金",$AQ131*1.5,0))*(1+$BA131)*(1+$BB131)+($BD131*IF($G$1="裂石",$AP131,$AN131)+IF($G$1="裂石",$AQ131*1.5,0))*(1+$BE131)*(1+$BF131)+($BH131*IF($G$1="牵丝",$AP131,$AN131)+IF($G$1="牵丝",$AQ131*1.5,0))*(1+$BI131)*(1+$BJ131)+($BL131*IF($G$1="破竹",$AP131,$AN131)+IF($G$1="破竹",$AQ131*1.5,0))*(1+$BM131)*(1+$BN131))*(1+$AR131)*$BS131*$Q131*(1+IF(VLOOKUP($R131,武学奇术!$A:$ZZ,30,FALSE)="蓄力技",$B$21,0))*(1+IF(VLOOKUP($R131,武学奇术!$A:$ZZ,30,FALSE)="派生技",$B$20,0))*(1+$BW131)*(1+$BX131)</f>
        <v>0</v>
      </c>
      <c r="O131" s="46">
        <f>((($AT131+$AU131)/2*$AN131+$AO131)*(1+$AV131)*(1+$AW131)+(($AY131+$AZ131)/2*IF($G$1="鸣金",$AP131,$AN131)+IF($G$1="鸣金",$AQ131*1.5,0))*(1+$BA131)*(1+$BB131)+(($BC131+$BD131)/2*IF($G$1="裂石",$AP131,$AN131)+IF($G$1="裂石",$AQ131*1.5,0))*(1+$BE131)*(1+$BF131)+(($BG131+$BH131)/2*IF($G$1="牵丝",$AP131,$AN131)+IF($G$1="牵丝",$AQ131*1.5,0))*(1+$BI131)*(1+$BJ131)+(($BK131+$BL131)/2*IF($G$1="破竹",$AP131,$AN131)+IF($G$1="破竹",$AQ131*1.5,0))*(1+$BM131)*(1+$BN131))*(1+$AR131)*$Q131*(1+IF(VLOOKUP($R131,武学奇术!$A:$ZZ,30,FALSE)="蓄力技",$B$21,0))*(1+IF(VLOOKUP($R131,武学奇术!$A:$ZZ,30,FALSE)="派生技",$B$20,0))*(1+$BW131)*(1+$BX131)</f>
        <v>0</v>
      </c>
      <c r="P131" s="46">
        <f>((($AT131*$AN131+$AO131)*(1+$AV131)*(1+$AW131)+($AY131*IF($G$1="鸣金",$AP131,$AN131)+IF($G$1="鸣金",$AQ131*1.5,0))*(1+$BA131)*(1+$BB131)+($BC131*IF($G$1="裂石",$AP131,$AN131)+IF($G$1="裂石",$AQ131*1.5,0))*(1+$BE131)*(1+$BF131)+($BG131*IF($G$1="牵丝",$AP131,$AN131)+IF($G$1="牵丝",$AQ131*1.5,0))*(1+$BI131)*(1+$BJ131)+($BK131*IF($G$1="破竹",$AP131,$AN131)+IF($G$1="破竹",$AQ131*1.5,0))*(1+$BM131)*(1+$BN131))*(1+$AR131))*$Q131*(1+IF(VLOOKUP($R131,武学奇术!$A:$ZZ,30,FALSE)="蓄力技",$B$21,0))*(1+IF(VLOOKUP($R131,武学奇术!$A:$ZZ,30,FALSE)="派生技",$B$20,0))*(1+$BW131)*(1+$BX131)</f>
        <v>0</v>
      </c>
      <c r="Q131" s="47">
        <f t="shared" si="67"/>
        <v>0</v>
      </c>
      <c r="R131" s="48" t="s">
        <v>76</v>
      </c>
      <c r="S131" s="48" t="s">
        <v>94</v>
      </c>
      <c r="T131" s="48" t="s">
        <v>95</v>
      </c>
      <c r="U131" s="48" t="s">
        <v>79</v>
      </c>
      <c r="V131" s="48" t="s">
        <v>90</v>
      </c>
      <c r="W131" s="48" t="s">
        <v>91</v>
      </c>
      <c r="X131" s="48" t="s">
        <v>80</v>
      </c>
      <c r="Y131" s="48" t="s">
        <v>80</v>
      </c>
      <c r="Z131" s="48" t="s">
        <v>81</v>
      </c>
      <c r="AA131" s="48" t="s">
        <v>80</v>
      </c>
      <c r="AB131" s="48" t="s">
        <v>80</v>
      </c>
      <c r="AC131" s="48" t="s">
        <v>80</v>
      </c>
      <c r="AD131" s="48" t="s">
        <v>80</v>
      </c>
      <c r="AE131" s="48" t="s">
        <v>82</v>
      </c>
      <c r="AF131" s="48" t="s">
        <v>83</v>
      </c>
      <c r="AG131" s="48" t="s">
        <v>84</v>
      </c>
      <c r="AH131" s="48" t="s">
        <v>80</v>
      </c>
      <c r="AI131" s="48" t="s">
        <v>80</v>
      </c>
      <c r="AJ131" s="48" t="s">
        <v>80</v>
      </c>
      <c r="AK131" s="48" t="s">
        <v>80</v>
      </c>
      <c r="AL131" s="48" t="s">
        <v>85</v>
      </c>
      <c r="AM131" t="str">
        <f>VLOOKUP($R131,武学奇术!$A:$ZZ,25,FALSE)</f>
        <v>群体奇术</v>
      </c>
      <c r="AN131" s="33">
        <f>VLOOKUP($R131,武学奇术!$A:$ZZ,26,FALSE)</f>
        <v>1.4906</v>
      </c>
      <c r="AO131" s="34">
        <f>VLOOKUP($R131,武学奇术!$A:$ZZ,27,FALSE)*(1+IF(OR($AM131=$F$4,$AM131=$F$5),$B$22,0))</f>
        <v>386</v>
      </c>
      <c r="AP131" s="33">
        <f>VLOOKUP($R131,武学奇术!$A:$ZZ,28,FALSE)</f>
        <v>2.2359</v>
      </c>
      <c r="AQ131" s="34">
        <f>VLOOKUP($R131,武学奇术!$A:$ZZ,29,FALSE)*(1+IF(OR($AM131=$F$4,$AM131=$F$5),$B$22,0))</f>
        <v>0</v>
      </c>
      <c r="AR131" s="33" cm="1">
        <f t="array" ref="AR131">$G$3+IFERROR(VLOOKUP($AM131,$F$4:$G$7,2,FALSE),0)+VLOOKUP($R131,武学奇术!$A:$ZZ,2,FALSE)+SUM(_xlfn.XLOOKUP($S131:$AL131,增益!$A:$A,增益!$B:$B,0))</f>
        <v>0.4542</v>
      </c>
      <c r="AS131" s="33" cm="1">
        <f t="array" ref="AS131">VLOOKUP($R131,武学奇术!$A:$ZZ,5,FALSE)+SUM(_xlfn.XLOOKUP($S131:$AL131,增益!$A:$A,增益!$E:$E,0))</f>
        <v>0</v>
      </c>
      <c r="AT131" cm="1">
        <f t="array" ref="AT131">$D$10*(1+$AS131)+VLOOKUP($R131,武学奇术!$A:$ZZ,3,FALSE)+SUM(_xlfn.XLOOKUP($S131:$AL131,增益!$A:$A,增益!$C:$C,0))-$I$2</f>
        <v>4094.7</v>
      </c>
      <c r="AU131" cm="1">
        <f t="array" ref="AU131">$E$10*(1+$AS131)+VLOOKUP($R131,武学奇术!$A:$ZZ,4,FALSE)+SUM(_xlfn.XLOOKUP($S131:$AL131,增益!$A:$A,增益!$D:$D,0))-$I$2</f>
        <v>4094.7</v>
      </c>
      <c r="AV131" s="40" cm="1">
        <f t="array" ref="AV131">IF($F$10-$I$3+VLOOKUP($R131,武学奇术!$A:$ZZ,6,FALSE)+SUM(_xlfn.XLOOKUP($S131:$AL131,增益!$A:$A,增益!$F:$F,0))&gt;0,($F$10-$I$3+VLOOKUP($R131,武学奇术!$A:$ZZ,6,FALSE)+SUM(_xlfn.XLOOKUP($S131:$AL131,增益!$A:$A,增益!$F:$F,0)))/200,($F$10-$I$3+VLOOKUP($R131,武学奇术!$A:$ZZ,6,FALSE)+SUM(_xlfn.XLOOKUP($S131:$AL131,增益!$A:$A,增益!$F:$F,0)))/100)</f>
        <v>0.4034</v>
      </c>
      <c r="AW131" s="40" cm="1">
        <f t="array" ref="AW131">$G$10+VLOOKUP($R131,武学奇术!$A:$ZZ,7,FALSE)+SUM(_xlfn.XLOOKUP($S131:$AL131,增益!$A:$A,增益!$G:$G,0))</f>
        <v>0.14</v>
      </c>
      <c r="AX131" s="33" cm="1">
        <f t="array" ref="AX131">VLOOKUP($R131,武学奇术!$A:$ZZ,8,FALSE)+SUM(_xlfn.XLOOKUP($S131:$AL131,增益!$A:$A,增益!$H:$H,0))</f>
        <v>0</v>
      </c>
      <c r="AY131">
        <f t="shared" si="57"/>
        <v>0</v>
      </c>
      <c r="AZ131">
        <f t="shared" si="58"/>
        <v>0</v>
      </c>
      <c r="BA131" s="40" cm="1">
        <f t="array" ref="BA131">IF($F$11-$I$4+VLOOKUP($R131,武学奇术!$A:$ZZ,9,FALSE)+SUM(_xlfn.XLOOKUP($S131:$AL131,增益!$A:$A,增益!$I:$I,0))&gt;0,($F$11-$I$4+VLOOKUP($R131,武学奇术!$A:$ZZ,9,FALSE)+SUM(_xlfn.XLOOKUP($S131:$AL131,增益!$A:$A,增益!$I:$I,0)))/200,($F$11-$I$4+VLOOKUP($R131,武学奇术!$A:$ZZ,9,FALSE)+SUM(_xlfn.XLOOKUP($S131:$AL131,增益!$A:$A,增益!$I:$I,0)))/100)</f>
        <v>-0.14</v>
      </c>
      <c r="BB131" s="40" cm="1">
        <f t="array" ref="BB131">$G$11+VLOOKUP($R131,武学奇术!$A:$ZZ,10,FALSE)+SUM(_xlfn.XLOOKUP($S131:$AL131,增益!$A:$A,增益!$J:$J,0))</f>
        <v>0.02</v>
      </c>
      <c r="BC131">
        <f t="shared" si="59"/>
        <v>640.3</v>
      </c>
      <c r="BD131">
        <f t="shared" si="60"/>
        <v>1770.1</v>
      </c>
      <c r="BE131" s="40" cm="1">
        <f t="array" ref="BE131">IF($F$12-$I$4+VLOOKUP($R131,武学奇术!$A:$ZZ,11,FALSE)+SUM(_xlfn.XLOOKUP($S131:$AL131,增益!$A:$A,增益!$K:$K,0))&gt;0,($F$12-$I$4+VLOOKUP($R131,武学奇术!$A:$ZZ,11,FALSE)+SUM(_xlfn.XLOOKUP($S131:$AL131,增益!$A:$A,增益!$K:$K,0)))/200,($F$12-$I$4+VLOOKUP($R131,武学奇术!$A:$ZZ,11,FALSE)+SUM(_xlfn.XLOOKUP($S131:$AL131,增益!$A:$A,增益!$K:$K,0)))/100)</f>
        <v>0.17</v>
      </c>
      <c r="BF131" s="40" cm="1">
        <f t="array" ref="BF131">$G$12+VLOOKUP($R131,武学奇术!$A:$ZZ,12,FALSE)+SUM(_xlfn.XLOOKUP($S131:$AL131,增益!$A:$A,增益!$L:$L,0))</f>
        <v>0.29</v>
      </c>
      <c r="BG131">
        <f t="shared" si="61"/>
        <v>0</v>
      </c>
      <c r="BH131">
        <f t="shared" si="62"/>
        <v>0</v>
      </c>
      <c r="BI131" s="40" cm="1">
        <f t="array" ref="BI131">IF($F$13-$I$4+VLOOKUP($R131,武学奇术!$A:$ZZ,13,FALSE)+SUM(_xlfn.XLOOKUP($S131:$AL131,增益!$A:$A,增益!$M:$M,0))&gt;0,($F$13-$I$4+VLOOKUP($R131,武学奇术!$A:$ZZ,13,FALSE)+SUM(_xlfn.XLOOKUP($S131:$AL131,增益!$A:$A,增益!$K:$K,0)))/200,($F$13-$I$4+VLOOKUP($R131,武学奇术!$A:$ZZ,13,FALSE)+SUM(_xlfn.XLOOKUP($S131:$AL131,增益!$A:$A,增益!$M:$M,0)))/100)</f>
        <v>-0.14</v>
      </c>
      <c r="BJ131" s="40" cm="1">
        <f t="array" ref="BJ131">$G$13+VLOOKUP($R131,武学奇术!$A:$ZZ,14,FALSE)+SUM(_xlfn.XLOOKUP($S131:$AL131,增益!$A:$A,增益!$N:$N,0))</f>
        <v>0.02</v>
      </c>
      <c r="BK131">
        <f t="shared" si="63"/>
        <v>0</v>
      </c>
      <c r="BL131">
        <f t="shared" si="64"/>
        <v>0</v>
      </c>
      <c r="BM131" s="40" cm="1">
        <f t="array" ref="BM131">IF($F$14-$I$4+VLOOKUP($R131,武学奇术!$A:$ZZ,15,FALSE)+SUM(_xlfn.XLOOKUP($S131:$AL131,增益!$A:$A,增益!$O:$O,0))&gt;0,($F$14-$I$4+VLOOKUP($R131,武学奇术!$A:$ZZ,15,FALSE)+SUM(_xlfn.XLOOKUP($S131:$AL131,增益!$A:$A,增益!$O:$O,0)))/200,($F$14-$I$4+VLOOKUP($R131,武学奇术!$A:$ZZ,15,FALSE)+SUM(_xlfn.XLOOKUP($S131:$AL131,增益!$A:$A,增益!$O:$O,0)))/100)</f>
        <v>-0.14</v>
      </c>
      <c r="BN131" s="40" cm="1">
        <f t="array" ref="BN131">$G$14+VLOOKUP($R131,武学奇术!$A:$ZZ,16,FALSE)+SUM(_xlfn.XLOOKUP($S131:$AL131,增益!$A:$A,增益!$P:$P,0))</f>
        <v>0.02</v>
      </c>
      <c r="BO131" s="33">
        <f>MIN(IF(VLOOKUP($R131,武学奇术!$A:$ZZ,23,FALSE)=1,100%,$B$8),100%)</f>
        <v>0.9771</v>
      </c>
      <c r="BP131" s="33" cm="1">
        <f t="array" ref="BP131">IF(VLOOKUP($R131,武学奇术!$A:$ZZ,23,FALSE)=1,100%,MIN(80%,$B$9+VLOOKUP($R131,武学奇术!$A:$ZZ,17,FALSE)+SUM(_xlfn.XLOOKUP($S131:$AL131,增益!$A:$A,增益!$Q:$Q,0)))+$B$11+SUM(_xlfn.XLOOKUP($S131:$AL131,增益!$A:$A,增益!$U:$U,0)))*IF(VLOOKUP($R131,武学奇术!$A:$ZZ,24,FALSE)=1,0,1)</f>
        <v>0.8861</v>
      </c>
      <c r="BQ131" s="33" cm="1">
        <f t="array" ref="BQ131">1+$B$13+VLOOKUP($R131,武学奇术!$A:$ZZ,18,FALSE)+SUM(_xlfn.XLOOKUP($S131:$AL131,增益!$A:$A,增益!$R:$R,0))</f>
        <v>1.88</v>
      </c>
      <c r="BR131" s="33" cm="1">
        <f t="array" ref="BR131">IF(VLOOKUP($R131,武学奇术!$A:$ZZ,24,FALSE)=1,100%,MIN(40%,$B$10+VLOOKUP($R131,武学奇术!$A:$ZZ,19,FALSE)+SUM(_xlfn.XLOOKUP($S131:$AL131,增益!$A:$A,增益!$S:$S,0)))+$B$12+SUM(_xlfn.XLOOKUP($S131:$AL131,增益!$A:$A,增益!$V:$V,0)))*IF(VLOOKUP($R131,武学奇术!$A:$ZZ,23,FALSE)=1,0,1)</f>
        <v>0.0913</v>
      </c>
      <c r="BS131" s="33" cm="1">
        <f t="array" ref="BS131">1+$B$14+VLOOKUP($R131,武学奇术!$A:$ZZ,20,FALSE)+SUM(_xlfn.XLOOKUP($S131:$AL131,增益!$A:$A,增益!$T:$T,0))</f>
        <v>1.35</v>
      </c>
      <c r="BT131" s="33">
        <f t="shared" si="65"/>
        <v>0.86580831</v>
      </c>
      <c r="BU131" s="33">
        <f t="shared" si="66"/>
        <v>0.02208246</v>
      </c>
      <c r="BV131" s="33">
        <f>IF(VLOOKUP($R131,武学奇术!$A:$ZZ,22,FALSE)=1,0,(1-$BO131))*(1-$BR131)</f>
        <v>0.02080923</v>
      </c>
      <c r="BW131" s="33" cm="1">
        <f t="array" ref="BW131">SUM(_xlfn.XLOOKUP($S131:$AL131,增益!$A:$A,增益!$W:$W,0))+$I$5</f>
        <v>0.11</v>
      </c>
      <c r="BX131" s="33" cm="1">
        <f t="array" ref="BX131">VLOOKUP($R131,武学奇术!$A:$ZZ,32,FALSE)+SUM(_xlfn.XLOOKUP($S131:$AL131,增益!$A:$A,增益!$X:$X,0))</f>
        <v>0</v>
      </c>
    </row>
    <row r="132" spans="1:76">
      <c r="A132" s="4" t="s">
        <v>190</v>
      </c>
      <c r="B132" s="4">
        <v>1.1</v>
      </c>
      <c r="C132" s="47"/>
      <c r="D132" s="47"/>
      <c r="E132" s="47"/>
      <c r="L132" s="46">
        <f t="shared" si="56"/>
        <v>0</v>
      </c>
      <c r="M132" s="46">
        <f>((($AT132+$AU132)/2*$AN132+$AO132)*(1+$AV132)*(1+$AW132)+(($AY132+$AZ132)/2*IF($G$1="鸣金",$AP132,$AN132)+IF($G$1="鸣金",$AQ132*1.5,0))*(1+$BA132)*(1+$BB132)+(($BC132+$BD132)/2*IF($G$1="裂石",$AP132,$AN132)+IF($G$1="裂石",$AQ132*1.5,0))*(1+$BE132)*(1+$BF132)+(($BG132+$BH132)/2*IF($G$1="牵丝",$AP132,$AN132)+IF($G$1="牵丝",$AQ132*1.5,0))*(1+$BI132)*(1+$BJ132)+(($BK132+$BL132)/2*IF($G$1="破竹",$AP132,$AN132)+IF($G$1="破竹",$AQ132*1.5,0))*(1+$BM132)*(1+$BN132))*(1+$AR132)*$BQ132*$Q132*(1+IF(VLOOKUP($R132,武学奇术!$A:$ZZ,30,FALSE)="蓄力技",$B$21,0))*(1+IF(VLOOKUP($R132,武学奇术!$A:$ZZ,30,FALSE)="派生技",$B$20,0))*(1+$BW132)*(1+$BX132)</f>
        <v>0</v>
      </c>
      <c r="N132" s="46">
        <f>(($AU132*$AN132+$AO132)*(1+$AV132)*(1+$AW132)+($AZ132*IF($G$1="鸣金",$AP132,$AN132)+IF($G$1="鸣金",$AQ132*1.5,0))*(1+$BA132)*(1+$BB132)+($BD132*IF($G$1="裂石",$AP132,$AN132)+IF($G$1="裂石",$AQ132*1.5,0))*(1+$BE132)*(1+$BF132)+($BH132*IF($G$1="牵丝",$AP132,$AN132)+IF($G$1="牵丝",$AQ132*1.5,0))*(1+$BI132)*(1+$BJ132)+($BL132*IF($G$1="破竹",$AP132,$AN132)+IF($G$1="破竹",$AQ132*1.5,0))*(1+$BM132)*(1+$BN132))*(1+$AR132)*$BS132*$Q132*(1+IF(VLOOKUP($R132,武学奇术!$A:$ZZ,30,FALSE)="蓄力技",$B$21,0))*(1+IF(VLOOKUP($R132,武学奇术!$A:$ZZ,30,FALSE)="派生技",$B$20,0))*(1+$BW132)*(1+$BX132)</f>
        <v>0</v>
      </c>
      <c r="O132" s="46">
        <f>((($AT132+$AU132)/2*$AN132+$AO132)*(1+$AV132)*(1+$AW132)+(($AY132+$AZ132)/2*IF($G$1="鸣金",$AP132,$AN132)+IF($G$1="鸣金",$AQ132*1.5,0))*(1+$BA132)*(1+$BB132)+(($BC132+$BD132)/2*IF($G$1="裂石",$AP132,$AN132)+IF($G$1="裂石",$AQ132*1.5,0))*(1+$BE132)*(1+$BF132)+(($BG132+$BH132)/2*IF($G$1="牵丝",$AP132,$AN132)+IF($G$1="牵丝",$AQ132*1.5,0))*(1+$BI132)*(1+$BJ132)+(($BK132+$BL132)/2*IF($G$1="破竹",$AP132,$AN132)+IF($G$1="破竹",$AQ132*1.5,0))*(1+$BM132)*(1+$BN132))*(1+$AR132)*$Q132*(1+IF(VLOOKUP($R132,武学奇术!$A:$ZZ,30,FALSE)="蓄力技",$B$21,0))*(1+IF(VLOOKUP($R132,武学奇术!$A:$ZZ,30,FALSE)="派生技",$B$20,0))*(1+$BW132)*(1+$BX132)</f>
        <v>0</v>
      </c>
      <c r="P132" s="46">
        <f>((($AT132*$AN132+$AO132)*(1+$AV132)*(1+$AW132)+($AY132*IF($G$1="鸣金",$AP132,$AN132)+IF($G$1="鸣金",$AQ132*1.5,0))*(1+$BA132)*(1+$BB132)+($BC132*IF($G$1="裂石",$AP132,$AN132)+IF($G$1="裂石",$AQ132*1.5,0))*(1+$BE132)*(1+$BF132)+($BG132*IF($G$1="牵丝",$AP132,$AN132)+IF($G$1="牵丝",$AQ132*1.5,0))*(1+$BI132)*(1+$BJ132)+($BK132*IF($G$1="破竹",$AP132,$AN132)+IF($G$1="破竹",$AQ132*1.5,0))*(1+$BM132)*(1+$BN132))*(1+$AR132))*$Q132*(1+IF(VLOOKUP($R132,武学奇术!$A:$ZZ,30,FALSE)="蓄力技",$B$21,0))*(1+IF(VLOOKUP($R132,武学奇术!$A:$ZZ,30,FALSE)="派生技",$B$20,0))*(1+$BW132)*(1+$BX132)</f>
        <v>0</v>
      </c>
      <c r="Q132" s="47">
        <f t="shared" si="67"/>
        <v>0</v>
      </c>
      <c r="R132" s="48" t="s">
        <v>76</v>
      </c>
      <c r="S132" s="48" t="s">
        <v>99</v>
      </c>
      <c r="T132" s="48" t="s">
        <v>95</v>
      </c>
      <c r="U132" s="48" t="s">
        <v>79</v>
      </c>
      <c r="V132" s="48" t="s">
        <v>90</v>
      </c>
      <c r="W132" s="48" t="s">
        <v>91</v>
      </c>
      <c r="X132" s="48" t="s">
        <v>80</v>
      </c>
      <c r="Y132" s="48" t="s">
        <v>80</v>
      </c>
      <c r="Z132" s="48" t="s">
        <v>81</v>
      </c>
      <c r="AA132" s="48" t="s">
        <v>80</v>
      </c>
      <c r="AB132" s="48" t="s">
        <v>80</v>
      </c>
      <c r="AC132" s="48" t="s">
        <v>80</v>
      </c>
      <c r="AD132" s="48" t="s">
        <v>80</v>
      </c>
      <c r="AE132" s="48" t="s">
        <v>82</v>
      </c>
      <c r="AF132" s="48" t="s">
        <v>83</v>
      </c>
      <c r="AG132" s="48" t="s">
        <v>84</v>
      </c>
      <c r="AH132" s="48" t="s">
        <v>80</v>
      </c>
      <c r="AI132" s="48" t="s">
        <v>80</v>
      </c>
      <c r="AJ132" s="48" t="s">
        <v>80</v>
      </c>
      <c r="AK132" s="48" t="s">
        <v>80</v>
      </c>
      <c r="AL132" s="48" t="s">
        <v>85</v>
      </c>
      <c r="AM132" t="str">
        <f>VLOOKUP($R132,武学奇术!$A:$ZZ,25,FALSE)</f>
        <v>群体奇术</v>
      </c>
      <c r="AN132" s="33">
        <f>VLOOKUP($R132,武学奇术!$A:$ZZ,26,FALSE)</f>
        <v>1.4906</v>
      </c>
      <c r="AO132" s="34">
        <f>VLOOKUP($R132,武学奇术!$A:$ZZ,27,FALSE)*(1+IF(OR($AM132=$F$4,$AM132=$F$5),$B$22,0))</f>
        <v>386</v>
      </c>
      <c r="AP132" s="33">
        <f>VLOOKUP($R132,武学奇术!$A:$ZZ,28,FALSE)</f>
        <v>2.2359</v>
      </c>
      <c r="AQ132" s="34">
        <f>VLOOKUP($R132,武学奇术!$A:$ZZ,29,FALSE)*(1+IF(OR($AM132=$F$4,$AM132=$F$5),$B$22,0))</f>
        <v>0</v>
      </c>
      <c r="AR132" s="33" cm="1">
        <f t="array" ref="AR132">$G$3+IFERROR(VLOOKUP($AM132,$F$4:$G$7,2,FALSE),0)+VLOOKUP($R132,武学奇术!$A:$ZZ,2,FALSE)+SUM(_xlfn.XLOOKUP($S132:$AL132,增益!$A:$A,增益!$B:$B,0))</f>
        <v>0.4642</v>
      </c>
      <c r="AS132" s="33" cm="1">
        <f t="array" ref="AS132">VLOOKUP($R132,武学奇术!$A:$ZZ,5,FALSE)+SUM(_xlfn.XLOOKUP($S132:$AL132,增益!$A:$A,增益!$E:$E,0))</f>
        <v>0</v>
      </c>
      <c r="AT132" cm="1">
        <f t="array" ref="AT132">$D$10*(1+$AS132)+VLOOKUP($R132,武学奇术!$A:$ZZ,3,FALSE)+SUM(_xlfn.XLOOKUP($S132:$AL132,增益!$A:$A,增益!$C:$C,0))-$I$2</f>
        <v>4094.7</v>
      </c>
      <c r="AU132" cm="1">
        <f t="array" ref="AU132">$E$10*(1+$AS132)+VLOOKUP($R132,武学奇术!$A:$ZZ,4,FALSE)+SUM(_xlfn.XLOOKUP($S132:$AL132,增益!$A:$A,增益!$D:$D,0))-$I$2</f>
        <v>4094.7</v>
      </c>
      <c r="AV132" s="40" cm="1">
        <f t="array" ref="AV132">IF($F$10-$I$3+VLOOKUP($R132,武学奇术!$A:$ZZ,6,FALSE)+SUM(_xlfn.XLOOKUP($S132:$AL132,增益!$A:$A,增益!$F:$F,0))&gt;0,($F$10-$I$3+VLOOKUP($R132,武学奇术!$A:$ZZ,6,FALSE)+SUM(_xlfn.XLOOKUP($S132:$AL132,增益!$A:$A,增益!$F:$F,0)))/200,($F$10-$I$3+VLOOKUP($R132,武学奇术!$A:$ZZ,6,FALSE)+SUM(_xlfn.XLOOKUP($S132:$AL132,增益!$A:$A,增益!$F:$F,0)))/100)</f>
        <v>0.4134</v>
      </c>
      <c r="AW132" s="40" cm="1">
        <f t="array" ref="AW132">$G$10+VLOOKUP($R132,武学奇术!$A:$ZZ,7,FALSE)+SUM(_xlfn.XLOOKUP($S132:$AL132,增益!$A:$A,增益!$G:$G,0))</f>
        <v>0.14</v>
      </c>
      <c r="AX132" s="33" cm="1">
        <f t="array" ref="AX132">VLOOKUP($R132,武学奇术!$A:$ZZ,8,FALSE)+SUM(_xlfn.XLOOKUP($S132:$AL132,增益!$A:$A,增益!$H:$H,0))</f>
        <v>0</v>
      </c>
      <c r="AY132">
        <f t="shared" si="57"/>
        <v>0</v>
      </c>
      <c r="AZ132">
        <f t="shared" si="58"/>
        <v>0</v>
      </c>
      <c r="BA132" s="40" cm="1">
        <f t="array" ref="BA132">IF($F$11-$I$4+VLOOKUP($R132,武学奇术!$A:$ZZ,9,FALSE)+SUM(_xlfn.XLOOKUP($S132:$AL132,增益!$A:$A,增益!$I:$I,0))&gt;0,($F$11-$I$4+VLOOKUP($R132,武学奇术!$A:$ZZ,9,FALSE)+SUM(_xlfn.XLOOKUP($S132:$AL132,增益!$A:$A,增益!$I:$I,0)))/200,($F$11-$I$4+VLOOKUP($R132,武学奇术!$A:$ZZ,9,FALSE)+SUM(_xlfn.XLOOKUP($S132:$AL132,增益!$A:$A,增益!$I:$I,0)))/100)</f>
        <v>-0.14</v>
      </c>
      <c r="BB132" s="40" cm="1">
        <f t="array" ref="BB132">$G$11+VLOOKUP($R132,武学奇术!$A:$ZZ,10,FALSE)+SUM(_xlfn.XLOOKUP($S132:$AL132,增益!$A:$A,增益!$J:$J,0))</f>
        <v>0.02</v>
      </c>
      <c r="BC132">
        <f t="shared" si="59"/>
        <v>640.3</v>
      </c>
      <c r="BD132">
        <f t="shared" si="60"/>
        <v>1770.1</v>
      </c>
      <c r="BE132" s="40" cm="1">
        <f t="array" ref="BE132">IF($F$12-$I$4+VLOOKUP($R132,武学奇术!$A:$ZZ,11,FALSE)+SUM(_xlfn.XLOOKUP($S132:$AL132,增益!$A:$A,增益!$K:$K,0))&gt;0,($F$12-$I$4+VLOOKUP($R132,武学奇术!$A:$ZZ,11,FALSE)+SUM(_xlfn.XLOOKUP($S132:$AL132,增益!$A:$A,增益!$K:$K,0)))/200,($F$12-$I$4+VLOOKUP($R132,武学奇术!$A:$ZZ,11,FALSE)+SUM(_xlfn.XLOOKUP($S132:$AL132,增益!$A:$A,增益!$K:$K,0)))/100)</f>
        <v>0.17</v>
      </c>
      <c r="BF132" s="40" cm="1">
        <f t="array" ref="BF132">$G$12+VLOOKUP($R132,武学奇术!$A:$ZZ,12,FALSE)+SUM(_xlfn.XLOOKUP($S132:$AL132,增益!$A:$A,增益!$L:$L,0))</f>
        <v>0.29</v>
      </c>
      <c r="BG132">
        <f t="shared" si="61"/>
        <v>0</v>
      </c>
      <c r="BH132">
        <f t="shared" si="62"/>
        <v>0</v>
      </c>
      <c r="BI132" s="40" cm="1">
        <f t="array" ref="BI132">IF($F$13-$I$4+VLOOKUP($R132,武学奇术!$A:$ZZ,13,FALSE)+SUM(_xlfn.XLOOKUP($S132:$AL132,增益!$A:$A,增益!$M:$M,0))&gt;0,($F$13-$I$4+VLOOKUP($R132,武学奇术!$A:$ZZ,13,FALSE)+SUM(_xlfn.XLOOKUP($S132:$AL132,增益!$A:$A,增益!$K:$K,0)))/200,($F$13-$I$4+VLOOKUP($R132,武学奇术!$A:$ZZ,13,FALSE)+SUM(_xlfn.XLOOKUP($S132:$AL132,增益!$A:$A,增益!$M:$M,0)))/100)</f>
        <v>-0.14</v>
      </c>
      <c r="BJ132" s="40" cm="1">
        <f t="array" ref="BJ132">$G$13+VLOOKUP($R132,武学奇术!$A:$ZZ,14,FALSE)+SUM(_xlfn.XLOOKUP($S132:$AL132,增益!$A:$A,增益!$N:$N,0))</f>
        <v>0.02</v>
      </c>
      <c r="BK132">
        <f t="shared" si="63"/>
        <v>0</v>
      </c>
      <c r="BL132">
        <f t="shared" si="64"/>
        <v>0</v>
      </c>
      <c r="BM132" s="40" cm="1">
        <f t="array" ref="BM132">IF($F$14-$I$4+VLOOKUP($R132,武学奇术!$A:$ZZ,15,FALSE)+SUM(_xlfn.XLOOKUP($S132:$AL132,增益!$A:$A,增益!$O:$O,0))&gt;0,($F$14-$I$4+VLOOKUP($R132,武学奇术!$A:$ZZ,15,FALSE)+SUM(_xlfn.XLOOKUP($S132:$AL132,增益!$A:$A,增益!$O:$O,0)))/200,($F$14-$I$4+VLOOKUP($R132,武学奇术!$A:$ZZ,15,FALSE)+SUM(_xlfn.XLOOKUP($S132:$AL132,增益!$A:$A,增益!$O:$O,0)))/100)</f>
        <v>-0.14</v>
      </c>
      <c r="BN132" s="40" cm="1">
        <f t="array" ref="BN132">$G$14+VLOOKUP($R132,武学奇术!$A:$ZZ,16,FALSE)+SUM(_xlfn.XLOOKUP($S132:$AL132,增益!$A:$A,增益!$P:$P,0))</f>
        <v>0.02</v>
      </c>
      <c r="BO132" s="33">
        <f>MIN(IF(VLOOKUP($R132,武学奇术!$A:$ZZ,23,FALSE)=1,100%,$B$8),100%)</f>
        <v>0.9771</v>
      </c>
      <c r="BP132" s="33" cm="1">
        <f t="array" ref="BP132">IF(VLOOKUP($R132,武学奇术!$A:$ZZ,23,FALSE)=1,100%,MIN(80%,$B$9+VLOOKUP($R132,武学奇术!$A:$ZZ,17,FALSE)+SUM(_xlfn.XLOOKUP($S132:$AL132,增益!$A:$A,增益!$Q:$Q,0)))+$B$11+SUM(_xlfn.XLOOKUP($S132:$AL132,增益!$A:$A,增益!$U:$U,0)))*IF(VLOOKUP($R132,武学奇术!$A:$ZZ,24,FALSE)=1,0,1)</f>
        <v>0.8861</v>
      </c>
      <c r="BQ132" s="33" cm="1">
        <f t="array" ref="BQ132">1+$B$13+VLOOKUP($R132,武学奇术!$A:$ZZ,18,FALSE)+SUM(_xlfn.XLOOKUP($S132:$AL132,增益!$A:$A,增益!$R:$R,0))</f>
        <v>1.88</v>
      </c>
      <c r="BR132" s="33" cm="1">
        <f t="array" ref="BR132">IF(VLOOKUP($R132,武学奇术!$A:$ZZ,24,FALSE)=1,100%,MIN(40%,$B$10+VLOOKUP($R132,武学奇术!$A:$ZZ,19,FALSE)+SUM(_xlfn.XLOOKUP($S132:$AL132,增益!$A:$A,增益!$S:$S,0)))+$B$12+SUM(_xlfn.XLOOKUP($S132:$AL132,增益!$A:$A,增益!$V:$V,0)))*IF(VLOOKUP($R132,武学奇术!$A:$ZZ,23,FALSE)=1,0,1)</f>
        <v>0.0913</v>
      </c>
      <c r="BS132" s="33" cm="1">
        <f t="array" ref="BS132">1+$B$14+VLOOKUP($R132,武学奇术!$A:$ZZ,20,FALSE)+SUM(_xlfn.XLOOKUP($S132:$AL132,增益!$A:$A,增益!$T:$T,0))</f>
        <v>1.35</v>
      </c>
      <c r="BT132" s="33">
        <f t="shared" si="65"/>
        <v>0.86580831</v>
      </c>
      <c r="BU132" s="33">
        <f t="shared" si="66"/>
        <v>0.02208246</v>
      </c>
      <c r="BV132" s="33">
        <f>IF(VLOOKUP($R132,武学奇术!$A:$ZZ,22,FALSE)=1,0,(1-$BO132))*(1-$BR132)</f>
        <v>0.02080923</v>
      </c>
      <c r="BW132" s="33" cm="1">
        <f t="array" ref="BW132">SUM(_xlfn.XLOOKUP($S132:$AL132,增益!$A:$A,增益!$W:$W,0))+$I$5</f>
        <v>0.11</v>
      </c>
      <c r="BX132" s="33" cm="1">
        <f t="array" ref="BX132">VLOOKUP($R132,武学奇术!$A:$ZZ,32,FALSE)+SUM(_xlfn.XLOOKUP($S132:$AL132,增益!$A:$A,增益!$X:$X,0))</f>
        <v>0</v>
      </c>
    </row>
    <row r="133" spans="1:76">
      <c r="A133" s="4" t="s">
        <v>189</v>
      </c>
      <c r="B133" s="4">
        <v>0.8</v>
      </c>
      <c r="C133" s="47"/>
      <c r="D133" s="47"/>
      <c r="E133" s="47"/>
      <c r="L133" s="46">
        <f t="shared" si="56"/>
        <v>0</v>
      </c>
      <c r="M133" s="46">
        <f>((($AT133+$AU133)/2*$AN133+$AO133)*(1+$AV133)*(1+$AW133)+(($AY133+$AZ133)/2*IF($G$1="鸣金",$AP133,$AN133)+IF($G$1="鸣金",$AQ133*1.5,0))*(1+$BA133)*(1+$BB133)+(($BC133+$BD133)/2*IF($G$1="裂石",$AP133,$AN133)+IF($G$1="裂石",$AQ133*1.5,0))*(1+$BE133)*(1+$BF133)+(($BG133+$BH133)/2*IF($G$1="牵丝",$AP133,$AN133)+IF($G$1="牵丝",$AQ133*1.5,0))*(1+$BI133)*(1+$BJ133)+(($BK133+$BL133)/2*IF($G$1="破竹",$AP133,$AN133)+IF($G$1="破竹",$AQ133*1.5,0))*(1+$BM133)*(1+$BN133))*(1+$AR133)*$BQ133*$Q133*(1+IF(VLOOKUP($R133,武学奇术!$A:$ZZ,30,FALSE)="蓄力技",$B$21,0))*(1+IF(VLOOKUP($R133,武学奇术!$A:$ZZ,30,FALSE)="派生技",$B$20,0))*(1+$BW133)*(1+$BX133)</f>
        <v>0</v>
      </c>
      <c r="N133" s="46">
        <f>(($AU133*$AN133+$AO133)*(1+$AV133)*(1+$AW133)+($AZ133*IF($G$1="鸣金",$AP133,$AN133)+IF($G$1="鸣金",$AQ133*1.5,0))*(1+$BA133)*(1+$BB133)+($BD133*IF($G$1="裂石",$AP133,$AN133)+IF($G$1="裂石",$AQ133*1.5,0))*(1+$BE133)*(1+$BF133)+($BH133*IF($G$1="牵丝",$AP133,$AN133)+IF($G$1="牵丝",$AQ133*1.5,0))*(1+$BI133)*(1+$BJ133)+($BL133*IF($G$1="破竹",$AP133,$AN133)+IF($G$1="破竹",$AQ133*1.5,0))*(1+$BM133)*(1+$BN133))*(1+$AR133)*$BS133*$Q133*(1+IF(VLOOKUP($R133,武学奇术!$A:$ZZ,30,FALSE)="蓄力技",$B$21,0))*(1+IF(VLOOKUP($R133,武学奇术!$A:$ZZ,30,FALSE)="派生技",$B$20,0))*(1+$BW133)*(1+$BX133)</f>
        <v>0</v>
      </c>
      <c r="O133" s="46">
        <f>((($AT133+$AU133)/2*$AN133+$AO133)*(1+$AV133)*(1+$AW133)+(($AY133+$AZ133)/2*IF($G$1="鸣金",$AP133,$AN133)+IF($G$1="鸣金",$AQ133*1.5,0))*(1+$BA133)*(1+$BB133)+(($BC133+$BD133)/2*IF($G$1="裂石",$AP133,$AN133)+IF($G$1="裂石",$AQ133*1.5,0))*(1+$BE133)*(1+$BF133)+(($BG133+$BH133)/2*IF($G$1="牵丝",$AP133,$AN133)+IF($G$1="牵丝",$AQ133*1.5,0))*(1+$BI133)*(1+$BJ133)+(($BK133+$BL133)/2*IF($G$1="破竹",$AP133,$AN133)+IF($G$1="破竹",$AQ133*1.5,0))*(1+$BM133)*(1+$BN133))*(1+$AR133)*$Q133*(1+IF(VLOOKUP($R133,武学奇术!$A:$ZZ,30,FALSE)="蓄力技",$B$21,0))*(1+IF(VLOOKUP($R133,武学奇术!$A:$ZZ,30,FALSE)="派生技",$B$20,0))*(1+$BW133)*(1+$BX133)</f>
        <v>0</v>
      </c>
      <c r="P133" s="46">
        <f>((($AT133*$AN133+$AO133)*(1+$AV133)*(1+$AW133)+($AY133*IF($G$1="鸣金",$AP133,$AN133)+IF($G$1="鸣金",$AQ133*1.5,0))*(1+$BA133)*(1+$BB133)+($BC133*IF($G$1="裂石",$AP133,$AN133)+IF($G$1="裂石",$AQ133*1.5,0))*(1+$BE133)*(1+$BF133)+($BG133*IF($G$1="牵丝",$AP133,$AN133)+IF($G$1="牵丝",$AQ133*1.5,0))*(1+$BI133)*(1+$BJ133)+($BK133*IF($G$1="破竹",$AP133,$AN133)+IF($G$1="破竹",$AQ133*1.5,0))*(1+$BM133)*(1+$BN133))*(1+$AR133))*$Q133*(1+IF(VLOOKUP($R133,武学奇术!$A:$ZZ,30,FALSE)="蓄力技",$B$21,0))*(1+IF(VLOOKUP($R133,武学奇术!$A:$ZZ,30,FALSE)="派生技",$B$20,0))*(1+$BW133)*(1+$BX133)</f>
        <v>0</v>
      </c>
      <c r="Q133" s="47">
        <f t="shared" si="67"/>
        <v>0</v>
      </c>
      <c r="R133" s="48" t="s">
        <v>76</v>
      </c>
      <c r="S133" s="48" t="s">
        <v>99</v>
      </c>
      <c r="T133" s="48" t="s">
        <v>103</v>
      </c>
      <c r="U133" s="48" t="s">
        <v>79</v>
      </c>
      <c r="V133" s="48" t="s">
        <v>90</v>
      </c>
      <c r="W133" s="48" t="s">
        <v>91</v>
      </c>
      <c r="X133" s="48" t="s">
        <v>80</v>
      </c>
      <c r="Y133" s="48" t="s">
        <v>80</v>
      </c>
      <c r="Z133" s="48" t="s">
        <v>81</v>
      </c>
      <c r="AA133" s="48" t="s">
        <v>80</v>
      </c>
      <c r="AB133" s="48" t="s">
        <v>80</v>
      </c>
      <c r="AC133" s="48" t="s">
        <v>80</v>
      </c>
      <c r="AD133" s="48" t="s">
        <v>80</v>
      </c>
      <c r="AE133" s="48" t="s">
        <v>82</v>
      </c>
      <c r="AF133" s="48" t="s">
        <v>83</v>
      </c>
      <c r="AG133" s="48" t="s">
        <v>84</v>
      </c>
      <c r="AH133" s="48" t="s">
        <v>80</v>
      </c>
      <c r="AI133" s="48" t="s">
        <v>80</v>
      </c>
      <c r="AJ133" s="48" t="s">
        <v>80</v>
      </c>
      <c r="AK133" s="48" t="s">
        <v>80</v>
      </c>
      <c r="AL133" s="48" t="s">
        <v>85</v>
      </c>
      <c r="AM133" t="str">
        <f>VLOOKUP($R133,武学奇术!$A:$ZZ,25,FALSE)</f>
        <v>群体奇术</v>
      </c>
      <c r="AN133" s="33">
        <f>VLOOKUP($R133,武学奇术!$A:$ZZ,26,FALSE)</f>
        <v>1.4906</v>
      </c>
      <c r="AO133" s="34">
        <f>VLOOKUP($R133,武学奇术!$A:$ZZ,27,FALSE)*(1+IF(OR($AM133=$F$4,$AM133=$F$5),$B$22,0))</f>
        <v>386</v>
      </c>
      <c r="AP133" s="33">
        <f>VLOOKUP($R133,武学奇术!$A:$ZZ,28,FALSE)</f>
        <v>2.2359</v>
      </c>
      <c r="AQ133" s="34">
        <f>VLOOKUP($R133,武学奇术!$A:$ZZ,29,FALSE)*(1+IF(OR($AM133=$F$4,$AM133=$F$5),$B$22,0))</f>
        <v>0</v>
      </c>
      <c r="AR133" s="33" cm="1">
        <f t="array" ref="AR133">$G$3+IFERROR(VLOOKUP($AM133,$F$4:$G$7,2,FALSE),0)+VLOOKUP($R133,武学奇术!$A:$ZZ,2,FALSE)+SUM(_xlfn.XLOOKUP($S133:$AL133,增益!$A:$A,增益!$B:$B,0))</f>
        <v>0.4642</v>
      </c>
      <c r="AS133" s="33" cm="1">
        <f t="array" ref="AS133">VLOOKUP($R133,武学奇术!$A:$ZZ,5,FALSE)+SUM(_xlfn.XLOOKUP($S133:$AL133,增益!$A:$A,增益!$E:$E,0))</f>
        <v>0</v>
      </c>
      <c r="AT133" cm="1">
        <f t="array" ref="AT133">$D$10*(1+$AS133)+VLOOKUP($R133,武学奇术!$A:$ZZ,3,FALSE)+SUM(_xlfn.XLOOKUP($S133:$AL133,增益!$A:$A,增益!$C:$C,0))-$I$2</f>
        <v>4094.7</v>
      </c>
      <c r="AU133" cm="1">
        <f t="array" ref="AU133">$E$10*(1+$AS133)+VLOOKUP($R133,武学奇术!$A:$ZZ,4,FALSE)+SUM(_xlfn.XLOOKUP($S133:$AL133,增益!$A:$A,增益!$D:$D,0))-$I$2</f>
        <v>4094.7</v>
      </c>
      <c r="AV133" s="40" cm="1">
        <f t="array" ref="AV133">IF($F$10-$I$3+VLOOKUP($R133,武学奇术!$A:$ZZ,6,FALSE)+SUM(_xlfn.XLOOKUP($S133:$AL133,增益!$A:$A,增益!$F:$F,0))&gt;0,($F$10-$I$3+VLOOKUP($R133,武学奇术!$A:$ZZ,6,FALSE)+SUM(_xlfn.XLOOKUP($S133:$AL133,增益!$A:$A,增益!$F:$F,0)))/200,($F$10-$I$3+VLOOKUP($R133,武学奇术!$A:$ZZ,6,FALSE)+SUM(_xlfn.XLOOKUP($S133:$AL133,增益!$A:$A,增益!$F:$F,0)))/100)</f>
        <v>0.4134</v>
      </c>
      <c r="AW133" s="40" cm="1">
        <f t="array" ref="AW133">$G$10+VLOOKUP($R133,武学奇术!$A:$ZZ,7,FALSE)+SUM(_xlfn.XLOOKUP($S133:$AL133,增益!$A:$A,增益!$G:$G,0))</f>
        <v>0.14</v>
      </c>
      <c r="AX133" s="33" cm="1">
        <f t="array" ref="AX133">VLOOKUP($R133,武学奇术!$A:$ZZ,8,FALSE)+SUM(_xlfn.XLOOKUP($S133:$AL133,增益!$A:$A,增益!$H:$H,0))</f>
        <v>0</v>
      </c>
      <c r="AY133">
        <f t="shared" si="57"/>
        <v>0</v>
      </c>
      <c r="AZ133">
        <f t="shared" si="58"/>
        <v>0</v>
      </c>
      <c r="BA133" s="40" cm="1">
        <f t="array" ref="BA133">IF($F$11-$I$4+VLOOKUP($R133,武学奇术!$A:$ZZ,9,FALSE)+SUM(_xlfn.XLOOKUP($S133:$AL133,增益!$A:$A,增益!$I:$I,0))&gt;0,($F$11-$I$4+VLOOKUP($R133,武学奇术!$A:$ZZ,9,FALSE)+SUM(_xlfn.XLOOKUP($S133:$AL133,增益!$A:$A,增益!$I:$I,0)))/200,($F$11-$I$4+VLOOKUP($R133,武学奇术!$A:$ZZ,9,FALSE)+SUM(_xlfn.XLOOKUP($S133:$AL133,增益!$A:$A,增益!$I:$I,0)))/100)</f>
        <v>-0.14</v>
      </c>
      <c r="BB133" s="40" cm="1">
        <f t="array" ref="BB133">$G$11+VLOOKUP($R133,武学奇术!$A:$ZZ,10,FALSE)+SUM(_xlfn.XLOOKUP($S133:$AL133,增益!$A:$A,增益!$J:$J,0))</f>
        <v>0.02</v>
      </c>
      <c r="BC133">
        <f t="shared" si="59"/>
        <v>640.3</v>
      </c>
      <c r="BD133">
        <f t="shared" si="60"/>
        <v>1770.1</v>
      </c>
      <c r="BE133" s="40" cm="1">
        <f t="array" ref="BE133">IF($F$12-$I$4+VLOOKUP($R133,武学奇术!$A:$ZZ,11,FALSE)+SUM(_xlfn.XLOOKUP($S133:$AL133,增益!$A:$A,增益!$K:$K,0))&gt;0,($F$12-$I$4+VLOOKUP($R133,武学奇术!$A:$ZZ,11,FALSE)+SUM(_xlfn.XLOOKUP($S133:$AL133,增益!$A:$A,增益!$K:$K,0)))/200,($F$12-$I$4+VLOOKUP($R133,武学奇术!$A:$ZZ,11,FALSE)+SUM(_xlfn.XLOOKUP($S133:$AL133,增益!$A:$A,增益!$K:$K,0)))/100)</f>
        <v>0.17</v>
      </c>
      <c r="BF133" s="40" cm="1">
        <f t="array" ref="BF133">$G$12+VLOOKUP($R133,武学奇术!$A:$ZZ,12,FALSE)+SUM(_xlfn.XLOOKUP($S133:$AL133,增益!$A:$A,增益!$L:$L,0))</f>
        <v>0.29</v>
      </c>
      <c r="BG133">
        <f t="shared" si="61"/>
        <v>0</v>
      </c>
      <c r="BH133">
        <f t="shared" si="62"/>
        <v>0</v>
      </c>
      <c r="BI133" s="40" cm="1">
        <f t="array" ref="BI133">IF($F$13-$I$4+VLOOKUP($R133,武学奇术!$A:$ZZ,13,FALSE)+SUM(_xlfn.XLOOKUP($S133:$AL133,增益!$A:$A,增益!$M:$M,0))&gt;0,($F$13-$I$4+VLOOKUP($R133,武学奇术!$A:$ZZ,13,FALSE)+SUM(_xlfn.XLOOKUP($S133:$AL133,增益!$A:$A,增益!$K:$K,0)))/200,($F$13-$I$4+VLOOKUP($R133,武学奇术!$A:$ZZ,13,FALSE)+SUM(_xlfn.XLOOKUP($S133:$AL133,增益!$A:$A,增益!$M:$M,0)))/100)</f>
        <v>-0.14</v>
      </c>
      <c r="BJ133" s="40" cm="1">
        <f t="array" ref="BJ133">$G$13+VLOOKUP($R133,武学奇术!$A:$ZZ,14,FALSE)+SUM(_xlfn.XLOOKUP($S133:$AL133,增益!$A:$A,增益!$N:$N,0))</f>
        <v>0.02</v>
      </c>
      <c r="BK133">
        <f t="shared" si="63"/>
        <v>0</v>
      </c>
      <c r="BL133">
        <f t="shared" si="64"/>
        <v>0</v>
      </c>
      <c r="BM133" s="40" cm="1">
        <f t="array" ref="BM133">IF($F$14-$I$4+VLOOKUP($R133,武学奇术!$A:$ZZ,15,FALSE)+SUM(_xlfn.XLOOKUP($S133:$AL133,增益!$A:$A,增益!$O:$O,0))&gt;0,($F$14-$I$4+VLOOKUP($R133,武学奇术!$A:$ZZ,15,FALSE)+SUM(_xlfn.XLOOKUP($S133:$AL133,增益!$A:$A,增益!$O:$O,0)))/200,($F$14-$I$4+VLOOKUP($R133,武学奇术!$A:$ZZ,15,FALSE)+SUM(_xlfn.XLOOKUP($S133:$AL133,增益!$A:$A,增益!$O:$O,0)))/100)</f>
        <v>-0.14</v>
      </c>
      <c r="BN133" s="40" cm="1">
        <f t="array" ref="BN133">$G$14+VLOOKUP($R133,武学奇术!$A:$ZZ,16,FALSE)+SUM(_xlfn.XLOOKUP($S133:$AL133,增益!$A:$A,增益!$P:$P,0))</f>
        <v>0.02</v>
      </c>
      <c r="BO133" s="33">
        <f>MIN(IF(VLOOKUP($R133,武学奇术!$A:$ZZ,23,FALSE)=1,100%,$B$8),100%)</f>
        <v>0.9771</v>
      </c>
      <c r="BP133" s="33" cm="1">
        <f t="array" ref="BP133">IF(VLOOKUP($R133,武学奇术!$A:$ZZ,23,FALSE)=1,100%,MIN(80%,$B$9+VLOOKUP($R133,武学奇术!$A:$ZZ,17,FALSE)+SUM(_xlfn.XLOOKUP($S133:$AL133,增益!$A:$A,增益!$Q:$Q,0)))+$B$11+SUM(_xlfn.XLOOKUP($S133:$AL133,增益!$A:$A,增益!$U:$U,0)))*IF(VLOOKUP($R133,武学奇术!$A:$ZZ,24,FALSE)=1,0,1)</f>
        <v>0.8861</v>
      </c>
      <c r="BQ133" s="33" cm="1">
        <f t="array" ref="BQ133">1+$B$13+VLOOKUP($R133,武学奇术!$A:$ZZ,18,FALSE)+SUM(_xlfn.XLOOKUP($S133:$AL133,增益!$A:$A,增益!$R:$R,0))</f>
        <v>1.9</v>
      </c>
      <c r="BR133" s="33" cm="1">
        <f t="array" ref="BR133">IF(VLOOKUP($R133,武学奇术!$A:$ZZ,24,FALSE)=1,100%,MIN(40%,$B$10+VLOOKUP($R133,武学奇术!$A:$ZZ,19,FALSE)+SUM(_xlfn.XLOOKUP($S133:$AL133,增益!$A:$A,增益!$S:$S,0)))+$B$12+SUM(_xlfn.XLOOKUP($S133:$AL133,增益!$A:$A,增益!$V:$V,0)))*IF(VLOOKUP($R133,武学奇术!$A:$ZZ,23,FALSE)=1,0,1)</f>
        <v>0.0913</v>
      </c>
      <c r="BS133" s="33" cm="1">
        <f t="array" ref="BS133">1+$B$14+VLOOKUP($R133,武学奇术!$A:$ZZ,20,FALSE)+SUM(_xlfn.XLOOKUP($S133:$AL133,增益!$A:$A,增益!$T:$T,0))</f>
        <v>1.35</v>
      </c>
      <c r="BT133" s="33">
        <f t="shared" si="65"/>
        <v>0.86580831</v>
      </c>
      <c r="BU133" s="33">
        <f t="shared" si="66"/>
        <v>0.02208246</v>
      </c>
      <c r="BV133" s="33">
        <f>IF(VLOOKUP($R133,武学奇术!$A:$ZZ,22,FALSE)=1,0,(1-$BO133))*(1-$BR133)</f>
        <v>0.02080923</v>
      </c>
      <c r="BW133" s="33" cm="1">
        <f t="array" ref="BW133">SUM(_xlfn.XLOOKUP($S133:$AL133,增益!$A:$A,增益!$W:$W,0))+$I$5</f>
        <v>0.11</v>
      </c>
      <c r="BX133" s="33" cm="1">
        <f t="array" ref="BX133">VLOOKUP($R133,武学奇术!$A:$ZZ,32,FALSE)+SUM(_xlfn.XLOOKUP($S133:$AL133,增益!$A:$A,增益!$X:$X,0))</f>
        <v>0</v>
      </c>
    </row>
    <row r="134" spans="1:76">
      <c r="A134" s="4" t="s">
        <v>190</v>
      </c>
      <c r="B134" s="4">
        <v>1.1</v>
      </c>
      <c r="C134" s="47"/>
      <c r="D134" s="47"/>
      <c r="E134" s="47"/>
      <c r="L134" s="46">
        <f t="shared" si="56"/>
        <v>0</v>
      </c>
      <c r="M134" s="46">
        <f>((($AT134+$AU134)/2*$AN134+$AO134)*(1+$AV134)*(1+$AW134)+(($AY134+$AZ134)/2*IF($G$1="鸣金",$AP134,$AN134)+IF($G$1="鸣金",$AQ134*1.5,0))*(1+$BA134)*(1+$BB134)+(($BC134+$BD134)/2*IF($G$1="裂石",$AP134,$AN134)+IF($G$1="裂石",$AQ134*1.5,0))*(1+$BE134)*(1+$BF134)+(($BG134+$BH134)/2*IF($G$1="牵丝",$AP134,$AN134)+IF($G$1="牵丝",$AQ134*1.5,0))*(1+$BI134)*(1+$BJ134)+(($BK134+$BL134)/2*IF($G$1="破竹",$AP134,$AN134)+IF($G$1="破竹",$AQ134*1.5,0))*(1+$BM134)*(1+$BN134))*(1+$AR134)*$BQ134*$Q134*(1+IF(VLOOKUP($R134,武学奇术!$A:$ZZ,30,FALSE)="蓄力技",$B$21,0))*(1+IF(VLOOKUP($R134,武学奇术!$A:$ZZ,30,FALSE)="派生技",$B$20,0))*(1+$BW134)*(1+$BX134)</f>
        <v>0</v>
      </c>
      <c r="N134" s="46">
        <f>(($AU134*$AN134+$AO134)*(1+$AV134)*(1+$AW134)+($AZ134*IF($G$1="鸣金",$AP134,$AN134)+IF($G$1="鸣金",$AQ134*1.5,0))*(1+$BA134)*(1+$BB134)+($BD134*IF($G$1="裂石",$AP134,$AN134)+IF($G$1="裂石",$AQ134*1.5,0))*(1+$BE134)*(1+$BF134)+($BH134*IF($G$1="牵丝",$AP134,$AN134)+IF($G$1="牵丝",$AQ134*1.5,0))*(1+$BI134)*(1+$BJ134)+($BL134*IF($G$1="破竹",$AP134,$AN134)+IF($G$1="破竹",$AQ134*1.5,0))*(1+$BM134)*(1+$BN134))*(1+$AR134)*$BS134*$Q134*(1+IF(VLOOKUP($R134,武学奇术!$A:$ZZ,30,FALSE)="蓄力技",$B$21,0))*(1+IF(VLOOKUP($R134,武学奇术!$A:$ZZ,30,FALSE)="派生技",$B$20,0))*(1+$BW134)*(1+$BX134)</f>
        <v>0</v>
      </c>
      <c r="O134" s="46">
        <f>((($AT134+$AU134)/2*$AN134+$AO134)*(1+$AV134)*(1+$AW134)+(($AY134+$AZ134)/2*IF($G$1="鸣金",$AP134,$AN134)+IF($G$1="鸣金",$AQ134*1.5,0))*(1+$BA134)*(1+$BB134)+(($BC134+$BD134)/2*IF($G$1="裂石",$AP134,$AN134)+IF($G$1="裂石",$AQ134*1.5,0))*(1+$BE134)*(1+$BF134)+(($BG134+$BH134)/2*IF($G$1="牵丝",$AP134,$AN134)+IF($G$1="牵丝",$AQ134*1.5,0))*(1+$BI134)*(1+$BJ134)+(($BK134+$BL134)/2*IF($G$1="破竹",$AP134,$AN134)+IF($G$1="破竹",$AQ134*1.5,0))*(1+$BM134)*(1+$BN134))*(1+$AR134)*$Q134*(1+IF(VLOOKUP($R134,武学奇术!$A:$ZZ,30,FALSE)="蓄力技",$B$21,0))*(1+IF(VLOOKUP($R134,武学奇术!$A:$ZZ,30,FALSE)="派生技",$B$20,0))*(1+$BW134)*(1+$BX134)</f>
        <v>0</v>
      </c>
      <c r="P134" s="46">
        <f>((($AT134*$AN134+$AO134)*(1+$AV134)*(1+$AW134)+($AY134*IF($G$1="鸣金",$AP134,$AN134)+IF($G$1="鸣金",$AQ134*1.5,0))*(1+$BA134)*(1+$BB134)+($BC134*IF($G$1="裂石",$AP134,$AN134)+IF($G$1="裂石",$AQ134*1.5,0))*(1+$BE134)*(1+$BF134)+($BG134*IF($G$1="牵丝",$AP134,$AN134)+IF($G$1="牵丝",$AQ134*1.5,0))*(1+$BI134)*(1+$BJ134)+($BK134*IF($G$1="破竹",$AP134,$AN134)+IF($G$1="破竹",$AQ134*1.5,0))*(1+$BM134)*(1+$BN134))*(1+$AR134))*$Q134*(1+IF(VLOOKUP($R134,武学奇术!$A:$ZZ,30,FALSE)="蓄力技",$B$21,0))*(1+IF(VLOOKUP($R134,武学奇术!$A:$ZZ,30,FALSE)="派生技",$B$20,0))*(1+$BW134)*(1+$BX134)</f>
        <v>0</v>
      </c>
      <c r="Q134" s="47">
        <f t="shared" si="67"/>
        <v>0</v>
      </c>
      <c r="R134" s="48" t="s">
        <v>106</v>
      </c>
      <c r="S134" s="48" t="s">
        <v>77</v>
      </c>
      <c r="T134" s="48" t="s">
        <v>89</v>
      </c>
      <c r="U134" s="48" t="s">
        <v>79</v>
      </c>
      <c r="V134" s="48" t="s">
        <v>80</v>
      </c>
      <c r="W134" s="48" t="s">
        <v>91</v>
      </c>
      <c r="X134" s="48" t="s">
        <v>80</v>
      </c>
      <c r="Y134" s="48" t="s">
        <v>80</v>
      </c>
      <c r="Z134" s="48" t="s">
        <v>81</v>
      </c>
      <c r="AA134" s="48" t="s">
        <v>80</v>
      </c>
      <c r="AB134" s="48" t="s">
        <v>80</v>
      </c>
      <c r="AC134" s="48" t="s">
        <v>80</v>
      </c>
      <c r="AD134" s="48" t="s">
        <v>80</v>
      </c>
      <c r="AE134" s="48" t="s">
        <v>82</v>
      </c>
      <c r="AF134" s="48" t="s">
        <v>83</v>
      </c>
      <c r="AG134" s="48" t="s">
        <v>84</v>
      </c>
      <c r="AH134" s="48" t="s">
        <v>80</v>
      </c>
      <c r="AI134" s="48" t="s">
        <v>80</v>
      </c>
      <c r="AJ134" s="48" t="s">
        <v>80</v>
      </c>
      <c r="AK134" s="48" t="s">
        <v>80</v>
      </c>
      <c r="AL134" s="48" t="s">
        <v>85</v>
      </c>
      <c r="AM134" t="str">
        <f>VLOOKUP($R134,武学奇术!$A:$ZZ,25,FALSE)</f>
        <v>群体奇术</v>
      </c>
      <c r="AN134" s="33">
        <f>VLOOKUP($R134,武学奇术!$A:$ZZ,26,FALSE)</f>
        <v>2.3774</v>
      </c>
      <c r="AO134" s="34">
        <f>VLOOKUP($R134,武学奇术!$A:$ZZ,27,FALSE)*(1+IF(OR($AM134=$F$4,$AM134=$F$5),$B$22,0))</f>
        <v>476</v>
      </c>
      <c r="AP134" s="33">
        <f>VLOOKUP($R134,武学奇术!$A:$ZZ,28,FALSE)</f>
        <v>3.5661</v>
      </c>
      <c r="AQ134" s="34">
        <f>VLOOKUP($R134,武学奇术!$A:$ZZ,29,FALSE)*(1+IF(OR($AM134=$F$4,$AM134=$F$5),$B$22,0))</f>
        <v>0</v>
      </c>
      <c r="AR134" s="33" cm="1">
        <f t="array" ref="AR134">$G$3+IFERROR(VLOOKUP($AM134,$F$4:$G$7,2,FALSE),0)+VLOOKUP($R134,武学奇术!$A:$ZZ,2,FALSE)+SUM(_xlfn.XLOOKUP($S134:$AL134,增益!$A:$A,增益!$B:$B,0))</f>
        <v>0.3542</v>
      </c>
      <c r="AS134" s="33" cm="1">
        <f t="array" ref="AS134">VLOOKUP($R134,武学奇术!$A:$ZZ,5,FALSE)+SUM(_xlfn.XLOOKUP($S134:$AL134,增益!$A:$A,增益!$E:$E,0))</f>
        <v>0</v>
      </c>
      <c r="AT134" cm="1">
        <f t="array" ref="AT134">$D$10*(1+$AS134)+VLOOKUP($R134,武学奇术!$A:$ZZ,3,FALSE)+SUM(_xlfn.XLOOKUP($S134:$AL134,增益!$A:$A,增益!$C:$C,0))-$I$2</f>
        <v>4094.7</v>
      </c>
      <c r="AU134" cm="1">
        <f t="array" ref="AU134">$E$10*(1+$AS134)+VLOOKUP($R134,武学奇术!$A:$ZZ,4,FALSE)+SUM(_xlfn.XLOOKUP($S134:$AL134,增益!$A:$A,增益!$D:$D,0))-$I$2</f>
        <v>4094.7</v>
      </c>
      <c r="AV134" s="40" cm="1">
        <f t="array" ref="AV134">IF($F$10-$I$3+VLOOKUP($R134,武学奇术!$A:$ZZ,6,FALSE)+SUM(_xlfn.XLOOKUP($S134:$AL134,增益!$A:$A,增益!$F:$F,0))&gt;0,($F$10-$I$3+VLOOKUP($R134,武学奇术!$A:$ZZ,6,FALSE)+SUM(_xlfn.XLOOKUP($S134:$AL134,增益!$A:$A,增益!$F:$F,0)))/200,($F$10-$I$3+VLOOKUP($R134,武学奇术!$A:$ZZ,6,FALSE)+SUM(_xlfn.XLOOKUP($S134:$AL134,增益!$A:$A,增益!$F:$F,0)))/100)</f>
        <v>0.3834</v>
      </c>
      <c r="AW134" s="40" cm="1">
        <f t="array" ref="AW134">$G$10+VLOOKUP($R134,武学奇术!$A:$ZZ,7,FALSE)+SUM(_xlfn.XLOOKUP($S134:$AL134,增益!$A:$A,增益!$G:$G,0))</f>
        <v>0.14</v>
      </c>
      <c r="AX134" s="33" cm="1">
        <f t="array" ref="AX134">VLOOKUP($R134,武学奇术!$A:$ZZ,8,FALSE)+SUM(_xlfn.XLOOKUP($S134:$AL134,增益!$A:$A,增益!$H:$H,0))</f>
        <v>0</v>
      </c>
      <c r="AY134">
        <f t="shared" si="57"/>
        <v>0</v>
      </c>
      <c r="AZ134">
        <f t="shared" si="58"/>
        <v>0</v>
      </c>
      <c r="BA134" s="40" cm="1">
        <f t="array" ref="BA134">IF($F$11-$I$4+VLOOKUP($R134,武学奇术!$A:$ZZ,9,FALSE)+SUM(_xlfn.XLOOKUP($S134:$AL134,增益!$A:$A,增益!$I:$I,0))&gt;0,($F$11-$I$4+VLOOKUP($R134,武学奇术!$A:$ZZ,9,FALSE)+SUM(_xlfn.XLOOKUP($S134:$AL134,增益!$A:$A,增益!$I:$I,0)))/200,($F$11-$I$4+VLOOKUP($R134,武学奇术!$A:$ZZ,9,FALSE)+SUM(_xlfn.XLOOKUP($S134:$AL134,增益!$A:$A,增益!$I:$I,0)))/100)</f>
        <v>-0.3</v>
      </c>
      <c r="BB134" s="40" cm="1">
        <f t="array" ref="BB134">$G$11+VLOOKUP($R134,武学奇术!$A:$ZZ,10,FALSE)+SUM(_xlfn.XLOOKUP($S134:$AL134,增益!$A:$A,增益!$J:$J,0))</f>
        <v>0.02</v>
      </c>
      <c r="BC134">
        <f t="shared" si="59"/>
        <v>640.3</v>
      </c>
      <c r="BD134">
        <f t="shared" si="60"/>
        <v>1770.1</v>
      </c>
      <c r="BE134" s="40" cm="1">
        <f t="array" ref="BE134">IF($F$12-$I$4+VLOOKUP($R134,武学奇术!$A:$ZZ,11,FALSE)+SUM(_xlfn.XLOOKUP($S134:$AL134,增益!$A:$A,增益!$K:$K,0))&gt;0,($F$12-$I$4+VLOOKUP($R134,武学奇术!$A:$ZZ,11,FALSE)+SUM(_xlfn.XLOOKUP($S134:$AL134,增益!$A:$A,增益!$K:$K,0)))/200,($F$12-$I$4+VLOOKUP($R134,武学奇术!$A:$ZZ,11,FALSE)+SUM(_xlfn.XLOOKUP($S134:$AL134,增益!$A:$A,增益!$K:$K,0)))/100)</f>
        <v>0.09</v>
      </c>
      <c r="BF134" s="40" cm="1">
        <f t="array" ref="BF134">$G$12+VLOOKUP($R134,武学奇术!$A:$ZZ,12,FALSE)+SUM(_xlfn.XLOOKUP($S134:$AL134,增益!$A:$A,增益!$L:$L,0))</f>
        <v>0.29</v>
      </c>
      <c r="BG134">
        <f t="shared" si="61"/>
        <v>0</v>
      </c>
      <c r="BH134">
        <f t="shared" si="62"/>
        <v>0</v>
      </c>
      <c r="BI134" s="40" cm="1">
        <f t="array" ref="BI134">IF($F$13-$I$4+VLOOKUP($R134,武学奇术!$A:$ZZ,13,FALSE)+SUM(_xlfn.XLOOKUP($S134:$AL134,增益!$A:$A,增益!$M:$M,0))&gt;0,($F$13-$I$4+VLOOKUP($R134,武学奇术!$A:$ZZ,13,FALSE)+SUM(_xlfn.XLOOKUP($S134:$AL134,增益!$A:$A,增益!$K:$K,0)))/200,($F$13-$I$4+VLOOKUP($R134,武学奇术!$A:$ZZ,13,FALSE)+SUM(_xlfn.XLOOKUP($S134:$AL134,增益!$A:$A,增益!$M:$M,0)))/100)</f>
        <v>-0.3</v>
      </c>
      <c r="BJ134" s="40" cm="1">
        <f t="array" ref="BJ134">$G$13+VLOOKUP($R134,武学奇术!$A:$ZZ,14,FALSE)+SUM(_xlfn.XLOOKUP($S134:$AL134,增益!$A:$A,增益!$N:$N,0))</f>
        <v>0.02</v>
      </c>
      <c r="BK134">
        <f t="shared" si="63"/>
        <v>0</v>
      </c>
      <c r="BL134">
        <f t="shared" si="64"/>
        <v>0</v>
      </c>
      <c r="BM134" s="40" cm="1">
        <f t="array" ref="BM134">IF($F$14-$I$4+VLOOKUP($R134,武学奇术!$A:$ZZ,15,FALSE)+SUM(_xlfn.XLOOKUP($S134:$AL134,增益!$A:$A,增益!$O:$O,0))&gt;0,($F$14-$I$4+VLOOKUP($R134,武学奇术!$A:$ZZ,15,FALSE)+SUM(_xlfn.XLOOKUP($S134:$AL134,增益!$A:$A,增益!$O:$O,0)))/200,($F$14-$I$4+VLOOKUP($R134,武学奇术!$A:$ZZ,15,FALSE)+SUM(_xlfn.XLOOKUP($S134:$AL134,增益!$A:$A,增益!$O:$O,0)))/100)</f>
        <v>-0.3</v>
      </c>
      <c r="BN134" s="40" cm="1">
        <f t="array" ref="BN134">$G$14+VLOOKUP($R134,武学奇术!$A:$ZZ,16,FALSE)+SUM(_xlfn.XLOOKUP($S134:$AL134,增益!$A:$A,增益!$P:$P,0))</f>
        <v>0.02</v>
      </c>
      <c r="BO134" s="33">
        <f>MIN(IF(VLOOKUP($R134,武学奇术!$A:$ZZ,23,FALSE)=1,100%,$B$8),100%)</f>
        <v>0.9771</v>
      </c>
      <c r="BP134" s="33" cm="1">
        <f t="array" ref="BP134">IF(VLOOKUP($R134,武学奇术!$A:$ZZ,23,FALSE)=1,100%,MIN(80%,$B$9+VLOOKUP($R134,武学奇术!$A:$ZZ,17,FALSE)+SUM(_xlfn.XLOOKUP($S134:$AL134,增益!$A:$A,增益!$Q:$Q,0)))+$B$11+SUM(_xlfn.XLOOKUP($S134:$AL134,增益!$A:$A,增益!$U:$U,0)))*IF(VLOOKUP($R134,武学奇术!$A:$ZZ,24,FALSE)=1,0,1)</f>
        <v>0.8861</v>
      </c>
      <c r="BQ134" s="33" cm="1">
        <f t="array" ref="BQ134">1+$B$13+VLOOKUP($R134,武学奇术!$A:$ZZ,18,FALSE)+SUM(_xlfn.XLOOKUP($S134:$AL134,增益!$A:$A,增益!$R:$R,0))</f>
        <v>1.87</v>
      </c>
      <c r="BR134" s="33" cm="1">
        <f t="array" ref="BR134">IF(VLOOKUP($R134,武学奇术!$A:$ZZ,24,FALSE)=1,100%,MIN(40%,$B$10+VLOOKUP($R134,武学奇术!$A:$ZZ,19,FALSE)+SUM(_xlfn.XLOOKUP($S134:$AL134,增益!$A:$A,增益!$S:$S,0)))+$B$12+SUM(_xlfn.XLOOKUP($S134:$AL134,增益!$A:$A,增益!$V:$V,0)))*IF(VLOOKUP($R134,武学奇术!$A:$ZZ,23,FALSE)=1,0,1)</f>
        <v>0.0913</v>
      </c>
      <c r="BS134" s="33" cm="1">
        <f t="array" ref="BS134">1+$B$14+VLOOKUP($R134,武学奇术!$A:$ZZ,20,FALSE)+SUM(_xlfn.XLOOKUP($S134:$AL134,增益!$A:$A,增益!$T:$T,0))</f>
        <v>1.35</v>
      </c>
      <c r="BT134" s="33">
        <f t="shared" si="65"/>
        <v>0.86580831</v>
      </c>
      <c r="BU134" s="33">
        <f t="shared" si="66"/>
        <v>0.02208246</v>
      </c>
      <c r="BV134" s="33">
        <f>IF(VLOOKUP($R134,武学奇术!$A:$ZZ,22,FALSE)=1,0,(1-$BO134))*(1-$BR134)</f>
        <v>0.02080923</v>
      </c>
      <c r="BW134" s="33" cm="1">
        <f t="array" ref="BW134">SUM(_xlfn.XLOOKUP($S134:$AL134,增益!$A:$A,增益!$W:$W,0))+$I$5</f>
        <v>0.11</v>
      </c>
      <c r="BX134" s="33" cm="1">
        <f t="array" ref="BX134">VLOOKUP($R134,武学奇术!$A:$ZZ,32,FALSE)+SUM(_xlfn.XLOOKUP($S134:$AL134,增益!$A:$A,增益!$X:$X,0))</f>
        <v>0</v>
      </c>
    </row>
    <row r="135" spans="1:76">
      <c r="A135" s="4" t="s">
        <v>189</v>
      </c>
      <c r="B135" s="4">
        <v>0.8</v>
      </c>
      <c r="C135" s="47"/>
      <c r="D135" s="47"/>
      <c r="E135" s="47"/>
      <c r="L135" s="46">
        <f t="shared" si="56"/>
        <v>0</v>
      </c>
      <c r="M135" s="46">
        <f>((($AT135+$AU135)/2*$AN135+$AO135)*(1+$AV135)*(1+$AW135)+(($AY135+$AZ135)/2*IF($G$1="鸣金",$AP135,$AN135)+IF($G$1="鸣金",$AQ135*1.5,0))*(1+$BA135)*(1+$BB135)+(($BC135+$BD135)/2*IF($G$1="裂石",$AP135,$AN135)+IF($G$1="裂石",$AQ135*1.5,0))*(1+$BE135)*(1+$BF135)+(($BG135+$BH135)/2*IF($G$1="牵丝",$AP135,$AN135)+IF($G$1="牵丝",$AQ135*1.5,0))*(1+$BI135)*(1+$BJ135)+(($BK135+$BL135)/2*IF($G$1="破竹",$AP135,$AN135)+IF($G$1="破竹",$AQ135*1.5,0))*(1+$BM135)*(1+$BN135))*(1+$AR135)*$BQ135*$Q135*(1+IF(VLOOKUP($R135,武学奇术!$A:$ZZ,30,FALSE)="蓄力技",$B$21,0))*(1+IF(VLOOKUP($R135,武学奇术!$A:$ZZ,30,FALSE)="派生技",$B$20,0))*(1+$BW135)*(1+$BX135)</f>
        <v>0</v>
      </c>
      <c r="N135" s="46">
        <f>(($AU135*$AN135+$AO135)*(1+$AV135)*(1+$AW135)+($AZ135*IF($G$1="鸣金",$AP135,$AN135)+IF($G$1="鸣金",$AQ135*1.5,0))*(1+$BA135)*(1+$BB135)+($BD135*IF($G$1="裂石",$AP135,$AN135)+IF($G$1="裂石",$AQ135*1.5,0))*(1+$BE135)*(1+$BF135)+($BH135*IF($G$1="牵丝",$AP135,$AN135)+IF($G$1="牵丝",$AQ135*1.5,0))*(1+$BI135)*(1+$BJ135)+($BL135*IF($G$1="破竹",$AP135,$AN135)+IF($G$1="破竹",$AQ135*1.5,0))*(1+$BM135)*(1+$BN135))*(1+$AR135)*$BS135*$Q135*(1+IF(VLOOKUP($R135,武学奇术!$A:$ZZ,30,FALSE)="蓄力技",$B$21,0))*(1+IF(VLOOKUP($R135,武学奇术!$A:$ZZ,30,FALSE)="派生技",$B$20,0))*(1+$BW135)*(1+$BX135)</f>
        <v>0</v>
      </c>
      <c r="O135" s="46">
        <f>((($AT135+$AU135)/2*$AN135+$AO135)*(1+$AV135)*(1+$AW135)+(($AY135+$AZ135)/2*IF($G$1="鸣金",$AP135,$AN135)+IF($G$1="鸣金",$AQ135*1.5,0))*(1+$BA135)*(1+$BB135)+(($BC135+$BD135)/2*IF($G$1="裂石",$AP135,$AN135)+IF($G$1="裂石",$AQ135*1.5,0))*(1+$BE135)*(1+$BF135)+(($BG135+$BH135)/2*IF($G$1="牵丝",$AP135,$AN135)+IF($G$1="牵丝",$AQ135*1.5,0))*(1+$BI135)*(1+$BJ135)+(($BK135+$BL135)/2*IF($G$1="破竹",$AP135,$AN135)+IF($G$1="破竹",$AQ135*1.5,0))*(1+$BM135)*(1+$BN135))*(1+$AR135)*$Q135*(1+IF(VLOOKUP($R135,武学奇术!$A:$ZZ,30,FALSE)="蓄力技",$B$21,0))*(1+IF(VLOOKUP($R135,武学奇术!$A:$ZZ,30,FALSE)="派生技",$B$20,0))*(1+$BW135)*(1+$BX135)</f>
        <v>0</v>
      </c>
      <c r="P135" s="46">
        <f>((($AT135*$AN135+$AO135)*(1+$AV135)*(1+$AW135)+($AY135*IF($G$1="鸣金",$AP135,$AN135)+IF($G$1="鸣金",$AQ135*1.5,0))*(1+$BA135)*(1+$BB135)+($BC135*IF($G$1="裂石",$AP135,$AN135)+IF($G$1="裂石",$AQ135*1.5,0))*(1+$BE135)*(1+$BF135)+($BG135*IF($G$1="牵丝",$AP135,$AN135)+IF($G$1="牵丝",$AQ135*1.5,0))*(1+$BI135)*(1+$BJ135)+($BK135*IF($G$1="破竹",$AP135,$AN135)+IF($G$1="破竹",$AQ135*1.5,0))*(1+$BM135)*(1+$BN135))*(1+$AR135))*$Q135*(1+IF(VLOOKUP($R135,武学奇术!$A:$ZZ,30,FALSE)="蓄力技",$B$21,0))*(1+IF(VLOOKUP($R135,武学奇术!$A:$ZZ,30,FALSE)="派生技",$B$20,0))*(1+$BW135)*(1+$BX135)</f>
        <v>0</v>
      </c>
      <c r="Q135" s="47">
        <f t="shared" si="67"/>
        <v>0</v>
      </c>
      <c r="R135" s="48" t="s">
        <v>106</v>
      </c>
      <c r="S135" s="48" t="s">
        <v>94</v>
      </c>
      <c r="T135" s="48" t="s">
        <v>95</v>
      </c>
      <c r="U135" s="48" t="s">
        <v>79</v>
      </c>
      <c r="V135" s="48" t="s">
        <v>80</v>
      </c>
      <c r="W135" s="48" t="s">
        <v>91</v>
      </c>
      <c r="X135" s="48" t="s">
        <v>80</v>
      </c>
      <c r="Y135" s="48" t="s">
        <v>80</v>
      </c>
      <c r="Z135" s="48" t="s">
        <v>81</v>
      </c>
      <c r="AA135" s="48" t="s">
        <v>80</v>
      </c>
      <c r="AB135" s="48" t="s">
        <v>80</v>
      </c>
      <c r="AC135" s="48" t="s">
        <v>80</v>
      </c>
      <c r="AD135" s="48" t="s">
        <v>80</v>
      </c>
      <c r="AE135" s="48" t="s">
        <v>82</v>
      </c>
      <c r="AF135" s="48" t="s">
        <v>83</v>
      </c>
      <c r="AG135" s="48" t="s">
        <v>84</v>
      </c>
      <c r="AH135" s="48" t="s">
        <v>80</v>
      </c>
      <c r="AI135" s="48" t="s">
        <v>80</v>
      </c>
      <c r="AJ135" s="48" t="s">
        <v>80</v>
      </c>
      <c r="AK135" s="48" t="s">
        <v>80</v>
      </c>
      <c r="AL135" s="48" t="s">
        <v>85</v>
      </c>
      <c r="AM135" t="str">
        <f>VLOOKUP($R135,武学奇术!$A:$ZZ,25,FALSE)</f>
        <v>群体奇术</v>
      </c>
      <c r="AN135" s="33">
        <f>VLOOKUP($R135,武学奇术!$A:$ZZ,26,FALSE)</f>
        <v>2.3774</v>
      </c>
      <c r="AO135" s="34">
        <f>VLOOKUP($R135,武学奇术!$A:$ZZ,27,FALSE)*(1+IF(OR($AM135=$F$4,$AM135=$F$5),$B$22,0))</f>
        <v>476</v>
      </c>
      <c r="AP135" s="33">
        <f>VLOOKUP($R135,武学奇术!$A:$ZZ,28,FALSE)</f>
        <v>3.5661</v>
      </c>
      <c r="AQ135" s="34">
        <f>VLOOKUP($R135,武学奇术!$A:$ZZ,29,FALSE)*(1+IF(OR($AM135=$F$4,$AM135=$F$5),$B$22,0))</f>
        <v>0</v>
      </c>
      <c r="AR135" s="33" cm="1">
        <f t="array" ref="AR135">$G$3+IFERROR(VLOOKUP($AM135,$F$4:$G$7,2,FALSE),0)+VLOOKUP($R135,武学奇术!$A:$ZZ,2,FALSE)+SUM(_xlfn.XLOOKUP($S135:$AL135,增益!$A:$A,增益!$B:$B,0))</f>
        <v>0.3742</v>
      </c>
      <c r="AS135" s="33" cm="1">
        <f t="array" ref="AS135">VLOOKUP($R135,武学奇术!$A:$ZZ,5,FALSE)+SUM(_xlfn.XLOOKUP($S135:$AL135,增益!$A:$A,增益!$E:$E,0))</f>
        <v>0</v>
      </c>
      <c r="AT135" cm="1">
        <f t="array" ref="AT135">$D$10*(1+$AS135)+VLOOKUP($R135,武学奇术!$A:$ZZ,3,FALSE)+SUM(_xlfn.XLOOKUP($S135:$AL135,增益!$A:$A,增益!$C:$C,0))-$I$2</f>
        <v>4094.7</v>
      </c>
      <c r="AU135" cm="1">
        <f t="array" ref="AU135">$E$10*(1+$AS135)+VLOOKUP($R135,武学奇术!$A:$ZZ,4,FALSE)+SUM(_xlfn.XLOOKUP($S135:$AL135,增益!$A:$A,增益!$D:$D,0))-$I$2</f>
        <v>4094.7</v>
      </c>
      <c r="AV135" s="40" cm="1">
        <f t="array" ref="AV135">IF($F$10-$I$3+VLOOKUP($R135,武学奇术!$A:$ZZ,6,FALSE)+SUM(_xlfn.XLOOKUP($S135:$AL135,增益!$A:$A,增益!$F:$F,0))&gt;0,($F$10-$I$3+VLOOKUP($R135,武学奇术!$A:$ZZ,6,FALSE)+SUM(_xlfn.XLOOKUP($S135:$AL135,增益!$A:$A,增益!$F:$F,0)))/200,($F$10-$I$3+VLOOKUP($R135,武学奇术!$A:$ZZ,6,FALSE)+SUM(_xlfn.XLOOKUP($S135:$AL135,增益!$A:$A,增益!$F:$F,0)))/100)</f>
        <v>0.4034</v>
      </c>
      <c r="AW135" s="40" cm="1">
        <f t="array" ref="AW135">$G$10+VLOOKUP($R135,武学奇术!$A:$ZZ,7,FALSE)+SUM(_xlfn.XLOOKUP($S135:$AL135,增益!$A:$A,增益!$G:$G,0))</f>
        <v>0.14</v>
      </c>
      <c r="AX135" s="33" cm="1">
        <f t="array" ref="AX135">VLOOKUP($R135,武学奇术!$A:$ZZ,8,FALSE)+SUM(_xlfn.XLOOKUP($S135:$AL135,增益!$A:$A,增益!$H:$H,0))</f>
        <v>0</v>
      </c>
      <c r="AY135">
        <f t="shared" si="57"/>
        <v>0</v>
      </c>
      <c r="AZ135">
        <f t="shared" si="58"/>
        <v>0</v>
      </c>
      <c r="BA135" s="40" cm="1">
        <f t="array" ref="BA135">IF($F$11-$I$4+VLOOKUP($R135,武学奇术!$A:$ZZ,9,FALSE)+SUM(_xlfn.XLOOKUP($S135:$AL135,增益!$A:$A,增益!$I:$I,0))&gt;0,($F$11-$I$4+VLOOKUP($R135,武学奇术!$A:$ZZ,9,FALSE)+SUM(_xlfn.XLOOKUP($S135:$AL135,增益!$A:$A,增益!$I:$I,0)))/200,($F$11-$I$4+VLOOKUP($R135,武学奇术!$A:$ZZ,9,FALSE)+SUM(_xlfn.XLOOKUP($S135:$AL135,增益!$A:$A,增益!$I:$I,0)))/100)</f>
        <v>-0.3</v>
      </c>
      <c r="BB135" s="40" cm="1">
        <f t="array" ref="BB135">$G$11+VLOOKUP($R135,武学奇术!$A:$ZZ,10,FALSE)+SUM(_xlfn.XLOOKUP($S135:$AL135,增益!$A:$A,增益!$J:$J,0))</f>
        <v>0.02</v>
      </c>
      <c r="BC135">
        <f t="shared" si="59"/>
        <v>640.3</v>
      </c>
      <c r="BD135">
        <f t="shared" si="60"/>
        <v>1770.1</v>
      </c>
      <c r="BE135" s="40" cm="1">
        <f t="array" ref="BE135">IF($F$12-$I$4+VLOOKUP($R135,武学奇术!$A:$ZZ,11,FALSE)+SUM(_xlfn.XLOOKUP($S135:$AL135,增益!$A:$A,增益!$K:$K,0))&gt;0,($F$12-$I$4+VLOOKUP($R135,武学奇术!$A:$ZZ,11,FALSE)+SUM(_xlfn.XLOOKUP($S135:$AL135,增益!$A:$A,增益!$K:$K,0)))/200,($F$12-$I$4+VLOOKUP($R135,武学奇术!$A:$ZZ,11,FALSE)+SUM(_xlfn.XLOOKUP($S135:$AL135,增益!$A:$A,增益!$K:$K,0)))/100)</f>
        <v>0.09</v>
      </c>
      <c r="BF135" s="40" cm="1">
        <f t="array" ref="BF135">$G$12+VLOOKUP($R135,武学奇术!$A:$ZZ,12,FALSE)+SUM(_xlfn.XLOOKUP($S135:$AL135,增益!$A:$A,增益!$L:$L,0))</f>
        <v>0.29</v>
      </c>
      <c r="BG135">
        <f t="shared" si="61"/>
        <v>0</v>
      </c>
      <c r="BH135">
        <f t="shared" si="62"/>
        <v>0</v>
      </c>
      <c r="BI135" s="40" cm="1">
        <f t="array" ref="BI135">IF($F$13-$I$4+VLOOKUP($R135,武学奇术!$A:$ZZ,13,FALSE)+SUM(_xlfn.XLOOKUP($S135:$AL135,增益!$A:$A,增益!$M:$M,0))&gt;0,($F$13-$I$4+VLOOKUP($R135,武学奇术!$A:$ZZ,13,FALSE)+SUM(_xlfn.XLOOKUP($S135:$AL135,增益!$A:$A,增益!$K:$K,0)))/200,($F$13-$I$4+VLOOKUP($R135,武学奇术!$A:$ZZ,13,FALSE)+SUM(_xlfn.XLOOKUP($S135:$AL135,增益!$A:$A,增益!$M:$M,0)))/100)</f>
        <v>-0.3</v>
      </c>
      <c r="BJ135" s="40" cm="1">
        <f t="array" ref="BJ135">$G$13+VLOOKUP($R135,武学奇术!$A:$ZZ,14,FALSE)+SUM(_xlfn.XLOOKUP($S135:$AL135,增益!$A:$A,增益!$N:$N,0))</f>
        <v>0.02</v>
      </c>
      <c r="BK135">
        <f t="shared" si="63"/>
        <v>0</v>
      </c>
      <c r="BL135">
        <f t="shared" si="64"/>
        <v>0</v>
      </c>
      <c r="BM135" s="40" cm="1">
        <f t="array" ref="BM135">IF($F$14-$I$4+VLOOKUP($R135,武学奇术!$A:$ZZ,15,FALSE)+SUM(_xlfn.XLOOKUP($S135:$AL135,增益!$A:$A,增益!$O:$O,0))&gt;0,($F$14-$I$4+VLOOKUP($R135,武学奇术!$A:$ZZ,15,FALSE)+SUM(_xlfn.XLOOKUP($S135:$AL135,增益!$A:$A,增益!$O:$O,0)))/200,($F$14-$I$4+VLOOKUP($R135,武学奇术!$A:$ZZ,15,FALSE)+SUM(_xlfn.XLOOKUP($S135:$AL135,增益!$A:$A,增益!$O:$O,0)))/100)</f>
        <v>-0.3</v>
      </c>
      <c r="BN135" s="40" cm="1">
        <f t="array" ref="BN135">$G$14+VLOOKUP($R135,武学奇术!$A:$ZZ,16,FALSE)+SUM(_xlfn.XLOOKUP($S135:$AL135,增益!$A:$A,增益!$P:$P,0))</f>
        <v>0.02</v>
      </c>
      <c r="BO135" s="33">
        <f>MIN(IF(VLOOKUP($R135,武学奇术!$A:$ZZ,23,FALSE)=1,100%,$B$8),100%)</f>
        <v>0.9771</v>
      </c>
      <c r="BP135" s="33" cm="1">
        <f t="array" ref="BP135">IF(VLOOKUP($R135,武学奇术!$A:$ZZ,23,FALSE)=1,100%,MIN(80%,$B$9+VLOOKUP($R135,武学奇术!$A:$ZZ,17,FALSE)+SUM(_xlfn.XLOOKUP($S135:$AL135,增益!$A:$A,增益!$Q:$Q,0)))+$B$11+SUM(_xlfn.XLOOKUP($S135:$AL135,增益!$A:$A,增益!$U:$U,0)))*IF(VLOOKUP($R135,武学奇术!$A:$ZZ,24,FALSE)=1,0,1)</f>
        <v>0.8861</v>
      </c>
      <c r="BQ135" s="33" cm="1">
        <f t="array" ref="BQ135">1+$B$13+VLOOKUP($R135,武学奇术!$A:$ZZ,18,FALSE)+SUM(_xlfn.XLOOKUP($S135:$AL135,增益!$A:$A,增益!$R:$R,0))</f>
        <v>1.88</v>
      </c>
      <c r="BR135" s="33" cm="1">
        <f t="array" ref="BR135">IF(VLOOKUP($R135,武学奇术!$A:$ZZ,24,FALSE)=1,100%,MIN(40%,$B$10+VLOOKUP($R135,武学奇术!$A:$ZZ,19,FALSE)+SUM(_xlfn.XLOOKUP($S135:$AL135,增益!$A:$A,增益!$S:$S,0)))+$B$12+SUM(_xlfn.XLOOKUP($S135:$AL135,增益!$A:$A,增益!$V:$V,0)))*IF(VLOOKUP($R135,武学奇术!$A:$ZZ,23,FALSE)=1,0,1)</f>
        <v>0.0913</v>
      </c>
      <c r="BS135" s="33" cm="1">
        <f t="array" ref="BS135">1+$B$14+VLOOKUP($R135,武学奇术!$A:$ZZ,20,FALSE)+SUM(_xlfn.XLOOKUP($S135:$AL135,增益!$A:$A,增益!$T:$T,0))</f>
        <v>1.35</v>
      </c>
      <c r="BT135" s="33">
        <f t="shared" si="65"/>
        <v>0.86580831</v>
      </c>
      <c r="BU135" s="33">
        <f t="shared" si="66"/>
        <v>0.02208246</v>
      </c>
      <c r="BV135" s="33">
        <f>IF(VLOOKUP($R135,武学奇术!$A:$ZZ,22,FALSE)=1,0,(1-$BO135))*(1-$BR135)</f>
        <v>0.02080923</v>
      </c>
      <c r="BW135" s="33" cm="1">
        <f t="array" ref="BW135">SUM(_xlfn.XLOOKUP($S135:$AL135,增益!$A:$A,增益!$W:$W,0))+$I$5</f>
        <v>0.11</v>
      </c>
      <c r="BX135" s="33" cm="1">
        <f t="array" ref="BX135">VLOOKUP($R135,武学奇术!$A:$ZZ,32,FALSE)+SUM(_xlfn.XLOOKUP($S135:$AL135,增益!$A:$A,增益!$X:$X,0))</f>
        <v>0</v>
      </c>
    </row>
    <row r="136" spans="1:76">
      <c r="A136" s="4" t="s">
        <v>190</v>
      </c>
      <c r="B136" s="4">
        <v>1.1</v>
      </c>
      <c r="C136" s="47"/>
      <c r="D136" s="47"/>
      <c r="E136" s="47"/>
      <c r="L136" s="46">
        <f t="shared" si="56"/>
        <v>0</v>
      </c>
      <c r="M136" s="46">
        <f>((($AT136+$AU136)/2*$AN136+$AO136)*(1+$AV136)*(1+$AW136)+(($AY136+$AZ136)/2*IF($G$1="鸣金",$AP136,$AN136)+IF($G$1="鸣金",$AQ136*1.5,0))*(1+$BA136)*(1+$BB136)+(($BC136+$BD136)/2*IF($G$1="裂石",$AP136,$AN136)+IF($G$1="裂石",$AQ136*1.5,0))*(1+$BE136)*(1+$BF136)+(($BG136+$BH136)/2*IF($G$1="牵丝",$AP136,$AN136)+IF($G$1="牵丝",$AQ136*1.5,0))*(1+$BI136)*(1+$BJ136)+(($BK136+$BL136)/2*IF($G$1="破竹",$AP136,$AN136)+IF($G$1="破竹",$AQ136*1.5,0))*(1+$BM136)*(1+$BN136))*(1+$AR136)*$BQ136*$Q136*(1+IF(VLOOKUP($R136,武学奇术!$A:$ZZ,30,FALSE)="蓄力技",$B$21,0))*(1+IF(VLOOKUP($R136,武学奇术!$A:$ZZ,30,FALSE)="派生技",$B$20,0))*(1+$BW136)*(1+$BX136)</f>
        <v>0</v>
      </c>
      <c r="N136" s="46">
        <f>(($AU136*$AN136+$AO136)*(1+$AV136)*(1+$AW136)+($AZ136*IF($G$1="鸣金",$AP136,$AN136)+IF($G$1="鸣金",$AQ136*1.5,0))*(1+$BA136)*(1+$BB136)+($BD136*IF($G$1="裂石",$AP136,$AN136)+IF($G$1="裂石",$AQ136*1.5,0))*(1+$BE136)*(1+$BF136)+($BH136*IF($G$1="牵丝",$AP136,$AN136)+IF($G$1="牵丝",$AQ136*1.5,0))*(1+$BI136)*(1+$BJ136)+($BL136*IF($G$1="破竹",$AP136,$AN136)+IF($G$1="破竹",$AQ136*1.5,0))*(1+$BM136)*(1+$BN136))*(1+$AR136)*$BS136*$Q136*(1+IF(VLOOKUP($R136,武学奇术!$A:$ZZ,30,FALSE)="蓄力技",$B$21,0))*(1+IF(VLOOKUP($R136,武学奇术!$A:$ZZ,30,FALSE)="派生技",$B$20,0))*(1+$BW136)*(1+$BX136)</f>
        <v>0</v>
      </c>
      <c r="O136" s="46">
        <f>((($AT136+$AU136)/2*$AN136+$AO136)*(1+$AV136)*(1+$AW136)+(($AY136+$AZ136)/2*IF($G$1="鸣金",$AP136,$AN136)+IF($G$1="鸣金",$AQ136*1.5,0))*(1+$BA136)*(1+$BB136)+(($BC136+$BD136)/2*IF($G$1="裂石",$AP136,$AN136)+IF($G$1="裂石",$AQ136*1.5,0))*(1+$BE136)*(1+$BF136)+(($BG136+$BH136)/2*IF($G$1="牵丝",$AP136,$AN136)+IF($G$1="牵丝",$AQ136*1.5,0))*(1+$BI136)*(1+$BJ136)+(($BK136+$BL136)/2*IF($G$1="破竹",$AP136,$AN136)+IF($G$1="破竹",$AQ136*1.5,0))*(1+$BM136)*(1+$BN136))*(1+$AR136)*$Q136*(1+IF(VLOOKUP($R136,武学奇术!$A:$ZZ,30,FALSE)="蓄力技",$B$21,0))*(1+IF(VLOOKUP($R136,武学奇术!$A:$ZZ,30,FALSE)="派生技",$B$20,0))*(1+$BW136)*(1+$BX136)</f>
        <v>0</v>
      </c>
      <c r="P136" s="46">
        <f>((($AT136*$AN136+$AO136)*(1+$AV136)*(1+$AW136)+($AY136*IF($G$1="鸣金",$AP136,$AN136)+IF($G$1="鸣金",$AQ136*1.5,0))*(1+$BA136)*(1+$BB136)+($BC136*IF($G$1="裂石",$AP136,$AN136)+IF($G$1="裂石",$AQ136*1.5,0))*(1+$BE136)*(1+$BF136)+($BG136*IF($G$1="牵丝",$AP136,$AN136)+IF($G$1="牵丝",$AQ136*1.5,0))*(1+$BI136)*(1+$BJ136)+($BK136*IF($G$1="破竹",$AP136,$AN136)+IF($G$1="破竹",$AQ136*1.5,0))*(1+$BM136)*(1+$BN136))*(1+$AR136))*$Q136*(1+IF(VLOOKUP($R136,武学奇术!$A:$ZZ,30,FALSE)="蓄力技",$B$21,0))*(1+IF(VLOOKUP($R136,武学奇术!$A:$ZZ,30,FALSE)="派生技",$B$20,0))*(1+$BW136)*(1+$BX136)</f>
        <v>0</v>
      </c>
      <c r="Q136" s="47">
        <f t="shared" si="67"/>
        <v>0</v>
      </c>
      <c r="R136" s="48" t="s">
        <v>106</v>
      </c>
      <c r="S136" s="48" t="s">
        <v>94</v>
      </c>
      <c r="T136" s="48" t="s">
        <v>95</v>
      </c>
      <c r="U136" s="48" t="s">
        <v>79</v>
      </c>
      <c r="V136" s="48" t="s">
        <v>90</v>
      </c>
      <c r="W136" s="48" t="s">
        <v>91</v>
      </c>
      <c r="X136" s="48" t="s">
        <v>80</v>
      </c>
      <c r="Y136" s="48" t="s">
        <v>80</v>
      </c>
      <c r="Z136" s="48" t="s">
        <v>81</v>
      </c>
      <c r="AA136" s="48" t="s">
        <v>80</v>
      </c>
      <c r="AB136" s="48" t="s">
        <v>80</v>
      </c>
      <c r="AC136" s="48" t="s">
        <v>80</v>
      </c>
      <c r="AD136" s="48" t="s">
        <v>80</v>
      </c>
      <c r="AE136" s="48" t="s">
        <v>82</v>
      </c>
      <c r="AF136" s="48" t="s">
        <v>83</v>
      </c>
      <c r="AG136" s="48" t="s">
        <v>84</v>
      </c>
      <c r="AH136" s="48" t="s">
        <v>80</v>
      </c>
      <c r="AI136" s="48" t="s">
        <v>80</v>
      </c>
      <c r="AJ136" s="48" t="s">
        <v>80</v>
      </c>
      <c r="AK136" s="48" t="s">
        <v>80</v>
      </c>
      <c r="AL136" s="48" t="s">
        <v>85</v>
      </c>
      <c r="AM136" t="str">
        <f>VLOOKUP($R136,武学奇术!$A:$ZZ,25,FALSE)</f>
        <v>群体奇术</v>
      </c>
      <c r="AN136" s="33">
        <f>VLOOKUP($R136,武学奇术!$A:$ZZ,26,FALSE)</f>
        <v>2.3774</v>
      </c>
      <c r="AO136" s="34">
        <f>VLOOKUP($R136,武学奇术!$A:$ZZ,27,FALSE)*(1+IF(OR($AM136=$F$4,$AM136=$F$5),$B$22,0))</f>
        <v>476</v>
      </c>
      <c r="AP136" s="33">
        <f>VLOOKUP($R136,武学奇术!$A:$ZZ,28,FALSE)</f>
        <v>3.5661</v>
      </c>
      <c r="AQ136" s="34">
        <f>VLOOKUP($R136,武学奇术!$A:$ZZ,29,FALSE)*(1+IF(OR($AM136=$F$4,$AM136=$F$5),$B$22,0))</f>
        <v>0</v>
      </c>
      <c r="AR136" s="33" cm="1">
        <f t="array" ref="AR136">$G$3+IFERROR(VLOOKUP($AM136,$F$4:$G$7,2,FALSE),0)+VLOOKUP($R136,武学奇术!$A:$ZZ,2,FALSE)+SUM(_xlfn.XLOOKUP($S136:$AL136,增益!$A:$A,增益!$B:$B,0))</f>
        <v>0.4542</v>
      </c>
      <c r="AS136" s="33" cm="1">
        <f t="array" ref="AS136">VLOOKUP($R136,武学奇术!$A:$ZZ,5,FALSE)+SUM(_xlfn.XLOOKUP($S136:$AL136,增益!$A:$A,增益!$E:$E,0))</f>
        <v>0</v>
      </c>
      <c r="AT136" cm="1">
        <f t="array" ref="AT136">$D$10*(1+$AS136)+VLOOKUP($R136,武学奇术!$A:$ZZ,3,FALSE)+SUM(_xlfn.XLOOKUP($S136:$AL136,增益!$A:$A,增益!$C:$C,0))-$I$2</f>
        <v>4094.7</v>
      </c>
      <c r="AU136" cm="1">
        <f t="array" ref="AU136">$E$10*(1+$AS136)+VLOOKUP($R136,武学奇术!$A:$ZZ,4,FALSE)+SUM(_xlfn.XLOOKUP($S136:$AL136,增益!$A:$A,增益!$D:$D,0))-$I$2</f>
        <v>4094.7</v>
      </c>
      <c r="AV136" s="40" cm="1">
        <f t="array" ref="AV136">IF($F$10-$I$3+VLOOKUP($R136,武学奇术!$A:$ZZ,6,FALSE)+SUM(_xlfn.XLOOKUP($S136:$AL136,增益!$A:$A,增益!$F:$F,0))&gt;0,($F$10-$I$3+VLOOKUP($R136,武学奇术!$A:$ZZ,6,FALSE)+SUM(_xlfn.XLOOKUP($S136:$AL136,增益!$A:$A,增益!$F:$F,0)))/200,($F$10-$I$3+VLOOKUP($R136,武学奇术!$A:$ZZ,6,FALSE)+SUM(_xlfn.XLOOKUP($S136:$AL136,增益!$A:$A,增益!$F:$F,0)))/100)</f>
        <v>0.4034</v>
      </c>
      <c r="AW136" s="40" cm="1">
        <f t="array" ref="AW136">$G$10+VLOOKUP($R136,武学奇术!$A:$ZZ,7,FALSE)+SUM(_xlfn.XLOOKUP($S136:$AL136,增益!$A:$A,增益!$G:$G,0))</f>
        <v>0.14</v>
      </c>
      <c r="AX136" s="33" cm="1">
        <f t="array" ref="AX136">VLOOKUP($R136,武学奇术!$A:$ZZ,8,FALSE)+SUM(_xlfn.XLOOKUP($S136:$AL136,增益!$A:$A,增益!$H:$H,0))</f>
        <v>0</v>
      </c>
      <c r="AY136">
        <f t="shared" si="57"/>
        <v>0</v>
      </c>
      <c r="AZ136">
        <f t="shared" si="58"/>
        <v>0</v>
      </c>
      <c r="BA136" s="40" cm="1">
        <f t="array" ref="BA136">IF($F$11-$I$4+VLOOKUP($R136,武学奇术!$A:$ZZ,9,FALSE)+SUM(_xlfn.XLOOKUP($S136:$AL136,增益!$A:$A,增益!$I:$I,0))&gt;0,($F$11-$I$4+VLOOKUP($R136,武学奇术!$A:$ZZ,9,FALSE)+SUM(_xlfn.XLOOKUP($S136:$AL136,增益!$A:$A,增益!$I:$I,0)))/200,($F$11-$I$4+VLOOKUP($R136,武学奇术!$A:$ZZ,9,FALSE)+SUM(_xlfn.XLOOKUP($S136:$AL136,增益!$A:$A,增益!$I:$I,0)))/100)</f>
        <v>-0.14</v>
      </c>
      <c r="BB136" s="40" cm="1">
        <f t="array" ref="BB136">$G$11+VLOOKUP($R136,武学奇术!$A:$ZZ,10,FALSE)+SUM(_xlfn.XLOOKUP($S136:$AL136,增益!$A:$A,增益!$J:$J,0))</f>
        <v>0.02</v>
      </c>
      <c r="BC136">
        <f t="shared" si="59"/>
        <v>640.3</v>
      </c>
      <c r="BD136">
        <f t="shared" si="60"/>
        <v>1770.1</v>
      </c>
      <c r="BE136" s="40" cm="1">
        <f t="array" ref="BE136">IF($F$12-$I$4+VLOOKUP($R136,武学奇术!$A:$ZZ,11,FALSE)+SUM(_xlfn.XLOOKUP($S136:$AL136,增益!$A:$A,增益!$K:$K,0))&gt;0,($F$12-$I$4+VLOOKUP($R136,武学奇术!$A:$ZZ,11,FALSE)+SUM(_xlfn.XLOOKUP($S136:$AL136,增益!$A:$A,增益!$K:$K,0)))/200,($F$12-$I$4+VLOOKUP($R136,武学奇术!$A:$ZZ,11,FALSE)+SUM(_xlfn.XLOOKUP($S136:$AL136,增益!$A:$A,增益!$K:$K,0)))/100)</f>
        <v>0.17</v>
      </c>
      <c r="BF136" s="40" cm="1">
        <f t="array" ref="BF136">$G$12+VLOOKUP($R136,武学奇术!$A:$ZZ,12,FALSE)+SUM(_xlfn.XLOOKUP($S136:$AL136,增益!$A:$A,增益!$L:$L,0))</f>
        <v>0.29</v>
      </c>
      <c r="BG136">
        <f t="shared" si="61"/>
        <v>0</v>
      </c>
      <c r="BH136">
        <f t="shared" si="62"/>
        <v>0</v>
      </c>
      <c r="BI136" s="40" cm="1">
        <f t="array" ref="BI136">IF($F$13-$I$4+VLOOKUP($R136,武学奇术!$A:$ZZ,13,FALSE)+SUM(_xlfn.XLOOKUP($S136:$AL136,增益!$A:$A,增益!$M:$M,0))&gt;0,($F$13-$I$4+VLOOKUP($R136,武学奇术!$A:$ZZ,13,FALSE)+SUM(_xlfn.XLOOKUP($S136:$AL136,增益!$A:$A,增益!$K:$K,0)))/200,($F$13-$I$4+VLOOKUP($R136,武学奇术!$A:$ZZ,13,FALSE)+SUM(_xlfn.XLOOKUP($S136:$AL136,增益!$A:$A,增益!$M:$M,0)))/100)</f>
        <v>-0.14</v>
      </c>
      <c r="BJ136" s="40" cm="1">
        <f t="array" ref="BJ136">$G$13+VLOOKUP($R136,武学奇术!$A:$ZZ,14,FALSE)+SUM(_xlfn.XLOOKUP($S136:$AL136,增益!$A:$A,增益!$N:$N,0))</f>
        <v>0.02</v>
      </c>
      <c r="BK136">
        <f t="shared" si="63"/>
        <v>0</v>
      </c>
      <c r="BL136">
        <f t="shared" si="64"/>
        <v>0</v>
      </c>
      <c r="BM136" s="40" cm="1">
        <f t="array" ref="BM136">IF($F$14-$I$4+VLOOKUP($R136,武学奇术!$A:$ZZ,15,FALSE)+SUM(_xlfn.XLOOKUP($S136:$AL136,增益!$A:$A,增益!$O:$O,0))&gt;0,($F$14-$I$4+VLOOKUP($R136,武学奇术!$A:$ZZ,15,FALSE)+SUM(_xlfn.XLOOKUP($S136:$AL136,增益!$A:$A,增益!$O:$O,0)))/200,($F$14-$I$4+VLOOKUP($R136,武学奇术!$A:$ZZ,15,FALSE)+SUM(_xlfn.XLOOKUP($S136:$AL136,增益!$A:$A,增益!$O:$O,0)))/100)</f>
        <v>-0.14</v>
      </c>
      <c r="BN136" s="40" cm="1">
        <f t="array" ref="BN136">$G$14+VLOOKUP($R136,武学奇术!$A:$ZZ,16,FALSE)+SUM(_xlfn.XLOOKUP($S136:$AL136,增益!$A:$A,增益!$P:$P,0))</f>
        <v>0.02</v>
      </c>
      <c r="BO136" s="33">
        <f>MIN(IF(VLOOKUP($R136,武学奇术!$A:$ZZ,23,FALSE)=1,100%,$B$8),100%)</f>
        <v>0.9771</v>
      </c>
      <c r="BP136" s="33" cm="1">
        <f t="array" ref="BP136">IF(VLOOKUP($R136,武学奇术!$A:$ZZ,23,FALSE)=1,100%,MIN(80%,$B$9+VLOOKUP($R136,武学奇术!$A:$ZZ,17,FALSE)+SUM(_xlfn.XLOOKUP($S136:$AL136,增益!$A:$A,增益!$Q:$Q,0)))+$B$11+SUM(_xlfn.XLOOKUP($S136:$AL136,增益!$A:$A,增益!$U:$U,0)))*IF(VLOOKUP($R136,武学奇术!$A:$ZZ,24,FALSE)=1,0,1)</f>
        <v>0.8861</v>
      </c>
      <c r="BQ136" s="33" cm="1">
        <f t="array" ref="BQ136">1+$B$13+VLOOKUP($R136,武学奇术!$A:$ZZ,18,FALSE)+SUM(_xlfn.XLOOKUP($S136:$AL136,增益!$A:$A,增益!$R:$R,0))</f>
        <v>1.88</v>
      </c>
      <c r="BR136" s="33" cm="1">
        <f t="array" ref="BR136">IF(VLOOKUP($R136,武学奇术!$A:$ZZ,24,FALSE)=1,100%,MIN(40%,$B$10+VLOOKUP($R136,武学奇术!$A:$ZZ,19,FALSE)+SUM(_xlfn.XLOOKUP($S136:$AL136,增益!$A:$A,增益!$S:$S,0)))+$B$12+SUM(_xlfn.XLOOKUP($S136:$AL136,增益!$A:$A,增益!$V:$V,0)))*IF(VLOOKUP($R136,武学奇术!$A:$ZZ,23,FALSE)=1,0,1)</f>
        <v>0.0913</v>
      </c>
      <c r="BS136" s="33" cm="1">
        <f t="array" ref="BS136">1+$B$14+VLOOKUP($R136,武学奇术!$A:$ZZ,20,FALSE)+SUM(_xlfn.XLOOKUP($S136:$AL136,增益!$A:$A,增益!$T:$T,0))</f>
        <v>1.35</v>
      </c>
      <c r="BT136" s="33">
        <f t="shared" si="65"/>
        <v>0.86580831</v>
      </c>
      <c r="BU136" s="33">
        <f t="shared" si="66"/>
        <v>0.02208246</v>
      </c>
      <c r="BV136" s="33">
        <f>IF(VLOOKUP($R136,武学奇术!$A:$ZZ,22,FALSE)=1,0,(1-$BO136))*(1-$BR136)</f>
        <v>0.02080923</v>
      </c>
      <c r="BW136" s="33" cm="1">
        <f t="array" ref="BW136">SUM(_xlfn.XLOOKUP($S136:$AL136,增益!$A:$A,增益!$W:$W,0))+$I$5</f>
        <v>0.11</v>
      </c>
      <c r="BX136" s="33" cm="1">
        <f t="array" ref="BX136">VLOOKUP($R136,武学奇术!$A:$ZZ,32,FALSE)+SUM(_xlfn.XLOOKUP($S136:$AL136,增益!$A:$A,增益!$X:$X,0))</f>
        <v>0</v>
      </c>
    </row>
    <row r="137" spans="1:76">
      <c r="A137" s="4" t="s">
        <v>189</v>
      </c>
      <c r="B137" s="4">
        <v>0.8</v>
      </c>
      <c r="C137" s="47"/>
      <c r="D137" s="47"/>
      <c r="E137" s="47"/>
      <c r="L137" s="46">
        <f t="shared" si="56"/>
        <v>0</v>
      </c>
      <c r="M137" s="46">
        <f>((($AT137+$AU137)/2*$AN137+$AO137)*(1+$AV137)*(1+$AW137)+(($AY137+$AZ137)/2*IF($G$1="鸣金",$AP137,$AN137)+IF($G$1="鸣金",$AQ137*1.5,0))*(1+$BA137)*(1+$BB137)+(($BC137+$BD137)/2*IF($G$1="裂石",$AP137,$AN137)+IF($G$1="裂石",$AQ137*1.5,0))*(1+$BE137)*(1+$BF137)+(($BG137+$BH137)/2*IF($G$1="牵丝",$AP137,$AN137)+IF($G$1="牵丝",$AQ137*1.5,0))*(1+$BI137)*(1+$BJ137)+(($BK137+$BL137)/2*IF($G$1="破竹",$AP137,$AN137)+IF($G$1="破竹",$AQ137*1.5,0))*(1+$BM137)*(1+$BN137))*(1+$AR137)*$BQ137*$Q137*(1+IF(VLOOKUP($R137,武学奇术!$A:$ZZ,30,FALSE)="蓄力技",$B$21,0))*(1+IF(VLOOKUP($R137,武学奇术!$A:$ZZ,30,FALSE)="派生技",$B$20,0))*(1+$BW137)*(1+$BX137)</f>
        <v>0</v>
      </c>
      <c r="N137" s="46">
        <f>(($AU137*$AN137+$AO137)*(1+$AV137)*(1+$AW137)+($AZ137*IF($G$1="鸣金",$AP137,$AN137)+IF($G$1="鸣金",$AQ137*1.5,0))*(1+$BA137)*(1+$BB137)+($BD137*IF($G$1="裂石",$AP137,$AN137)+IF($G$1="裂石",$AQ137*1.5,0))*(1+$BE137)*(1+$BF137)+($BH137*IF($G$1="牵丝",$AP137,$AN137)+IF($G$1="牵丝",$AQ137*1.5,0))*(1+$BI137)*(1+$BJ137)+($BL137*IF($G$1="破竹",$AP137,$AN137)+IF($G$1="破竹",$AQ137*1.5,0))*(1+$BM137)*(1+$BN137))*(1+$AR137)*$BS137*$Q137*(1+IF(VLOOKUP($R137,武学奇术!$A:$ZZ,30,FALSE)="蓄力技",$B$21,0))*(1+IF(VLOOKUP($R137,武学奇术!$A:$ZZ,30,FALSE)="派生技",$B$20,0))*(1+$BW137)*(1+$BX137)</f>
        <v>0</v>
      </c>
      <c r="O137" s="46">
        <f>((($AT137+$AU137)/2*$AN137+$AO137)*(1+$AV137)*(1+$AW137)+(($AY137+$AZ137)/2*IF($G$1="鸣金",$AP137,$AN137)+IF($G$1="鸣金",$AQ137*1.5,0))*(1+$BA137)*(1+$BB137)+(($BC137+$BD137)/2*IF($G$1="裂石",$AP137,$AN137)+IF($G$1="裂石",$AQ137*1.5,0))*(1+$BE137)*(1+$BF137)+(($BG137+$BH137)/2*IF($G$1="牵丝",$AP137,$AN137)+IF($G$1="牵丝",$AQ137*1.5,0))*(1+$BI137)*(1+$BJ137)+(($BK137+$BL137)/2*IF($G$1="破竹",$AP137,$AN137)+IF($G$1="破竹",$AQ137*1.5,0))*(1+$BM137)*(1+$BN137))*(1+$AR137)*$Q137*(1+IF(VLOOKUP($R137,武学奇术!$A:$ZZ,30,FALSE)="蓄力技",$B$21,0))*(1+IF(VLOOKUP($R137,武学奇术!$A:$ZZ,30,FALSE)="派生技",$B$20,0))*(1+$BW137)*(1+$BX137)</f>
        <v>0</v>
      </c>
      <c r="P137" s="46">
        <f>((($AT137*$AN137+$AO137)*(1+$AV137)*(1+$AW137)+($AY137*IF($G$1="鸣金",$AP137,$AN137)+IF($G$1="鸣金",$AQ137*1.5,0))*(1+$BA137)*(1+$BB137)+($BC137*IF($G$1="裂石",$AP137,$AN137)+IF($G$1="裂石",$AQ137*1.5,0))*(1+$BE137)*(1+$BF137)+($BG137*IF($G$1="牵丝",$AP137,$AN137)+IF($G$1="牵丝",$AQ137*1.5,0))*(1+$BI137)*(1+$BJ137)+($BK137*IF($G$1="破竹",$AP137,$AN137)+IF($G$1="破竹",$AQ137*1.5,0))*(1+$BM137)*(1+$BN137))*(1+$AR137))*$Q137*(1+IF(VLOOKUP($R137,武学奇术!$A:$ZZ,30,FALSE)="蓄力技",$B$21,0))*(1+IF(VLOOKUP($R137,武学奇术!$A:$ZZ,30,FALSE)="派生技",$B$20,0))*(1+$BW137)*(1+$BX137)</f>
        <v>0</v>
      </c>
      <c r="Q137" s="47">
        <f t="shared" si="67"/>
        <v>0</v>
      </c>
      <c r="R137" s="48" t="s">
        <v>106</v>
      </c>
      <c r="S137" s="48" t="s">
        <v>99</v>
      </c>
      <c r="T137" s="48" t="s">
        <v>100</v>
      </c>
      <c r="U137" s="48" t="s">
        <v>79</v>
      </c>
      <c r="V137" s="48" t="s">
        <v>90</v>
      </c>
      <c r="W137" s="48" t="s">
        <v>91</v>
      </c>
      <c r="X137" s="48" t="s">
        <v>80</v>
      </c>
      <c r="Y137" s="48" t="s">
        <v>80</v>
      </c>
      <c r="Z137" s="48" t="s">
        <v>81</v>
      </c>
      <c r="AA137" s="48" t="s">
        <v>80</v>
      </c>
      <c r="AB137" s="48" t="s">
        <v>80</v>
      </c>
      <c r="AC137" s="48" t="s">
        <v>80</v>
      </c>
      <c r="AD137" s="48" t="s">
        <v>80</v>
      </c>
      <c r="AE137" s="48" t="s">
        <v>82</v>
      </c>
      <c r="AF137" s="48" t="s">
        <v>83</v>
      </c>
      <c r="AG137" s="48" t="s">
        <v>84</v>
      </c>
      <c r="AH137" s="48" t="s">
        <v>80</v>
      </c>
      <c r="AI137" s="48" t="s">
        <v>80</v>
      </c>
      <c r="AJ137" s="48" t="s">
        <v>80</v>
      </c>
      <c r="AK137" s="48" t="s">
        <v>80</v>
      </c>
      <c r="AL137" s="48" t="s">
        <v>85</v>
      </c>
      <c r="AM137" t="str">
        <f>VLOOKUP($R137,武学奇术!$A:$ZZ,25,FALSE)</f>
        <v>群体奇术</v>
      </c>
      <c r="AN137" s="33">
        <f>VLOOKUP($R137,武学奇术!$A:$ZZ,26,FALSE)</f>
        <v>2.3774</v>
      </c>
      <c r="AO137" s="34">
        <f>VLOOKUP($R137,武学奇术!$A:$ZZ,27,FALSE)*(1+IF(OR($AM137=$F$4,$AM137=$F$5),$B$22,0))</f>
        <v>476</v>
      </c>
      <c r="AP137" s="33">
        <f>VLOOKUP($R137,武学奇术!$A:$ZZ,28,FALSE)</f>
        <v>3.5661</v>
      </c>
      <c r="AQ137" s="34">
        <f>VLOOKUP($R137,武学奇术!$A:$ZZ,29,FALSE)*(1+IF(OR($AM137=$F$4,$AM137=$F$5),$B$22,0))</f>
        <v>0</v>
      </c>
      <c r="AR137" s="33" cm="1">
        <f t="array" ref="AR137">$G$3+IFERROR(VLOOKUP($AM137,$F$4:$G$7,2,FALSE),0)+VLOOKUP($R137,武学奇术!$A:$ZZ,2,FALSE)+SUM(_xlfn.XLOOKUP($S137:$AL137,增益!$A:$A,增益!$B:$B,0))</f>
        <v>0.4642</v>
      </c>
      <c r="AS137" s="33" cm="1">
        <f t="array" ref="AS137">VLOOKUP($R137,武学奇术!$A:$ZZ,5,FALSE)+SUM(_xlfn.XLOOKUP($S137:$AL137,增益!$A:$A,增益!$E:$E,0))</f>
        <v>0</v>
      </c>
      <c r="AT137" cm="1">
        <f t="array" ref="AT137">$D$10*(1+$AS137)+VLOOKUP($R137,武学奇术!$A:$ZZ,3,FALSE)+SUM(_xlfn.XLOOKUP($S137:$AL137,增益!$A:$A,增益!$C:$C,0))-$I$2</f>
        <v>4094.7</v>
      </c>
      <c r="AU137" cm="1">
        <f t="array" ref="AU137">$E$10*(1+$AS137)+VLOOKUP($R137,武学奇术!$A:$ZZ,4,FALSE)+SUM(_xlfn.XLOOKUP($S137:$AL137,增益!$A:$A,增益!$D:$D,0))-$I$2</f>
        <v>4094.7</v>
      </c>
      <c r="AV137" s="40" cm="1">
        <f t="array" ref="AV137">IF($F$10-$I$3+VLOOKUP($R137,武学奇术!$A:$ZZ,6,FALSE)+SUM(_xlfn.XLOOKUP($S137:$AL137,增益!$A:$A,增益!$F:$F,0))&gt;0,($F$10-$I$3+VLOOKUP($R137,武学奇术!$A:$ZZ,6,FALSE)+SUM(_xlfn.XLOOKUP($S137:$AL137,增益!$A:$A,增益!$F:$F,0)))/200,($F$10-$I$3+VLOOKUP($R137,武学奇术!$A:$ZZ,6,FALSE)+SUM(_xlfn.XLOOKUP($S137:$AL137,增益!$A:$A,增益!$F:$F,0)))/100)</f>
        <v>0.4134</v>
      </c>
      <c r="AW137" s="40" cm="1">
        <f t="array" ref="AW137">$G$10+VLOOKUP($R137,武学奇术!$A:$ZZ,7,FALSE)+SUM(_xlfn.XLOOKUP($S137:$AL137,增益!$A:$A,增益!$G:$G,0))</f>
        <v>0.14</v>
      </c>
      <c r="AX137" s="33" cm="1">
        <f t="array" ref="AX137">VLOOKUP($R137,武学奇术!$A:$ZZ,8,FALSE)+SUM(_xlfn.XLOOKUP($S137:$AL137,增益!$A:$A,增益!$H:$H,0))</f>
        <v>0</v>
      </c>
      <c r="AY137">
        <f t="shared" si="57"/>
        <v>0</v>
      </c>
      <c r="AZ137">
        <f t="shared" si="58"/>
        <v>0</v>
      </c>
      <c r="BA137" s="40" cm="1">
        <f t="array" ref="BA137">IF($F$11-$I$4+VLOOKUP($R137,武学奇术!$A:$ZZ,9,FALSE)+SUM(_xlfn.XLOOKUP($S137:$AL137,增益!$A:$A,增益!$I:$I,0))&gt;0,($F$11-$I$4+VLOOKUP($R137,武学奇术!$A:$ZZ,9,FALSE)+SUM(_xlfn.XLOOKUP($S137:$AL137,增益!$A:$A,增益!$I:$I,0)))/200,($F$11-$I$4+VLOOKUP($R137,武学奇术!$A:$ZZ,9,FALSE)+SUM(_xlfn.XLOOKUP($S137:$AL137,增益!$A:$A,增益!$I:$I,0)))/100)</f>
        <v>-0.14</v>
      </c>
      <c r="BB137" s="40" cm="1">
        <f t="array" ref="BB137">$G$11+VLOOKUP($R137,武学奇术!$A:$ZZ,10,FALSE)+SUM(_xlfn.XLOOKUP($S137:$AL137,增益!$A:$A,增益!$J:$J,0))</f>
        <v>0.02</v>
      </c>
      <c r="BC137">
        <f t="shared" si="59"/>
        <v>640.3</v>
      </c>
      <c r="BD137">
        <f t="shared" si="60"/>
        <v>1770.1</v>
      </c>
      <c r="BE137" s="40" cm="1">
        <f t="array" ref="BE137">IF($F$12-$I$4+VLOOKUP($R137,武学奇术!$A:$ZZ,11,FALSE)+SUM(_xlfn.XLOOKUP($S137:$AL137,增益!$A:$A,增益!$K:$K,0))&gt;0,($F$12-$I$4+VLOOKUP($R137,武学奇术!$A:$ZZ,11,FALSE)+SUM(_xlfn.XLOOKUP($S137:$AL137,增益!$A:$A,增益!$K:$K,0)))/200,($F$12-$I$4+VLOOKUP($R137,武学奇术!$A:$ZZ,11,FALSE)+SUM(_xlfn.XLOOKUP($S137:$AL137,增益!$A:$A,增益!$K:$K,0)))/100)</f>
        <v>0.17</v>
      </c>
      <c r="BF137" s="40" cm="1">
        <f t="array" ref="BF137">$G$12+VLOOKUP($R137,武学奇术!$A:$ZZ,12,FALSE)+SUM(_xlfn.XLOOKUP($S137:$AL137,增益!$A:$A,增益!$L:$L,0))</f>
        <v>0.29</v>
      </c>
      <c r="BG137">
        <f t="shared" si="61"/>
        <v>0</v>
      </c>
      <c r="BH137">
        <f t="shared" si="62"/>
        <v>0</v>
      </c>
      <c r="BI137" s="40" cm="1">
        <f t="array" ref="BI137">IF($F$13-$I$4+VLOOKUP($R137,武学奇术!$A:$ZZ,13,FALSE)+SUM(_xlfn.XLOOKUP($S137:$AL137,增益!$A:$A,增益!$M:$M,0))&gt;0,($F$13-$I$4+VLOOKUP($R137,武学奇术!$A:$ZZ,13,FALSE)+SUM(_xlfn.XLOOKUP($S137:$AL137,增益!$A:$A,增益!$K:$K,0)))/200,($F$13-$I$4+VLOOKUP($R137,武学奇术!$A:$ZZ,13,FALSE)+SUM(_xlfn.XLOOKUP($S137:$AL137,增益!$A:$A,增益!$M:$M,0)))/100)</f>
        <v>-0.14</v>
      </c>
      <c r="BJ137" s="40" cm="1">
        <f t="array" ref="BJ137">$G$13+VLOOKUP($R137,武学奇术!$A:$ZZ,14,FALSE)+SUM(_xlfn.XLOOKUP($S137:$AL137,增益!$A:$A,增益!$N:$N,0))</f>
        <v>0.02</v>
      </c>
      <c r="BK137">
        <f t="shared" si="63"/>
        <v>0</v>
      </c>
      <c r="BL137">
        <f t="shared" si="64"/>
        <v>0</v>
      </c>
      <c r="BM137" s="40" cm="1">
        <f t="array" ref="BM137">IF($F$14-$I$4+VLOOKUP($R137,武学奇术!$A:$ZZ,15,FALSE)+SUM(_xlfn.XLOOKUP($S137:$AL137,增益!$A:$A,增益!$O:$O,0))&gt;0,($F$14-$I$4+VLOOKUP($R137,武学奇术!$A:$ZZ,15,FALSE)+SUM(_xlfn.XLOOKUP($S137:$AL137,增益!$A:$A,增益!$O:$O,0)))/200,($F$14-$I$4+VLOOKUP($R137,武学奇术!$A:$ZZ,15,FALSE)+SUM(_xlfn.XLOOKUP($S137:$AL137,增益!$A:$A,增益!$O:$O,0)))/100)</f>
        <v>-0.14</v>
      </c>
      <c r="BN137" s="40" cm="1">
        <f t="array" ref="BN137">$G$14+VLOOKUP($R137,武学奇术!$A:$ZZ,16,FALSE)+SUM(_xlfn.XLOOKUP($S137:$AL137,增益!$A:$A,增益!$P:$P,0))</f>
        <v>0.02</v>
      </c>
      <c r="BO137" s="33">
        <f>MIN(IF(VLOOKUP($R137,武学奇术!$A:$ZZ,23,FALSE)=1,100%,$B$8),100%)</f>
        <v>0.9771</v>
      </c>
      <c r="BP137" s="33" cm="1">
        <f t="array" ref="BP137">IF(VLOOKUP($R137,武学奇术!$A:$ZZ,23,FALSE)=1,100%,MIN(80%,$B$9+VLOOKUP($R137,武学奇术!$A:$ZZ,17,FALSE)+SUM(_xlfn.XLOOKUP($S137:$AL137,增益!$A:$A,增益!$Q:$Q,0)))+$B$11+SUM(_xlfn.XLOOKUP($S137:$AL137,增益!$A:$A,增益!$U:$U,0)))*IF(VLOOKUP($R137,武学奇术!$A:$ZZ,24,FALSE)=1,0,1)</f>
        <v>0.8861</v>
      </c>
      <c r="BQ137" s="33" cm="1">
        <f t="array" ref="BQ137">1+$B$13+VLOOKUP($R137,武学奇术!$A:$ZZ,18,FALSE)+SUM(_xlfn.XLOOKUP($S137:$AL137,增益!$A:$A,增益!$R:$R,0))</f>
        <v>1.89</v>
      </c>
      <c r="BR137" s="33" cm="1">
        <f t="array" ref="BR137">IF(VLOOKUP($R137,武学奇术!$A:$ZZ,24,FALSE)=1,100%,MIN(40%,$B$10+VLOOKUP($R137,武学奇术!$A:$ZZ,19,FALSE)+SUM(_xlfn.XLOOKUP($S137:$AL137,增益!$A:$A,增益!$S:$S,0)))+$B$12+SUM(_xlfn.XLOOKUP($S137:$AL137,增益!$A:$A,增益!$V:$V,0)))*IF(VLOOKUP($R137,武学奇术!$A:$ZZ,23,FALSE)=1,0,1)</f>
        <v>0.0913</v>
      </c>
      <c r="BS137" s="33" cm="1">
        <f t="array" ref="BS137">1+$B$14+VLOOKUP($R137,武学奇术!$A:$ZZ,20,FALSE)+SUM(_xlfn.XLOOKUP($S137:$AL137,增益!$A:$A,增益!$T:$T,0))</f>
        <v>1.35</v>
      </c>
      <c r="BT137" s="33">
        <f t="shared" si="65"/>
        <v>0.86580831</v>
      </c>
      <c r="BU137" s="33">
        <f t="shared" si="66"/>
        <v>0.02208246</v>
      </c>
      <c r="BV137" s="33">
        <f>IF(VLOOKUP($R137,武学奇术!$A:$ZZ,22,FALSE)=1,0,(1-$BO137))*(1-$BR137)</f>
        <v>0.02080923</v>
      </c>
      <c r="BW137" s="33" cm="1">
        <f t="array" ref="BW137">SUM(_xlfn.XLOOKUP($S137:$AL137,增益!$A:$A,增益!$W:$W,0))+$I$5</f>
        <v>0.11</v>
      </c>
      <c r="BX137" s="33" cm="1">
        <f t="array" ref="BX137">VLOOKUP($R137,武学奇术!$A:$ZZ,32,FALSE)+SUM(_xlfn.XLOOKUP($S137:$AL137,增益!$A:$A,增益!$X:$X,0))</f>
        <v>0</v>
      </c>
    </row>
    <row r="138" spans="1:76">
      <c r="A138" s="4" t="s">
        <v>190</v>
      </c>
      <c r="B138" s="4">
        <v>1.1</v>
      </c>
      <c r="C138" s="47"/>
      <c r="D138" s="47"/>
      <c r="E138" s="47"/>
      <c r="L138" s="46">
        <f t="shared" si="56"/>
        <v>0</v>
      </c>
      <c r="M138" s="46">
        <f>((($AT138+$AU138)/2*$AN138+$AO138)*(1+$AV138)*(1+$AW138)+(($AY138+$AZ138)/2*IF($G$1="鸣金",$AP138,$AN138)+IF($G$1="鸣金",$AQ138*1.5,0))*(1+$BA138)*(1+$BB138)+(($BC138+$BD138)/2*IF($G$1="裂石",$AP138,$AN138)+IF($G$1="裂石",$AQ138*1.5,0))*(1+$BE138)*(1+$BF138)+(($BG138+$BH138)/2*IF($G$1="牵丝",$AP138,$AN138)+IF($G$1="牵丝",$AQ138*1.5,0))*(1+$BI138)*(1+$BJ138)+(($BK138+$BL138)/2*IF($G$1="破竹",$AP138,$AN138)+IF($G$1="破竹",$AQ138*1.5,0))*(1+$BM138)*(1+$BN138))*(1+$AR138)*$BQ138*$Q138*(1+IF(VLOOKUP($R138,武学奇术!$A:$ZZ,30,FALSE)="蓄力技",$B$21,0))*(1+IF(VLOOKUP($R138,武学奇术!$A:$ZZ,30,FALSE)="派生技",$B$20,0))*(1+$BW138)*(1+$BX138)</f>
        <v>0</v>
      </c>
      <c r="N138" s="46">
        <f>(($AU138*$AN138+$AO138)*(1+$AV138)*(1+$AW138)+($AZ138*IF($G$1="鸣金",$AP138,$AN138)+IF($G$1="鸣金",$AQ138*1.5,0))*(1+$BA138)*(1+$BB138)+($BD138*IF($G$1="裂石",$AP138,$AN138)+IF($G$1="裂石",$AQ138*1.5,0))*(1+$BE138)*(1+$BF138)+($BH138*IF($G$1="牵丝",$AP138,$AN138)+IF($G$1="牵丝",$AQ138*1.5,0))*(1+$BI138)*(1+$BJ138)+($BL138*IF($G$1="破竹",$AP138,$AN138)+IF($G$1="破竹",$AQ138*1.5,0))*(1+$BM138)*(1+$BN138))*(1+$AR138)*$BS138*$Q138*(1+IF(VLOOKUP($R138,武学奇术!$A:$ZZ,30,FALSE)="蓄力技",$B$21,0))*(1+IF(VLOOKUP($R138,武学奇术!$A:$ZZ,30,FALSE)="派生技",$B$20,0))*(1+$BW138)*(1+$BX138)</f>
        <v>0</v>
      </c>
      <c r="O138" s="46">
        <f>((($AT138+$AU138)/2*$AN138+$AO138)*(1+$AV138)*(1+$AW138)+(($AY138+$AZ138)/2*IF($G$1="鸣金",$AP138,$AN138)+IF($G$1="鸣金",$AQ138*1.5,0))*(1+$BA138)*(1+$BB138)+(($BC138+$BD138)/2*IF($G$1="裂石",$AP138,$AN138)+IF($G$1="裂石",$AQ138*1.5,0))*(1+$BE138)*(1+$BF138)+(($BG138+$BH138)/2*IF($G$1="牵丝",$AP138,$AN138)+IF($G$1="牵丝",$AQ138*1.5,0))*(1+$BI138)*(1+$BJ138)+(($BK138+$BL138)/2*IF($G$1="破竹",$AP138,$AN138)+IF($G$1="破竹",$AQ138*1.5,0))*(1+$BM138)*(1+$BN138))*(1+$AR138)*$Q138*(1+IF(VLOOKUP($R138,武学奇术!$A:$ZZ,30,FALSE)="蓄力技",$B$21,0))*(1+IF(VLOOKUP($R138,武学奇术!$A:$ZZ,30,FALSE)="派生技",$B$20,0))*(1+$BW138)*(1+$BX138)</f>
        <v>0</v>
      </c>
      <c r="P138" s="46">
        <f>((($AT138*$AN138+$AO138)*(1+$AV138)*(1+$AW138)+($AY138*IF($G$1="鸣金",$AP138,$AN138)+IF($G$1="鸣金",$AQ138*1.5,0))*(1+$BA138)*(1+$BB138)+($BC138*IF($G$1="裂石",$AP138,$AN138)+IF($G$1="裂石",$AQ138*1.5,0))*(1+$BE138)*(1+$BF138)+($BG138*IF($G$1="牵丝",$AP138,$AN138)+IF($G$1="牵丝",$AQ138*1.5,0))*(1+$BI138)*(1+$BJ138)+($BK138*IF($G$1="破竹",$AP138,$AN138)+IF($G$1="破竹",$AQ138*1.5,0))*(1+$BM138)*(1+$BN138))*(1+$AR138))*$Q138*(1+IF(VLOOKUP($R138,武学奇术!$A:$ZZ,30,FALSE)="蓄力技",$B$21,0))*(1+IF(VLOOKUP($R138,武学奇术!$A:$ZZ,30,FALSE)="派生技",$B$20,0))*(1+$BW138)*(1+$BX138)</f>
        <v>0</v>
      </c>
      <c r="Q138" s="47">
        <f t="shared" si="67"/>
        <v>0</v>
      </c>
      <c r="R138" s="48" t="s">
        <v>106</v>
      </c>
      <c r="S138" s="48" t="s">
        <v>99</v>
      </c>
      <c r="T138" s="48" t="s">
        <v>100</v>
      </c>
      <c r="U138" s="48" t="s">
        <v>79</v>
      </c>
      <c r="V138" s="48" t="s">
        <v>90</v>
      </c>
      <c r="W138" s="48" t="s">
        <v>91</v>
      </c>
      <c r="X138" s="48" t="s">
        <v>80</v>
      </c>
      <c r="Y138" s="48" t="s">
        <v>80</v>
      </c>
      <c r="Z138" s="48" t="s">
        <v>81</v>
      </c>
      <c r="AA138" s="48" t="s">
        <v>80</v>
      </c>
      <c r="AB138" s="48" t="s">
        <v>80</v>
      </c>
      <c r="AC138" s="48" t="s">
        <v>80</v>
      </c>
      <c r="AD138" s="48" t="s">
        <v>80</v>
      </c>
      <c r="AE138" s="48" t="s">
        <v>82</v>
      </c>
      <c r="AF138" s="48" t="s">
        <v>83</v>
      </c>
      <c r="AG138" s="48" t="s">
        <v>84</v>
      </c>
      <c r="AH138" s="48" t="s">
        <v>80</v>
      </c>
      <c r="AI138" s="48" t="s">
        <v>80</v>
      </c>
      <c r="AJ138" s="48" t="s">
        <v>80</v>
      </c>
      <c r="AK138" s="48" t="s">
        <v>80</v>
      </c>
      <c r="AL138" s="48" t="s">
        <v>85</v>
      </c>
      <c r="AM138" t="str">
        <f>VLOOKUP($R138,武学奇术!$A:$ZZ,25,FALSE)</f>
        <v>群体奇术</v>
      </c>
      <c r="AN138" s="33">
        <f>VLOOKUP($R138,武学奇术!$A:$ZZ,26,FALSE)</f>
        <v>2.3774</v>
      </c>
      <c r="AO138" s="34">
        <f>VLOOKUP($R138,武学奇术!$A:$ZZ,27,FALSE)*(1+IF(OR($AM138=$F$4,$AM138=$F$5),$B$22,0))</f>
        <v>476</v>
      </c>
      <c r="AP138" s="33">
        <f>VLOOKUP($R138,武学奇术!$A:$ZZ,28,FALSE)</f>
        <v>3.5661</v>
      </c>
      <c r="AQ138" s="34">
        <f>VLOOKUP($R138,武学奇术!$A:$ZZ,29,FALSE)*(1+IF(OR($AM138=$F$4,$AM138=$F$5),$B$22,0))</f>
        <v>0</v>
      </c>
      <c r="AR138" s="33" cm="1">
        <f t="array" ref="AR138">$G$3+IFERROR(VLOOKUP($AM138,$F$4:$G$7,2,FALSE),0)+VLOOKUP($R138,武学奇术!$A:$ZZ,2,FALSE)+SUM(_xlfn.XLOOKUP($S138:$AL138,增益!$A:$A,增益!$B:$B,0))</f>
        <v>0.4642</v>
      </c>
      <c r="AS138" s="33" cm="1">
        <f t="array" ref="AS138">VLOOKUP($R138,武学奇术!$A:$ZZ,5,FALSE)+SUM(_xlfn.XLOOKUP($S138:$AL138,增益!$A:$A,增益!$E:$E,0))</f>
        <v>0</v>
      </c>
      <c r="AT138" cm="1">
        <f t="array" ref="AT138">$D$10*(1+$AS138)+VLOOKUP($R138,武学奇术!$A:$ZZ,3,FALSE)+SUM(_xlfn.XLOOKUP($S138:$AL138,增益!$A:$A,增益!$C:$C,0))-$I$2</f>
        <v>4094.7</v>
      </c>
      <c r="AU138" cm="1">
        <f t="array" ref="AU138">$E$10*(1+$AS138)+VLOOKUP($R138,武学奇术!$A:$ZZ,4,FALSE)+SUM(_xlfn.XLOOKUP($S138:$AL138,增益!$A:$A,增益!$D:$D,0))-$I$2</f>
        <v>4094.7</v>
      </c>
      <c r="AV138" s="40" cm="1">
        <f t="array" ref="AV138">IF($F$10-$I$3+VLOOKUP($R138,武学奇术!$A:$ZZ,6,FALSE)+SUM(_xlfn.XLOOKUP($S138:$AL138,增益!$A:$A,增益!$F:$F,0))&gt;0,($F$10-$I$3+VLOOKUP($R138,武学奇术!$A:$ZZ,6,FALSE)+SUM(_xlfn.XLOOKUP($S138:$AL138,增益!$A:$A,增益!$F:$F,0)))/200,($F$10-$I$3+VLOOKUP($R138,武学奇术!$A:$ZZ,6,FALSE)+SUM(_xlfn.XLOOKUP($S138:$AL138,增益!$A:$A,增益!$F:$F,0)))/100)</f>
        <v>0.4134</v>
      </c>
      <c r="AW138" s="40" cm="1">
        <f t="array" ref="AW138">$G$10+VLOOKUP($R138,武学奇术!$A:$ZZ,7,FALSE)+SUM(_xlfn.XLOOKUP($S138:$AL138,增益!$A:$A,增益!$G:$G,0))</f>
        <v>0.14</v>
      </c>
      <c r="AX138" s="33" cm="1">
        <f t="array" ref="AX138">VLOOKUP($R138,武学奇术!$A:$ZZ,8,FALSE)+SUM(_xlfn.XLOOKUP($S138:$AL138,增益!$A:$A,增益!$H:$H,0))</f>
        <v>0</v>
      </c>
      <c r="AY138">
        <f t="shared" si="57"/>
        <v>0</v>
      </c>
      <c r="AZ138">
        <f t="shared" si="58"/>
        <v>0</v>
      </c>
      <c r="BA138" s="40" cm="1">
        <f t="array" ref="BA138">IF($F$11-$I$4+VLOOKUP($R138,武学奇术!$A:$ZZ,9,FALSE)+SUM(_xlfn.XLOOKUP($S138:$AL138,增益!$A:$A,增益!$I:$I,0))&gt;0,($F$11-$I$4+VLOOKUP($R138,武学奇术!$A:$ZZ,9,FALSE)+SUM(_xlfn.XLOOKUP($S138:$AL138,增益!$A:$A,增益!$I:$I,0)))/200,($F$11-$I$4+VLOOKUP($R138,武学奇术!$A:$ZZ,9,FALSE)+SUM(_xlfn.XLOOKUP($S138:$AL138,增益!$A:$A,增益!$I:$I,0)))/100)</f>
        <v>-0.14</v>
      </c>
      <c r="BB138" s="40" cm="1">
        <f t="array" ref="BB138">$G$11+VLOOKUP($R138,武学奇术!$A:$ZZ,10,FALSE)+SUM(_xlfn.XLOOKUP($S138:$AL138,增益!$A:$A,增益!$J:$J,0))</f>
        <v>0.02</v>
      </c>
      <c r="BC138">
        <f t="shared" si="59"/>
        <v>640.3</v>
      </c>
      <c r="BD138">
        <f t="shared" si="60"/>
        <v>1770.1</v>
      </c>
      <c r="BE138" s="40" cm="1">
        <f t="array" ref="BE138">IF($F$12-$I$4+VLOOKUP($R138,武学奇术!$A:$ZZ,11,FALSE)+SUM(_xlfn.XLOOKUP($S138:$AL138,增益!$A:$A,增益!$K:$K,0))&gt;0,($F$12-$I$4+VLOOKUP($R138,武学奇术!$A:$ZZ,11,FALSE)+SUM(_xlfn.XLOOKUP($S138:$AL138,增益!$A:$A,增益!$K:$K,0)))/200,($F$12-$I$4+VLOOKUP($R138,武学奇术!$A:$ZZ,11,FALSE)+SUM(_xlfn.XLOOKUP($S138:$AL138,增益!$A:$A,增益!$K:$K,0)))/100)</f>
        <v>0.17</v>
      </c>
      <c r="BF138" s="40" cm="1">
        <f t="array" ref="BF138">$G$12+VLOOKUP($R138,武学奇术!$A:$ZZ,12,FALSE)+SUM(_xlfn.XLOOKUP($S138:$AL138,增益!$A:$A,增益!$L:$L,0))</f>
        <v>0.29</v>
      </c>
      <c r="BG138">
        <f t="shared" si="61"/>
        <v>0</v>
      </c>
      <c r="BH138">
        <f t="shared" si="62"/>
        <v>0</v>
      </c>
      <c r="BI138" s="40" cm="1">
        <f t="array" ref="BI138">IF($F$13-$I$4+VLOOKUP($R138,武学奇术!$A:$ZZ,13,FALSE)+SUM(_xlfn.XLOOKUP($S138:$AL138,增益!$A:$A,增益!$M:$M,0))&gt;0,($F$13-$I$4+VLOOKUP($R138,武学奇术!$A:$ZZ,13,FALSE)+SUM(_xlfn.XLOOKUP($S138:$AL138,增益!$A:$A,增益!$K:$K,0)))/200,($F$13-$I$4+VLOOKUP($R138,武学奇术!$A:$ZZ,13,FALSE)+SUM(_xlfn.XLOOKUP($S138:$AL138,增益!$A:$A,增益!$M:$M,0)))/100)</f>
        <v>-0.14</v>
      </c>
      <c r="BJ138" s="40" cm="1">
        <f t="array" ref="BJ138">$G$13+VLOOKUP($R138,武学奇术!$A:$ZZ,14,FALSE)+SUM(_xlfn.XLOOKUP($S138:$AL138,增益!$A:$A,增益!$N:$N,0))</f>
        <v>0.02</v>
      </c>
      <c r="BK138">
        <f t="shared" si="63"/>
        <v>0</v>
      </c>
      <c r="BL138">
        <f t="shared" si="64"/>
        <v>0</v>
      </c>
      <c r="BM138" s="40" cm="1">
        <f t="array" ref="BM138">IF($F$14-$I$4+VLOOKUP($R138,武学奇术!$A:$ZZ,15,FALSE)+SUM(_xlfn.XLOOKUP($S138:$AL138,增益!$A:$A,增益!$O:$O,0))&gt;0,($F$14-$I$4+VLOOKUP($R138,武学奇术!$A:$ZZ,15,FALSE)+SUM(_xlfn.XLOOKUP($S138:$AL138,增益!$A:$A,增益!$O:$O,0)))/200,($F$14-$I$4+VLOOKUP($R138,武学奇术!$A:$ZZ,15,FALSE)+SUM(_xlfn.XLOOKUP($S138:$AL138,增益!$A:$A,增益!$O:$O,0)))/100)</f>
        <v>-0.14</v>
      </c>
      <c r="BN138" s="40" cm="1">
        <f t="array" ref="BN138">$G$14+VLOOKUP($R138,武学奇术!$A:$ZZ,16,FALSE)+SUM(_xlfn.XLOOKUP($S138:$AL138,增益!$A:$A,增益!$P:$P,0))</f>
        <v>0.02</v>
      </c>
      <c r="BO138" s="33">
        <f>MIN(IF(VLOOKUP($R138,武学奇术!$A:$ZZ,23,FALSE)=1,100%,$B$8),100%)</f>
        <v>0.9771</v>
      </c>
      <c r="BP138" s="33" cm="1">
        <f t="array" ref="BP138">IF(VLOOKUP($R138,武学奇术!$A:$ZZ,23,FALSE)=1,100%,MIN(80%,$B$9+VLOOKUP($R138,武学奇术!$A:$ZZ,17,FALSE)+SUM(_xlfn.XLOOKUP($S138:$AL138,增益!$A:$A,增益!$Q:$Q,0)))+$B$11+SUM(_xlfn.XLOOKUP($S138:$AL138,增益!$A:$A,增益!$U:$U,0)))*IF(VLOOKUP($R138,武学奇术!$A:$ZZ,24,FALSE)=1,0,1)</f>
        <v>0.8861</v>
      </c>
      <c r="BQ138" s="33" cm="1">
        <f t="array" ref="BQ138">1+$B$13+VLOOKUP($R138,武学奇术!$A:$ZZ,18,FALSE)+SUM(_xlfn.XLOOKUP($S138:$AL138,增益!$A:$A,增益!$R:$R,0))</f>
        <v>1.89</v>
      </c>
      <c r="BR138" s="33" cm="1">
        <f t="array" ref="BR138">IF(VLOOKUP($R138,武学奇术!$A:$ZZ,24,FALSE)=1,100%,MIN(40%,$B$10+VLOOKUP($R138,武学奇术!$A:$ZZ,19,FALSE)+SUM(_xlfn.XLOOKUP($S138:$AL138,增益!$A:$A,增益!$S:$S,0)))+$B$12+SUM(_xlfn.XLOOKUP($S138:$AL138,增益!$A:$A,增益!$V:$V,0)))*IF(VLOOKUP($R138,武学奇术!$A:$ZZ,23,FALSE)=1,0,1)</f>
        <v>0.0913</v>
      </c>
      <c r="BS138" s="33" cm="1">
        <f t="array" ref="BS138">1+$B$14+VLOOKUP($R138,武学奇术!$A:$ZZ,20,FALSE)+SUM(_xlfn.XLOOKUP($S138:$AL138,增益!$A:$A,增益!$T:$T,0))</f>
        <v>1.35</v>
      </c>
      <c r="BT138" s="33">
        <f t="shared" si="65"/>
        <v>0.86580831</v>
      </c>
      <c r="BU138" s="33">
        <f t="shared" si="66"/>
        <v>0.02208246</v>
      </c>
      <c r="BV138" s="33">
        <f>IF(VLOOKUP($R138,武学奇术!$A:$ZZ,22,FALSE)=1,0,(1-$BO138))*(1-$BR138)</f>
        <v>0.02080923</v>
      </c>
      <c r="BW138" s="33" cm="1">
        <f t="array" ref="BW138">SUM(_xlfn.XLOOKUP($S138:$AL138,增益!$A:$A,增益!$W:$W,0))+$I$5</f>
        <v>0.11</v>
      </c>
      <c r="BX138" s="33" cm="1">
        <f t="array" ref="BX138">VLOOKUP($R138,武学奇术!$A:$ZZ,32,FALSE)+SUM(_xlfn.XLOOKUP($S138:$AL138,增益!$A:$A,增益!$X:$X,0))</f>
        <v>0</v>
      </c>
    </row>
    <row r="139" spans="1:76">
      <c r="A139" s="4" t="s">
        <v>189</v>
      </c>
      <c r="B139" s="4">
        <v>0.8</v>
      </c>
      <c r="C139" s="47"/>
      <c r="D139" s="47"/>
      <c r="E139" s="47"/>
      <c r="L139" s="46">
        <f t="shared" si="56"/>
        <v>0</v>
      </c>
      <c r="M139" s="46">
        <f>((($AT139+$AU139)/2*$AN139+$AO139)*(1+$AV139)*(1+$AW139)+(($AY139+$AZ139)/2*IF($G$1="鸣金",$AP139,$AN139)+IF($G$1="鸣金",$AQ139*1.5,0))*(1+$BA139)*(1+$BB139)+(($BC139+$BD139)/2*IF($G$1="裂石",$AP139,$AN139)+IF($G$1="裂石",$AQ139*1.5,0))*(1+$BE139)*(1+$BF139)+(($BG139+$BH139)/2*IF($G$1="牵丝",$AP139,$AN139)+IF($G$1="牵丝",$AQ139*1.5,0))*(1+$BI139)*(1+$BJ139)+(($BK139+$BL139)/2*IF($G$1="破竹",$AP139,$AN139)+IF($G$1="破竹",$AQ139*1.5,0))*(1+$BM139)*(1+$BN139))*(1+$AR139)*$BQ139*$Q139*(1+IF(VLOOKUP($R139,武学奇术!$A:$ZZ,30,FALSE)="蓄力技",$B$21,0))*(1+IF(VLOOKUP($R139,武学奇术!$A:$ZZ,30,FALSE)="派生技",$B$20,0))*(1+$BW139)*(1+$BX139)</f>
        <v>0</v>
      </c>
      <c r="N139" s="46">
        <f>(($AU139*$AN139+$AO139)*(1+$AV139)*(1+$AW139)+($AZ139*IF($G$1="鸣金",$AP139,$AN139)+IF($G$1="鸣金",$AQ139*1.5,0))*(1+$BA139)*(1+$BB139)+($BD139*IF($G$1="裂石",$AP139,$AN139)+IF($G$1="裂石",$AQ139*1.5,0))*(1+$BE139)*(1+$BF139)+($BH139*IF($G$1="牵丝",$AP139,$AN139)+IF($G$1="牵丝",$AQ139*1.5,0))*(1+$BI139)*(1+$BJ139)+($BL139*IF($G$1="破竹",$AP139,$AN139)+IF($G$1="破竹",$AQ139*1.5,0))*(1+$BM139)*(1+$BN139))*(1+$AR139)*$BS139*$Q139*(1+IF(VLOOKUP($R139,武学奇术!$A:$ZZ,30,FALSE)="蓄力技",$B$21,0))*(1+IF(VLOOKUP($R139,武学奇术!$A:$ZZ,30,FALSE)="派生技",$B$20,0))*(1+$BW139)*(1+$BX139)</f>
        <v>0</v>
      </c>
      <c r="O139" s="46">
        <f>((($AT139+$AU139)/2*$AN139+$AO139)*(1+$AV139)*(1+$AW139)+(($AY139+$AZ139)/2*IF($G$1="鸣金",$AP139,$AN139)+IF($G$1="鸣金",$AQ139*1.5,0))*(1+$BA139)*(1+$BB139)+(($BC139+$BD139)/2*IF($G$1="裂石",$AP139,$AN139)+IF($G$1="裂石",$AQ139*1.5,0))*(1+$BE139)*(1+$BF139)+(($BG139+$BH139)/2*IF($G$1="牵丝",$AP139,$AN139)+IF($G$1="牵丝",$AQ139*1.5,0))*(1+$BI139)*(1+$BJ139)+(($BK139+$BL139)/2*IF($G$1="破竹",$AP139,$AN139)+IF($G$1="破竹",$AQ139*1.5,0))*(1+$BM139)*(1+$BN139))*(1+$AR139)*$Q139*(1+IF(VLOOKUP($R139,武学奇术!$A:$ZZ,30,FALSE)="蓄力技",$B$21,0))*(1+IF(VLOOKUP($R139,武学奇术!$A:$ZZ,30,FALSE)="派生技",$B$20,0))*(1+$BW139)*(1+$BX139)</f>
        <v>0</v>
      </c>
      <c r="P139" s="46">
        <f>((($AT139*$AN139+$AO139)*(1+$AV139)*(1+$AW139)+($AY139*IF($G$1="鸣金",$AP139,$AN139)+IF($G$1="鸣金",$AQ139*1.5,0))*(1+$BA139)*(1+$BB139)+($BC139*IF($G$1="裂石",$AP139,$AN139)+IF($G$1="裂石",$AQ139*1.5,0))*(1+$BE139)*(1+$BF139)+($BG139*IF($G$1="牵丝",$AP139,$AN139)+IF($G$1="牵丝",$AQ139*1.5,0))*(1+$BI139)*(1+$BJ139)+($BK139*IF($G$1="破竹",$AP139,$AN139)+IF($G$1="破竹",$AQ139*1.5,0))*(1+$BM139)*(1+$BN139))*(1+$AR139))*$Q139*(1+IF(VLOOKUP($R139,武学奇术!$A:$ZZ,30,FALSE)="蓄力技",$B$21,0))*(1+IF(VLOOKUP($R139,武学奇术!$A:$ZZ,30,FALSE)="派生技",$B$20,0))*(1+$BW139)*(1+$BX139)</f>
        <v>0</v>
      </c>
      <c r="Q139" s="47">
        <f t="shared" ref="Q139:Q142" si="68">IF($E$24="唐刀",1,0)</f>
        <v>0</v>
      </c>
      <c r="R139" s="48" t="s">
        <v>175</v>
      </c>
      <c r="S139" s="48" t="s">
        <v>80</v>
      </c>
      <c r="T139" s="48" t="s">
        <v>80</v>
      </c>
      <c r="U139" s="48" t="s">
        <v>80</v>
      </c>
      <c r="V139" s="48" t="s">
        <v>80</v>
      </c>
      <c r="W139" s="48" t="s">
        <v>80</v>
      </c>
      <c r="X139" s="48" t="s">
        <v>80</v>
      </c>
      <c r="Y139" s="48" t="s">
        <v>80</v>
      </c>
      <c r="Z139" s="48" t="s">
        <v>80</v>
      </c>
      <c r="AA139" s="48" t="s">
        <v>80</v>
      </c>
      <c r="AB139" s="48" t="s">
        <v>80</v>
      </c>
      <c r="AC139" s="48" t="s">
        <v>80</v>
      </c>
      <c r="AD139" s="48" t="s">
        <v>80</v>
      </c>
      <c r="AE139" s="48" t="s">
        <v>82</v>
      </c>
      <c r="AF139" s="48" t="s">
        <v>83</v>
      </c>
      <c r="AG139" s="48" t="s">
        <v>84</v>
      </c>
      <c r="AH139" s="48" t="s">
        <v>80</v>
      </c>
      <c r="AI139" s="48" t="s">
        <v>80</v>
      </c>
      <c r="AJ139" s="48" t="s">
        <v>80</v>
      </c>
      <c r="AK139" s="48" t="s">
        <v>80</v>
      </c>
      <c r="AL139" s="48" t="s">
        <v>80</v>
      </c>
      <c r="AM139" t="str">
        <f>VLOOKUP($R139,武学奇术!$A:$ZZ,25,FALSE)</f>
        <v>横刀</v>
      </c>
      <c r="AN139" s="33">
        <f>VLOOKUP($R139,武学奇术!$A:$ZZ,26,FALSE)</f>
        <v>1.2338</v>
      </c>
      <c r="AO139" s="34">
        <f>VLOOKUP($R139,武学奇术!$A:$ZZ,27,FALSE)*(1+IF(OR($AM139=$F$4,$AM139=$F$5),$B$22,0))</f>
        <v>547.2</v>
      </c>
      <c r="AP139" s="33">
        <f>VLOOKUP($R139,武学奇术!$A:$ZZ,28,FALSE)</f>
        <v>1.8507</v>
      </c>
      <c r="AQ139" s="34">
        <f>VLOOKUP($R139,武学奇术!$A:$ZZ,29,FALSE)*(1+IF(OR($AM139=$F$4,$AM139=$F$5),$B$22,0))</f>
        <v>297.6</v>
      </c>
      <c r="AR139" s="33" cm="1">
        <f t="array" ref="AR139">$G$3+IFERROR(VLOOKUP($AM139,$F$4:$G$7,2,FALSE),0)+VLOOKUP($R139,武学奇术!$A:$ZZ,2,FALSE)+SUM(_xlfn.XLOOKUP($S139:$AL139,增益!$A:$A,增益!$B:$B,0))</f>
        <v>0.3989</v>
      </c>
      <c r="AS139" s="33" cm="1">
        <f t="array" ref="AS139">VLOOKUP($R139,武学奇术!$A:$ZZ,5,FALSE)+SUM(_xlfn.XLOOKUP($S139:$AL139,增益!$A:$A,增益!$E:$E,0))</f>
        <v>0</v>
      </c>
      <c r="AT139" cm="1">
        <f t="array" ref="AT139">$D$10*(1+$AS139)+VLOOKUP($R139,武学奇术!$A:$ZZ,3,FALSE)+SUM(_xlfn.XLOOKUP($S139:$AL139,增益!$A:$A,增益!$C:$C,0))-$I$2</f>
        <v>4094.7</v>
      </c>
      <c r="AU139" cm="1">
        <f t="array" ref="AU139">$E$10*(1+$AS139)+VLOOKUP($R139,武学奇术!$A:$ZZ,4,FALSE)+SUM(_xlfn.XLOOKUP($S139:$AL139,增益!$A:$A,增益!$D:$D,0))-$I$2</f>
        <v>4094.7</v>
      </c>
      <c r="AV139" s="40" cm="1">
        <f t="array" ref="AV139">IF($F$10-$I$3+VLOOKUP($R139,武学奇术!$A:$ZZ,6,FALSE)+SUM(_xlfn.XLOOKUP($S139:$AL139,增益!$A:$A,增益!$F:$F,0))&gt;0,($F$10-$I$3+VLOOKUP($R139,武学奇术!$A:$ZZ,6,FALSE)+SUM(_xlfn.XLOOKUP($S139:$AL139,增益!$A:$A,增益!$F:$F,0)))/200,($F$10-$I$3+VLOOKUP($R139,武学奇术!$A:$ZZ,6,FALSE)+SUM(_xlfn.XLOOKUP($S139:$AL139,增益!$A:$A,增益!$F:$F,0)))/100)</f>
        <v>0.3134</v>
      </c>
      <c r="AW139" s="40" cm="1">
        <f t="array" ref="AW139">$G$10+VLOOKUP($R139,武学奇术!$A:$ZZ,7,FALSE)+SUM(_xlfn.XLOOKUP($S139:$AL139,增益!$A:$A,增益!$G:$G,0))</f>
        <v>0</v>
      </c>
      <c r="AX139" s="33" cm="1">
        <f t="array" ref="AX139">VLOOKUP($R139,武学奇术!$A:$ZZ,8,FALSE)+SUM(_xlfn.XLOOKUP($S139:$AL139,增益!$A:$A,增益!$H:$H,0))</f>
        <v>0</v>
      </c>
      <c r="AY139">
        <f t="shared" si="57"/>
        <v>0</v>
      </c>
      <c r="AZ139">
        <f t="shared" si="58"/>
        <v>0</v>
      </c>
      <c r="BA139" s="40" cm="1">
        <f t="array" ref="BA139">IF($F$11-$I$4+VLOOKUP($R139,武学奇术!$A:$ZZ,9,FALSE)+SUM(_xlfn.XLOOKUP($S139:$AL139,增益!$A:$A,增益!$I:$I,0))&gt;0,($F$11-$I$4+VLOOKUP($R139,武学奇术!$A:$ZZ,9,FALSE)+SUM(_xlfn.XLOOKUP($S139:$AL139,增益!$A:$A,增益!$I:$I,0)))/200,($F$11-$I$4+VLOOKUP($R139,武学奇术!$A:$ZZ,9,FALSE)+SUM(_xlfn.XLOOKUP($S139:$AL139,增益!$A:$A,增益!$I:$I,0)))/100)</f>
        <v>-0.3</v>
      </c>
      <c r="BB139" s="40" cm="1">
        <f t="array" ref="BB139">$G$11+VLOOKUP($R139,武学奇术!$A:$ZZ,10,FALSE)+SUM(_xlfn.XLOOKUP($S139:$AL139,增益!$A:$A,增益!$J:$J,0))</f>
        <v>0</v>
      </c>
      <c r="BC139">
        <f t="shared" si="59"/>
        <v>640.3</v>
      </c>
      <c r="BD139">
        <f t="shared" si="60"/>
        <v>1770.1</v>
      </c>
      <c r="BE139" s="40" cm="1">
        <f t="array" ref="BE139">IF($F$12-$I$4+VLOOKUP($R139,武学奇术!$A:$ZZ,11,FALSE)+SUM(_xlfn.XLOOKUP($S139:$AL139,增益!$A:$A,增益!$K:$K,0))&gt;0,($F$12-$I$4+VLOOKUP($R139,武学奇术!$A:$ZZ,11,FALSE)+SUM(_xlfn.XLOOKUP($S139:$AL139,增益!$A:$A,增益!$K:$K,0)))/200,($F$12-$I$4+VLOOKUP($R139,武学奇术!$A:$ZZ,11,FALSE)+SUM(_xlfn.XLOOKUP($S139:$AL139,增益!$A:$A,增益!$K:$K,0)))/100)</f>
        <v>0.09</v>
      </c>
      <c r="BF139" s="40" cm="1">
        <f t="array" ref="BF139">$G$12+VLOOKUP($R139,武学奇术!$A:$ZZ,12,FALSE)+SUM(_xlfn.XLOOKUP($S139:$AL139,增益!$A:$A,增益!$L:$L,0))</f>
        <v>0.15</v>
      </c>
      <c r="BG139">
        <f t="shared" si="61"/>
        <v>0</v>
      </c>
      <c r="BH139">
        <f t="shared" si="62"/>
        <v>0</v>
      </c>
      <c r="BI139" s="40" cm="1">
        <f t="array" ref="BI139">IF($F$13-$I$4+VLOOKUP($R139,武学奇术!$A:$ZZ,13,FALSE)+SUM(_xlfn.XLOOKUP($S139:$AL139,增益!$A:$A,增益!$M:$M,0))&gt;0,($F$13-$I$4+VLOOKUP($R139,武学奇术!$A:$ZZ,13,FALSE)+SUM(_xlfn.XLOOKUP($S139:$AL139,增益!$A:$A,增益!$K:$K,0)))/200,($F$13-$I$4+VLOOKUP($R139,武学奇术!$A:$ZZ,13,FALSE)+SUM(_xlfn.XLOOKUP($S139:$AL139,增益!$A:$A,增益!$M:$M,0)))/100)</f>
        <v>-0.3</v>
      </c>
      <c r="BJ139" s="40" cm="1">
        <f t="array" ref="BJ139">$G$13+VLOOKUP($R139,武学奇术!$A:$ZZ,14,FALSE)+SUM(_xlfn.XLOOKUP($S139:$AL139,增益!$A:$A,增益!$N:$N,0))</f>
        <v>0</v>
      </c>
      <c r="BK139">
        <f t="shared" si="63"/>
        <v>0</v>
      </c>
      <c r="BL139">
        <f t="shared" si="64"/>
        <v>0</v>
      </c>
      <c r="BM139" s="40" cm="1">
        <f t="array" ref="BM139">IF($F$14-$I$4+VLOOKUP($R139,武学奇术!$A:$ZZ,15,FALSE)+SUM(_xlfn.XLOOKUP($S139:$AL139,增益!$A:$A,增益!$O:$O,0))&gt;0,($F$14-$I$4+VLOOKUP($R139,武学奇术!$A:$ZZ,15,FALSE)+SUM(_xlfn.XLOOKUP($S139:$AL139,增益!$A:$A,增益!$O:$O,0)))/200,($F$14-$I$4+VLOOKUP($R139,武学奇术!$A:$ZZ,15,FALSE)+SUM(_xlfn.XLOOKUP($S139:$AL139,增益!$A:$A,增益!$O:$O,0)))/100)</f>
        <v>-0.3</v>
      </c>
      <c r="BN139" s="40" cm="1">
        <f t="array" ref="BN139">$G$14+VLOOKUP($R139,武学奇术!$A:$ZZ,16,FALSE)+SUM(_xlfn.XLOOKUP($S139:$AL139,增益!$A:$A,增益!$P:$P,0))</f>
        <v>0</v>
      </c>
      <c r="BO139" s="33">
        <f>MIN(IF(VLOOKUP($R139,武学奇术!$A:$ZZ,23,FALSE)=1,100%,$B$8),100%)</f>
        <v>0.9771</v>
      </c>
      <c r="BP139" s="33" cm="1">
        <f t="array" ref="BP139">IF(VLOOKUP($R139,武学奇术!$A:$ZZ,23,FALSE)=1,100%,MIN(80%,$B$9+VLOOKUP($R139,武学奇术!$A:$ZZ,17,FALSE)+SUM(_xlfn.XLOOKUP($S139:$AL139,增益!$A:$A,增益!$Q:$Q,0)))+$B$11+SUM(_xlfn.XLOOKUP($S139:$AL139,增益!$A:$A,增益!$U:$U,0)))*IF(VLOOKUP($R139,武学奇术!$A:$ZZ,24,FALSE)=1,0,1)</f>
        <v>0.8861</v>
      </c>
      <c r="BQ139" s="33" cm="1">
        <f t="array" ref="BQ139">1+$B$13+VLOOKUP($R139,武学奇术!$A:$ZZ,18,FALSE)+SUM(_xlfn.XLOOKUP($S139:$AL139,增益!$A:$A,增益!$R:$R,0))</f>
        <v>1.75</v>
      </c>
      <c r="BR139" s="33" cm="1">
        <f t="array" ref="BR139">IF(VLOOKUP($R139,武学奇术!$A:$ZZ,24,FALSE)=1,100%,MIN(40%,$B$10+VLOOKUP($R139,武学奇术!$A:$ZZ,19,FALSE)+SUM(_xlfn.XLOOKUP($S139:$AL139,增益!$A:$A,增益!$S:$S,0)))+$B$12+SUM(_xlfn.XLOOKUP($S139:$AL139,增益!$A:$A,增益!$V:$V,0)))*IF(VLOOKUP($R139,武学奇术!$A:$ZZ,23,FALSE)=1,0,1)</f>
        <v>0.0913</v>
      </c>
      <c r="BS139" s="33" cm="1">
        <f t="array" ref="BS139">1+$B$14+VLOOKUP($R139,武学奇术!$A:$ZZ,20,FALSE)+SUM(_xlfn.XLOOKUP($S139:$AL139,增益!$A:$A,增益!$T:$T,0))</f>
        <v>1.35</v>
      </c>
      <c r="BT139" s="33">
        <f t="shared" si="65"/>
        <v>0.86580831</v>
      </c>
      <c r="BU139" s="33">
        <f t="shared" si="66"/>
        <v>0.02208246</v>
      </c>
      <c r="BV139" s="33">
        <f>IF(VLOOKUP($R139,武学奇术!$A:$ZZ,22,FALSE)=1,0,(1-$BO139))*(1-$BR139)</f>
        <v>0.02080923</v>
      </c>
      <c r="BW139" s="33" cm="1">
        <f t="array" ref="BW139">SUM(_xlfn.XLOOKUP($S139:$AL139,增益!$A:$A,增益!$W:$W,0))+$I$5</f>
        <v>0.11</v>
      </c>
      <c r="BX139" s="33" cm="1">
        <f t="array" ref="BX139">VLOOKUP($R139,武学奇术!$A:$ZZ,32,FALSE)+SUM(_xlfn.XLOOKUP($S139:$AL139,增益!$A:$A,增益!$X:$X,0))</f>
        <v>0</v>
      </c>
    </row>
    <row r="140" spans="1:76">
      <c r="A140" t="s">
        <v>166</v>
      </c>
      <c r="B140">
        <v>0.1</v>
      </c>
      <c r="C140" s="47" t="s">
        <v>194</v>
      </c>
      <c r="D140" s="47"/>
      <c r="E140" s="47"/>
      <c r="L140" s="46">
        <f t="shared" si="56"/>
        <v>0</v>
      </c>
      <c r="M140" s="46">
        <f>((($AT140+$AU140)/2*$AN140+$AO140)*(1+$AV140)*(1+$AW140)+(($AY140+$AZ140)/2*IF($G$1="鸣金",$AP140,$AN140)+IF($G$1="鸣金",$AQ140*1.5,0))*(1+$BA140)*(1+$BB140)+(($BC140+$BD140)/2*IF($G$1="裂石",$AP140,$AN140)+IF($G$1="裂石",$AQ140*1.5,0))*(1+$BE140)*(1+$BF140)+(($BG140+$BH140)/2*IF($G$1="牵丝",$AP140,$AN140)+IF($G$1="牵丝",$AQ140*1.5,0))*(1+$BI140)*(1+$BJ140)+(($BK140+$BL140)/2*IF($G$1="破竹",$AP140,$AN140)+IF($G$1="破竹",$AQ140*1.5,0))*(1+$BM140)*(1+$BN140))*(1+$AR140)*$BQ140*$Q140*(1+IF(VLOOKUP($R140,武学奇术!$A:$ZZ,30,FALSE)="蓄力技",$B$21,0))*(1+IF(VLOOKUP($R140,武学奇术!$A:$ZZ,30,FALSE)="派生技",$B$20,0))*(1+$BW140)*(1+$BX140)</f>
        <v>0</v>
      </c>
      <c r="N140" s="46">
        <f>(($AU140*$AN140+$AO140)*(1+$AV140)*(1+$AW140)+($AZ140*IF($G$1="鸣金",$AP140,$AN140)+IF($G$1="鸣金",$AQ140*1.5,0))*(1+$BA140)*(1+$BB140)+($BD140*IF($G$1="裂石",$AP140,$AN140)+IF($G$1="裂石",$AQ140*1.5,0))*(1+$BE140)*(1+$BF140)+($BH140*IF($G$1="牵丝",$AP140,$AN140)+IF($G$1="牵丝",$AQ140*1.5,0))*(1+$BI140)*(1+$BJ140)+($BL140*IF($G$1="破竹",$AP140,$AN140)+IF($G$1="破竹",$AQ140*1.5,0))*(1+$BM140)*(1+$BN140))*(1+$AR140)*$BS140*$Q140*(1+IF(VLOOKUP($R140,武学奇术!$A:$ZZ,30,FALSE)="蓄力技",$B$21,0))*(1+IF(VLOOKUP($R140,武学奇术!$A:$ZZ,30,FALSE)="派生技",$B$20,0))*(1+$BW140)*(1+$BX140)</f>
        <v>0</v>
      </c>
      <c r="O140" s="46">
        <f>((($AT140+$AU140)/2*$AN140+$AO140)*(1+$AV140)*(1+$AW140)+(($AY140+$AZ140)/2*IF($G$1="鸣金",$AP140,$AN140)+IF($G$1="鸣金",$AQ140*1.5,0))*(1+$BA140)*(1+$BB140)+(($BC140+$BD140)/2*IF($G$1="裂石",$AP140,$AN140)+IF($G$1="裂石",$AQ140*1.5,0))*(1+$BE140)*(1+$BF140)+(($BG140+$BH140)/2*IF($G$1="牵丝",$AP140,$AN140)+IF($G$1="牵丝",$AQ140*1.5,0))*(1+$BI140)*(1+$BJ140)+(($BK140+$BL140)/2*IF($G$1="破竹",$AP140,$AN140)+IF($G$1="破竹",$AQ140*1.5,0))*(1+$BM140)*(1+$BN140))*(1+$AR140)*$Q140*(1+IF(VLOOKUP($R140,武学奇术!$A:$ZZ,30,FALSE)="蓄力技",$B$21,0))*(1+IF(VLOOKUP($R140,武学奇术!$A:$ZZ,30,FALSE)="派生技",$B$20,0))*(1+$BW140)*(1+$BX140)</f>
        <v>0</v>
      </c>
      <c r="P140" s="46">
        <f>((($AT140*$AN140+$AO140)*(1+$AV140)*(1+$AW140)+($AY140*IF($G$1="鸣金",$AP140,$AN140)+IF($G$1="鸣金",$AQ140*1.5,0))*(1+$BA140)*(1+$BB140)+($BC140*IF($G$1="裂石",$AP140,$AN140)+IF($G$1="裂石",$AQ140*1.5,0))*(1+$BE140)*(1+$BF140)+($BG140*IF($G$1="牵丝",$AP140,$AN140)+IF($G$1="牵丝",$AQ140*1.5,0))*(1+$BI140)*(1+$BJ140)+($BK140*IF($G$1="破竹",$AP140,$AN140)+IF($G$1="破竹",$AQ140*1.5,0))*(1+$BM140)*(1+$BN140))*(1+$AR140))*$Q140*(1+IF(VLOOKUP($R140,武学奇术!$A:$ZZ,30,FALSE)="蓄力技",$B$21,0))*(1+IF(VLOOKUP($R140,武学奇术!$A:$ZZ,30,FALSE)="派生技",$B$20,0))*(1+$BW140)*(1+$BX140)</f>
        <v>0</v>
      </c>
      <c r="Q140" s="47">
        <f t="shared" si="68"/>
        <v>0</v>
      </c>
      <c r="R140" s="48" t="s">
        <v>116</v>
      </c>
      <c r="S140" s="48" t="s">
        <v>117</v>
      </c>
      <c r="T140" s="48" t="s">
        <v>78</v>
      </c>
      <c r="U140" s="48" t="s">
        <v>80</v>
      </c>
      <c r="V140" s="48" t="s">
        <v>80</v>
      </c>
      <c r="W140" s="48" t="s">
        <v>80</v>
      </c>
      <c r="X140" s="48" t="s">
        <v>80</v>
      </c>
      <c r="Y140" s="48" t="s">
        <v>80</v>
      </c>
      <c r="Z140" s="48" t="s">
        <v>81</v>
      </c>
      <c r="AA140" s="48" t="s">
        <v>80</v>
      </c>
      <c r="AB140" s="48" t="s">
        <v>80</v>
      </c>
      <c r="AC140" s="48" t="s">
        <v>80</v>
      </c>
      <c r="AD140" s="48" t="s">
        <v>80</v>
      </c>
      <c r="AE140" s="48" t="s">
        <v>82</v>
      </c>
      <c r="AF140" s="48" t="s">
        <v>83</v>
      </c>
      <c r="AG140" s="48" t="s">
        <v>84</v>
      </c>
      <c r="AH140" s="48" t="s">
        <v>80</v>
      </c>
      <c r="AI140" s="48" t="s">
        <v>80</v>
      </c>
      <c r="AJ140" s="48" t="s">
        <v>80</v>
      </c>
      <c r="AK140" s="48" t="s">
        <v>80</v>
      </c>
      <c r="AL140" s="48" t="s">
        <v>85</v>
      </c>
      <c r="AM140" t="str">
        <f>VLOOKUP($R140,武学奇术!$A:$ZZ,25,FALSE)</f>
        <v>横刀</v>
      </c>
      <c r="AN140" s="33">
        <f>VLOOKUP($R140,武学奇术!$A:$ZZ,26,FALSE)</f>
        <v>3.7797</v>
      </c>
      <c r="AO140" s="34">
        <f>VLOOKUP($R140,武学奇术!$A:$ZZ,27,FALSE)*(1+IF(OR($AM140=$F$4,$AM140=$F$5),$B$22,0))</f>
        <v>1672</v>
      </c>
      <c r="AP140" s="33">
        <f>VLOOKUP($R140,武学奇术!$A:$ZZ,28,FALSE)</f>
        <v>5.6696</v>
      </c>
      <c r="AQ140" s="34">
        <f>VLOOKUP($R140,武学奇术!$A:$ZZ,29,FALSE)*(1+IF(OR($AM140=$F$4,$AM140=$F$5),$B$22,0))</f>
        <v>912</v>
      </c>
      <c r="AR140" s="33" cm="1">
        <f t="array" ref="AR140">$G$3+IFERROR(VLOOKUP($AM140,$F$4:$G$7,2,FALSE),0)+VLOOKUP($R140,武学奇术!$A:$ZZ,2,FALSE)+SUM(_xlfn.XLOOKUP($S140:$AL140,增益!$A:$A,增益!$B:$B,0))</f>
        <v>0.4289</v>
      </c>
      <c r="AS140" s="33" cm="1">
        <f t="array" ref="AS140">VLOOKUP($R140,武学奇术!$A:$ZZ,5,FALSE)+SUM(_xlfn.XLOOKUP($S140:$AL140,增益!$A:$A,增益!$E:$E,0))</f>
        <v>0</v>
      </c>
      <c r="AT140" cm="1">
        <f t="array" ref="AT140">$D$10*(1+$AS140)+VLOOKUP($R140,武学奇术!$A:$ZZ,3,FALSE)+SUM(_xlfn.XLOOKUP($S140:$AL140,增益!$A:$A,增益!$C:$C,0))-$I$2</f>
        <v>4094.7</v>
      </c>
      <c r="AU140" cm="1">
        <f t="array" ref="AU140">$E$10*(1+$AS140)+VLOOKUP($R140,武学奇术!$A:$ZZ,4,FALSE)+SUM(_xlfn.XLOOKUP($S140:$AL140,增益!$A:$A,增益!$D:$D,0))-$I$2</f>
        <v>4094.7</v>
      </c>
      <c r="AV140" s="40" cm="1">
        <f t="array" ref="AV140">IF($F$10-$I$3+VLOOKUP($R140,武学奇术!$A:$ZZ,6,FALSE)+SUM(_xlfn.XLOOKUP($S140:$AL140,增益!$A:$A,增益!$F:$F,0))&gt;0,($F$10-$I$3+VLOOKUP($R140,武学奇术!$A:$ZZ,6,FALSE)+SUM(_xlfn.XLOOKUP($S140:$AL140,增益!$A:$A,增益!$F:$F,0)))/200,($F$10-$I$3+VLOOKUP($R140,武学奇术!$A:$ZZ,6,FALSE)+SUM(_xlfn.XLOOKUP($S140:$AL140,增益!$A:$A,增益!$F:$F,0)))/100)</f>
        <v>0.3234</v>
      </c>
      <c r="AW140" s="40" cm="1">
        <f t="array" ref="AW140">$G$10+VLOOKUP($R140,武学奇术!$A:$ZZ,7,FALSE)+SUM(_xlfn.XLOOKUP($S140:$AL140,增益!$A:$A,增益!$G:$G,0))</f>
        <v>0.02</v>
      </c>
      <c r="AX140" s="33" cm="1">
        <f t="array" ref="AX140">VLOOKUP($R140,武学奇术!$A:$ZZ,8,FALSE)+SUM(_xlfn.XLOOKUP($S140:$AL140,增益!$A:$A,增益!$H:$H,0))</f>
        <v>0</v>
      </c>
      <c r="AY140">
        <f t="shared" si="57"/>
        <v>0</v>
      </c>
      <c r="AZ140">
        <f t="shared" si="58"/>
        <v>0</v>
      </c>
      <c r="BA140" s="40" cm="1">
        <f t="array" ref="BA140">IF($F$11-$I$4+VLOOKUP($R140,武学奇术!$A:$ZZ,9,FALSE)+SUM(_xlfn.XLOOKUP($S140:$AL140,增益!$A:$A,增益!$I:$I,0))&gt;0,($F$11-$I$4+VLOOKUP($R140,武学奇术!$A:$ZZ,9,FALSE)+SUM(_xlfn.XLOOKUP($S140:$AL140,增益!$A:$A,增益!$I:$I,0)))/200,($F$11-$I$4+VLOOKUP($R140,武学奇术!$A:$ZZ,9,FALSE)+SUM(_xlfn.XLOOKUP($S140:$AL140,增益!$A:$A,增益!$I:$I,0)))/100)</f>
        <v>-0.3</v>
      </c>
      <c r="BB140" s="40" cm="1">
        <f t="array" ref="BB140">$G$11+VLOOKUP($R140,武学奇术!$A:$ZZ,10,FALSE)+SUM(_xlfn.XLOOKUP($S140:$AL140,增益!$A:$A,增益!$J:$J,0))</f>
        <v>0.02</v>
      </c>
      <c r="BC140">
        <f t="shared" si="59"/>
        <v>640.3</v>
      </c>
      <c r="BD140">
        <f t="shared" si="60"/>
        <v>1770.1</v>
      </c>
      <c r="BE140" s="40" cm="1">
        <f t="array" ref="BE140">IF($F$12-$I$4+VLOOKUP($R140,武学奇术!$A:$ZZ,11,FALSE)+SUM(_xlfn.XLOOKUP($S140:$AL140,增益!$A:$A,增益!$K:$K,0))&gt;0,($F$12-$I$4+VLOOKUP($R140,武学奇术!$A:$ZZ,11,FALSE)+SUM(_xlfn.XLOOKUP($S140:$AL140,增益!$A:$A,增益!$K:$K,0)))/200,($F$12-$I$4+VLOOKUP($R140,武学奇术!$A:$ZZ,11,FALSE)+SUM(_xlfn.XLOOKUP($S140:$AL140,增益!$A:$A,增益!$K:$K,0)))/100)</f>
        <v>0.09</v>
      </c>
      <c r="BF140" s="40" cm="1">
        <f t="array" ref="BF140">$G$12+VLOOKUP($R140,武学奇术!$A:$ZZ,12,FALSE)+SUM(_xlfn.XLOOKUP($S140:$AL140,增益!$A:$A,增益!$L:$L,0))</f>
        <v>0.17</v>
      </c>
      <c r="BG140">
        <f t="shared" si="61"/>
        <v>0</v>
      </c>
      <c r="BH140">
        <f t="shared" si="62"/>
        <v>0</v>
      </c>
      <c r="BI140" s="40" cm="1">
        <f t="array" ref="BI140">IF($F$13-$I$4+VLOOKUP($R140,武学奇术!$A:$ZZ,13,FALSE)+SUM(_xlfn.XLOOKUP($S140:$AL140,增益!$A:$A,增益!$M:$M,0))&gt;0,($F$13-$I$4+VLOOKUP($R140,武学奇术!$A:$ZZ,13,FALSE)+SUM(_xlfn.XLOOKUP($S140:$AL140,增益!$A:$A,增益!$K:$K,0)))/200,($F$13-$I$4+VLOOKUP($R140,武学奇术!$A:$ZZ,13,FALSE)+SUM(_xlfn.XLOOKUP($S140:$AL140,增益!$A:$A,增益!$M:$M,0)))/100)</f>
        <v>-0.3</v>
      </c>
      <c r="BJ140" s="40" cm="1">
        <f t="array" ref="BJ140">$G$13+VLOOKUP($R140,武学奇术!$A:$ZZ,14,FALSE)+SUM(_xlfn.XLOOKUP($S140:$AL140,增益!$A:$A,增益!$N:$N,0))</f>
        <v>0.02</v>
      </c>
      <c r="BK140">
        <f t="shared" si="63"/>
        <v>0</v>
      </c>
      <c r="BL140">
        <f t="shared" si="64"/>
        <v>0</v>
      </c>
      <c r="BM140" s="40" cm="1">
        <f t="array" ref="BM140">IF($F$14-$I$4+VLOOKUP($R140,武学奇术!$A:$ZZ,15,FALSE)+SUM(_xlfn.XLOOKUP($S140:$AL140,增益!$A:$A,增益!$O:$O,0))&gt;0,($F$14-$I$4+VLOOKUP($R140,武学奇术!$A:$ZZ,15,FALSE)+SUM(_xlfn.XLOOKUP($S140:$AL140,增益!$A:$A,增益!$O:$O,0)))/200,($F$14-$I$4+VLOOKUP($R140,武学奇术!$A:$ZZ,15,FALSE)+SUM(_xlfn.XLOOKUP($S140:$AL140,增益!$A:$A,增益!$O:$O,0)))/100)</f>
        <v>-0.3</v>
      </c>
      <c r="BN140" s="40" cm="1">
        <f t="array" ref="BN140">$G$14+VLOOKUP($R140,武学奇术!$A:$ZZ,16,FALSE)+SUM(_xlfn.XLOOKUP($S140:$AL140,增益!$A:$A,增益!$P:$P,0))</f>
        <v>0.02</v>
      </c>
      <c r="BO140" s="33">
        <f>MIN(IF(VLOOKUP($R140,武学奇术!$A:$ZZ,23,FALSE)=1,100%,$B$8),100%)</f>
        <v>0.9771</v>
      </c>
      <c r="BP140" s="33" cm="1">
        <f t="array" ref="BP140">IF(VLOOKUP($R140,武学奇术!$A:$ZZ,23,FALSE)=1,100%,MIN(80%,$B$9+VLOOKUP($R140,武学奇术!$A:$ZZ,17,FALSE)+SUM(_xlfn.XLOOKUP($S140:$AL140,增益!$A:$A,增益!$Q:$Q,0)))+$B$11+SUM(_xlfn.XLOOKUP($S140:$AL140,增益!$A:$A,增益!$U:$U,0)))*IF(VLOOKUP($R140,武学奇术!$A:$ZZ,24,FALSE)=1,0,1)</f>
        <v>0.8861</v>
      </c>
      <c r="BQ140" s="33" cm="1">
        <f t="array" ref="BQ140">1+$B$13+VLOOKUP($R140,武学奇术!$A:$ZZ,18,FALSE)+SUM(_xlfn.XLOOKUP($S140:$AL140,增益!$A:$A,增益!$R:$R,0))</f>
        <v>1.76</v>
      </c>
      <c r="BR140" s="33" cm="1">
        <f t="array" ref="BR140">IF(VLOOKUP($R140,武学奇术!$A:$ZZ,24,FALSE)=1,100%,MIN(40%,$B$10+VLOOKUP($R140,武学奇术!$A:$ZZ,19,FALSE)+SUM(_xlfn.XLOOKUP($S140:$AL140,增益!$A:$A,增益!$S:$S,0)))+$B$12+SUM(_xlfn.XLOOKUP($S140:$AL140,增益!$A:$A,增益!$V:$V,0)))*IF(VLOOKUP($R140,武学奇术!$A:$ZZ,23,FALSE)=1,0,1)</f>
        <v>0.0913</v>
      </c>
      <c r="BS140" s="33" cm="1">
        <f t="array" ref="BS140">1+$B$14+VLOOKUP($R140,武学奇术!$A:$ZZ,20,FALSE)+SUM(_xlfn.XLOOKUP($S140:$AL140,增益!$A:$A,增益!$T:$T,0))</f>
        <v>1.35</v>
      </c>
      <c r="BT140" s="33">
        <f t="shared" si="65"/>
        <v>0.86580831</v>
      </c>
      <c r="BU140" s="33">
        <f t="shared" si="66"/>
        <v>0.02208246</v>
      </c>
      <c r="BV140" s="33">
        <f>IF(VLOOKUP($R140,武学奇术!$A:$ZZ,22,FALSE)=1,0,(1-$BO140))*(1-$BR140)</f>
        <v>0.02080923</v>
      </c>
      <c r="BW140" s="33" cm="1">
        <f t="array" ref="BW140">SUM(_xlfn.XLOOKUP($S140:$AL140,增益!$A:$A,增益!$W:$W,0))+$I$5</f>
        <v>0.11</v>
      </c>
      <c r="BX140" s="33" cm="1">
        <f t="array" ref="BX140">VLOOKUP($R140,武学奇术!$A:$ZZ,32,FALSE)+SUM(_xlfn.XLOOKUP($S140:$AL140,增益!$A:$A,增益!$X:$X,0))</f>
        <v>0</v>
      </c>
    </row>
    <row r="141" spans="1:76">
      <c r="A141" t="s">
        <v>179</v>
      </c>
      <c r="B141">
        <v>1</v>
      </c>
      <c r="C141" s="47"/>
      <c r="D141" s="47"/>
      <c r="E141" s="47"/>
      <c r="L141" s="46">
        <f t="shared" si="56"/>
        <v>0</v>
      </c>
      <c r="M141" s="46">
        <f>((($AT141+$AU141)/2*$AN141+$AO141)*(1+$AV141)*(1+$AW141)+(($AY141+$AZ141)/2*IF($G$1="鸣金",$AP141,$AN141)+IF($G$1="鸣金",$AQ141*1.5,0))*(1+$BA141)*(1+$BB141)+(($BC141+$BD141)/2*IF($G$1="裂石",$AP141,$AN141)+IF($G$1="裂石",$AQ141*1.5,0))*(1+$BE141)*(1+$BF141)+(($BG141+$BH141)/2*IF($G$1="牵丝",$AP141,$AN141)+IF($G$1="牵丝",$AQ141*1.5,0))*(1+$BI141)*(1+$BJ141)+(($BK141+$BL141)/2*IF($G$1="破竹",$AP141,$AN141)+IF($G$1="破竹",$AQ141*1.5,0))*(1+$BM141)*(1+$BN141))*(1+$AR141)*$BQ141*$Q141*(1+IF(VLOOKUP($R141,武学奇术!$A:$ZZ,30,FALSE)="蓄力技",$B$21,0))*(1+IF(VLOOKUP($R141,武学奇术!$A:$ZZ,30,FALSE)="派生技",$B$20,0))*(1+$BW141)*(1+$BX141)</f>
        <v>0</v>
      </c>
      <c r="N141" s="46">
        <f>(($AU141*$AN141+$AO141)*(1+$AV141)*(1+$AW141)+($AZ141*IF($G$1="鸣金",$AP141,$AN141)+IF($G$1="鸣金",$AQ141*1.5,0))*(1+$BA141)*(1+$BB141)+($BD141*IF($G$1="裂石",$AP141,$AN141)+IF($G$1="裂石",$AQ141*1.5,0))*(1+$BE141)*(1+$BF141)+($BH141*IF($G$1="牵丝",$AP141,$AN141)+IF($G$1="牵丝",$AQ141*1.5,0))*(1+$BI141)*(1+$BJ141)+($BL141*IF($G$1="破竹",$AP141,$AN141)+IF($G$1="破竹",$AQ141*1.5,0))*(1+$BM141)*(1+$BN141))*(1+$AR141)*$BS141*$Q141*(1+IF(VLOOKUP($R141,武学奇术!$A:$ZZ,30,FALSE)="蓄力技",$B$21,0))*(1+IF(VLOOKUP($R141,武学奇术!$A:$ZZ,30,FALSE)="派生技",$B$20,0))*(1+$BW141)*(1+$BX141)</f>
        <v>0</v>
      </c>
      <c r="O141" s="46">
        <f>((($AT141+$AU141)/2*$AN141+$AO141)*(1+$AV141)*(1+$AW141)+(($AY141+$AZ141)/2*IF($G$1="鸣金",$AP141,$AN141)+IF($G$1="鸣金",$AQ141*1.5,0))*(1+$BA141)*(1+$BB141)+(($BC141+$BD141)/2*IF($G$1="裂石",$AP141,$AN141)+IF($G$1="裂石",$AQ141*1.5,0))*(1+$BE141)*(1+$BF141)+(($BG141+$BH141)/2*IF($G$1="牵丝",$AP141,$AN141)+IF($G$1="牵丝",$AQ141*1.5,0))*(1+$BI141)*(1+$BJ141)+(($BK141+$BL141)/2*IF($G$1="破竹",$AP141,$AN141)+IF($G$1="破竹",$AQ141*1.5,0))*(1+$BM141)*(1+$BN141))*(1+$AR141)*$Q141*(1+IF(VLOOKUP($R141,武学奇术!$A:$ZZ,30,FALSE)="蓄力技",$B$21,0))*(1+IF(VLOOKUP($R141,武学奇术!$A:$ZZ,30,FALSE)="派生技",$B$20,0))*(1+$BW141)*(1+$BX141)</f>
        <v>0</v>
      </c>
      <c r="P141" s="46">
        <f>((($AT141*$AN141+$AO141)*(1+$AV141)*(1+$AW141)+($AY141*IF($G$1="鸣金",$AP141,$AN141)+IF($G$1="鸣金",$AQ141*1.5,0))*(1+$BA141)*(1+$BB141)+($BC141*IF($G$1="裂石",$AP141,$AN141)+IF($G$1="裂石",$AQ141*1.5,0))*(1+$BE141)*(1+$BF141)+($BG141*IF($G$1="牵丝",$AP141,$AN141)+IF($G$1="牵丝",$AQ141*1.5,0))*(1+$BI141)*(1+$BJ141)+($BK141*IF($G$1="破竹",$AP141,$AN141)+IF($G$1="破竹",$AQ141*1.5,0))*(1+$BM141)*(1+$BN141))*(1+$AR141))*$Q141*(1+IF(VLOOKUP($R141,武学奇术!$A:$ZZ,30,FALSE)="蓄力技",$B$21,0))*(1+IF(VLOOKUP($R141,武学奇术!$A:$ZZ,30,FALSE)="派生技",$B$20,0))*(1+$BW141)*(1+$BX141)</f>
        <v>0</v>
      </c>
      <c r="Q141" s="47">
        <f t="shared" si="68"/>
        <v>0</v>
      </c>
      <c r="R141" s="48" t="s">
        <v>195</v>
      </c>
      <c r="S141" s="48" t="s">
        <v>77</v>
      </c>
      <c r="T141" s="48" t="s">
        <v>89</v>
      </c>
      <c r="U141" s="48" t="s">
        <v>79</v>
      </c>
      <c r="V141" s="48" t="s">
        <v>80</v>
      </c>
      <c r="W141" s="48" t="s">
        <v>80</v>
      </c>
      <c r="X141" s="48" t="s">
        <v>80</v>
      </c>
      <c r="Y141" s="48" t="s">
        <v>74</v>
      </c>
      <c r="Z141" s="48" t="s">
        <v>81</v>
      </c>
      <c r="AA141" s="48" t="s">
        <v>80</v>
      </c>
      <c r="AB141" s="48" t="s">
        <v>80</v>
      </c>
      <c r="AC141" s="48" t="s">
        <v>80</v>
      </c>
      <c r="AD141" s="48" t="s">
        <v>80</v>
      </c>
      <c r="AE141" s="48" t="s">
        <v>82</v>
      </c>
      <c r="AF141" s="48" t="s">
        <v>83</v>
      </c>
      <c r="AG141" s="48" t="s">
        <v>84</v>
      </c>
      <c r="AH141" s="48" t="s">
        <v>80</v>
      </c>
      <c r="AI141" s="48" t="s">
        <v>80</v>
      </c>
      <c r="AJ141" s="48" t="s">
        <v>80</v>
      </c>
      <c r="AK141" s="48" t="s">
        <v>80</v>
      </c>
      <c r="AL141" s="48" t="s">
        <v>85</v>
      </c>
      <c r="AM141" t="str">
        <f>VLOOKUP($R141,武学奇术!$A:$ZZ,25,FALSE)</f>
        <v>横刀</v>
      </c>
      <c r="AN141" s="33">
        <f>VLOOKUP($R141,武学奇术!$A:$ZZ,26,FALSE)</f>
        <v>3.6553</v>
      </c>
      <c r="AO141" s="34">
        <f>VLOOKUP($R141,武学奇术!$A:$ZZ,27,FALSE)*(1+IF(OR($AM141=$F$4,$AM141=$F$5),$B$22,0))</f>
        <v>1619.2</v>
      </c>
      <c r="AP141" s="33">
        <f>VLOOKUP($R141,武学奇术!$A:$ZZ,28,FALSE)</f>
        <v>5.4829</v>
      </c>
      <c r="AQ141" s="34">
        <f>VLOOKUP($R141,武学奇术!$A:$ZZ,29,FALSE)*(1+IF(OR($AM141=$F$4,$AM141=$F$5),$B$22,0))</f>
        <v>880</v>
      </c>
      <c r="AR141" s="33" cm="1">
        <f t="array" ref="AR141">$G$3+IFERROR(VLOOKUP($AM141,$F$4:$G$7,2,FALSE),0)+VLOOKUP($R141,武学奇术!$A:$ZZ,2,FALSE)+SUM(_xlfn.XLOOKUP($S141:$AL141,增益!$A:$A,增益!$B:$B,0))</f>
        <v>0.6189</v>
      </c>
      <c r="AS141" s="33" cm="1">
        <f t="array" ref="AS141">VLOOKUP($R141,武学奇术!$A:$ZZ,5,FALSE)+SUM(_xlfn.XLOOKUP($S141:$AL141,增益!$A:$A,增益!$E:$E,0))</f>
        <v>0</v>
      </c>
      <c r="AT141" cm="1">
        <f t="array" ref="AT141">$D$10*(1+$AS141)+VLOOKUP($R141,武学奇术!$A:$ZZ,3,FALSE)+SUM(_xlfn.XLOOKUP($S141:$AL141,增益!$A:$A,增益!$C:$C,0))-$I$2</f>
        <v>4094.7</v>
      </c>
      <c r="AU141" cm="1">
        <f t="array" ref="AU141">$E$10*(1+$AS141)+VLOOKUP($R141,武学奇术!$A:$ZZ,4,FALSE)+SUM(_xlfn.XLOOKUP($S141:$AL141,增益!$A:$A,增益!$D:$D,0))-$I$2</f>
        <v>4094.7</v>
      </c>
      <c r="AV141" s="40" cm="1">
        <f t="array" ref="AV141">IF($F$10-$I$3+VLOOKUP($R141,武学奇术!$A:$ZZ,6,FALSE)+SUM(_xlfn.XLOOKUP($S141:$AL141,增益!$A:$A,增益!$F:$F,0))&gt;0,($F$10-$I$3+VLOOKUP($R141,武学奇术!$A:$ZZ,6,FALSE)+SUM(_xlfn.XLOOKUP($S141:$AL141,增益!$A:$A,增益!$F:$F,0)))/200,($F$10-$I$3+VLOOKUP($R141,武学奇术!$A:$ZZ,6,FALSE)+SUM(_xlfn.XLOOKUP($S141:$AL141,增益!$A:$A,增益!$F:$F,0)))/100)</f>
        <v>0.3334</v>
      </c>
      <c r="AW141" s="40" cm="1">
        <f t="array" ref="AW141">$G$10+VLOOKUP($R141,武学奇术!$A:$ZZ,7,FALSE)+SUM(_xlfn.XLOOKUP($S141:$AL141,增益!$A:$A,增益!$G:$G,0))</f>
        <v>0.14</v>
      </c>
      <c r="AX141" s="33" cm="1">
        <f t="array" ref="AX141">VLOOKUP($R141,武学奇术!$A:$ZZ,8,FALSE)+SUM(_xlfn.XLOOKUP($S141:$AL141,增益!$A:$A,增益!$H:$H,0))</f>
        <v>0</v>
      </c>
      <c r="AY141">
        <f t="shared" si="57"/>
        <v>0</v>
      </c>
      <c r="AZ141">
        <f t="shared" si="58"/>
        <v>0</v>
      </c>
      <c r="BA141" s="40" cm="1">
        <f t="array" ref="BA141">IF($F$11-$I$4+VLOOKUP($R141,武学奇术!$A:$ZZ,9,FALSE)+SUM(_xlfn.XLOOKUP($S141:$AL141,增益!$A:$A,增益!$I:$I,0))&gt;0,($F$11-$I$4+VLOOKUP($R141,武学奇术!$A:$ZZ,9,FALSE)+SUM(_xlfn.XLOOKUP($S141:$AL141,增益!$A:$A,增益!$I:$I,0)))/200,($F$11-$I$4+VLOOKUP($R141,武学奇术!$A:$ZZ,9,FALSE)+SUM(_xlfn.XLOOKUP($S141:$AL141,增益!$A:$A,增益!$I:$I,0)))/100)</f>
        <v>-0.3</v>
      </c>
      <c r="BB141" s="40" cm="1">
        <f t="array" ref="BB141">$G$11+VLOOKUP($R141,武学奇术!$A:$ZZ,10,FALSE)+SUM(_xlfn.XLOOKUP($S141:$AL141,增益!$A:$A,增益!$J:$J,0))</f>
        <v>0.02</v>
      </c>
      <c r="BC141">
        <f t="shared" si="59"/>
        <v>640.3</v>
      </c>
      <c r="BD141">
        <f t="shared" si="60"/>
        <v>1770.1</v>
      </c>
      <c r="BE141" s="40" cm="1">
        <f t="array" ref="BE141">IF($F$12-$I$4+VLOOKUP($R141,武学奇术!$A:$ZZ,11,FALSE)+SUM(_xlfn.XLOOKUP($S141:$AL141,增益!$A:$A,增益!$K:$K,0))&gt;0,($F$12-$I$4+VLOOKUP($R141,武学奇术!$A:$ZZ,11,FALSE)+SUM(_xlfn.XLOOKUP($S141:$AL141,增益!$A:$A,增益!$K:$K,0)))/200,($F$12-$I$4+VLOOKUP($R141,武学奇术!$A:$ZZ,11,FALSE)+SUM(_xlfn.XLOOKUP($S141:$AL141,增益!$A:$A,增益!$K:$K,0)))/100)</f>
        <v>0.09</v>
      </c>
      <c r="BF141" s="40" cm="1">
        <f t="array" ref="BF141">$G$12+VLOOKUP($R141,武学奇术!$A:$ZZ,12,FALSE)+SUM(_xlfn.XLOOKUP($S141:$AL141,增益!$A:$A,增益!$L:$L,0))</f>
        <v>0.29</v>
      </c>
      <c r="BG141">
        <f t="shared" si="61"/>
        <v>0</v>
      </c>
      <c r="BH141">
        <f t="shared" si="62"/>
        <v>0</v>
      </c>
      <c r="BI141" s="40" cm="1">
        <f t="array" ref="BI141">IF($F$13-$I$4+VLOOKUP($R141,武学奇术!$A:$ZZ,13,FALSE)+SUM(_xlfn.XLOOKUP($S141:$AL141,增益!$A:$A,增益!$M:$M,0))&gt;0,($F$13-$I$4+VLOOKUP($R141,武学奇术!$A:$ZZ,13,FALSE)+SUM(_xlfn.XLOOKUP($S141:$AL141,增益!$A:$A,增益!$K:$K,0)))/200,($F$13-$I$4+VLOOKUP($R141,武学奇术!$A:$ZZ,13,FALSE)+SUM(_xlfn.XLOOKUP($S141:$AL141,增益!$A:$A,增益!$M:$M,0)))/100)</f>
        <v>-0.3</v>
      </c>
      <c r="BJ141" s="40" cm="1">
        <f t="array" ref="BJ141">$G$13+VLOOKUP($R141,武学奇术!$A:$ZZ,14,FALSE)+SUM(_xlfn.XLOOKUP($S141:$AL141,增益!$A:$A,增益!$N:$N,0))</f>
        <v>0.02</v>
      </c>
      <c r="BK141">
        <f t="shared" si="63"/>
        <v>0</v>
      </c>
      <c r="BL141">
        <f t="shared" si="64"/>
        <v>0</v>
      </c>
      <c r="BM141" s="40" cm="1">
        <f t="array" ref="BM141">IF($F$14-$I$4+VLOOKUP($R141,武学奇术!$A:$ZZ,15,FALSE)+SUM(_xlfn.XLOOKUP($S141:$AL141,增益!$A:$A,增益!$O:$O,0))&gt;0,($F$14-$I$4+VLOOKUP($R141,武学奇术!$A:$ZZ,15,FALSE)+SUM(_xlfn.XLOOKUP($S141:$AL141,增益!$A:$A,增益!$O:$O,0)))/200,($F$14-$I$4+VLOOKUP($R141,武学奇术!$A:$ZZ,15,FALSE)+SUM(_xlfn.XLOOKUP($S141:$AL141,增益!$A:$A,增益!$O:$O,0)))/100)</f>
        <v>-0.3</v>
      </c>
      <c r="BN141" s="40" cm="1">
        <f t="array" ref="BN141">$G$14+VLOOKUP($R141,武学奇术!$A:$ZZ,16,FALSE)+SUM(_xlfn.XLOOKUP($S141:$AL141,增益!$A:$A,增益!$P:$P,0))</f>
        <v>0.02</v>
      </c>
      <c r="BO141" s="33">
        <f>MIN(IF(VLOOKUP($R141,武学奇术!$A:$ZZ,23,FALSE)=1,100%,$B$8),100%)</f>
        <v>0.9771</v>
      </c>
      <c r="BP141" s="33" cm="1">
        <f t="array" ref="BP141">IF(VLOOKUP($R141,武学奇术!$A:$ZZ,23,FALSE)=1,100%,MIN(80%,$B$9+VLOOKUP($R141,武学奇术!$A:$ZZ,17,FALSE)+SUM(_xlfn.XLOOKUP($S141:$AL141,增益!$A:$A,增益!$Q:$Q,0)))+$B$11+SUM(_xlfn.XLOOKUP($S141:$AL141,增益!$A:$A,增益!$U:$U,0)))*IF(VLOOKUP($R141,武学奇术!$A:$ZZ,24,FALSE)=1,0,1)</f>
        <v>0.8861</v>
      </c>
      <c r="BQ141" s="33" cm="1">
        <f t="array" ref="BQ141">1+$B$13+VLOOKUP($R141,武学奇术!$A:$ZZ,18,FALSE)+SUM(_xlfn.XLOOKUP($S141:$AL141,增益!$A:$A,增益!$R:$R,0))</f>
        <v>1.77</v>
      </c>
      <c r="BR141" s="33" cm="1">
        <f t="array" ref="BR141">IF(VLOOKUP($R141,武学奇术!$A:$ZZ,24,FALSE)=1,100%,MIN(40%,$B$10+VLOOKUP($R141,武学奇术!$A:$ZZ,19,FALSE)+SUM(_xlfn.XLOOKUP($S141:$AL141,增益!$A:$A,增益!$S:$S,0)))+$B$12+SUM(_xlfn.XLOOKUP($S141:$AL141,增益!$A:$A,增益!$V:$V,0)))*IF(VLOOKUP($R141,武学奇术!$A:$ZZ,23,FALSE)=1,0,1)</f>
        <v>0.0913</v>
      </c>
      <c r="BS141" s="33" cm="1">
        <f t="array" ref="BS141">1+$B$14+VLOOKUP($R141,武学奇术!$A:$ZZ,20,FALSE)+SUM(_xlfn.XLOOKUP($S141:$AL141,增益!$A:$A,增益!$T:$T,0))</f>
        <v>1.35</v>
      </c>
      <c r="BT141" s="33">
        <f t="shared" si="65"/>
        <v>0.86580831</v>
      </c>
      <c r="BU141" s="33">
        <f t="shared" si="66"/>
        <v>0.02208246</v>
      </c>
      <c r="BV141" s="33">
        <f>IF(VLOOKUP($R141,武学奇术!$A:$ZZ,22,FALSE)=1,0,(1-$BO141))*(1-$BR141)</f>
        <v>0.02080923</v>
      </c>
      <c r="BW141" s="33" cm="1">
        <f t="array" ref="BW141">SUM(_xlfn.XLOOKUP($S141:$AL141,增益!$A:$A,增益!$W:$W,0))+$I$5</f>
        <v>0.11</v>
      </c>
      <c r="BX141" s="33" cm="1">
        <f t="array" ref="BX141">VLOOKUP($R141,武学奇术!$A:$ZZ,32,FALSE)+SUM(_xlfn.XLOOKUP($S141:$AL141,增益!$A:$A,增益!$X:$X,0))</f>
        <v>0</v>
      </c>
    </row>
    <row r="142" spans="1:76">
      <c r="A142" s="4" t="s">
        <v>188</v>
      </c>
      <c r="B142" s="4">
        <v>0.8</v>
      </c>
      <c r="C142" s="47"/>
      <c r="D142" s="47"/>
      <c r="E142" s="47"/>
      <c r="L142" s="46">
        <f t="shared" si="56"/>
        <v>0</v>
      </c>
      <c r="M142" s="46">
        <f>((($AT142+$AU142)/2*$AN142+$AO142)*(1+$AV142)*(1+$AW142)+(($AY142+$AZ142)/2*IF($G$1="鸣金",$AP142,$AN142)+IF($G$1="鸣金",$AQ142*1.5,0))*(1+$BA142)*(1+$BB142)+(($BC142+$BD142)/2*IF($G$1="裂石",$AP142,$AN142)+IF($G$1="裂石",$AQ142*1.5,0))*(1+$BE142)*(1+$BF142)+(($BG142+$BH142)/2*IF($G$1="牵丝",$AP142,$AN142)+IF($G$1="牵丝",$AQ142*1.5,0))*(1+$BI142)*(1+$BJ142)+(($BK142+$BL142)/2*IF($G$1="破竹",$AP142,$AN142)+IF($G$1="破竹",$AQ142*1.5,0))*(1+$BM142)*(1+$BN142))*(1+$AR142)*$BQ142*$Q142*(1+IF(VLOOKUP($R142,武学奇术!$A:$ZZ,30,FALSE)="蓄力技",$B$21,0))*(1+IF(VLOOKUP($R142,武学奇术!$A:$ZZ,30,FALSE)="派生技",$B$20,0))*(1+$BW142)*(1+$BX142)</f>
        <v>0</v>
      </c>
      <c r="N142" s="46">
        <f>(($AU142*$AN142+$AO142)*(1+$AV142)*(1+$AW142)+($AZ142*IF($G$1="鸣金",$AP142,$AN142)+IF($G$1="鸣金",$AQ142*1.5,0))*(1+$BA142)*(1+$BB142)+($BD142*IF($G$1="裂石",$AP142,$AN142)+IF($G$1="裂石",$AQ142*1.5,0))*(1+$BE142)*(1+$BF142)+($BH142*IF($G$1="牵丝",$AP142,$AN142)+IF($G$1="牵丝",$AQ142*1.5,0))*(1+$BI142)*(1+$BJ142)+($BL142*IF($G$1="破竹",$AP142,$AN142)+IF($G$1="破竹",$AQ142*1.5,0))*(1+$BM142)*(1+$BN142))*(1+$AR142)*$BS142*$Q142*(1+IF(VLOOKUP($R142,武学奇术!$A:$ZZ,30,FALSE)="蓄力技",$B$21,0))*(1+IF(VLOOKUP($R142,武学奇术!$A:$ZZ,30,FALSE)="派生技",$B$20,0))*(1+$BW142)*(1+$BX142)</f>
        <v>0</v>
      </c>
      <c r="O142" s="46">
        <f>((($AT142+$AU142)/2*$AN142+$AO142)*(1+$AV142)*(1+$AW142)+(($AY142+$AZ142)/2*IF($G$1="鸣金",$AP142,$AN142)+IF($G$1="鸣金",$AQ142*1.5,0))*(1+$BA142)*(1+$BB142)+(($BC142+$BD142)/2*IF($G$1="裂石",$AP142,$AN142)+IF($G$1="裂石",$AQ142*1.5,0))*(1+$BE142)*(1+$BF142)+(($BG142+$BH142)/2*IF($G$1="牵丝",$AP142,$AN142)+IF($G$1="牵丝",$AQ142*1.5,0))*(1+$BI142)*(1+$BJ142)+(($BK142+$BL142)/2*IF($G$1="破竹",$AP142,$AN142)+IF($G$1="破竹",$AQ142*1.5,0))*(1+$BM142)*(1+$BN142))*(1+$AR142)*$Q142*(1+IF(VLOOKUP($R142,武学奇术!$A:$ZZ,30,FALSE)="蓄力技",$B$21,0))*(1+IF(VLOOKUP($R142,武学奇术!$A:$ZZ,30,FALSE)="派生技",$B$20,0))*(1+$BW142)*(1+$BX142)</f>
        <v>0</v>
      </c>
      <c r="P142" s="46">
        <f>((($AT142*$AN142+$AO142)*(1+$AV142)*(1+$AW142)+($AY142*IF($G$1="鸣金",$AP142,$AN142)+IF($G$1="鸣金",$AQ142*1.5,0))*(1+$BA142)*(1+$BB142)+($BC142*IF($G$1="裂石",$AP142,$AN142)+IF($G$1="裂石",$AQ142*1.5,0))*(1+$BE142)*(1+$BF142)+($BG142*IF($G$1="牵丝",$AP142,$AN142)+IF($G$1="牵丝",$AQ142*1.5,0))*(1+$BI142)*(1+$BJ142)+($BK142*IF($G$1="破竹",$AP142,$AN142)+IF($G$1="破竹",$AQ142*1.5,0))*(1+$BM142)*(1+$BN142))*(1+$AR142))*$Q142*(1+IF(VLOOKUP($R142,武学奇术!$A:$ZZ,30,FALSE)="蓄力技",$B$21,0))*(1+IF(VLOOKUP($R142,武学奇术!$A:$ZZ,30,FALSE)="派生技",$B$20,0))*(1+$BW142)*(1+$BX142)</f>
        <v>0</v>
      </c>
      <c r="Q142" s="47">
        <f>IF($E$24="唐刀",0.25,0)</f>
        <v>0</v>
      </c>
      <c r="R142" s="48" t="s">
        <v>196</v>
      </c>
      <c r="S142" s="48" t="s">
        <v>77</v>
      </c>
      <c r="T142" s="48" t="s">
        <v>89</v>
      </c>
      <c r="U142" s="48" t="s">
        <v>79</v>
      </c>
      <c r="V142" s="48" t="s">
        <v>80</v>
      </c>
      <c r="W142" s="48" t="s">
        <v>123</v>
      </c>
      <c r="X142" s="48" t="s">
        <v>80</v>
      </c>
      <c r="Y142" s="48" t="s">
        <v>74</v>
      </c>
      <c r="Z142" s="48" t="s">
        <v>81</v>
      </c>
      <c r="AA142" s="48" t="s">
        <v>80</v>
      </c>
      <c r="AB142" s="48" t="s">
        <v>80</v>
      </c>
      <c r="AC142" s="48" t="s">
        <v>80</v>
      </c>
      <c r="AD142" s="48" t="s">
        <v>80</v>
      </c>
      <c r="AE142" s="48" t="s">
        <v>82</v>
      </c>
      <c r="AF142" s="48" t="s">
        <v>83</v>
      </c>
      <c r="AG142" s="48" t="s">
        <v>84</v>
      </c>
      <c r="AH142" s="48" t="s">
        <v>80</v>
      </c>
      <c r="AI142" s="48" t="s">
        <v>80</v>
      </c>
      <c r="AJ142" s="48" t="s">
        <v>80</v>
      </c>
      <c r="AK142" s="48" t="s">
        <v>80</v>
      </c>
      <c r="AL142" s="48" t="s">
        <v>85</v>
      </c>
      <c r="AM142" t="str">
        <f>VLOOKUP($R142,武学奇术!$A:$ZZ,25,FALSE)</f>
        <v>横刀</v>
      </c>
      <c r="AN142" s="33">
        <f>VLOOKUP($R142,武学奇术!$A:$ZZ,26,FALSE)</f>
        <v>1.47</v>
      </c>
      <c r="AO142" s="34">
        <f>VLOOKUP($R142,武学奇术!$A:$ZZ,27,FALSE)*(1+IF(OR($AM142=$F$4,$AM142=$F$5),$B$22,0))</f>
        <v>0</v>
      </c>
      <c r="AP142" s="33">
        <f>VLOOKUP($R142,武学奇术!$A:$ZZ,28,FALSE)</f>
        <v>2.205</v>
      </c>
      <c r="AQ142" s="34">
        <f>VLOOKUP($R142,武学奇术!$A:$ZZ,29,FALSE)*(1+IF(OR($AM142=$F$4,$AM142=$F$5),$B$22,0))</f>
        <v>0</v>
      </c>
      <c r="AR142" s="33" cm="1">
        <f t="array" ref="AR142">$G$3+IFERROR(VLOOKUP($AM142,$F$4:$G$7,2,FALSE),0)+VLOOKUP($R142,武学奇术!$A:$ZZ,2,FALSE)+SUM(_xlfn.XLOOKUP($S142:$AL142,增益!$A:$A,增益!$B:$B,0))</f>
        <v>0.5189</v>
      </c>
      <c r="AS142" s="33" cm="1">
        <f t="array" ref="AS142">VLOOKUP($R142,武学奇术!$A:$ZZ,5,FALSE)+SUM(_xlfn.XLOOKUP($S142:$AL142,增益!$A:$A,增益!$E:$E,0))</f>
        <v>0</v>
      </c>
      <c r="AT142" cm="1">
        <f t="array" ref="AT142">$D$10*(1+$AS142)+VLOOKUP($R142,武学奇术!$A:$ZZ,3,FALSE)+SUM(_xlfn.XLOOKUP($S142:$AL142,增益!$A:$A,增益!$C:$C,0))-$I$2</f>
        <v>4094.7</v>
      </c>
      <c r="AU142" cm="1">
        <f t="array" ref="AU142">$E$10*(1+$AS142)+VLOOKUP($R142,武学奇术!$A:$ZZ,4,FALSE)+SUM(_xlfn.XLOOKUP($S142:$AL142,增益!$A:$A,增益!$D:$D,0))-$I$2</f>
        <v>4094.7</v>
      </c>
      <c r="AV142" s="40" cm="1">
        <f t="array" ref="AV142">IF($F$10-$I$3+VLOOKUP($R142,武学奇术!$A:$ZZ,6,FALSE)+SUM(_xlfn.XLOOKUP($S142:$AL142,增益!$A:$A,增益!$F:$F,0))&gt;0,($F$10-$I$3+VLOOKUP($R142,武学奇术!$A:$ZZ,6,FALSE)+SUM(_xlfn.XLOOKUP($S142:$AL142,增益!$A:$A,增益!$F:$F,0)))/200,($F$10-$I$3+VLOOKUP($R142,武学奇术!$A:$ZZ,6,FALSE)+SUM(_xlfn.XLOOKUP($S142:$AL142,增益!$A:$A,增益!$F:$F,0)))/100)</f>
        <v>0.3484</v>
      </c>
      <c r="AW142" s="40" cm="1">
        <f t="array" ref="AW142">$G$10+VLOOKUP($R142,武学奇术!$A:$ZZ,7,FALSE)+SUM(_xlfn.XLOOKUP($S142:$AL142,增益!$A:$A,增益!$G:$G,0))</f>
        <v>0.14</v>
      </c>
      <c r="AX142" s="33" cm="1">
        <f t="array" ref="AX142">VLOOKUP($R142,武学奇术!$A:$ZZ,8,FALSE)+SUM(_xlfn.XLOOKUP($S142:$AL142,增益!$A:$A,增益!$H:$H,0))</f>
        <v>0</v>
      </c>
      <c r="AY142">
        <f t="shared" si="57"/>
        <v>0</v>
      </c>
      <c r="AZ142">
        <f t="shared" si="58"/>
        <v>0</v>
      </c>
      <c r="BA142" s="40" cm="1">
        <f t="array" ref="BA142">IF($F$11-$I$4+VLOOKUP($R142,武学奇术!$A:$ZZ,9,FALSE)+SUM(_xlfn.XLOOKUP($S142:$AL142,增益!$A:$A,增益!$I:$I,0))&gt;0,($F$11-$I$4+VLOOKUP($R142,武学奇术!$A:$ZZ,9,FALSE)+SUM(_xlfn.XLOOKUP($S142:$AL142,增益!$A:$A,增益!$I:$I,0)))/200,($F$11-$I$4+VLOOKUP($R142,武学奇术!$A:$ZZ,9,FALSE)+SUM(_xlfn.XLOOKUP($S142:$AL142,增益!$A:$A,增益!$I:$I,0)))/100)</f>
        <v>-0.3</v>
      </c>
      <c r="BB142" s="40" cm="1">
        <f t="array" ref="BB142">$G$11+VLOOKUP($R142,武学奇术!$A:$ZZ,10,FALSE)+SUM(_xlfn.XLOOKUP($S142:$AL142,增益!$A:$A,增益!$J:$J,0))</f>
        <v>0.02</v>
      </c>
      <c r="BC142">
        <f t="shared" si="59"/>
        <v>640.3</v>
      </c>
      <c r="BD142">
        <f t="shared" si="60"/>
        <v>1770.1</v>
      </c>
      <c r="BE142" s="40" cm="1">
        <f t="array" ref="BE142">IF($F$12-$I$4+VLOOKUP($R142,武学奇术!$A:$ZZ,11,FALSE)+SUM(_xlfn.XLOOKUP($S142:$AL142,增益!$A:$A,增益!$K:$K,0))&gt;0,($F$12-$I$4+VLOOKUP($R142,武学奇术!$A:$ZZ,11,FALSE)+SUM(_xlfn.XLOOKUP($S142:$AL142,增益!$A:$A,增益!$K:$K,0)))/200,($F$12-$I$4+VLOOKUP($R142,武学奇术!$A:$ZZ,11,FALSE)+SUM(_xlfn.XLOOKUP($S142:$AL142,增益!$A:$A,增益!$K:$K,0)))/100)</f>
        <v>0.09</v>
      </c>
      <c r="BF142" s="40" cm="1">
        <f t="array" ref="BF142">$G$12+VLOOKUP($R142,武学奇术!$A:$ZZ,12,FALSE)+SUM(_xlfn.XLOOKUP($S142:$AL142,增益!$A:$A,增益!$L:$L,0))</f>
        <v>0.29</v>
      </c>
      <c r="BG142">
        <f t="shared" si="61"/>
        <v>0</v>
      </c>
      <c r="BH142">
        <f t="shared" si="62"/>
        <v>0</v>
      </c>
      <c r="BI142" s="40" cm="1">
        <f t="array" ref="BI142">IF($F$13-$I$4+VLOOKUP($R142,武学奇术!$A:$ZZ,13,FALSE)+SUM(_xlfn.XLOOKUP($S142:$AL142,增益!$A:$A,增益!$M:$M,0))&gt;0,($F$13-$I$4+VLOOKUP($R142,武学奇术!$A:$ZZ,13,FALSE)+SUM(_xlfn.XLOOKUP($S142:$AL142,增益!$A:$A,增益!$K:$K,0)))/200,($F$13-$I$4+VLOOKUP($R142,武学奇术!$A:$ZZ,13,FALSE)+SUM(_xlfn.XLOOKUP($S142:$AL142,增益!$A:$A,增益!$M:$M,0)))/100)</f>
        <v>-0.3</v>
      </c>
      <c r="BJ142" s="40" cm="1">
        <f t="array" ref="BJ142">$G$13+VLOOKUP($R142,武学奇术!$A:$ZZ,14,FALSE)+SUM(_xlfn.XLOOKUP($S142:$AL142,增益!$A:$A,增益!$N:$N,0))</f>
        <v>0.02</v>
      </c>
      <c r="BK142">
        <f t="shared" si="63"/>
        <v>0</v>
      </c>
      <c r="BL142">
        <f t="shared" si="64"/>
        <v>0</v>
      </c>
      <c r="BM142" s="40" cm="1">
        <f t="array" ref="BM142">IF($F$14-$I$4+VLOOKUP($R142,武学奇术!$A:$ZZ,15,FALSE)+SUM(_xlfn.XLOOKUP($S142:$AL142,增益!$A:$A,增益!$O:$O,0))&gt;0,($F$14-$I$4+VLOOKUP($R142,武学奇术!$A:$ZZ,15,FALSE)+SUM(_xlfn.XLOOKUP($S142:$AL142,增益!$A:$A,增益!$O:$O,0)))/200,($F$14-$I$4+VLOOKUP($R142,武学奇术!$A:$ZZ,15,FALSE)+SUM(_xlfn.XLOOKUP($S142:$AL142,增益!$A:$A,增益!$O:$O,0)))/100)</f>
        <v>-0.3</v>
      </c>
      <c r="BN142" s="40" cm="1">
        <f t="array" ref="BN142">$G$14+VLOOKUP($R142,武学奇术!$A:$ZZ,16,FALSE)+SUM(_xlfn.XLOOKUP($S142:$AL142,增益!$A:$A,增益!$P:$P,0))</f>
        <v>0.02</v>
      </c>
      <c r="BO142" s="33">
        <f>MIN(IF(VLOOKUP($R142,武学奇术!$A:$ZZ,23,FALSE)=1,100%,$B$8),100%)</f>
        <v>0.9771</v>
      </c>
      <c r="BP142" s="33" cm="1">
        <f t="array" ref="BP142">IF(VLOOKUP($R142,武学奇术!$A:$ZZ,23,FALSE)=1,100%,MIN(80%,$B$9+VLOOKUP($R142,武学奇术!$A:$ZZ,17,FALSE)+SUM(_xlfn.XLOOKUP($S142:$AL142,增益!$A:$A,增益!$Q:$Q,0)))+$B$11+SUM(_xlfn.XLOOKUP($S142:$AL142,增益!$A:$A,增益!$U:$U,0)))*IF(VLOOKUP($R142,武学奇术!$A:$ZZ,24,FALSE)=1,0,1)</f>
        <v>0.8861</v>
      </c>
      <c r="BQ142" s="33" cm="1">
        <f t="array" ref="BQ142">1+$B$13+VLOOKUP($R142,武学奇术!$A:$ZZ,18,FALSE)+SUM(_xlfn.XLOOKUP($S142:$AL142,增益!$A:$A,增益!$R:$R,0))</f>
        <v>1.8</v>
      </c>
      <c r="BR142" s="33" cm="1">
        <f t="array" ref="BR142">IF(VLOOKUP($R142,武学奇术!$A:$ZZ,24,FALSE)=1,100%,MIN(40%,$B$10+VLOOKUP($R142,武学奇术!$A:$ZZ,19,FALSE)+SUM(_xlfn.XLOOKUP($S142:$AL142,增益!$A:$A,增益!$S:$S,0)))+$B$12+SUM(_xlfn.XLOOKUP($S142:$AL142,增益!$A:$A,增益!$V:$V,0)))*IF(VLOOKUP($R142,武学奇术!$A:$ZZ,23,FALSE)=1,0,1)</f>
        <v>0.0913</v>
      </c>
      <c r="BS142" s="33" cm="1">
        <f t="array" ref="BS142">1+$B$14+VLOOKUP($R142,武学奇术!$A:$ZZ,20,FALSE)+SUM(_xlfn.XLOOKUP($S142:$AL142,增益!$A:$A,增益!$T:$T,0))</f>
        <v>1.35</v>
      </c>
      <c r="BT142" s="33">
        <f t="shared" si="65"/>
        <v>0.86580831</v>
      </c>
      <c r="BU142" s="33">
        <f t="shared" si="66"/>
        <v>0.02208246</v>
      </c>
      <c r="BV142" s="33">
        <f>IF(VLOOKUP($R142,武学奇术!$A:$ZZ,22,FALSE)=1,0,(1-$BO142))*(1-$BR142)</f>
        <v>0.02080923</v>
      </c>
      <c r="BW142" s="33" cm="1">
        <f t="array" ref="BW142">SUM(_xlfn.XLOOKUP($S142:$AL142,增益!$A:$A,增益!$W:$W,0))+$I$5</f>
        <v>0.11</v>
      </c>
      <c r="BX142" s="33" cm="1">
        <f t="array" ref="BX142">VLOOKUP($R142,武学奇术!$A:$ZZ,32,FALSE)+SUM(_xlfn.XLOOKUP($S142:$AL142,增益!$A:$A,增益!$X:$X,0))</f>
        <v>0.4</v>
      </c>
    </row>
    <row r="143" spans="1:76">
      <c r="A143" t="s">
        <v>180</v>
      </c>
      <c r="B143">
        <v>1</v>
      </c>
      <c r="C143" s="47"/>
      <c r="E143" s="47"/>
      <c r="L143" s="46">
        <f t="shared" si="56"/>
        <v>0</v>
      </c>
      <c r="M143" s="46">
        <f>((($AT143+$AU143)/2*$AN143+$AO143)*(1+$AV143)*(1+$AW143)+(($AY143+$AZ143)/2*IF($G$1="鸣金",$AP143,$AN143)+IF($G$1="鸣金",$AQ143*1.5,0))*(1+$BA143)*(1+$BB143)+(($BC143+$BD143)/2*IF($G$1="裂石",$AP143,$AN143)+IF($G$1="裂石",$AQ143*1.5,0))*(1+$BE143)*(1+$BF143)+(($BG143+$BH143)/2*IF($G$1="牵丝",$AP143,$AN143)+IF($G$1="牵丝",$AQ143*1.5,0))*(1+$BI143)*(1+$BJ143)+(($BK143+$BL143)/2*IF($G$1="破竹",$AP143,$AN143)+IF($G$1="破竹",$AQ143*1.5,0))*(1+$BM143)*(1+$BN143))*(1+$AR143)*$BQ143*$Q143*(1+IF(VLOOKUP($R143,武学奇术!$A:$ZZ,30,FALSE)="蓄力技",$B$21,0))*(1+IF(VLOOKUP($R143,武学奇术!$A:$ZZ,30,FALSE)="派生技",$B$20,0))*(1+$BW143)*(1+$BX143)</f>
        <v>0</v>
      </c>
      <c r="N143" s="46">
        <f>(($AU143*$AN143+$AO143)*(1+$AV143)*(1+$AW143)+($AZ143*IF($G$1="鸣金",$AP143,$AN143)+IF($G$1="鸣金",$AQ143*1.5,0))*(1+$BA143)*(1+$BB143)+($BD143*IF($G$1="裂石",$AP143,$AN143)+IF($G$1="裂石",$AQ143*1.5,0))*(1+$BE143)*(1+$BF143)+($BH143*IF($G$1="牵丝",$AP143,$AN143)+IF($G$1="牵丝",$AQ143*1.5,0))*(1+$BI143)*(1+$BJ143)+($BL143*IF($G$1="破竹",$AP143,$AN143)+IF($G$1="破竹",$AQ143*1.5,0))*(1+$BM143)*(1+$BN143))*(1+$AR143)*$BS143*$Q143*(1+IF(VLOOKUP($R143,武学奇术!$A:$ZZ,30,FALSE)="蓄力技",$B$21,0))*(1+IF(VLOOKUP($R143,武学奇术!$A:$ZZ,30,FALSE)="派生技",$B$20,0))*(1+$BW143)*(1+$BX143)</f>
        <v>0</v>
      </c>
      <c r="O143" s="46">
        <f>((($AT143+$AU143)/2*$AN143+$AO143)*(1+$AV143)*(1+$AW143)+(($AY143+$AZ143)/2*IF($G$1="鸣金",$AP143,$AN143)+IF($G$1="鸣金",$AQ143*1.5,0))*(1+$BA143)*(1+$BB143)+(($BC143+$BD143)/2*IF($G$1="裂石",$AP143,$AN143)+IF($G$1="裂石",$AQ143*1.5,0))*(1+$BE143)*(1+$BF143)+(($BG143+$BH143)/2*IF($G$1="牵丝",$AP143,$AN143)+IF($G$1="牵丝",$AQ143*1.5,0))*(1+$BI143)*(1+$BJ143)+(($BK143+$BL143)/2*IF($G$1="破竹",$AP143,$AN143)+IF($G$1="破竹",$AQ143*1.5,0))*(1+$BM143)*(1+$BN143))*(1+$AR143)*$Q143*(1+IF(VLOOKUP($R143,武学奇术!$A:$ZZ,30,FALSE)="蓄力技",$B$21,0))*(1+IF(VLOOKUP($R143,武学奇术!$A:$ZZ,30,FALSE)="派生技",$B$20,0))*(1+$BW143)*(1+$BX143)</f>
        <v>0</v>
      </c>
      <c r="P143" s="46">
        <f>((($AT143*$AN143+$AO143)*(1+$AV143)*(1+$AW143)+($AY143*IF($G$1="鸣金",$AP143,$AN143)+IF($G$1="鸣金",$AQ143*1.5,0))*(1+$BA143)*(1+$BB143)+($BC143*IF($G$1="裂石",$AP143,$AN143)+IF($G$1="裂石",$AQ143*1.5,0))*(1+$BE143)*(1+$BF143)+($BG143*IF($G$1="牵丝",$AP143,$AN143)+IF($G$1="牵丝",$AQ143*1.5,0))*(1+$BI143)*(1+$BJ143)+($BK143*IF($G$1="破竹",$AP143,$AN143)+IF($G$1="破竹",$AQ143*1.5,0))*(1+$BM143)*(1+$BN143))*(1+$AR143))*$Q143*(1+IF(VLOOKUP($R143,武学奇术!$A:$ZZ,30,FALSE)="蓄力技",$B$21,0))*(1+IF(VLOOKUP($R143,武学奇术!$A:$ZZ,30,FALSE)="派生技",$B$20,0))*(1+$BW143)*(1+$BX143)</f>
        <v>0</v>
      </c>
      <c r="Q143" s="47">
        <f>IF($E$24="唐刀",0.25,0)</f>
        <v>0</v>
      </c>
      <c r="R143" s="48" t="s">
        <v>196</v>
      </c>
      <c r="S143" s="48" t="s">
        <v>77</v>
      </c>
      <c r="T143" s="48" t="s">
        <v>89</v>
      </c>
      <c r="U143" s="48" t="s">
        <v>79</v>
      </c>
      <c r="V143" s="48" t="s">
        <v>80</v>
      </c>
      <c r="W143" s="48" t="s">
        <v>126</v>
      </c>
      <c r="X143" s="48" t="s">
        <v>80</v>
      </c>
      <c r="Y143" s="48" t="s">
        <v>74</v>
      </c>
      <c r="Z143" s="48" t="s">
        <v>81</v>
      </c>
      <c r="AA143" s="48" t="s">
        <v>80</v>
      </c>
      <c r="AB143" s="48" t="s">
        <v>80</v>
      </c>
      <c r="AC143" s="48" t="s">
        <v>80</v>
      </c>
      <c r="AD143" s="48" t="s">
        <v>80</v>
      </c>
      <c r="AE143" s="48" t="s">
        <v>82</v>
      </c>
      <c r="AF143" s="48" t="s">
        <v>83</v>
      </c>
      <c r="AG143" s="48" t="s">
        <v>84</v>
      </c>
      <c r="AH143" s="48" t="s">
        <v>80</v>
      </c>
      <c r="AI143" s="48" t="s">
        <v>80</v>
      </c>
      <c r="AJ143" s="48" t="s">
        <v>80</v>
      </c>
      <c r="AK143" s="48" t="s">
        <v>80</v>
      </c>
      <c r="AL143" s="48" t="s">
        <v>85</v>
      </c>
      <c r="AM143" t="str">
        <f>VLOOKUP($R143,武学奇术!$A:$ZZ,25,FALSE)</f>
        <v>横刀</v>
      </c>
      <c r="AN143" s="33">
        <f>VLOOKUP($R143,武学奇术!$A:$ZZ,26,FALSE)</f>
        <v>1.47</v>
      </c>
      <c r="AO143" s="34">
        <f>VLOOKUP($R143,武学奇术!$A:$ZZ,27,FALSE)*(1+IF(OR($AM143=$F$4,$AM143=$F$5),$B$22,0))</f>
        <v>0</v>
      </c>
      <c r="AP143" s="33">
        <f>VLOOKUP($R143,武学奇术!$A:$ZZ,28,FALSE)</f>
        <v>2.205</v>
      </c>
      <c r="AQ143" s="34">
        <f>VLOOKUP($R143,武学奇术!$A:$ZZ,29,FALSE)*(1+IF(OR($AM143=$F$4,$AM143=$F$5),$B$22,0))</f>
        <v>0</v>
      </c>
      <c r="AR143" s="33" cm="1">
        <f t="array" ref="AR143">$G$3+IFERROR(VLOOKUP($AM143,$F$4:$G$7,2,FALSE),0)+VLOOKUP($R143,武学奇术!$A:$ZZ,2,FALSE)+SUM(_xlfn.XLOOKUP($S143:$AL143,增益!$A:$A,增益!$B:$B,0))</f>
        <v>0.5189</v>
      </c>
      <c r="AS143" s="33" cm="1">
        <f t="array" ref="AS143">VLOOKUP($R143,武学奇术!$A:$ZZ,5,FALSE)+SUM(_xlfn.XLOOKUP($S143:$AL143,增益!$A:$A,增益!$E:$E,0))</f>
        <v>0</v>
      </c>
      <c r="AT143" cm="1">
        <f t="array" ref="AT143">$D$10*(1+$AS143)+VLOOKUP($R143,武学奇术!$A:$ZZ,3,FALSE)+SUM(_xlfn.XLOOKUP($S143:$AL143,增益!$A:$A,增益!$C:$C,0))-$I$2</f>
        <v>4094.7</v>
      </c>
      <c r="AU143" cm="1">
        <f t="array" ref="AU143">$E$10*(1+$AS143)+VLOOKUP($R143,武学奇术!$A:$ZZ,4,FALSE)+SUM(_xlfn.XLOOKUP($S143:$AL143,增益!$A:$A,增益!$D:$D,0))-$I$2</f>
        <v>4094.7</v>
      </c>
      <c r="AV143" s="40" cm="1">
        <f t="array" ref="AV143">IF($F$10-$I$3+VLOOKUP($R143,武学奇术!$A:$ZZ,6,FALSE)+SUM(_xlfn.XLOOKUP($S143:$AL143,增益!$A:$A,增益!$F:$F,0))&gt;0,($F$10-$I$3+VLOOKUP($R143,武学奇术!$A:$ZZ,6,FALSE)+SUM(_xlfn.XLOOKUP($S143:$AL143,增益!$A:$A,增益!$F:$F,0)))/200,($F$10-$I$3+VLOOKUP($R143,武学奇术!$A:$ZZ,6,FALSE)+SUM(_xlfn.XLOOKUP($S143:$AL143,增益!$A:$A,增益!$F:$F,0)))/100)</f>
        <v>0.3634</v>
      </c>
      <c r="AW143" s="40" cm="1">
        <f t="array" ref="AW143">$G$10+VLOOKUP($R143,武学奇术!$A:$ZZ,7,FALSE)+SUM(_xlfn.XLOOKUP($S143:$AL143,增益!$A:$A,增益!$G:$G,0))</f>
        <v>0.14</v>
      </c>
      <c r="AX143" s="33" cm="1">
        <f t="array" ref="AX143">VLOOKUP($R143,武学奇术!$A:$ZZ,8,FALSE)+SUM(_xlfn.XLOOKUP($S143:$AL143,增益!$A:$A,增益!$H:$H,0))</f>
        <v>0</v>
      </c>
      <c r="AY143">
        <f t="shared" si="57"/>
        <v>0</v>
      </c>
      <c r="AZ143">
        <f t="shared" si="58"/>
        <v>0</v>
      </c>
      <c r="BA143" s="40" cm="1">
        <f t="array" ref="BA143">IF($F$11-$I$4+VLOOKUP($R143,武学奇术!$A:$ZZ,9,FALSE)+SUM(_xlfn.XLOOKUP($S143:$AL143,增益!$A:$A,增益!$I:$I,0))&gt;0,($F$11-$I$4+VLOOKUP($R143,武学奇术!$A:$ZZ,9,FALSE)+SUM(_xlfn.XLOOKUP($S143:$AL143,增益!$A:$A,增益!$I:$I,0)))/200,($F$11-$I$4+VLOOKUP($R143,武学奇术!$A:$ZZ,9,FALSE)+SUM(_xlfn.XLOOKUP($S143:$AL143,增益!$A:$A,增益!$I:$I,0)))/100)</f>
        <v>-0.3</v>
      </c>
      <c r="BB143" s="40" cm="1">
        <f t="array" ref="BB143">$G$11+VLOOKUP($R143,武学奇术!$A:$ZZ,10,FALSE)+SUM(_xlfn.XLOOKUP($S143:$AL143,增益!$A:$A,增益!$J:$J,0))</f>
        <v>0.02</v>
      </c>
      <c r="BC143">
        <f t="shared" si="59"/>
        <v>640.3</v>
      </c>
      <c r="BD143">
        <f t="shared" si="60"/>
        <v>1770.1</v>
      </c>
      <c r="BE143" s="40" cm="1">
        <f t="array" ref="BE143">IF($F$12-$I$4+VLOOKUP($R143,武学奇术!$A:$ZZ,11,FALSE)+SUM(_xlfn.XLOOKUP($S143:$AL143,增益!$A:$A,增益!$K:$K,0))&gt;0,($F$12-$I$4+VLOOKUP($R143,武学奇术!$A:$ZZ,11,FALSE)+SUM(_xlfn.XLOOKUP($S143:$AL143,增益!$A:$A,增益!$K:$K,0)))/200,($F$12-$I$4+VLOOKUP($R143,武学奇术!$A:$ZZ,11,FALSE)+SUM(_xlfn.XLOOKUP($S143:$AL143,增益!$A:$A,增益!$K:$K,0)))/100)</f>
        <v>0.09</v>
      </c>
      <c r="BF143" s="40" cm="1">
        <f t="array" ref="BF143">$G$12+VLOOKUP($R143,武学奇术!$A:$ZZ,12,FALSE)+SUM(_xlfn.XLOOKUP($S143:$AL143,增益!$A:$A,增益!$L:$L,0))</f>
        <v>0.29</v>
      </c>
      <c r="BG143">
        <f t="shared" si="61"/>
        <v>0</v>
      </c>
      <c r="BH143">
        <f t="shared" si="62"/>
        <v>0</v>
      </c>
      <c r="BI143" s="40" cm="1">
        <f t="array" ref="BI143">IF($F$13-$I$4+VLOOKUP($R143,武学奇术!$A:$ZZ,13,FALSE)+SUM(_xlfn.XLOOKUP($S143:$AL143,增益!$A:$A,增益!$M:$M,0))&gt;0,($F$13-$I$4+VLOOKUP($R143,武学奇术!$A:$ZZ,13,FALSE)+SUM(_xlfn.XLOOKUP($S143:$AL143,增益!$A:$A,增益!$K:$K,0)))/200,($F$13-$I$4+VLOOKUP($R143,武学奇术!$A:$ZZ,13,FALSE)+SUM(_xlfn.XLOOKUP($S143:$AL143,增益!$A:$A,增益!$M:$M,0)))/100)</f>
        <v>-0.3</v>
      </c>
      <c r="BJ143" s="40" cm="1">
        <f t="array" ref="BJ143">$G$13+VLOOKUP($R143,武学奇术!$A:$ZZ,14,FALSE)+SUM(_xlfn.XLOOKUP($S143:$AL143,增益!$A:$A,增益!$N:$N,0))</f>
        <v>0.02</v>
      </c>
      <c r="BK143">
        <f t="shared" si="63"/>
        <v>0</v>
      </c>
      <c r="BL143">
        <f t="shared" si="64"/>
        <v>0</v>
      </c>
      <c r="BM143" s="40" cm="1">
        <f t="array" ref="BM143">IF($F$14-$I$4+VLOOKUP($R143,武学奇术!$A:$ZZ,15,FALSE)+SUM(_xlfn.XLOOKUP($S143:$AL143,增益!$A:$A,增益!$O:$O,0))&gt;0,($F$14-$I$4+VLOOKUP($R143,武学奇术!$A:$ZZ,15,FALSE)+SUM(_xlfn.XLOOKUP($S143:$AL143,增益!$A:$A,增益!$O:$O,0)))/200,($F$14-$I$4+VLOOKUP($R143,武学奇术!$A:$ZZ,15,FALSE)+SUM(_xlfn.XLOOKUP($S143:$AL143,增益!$A:$A,增益!$O:$O,0)))/100)</f>
        <v>-0.3</v>
      </c>
      <c r="BN143" s="40" cm="1">
        <f t="array" ref="BN143">$G$14+VLOOKUP($R143,武学奇术!$A:$ZZ,16,FALSE)+SUM(_xlfn.XLOOKUP($S143:$AL143,增益!$A:$A,增益!$P:$P,0))</f>
        <v>0.02</v>
      </c>
      <c r="BO143" s="33">
        <f>MIN(IF(VLOOKUP($R143,武学奇术!$A:$ZZ,23,FALSE)=1,100%,$B$8),100%)</f>
        <v>0.9771</v>
      </c>
      <c r="BP143" s="33" cm="1">
        <f t="array" ref="BP143">IF(VLOOKUP($R143,武学奇术!$A:$ZZ,23,FALSE)=1,100%,MIN(80%,$B$9+VLOOKUP($R143,武学奇术!$A:$ZZ,17,FALSE)+SUM(_xlfn.XLOOKUP($S143:$AL143,增益!$A:$A,增益!$Q:$Q,0)))+$B$11+SUM(_xlfn.XLOOKUP($S143:$AL143,增益!$A:$A,增益!$U:$U,0)))*IF(VLOOKUP($R143,武学奇术!$A:$ZZ,24,FALSE)=1,0,1)</f>
        <v>0.8861</v>
      </c>
      <c r="BQ143" s="33" cm="1">
        <f t="array" ref="BQ143">1+$B$13+VLOOKUP($R143,武学奇术!$A:$ZZ,18,FALSE)+SUM(_xlfn.XLOOKUP($S143:$AL143,增益!$A:$A,增益!$R:$R,0))</f>
        <v>1.83</v>
      </c>
      <c r="BR143" s="33" cm="1">
        <f t="array" ref="BR143">IF(VLOOKUP($R143,武学奇术!$A:$ZZ,24,FALSE)=1,100%,MIN(40%,$B$10+VLOOKUP($R143,武学奇术!$A:$ZZ,19,FALSE)+SUM(_xlfn.XLOOKUP($S143:$AL143,增益!$A:$A,增益!$S:$S,0)))+$B$12+SUM(_xlfn.XLOOKUP($S143:$AL143,增益!$A:$A,增益!$V:$V,0)))*IF(VLOOKUP($R143,武学奇术!$A:$ZZ,23,FALSE)=1,0,1)</f>
        <v>0.0913</v>
      </c>
      <c r="BS143" s="33" cm="1">
        <f t="array" ref="BS143">1+$B$14+VLOOKUP($R143,武学奇术!$A:$ZZ,20,FALSE)+SUM(_xlfn.XLOOKUP($S143:$AL143,增益!$A:$A,增益!$T:$T,0))</f>
        <v>1.35</v>
      </c>
      <c r="BT143" s="33">
        <f t="shared" si="65"/>
        <v>0.86580831</v>
      </c>
      <c r="BU143" s="33">
        <f t="shared" si="66"/>
        <v>0.02208246</v>
      </c>
      <c r="BV143" s="33">
        <f>IF(VLOOKUP($R143,武学奇术!$A:$ZZ,22,FALSE)=1,0,(1-$BO143))*(1-$BR143)</f>
        <v>0.02080923</v>
      </c>
      <c r="BW143" s="33" cm="1">
        <f t="array" ref="BW143">SUM(_xlfn.XLOOKUP($S143:$AL143,增益!$A:$A,增益!$W:$W,0))+$I$5</f>
        <v>0.11</v>
      </c>
      <c r="BX143" s="33" cm="1">
        <f t="array" ref="BX143">VLOOKUP($R143,武学奇术!$A:$ZZ,32,FALSE)+SUM(_xlfn.XLOOKUP($S143:$AL143,增益!$A:$A,增益!$X:$X,0))</f>
        <v>0.4</v>
      </c>
    </row>
    <row r="144" spans="1:76">
      <c r="A144" t="s">
        <v>116</v>
      </c>
      <c r="B144">
        <v>2.3</v>
      </c>
      <c r="C144" s="47"/>
      <c r="E144" s="47"/>
      <c r="L144" s="46">
        <f t="shared" si="56"/>
        <v>0</v>
      </c>
      <c r="M144" s="46">
        <f>((($AT144+$AU144)/2*$AN144+$AO144)*(1+$AV144)*(1+$AW144)+(($AY144+$AZ144)/2*IF($G$1="鸣金",$AP144,$AN144)+IF($G$1="鸣金",$AQ144*1.5,0))*(1+$BA144)*(1+$BB144)+(($BC144+$BD144)/2*IF($G$1="裂石",$AP144,$AN144)+IF($G$1="裂石",$AQ144*1.5,0))*(1+$BE144)*(1+$BF144)+(($BG144+$BH144)/2*IF($G$1="牵丝",$AP144,$AN144)+IF($G$1="牵丝",$AQ144*1.5,0))*(1+$BI144)*(1+$BJ144)+(($BK144+$BL144)/2*IF($G$1="破竹",$AP144,$AN144)+IF($G$1="破竹",$AQ144*1.5,0))*(1+$BM144)*(1+$BN144))*(1+$AR144)*$BQ144*$Q144*(1+IF(VLOOKUP($R144,武学奇术!$A:$ZZ,30,FALSE)="蓄力技",$B$21,0))*(1+IF(VLOOKUP($R144,武学奇术!$A:$ZZ,30,FALSE)="派生技",$B$20,0))*(1+$BW144)*(1+$BX144)</f>
        <v>0</v>
      </c>
      <c r="N144" s="46">
        <f>(($AU144*$AN144+$AO144)*(1+$AV144)*(1+$AW144)+($AZ144*IF($G$1="鸣金",$AP144,$AN144)+IF($G$1="鸣金",$AQ144*1.5,0))*(1+$BA144)*(1+$BB144)+($BD144*IF($G$1="裂石",$AP144,$AN144)+IF($G$1="裂石",$AQ144*1.5,0))*(1+$BE144)*(1+$BF144)+($BH144*IF($G$1="牵丝",$AP144,$AN144)+IF($G$1="牵丝",$AQ144*1.5,0))*(1+$BI144)*(1+$BJ144)+($BL144*IF($G$1="破竹",$AP144,$AN144)+IF($G$1="破竹",$AQ144*1.5,0))*(1+$BM144)*(1+$BN144))*(1+$AR144)*$BS144*$Q144*(1+IF(VLOOKUP($R144,武学奇术!$A:$ZZ,30,FALSE)="蓄力技",$B$21,0))*(1+IF(VLOOKUP($R144,武学奇术!$A:$ZZ,30,FALSE)="派生技",$B$20,0))*(1+$BW144)*(1+$BX144)</f>
        <v>0</v>
      </c>
      <c r="O144" s="46">
        <f>((($AT144+$AU144)/2*$AN144+$AO144)*(1+$AV144)*(1+$AW144)+(($AY144+$AZ144)/2*IF($G$1="鸣金",$AP144,$AN144)+IF($G$1="鸣金",$AQ144*1.5,0))*(1+$BA144)*(1+$BB144)+(($BC144+$BD144)/2*IF($G$1="裂石",$AP144,$AN144)+IF($G$1="裂石",$AQ144*1.5,0))*(1+$BE144)*(1+$BF144)+(($BG144+$BH144)/2*IF($G$1="牵丝",$AP144,$AN144)+IF($G$1="牵丝",$AQ144*1.5,0))*(1+$BI144)*(1+$BJ144)+(($BK144+$BL144)/2*IF($G$1="破竹",$AP144,$AN144)+IF($G$1="破竹",$AQ144*1.5,0))*(1+$BM144)*(1+$BN144))*(1+$AR144)*$Q144*(1+IF(VLOOKUP($R144,武学奇术!$A:$ZZ,30,FALSE)="蓄力技",$B$21,0))*(1+IF(VLOOKUP($R144,武学奇术!$A:$ZZ,30,FALSE)="派生技",$B$20,0))*(1+$BW144)*(1+$BX144)</f>
        <v>0</v>
      </c>
      <c r="P144" s="46">
        <f>((($AT144*$AN144+$AO144)*(1+$AV144)*(1+$AW144)+($AY144*IF($G$1="鸣金",$AP144,$AN144)+IF($G$1="鸣金",$AQ144*1.5,0))*(1+$BA144)*(1+$BB144)+($BC144*IF($G$1="裂石",$AP144,$AN144)+IF($G$1="裂石",$AQ144*1.5,0))*(1+$BE144)*(1+$BF144)+($BG144*IF($G$1="牵丝",$AP144,$AN144)+IF($G$1="牵丝",$AQ144*1.5,0))*(1+$BI144)*(1+$BJ144)+($BK144*IF($G$1="破竹",$AP144,$AN144)+IF($G$1="破竹",$AQ144*1.5,0))*(1+$BM144)*(1+$BN144))*(1+$AR144))*$Q144*(1+IF(VLOOKUP($R144,武学奇术!$A:$ZZ,30,FALSE)="蓄力技",$B$21,0))*(1+IF(VLOOKUP($R144,武学奇术!$A:$ZZ,30,FALSE)="派生技",$B$20,0))*(1+$BW144)*(1+$BX144)</f>
        <v>0</v>
      </c>
      <c r="Q144" s="47">
        <f>IF($E$24="唐刀",0.25,0)</f>
        <v>0</v>
      </c>
      <c r="R144" s="48" t="s">
        <v>196</v>
      </c>
      <c r="S144" s="48" t="s">
        <v>77</v>
      </c>
      <c r="T144" s="48" t="s">
        <v>89</v>
      </c>
      <c r="U144" s="48" t="s">
        <v>79</v>
      </c>
      <c r="V144" s="48" t="s">
        <v>80</v>
      </c>
      <c r="W144" s="48" t="s">
        <v>132</v>
      </c>
      <c r="X144" s="48" t="s">
        <v>80</v>
      </c>
      <c r="Y144" s="48" t="s">
        <v>74</v>
      </c>
      <c r="Z144" s="48" t="s">
        <v>81</v>
      </c>
      <c r="AA144" s="48" t="s">
        <v>80</v>
      </c>
      <c r="AB144" s="48" t="s">
        <v>80</v>
      </c>
      <c r="AC144" s="48" t="s">
        <v>80</v>
      </c>
      <c r="AD144" s="48" t="s">
        <v>80</v>
      </c>
      <c r="AE144" s="48" t="s">
        <v>82</v>
      </c>
      <c r="AF144" s="48" t="s">
        <v>83</v>
      </c>
      <c r="AG144" s="48" t="s">
        <v>84</v>
      </c>
      <c r="AH144" s="48" t="s">
        <v>80</v>
      </c>
      <c r="AI144" s="48" t="s">
        <v>80</v>
      </c>
      <c r="AJ144" s="48" t="s">
        <v>80</v>
      </c>
      <c r="AK144" s="48" t="s">
        <v>80</v>
      </c>
      <c r="AL144" s="48" t="s">
        <v>85</v>
      </c>
      <c r="AM144" t="str">
        <f>VLOOKUP($R144,武学奇术!$A:$ZZ,25,FALSE)</f>
        <v>横刀</v>
      </c>
      <c r="AN144" s="33">
        <f>VLOOKUP($R144,武学奇术!$A:$ZZ,26,FALSE)</f>
        <v>1.47</v>
      </c>
      <c r="AO144" s="34">
        <f>VLOOKUP($R144,武学奇术!$A:$ZZ,27,FALSE)*(1+IF(OR($AM144=$F$4,$AM144=$F$5),$B$22,0))</f>
        <v>0</v>
      </c>
      <c r="AP144" s="33">
        <f>VLOOKUP($R144,武学奇术!$A:$ZZ,28,FALSE)</f>
        <v>2.205</v>
      </c>
      <c r="AQ144" s="34">
        <f>VLOOKUP($R144,武学奇术!$A:$ZZ,29,FALSE)*(1+IF(OR($AM144=$F$4,$AM144=$F$5),$B$22,0))</f>
        <v>0</v>
      </c>
      <c r="AR144" s="33" cm="1">
        <f t="array" ref="AR144">$G$3+IFERROR(VLOOKUP($AM144,$F$4:$G$7,2,FALSE),0)+VLOOKUP($R144,武学奇术!$A:$ZZ,2,FALSE)+SUM(_xlfn.XLOOKUP($S144:$AL144,增益!$A:$A,增益!$B:$B,0))</f>
        <v>0.5189</v>
      </c>
      <c r="AS144" s="33" cm="1">
        <f t="array" ref="AS144">VLOOKUP($R144,武学奇术!$A:$ZZ,5,FALSE)+SUM(_xlfn.XLOOKUP($S144:$AL144,增益!$A:$A,增益!$E:$E,0))</f>
        <v>0</v>
      </c>
      <c r="AT144" cm="1">
        <f t="array" ref="AT144">$D$10*(1+$AS144)+VLOOKUP($R144,武学奇术!$A:$ZZ,3,FALSE)+SUM(_xlfn.XLOOKUP($S144:$AL144,增益!$A:$A,增益!$C:$C,0))-$I$2</f>
        <v>4094.7</v>
      </c>
      <c r="AU144" cm="1">
        <f t="array" ref="AU144">$E$10*(1+$AS144)+VLOOKUP($R144,武学奇术!$A:$ZZ,4,FALSE)+SUM(_xlfn.XLOOKUP($S144:$AL144,增益!$A:$A,增益!$D:$D,0))-$I$2</f>
        <v>4094.7</v>
      </c>
      <c r="AV144" s="40" cm="1">
        <f t="array" ref="AV144">IF($F$10-$I$3+VLOOKUP($R144,武学奇术!$A:$ZZ,6,FALSE)+SUM(_xlfn.XLOOKUP($S144:$AL144,增益!$A:$A,增益!$F:$F,0))&gt;0,($F$10-$I$3+VLOOKUP($R144,武学奇术!$A:$ZZ,6,FALSE)+SUM(_xlfn.XLOOKUP($S144:$AL144,增益!$A:$A,增益!$F:$F,0)))/200,($F$10-$I$3+VLOOKUP($R144,武学奇术!$A:$ZZ,6,FALSE)+SUM(_xlfn.XLOOKUP($S144:$AL144,增益!$A:$A,增益!$F:$F,0)))/100)</f>
        <v>0.3784</v>
      </c>
      <c r="AW144" s="40" cm="1">
        <f t="array" ref="AW144">$G$10+VLOOKUP($R144,武学奇术!$A:$ZZ,7,FALSE)+SUM(_xlfn.XLOOKUP($S144:$AL144,增益!$A:$A,增益!$G:$G,0))</f>
        <v>0.14</v>
      </c>
      <c r="AX144" s="33" cm="1">
        <f t="array" ref="AX144">VLOOKUP($R144,武学奇术!$A:$ZZ,8,FALSE)+SUM(_xlfn.XLOOKUP($S144:$AL144,增益!$A:$A,增益!$H:$H,0))</f>
        <v>0</v>
      </c>
      <c r="AY144">
        <f t="shared" si="57"/>
        <v>0</v>
      </c>
      <c r="AZ144">
        <f t="shared" si="58"/>
        <v>0</v>
      </c>
      <c r="BA144" s="40" cm="1">
        <f t="array" ref="BA144">IF($F$11-$I$4+VLOOKUP($R144,武学奇术!$A:$ZZ,9,FALSE)+SUM(_xlfn.XLOOKUP($S144:$AL144,增益!$A:$A,增益!$I:$I,0))&gt;0,($F$11-$I$4+VLOOKUP($R144,武学奇术!$A:$ZZ,9,FALSE)+SUM(_xlfn.XLOOKUP($S144:$AL144,增益!$A:$A,增益!$I:$I,0)))/200,($F$11-$I$4+VLOOKUP($R144,武学奇术!$A:$ZZ,9,FALSE)+SUM(_xlfn.XLOOKUP($S144:$AL144,增益!$A:$A,增益!$I:$I,0)))/100)</f>
        <v>-0.3</v>
      </c>
      <c r="BB144" s="40" cm="1">
        <f t="array" ref="BB144">$G$11+VLOOKUP($R144,武学奇术!$A:$ZZ,10,FALSE)+SUM(_xlfn.XLOOKUP($S144:$AL144,增益!$A:$A,增益!$J:$J,0))</f>
        <v>0.02</v>
      </c>
      <c r="BC144">
        <f t="shared" si="59"/>
        <v>640.3</v>
      </c>
      <c r="BD144">
        <f t="shared" si="60"/>
        <v>1770.1</v>
      </c>
      <c r="BE144" s="40" cm="1">
        <f t="array" ref="BE144">IF($F$12-$I$4+VLOOKUP($R144,武学奇术!$A:$ZZ,11,FALSE)+SUM(_xlfn.XLOOKUP($S144:$AL144,增益!$A:$A,增益!$K:$K,0))&gt;0,($F$12-$I$4+VLOOKUP($R144,武学奇术!$A:$ZZ,11,FALSE)+SUM(_xlfn.XLOOKUP($S144:$AL144,增益!$A:$A,增益!$K:$K,0)))/200,($F$12-$I$4+VLOOKUP($R144,武学奇术!$A:$ZZ,11,FALSE)+SUM(_xlfn.XLOOKUP($S144:$AL144,增益!$A:$A,增益!$K:$K,0)))/100)</f>
        <v>0.09</v>
      </c>
      <c r="BF144" s="40" cm="1">
        <f t="array" ref="BF144">$G$12+VLOOKUP($R144,武学奇术!$A:$ZZ,12,FALSE)+SUM(_xlfn.XLOOKUP($S144:$AL144,增益!$A:$A,增益!$L:$L,0))</f>
        <v>0.29</v>
      </c>
      <c r="BG144">
        <f t="shared" si="61"/>
        <v>0</v>
      </c>
      <c r="BH144">
        <f t="shared" si="62"/>
        <v>0</v>
      </c>
      <c r="BI144" s="40" cm="1">
        <f t="array" ref="BI144">IF($F$13-$I$4+VLOOKUP($R144,武学奇术!$A:$ZZ,13,FALSE)+SUM(_xlfn.XLOOKUP($S144:$AL144,增益!$A:$A,增益!$M:$M,0))&gt;0,($F$13-$I$4+VLOOKUP($R144,武学奇术!$A:$ZZ,13,FALSE)+SUM(_xlfn.XLOOKUP($S144:$AL144,增益!$A:$A,增益!$K:$K,0)))/200,($F$13-$I$4+VLOOKUP($R144,武学奇术!$A:$ZZ,13,FALSE)+SUM(_xlfn.XLOOKUP($S144:$AL144,增益!$A:$A,增益!$M:$M,0)))/100)</f>
        <v>-0.3</v>
      </c>
      <c r="BJ144" s="40" cm="1">
        <f t="array" ref="BJ144">$G$13+VLOOKUP($R144,武学奇术!$A:$ZZ,14,FALSE)+SUM(_xlfn.XLOOKUP($S144:$AL144,增益!$A:$A,增益!$N:$N,0))</f>
        <v>0.02</v>
      </c>
      <c r="BK144">
        <f t="shared" si="63"/>
        <v>0</v>
      </c>
      <c r="BL144">
        <f t="shared" si="64"/>
        <v>0</v>
      </c>
      <c r="BM144" s="40" cm="1">
        <f t="array" ref="BM144">IF($F$14-$I$4+VLOOKUP($R144,武学奇术!$A:$ZZ,15,FALSE)+SUM(_xlfn.XLOOKUP($S144:$AL144,增益!$A:$A,增益!$O:$O,0))&gt;0,($F$14-$I$4+VLOOKUP($R144,武学奇术!$A:$ZZ,15,FALSE)+SUM(_xlfn.XLOOKUP($S144:$AL144,增益!$A:$A,增益!$O:$O,0)))/200,($F$14-$I$4+VLOOKUP($R144,武学奇术!$A:$ZZ,15,FALSE)+SUM(_xlfn.XLOOKUP($S144:$AL144,增益!$A:$A,增益!$O:$O,0)))/100)</f>
        <v>-0.3</v>
      </c>
      <c r="BN144" s="40" cm="1">
        <f t="array" ref="BN144">$G$14+VLOOKUP($R144,武学奇术!$A:$ZZ,16,FALSE)+SUM(_xlfn.XLOOKUP($S144:$AL144,增益!$A:$A,增益!$P:$P,0))</f>
        <v>0.02</v>
      </c>
      <c r="BO144" s="33">
        <f>MIN(IF(VLOOKUP($R144,武学奇术!$A:$ZZ,23,FALSE)=1,100%,$B$8),100%)</f>
        <v>0.9771</v>
      </c>
      <c r="BP144" s="33" cm="1">
        <f t="array" ref="BP144">IF(VLOOKUP($R144,武学奇术!$A:$ZZ,23,FALSE)=1,100%,MIN(80%,$B$9+VLOOKUP($R144,武学奇术!$A:$ZZ,17,FALSE)+SUM(_xlfn.XLOOKUP($S144:$AL144,增益!$A:$A,增益!$Q:$Q,0)))+$B$11+SUM(_xlfn.XLOOKUP($S144:$AL144,增益!$A:$A,增益!$U:$U,0)))*IF(VLOOKUP($R144,武学奇术!$A:$ZZ,24,FALSE)=1,0,1)</f>
        <v>0.8861</v>
      </c>
      <c r="BQ144" s="33" cm="1">
        <f t="array" ref="BQ144">1+$B$13+VLOOKUP($R144,武学奇术!$A:$ZZ,18,FALSE)+SUM(_xlfn.XLOOKUP($S144:$AL144,增益!$A:$A,增益!$R:$R,0))</f>
        <v>1.86</v>
      </c>
      <c r="BR144" s="33" cm="1">
        <f t="array" ref="BR144">IF(VLOOKUP($R144,武学奇术!$A:$ZZ,24,FALSE)=1,100%,MIN(40%,$B$10+VLOOKUP($R144,武学奇术!$A:$ZZ,19,FALSE)+SUM(_xlfn.XLOOKUP($S144:$AL144,增益!$A:$A,增益!$S:$S,0)))+$B$12+SUM(_xlfn.XLOOKUP($S144:$AL144,增益!$A:$A,增益!$V:$V,0)))*IF(VLOOKUP($R144,武学奇术!$A:$ZZ,23,FALSE)=1,0,1)</f>
        <v>0.0913</v>
      </c>
      <c r="BS144" s="33" cm="1">
        <f t="array" ref="BS144">1+$B$14+VLOOKUP($R144,武学奇术!$A:$ZZ,20,FALSE)+SUM(_xlfn.XLOOKUP($S144:$AL144,增益!$A:$A,增益!$T:$T,0))</f>
        <v>1.35</v>
      </c>
      <c r="BT144" s="33">
        <f t="shared" si="65"/>
        <v>0.86580831</v>
      </c>
      <c r="BU144" s="33">
        <f t="shared" si="66"/>
        <v>0.02208246</v>
      </c>
      <c r="BV144" s="33">
        <f>IF(VLOOKUP($R144,武学奇术!$A:$ZZ,22,FALSE)=1,0,(1-$BO144))*(1-$BR144)</f>
        <v>0.02080923</v>
      </c>
      <c r="BW144" s="33" cm="1">
        <f t="array" ref="BW144">SUM(_xlfn.XLOOKUP($S144:$AL144,增益!$A:$A,增益!$W:$W,0))+$I$5</f>
        <v>0.11</v>
      </c>
      <c r="BX144" s="33" cm="1">
        <f t="array" ref="BX144">VLOOKUP($R144,武学奇术!$A:$ZZ,32,FALSE)+SUM(_xlfn.XLOOKUP($S144:$AL144,增益!$A:$A,增益!$X:$X,0))</f>
        <v>0.4</v>
      </c>
    </row>
    <row r="145" spans="1:76">
      <c r="A145" s="4" t="s">
        <v>189</v>
      </c>
      <c r="B145" s="4">
        <v>0.8</v>
      </c>
      <c r="E145" s="47"/>
      <c r="L145" s="46">
        <f t="shared" si="56"/>
        <v>0</v>
      </c>
      <c r="M145" s="46">
        <f>((($AT145+$AU145)/2*$AN145+$AO145)*(1+$AV145)*(1+$AW145)+(($AY145+$AZ145)/2*IF($G$1="鸣金",$AP145,$AN145)+IF($G$1="鸣金",$AQ145*1.5,0))*(1+$BA145)*(1+$BB145)+(($BC145+$BD145)/2*IF($G$1="裂石",$AP145,$AN145)+IF($G$1="裂石",$AQ145*1.5,0))*(1+$BE145)*(1+$BF145)+(($BG145+$BH145)/2*IF($G$1="牵丝",$AP145,$AN145)+IF($G$1="牵丝",$AQ145*1.5,0))*(1+$BI145)*(1+$BJ145)+(($BK145+$BL145)/2*IF($G$1="破竹",$AP145,$AN145)+IF($G$1="破竹",$AQ145*1.5,0))*(1+$BM145)*(1+$BN145))*(1+$AR145)*$BQ145*$Q145*(1+IF(VLOOKUP($R145,武学奇术!$A:$ZZ,30,FALSE)="蓄力技",$B$21,0))*(1+IF(VLOOKUP($R145,武学奇术!$A:$ZZ,30,FALSE)="派生技",$B$20,0))*(1+$BW145)*(1+$BX145)</f>
        <v>0</v>
      </c>
      <c r="N145" s="46">
        <f>(($AU145*$AN145+$AO145)*(1+$AV145)*(1+$AW145)+($AZ145*IF($G$1="鸣金",$AP145,$AN145)+IF($G$1="鸣金",$AQ145*1.5,0))*(1+$BA145)*(1+$BB145)+($BD145*IF($G$1="裂石",$AP145,$AN145)+IF($G$1="裂石",$AQ145*1.5,0))*(1+$BE145)*(1+$BF145)+($BH145*IF($G$1="牵丝",$AP145,$AN145)+IF($G$1="牵丝",$AQ145*1.5,0))*(1+$BI145)*(1+$BJ145)+($BL145*IF($G$1="破竹",$AP145,$AN145)+IF($G$1="破竹",$AQ145*1.5,0))*(1+$BM145)*(1+$BN145))*(1+$AR145)*$BS145*$Q145*(1+IF(VLOOKUP($R145,武学奇术!$A:$ZZ,30,FALSE)="蓄力技",$B$21,0))*(1+IF(VLOOKUP($R145,武学奇术!$A:$ZZ,30,FALSE)="派生技",$B$20,0))*(1+$BW145)*(1+$BX145)</f>
        <v>0</v>
      </c>
      <c r="O145" s="46">
        <f>((($AT145+$AU145)/2*$AN145+$AO145)*(1+$AV145)*(1+$AW145)+(($AY145+$AZ145)/2*IF($G$1="鸣金",$AP145,$AN145)+IF($G$1="鸣金",$AQ145*1.5,0))*(1+$BA145)*(1+$BB145)+(($BC145+$BD145)/2*IF($G$1="裂石",$AP145,$AN145)+IF($G$1="裂石",$AQ145*1.5,0))*(1+$BE145)*(1+$BF145)+(($BG145+$BH145)/2*IF($G$1="牵丝",$AP145,$AN145)+IF($G$1="牵丝",$AQ145*1.5,0))*(1+$BI145)*(1+$BJ145)+(($BK145+$BL145)/2*IF($G$1="破竹",$AP145,$AN145)+IF($G$1="破竹",$AQ145*1.5,0))*(1+$BM145)*(1+$BN145))*(1+$AR145)*$Q145*(1+IF(VLOOKUP($R145,武学奇术!$A:$ZZ,30,FALSE)="蓄力技",$B$21,0))*(1+IF(VLOOKUP($R145,武学奇术!$A:$ZZ,30,FALSE)="派生技",$B$20,0))*(1+$BW145)*(1+$BX145)</f>
        <v>0</v>
      </c>
      <c r="P145" s="46">
        <f>((($AT145*$AN145+$AO145)*(1+$AV145)*(1+$AW145)+($AY145*IF($G$1="鸣金",$AP145,$AN145)+IF($G$1="鸣金",$AQ145*1.5,0))*(1+$BA145)*(1+$BB145)+($BC145*IF($G$1="裂石",$AP145,$AN145)+IF($G$1="裂石",$AQ145*1.5,0))*(1+$BE145)*(1+$BF145)+($BG145*IF($G$1="牵丝",$AP145,$AN145)+IF($G$1="牵丝",$AQ145*1.5,0))*(1+$BI145)*(1+$BJ145)+($BK145*IF($G$1="破竹",$AP145,$AN145)+IF($G$1="破竹",$AQ145*1.5,0))*(1+$BM145)*(1+$BN145))*(1+$AR145))*$Q145*(1+IF(VLOOKUP($R145,武学奇术!$A:$ZZ,30,FALSE)="蓄力技",$B$21,0))*(1+IF(VLOOKUP($R145,武学奇术!$A:$ZZ,30,FALSE)="派生技",$B$20,0))*(1+$BW145)*(1+$BX145)</f>
        <v>0</v>
      </c>
      <c r="Q145" s="47">
        <f>IF($E$24="唐刀",0.25,0)</f>
        <v>0</v>
      </c>
      <c r="R145" s="48" t="s">
        <v>196</v>
      </c>
      <c r="S145" s="48" t="s">
        <v>77</v>
      </c>
      <c r="T145" s="48" t="s">
        <v>89</v>
      </c>
      <c r="U145" s="48" t="s">
        <v>79</v>
      </c>
      <c r="V145" s="48" t="s">
        <v>80</v>
      </c>
      <c r="W145" s="48" t="s">
        <v>136</v>
      </c>
      <c r="X145" s="48" t="s">
        <v>80</v>
      </c>
      <c r="Y145" s="48" t="s">
        <v>74</v>
      </c>
      <c r="Z145" s="48" t="s">
        <v>81</v>
      </c>
      <c r="AA145" s="48" t="s">
        <v>80</v>
      </c>
      <c r="AB145" s="48" t="s">
        <v>80</v>
      </c>
      <c r="AC145" s="48" t="s">
        <v>80</v>
      </c>
      <c r="AD145" s="48" t="s">
        <v>80</v>
      </c>
      <c r="AE145" s="48" t="s">
        <v>82</v>
      </c>
      <c r="AF145" s="48" t="s">
        <v>83</v>
      </c>
      <c r="AG145" s="48" t="s">
        <v>84</v>
      </c>
      <c r="AH145" s="48" t="s">
        <v>80</v>
      </c>
      <c r="AI145" s="48" t="s">
        <v>80</v>
      </c>
      <c r="AJ145" s="48" t="s">
        <v>80</v>
      </c>
      <c r="AK145" s="48" t="s">
        <v>80</v>
      </c>
      <c r="AL145" s="48" t="s">
        <v>85</v>
      </c>
      <c r="AM145" t="str">
        <f>VLOOKUP($R145,武学奇术!$A:$ZZ,25,FALSE)</f>
        <v>横刀</v>
      </c>
      <c r="AN145" s="33">
        <f>VLOOKUP($R145,武学奇术!$A:$ZZ,26,FALSE)</f>
        <v>1.47</v>
      </c>
      <c r="AO145" s="34">
        <f>VLOOKUP($R145,武学奇术!$A:$ZZ,27,FALSE)*(1+IF(OR($AM145=$F$4,$AM145=$F$5),$B$22,0))</f>
        <v>0</v>
      </c>
      <c r="AP145" s="33">
        <f>VLOOKUP($R145,武学奇术!$A:$ZZ,28,FALSE)</f>
        <v>2.205</v>
      </c>
      <c r="AQ145" s="34">
        <f>VLOOKUP($R145,武学奇术!$A:$ZZ,29,FALSE)*(1+IF(OR($AM145=$F$4,$AM145=$F$5),$B$22,0))</f>
        <v>0</v>
      </c>
      <c r="AR145" s="33" cm="1">
        <f t="array" ref="AR145">$G$3+IFERROR(VLOOKUP($AM145,$F$4:$G$7,2,FALSE),0)+VLOOKUP($R145,武学奇术!$A:$ZZ,2,FALSE)+SUM(_xlfn.XLOOKUP($S145:$AL145,增益!$A:$A,增益!$B:$B,0))</f>
        <v>0.5189</v>
      </c>
      <c r="AS145" s="33" cm="1">
        <f t="array" ref="AS145">VLOOKUP($R145,武学奇术!$A:$ZZ,5,FALSE)+SUM(_xlfn.XLOOKUP($S145:$AL145,增益!$A:$A,增益!$E:$E,0))</f>
        <v>0</v>
      </c>
      <c r="AT145" cm="1">
        <f t="array" ref="AT145">$D$10*(1+$AS145)+VLOOKUP($R145,武学奇术!$A:$ZZ,3,FALSE)+SUM(_xlfn.XLOOKUP($S145:$AL145,增益!$A:$A,增益!$C:$C,0))-$I$2</f>
        <v>4094.7</v>
      </c>
      <c r="AU145" cm="1">
        <f t="array" ref="AU145">$E$10*(1+$AS145)+VLOOKUP($R145,武学奇术!$A:$ZZ,4,FALSE)+SUM(_xlfn.XLOOKUP($S145:$AL145,增益!$A:$A,增益!$D:$D,0))-$I$2</f>
        <v>4094.7</v>
      </c>
      <c r="AV145" s="40" cm="1">
        <f t="array" ref="AV145">IF($F$10-$I$3+VLOOKUP($R145,武学奇术!$A:$ZZ,6,FALSE)+SUM(_xlfn.XLOOKUP($S145:$AL145,增益!$A:$A,增益!$F:$F,0))&gt;0,($F$10-$I$3+VLOOKUP($R145,武学奇术!$A:$ZZ,6,FALSE)+SUM(_xlfn.XLOOKUP($S145:$AL145,增益!$A:$A,增益!$F:$F,0)))/200,($F$10-$I$3+VLOOKUP($R145,武学奇术!$A:$ZZ,6,FALSE)+SUM(_xlfn.XLOOKUP($S145:$AL145,增益!$A:$A,增益!$F:$F,0)))/100)</f>
        <v>0.3934</v>
      </c>
      <c r="AW145" s="40" cm="1">
        <f t="array" ref="AW145">$G$10+VLOOKUP($R145,武学奇术!$A:$ZZ,7,FALSE)+SUM(_xlfn.XLOOKUP($S145:$AL145,增益!$A:$A,增益!$G:$G,0))</f>
        <v>0.14</v>
      </c>
      <c r="AX145" s="33" cm="1">
        <f t="array" ref="AX145">VLOOKUP($R145,武学奇术!$A:$ZZ,8,FALSE)+SUM(_xlfn.XLOOKUP($S145:$AL145,增益!$A:$A,增益!$H:$H,0))</f>
        <v>0</v>
      </c>
      <c r="AY145">
        <f t="shared" si="57"/>
        <v>0</v>
      </c>
      <c r="AZ145">
        <f t="shared" si="58"/>
        <v>0</v>
      </c>
      <c r="BA145" s="40" cm="1">
        <f t="array" ref="BA145">IF($F$11-$I$4+VLOOKUP($R145,武学奇术!$A:$ZZ,9,FALSE)+SUM(_xlfn.XLOOKUP($S145:$AL145,增益!$A:$A,增益!$I:$I,0))&gt;0,($F$11-$I$4+VLOOKUP($R145,武学奇术!$A:$ZZ,9,FALSE)+SUM(_xlfn.XLOOKUP($S145:$AL145,增益!$A:$A,增益!$I:$I,0)))/200,($F$11-$I$4+VLOOKUP($R145,武学奇术!$A:$ZZ,9,FALSE)+SUM(_xlfn.XLOOKUP($S145:$AL145,增益!$A:$A,增益!$I:$I,0)))/100)</f>
        <v>-0.3</v>
      </c>
      <c r="BB145" s="40" cm="1">
        <f t="array" ref="BB145">$G$11+VLOOKUP($R145,武学奇术!$A:$ZZ,10,FALSE)+SUM(_xlfn.XLOOKUP($S145:$AL145,增益!$A:$A,增益!$J:$J,0))</f>
        <v>0.02</v>
      </c>
      <c r="BC145">
        <f t="shared" si="59"/>
        <v>640.3</v>
      </c>
      <c r="BD145">
        <f t="shared" si="60"/>
        <v>1770.1</v>
      </c>
      <c r="BE145" s="40" cm="1">
        <f t="array" ref="BE145">IF($F$12-$I$4+VLOOKUP($R145,武学奇术!$A:$ZZ,11,FALSE)+SUM(_xlfn.XLOOKUP($S145:$AL145,增益!$A:$A,增益!$K:$K,0))&gt;0,($F$12-$I$4+VLOOKUP($R145,武学奇术!$A:$ZZ,11,FALSE)+SUM(_xlfn.XLOOKUP($S145:$AL145,增益!$A:$A,增益!$K:$K,0)))/200,($F$12-$I$4+VLOOKUP($R145,武学奇术!$A:$ZZ,11,FALSE)+SUM(_xlfn.XLOOKUP($S145:$AL145,增益!$A:$A,增益!$K:$K,0)))/100)</f>
        <v>0.09</v>
      </c>
      <c r="BF145" s="40" cm="1">
        <f t="array" ref="BF145">$G$12+VLOOKUP($R145,武学奇术!$A:$ZZ,12,FALSE)+SUM(_xlfn.XLOOKUP($S145:$AL145,增益!$A:$A,增益!$L:$L,0))</f>
        <v>0.29</v>
      </c>
      <c r="BG145">
        <f t="shared" si="61"/>
        <v>0</v>
      </c>
      <c r="BH145">
        <f t="shared" si="62"/>
        <v>0</v>
      </c>
      <c r="BI145" s="40" cm="1">
        <f t="array" ref="BI145">IF($F$13-$I$4+VLOOKUP($R145,武学奇术!$A:$ZZ,13,FALSE)+SUM(_xlfn.XLOOKUP($S145:$AL145,增益!$A:$A,增益!$M:$M,0))&gt;0,($F$13-$I$4+VLOOKUP($R145,武学奇术!$A:$ZZ,13,FALSE)+SUM(_xlfn.XLOOKUP($S145:$AL145,增益!$A:$A,增益!$K:$K,0)))/200,($F$13-$I$4+VLOOKUP($R145,武学奇术!$A:$ZZ,13,FALSE)+SUM(_xlfn.XLOOKUP($S145:$AL145,增益!$A:$A,增益!$M:$M,0)))/100)</f>
        <v>-0.3</v>
      </c>
      <c r="BJ145" s="40" cm="1">
        <f t="array" ref="BJ145">$G$13+VLOOKUP($R145,武学奇术!$A:$ZZ,14,FALSE)+SUM(_xlfn.XLOOKUP($S145:$AL145,增益!$A:$A,增益!$N:$N,0))</f>
        <v>0.02</v>
      </c>
      <c r="BK145">
        <f t="shared" si="63"/>
        <v>0</v>
      </c>
      <c r="BL145">
        <f t="shared" si="64"/>
        <v>0</v>
      </c>
      <c r="BM145" s="40" cm="1">
        <f t="array" ref="BM145">IF($F$14-$I$4+VLOOKUP($R145,武学奇术!$A:$ZZ,15,FALSE)+SUM(_xlfn.XLOOKUP($S145:$AL145,增益!$A:$A,增益!$O:$O,0))&gt;0,($F$14-$I$4+VLOOKUP($R145,武学奇术!$A:$ZZ,15,FALSE)+SUM(_xlfn.XLOOKUP($S145:$AL145,增益!$A:$A,增益!$O:$O,0)))/200,($F$14-$I$4+VLOOKUP($R145,武学奇术!$A:$ZZ,15,FALSE)+SUM(_xlfn.XLOOKUP($S145:$AL145,增益!$A:$A,增益!$O:$O,0)))/100)</f>
        <v>-0.3</v>
      </c>
      <c r="BN145" s="40" cm="1">
        <f t="array" ref="BN145">$G$14+VLOOKUP($R145,武学奇术!$A:$ZZ,16,FALSE)+SUM(_xlfn.XLOOKUP($S145:$AL145,增益!$A:$A,增益!$P:$P,0))</f>
        <v>0.02</v>
      </c>
      <c r="BO145" s="33">
        <f>MIN(IF(VLOOKUP($R145,武学奇术!$A:$ZZ,23,FALSE)=1,100%,$B$8),100%)</f>
        <v>0.9771</v>
      </c>
      <c r="BP145" s="33" cm="1">
        <f t="array" ref="BP145">IF(VLOOKUP($R145,武学奇术!$A:$ZZ,23,FALSE)=1,100%,MIN(80%,$B$9+VLOOKUP($R145,武学奇术!$A:$ZZ,17,FALSE)+SUM(_xlfn.XLOOKUP($S145:$AL145,增益!$A:$A,增益!$Q:$Q,0)))+$B$11+SUM(_xlfn.XLOOKUP($S145:$AL145,增益!$A:$A,增益!$U:$U,0)))*IF(VLOOKUP($R145,武学奇术!$A:$ZZ,24,FALSE)=1,0,1)</f>
        <v>0.8861</v>
      </c>
      <c r="BQ145" s="33" cm="1">
        <f t="array" ref="BQ145">1+$B$13+VLOOKUP($R145,武学奇术!$A:$ZZ,18,FALSE)+SUM(_xlfn.XLOOKUP($S145:$AL145,增益!$A:$A,增益!$R:$R,0))</f>
        <v>1.89</v>
      </c>
      <c r="BR145" s="33" cm="1">
        <f t="array" ref="BR145">IF(VLOOKUP($R145,武学奇术!$A:$ZZ,24,FALSE)=1,100%,MIN(40%,$B$10+VLOOKUP($R145,武学奇术!$A:$ZZ,19,FALSE)+SUM(_xlfn.XLOOKUP($S145:$AL145,增益!$A:$A,增益!$S:$S,0)))+$B$12+SUM(_xlfn.XLOOKUP($S145:$AL145,增益!$A:$A,增益!$V:$V,0)))*IF(VLOOKUP($R145,武学奇术!$A:$ZZ,23,FALSE)=1,0,1)</f>
        <v>0.0913</v>
      </c>
      <c r="BS145" s="33" cm="1">
        <f t="array" ref="BS145">1+$B$14+VLOOKUP($R145,武学奇术!$A:$ZZ,20,FALSE)+SUM(_xlfn.XLOOKUP($S145:$AL145,增益!$A:$A,增益!$T:$T,0))</f>
        <v>1.35</v>
      </c>
      <c r="BT145" s="33">
        <f t="shared" si="65"/>
        <v>0.86580831</v>
      </c>
      <c r="BU145" s="33">
        <f t="shared" si="66"/>
        <v>0.02208246</v>
      </c>
      <c r="BV145" s="33">
        <f>IF(VLOOKUP($R145,武学奇术!$A:$ZZ,22,FALSE)=1,0,(1-$BO145))*(1-$BR145)</f>
        <v>0.02080923</v>
      </c>
      <c r="BW145" s="33" cm="1">
        <f t="array" ref="BW145">SUM(_xlfn.XLOOKUP($S145:$AL145,增益!$A:$A,增益!$W:$W,0))+$I$5</f>
        <v>0.11</v>
      </c>
      <c r="BX145" s="33" cm="1">
        <f t="array" ref="BX145">VLOOKUP($R145,武学奇术!$A:$ZZ,32,FALSE)+SUM(_xlfn.XLOOKUP($S145:$AL145,增益!$A:$A,增益!$X:$X,0))</f>
        <v>0.4</v>
      </c>
    </row>
    <row r="146" spans="1:76">
      <c r="A146" s="4" t="s">
        <v>190</v>
      </c>
      <c r="B146" s="4">
        <v>1.1</v>
      </c>
      <c r="E146" s="47"/>
      <c r="L146" s="46">
        <f t="shared" si="56"/>
        <v>0</v>
      </c>
      <c r="M146" s="46">
        <f>((($AT146+$AU146)/2*$AN146+$AO146)*(1+$AV146)*(1+$AW146)+(($AY146+$AZ146)/2*IF($G$1="鸣金",$AP146,$AN146)+IF($G$1="鸣金",$AQ146*1.5,0))*(1+$BA146)*(1+$BB146)+(($BC146+$BD146)/2*IF($G$1="裂石",$AP146,$AN146)+IF($G$1="裂石",$AQ146*1.5,0))*(1+$BE146)*(1+$BF146)+(($BG146+$BH146)/2*IF($G$1="牵丝",$AP146,$AN146)+IF($G$1="牵丝",$AQ146*1.5,0))*(1+$BI146)*(1+$BJ146)+(($BK146+$BL146)/2*IF($G$1="破竹",$AP146,$AN146)+IF($G$1="破竹",$AQ146*1.5,0))*(1+$BM146)*(1+$BN146))*(1+$AR146)*$BQ146*$Q146*(1+IF(VLOOKUP($R146,武学奇术!$A:$ZZ,30,FALSE)="蓄力技",$B$21,0))*(1+IF(VLOOKUP($R146,武学奇术!$A:$ZZ,30,FALSE)="派生技",$B$20,0))*(1+$BW146)*(1+$BX146)</f>
        <v>0</v>
      </c>
      <c r="N146" s="46">
        <f>(($AU146*$AN146+$AO146)*(1+$AV146)*(1+$AW146)+($AZ146*IF($G$1="鸣金",$AP146,$AN146)+IF($G$1="鸣金",$AQ146*1.5,0))*(1+$BA146)*(1+$BB146)+($BD146*IF($G$1="裂石",$AP146,$AN146)+IF($G$1="裂石",$AQ146*1.5,0))*(1+$BE146)*(1+$BF146)+($BH146*IF($G$1="牵丝",$AP146,$AN146)+IF($G$1="牵丝",$AQ146*1.5,0))*(1+$BI146)*(1+$BJ146)+($BL146*IF($G$1="破竹",$AP146,$AN146)+IF($G$1="破竹",$AQ146*1.5,0))*(1+$BM146)*(1+$BN146))*(1+$AR146)*$BS146*$Q146*(1+IF(VLOOKUP($R146,武学奇术!$A:$ZZ,30,FALSE)="蓄力技",$B$21,0))*(1+IF(VLOOKUP($R146,武学奇术!$A:$ZZ,30,FALSE)="派生技",$B$20,0))*(1+$BW146)*(1+$BX146)</f>
        <v>0</v>
      </c>
      <c r="O146" s="46">
        <f>((($AT146+$AU146)/2*$AN146+$AO146)*(1+$AV146)*(1+$AW146)+(($AY146+$AZ146)/2*IF($G$1="鸣金",$AP146,$AN146)+IF($G$1="鸣金",$AQ146*1.5,0))*(1+$BA146)*(1+$BB146)+(($BC146+$BD146)/2*IF($G$1="裂石",$AP146,$AN146)+IF($G$1="裂石",$AQ146*1.5,0))*(1+$BE146)*(1+$BF146)+(($BG146+$BH146)/2*IF($G$1="牵丝",$AP146,$AN146)+IF($G$1="牵丝",$AQ146*1.5,0))*(1+$BI146)*(1+$BJ146)+(($BK146+$BL146)/2*IF($G$1="破竹",$AP146,$AN146)+IF($G$1="破竹",$AQ146*1.5,0))*(1+$BM146)*(1+$BN146))*(1+$AR146)*$Q146*(1+IF(VLOOKUP($R146,武学奇术!$A:$ZZ,30,FALSE)="蓄力技",$B$21,0))*(1+IF(VLOOKUP($R146,武学奇术!$A:$ZZ,30,FALSE)="派生技",$B$20,0))*(1+$BW146)*(1+$BX146)</f>
        <v>0</v>
      </c>
      <c r="P146" s="46">
        <f>((($AT146*$AN146+$AO146)*(1+$AV146)*(1+$AW146)+($AY146*IF($G$1="鸣金",$AP146,$AN146)+IF($G$1="鸣金",$AQ146*1.5,0))*(1+$BA146)*(1+$BB146)+($BC146*IF($G$1="裂石",$AP146,$AN146)+IF($G$1="裂石",$AQ146*1.5,0))*(1+$BE146)*(1+$BF146)+($BG146*IF($G$1="牵丝",$AP146,$AN146)+IF($G$1="牵丝",$AQ146*1.5,0))*(1+$BI146)*(1+$BJ146)+($BK146*IF($G$1="破竹",$AP146,$AN146)+IF($G$1="破竹",$AQ146*1.5,0))*(1+$BM146)*(1+$BN146))*(1+$AR146))*$Q146*(1+IF(VLOOKUP($R146,武学奇术!$A:$ZZ,30,FALSE)="蓄力技",$B$21,0))*(1+IF(VLOOKUP($R146,武学奇术!$A:$ZZ,30,FALSE)="派生技",$B$20,0))*(1+$BW146)*(1+$BX146)</f>
        <v>0</v>
      </c>
      <c r="Q146" s="47">
        <f>IF($E$24="唐刀",1,0)</f>
        <v>0</v>
      </c>
      <c r="R146" s="48" t="s">
        <v>197</v>
      </c>
      <c r="S146" s="48" t="s">
        <v>88</v>
      </c>
      <c r="T146" s="48" t="s">
        <v>89</v>
      </c>
      <c r="U146" s="48" t="s">
        <v>79</v>
      </c>
      <c r="V146" s="48" t="s">
        <v>80</v>
      </c>
      <c r="W146" s="48" t="s">
        <v>91</v>
      </c>
      <c r="X146" s="48" t="s">
        <v>80</v>
      </c>
      <c r="Y146" s="48" t="s">
        <v>80</v>
      </c>
      <c r="Z146" s="48" t="s">
        <v>81</v>
      </c>
      <c r="AA146" s="48" t="s">
        <v>80</v>
      </c>
      <c r="AB146" s="48" t="s">
        <v>80</v>
      </c>
      <c r="AC146" s="48" t="s">
        <v>80</v>
      </c>
      <c r="AD146" s="48" t="s">
        <v>80</v>
      </c>
      <c r="AE146" s="48" t="s">
        <v>82</v>
      </c>
      <c r="AF146" s="48" t="s">
        <v>83</v>
      </c>
      <c r="AG146" s="48" t="s">
        <v>84</v>
      </c>
      <c r="AH146" s="48" t="s">
        <v>80</v>
      </c>
      <c r="AI146" s="48" t="s">
        <v>80</v>
      </c>
      <c r="AJ146" s="48" t="s">
        <v>80</v>
      </c>
      <c r="AK146" s="48" t="s">
        <v>80</v>
      </c>
      <c r="AL146" s="48" t="s">
        <v>85</v>
      </c>
      <c r="AM146" t="str">
        <f>VLOOKUP($R146,武学奇术!$A:$ZZ,25,FALSE)</f>
        <v>横刀</v>
      </c>
      <c r="AN146" s="33">
        <f>VLOOKUP($R146,武学奇术!$A:$ZZ,26,FALSE)</f>
        <v>2.4495</v>
      </c>
      <c r="AO146" s="34">
        <f>VLOOKUP($R146,武学奇术!$A:$ZZ,27,FALSE)*(1+IF(OR($AM146=$F$4,$AM146=$F$5),$B$22,0))</f>
        <v>1083.2</v>
      </c>
      <c r="AP146" s="33">
        <f>VLOOKUP($R146,武学奇术!$A:$ZZ,28,FALSE)</f>
        <v>3.6743</v>
      </c>
      <c r="AQ146" s="34">
        <f>VLOOKUP($R146,武学奇术!$A:$ZZ,29,FALSE)*(1+IF(OR($AM146=$F$4,$AM146=$F$5),$B$22,0))</f>
        <v>588.8</v>
      </c>
      <c r="AR146" s="33" cm="1">
        <f t="array" ref="AR146">$G$3+IFERROR(VLOOKUP($AM146,$F$4:$G$7,2,FALSE),0)+VLOOKUP($R146,武学奇术!$A:$ZZ,2,FALSE)+SUM(_xlfn.XLOOKUP($S146:$AL146,增益!$A:$A,增益!$B:$B,0))</f>
        <v>0.4489</v>
      </c>
      <c r="AS146" s="33" cm="1">
        <f t="array" ref="AS146">VLOOKUP($R146,武学奇术!$A:$ZZ,5,FALSE)+SUM(_xlfn.XLOOKUP($S146:$AL146,增益!$A:$A,增益!$E:$E,0))</f>
        <v>0</v>
      </c>
      <c r="AT146" cm="1">
        <f t="array" ref="AT146">$D$10*(1+$AS146)+VLOOKUP($R146,武学奇术!$A:$ZZ,3,FALSE)+SUM(_xlfn.XLOOKUP($S146:$AL146,增益!$A:$A,增益!$C:$C,0))-$I$2</f>
        <v>4094.7</v>
      </c>
      <c r="AU146" cm="1">
        <f t="array" ref="AU146">$E$10*(1+$AS146)+VLOOKUP($R146,武学奇术!$A:$ZZ,4,FALSE)+SUM(_xlfn.XLOOKUP($S146:$AL146,增益!$A:$A,增益!$D:$D,0))-$I$2</f>
        <v>4094.7</v>
      </c>
      <c r="AV146" s="40" cm="1">
        <f t="array" ref="AV146">IF($F$10-$I$3+VLOOKUP($R146,武学奇术!$A:$ZZ,6,FALSE)+SUM(_xlfn.XLOOKUP($S146:$AL146,增益!$A:$A,增益!$F:$F,0))&gt;0,($F$10-$I$3+VLOOKUP($R146,武学奇术!$A:$ZZ,6,FALSE)+SUM(_xlfn.XLOOKUP($S146:$AL146,增益!$A:$A,增益!$F:$F,0)))/200,($F$10-$I$3+VLOOKUP($R146,武学奇术!$A:$ZZ,6,FALSE)+SUM(_xlfn.XLOOKUP($S146:$AL146,增益!$A:$A,增益!$F:$F,0)))/100)</f>
        <v>0.3934</v>
      </c>
      <c r="AW146" s="40" cm="1">
        <f t="array" ref="AW146">$G$10+VLOOKUP($R146,武学奇术!$A:$ZZ,7,FALSE)+SUM(_xlfn.XLOOKUP($S146:$AL146,增益!$A:$A,增益!$G:$G,0))</f>
        <v>0.14</v>
      </c>
      <c r="AX146" s="33" cm="1">
        <f t="array" ref="AX146">VLOOKUP($R146,武学奇术!$A:$ZZ,8,FALSE)+SUM(_xlfn.XLOOKUP($S146:$AL146,增益!$A:$A,增益!$H:$H,0))</f>
        <v>0</v>
      </c>
      <c r="AY146">
        <f t="shared" si="57"/>
        <v>0</v>
      </c>
      <c r="AZ146">
        <f t="shared" si="58"/>
        <v>0</v>
      </c>
      <c r="BA146" s="40" cm="1">
        <f t="array" ref="BA146">IF($F$11-$I$4+VLOOKUP($R146,武学奇术!$A:$ZZ,9,FALSE)+SUM(_xlfn.XLOOKUP($S146:$AL146,增益!$A:$A,增益!$I:$I,0))&gt;0,($F$11-$I$4+VLOOKUP($R146,武学奇术!$A:$ZZ,9,FALSE)+SUM(_xlfn.XLOOKUP($S146:$AL146,增益!$A:$A,增益!$I:$I,0)))/200,($F$11-$I$4+VLOOKUP($R146,武学奇术!$A:$ZZ,9,FALSE)+SUM(_xlfn.XLOOKUP($S146:$AL146,增益!$A:$A,增益!$I:$I,0)))/100)</f>
        <v>-0.3</v>
      </c>
      <c r="BB146" s="40" cm="1">
        <f t="array" ref="BB146">$G$11+VLOOKUP($R146,武学奇术!$A:$ZZ,10,FALSE)+SUM(_xlfn.XLOOKUP($S146:$AL146,增益!$A:$A,增益!$J:$J,0))</f>
        <v>0.02</v>
      </c>
      <c r="BC146">
        <f t="shared" si="59"/>
        <v>640.3</v>
      </c>
      <c r="BD146">
        <f t="shared" si="60"/>
        <v>1770.1</v>
      </c>
      <c r="BE146" s="40" cm="1">
        <f t="array" ref="BE146">IF($F$12-$I$4+VLOOKUP($R146,武学奇术!$A:$ZZ,11,FALSE)+SUM(_xlfn.XLOOKUP($S146:$AL146,增益!$A:$A,增益!$K:$K,0))&gt;0,($F$12-$I$4+VLOOKUP($R146,武学奇术!$A:$ZZ,11,FALSE)+SUM(_xlfn.XLOOKUP($S146:$AL146,增益!$A:$A,增益!$K:$K,0)))/200,($F$12-$I$4+VLOOKUP($R146,武学奇术!$A:$ZZ,11,FALSE)+SUM(_xlfn.XLOOKUP($S146:$AL146,增益!$A:$A,增益!$K:$K,0)))/100)</f>
        <v>0.09</v>
      </c>
      <c r="BF146" s="40" cm="1">
        <f t="array" ref="BF146">$G$12+VLOOKUP($R146,武学奇术!$A:$ZZ,12,FALSE)+SUM(_xlfn.XLOOKUP($S146:$AL146,增益!$A:$A,增益!$L:$L,0))</f>
        <v>0.29</v>
      </c>
      <c r="BG146">
        <f t="shared" si="61"/>
        <v>0</v>
      </c>
      <c r="BH146">
        <f t="shared" si="62"/>
        <v>0</v>
      </c>
      <c r="BI146" s="40" cm="1">
        <f t="array" ref="BI146">IF($F$13-$I$4+VLOOKUP($R146,武学奇术!$A:$ZZ,13,FALSE)+SUM(_xlfn.XLOOKUP($S146:$AL146,增益!$A:$A,增益!$M:$M,0))&gt;0,($F$13-$I$4+VLOOKUP($R146,武学奇术!$A:$ZZ,13,FALSE)+SUM(_xlfn.XLOOKUP($S146:$AL146,增益!$A:$A,增益!$K:$K,0)))/200,($F$13-$I$4+VLOOKUP($R146,武学奇术!$A:$ZZ,13,FALSE)+SUM(_xlfn.XLOOKUP($S146:$AL146,增益!$A:$A,增益!$M:$M,0)))/100)</f>
        <v>-0.3</v>
      </c>
      <c r="BJ146" s="40" cm="1">
        <f t="array" ref="BJ146">$G$13+VLOOKUP($R146,武学奇术!$A:$ZZ,14,FALSE)+SUM(_xlfn.XLOOKUP($S146:$AL146,增益!$A:$A,增益!$N:$N,0))</f>
        <v>0.02</v>
      </c>
      <c r="BK146">
        <f t="shared" si="63"/>
        <v>0</v>
      </c>
      <c r="BL146">
        <f t="shared" si="64"/>
        <v>0</v>
      </c>
      <c r="BM146" s="40" cm="1">
        <f t="array" ref="BM146">IF($F$14-$I$4+VLOOKUP($R146,武学奇术!$A:$ZZ,15,FALSE)+SUM(_xlfn.XLOOKUP($S146:$AL146,增益!$A:$A,增益!$O:$O,0))&gt;0,($F$14-$I$4+VLOOKUP($R146,武学奇术!$A:$ZZ,15,FALSE)+SUM(_xlfn.XLOOKUP($S146:$AL146,增益!$A:$A,增益!$O:$O,0)))/200,($F$14-$I$4+VLOOKUP($R146,武学奇术!$A:$ZZ,15,FALSE)+SUM(_xlfn.XLOOKUP($S146:$AL146,增益!$A:$A,增益!$O:$O,0)))/100)</f>
        <v>-0.3</v>
      </c>
      <c r="BN146" s="40" cm="1">
        <f t="array" ref="BN146">$G$14+VLOOKUP($R146,武学奇术!$A:$ZZ,16,FALSE)+SUM(_xlfn.XLOOKUP($S146:$AL146,增益!$A:$A,增益!$P:$P,0))</f>
        <v>0.02</v>
      </c>
      <c r="BO146" s="33">
        <f>MIN(IF(VLOOKUP($R146,武学奇术!$A:$ZZ,23,FALSE)=1,100%,$B$8),100%)</f>
        <v>0.9771</v>
      </c>
      <c r="BP146" s="33" cm="1">
        <f t="array" ref="BP146">IF(VLOOKUP($R146,武学奇术!$A:$ZZ,23,FALSE)=1,100%,MIN(80%,$B$9+VLOOKUP($R146,武学奇术!$A:$ZZ,17,FALSE)+SUM(_xlfn.XLOOKUP($S146:$AL146,增益!$A:$A,增益!$Q:$Q,0)))+$B$11+SUM(_xlfn.XLOOKUP($S146:$AL146,增益!$A:$A,增益!$U:$U,0)))*IF(VLOOKUP($R146,武学奇术!$A:$ZZ,24,FALSE)=1,0,1)</f>
        <v>0.8861</v>
      </c>
      <c r="BQ146" s="33" cm="1">
        <f t="array" ref="BQ146">1+$B$13+VLOOKUP($R146,武学奇术!$A:$ZZ,18,FALSE)+SUM(_xlfn.XLOOKUP($S146:$AL146,增益!$A:$A,增益!$R:$R,0))</f>
        <v>1.87</v>
      </c>
      <c r="BR146" s="33" cm="1">
        <f t="array" ref="BR146">IF(VLOOKUP($R146,武学奇术!$A:$ZZ,24,FALSE)=1,100%,MIN(40%,$B$10+VLOOKUP($R146,武学奇术!$A:$ZZ,19,FALSE)+SUM(_xlfn.XLOOKUP($S146:$AL146,增益!$A:$A,增益!$S:$S,0)))+$B$12+SUM(_xlfn.XLOOKUP($S146:$AL146,增益!$A:$A,增益!$V:$V,0)))*IF(VLOOKUP($R146,武学奇术!$A:$ZZ,23,FALSE)=1,0,1)</f>
        <v>0.0913</v>
      </c>
      <c r="BS146" s="33" cm="1">
        <f t="array" ref="BS146">1+$B$14+VLOOKUP($R146,武学奇术!$A:$ZZ,20,FALSE)+SUM(_xlfn.XLOOKUP($S146:$AL146,增益!$A:$A,增益!$T:$T,0))</f>
        <v>1.35</v>
      </c>
      <c r="BT146" s="33">
        <f t="shared" si="65"/>
        <v>0.86580831</v>
      </c>
      <c r="BU146" s="33">
        <f t="shared" si="66"/>
        <v>0.02208246</v>
      </c>
      <c r="BV146" s="33">
        <f>IF(VLOOKUP($R146,武学奇术!$A:$ZZ,22,FALSE)=1,0,(1-$BO146))*(1-$BR146)</f>
        <v>0.02080923</v>
      </c>
      <c r="BW146" s="33" cm="1">
        <f t="array" ref="BW146">SUM(_xlfn.XLOOKUP($S146:$AL146,增益!$A:$A,增益!$W:$W,0))+$I$5</f>
        <v>0.11</v>
      </c>
      <c r="BX146" s="33" cm="1">
        <f t="array" ref="BX146">VLOOKUP($R146,武学奇术!$A:$ZZ,32,FALSE)+SUM(_xlfn.XLOOKUP($S146:$AL146,增益!$A:$A,增益!$X:$X,0))</f>
        <v>0</v>
      </c>
    </row>
    <row r="147" spans="1:76">
      <c r="A147" t="s">
        <v>164</v>
      </c>
      <c r="B147">
        <v>1</v>
      </c>
      <c r="E147" s="47"/>
      <c r="L147" s="46">
        <f t="shared" si="56"/>
        <v>0</v>
      </c>
      <c r="M147" s="46">
        <f>((($AT147+$AU147)/2*$AN147+$AO147)*(1+$AV147)*(1+$AW147)+(($AY147+$AZ147)/2*IF($G$1="鸣金",$AP147,$AN147)+IF($G$1="鸣金",$AQ147*1.5,0))*(1+$BA147)*(1+$BB147)+(($BC147+$BD147)/2*IF($G$1="裂石",$AP147,$AN147)+IF($G$1="裂石",$AQ147*1.5,0))*(1+$BE147)*(1+$BF147)+(($BG147+$BH147)/2*IF($G$1="牵丝",$AP147,$AN147)+IF($G$1="牵丝",$AQ147*1.5,0))*(1+$BI147)*(1+$BJ147)+(($BK147+$BL147)/2*IF($G$1="破竹",$AP147,$AN147)+IF($G$1="破竹",$AQ147*1.5,0))*(1+$BM147)*(1+$BN147))*(1+$AR147)*$BQ147*$Q147*(1+IF(VLOOKUP($R147,武学奇术!$A:$ZZ,30,FALSE)="蓄力技",$B$21,0))*(1+IF(VLOOKUP($R147,武学奇术!$A:$ZZ,30,FALSE)="派生技",$B$20,0))*(1+$BW147)*(1+$BX147)</f>
        <v>0</v>
      </c>
      <c r="N147" s="46">
        <f>(($AU147*$AN147+$AO147)*(1+$AV147)*(1+$AW147)+($AZ147*IF($G$1="鸣金",$AP147,$AN147)+IF($G$1="鸣金",$AQ147*1.5,0))*(1+$BA147)*(1+$BB147)+($BD147*IF($G$1="裂石",$AP147,$AN147)+IF($G$1="裂石",$AQ147*1.5,0))*(1+$BE147)*(1+$BF147)+($BH147*IF($G$1="牵丝",$AP147,$AN147)+IF($G$1="牵丝",$AQ147*1.5,0))*(1+$BI147)*(1+$BJ147)+($BL147*IF($G$1="破竹",$AP147,$AN147)+IF($G$1="破竹",$AQ147*1.5,0))*(1+$BM147)*(1+$BN147))*(1+$AR147)*$BS147*$Q147*(1+IF(VLOOKUP($R147,武学奇术!$A:$ZZ,30,FALSE)="蓄力技",$B$21,0))*(1+IF(VLOOKUP($R147,武学奇术!$A:$ZZ,30,FALSE)="派生技",$B$20,0))*(1+$BW147)*(1+$BX147)</f>
        <v>0</v>
      </c>
      <c r="O147" s="46">
        <f>((($AT147+$AU147)/2*$AN147+$AO147)*(1+$AV147)*(1+$AW147)+(($AY147+$AZ147)/2*IF($G$1="鸣金",$AP147,$AN147)+IF($G$1="鸣金",$AQ147*1.5,0))*(1+$BA147)*(1+$BB147)+(($BC147+$BD147)/2*IF($G$1="裂石",$AP147,$AN147)+IF($G$1="裂石",$AQ147*1.5,0))*(1+$BE147)*(1+$BF147)+(($BG147+$BH147)/2*IF($G$1="牵丝",$AP147,$AN147)+IF($G$1="牵丝",$AQ147*1.5,0))*(1+$BI147)*(1+$BJ147)+(($BK147+$BL147)/2*IF($G$1="破竹",$AP147,$AN147)+IF($G$1="破竹",$AQ147*1.5,0))*(1+$BM147)*(1+$BN147))*(1+$AR147)*$Q147*(1+IF(VLOOKUP($R147,武学奇术!$A:$ZZ,30,FALSE)="蓄力技",$B$21,0))*(1+IF(VLOOKUP($R147,武学奇术!$A:$ZZ,30,FALSE)="派生技",$B$20,0))*(1+$BW147)*(1+$BX147)</f>
        <v>0</v>
      </c>
      <c r="P147" s="46">
        <f>((($AT147*$AN147+$AO147)*(1+$AV147)*(1+$AW147)+($AY147*IF($G$1="鸣金",$AP147,$AN147)+IF($G$1="鸣金",$AQ147*1.5,0))*(1+$BA147)*(1+$BB147)+($BC147*IF($G$1="裂石",$AP147,$AN147)+IF($G$1="裂石",$AQ147*1.5,0))*(1+$BE147)*(1+$BF147)+($BG147*IF($G$1="牵丝",$AP147,$AN147)+IF($G$1="牵丝",$AQ147*1.5,0))*(1+$BI147)*(1+$BJ147)+($BK147*IF($G$1="破竹",$AP147,$AN147)+IF($G$1="破竹",$AQ147*1.5,0))*(1+$BM147)*(1+$BN147))*(1+$AR147))*$Q147*(1+IF(VLOOKUP($R147,武学奇术!$A:$ZZ,30,FALSE)="蓄力技",$B$21,0))*(1+IF(VLOOKUP($R147,武学奇术!$A:$ZZ,30,FALSE)="派生技",$B$20,0))*(1+$BW147)*(1+$BX147)</f>
        <v>0</v>
      </c>
      <c r="Q147" s="47">
        <f t="shared" ref="Q147:Q155" si="69">IF($E$24="唐刀",1,0)</f>
        <v>0</v>
      </c>
      <c r="R147" s="48" t="s">
        <v>119</v>
      </c>
      <c r="S147" s="48" t="s">
        <v>88</v>
      </c>
      <c r="T147" s="48" t="s">
        <v>89</v>
      </c>
      <c r="U147" s="48" t="s">
        <v>79</v>
      </c>
      <c r="V147" s="48" t="s">
        <v>80</v>
      </c>
      <c r="W147" s="48" t="s">
        <v>141</v>
      </c>
      <c r="X147" s="48" t="s">
        <v>80</v>
      </c>
      <c r="Y147" s="48" t="s">
        <v>74</v>
      </c>
      <c r="Z147" s="48" t="s">
        <v>81</v>
      </c>
      <c r="AA147" s="48" t="s">
        <v>80</v>
      </c>
      <c r="AB147" s="48" t="s">
        <v>80</v>
      </c>
      <c r="AC147" s="48" t="s">
        <v>80</v>
      </c>
      <c r="AD147" s="48" t="s">
        <v>80</v>
      </c>
      <c r="AE147" s="48" t="s">
        <v>82</v>
      </c>
      <c r="AF147" s="48" t="s">
        <v>83</v>
      </c>
      <c r="AG147" s="48" t="s">
        <v>84</v>
      </c>
      <c r="AH147" s="48" t="s">
        <v>80</v>
      </c>
      <c r="AI147" s="48" t="s">
        <v>80</v>
      </c>
      <c r="AJ147" s="48" t="s">
        <v>80</v>
      </c>
      <c r="AK147" s="48" t="s">
        <v>80</v>
      </c>
      <c r="AL147" s="48" t="s">
        <v>85</v>
      </c>
      <c r="AM147" t="str">
        <f>VLOOKUP($R147,武学奇术!$A:$ZZ,25,FALSE)</f>
        <v>横刀</v>
      </c>
      <c r="AN147" s="33">
        <f>VLOOKUP($R147,武学奇术!$A:$ZZ,26,FALSE)</f>
        <v>2.1324</v>
      </c>
      <c r="AO147" s="34">
        <f>VLOOKUP($R147,武学奇术!$A:$ZZ,27,FALSE)*(1+IF(OR($AM147=$F$4,$AM147=$F$5),$B$22,0))</f>
        <v>944</v>
      </c>
      <c r="AP147" s="33">
        <f>VLOOKUP($R147,武学奇术!$A:$ZZ,28,FALSE)</f>
        <v>3.1986</v>
      </c>
      <c r="AQ147" s="34">
        <f>VLOOKUP($R147,武学奇术!$A:$ZZ,29,FALSE)*(1+IF(OR($AM147=$F$4,$AM147=$F$5),$B$22,0))</f>
        <v>515.2</v>
      </c>
      <c r="AR147" s="33" cm="1">
        <f t="array" ref="AR147">$G$3+IFERROR(VLOOKUP($AM147,$F$4:$G$7,2,FALSE),0)+VLOOKUP($R147,武学奇术!$A:$ZZ,2,FALSE)+SUM(_xlfn.XLOOKUP($S147:$AL147,增益!$A:$A,增益!$B:$B,0))</f>
        <v>0.5289</v>
      </c>
      <c r="AS147" s="33" cm="1">
        <f t="array" ref="AS147">VLOOKUP($R147,武学奇术!$A:$ZZ,5,FALSE)+SUM(_xlfn.XLOOKUP($S147:$AL147,增益!$A:$A,增益!$E:$E,0))</f>
        <v>0</v>
      </c>
      <c r="AT147" cm="1">
        <f t="array" ref="AT147">$D$10*(1+$AS147)+VLOOKUP($R147,武学奇术!$A:$ZZ,3,FALSE)+SUM(_xlfn.XLOOKUP($S147:$AL147,增益!$A:$A,增益!$C:$C,0))-$I$2</f>
        <v>4094.7</v>
      </c>
      <c r="AU147" cm="1">
        <f t="array" ref="AU147">$E$10*(1+$AS147)+VLOOKUP($R147,武学奇术!$A:$ZZ,4,FALSE)+SUM(_xlfn.XLOOKUP($S147:$AL147,增益!$A:$A,增益!$D:$D,0))-$I$2</f>
        <v>4094.7</v>
      </c>
      <c r="AV147" s="40" cm="1">
        <f t="array" ref="AV147">IF($F$10-$I$3+VLOOKUP($R147,武学奇术!$A:$ZZ,6,FALSE)+SUM(_xlfn.XLOOKUP($S147:$AL147,增益!$A:$A,增益!$F:$F,0))&gt;0,($F$10-$I$3+VLOOKUP($R147,武学奇术!$A:$ZZ,6,FALSE)+SUM(_xlfn.XLOOKUP($S147:$AL147,增益!$A:$A,增益!$F:$F,0)))/200,($F$10-$I$3+VLOOKUP($R147,武学奇术!$A:$ZZ,6,FALSE)+SUM(_xlfn.XLOOKUP($S147:$AL147,增益!$A:$A,增益!$F:$F,0)))/100)</f>
        <v>0.4184</v>
      </c>
      <c r="AW147" s="40" cm="1">
        <f t="array" ref="AW147">$G$10+VLOOKUP($R147,武学奇术!$A:$ZZ,7,FALSE)+SUM(_xlfn.XLOOKUP($S147:$AL147,增益!$A:$A,增益!$G:$G,0))</f>
        <v>0.14</v>
      </c>
      <c r="AX147" s="33" cm="1">
        <f t="array" ref="AX147">VLOOKUP($R147,武学奇术!$A:$ZZ,8,FALSE)+SUM(_xlfn.XLOOKUP($S147:$AL147,增益!$A:$A,增益!$H:$H,0))</f>
        <v>0</v>
      </c>
      <c r="AY147">
        <f t="shared" si="57"/>
        <v>0</v>
      </c>
      <c r="AZ147">
        <f t="shared" si="58"/>
        <v>0</v>
      </c>
      <c r="BA147" s="40" cm="1">
        <f t="array" ref="BA147">IF($F$11-$I$4+VLOOKUP($R147,武学奇术!$A:$ZZ,9,FALSE)+SUM(_xlfn.XLOOKUP($S147:$AL147,增益!$A:$A,增益!$I:$I,0))&gt;0,($F$11-$I$4+VLOOKUP($R147,武学奇术!$A:$ZZ,9,FALSE)+SUM(_xlfn.XLOOKUP($S147:$AL147,增益!$A:$A,增益!$I:$I,0)))/200,($F$11-$I$4+VLOOKUP($R147,武学奇术!$A:$ZZ,9,FALSE)+SUM(_xlfn.XLOOKUP($S147:$AL147,增益!$A:$A,增益!$I:$I,0)))/100)</f>
        <v>-0.3</v>
      </c>
      <c r="BB147" s="40" cm="1">
        <f t="array" ref="BB147">$G$11+VLOOKUP($R147,武学奇术!$A:$ZZ,10,FALSE)+SUM(_xlfn.XLOOKUP($S147:$AL147,增益!$A:$A,增益!$J:$J,0))</f>
        <v>0.02</v>
      </c>
      <c r="BC147">
        <f t="shared" si="59"/>
        <v>640.3</v>
      </c>
      <c r="BD147">
        <f t="shared" si="60"/>
        <v>1770.1</v>
      </c>
      <c r="BE147" s="40" cm="1">
        <f t="array" ref="BE147">IF($F$12-$I$4+VLOOKUP($R147,武学奇术!$A:$ZZ,11,FALSE)+SUM(_xlfn.XLOOKUP($S147:$AL147,增益!$A:$A,增益!$K:$K,0))&gt;0,($F$12-$I$4+VLOOKUP($R147,武学奇术!$A:$ZZ,11,FALSE)+SUM(_xlfn.XLOOKUP($S147:$AL147,增益!$A:$A,增益!$K:$K,0)))/200,($F$12-$I$4+VLOOKUP($R147,武学奇术!$A:$ZZ,11,FALSE)+SUM(_xlfn.XLOOKUP($S147:$AL147,增益!$A:$A,增益!$K:$K,0)))/100)</f>
        <v>0.09</v>
      </c>
      <c r="BF147" s="40" cm="1">
        <f t="array" ref="BF147">$G$12+VLOOKUP($R147,武学奇术!$A:$ZZ,12,FALSE)+SUM(_xlfn.XLOOKUP($S147:$AL147,增益!$A:$A,增益!$L:$L,0))</f>
        <v>0.29</v>
      </c>
      <c r="BG147">
        <f t="shared" si="61"/>
        <v>0</v>
      </c>
      <c r="BH147">
        <f t="shared" si="62"/>
        <v>0</v>
      </c>
      <c r="BI147" s="40" cm="1">
        <f t="array" ref="BI147">IF($F$13-$I$4+VLOOKUP($R147,武学奇术!$A:$ZZ,13,FALSE)+SUM(_xlfn.XLOOKUP($S147:$AL147,增益!$A:$A,增益!$M:$M,0))&gt;0,($F$13-$I$4+VLOOKUP($R147,武学奇术!$A:$ZZ,13,FALSE)+SUM(_xlfn.XLOOKUP($S147:$AL147,增益!$A:$A,增益!$K:$K,0)))/200,($F$13-$I$4+VLOOKUP($R147,武学奇术!$A:$ZZ,13,FALSE)+SUM(_xlfn.XLOOKUP($S147:$AL147,增益!$A:$A,增益!$M:$M,0)))/100)</f>
        <v>-0.3</v>
      </c>
      <c r="BJ147" s="40" cm="1">
        <f t="array" ref="BJ147">$G$13+VLOOKUP($R147,武学奇术!$A:$ZZ,14,FALSE)+SUM(_xlfn.XLOOKUP($S147:$AL147,增益!$A:$A,增益!$N:$N,0))</f>
        <v>0.02</v>
      </c>
      <c r="BK147">
        <f t="shared" si="63"/>
        <v>0</v>
      </c>
      <c r="BL147">
        <f t="shared" si="64"/>
        <v>0</v>
      </c>
      <c r="BM147" s="40" cm="1">
        <f t="array" ref="BM147">IF($F$14-$I$4+VLOOKUP($R147,武学奇术!$A:$ZZ,15,FALSE)+SUM(_xlfn.XLOOKUP($S147:$AL147,增益!$A:$A,增益!$O:$O,0))&gt;0,($F$14-$I$4+VLOOKUP($R147,武学奇术!$A:$ZZ,15,FALSE)+SUM(_xlfn.XLOOKUP($S147:$AL147,增益!$A:$A,增益!$O:$O,0)))/200,($F$14-$I$4+VLOOKUP($R147,武学奇术!$A:$ZZ,15,FALSE)+SUM(_xlfn.XLOOKUP($S147:$AL147,增益!$A:$A,增益!$O:$O,0)))/100)</f>
        <v>-0.3</v>
      </c>
      <c r="BN147" s="40" cm="1">
        <f t="array" ref="BN147">$G$14+VLOOKUP($R147,武学奇术!$A:$ZZ,16,FALSE)+SUM(_xlfn.XLOOKUP($S147:$AL147,增益!$A:$A,增益!$P:$P,0))</f>
        <v>0.02</v>
      </c>
      <c r="BO147" s="33">
        <f>MIN(IF(VLOOKUP($R147,武学奇术!$A:$ZZ,23,FALSE)=1,100%,$B$8),100%)</f>
        <v>0.9771</v>
      </c>
      <c r="BP147" s="33" cm="1">
        <f t="array" ref="BP147">IF(VLOOKUP($R147,武学奇术!$A:$ZZ,23,FALSE)=1,100%,MIN(80%,$B$9+VLOOKUP($R147,武学奇术!$A:$ZZ,17,FALSE)+SUM(_xlfn.XLOOKUP($S147:$AL147,增益!$A:$A,增益!$Q:$Q,0)))+$B$11+SUM(_xlfn.XLOOKUP($S147:$AL147,增益!$A:$A,增益!$U:$U,0)))*IF(VLOOKUP($R147,武学奇术!$A:$ZZ,24,FALSE)=1,0,1)</f>
        <v>0.8861</v>
      </c>
      <c r="BQ147" s="33" cm="1">
        <f t="array" ref="BQ147">1+$B$13+VLOOKUP($R147,武学奇术!$A:$ZZ,18,FALSE)+SUM(_xlfn.XLOOKUP($S147:$AL147,增益!$A:$A,增益!$R:$R,0))</f>
        <v>1.92</v>
      </c>
      <c r="BR147" s="33" cm="1">
        <f t="array" ref="BR147">IF(VLOOKUP($R147,武学奇术!$A:$ZZ,24,FALSE)=1,100%,MIN(40%,$B$10+VLOOKUP($R147,武学奇术!$A:$ZZ,19,FALSE)+SUM(_xlfn.XLOOKUP($S147:$AL147,增益!$A:$A,增益!$S:$S,0)))+$B$12+SUM(_xlfn.XLOOKUP($S147:$AL147,增益!$A:$A,增益!$V:$V,0)))*IF(VLOOKUP($R147,武学奇术!$A:$ZZ,23,FALSE)=1,0,1)</f>
        <v>0.0913</v>
      </c>
      <c r="BS147" s="33" cm="1">
        <f t="array" ref="BS147">1+$B$14+VLOOKUP($R147,武学奇术!$A:$ZZ,20,FALSE)+SUM(_xlfn.XLOOKUP($S147:$AL147,增益!$A:$A,增益!$T:$T,0))</f>
        <v>1.35</v>
      </c>
      <c r="BT147" s="33">
        <f t="shared" si="65"/>
        <v>0.86580831</v>
      </c>
      <c r="BU147" s="33">
        <f t="shared" si="66"/>
        <v>0.02208246</v>
      </c>
      <c r="BV147" s="33">
        <f>IF(VLOOKUP($R147,武学奇术!$A:$ZZ,22,FALSE)=1,0,(1-$BO147))*(1-$BR147)</f>
        <v>0.02080923</v>
      </c>
      <c r="BW147" s="33" cm="1">
        <f t="array" ref="BW147">SUM(_xlfn.XLOOKUP($S147:$AL147,增益!$A:$A,增益!$W:$W,0))+$I$5</f>
        <v>0.11</v>
      </c>
      <c r="BX147" s="33" cm="1">
        <f t="array" ref="BX147">VLOOKUP($R147,武学奇术!$A:$ZZ,32,FALSE)+SUM(_xlfn.XLOOKUP($S147:$AL147,增益!$A:$A,增益!$X:$X,0))</f>
        <v>0</v>
      </c>
    </row>
    <row r="148" spans="1:76">
      <c r="A148" s="4" t="s">
        <v>189</v>
      </c>
      <c r="B148" s="4">
        <v>0.8</v>
      </c>
      <c r="D148" s="47" t="s">
        <v>167</v>
      </c>
      <c r="E148" s="47"/>
      <c r="L148" s="46">
        <f t="shared" si="56"/>
        <v>0</v>
      </c>
      <c r="M148" s="46">
        <f>((($AT148+$AU148)/2*$AN148+$AO148)*(1+$AV148)*(1+$AW148)+(($AY148+$AZ148)/2*IF($G$1="鸣金",$AP148,$AN148)+IF($G$1="鸣金",$AQ148*1.5,0))*(1+$BA148)*(1+$BB148)+(($BC148+$BD148)/2*IF($G$1="裂石",$AP148,$AN148)+IF($G$1="裂石",$AQ148*1.5,0))*(1+$BE148)*(1+$BF148)+(($BG148+$BH148)/2*IF($G$1="牵丝",$AP148,$AN148)+IF($G$1="牵丝",$AQ148*1.5,0))*(1+$BI148)*(1+$BJ148)+(($BK148+$BL148)/2*IF($G$1="破竹",$AP148,$AN148)+IF($G$1="破竹",$AQ148*1.5,0))*(1+$BM148)*(1+$BN148))*(1+$AR148)*$BQ148*$Q148*(1+IF(VLOOKUP($R148,武学奇术!$A:$ZZ,30,FALSE)="蓄力技",$B$21,0))*(1+IF(VLOOKUP($R148,武学奇术!$A:$ZZ,30,FALSE)="派生技",$B$20,0))*(1+$BW148)*(1+$BX148)</f>
        <v>0</v>
      </c>
      <c r="N148" s="46">
        <f>(($AU148*$AN148+$AO148)*(1+$AV148)*(1+$AW148)+($AZ148*IF($G$1="鸣金",$AP148,$AN148)+IF($G$1="鸣金",$AQ148*1.5,0))*(1+$BA148)*(1+$BB148)+($BD148*IF($G$1="裂石",$AP148,$AN148)+IF($G$1="裂石",$AQ148*1.5,0))*(1+$BE148)*(1+$BF148)+($BH148*IF($G$1="牵丝",$AP148,$AN148)+IF($G$1="牵丝",$AQ148*1.5,0))*(1+$BI148)*(1+$BJ148)+($BL148*IF($G$1="破竹",$AP148,$AN148)+IF($G$1="破竹",$AQ148*1.5,0))*(1+$BM148)*(1+$BN148))*(1+$AR148)*$BS148*$Q148*(1+IF(VLOOKUP($R148,武学奇术!$A:$ZZ,30,FALSE)="蓄力技",$B$21,0))*(1+IF(VLOOKUP($R148,武学奇术!$A:$ZZ,30,FALSE)="派生技",$B$20,0))*(1+$BW148)*(1+$BX148)</f>
        <v>0</v>
      </c>
      <c r="O148" s="46">
        <f>((($AT148+$AU148)/2*$AN148+$AO148)*(1+$AV148)*(1+$AW148)+(($AY148+$AZ148)/2*IF($G$1="鸣金",$AP148,$AN148)+IF($G$1="鸣金",$AQ148*1.5,0))*(1+$BA148)*(1+$BB148)+(($BC148+$BD148)/2*IF($G$1="裂石",$AP148,$AN148)+IF($G$1="裂石",$AQ148*1.5,0))*(1+$BE148)*(1+$BF148)+(($BG148+$BH148)/2*IF($G$1="牵丝",$AP148,$AN148)+IF($G$1="牵丝",$AQ148*1.5,0))*(1+$BI148)*(1+$BJ148)+(($BK148+$BL148)/2*IF($G$1="破竹",$AP148,$AN148)+IF($G$1="破竹",$AQ148*1.5,0))*(1+$BM148)*(1+$BN148))*(1+$AR148)*$Q148*(1+IF(VLOOKUP($R148,武学奇术!$A:$ZZ,30,FALSE)="蓄力技",$B$21,0))*(1+IF(VLOOKUP($R148,武学奇术!$A:$ZZ,30,FALSE)="派生技",$B$20,0))*(1+$BW148)*(1+$BX148)</f>
        <v>0</v>
      </c>
      <c r="P148" s="46">
        <f>((($AT148*$AN148+$AO148)*(1+$AV148)*(1+$AW148)+($AY148*IF($G$1="鸣金",$AP148,$AN148)+IF($G$1="鸣金",$AQ148*1.5,0))*(1+$BA148)*(1+$BB148)+($BC148*IF($G$1="裂石",$AP148,$AN148)+IF($G$1="裂石",$AQ148*1.5,0))*(1+$BE148)*(1+$BF148)+($BG148*IF($G$1="牵丝",$AP148,$AN148)+IF($G$1="牵丝",$AQ148*1.5,0))*(1+$BI148)*(1+$BJ148)+($BK148*IF($G$1="破竹",$AP148,$AN148)+IF($G$1="破竹",$AQ148*1.5,0))*(1+$BM148)*(1+$BN148))*(1+$AR148))*$Q148*(1+IF(VLOOKUP($R148,武学奇术!$A:$ZZ,30,FALSE)="蓄力技",$B$21,0))*(1+IF(VLOOKUP($R148,武学奇术!$A:$ZZ,30,FALSE)="派生技",$B$20,0))*(1+$BW148)*(1+$BX148)</f>
        <v>0</v>
      </c>
      <c r="Q148" s="47">
        <f t="shared" si="69"/>
        <v>0</v>
      </c>
      <c r="R148" s="48" t="s">
        <v>122</v>
      </c>
      <c r="S148" s="48" t="s">
        <v>88</v>
      </c>
      <c r="T148" s="48" t="s">
        <v>89</v>
      </c>
      <c r="U148" s="48" t="s">
        <v>79</v>
      </c>
      <c r="V148" s="48" t="s">
        <v>90</v>
      </c>
      <c r="W148" s="48" t="s">
        <v>141</v>
      </c>
      <c r="X148" s="48" t="s">
        <v>80</v>
      </c>
      <c r="Y148" s="48" t="s">
        <v>74</v>
      </c>
      <c r="Z148" s="48" t="s">
        <v>81</v>
      </c>
      <c r="AA148" s="48" t="s">
        <v>80</v>
      </c>
      <c r="AB148" s="48" t="s">
        <v>80</v>
      </c>
      <c r="AC148" s="48" t="s">
        <v>80</v>
      </c>
      <c r="AD148" s="48" t="s">
        <v>80</v>
      </c>
      <c r="AE148" s="48" t="s">
        <v>82</v>
      </c>
      <c r="AF148" s="48" t="s">
        <v>83</v>
      </c>
      <c r="AG148" s="48" t="s">
        <v>84</v>
      </c>
      <c r="AH148" s="48" t="s">
        <v>80</v>
      </c>
      <c r="AI148" s="48" t="s">
        <v>80</v>
      </c>
      <c r="AJ148" s="48" t="s">
        <v>80</v>
      </c>
      <c r="AK148" s="48" t="s">
        <v>80</v>
      </c>
      <c r="AL148" s="48" t="s">
        <v>85</v>
      </c>
      <c r="AM148" t="str">
        <f>VLOOKUP($R148,武学奇术!$A:$ZZ,25,FALSE)</f>
        <v>横刀</v>
      </c>
      <c r="AN148" s="33">
        <f>VLOOKUP($R148,武学奇术!$A:$ZZ,26,FALSE)</f>
        <v>1.47</v>
      </c>
      <c r="AO148" s="34">
        <f>VLOOKUP($R148,武学奇术!$A:$ZZ,27,FALSE)*(1+IF(OR($AM148=$F$4,$AM148=$F$5),$B$22,0))</f>
        <v>0</v>
      </c>
      <c r="AP148" s="33">
        <f>VLOOKUP($R148,武学奇术!$A:$ZZ,28,FALSE)</f>
        <v>2.205</v>
      </c>
      <c r="AQ148" s="34">
        <f>VLOOKUP($R148,武学奇术!$A:$ZZ,29,FALSE)*(1+IF(OR($AM148=$F$4,$AM148=$F$5),$B$22,0))</f>
        <v>0</v>
      </c>
      <c r="AR148" s="33" cm="1">
        <f t="array" ref="AR148">$G$3+IFERROR(VLOOKUP($AM148,$F$4:$G$7,2,FALSE),0)+VLOOKUP($R148,武学奇术!$A:$ZZ,2,FALSE)+SUM(_xlfn.XLOOKUP($S148:$AL148,增益!$A:$A,增益!$B:$B,0))</f>
        <v>0.6089</v>
      </c>
      <c r="AS148" s="33" cm="1">
        <f t="array" ref="AS148">VLOOKUP($R148,武学奇术!$A:$ZZ,5,FALSE)+SUM(_xlfn.XLOOKUP($S148:$AL148,增益!$A:$A,增益!$E:$E,0))</f>
        <v>0</v>
      </c>
      <c r="AT148" cm="1">
        <f t="array" ref="AT148">$D$10*(1+$AS148)+VLOOKUP($R148,武学奇术!$A:$ZZ,3,FALSE)+SUM(_xlfn.XLOOKUP($S148:$AL148,增益!$A:$A,增益!$C:$C,0))-$I$2</f>
        <v>4094.7</v>
      </c>
      <c r="AU148" cm="1">
        <f t="array" ref="AU148">$E$10*(1+$AS148)+VLOOKUP($R148,武学奇术!$A:$ZZ,4,FALSE)+SUM(_xlfn.XLOOKUP($S148:$AL148,增益!$A:$A,增益!$D:$D,0))-$I$2</f>
        <v>4094.7</v>
      </c>
      <c r="AV148" s="40" cm="1">
        <f t="array" ref="AV148">IF($F$10-$I$3+VLOOKUP($R148,武学奇术!$A:$ZZ,6,FALSE)+SUM(_xlfn.XLOOKUP($S148:$AL148,增益!$A:$A,增益!$F:$F,0))&gt;0,($F$10-$I$3+VLOOKUP($R148,武学奇术!$A:$ZZ,6,FALSE)+SUM(_xlfn.XLOOKUP($S148:$AL148,增益!$A:$A,增益!$F:$F,0)))/200,($F$10-$I$3+VLOOKUP($R148,武学奇术!$A:$ZZ,6,FALSE)+SUM(_xlfn.XLOOKUP($S148:$AL148,增益!$A:$A,增益!$F:$F,0)))/100)</f>
        <v>0.4184</v>
      </c>
      <c r="AW148" s="40" cm="1">
        <f t="array" ref="AW148">$G$10+VLOOKUP($R148,武学奇术!$A:$ZZ,7,FALSE)+SUM(_xlfn.XLOOKUP($S148:$AL148,增益!$A:$A,增益!$G:$G,0))</f>
        <v>0.14</v>
      </c>
      <c r="AX148" s="33" cm="1">
        <f t="array" ref="AX148">VLOOKUP($R148,武学奇术!$A:$ZZ,8,FALSE)+SUM(_xlfn.XLOOKUP($S148:$AL148,增益!$A:$A,增益!$H:$H,0))</f>
        <v>0</v>
      </c>
      <c r="AY148">
        <f t="shared" si="57"/>
        <v>0</v>
      </c>
      <c r="AZ148">
        <f t="shared" si="58"/>
        <v>0</v>
      </c>
      <c r="BA148" s="40" cm="1">
        <f t="array" ref="BA148">IF($F$11-$I$4+VLOOKUP($R148,武学奇术!$A:$ZZ,9,FALSE)+SUM(_xlfn.XLOOKUP($S148:$AL148,增益!$A:$A,增益!$I:$I,0))&gt;0,($F$11-$I$4+VLOOKUP($R148,武学奇术!$A:$ZZ,9,FALSE)+SUM(_xlfn.XLOOKUP($S148:$AL148,增益!$A:$A,增益!$I:$I,0)))/200,($F$11-$I$4+VLOOKUP($R148,武学奇术!$A:$ZZ,9,FALSE)+SUM(_xlfn.XLOOKUP($S148:$AL148,增益!$A:$A,增益!$I:$I,0)))/100)</f>
        <v>-0.14</v>
      </c>
      <c r="BB148" s="40" cm="1">
        <f t="array" ref="BB148">$G$11+VLOOKUP($R148,武学奇术!$A:$ZZ,10,FALSE)+SUM(_xlfn.XLOOKUP($S148:$AL148,增益!$A:$A,增益!$J:$J,0))</f>
        <v>0.02</v>
      </c>
      <c r="BC148">
        <f t="shared" si="59"/>
        <v>640.3</v>
      </c>
      <c r="BD148">
        <f t="shared" si="60"/>
        <v>1770.1</v>
      </c>
      <c r="BE148" s="40" cm="1">
        <f t="array" ref="BE148">IF($F$12-$I$4+VLOOKUP($R148,武学奇术!$A:$ZZ,11,FALSE)+SUM(_xlfn.XLOOKUP($S148:$AL148,增益!$A:$A,增益!$K:$K,0))&gt;0,($F$12-$I$4+VLOOKUP($R148,武学奇术!$A:$ZZ,11,FALSE)+SUM(_xlfn.XLOOKUP($S148:$AL148,增益!$A:$A,增益!$K:$K,0)))/200,($F$12-$I$4+VLOOKUP($R148,武学奇术!$A:$ZZ,11,FALSE)+SUM(_xlfn.XLOOKUP($S148:$AL148,增益!$A:$A,增益!$K:$K,0)))/100)</f>
        <v>0.17</v>
      </c>
      <c r="BF148" s="40" cm="1">
        <f t="array" ref="BF148">$G$12+VLOOKUP($R148,武学奇术!$A:$ZZ,12,FALSE)+SUM(_xlfn.XLOOKUP($S148:$AL148,增益!$A:$A,增益!$L:$L,0))</f>
        <v>0.29</v>
      </c>
      <c r="BG148">
        <f t="shared" si="61"/>
        <v>0</v>
      </c>
      <c r="BH148">
        <f t="shared" si="62"/>
        <v>0</v>
      </c>
      <c r="BI148" s="40" cm="1">
        <f t="array" ref="BI148">IF($F$13-$I$4+VLOOKUP($R148,武学奇术!$A:$ZZ,13,FALSE)+SUM(_xlfn.XLOOKUP($S148:$AL148,增益!$A:$A,增益!$M:$M,0))&gt;0,($F$13-$I$4+VLOOKUP($R148,武学奇术!$A:$ZZ,13,FALSE)+SUM(_xlfn.XLOOKUP($S148:$AL148,增益!$A:$A,增益!$K:$K,0)))/200,($F$13-$I$4+VLOOKUP($R148,武学奇术!$A:$ZZ,13,FALSE)+SUM(_xlfn.XLOOKUP($S148:$AL148,增益!$A:$A,增益!$M:$M,0)))/100)</f>
        <v>-0.14</v>
      </c>
      <c r="BJ148" s="40" cm="1">
        <f t="array" ref="BJ148">$G$13+VLOOKUP($R148,武学奇术!$A:$ZZ,14,FALSE)+SUM(_xlfn.XLOOKUP($S148:$AL148,增益!$A:$A,增益!$N:$N,0))</f>
        <v>0.02</v>
      </c>
      <c r="BK148">
        <f t="shared" si="63"/>
        <v>0</v>
      </c>
      <c r="BL148">
        <f t="shared" si="64"/>
        <v>0</v>
      </c>
      <c r="BM148" s="40" cm="1">
        <f t="array" ref="BM148">IF($F$14-$I$4+VLOOKUP($R148,武学奇术!$A:$ZZ,15,FALSE)+SUM(_xlfn.XLOOKUP($S148:$AL148,增益!$A:$A,增益!$O:$O,0))&gt;0,($F$14-$I$4+VLOOKUP($R148,武学奇术!$A:$ZZ,15,FALSE)+SUM(_xlfn.XLOOKUP($S148:$AL148,增益!$A:$A,增益!$O:$O,0)))/200,($F$14-$I$4+VLOOKUP($R148,武学奇术!$A:$ZZ,15,FALSE)+SUM(_xlfn.XLOOKUP($S148:$AL148,增益!$A:$A,增益!$O:$O,0)))/100)</f>
        <v>-0.14</v>
      </c>
      <c r="BN148" s="40" cm="1">
        <f t="array" ref="BN148">$G$14+VLOOKUP($R148,武学奇术!$A:$ZZ,16,FALSE)+SUM(_xlfn.XLOOKUP($S148:$AL148,增益!$A:$A,增益!$P:$P,0))</f>
        <v>0.02</v>
      </c>
      <c r="BO148" s="33">
        <f>MIN(IF(VLOOKUP($R148,武学奇术!$A:$ZZ,23,FALSE)=1,100%,$B$8),100%)</f>
        <v>0.9771</v>
      </c>
      <c r="BP148" s="33" cm="1">
        <f t="array" ref="BP148">IF(VLOOKUP($R148,武学奇术!$A:$ZZ,23,FALSE)=1,100%,MIN(80%,$B$9+VLOOKUP($R148,武学奇术!$A:$ZZ,17,FALSE)+SUM(_xlfn.XLOOKUP($S148:$AL148,增益!$A:$A,增益!$Q:$Q,0)))+$B$11+SUM(_xlfn.XLOOKUP($S148:$AL148,增益!$A:$A,增益!$U:$U,0)))*IF(VLOOKUP($R148,武学奇术!$A:$ZZ,24,FALSE)=1,0,1)</f>
        <v>0.8861</v>
      </c>
      <c r="BQ148" s="33" cm="1">
        <f t="array" ref="BQ148">1+$B$13+VLOOKUP($R148,武学奇术!$A:$ZZ,18,FALSE)+SUM(_xlfn.XLOOKUP($S148:$AL148,增益!$A:$A,增益!$R:$R,0))</f>
        <v>1.92</v>
      </c>
      <c r="BR148" s="33" cm="1">
        <f t="array" ref="BR148">IF(VLOOKUP($R148,武学奇术!$A:$ZZ,24,FALSE)=1,100%,MIN(40%,$B$10+VLOOKUP($R148,武学奇术!$A:$ZZ,19,FALSE)+SUM(_xlfn.XLOOKUP($S148:$AL148,增益!$A:$A,增益!$S:$S,0)))+$B$12+SUM(_xlfn.XLOOKUP($S148:$AL148,增益!$A:$A,增益!$V:$V,0)))*IF(VLOOKUP($R148,武学奇术!$A:$ZZ,23,FALSE)=1,0,1)</f>
        <v>0.0913</v>
      </c>
      <c r="BS148" s="33" cm="1">
        <f t="array" ref="BS148">1+$B$14+VLOOKUP($R148,武学奇术!$A:$ZZ,20,FALSE)+SUM(_xlfn.XLOOKUP($S148:$AL148,增益!$A:$A,增益!$T:$T,0))</f>
        <v>1.35</v>
      </c>
      <c r="BT148" s="33">
        <f t="shared" si="65"/>
        <v>0.86580831</v>
      </c>
      <c r="BU148" s="33">
        <f t="shared" si="66"/>
        <v>0.02208246</v>
      </c>
      <c r="BV148" s="33">
        <f>IF(VLOOKUP($R148,武学奇术!$A:$ZZ,22,FALSE)=1,0,(1-$BO148))*(1-$BR148)</f>
        <v>0.02080923</v>
      </c>
      <c r="BW148" s="33" cm="1">
        <f t="array" ref="BW148">SUM(_xlfn.XLOOKUP($S148:$AL148,增益!$A:$A,增益!$W:$W,0))+$I$5</f>
        <v>0.11</v>
      </c>
      <c r="BX148" s="33" cm="1">
        <f t="array" ref="BX148">VLOOKUP($R148,武学奇术!$A:$ZZ,32,FALSE)+SUM(_xlfn.XLOOKUP($S148:$AL148,增益!$A:$A,增益!$X:$X,0))</f>
        <v>0</v>
      </c>
    </row>
    <row r="149" spans="1:76">
      <c r="A149" s="4" t="s">
        <v>191</v>
      </c>
      <c r="B149" s="4">
        <v>1.8</v>
      </c>
      <c r="D149" s="47"/>
      <c r="E149" s="47"/>
      <c r="L149" s="46">
        <f t="shared" si="56"/>
        <v>0</v>
      </c>
      <c r="M149" s="46">
        <f>((($AT149+$AU149)/2*$AN149+$AO149)*(1+$AV149)*(1+$AW149)+(($AY149+$AZ149)/2*IF($G$1="鸣金",$AP149,$AN149)+IF($G$1="鸣金",$AQ149*1.5,0))*(1+$BA149)*(1+$BB149)+(($BC149+$BD149)/2*IF($G$1="裂石",$AP149,$AN149)+IF($G$1="裂石",$AQ149*1.5,0))*(1+$BE149)*(1+$BF149)+(($BG149+$BH149)/2*IF($G$1="牵丝",$AP149,$AN149)+IF($G$1="牵丝",$AQ149*1.5,0))*(1+$BI149)*(1+$BJ149)+(($BK149+$BL149)/2*IF($G$1="破竹",$AP149,$AN149)+IF($G$1="破竹",$AQ149*1.5,0))*(1+$BM149)*(1+$BN149))*(1+$AR149)*$BQ149*$Q149*(1+IF(VLOOKUP($R149,武学奇术!$A:$ZZ,30,FALSE)="蓄力技",$B$21,0))*(1+IF(VLOOKUP($R149,武学奇术!$A:$ZZ,30,FALSE)="派生技",$B$20,0))*(1+$BW149)*(1+$BX149)</f>
        <v>0</v>
      </c>
      <c r="N149" s="46">
        <f>(($AU149*$AN149+$AO149)*(1+$AV149)*(1+$AW149)+($AZ149*IF($G$1="鸣金",$AP149,$AN149)+IF($G$1="鸣金",$AQ149*1.5,0))*(1+$BA149)*(1+$BB149)+($BD149*IF($G$1="裂石",$AP149,$AN149)+IF($G$1="裂石",$AQ149*1.5,0))*(1+$BE149)*(1+$BF149)+($BH149*IF($G$1="牵丝",$AP149,$AN149)+IF($G$1="牵丝",$AQ149*1.5,0))*(1+$BI149)*(1+$BJ149)+($BL149*IF($G$1="破竹",$AP149,$AN149)+IF($G$1="破竹",$AQ149*1.5,0))*(1+$BM149)*(1+$BN149))*(1+$AR149)*$BS149*$Q149*(1+IF(VLOOKUP($R149,武学奇术!$A:$ZZ,30,FALSE)="蓄力技",$B$21,0))*(1+IF(VLOOKUP($R149,武学奇术!$A:$ZZ,30,FALSE)="派生技",$B$20,0))*(1+$BW149)*(1+$BX149)</f>
        <v>0</v>
      </c>
      <c r="O149" s="46">
        <f>((($AT149+$AU149)/2*$AN149+$AO149)*(1+$AV149)*(1+$AW149)+(($AY149+$AZ149)/2*IF($G$1="鸣金",$AP149,$AN149)+IF($G$1="鸣金",$AQ149*1.5,0))*(1+$BA149)*(1+$BB149)+(($BC149+$BD149)/2*IF($G$1="裂石",$AP149,$AN149)+IF($G$1="裂石",$AQ149*1.5,0))*(1+$BE149)*(1+$BF149)+(($BG149+$BH149)/2*IF($G$1="牵丝",$AP149,$AN149)+IF($G$1="牵丝",$AQ149*1.5,0))*(1+$BI149)*(1+$BJ149)+(($BK149+$BL149)/2*IF($G$1="破竹",$AP149,$AN149)+IF($G$1="破竹",$AQ149*1.5,0))*(1+$BM149)*(1+$BN149))*(1+$AR149)*$Q149*(1+IF(VLOOKUP($R149,武学奇术!$A:$ZZ,30,FALSE)="蓄力技",$B$21,0))*(1+IF(VLOOKUP($R149,武学奇术!$A:$ZZ,30,FALSE)="派生技",$B$20,0))*(1+$BW149)*(1+$BX149)</f>
        <v>0</v>
      </c>
      <c r="P149" s="46">
        <f>((($AT149*$AN149+$AO149)*(1+$AV149)*(1+$AW149)+($AY149*IF($G$1="鸣金",$AP149,$AN149)+IF($G$1="鸣金",$AQ149*1.5,0))*(1+$BA149)*(1+$BB149)+($BC149*IF($G$1="裂石",$AP149,$AN149)+IF($G$1="裂石",$AQ149*1.5,0))*(1+$BE149)*(1+$BF149)+($BG149*IF($G$1="牵丝",$AP149,$AN149)+IF($G$1="牵丝",$AQ149*1.5,0))*(1+$BI149)*(1+$BJ149)+($BK149*IF($G$1="破竹",$AP149,$AN149)+IF($G$1="破竹",$AQ149*1.5,0))*(1+$BM149)*(1+$BN149))*(1+$AR149))*$Q149*(1+IF(VLOOKUP($R149,武学奇术!$A:$ZZ,30,FALSE)="蓄力技",$B$21,0))*(1+IF(VLOOKUP($R149,武学奇术!$A:$ZZ,30,FALSE)="派生技",$B$20,0))*(1+$BW149)*(1+$BX149)</f>
        <v>0</v>
      </c>
      <c r="Q149" s="47">
        <f t="shared" si="69"/>
        <v>0</v>
      </c>
      <c r="R149" s="48" t="s">
        <v>195</v>
      </c>
      <c r="S149" s="48" t="s">
        <v>94</v>
      </c>
      <c r="T149" s="48" t="s">
        <v>95</v>
      </c>
      <c r="U149" s="48" t="s">
        <v>79</v>
      </c>
      <c r="V149" s="48" t="s">
        <v>90</v>
      </c>
      <c r="W149" s="48" t="s">
        <v>141</v>
      </c>
      <c r="X149" s="48" t="s">
        <v>80</v>
      </c>
      <c r="Y149" s="48" t="s">
        <v>74</v>
      </c>
      <c r="Z149" s="48" t="s">
        <v>81</v>
      </c>
      <c r="AA149" s="48" t="s">
        <v>80</v>
      </c>
      <c r="AB149" s="48" t="s">
        <v>80</v>
      </c>
      <c r="AC149" s="48" t="s">
        <v>80</v>
      </c>
      <c r="AD149" s="48" t="s">
        <v>80</v>
      </c>
      <c r="AE149" s="48" t="s">
        <v>82</v>
      </c>
      <c r="AF149" s="48" t="s">
        <v>83</v>
      </c>
      <c r="AG149" s="48" t="s">
        <v>84</v>
      </c>
      <c r="AH149" s="48" t="s">
        <v>80</v>
      </c>
      <c r="AI149" s="48" t="s">
        <v>80</v>
      </c>
      <c r="AJ149" s="48" t="s">
        <v>80</v>
      </c>
      <c r="AK149" s="48" t="s">
        <v>80</v>
      </c>
      <c r="AL149" s="48" t="s">
        <v>85</v>
      </c>
      <c r="AM149" t="str">
        <f>VLOOKUP($R149,武学奇术!$A:$ZZ,25,FALSE)</f>
        <v>横刀</v>
      </c>
      <c r="AN149" s="33">
        <f>VLOOKUP($R149,武学奇术!$A:$ZZ,26,FALSE)</f>
        <v>3.6553</v>
      </c>
      <c r="AO149" s="34">
        <f>VLOOKUP($R149,武学奇术!$A:$ZZ,27,FALSE)*(1+IF(OR($AM149=$F$4,$AM149=$F$5),$B$22,0))</f>
        <v>1619.2</v>
      </c>
      <c r="AP149" s="33">
        <f>VLOOKUP($R149,武学奇术!$A:$ZZ,28,FALSE)</f>
        <v>5.4829</v>
      </c>
      <c r="AQ149" s="34">
        <f>VLOOKUP($R149,武学奇术!$A:$ZZ,29,FALSE)*(1+IF(OR($AM149=$F$4,$AM149=$F$5),$B$22,0))</f>
        <v>880</v>
      </c>
      <c r="AR149" s="33" cm="1">
        <f t="array" ref="AR149">$G$3+IFERROR(VLOOKUP($AM149,$F$4:$G$7,2,FALSE),0)+VLOOKUP($R149,武学奇术!$A:$ZZ,2,FALSE)+SUM(_xlfn.XLOOKUP($S149:$AL149,增益!$A:$A,增益!$B:$B,0))</f>
        <v>0.7189</v>
      </c>
      <c r="AS149" s="33" cm="1">
        <f t="array" ref="AS149">VLOOKUP($R149,武学奇术!$A:$ZZ,5,FALSE)+SUM(_xlfn.XLOOKUP($S149:$AL149,增益!$A:$A,增益!$E:$E,0))</f>
        <v>0</v>
      </c>
      <c r="AT149" cm="1">
        <f t="array" ref="AT149">$D$10*(1+$AS149)+VLOOKUP($R149,武学奇术!$A:$ZZ,3,FALSE)+SUM(_xlfn.XLOOKUP($S149:$AL149,增益!$A:$A,增益!$C:$C,0))-$I$2</f>
        <v>4094.7</v>
      </c>
      <c r="AU149" cm="1">
        <f t="array" ref="AU149">$E$10*(1+$AS149)+VLOOKUP($R149,武学奇术!$A:$ZZ,4,FALSE)+SUM(_xlfn.XLOOKUP($S149:$AL149,增益!$A:$A,增益!$D:$D,0))-$I$2</f>
        <v>4094.7</v>
      </c>
      <c r="AV149" s="40" cm="1">
        <f t="array" ref="AV149">IF($F$10-$I$3+VLOOKUP($R149,武学奇术!$A:$ZZ,6,FALSE)+SUM(_xlfn.XLOOKUP($S149:$AL149,增益!$A:$A,增益!$F:$F,0))&gt;0,($F$10-$I$3+VLOOKUP($R149,武学奇术!$A:$ZZ,6,FALSE)+SUM(_xlfn.XLOOKUP($S149:$AL149,增益!$A:$A,增益!$F:$F,0)))/200,($F$10-$I$3+VLOOKUP($R149,武学奇术!$A:$ZZ,6,FALSE)+SUM(_xlfn.XLOOKUP($S149:$AL149,增益!$A:$A,增益!$F:$F,0)))/100)</f>
        <v>0.4284</v>
      </c>
      <c r="AW149" s="40" cm="1">
        <f t="array" ref="AW149">$G$10+VLOOKUP($R149,武学奇术!$A:$ZZ,7,FALSE)+SUM(_xlfn.XLOOKUP($S149:$AL149,增益!$A:$A,增益!$G:$G,0))</f>
        <v>0.14</v>
      </c>
      <c r="AX149" s="33" cm="1">
        <f t="array" ref="AX149">VLOOKUP($R149,武学奇术!$A:$ZZ,8,FALSE)+SUM(_xlfn.XLOOKUP($S149:$AL149,增益!$A:$A,增益!$H:$H,0))</f>
        <v>0</v>
      </c>
      <c r="AY149">
        <f t="shared" si="57"/>
        <v>0</v>
      </c>
      <c r="AZ149">
        <f t="shared" si="58"/>
        <v>0</v>
      </c>
      <c r="BA149" s="40" cm="1">
        <f t="array" ref="BA149">IF($F$11-$I$4+VLOOKUP($R149,武学奇术!$A:$ZZ,9,FALSE)+SUM(_xlfn.XLOOKUP($S149:$AL149,增益!$A:$A,增益!$I:$I,0))&gt;0,($F$11-$I$4+VLOOKUP($R149,武学奇术!$A:$ZZ,9,FALSE)+SUM(_xlfn.XLOOKUP($S149:$AL149,增益!$A:$A,增益!$I:$I,0)))/200,($F$11-$I$4+VLOOKUP($R149,武学奇术!$A:$ZZ,9,FALSE)+SUM(_xlfn.XLOOKUP($S149:$AL149,增益!$A:$A,增益!$I:$I,0)))/100)</f>
        <v>-0.14</v>
      </c>
      <c r="BB149" s="40" cm="1">
        <f t="array" ref="BB149">$G$11+VLOOKUP($R149,武学奇术!$A:$ZZ,10,FALSE)+SUM(_xlfn.XLOOKUP($S149:$AL149,增益!$A:$A,增益!$J:$J,0))</f>
        <v>0.02</v>
      </c>
      <c r="BC149">
        <f t="shared" si="59"/>
        <v>640.3</v>
      </c>
      <c r="BD149">
        <f t="shared" si="60"/>
        <v>1770.1</v>
      </c>
      <c r="BE149" s="40" cm="1">
        <f t="array" ref="BE149">IF($F$12-$I$4+VLOOKUP($R149,武学奇术!$A:$ZZ,11,FALSE)+SUM(_xlfn.XLOOKUP($S149:$AL149,增益!$A:$A,增益!$K:$K,0))&gt;0,($F$12-$I$4+VLOOKUP($R149,武学奇术!$A:$ZZ,11,FALSE)+SUM(_xlfn.XLOOKUP($S149:$AL149,增益!$A:$A,增益!$K:$K,0)))/200,($F$12-$I$4+VLOOKUP($R149,武学奇术!$A:$ZZ,11,FALSE)+SUM(_xlfn.XLOOKUP($S149:$AL149,增益!$A:$A,增益!$K:$K,0)))/100)</f>
        <v>0.17</v>
      </c>
      <c r="BF149" s="40" cm="1">
        <f t="array" ref="BF149">$G$12+VLOOKUP($R149,武学奇术!$A:$ZZ,12,FALSE)+SUM(_xlfn.XLOOKUP($S149:$AL149,增益!$A:$A,增益!$L:$L,0))</f>
        <v>0.29</v>
      </c>
      <c r="BG149">
        <f t="shared" si="61"/>
        <v>0</v>
      </c>
      <c r="BH149">
        <f t="shared" si="62"/>
        <v>0</v>
      </c>
      <c r="BI149" s="40" cm="1">
        <f t="array" ref="BI149">IF($F$13-$I$4+VLOOKUP($R149,武学奇术!$A:$ZZ,13,FALSE)+SUM(_xlfn.XLOOKUP($S149:$AL149,增益!$A:$A,增益!$M:$M,0))&gt;0,($F$13-$I$4+VLOOKUP($R149,武学奇术!$A:$ZZ,13,FALSE)+SUM(_xlfn.XLOOKUP($S149:$AL149,增益!$A:$A,增益!$K:$K,0)))/200,($F$13-$I$4+VLOOKUP($R149,武学奇术!$A:$ZZ,13,FALSE)+SUM(_xlfn.XLOOKUP($S149:$AL149,增益!$A:$A,增益!$M:$M,0)))/100)</f>
        <v>-0.14</v>
      </c>
      <c r="BJ149" s="40" cm="1">
        <f t="array" ref="BJ149">$G$13+VLOOKUP($R149,武学奇术!$A:$ZZ,14,FALSE)+SUM(_xlfn.XLOOKUP($S149:$AL149,增益!$A:$A,增益!$N:$N,0))</f>
        <v>0.02</v>
      </c>
      <c r="BK149">
        <f t="shared" si="63"/>
        <v>0</v>
      </c>
      <c r="BL149">
        <f t="shared" si="64"/>
        <v>0</v>
      </c>
      <c r="BM149" s="40" cm="1">
        <f t="array" ref="BM149">IF($F$14-$I$4+VLOOKUP($R149,武学奇术!$A:$ZZ,15,FALSE)+SUM(_xlfn.XLOOKUP($S149:$AL149,增益!$A:$A,增益!$O:$O,0))&gt;0,($F$14-$I$4+VLOOKUP($R149,武学奇术!$A:$ZZ,15,FALSE)+SUM(_xlfn.XLOOKUP($S149:$AL149,增益!$A:$A,增益!$O:$O,0)))/200,($F$14-$I$4+VLOOKUP($R149,武学奇术!$A:$ZZ,15,FALSE)+SUM(_xlfn.XLOOKUP($S149:$AL149,增益!$A:$A,增益!$O:$O,0)))/100)</f>
        <v>-0.14</v>
      </c>
      <c r="BN149" s="40" cm="1">
        <f t="array" ref="BN149">$G$14+VLOOKUP($R149,武学奇术!$A:$ZZ,16,FALSE)+SUM(_xlfn.XLOOKUP($S149:$AL149,增益!$A:$A,增益!$P:$P,0))</f>
        <v>0.02</v>
      </c>
      <c r="BO149" s="33">
        <f>MIN(IF(VLOOKUP($R149,武学奇术!$A:$ZZ,23,FALSE)=1,100%,$B$8),100%)</f>
        <v>0.9771</v>
      </c>
      <c r="BP149" s="33" cm="1">
        <f t="array" ref="BP149">IF(VLOOKUP($R149,武学奇术!$A:$ZZ,23,FALSE)=1,100%,MIN(80%,$B$9+VLOOKUP($R149,武学奇术!$A:$ZZ,17,FALSE)+SUM(_xlfn.XLOOKUP($S149:$AL149,增益!$A:$A,增益!$Q:$Q,0)))+$B$11+SUM(_xlfn.XLOOKUP($S149:$AL149,增益!$A:$A,增益!$U:$U,0)))*IF(VLOOKUP($R149,武学奇术!$A:$ZZ,24,FALSE)=1,0,1)</f>
        <v>0.8861</v>
      </c>
      <c r="BQ149" s="33" cm="1">
        <f t="array" ref="BQ149">1+$B$13+VLOOKUP($R149,武学奇术!$A:$ZZ,18,FALSE)+SUM(_xlfn.XLOOKUP($S149:$AL149,增益!$A:$A,增益!$R:$R,0))</f>
        <v>1.93</v>
      </c>
      <c r="BR149" s="33" cm="1">
        <f t="array" ref="BR149">IF(VLOOKUP($R149,武学奇术!$A:$ZZ,24,FALSE)=1,100%,MIN(40%,$B$10+VLOOKUP($R149,武学奇术!$A:$ZZ,19,FALSE)+SUM(_xlfn.XLOOKUP($S149:$AL149,增益!$A:$A,增益!$S:$S,0)))+$B$12+SUM(_xlfn.XLOOKUP($S149:$AL149,增益!$A:$A,增益!$V:$V,0)))*IF(VLOOKUP($R149,武学奇术!$A:$ZZ,23,FALSE)=1,0,1)</f>
        <v>0.0913</v>
      </c>
      <c r="BS149" s="33" cm="1">
        <f t="array" ref="BS149">1+$B$14+VLOOKUP($R149,武学奇术!$A:$ZZ,20,FALSE)+SUM(_xlfn.XLOOKUP($S149:$AL149,增益!$A:$A,增益!$T:$T,0))</f>
        <v>1.35</v>
      </c>
      <c r="BT149" s="33">
        <f t="shared" si="65"/>
        <v>0.86580831</v>
      </c>
      <c r="BU149" s="33">
        <f t="shared" si="66"/>
        <v>0.02208246</v>
      </c>
      <c r="BV149" s="33">
        <f>IF(VLOOKUP($R149,武学奇术!$A:$ZZ,22,FALSE)=1,0,(1-$BO149))*(1-$BR149)</f>
        <v>0.02080923</v>
      </c>
      <c r="BW149" s="33" cm="1">
        <f t="array" ref="BW149">SUM(_xlfn.XLOOKUP($S149:$AL149,增益!$A:$A,增益!$W:$W,0))+$I$5</f>
        <v>0.11</v>
      </c>
      <c r="BX149" s="33" cm="1">
        <f t="array" ref="BX149">VLOOKUP($R149,武学奇术!$A:$ZZ,32,FALSE)+SUM(_xlfn.XLOOKUP($S149:$AL149,增益!$A:$A,增益!$X:$X,0))</f>
        <v>0</v>
      </c>
    </row>
    <row r="150" spans="1:76">
      <c r="A150" s="4" t="s">
        <v>189</v>
      </c>
      <c r="B150" s="4">
        <v>0.8</v>
      </c>
      <c r="D150" s="47"/>
      <c r="E150" s="47"/>
      <c r="L150" s="46">
        <f t="shared" si="56"/>
        <v>0</v>
      </c>
      <c r="M150" s="46">
        <f>((($AT150+$AU150)/2*$AN150+$AO150)*(1+$AV150)*(1+$AW150)+(($AY150+$AZ150)/2*IF($G$1="鸣金",$AP150,$AN150)+IF($G$1="鸣金",$AQ150*1.5,0))*(1+$BA150)*(1+$BB150)+(($BC150+$BD150)/2*IF($G$1="裂石",$AP150,$AN150)+IF($G$1="裂石",$AQ150*1.5,0))*(1+$BE150)*(1+$BF150)+(($BG150+$BH150)/2*IF($G$1="牵丝",$AP150,$AN150)+IF($G$1="牵丝",$AQ150*1.5,0))*(1+$BI150)*(1+$BJ150)+(($BK150+$BL150)/2*IF($G$1="破竹",$AP150,$AN150)+IF($G$1="破竹",$AQ150*1.5,0))*(1+$BM150)*(1+$BN150))*(1+$AR150)*$BQ150*$Q150*(1+IF(VLOOKUP($R150,武学奇术!$A:$ZZ,30,FALSE)="蓄力技",$B$21,0))*(1+IF(VLOOKUP($R150,武学奇术!$A:$ZZ,30,FALSE)="派生技",$B$20,0))*(1+$BW150)*(1+$BX150)</f>
        <v>0</v>
      </c>
      <c r="N150" s="46">
        <f>(($AU150*$AN150+$AO150)*(1+$AV150)*(1+$AW150)+($AZ150*IF($G$1="鸣金",$AP150,$AN150)+IF($G$1="鸣金",$AQ150*1.5,0))*(1+$BA150)*(1+$BB150)+($BD150*IF($G$1="裂石",$AP150,$AN150)+IF($G$1="裂石",$AQ150*1.5,0))*(1+$BE150)*(1+$BF150)+($BH150*IF($G$1="牵丝",$AP150,$AN150)+IF($G$1="牵丝",$AQ150*1.5,0))*(1+$BI150)*(1+$BJ150)+($BL150*IF($G$1="破竹",$AP150,$AN150)+IF($G$1="破竹",$AQ150*1.5,0))*(1+$BM150)*(1+$BN150))*(1+$AR150)*$BS150*$Q150*(1+IF(VLOOKUP($R150,武学奇术!$A:$ZZ,30,FALSE)="蓄力技",$B$21,0))*(1+IF(VLOOKUP($R150,武学奇术!$A:$ZZ,30,FALSE)="派生技",$B$20,0))*(1+$BW150)*(1+$BX150)</f>
        <v>0</v>
      </c>
      <c r="O150" s="46">
        <f>((($AT150+$AU150)/2*$AN150+$AO150)*(1+$AV150)*(1+$AW150)+(($AY150+$AZ150)/2*IF($G$1="鸣金",$AP150,$AN150)+IF($G$1="鸣金",$AQ150*1.5,0))*(1+$BA150)*(1+$BB150)+(($BC150+$BD150)/2*IF($G$1="裂石",$AP150,$AN150)+IF($G$1="裂石",$AQ150*1.5,0))*(1+$BE150)*(1+$BF150)+(($BG150+$BH150)/2*IF($G$1="牵丝",$AP150,$AN150)+IF($G$1="牵丝",$AQ150*1.5,0))*(1+$BI150)*(1+$BJ150)+(($BK150+$BL150)/2*IF($G$1="破竹",$AP150,$AN150)+IF($G$1="破竹",$AQ150*1.5,0))*(1+$BM150)*(1+$BN150))*(1+$AR150)*$Q150*(1+IF(VLOOKUP($R150,武学奇术!$A:$ZZ,30,FALSE)="蓄力技",$B$21,0))*(1+IF(VLOOKUP($R150,武学奇术!$A:$ZZ,30,FALSE)="派生技",$B$20,0))*(1+$BW150)*(1+$BX150)</f>
        <v>0</v>
      </c>
      <c r="P150" s="46">
        <f>((($AT150*$AN150+$AO150)*(1+$AV150)*(1+$AW150)+($AY150*IF($G$1="鸣金",$AP150,$AN150)+IF($G$1="鸣金",$AQ150*1.5,0))*(1+$BA150)*(1+$BB150)+($BC150*IF($G$1="裂石",$AP150,$AN150)+IF($G$1="裂石",$AQ150*1.5,0))*(1+$BE150)*(1+$BF150)+($BG150*IF($G$1="牵丝",$AP150,$AN150)+IF($G$1="牵丝",$AQ150*1.5,0))*(1+$BI150)*(1+$BJ150)+($BK150*IF($G$1="破竹",$AP150,$AN150)+IF($G$1="破竹",$AQ150*1.5,0))*(1+$BM150)*(1+$BN150))*(1+$AR150))*$Q150*(1+IF(VLOOKUP($R150,武学奇术!$A:$ZZ,30,FALSE)="蓄力技",$B$21,0))*(1+IF(VLOOKUP($R150,武学奇术!$A:$ZZ,30,FALSE)="派生技",$B$20,0))*(1+$BW150)*(1+$BX150)</f>
        <v>0</v>
      </c>
      <c r="Q150" s="47">
        <f t="shared" si="69"/>
        <v>0</v>
      </c>
      <c r="R150" s="48" t="s">
        <v>196</v>
      </c>
      <c r="S150" s="48" t="s">
        <v>94</v>
      </c>
      <c r="T150" s="48" t="s">
        <v>95</v>
      </c>
      <c r="U150" s="48" t="s">
        <v>79</v>
      </c>
      <c r="V150" s="48" t="s">
        <v>90</v>
      </c>
      <c r="W150" s="48" t="s">
        <v>141</v>
      </c>
      <c r="X150" s="48" t="s">
        <v>80</v>
      </c>
      <c r="Y150" s="48" t="s">
        <v>74</v>
      </c>
      <c r="Z150" s="48" t="s">
        <v>81</v>
      </c>
      <c r="AA150" s="48" t="s">
        <v>80</v>
      </c>
      <c r="AB150" s="48" t="s">
        <v>80</v>
      </c>
      <c r="AC150" s="48" t="s">
        <v>80</v>
      </c>
      <c r="AD150" s="48" t="s">
        <v>80</v>
      </c>
      <c r="AE150" s="48" t="s">
        <v>82</v>
      </c>
      <c r="AF150" s="48" t="s">
        <v>83</v>
      </c>
      <c r="AG150" s="48" t="s">
        <v>84</v>
      </c>
      <c r="AH150" s="48" t="s">
        <v>80</v>
      </c>
      <c r="AI150" s="48" t="s">
        <v>80</v>
      </c>
      <c r="AJ150" s="48" t="s">
        <v>80</v>
      </c>
      <c r="AK150" s="48" t="s">
        <v>80</v>
      </c>
      <c r="AL150" s="48" t="s">
        <v>85</v>
      </c>
      <c r="AM150" t="str">
        <f>VLOOKUP($R150,武学奇术!$A:$ZZ,25,FALSE)</f>
        <v>横刀</v>
      </c>
      <c r="AN150" s="33">
        <f>VLOOKUP($R150,武学奇术!$A:$ZZ,26,FALSE)</f>
        <v>1.47</v>
      </c>
      <c r="AO150" s="34">
        <f>VLOOKUP($R150,武学奇术!$A:$ZZ,27,FALSE)*(1+IF(OR($AM150=$F$4,$AM150=$F$5),$B$22,0))</f>
        <v>0</v>
      </c>
      <c r="AP150" s="33">
        <f>VLOOKUP($R150,武学奇术!$A:$ZZ,28,FALSE)</f>
        <v>2.205</v>
      </c>
      <c r="AQ150" s="34">
        <f>VLOOKUP($R150,武学奇术!$A:$ZZ,29,FALSE)*(1+IF(OR($AM150=$F$4,$AM150=$F$5),$B$22,0))</f>
        <v>0</v>
      </c>
      <c r="AR150" s="33" cm="1">
        <f t="array" ref="AR150">$G$3+IFERROR(VLOOKUP($AM150,$F$4:$G$7,2,FALSE),0)+VLOOKUP($R150,武学奇术!$A:$ZZ,2,FALSE)+SUM(_xlfn.XLOOKUP($S150:$AL150,增益!$A:$A,增益!$B:$B,0))</f>
        <v>0.6189</v>
      </c>
      <c r="AS150" s="33" cm="1">
        <f t="array" ref="AS150">VLOOKUP($R150,武学奇术!$A:$ZZ,5,FALSE)+SUM(_xlfn.XLOOKUP($S150:$AL150,增益!$A:$A,增益!$E:$E,0))</f>
        <v>0</v>
      </c>
      <c r="AT150" cm="1">
        <f t="array" ref="AT150">$D$10*(1+$AS150)+VLOOKUP($R150,武学奇术!$A:$ZZ,3,FALSE)+SUM(_xlfn.XLOOKUP($S150:$AL150,增益!$A:$A,增益!$C:$C,0))-$I$2</f>
        <v>4094.7</v>
      </c>
      <c r="AU150" cm="1">
        <f t="array" ref="AU150">$E$10*(1+$AS150)+VLOOKUP($R150,武学奇术!$A:$ZZ,4,FALSE)+SUM(_xlfn.XLOOKUP($S150:$AL150,增益!$A:$A,增益!$D:$D,0))-$I$2</f>
        <v>4094.7</v>
      </c>
      <c r="AV150" s="40" cm="1">
        <f t="array" ref="AV150">IF($F$10-$I$3+VLOOKUP($R150,武学奇术!$A:$ZZ,6,FALSE)+SUM(_xlfn.XLOOKUP($S150:$AL150,增益!$A:$A,增益!$F:$F,0))&gt;0,($F$10-$I$3+VLOOKUP($R150,武学奇术!$A:$ZZ,6,FALSE)+SUM(_xlfn.XLOOKUP($S150:$AL150,增益!$A:$A,增益!$F:$F,0)))/200,($F$10-$I$3+VLOOKUP($R150,武学奇术!$A:$ZZ,6,FALSE)+SUM(_xlfn.XLOOKUP($S150:$AL150,增益!$A:$A,增益!$F:$F,0)))/100)</f>
        <v>0.4284</v>
      </c>
      <c r="AW150" s="40" cm="1">
        <f t="array" ref="AW150">$G$10+VLOOKUP($R150,武学奇术!$A:$ZZ,7,FALSE)+SUM(_xlfn.XLOOKUP($S150:$AL150,增益!$A:$A,增益!$G:$G,0))</f>
        <v>0.14</v>
      </c>
      <c r="AX150" s="33" cm="1">
        <f t="array" ref="AX150">VLOOKUP($R150,武学奇术!$A:$ZZ,8,FALSE)+SUM(_xlfn.XLOOKUP($S150:$AL150,增益!$A:$A,增益!$H:$H,0))</f>
        <v>0</v>
      </c>
      <c r="AY150">
        <f t="shared" si="57"/>
        <v>0</v>
      </c>
      <c r="AZ150">
        <f t="shared" si="58"/>
        <v>0</v>
      </c>
      <c r="BA150" s="40" cm="1">
        <f t="array" ref="BA150">IF($F$11-$I$4+VLOOKUP($R150,武学奇术!$A:$ZZ,9,FALSE)+SUM(_xlfn.XLOOKUP($S150:$AL150,增益!$A:$A,增益!$I:$I,0))&gt;0,($F$11-$I$4+VLOOKUP($R150,武学奇术!$A:$ZZ,9,FALSE)+SUM(_xlfn.XLOOKUP($S150:$AL150,增益!$A:$A,增益!$I:$I,0)))/200,($F$11-$I$4+VLOOKUP($R150,武学奇术!$A:$ZZ,9,FALSE)+SUM(_xlfn.XLOOKUP($S150:$AL150,增益!$A:$A,增益!$I:$I,0)))/100)</f>
        <v>-0.14</v>
      </c>
      <c r="BB150" s="40" cm="1">
        <f t="array" ref="BB150">$G$11+VLOOKUP($R150,武学奇术!$A:$ZZ,10,FALSE)+SUM(_xlfn.XLOOKUP($S150:$AL150,增益!$A:$A,增益!$J:$J,0))</f>
        <v>0.02</v>
      </c>
      <c r="BC150">
        <f t="shared" si="59"/>
        <v>640.3</v>
      </c>
      <c r="BD150">
        <f t="shared" si="60"/>
        <v>1770.1</v>
      </c>
      <c r="BE150" s="40" cm="1">
        <f t="array" ref="BE150">IF($F$12-$I$4+VLOOKUP($R150,武学奇术!$A:$ZZ,11,FALSE)+SUM(_xlfn.XLOOKUP($S150:$AL150,增益!$A:$A,增益!$K:$K,0))&gt;0,($F$12-$I$4+VLOOKUP($R150,武学奇术!$A:$ZZ,11,FALSE)+SUM(_xlfn.XLOOKUP($S150:$AL150,增益!$A:$A,增益!$K:$K,0)))/200,($F$12-$I$4+VLOOKUP($R150,武学奇术!$A:$ZZ,11,FALSE)+SUM(_xlfn.XLOOKUP($S150:$AL150,增益!$A:$A,增益!$K:$K,0)))/100)</f>
        <v>0.17</v>
      </c>
      <c r="BF150" s="40" cm="1">
        <f t="array" ref="BF150">$G$12+VLOOKUP($R150,武学奇术!$A:$ZZ,12,FALSE)+SUM(_xlfn.XLOOKUP($S150:$AL150,增益!$A:$A,增益!$L:$L,0))</f>
        <v>0.29</v>
      </c>
      <c r="BG150">
        <f t="shared" si="61"/>
        <v>0</v>
      </c>
      <c r="BH150">
        <f t="shared" si="62"/>
        <v>0</v>
      </c>
      <c r="BI150" s="40" cm="1">
        <f t="array" ref="BI150">IF($F$13-$I$4+VLOOKUP($R150,武学奇术!$A:$ZZ,13,FALSE)+SUM(_xlfn.XLOOKUP($S150:$AL150,增益!$A:$A,增益!$M:$M,0))&gt;0,($F$13-$I$4+VLOOKUP($R150,武学奇术!$A:$ZZ,13,FALSE)+SUM(_xlfn.XLOOKUP($S150:$AL150,增益!$A:$A,增益!$K:$K,0)))/200,($F$13-$I$4+VLOOKUP($R150,武学奇术!$A:$ZZ,13,FALSE)+SUM(_xlfn.XLOOKUP($S150:$AL150,增益!$A:$A,增益!$M:$M,0)))/100)</f>
        <v>-0.14</v>
      </c>
      <c r="BJ150" s="40" cm="1">
        <f t="array" ref="BJ150">$G$13+VLOOKUP($R150,武学奇术!$A:$ZZ,14,FALSE)+SUM(_xlfn.XLOOKUP($S150:$AL150,增益!$A:$A,增益!$N:$N,0))</f>
        <v>0.02</v>
      </c>
      <c r="BK150">
        <f t="shared" si="63"/>
        <v>0</v>
      </c>
      <c r="BL150">
        <f t="shared" si="64"/>
        <v>0</v>
      </c>
      <c r="BM150" s="40" cm="1">
        <f t="array" ref="BM150">IF($F$14-$I$4+VLOOKUP($R150,武学奇术!$A:$ZZ,15,FALSE)+SUM(_xlfn.XLOOKUP($S150:$AL150,增益!$A:$A,增益!$O:$O,0))&gt;0,($F$14-$I$4+VLOOKUP($R150,武学奇术!$A:$ZZ,15,FALSE)+SUM(_xlfn.XLOOKUP($S150:$AL150,增益!$A:$A,增益!$O:$O,0)))/200,($F$14-$I$4+VLOOKUP($R150,武学奇术!$A:$ZZ,15,FALSE)+SUM(_xlfn.XLOOKUP($S150:$AL150,增益!$A:$A,增益!$O:$O,0)))/100)</f>
        <v>-0.14</v>
      </c>
      <c r="BN150" s="40" cm="1">
        <f t="array" ref="BN150">$G$14+VLOOKUP($R150,武学奇术!$A:$ZZ,16,FALSE)+SUM(_xlfn.XLOOKUP($S150:$AL150,增益!$A:$A,增益!$P:$P,0))</f>
        <v>0.02</v>
      </c>
      <c r="BO150" s="33">
        <f>MIN(IF(VLOOKUP($R150,武学奇术!$A:$ZZ,23,FALSE)=1,100%,$B$8),100%)</f>
        <v>0.9771</v>
      </c>
      <c r="BP150" s="33" cm="1">
        <f t="array" ref="BP150">IF(VLOOKUP($R150,武学奇术!$A:$ZZ,23,FALSE)=1,100%,MIN(80%,$B$9+VLOOKUP($R150,武学奇术!$A:$ZZ,17,FALSE)+SUM(_xlfn.XLOOKUP($S150:$AL150,增益!$A:$A,增益!$Q:$Q,0)))+$B$11+SUM(_xlfn.XLOOKUP($S150:$AL150,增益!$A:$A,增益!$U:$U,0)))*IF(VLOOKUP($R150,武学奇术!$A:$ZZ,24,FALSE)=1,0,1)</f>
        <v>0.8861</v>
      </c>
      <c r="BQ150" s="33" cm="1">
        <f t="array" ref="BQ150">1+$B$13+VLOOKUP($R150,武学奇术!$A:$ZZ,18,FALSE)+SUM(_xlfn.XLOOKUP($S150:$AL150,增益!$A:$A,增益!$R:$R,0))</f>
        <v>1.93</v>
      </c>
      <c r="BR150" s="33" cm="1">
        <f t="array" ref="BR150">IF(VLOOKUP($R150,武学奇术!$A:$ZZ,24,FALSE)=1,100%,MIN(40%,$B$10+VLOOKUP($R150,武学奇术!$A:$ZZ,19,FALSE)+SUM(_xlfn.XLOOKUP($S150:$AL150,增益!$A:$A,增益!$S:$S,0)))+$B$12+SUM(_xlfn.XLOOKUP($S150:$AL150,增益!$A:$A,增益!$V:$V,0)))*IF(VLOOKUP($R150,武学奇术!$A:$ZZ,23,FALSE)=1,0,1)</f>
        <v>0.0913</v>
      </c>
      <c r="BS150" s="33" cm="1">
        <f t="array" ref="BS150">1+$B$14+VLOOKUP($R150,武学奇术!$A:$ZZ,20,FALSE)+SUM(_xlfn.XLOOKUP($S150:$AL150,增益!$A:$A,增益!$T:$T,0))</f>
        <v>1.35</v>
      </c>
      <c r="BT150" s="33">
        <f t="shared" si="65"/>
        <v>0.86580831</v>
      </c>
      <c r="BU150" s="33">
        <f t="shared" si="66"/>
        <v>0.02208246</v>
      </c>
      <c r="BV150" s="33">
        <f>IF(VLOOKUP($R150,武学奇术!$A:$ZZ,22,FALSE)=1,0,(1-$BO150))*(1-$BR150)</f>
        <v>0.02080923</v>
      </c>
      <c r="BW150" s="33" cm="1">
        <f t="array" ref="BW150">SUM(_xlfn.XLOOKUP($S150:$AL150,增益!$A:$A,增益!$W:$W,0))+$I$5</f>
        <v>0.11</v>
      </c>
      <c r="BX150" s="33" cm="1">
        <f t="array" ref="BX150">VLOOKUP($R150,武学奇术!$A:$ZZ,32,FALSE)+SUM(_xlfn.XLOOKUP($S150:$AL150,增益!$A:$A,增益!$X:$X,0))</f>
        <v>0.4</v>
      </c>
    </row>
    <row r="151" spans="1:76">
      <c r="A151" s="4" t="s">
        <v>190</v>
      </c>
      <c r="B151" s="4">
        <v>1.1</v>
      </c>
      <c r="D151" s="47"/>
      <c r="E151" s="47"/>
      <c r="L151" s="46">
        <f t="shared" si="56"/>
        <v>0</v>
      </c>
      <c r="M151" s="46">
        <f>((($AT151+$AU151)/2*$AN151+$AO151)*(1+$AV151)*(1+$AW151)+(($AY151+$AZ151)/2*IF($G$1="鸣金",$AP151,$AN151)+IF($G$1="鸣金",$AQ151*1.5,0))*(1+$BA151)*(1+$BB151)+(($BC151+$BD151)/2*IF($G$1="裂石",$AP151,$AN151)+IF($G$1="裂石",$AQ151*1.5,0))*(1+$BE151)*(1+$BF151)+(($BG151+$BH151)/2*IF($G$1="牵丝",$AP151,$AN151)+IF($G$1="牵丝",$AQ151*1.5,0))*(1+$BI151)*(1+$BJ151)+(($BK151+$BL151)/2*IF($G$1="破竹",$AP151,$AN151)+IF($G$1="破竹",$AQ151*1.5,0))*(1+$BM151)*(1+$BN151))*(1+$AR151)*$BQ151*$Q151*(1+IF(VLOOKUP($R151,武学奇术!$A:$ZZ,30,FALSE)="蓄力技",$B$21,0))*(1+IF(VLOOKUP($R151,武学奇术!$A:$ZZ,30,FALSE)="派生技",$B$20,0))*(1+$BW151)*(1+$BX151)</f>
        <v>0</v>
      </c>
      <c r="N151" s="46">
        <f>(($AU151*$AN151+$AO151)*(1+$AV151)*(1+$AW151)+($AZ151*IF($G$1="鸣金",$AP151,$AN151)+IF($G$1="鸣金",$AQ151*1.5,0))*(1+$BA151)*(1+$BB151)+($BD151*IF($G$1="裂石",$AP151,$AN151)+IF($G$1="裂石",$AQ151*1.5,0))*(1+$BE151)*(1+$BF151)+($BH151*IF($G$1="牵丝",$AP151,$AN151)+IF($G$1="牵丝",$AQ151*1.5,0))*(1+$BI151)*(1+$BJ151)+($BL151*IF($G$1="破竹",$AP151,$AN151)+IF($G$1="破竹",$AQ151*1.5,0))*(1+$BM151)*(1+$BN151))*(1+$AR151)*$BS151*$Q151*(1+IF(VLOOKUP($R151,武学奇术!$A:$ZZ,30,FALSE)="蓄力技",$B$21,0))*(1+IF(VLOOKUP($R151,武学奇术!$A:$ZZ,30,FALSE)="派生技",$B$20,0))*(1+$BW151)*(1+$BX151)</f>
        <v>0</v>
      </c>
      <c r="O151" s="46">
        <f>((($AT151+$AU151)/2*$AN151+$AO151)*(1+$AV151)*(1+$AW151)+(($AY151+$AZ151)/2*IF($G$1="鸣金",$AP151,$AN151)+IF($G$1="鸣金",$AQ151*1.5,0))*(1+$BA151)*(1+$BB151)+(($BC151+$BD151)/2*IF($G$1="裂石",$AP151,$AN151)+IF($G$1="裂石",$AQ151*1.5,0))*(1+$BE151)*(1+$BF151)+(($BG151+$BH151)/2*IF($G$1="牵丝",$AP151,$AN151)+IF($G$1="牵丝",$AQ151*1.5,0))*(1+$BI151)*(1+$BJ151)+(($BK151+$BL151)/2*IF($G$1="破竹",$AP151,$AN151)+IF($G$1="破竹",$AQ151*1.5,0))*(1+$BM151)*(1+$BN151))*(1+$AR151)*$Q151*(1+IF(VLOOKUP($R151,武学奇术!$A:$ZZ,30,FALSE)="蓄力技",$B$21,0))*(1+IF(VLOOKUP($R151,武学奇术!$A:$ZZ,30,FALSE)="派生技",$B$20,0))*(1+$BW151)*(1+$BX151)</f>
        <v>0</v>
      </c>
      <c r="P151" s="46">
        <f>((($AT151*$AN151+$AO151)*(1+$AV151)*(1+$AW151)+($AY151*IF($G$1="鸣金",$AP151,$AN151)+IF($G$1="鸣金",$AQ151*1.5,0))*(1+$BA151)*(1+$BB151)+($BC151*IF($G$1="裂石",$AP151,$AN151)+IF($G$1="裂石",$AQ151*1.5,0))*(1+$BE151)*(1+$BF151)+($BG151*IF($G$1="牵丝",$AP151,$AN151)+IF($G$1="牵丝",$AQ151*1.5,0))*(1+$BI151)*(1+$BJ151)+($BK151*IF($G$1="破竹",$AP151,$AN151)+IF($G$1="破竹",$AQ151*1.5,0))*(1+$BM151)*(1+$BN151))*(1+$AR151))*$Q151*(1+IF(VLOOKUP($R151,武学奇术!$A:$ZZ,30,FALSE)="蓄力技",$B$21,0))*(1+IF(VLOOKUP($R151,武学奇术!$A:$ZZ,30,FALSE)="派生技",$B$20,0))*(1+$BW151)*(1+$BX151)</f>
        <v>0</v>
      </c>
      <c r="Q151" s="47">
        <f t="shared" si="69"/>
        <v>0</v>
      </c>
      <c r="R151" s="48" t="s">
        <v>197</v>
      </c>
      <c r="S151" s="48" t="s">
        <v>99</v>
      </c>
      <c r="T151" s="48" t="s">
        <v>95</v>
      </c>
      <c r="U151" s="48" t="s">
        <v>79</v>
      </c>
      <c r="V151" s="48" t="s">
        <v>90</v>
      </c>
      <c r="W151" s="48" t="s">
        <v>91</v>
      </c>
      <c r="X151" s="48" t="s">
        <v>80</v>
      </c>
      <c r="Y151" s="48" t="s">
        <v>80</v>
      </c>
      <c r="Z151" s="48" t="s">
        <v>81</v>
      </c>
      <c r="AA151" s="48" t="s">
        <v>80</v>
      </c>
      <c r="AB151" s="48" t="s">
        <v>80</v>
      </c>
      <c r="AC151" s="48" t="s">
        <v>80</v>
      </c>
      <c r="AD151" s="48" t="s">
        <v>80</v>
      </c>
      <c r="AE151" s="48" t="s">
        <v>82</v>
      </c>
      <c r="AF151" s="48" t="s">
        <v>83</v>
      </c>
      <c r="AG151" s="48" t="s">
        <v>84</v>
      </c>
      <c r="AH151" s="48" t="s">
        <v>80</v>
      </c>
      <c r="AI151" s="48" t="s">
        <v>80</v>
      </c>
      <c r="AJ151" s="48" t="s">
        <v>80</v>
      </c>
      <c r="AK151" s="48" t="s">
        <v>80</v>
      </c>
      <c r="AL151" s="48" t="s">
        <v>85</v>
      </c>
      <c r="AM151" t="str">
        <f>VLOOKUP($R151,武学奇术!$A:$ZZ,25,FALSE)</f>
        <v>横刀</v>
      </c>
      <c r="AN151" s="33">
        <f>VLOOKUP($R151,武学奇术!$A:$ZZ,26,FALSE)</f>
        <v>2.4495</v>
      </c>
      <c r="AO151" s="34">
        <f>VLOOKUP($R151,武学奇术!$A:$ZZ,27,FALSE)*(1+IF(OR($AM151=$F$4,$AM151=$F$5),$B$22,0))</f>
        <v>1083.2</v>
      </c>
      <c r="AP151" s="33">
        <f>VLOOKUP($R151,武学奇术!$A:$ZZ,28,FALSE)</f>
        <v>3.6743</v>
      </c>
      <c r="AQ151" s="34">
        <f>VLOOKUP($R151,武学奇术!$A:$ZZ,29,FALSE)*(1+IF(OR($AM151=$F$4,$AM151=$F$5),$B$22,0))</f>
        <v>588.8</v>
      </c>
      <c r="AR151" s="33" cm="1">
        <f t="array" ref="AR151">$G$3+IFERROR(VLOOKUP($AM151,$F$4:$G$7,2,FALSE),0)+VLOOKUP($R151,武学奇术!$A:$ZZ,2,FALSE)+SUM(_xlfn.XLOOKUP($S151:$AL151,增益!$A:$A,增益!$B:$B,0))</f>
        <v>0.5489</v>
      </c>
      <c r="AS151" s="33" cm="1">
        <f t="array" ref="AS151">VLOOKUP($R151,武学奇术!$A:$ZZ,5,FALSE)+SUM(_xlfn.XLOOKUP($S151:$AL151,增益!$A:$A,增益!$E:$E,0))</f>
        <v>0</v>
      </c>
      <c r="AT151" cm="1">
        <f t="array" ref="AT151">$D$10*(1+$AS151)+VLOOKUP($R151,武学奇术!$A:$ZZ,3,FALSE)+SUM(_xlfn.XLOOKUP($S151:$AL151,增益!$A:$A,增益!$C:$C,0))-$I$2</f>
        <v>4094.7</v>
      </c>
      <c r="AU151" cm="1">
        <f t="array" ref="AU151">$E$10*(1+$AS151)+VLOOKUP($R151,武学奇术!$A:$ZZ,4,FALSE)+SUM(_xlfn.XLOOKUP($S151:$AL151,增益!$A:$A,增益!$D:$D,0))-$I$2</f>
        <v>4094.7</v>
      </c>
      <c r="AV151" s="40" cm="1">
        <f t="array" ref="AV151">IF($F$10-$I$3+VLOOKUP($R151,武学奇术!$A:$ZZ,6,FALSE)+SUM(_xlfn.XLOOKUP($S151:$AL151,增益!$A:$A,增益!$F:$F,0))&gt;0,($F$10-$I$3+VLOOKUP($R151,武学奇术!$A:$ZZ,6,FALSE)+SUM(_xlfn.XLOOKUP($S151:$AL151,增益!$A:$A,增益!$F:$F,0)))/200,($F$10-$I$3+VLOOKUP($R151,武学奇术!$A:$ZZ,6,FALSE)+SUM(_xlfn.XLOOKUP($S151:$AL151,增益!$A:$A,增益!$F:$F,0)))/100)</f>
        <v>0.4134</v>
      </c>
      <c r="AW151" s="40" cm="1">
        <f t="array" ref="AW151">$G$10+VLOOKUP($R151,武学奇术!$A:$ZZ,7,FALSE)+SUM(_xlfn.XLOOKUP($S151:$AL151,增益!$A:$A,增益!$G:$G,0))</f>
        <v>0.14</v>
      </c>
      <c r="AX151" s="33" cm="1">
        <f t="array" ref="AX151">VLOOKUP($R151,武学奇术!$A:$ZZ,8,FALSE)+SUM(_xlfn.XLOOKUP($S151:$AL151,增益!$A:$A,增益!$H:$H,0))</f>
        <v>0</v>
      </c>
      <c r="AY151">
        <f t="shared" si="57"/>
        <v>0</v>
      </c>
      <c r="AZ151">
        <f t="shared" si="58"/>
        <v>0</v>
      </c>
      <c r="BA151" s="40" cm="1">
        <f t="array" ref="BA151">IF($F$11-$I$4+VLOOKUP($R151,武学奇术!$A:$ZZ,9,FALSE)+SUM(_xlfn.XLOOKUP($S151:$AL151,增益!$A:$A,增益!$I:$I,0))&gt;0,($F$11-$I$4+VLOOKUP($R151,武学奇术!$A:$ZZ,9,FALSE)+SUM(_xlfn.XLOOKUP($S151:$AL151,增益!$A:$A,增益!$I:$I,0)))/200,($F$11-$I$4+VLOOKUP($R151,武学奇术!$A:$ZZ,9,FALSE)+SUM(_xlfn.XLOOKUP($S151:$AL151,增益!$A:$A,增益!$I:$I,0)))/100)</f>
        <v>-0.14</v>
      </c>
      <c r="BB151" s="40" cm="1">
        <f t="array" ref="BB151">$G$11+VLOOKUP($R151,武学奇术!$A:$ZZ,10,FALSE)+SUM(_xlfn.XLOOKUP($S151:$AL151,增益!$A:$A,增益!$J:$J,0))</f>
        <v>0.02</v>
      </c>
      <c r="BC151">
        <f t="shared" si="59"/>
        <v>640.3</v>
      </c>
      <c r="BD151">
        <f t="shared" si="60"/>
        <v>1770.1</v>
      </c>
      <c r="BE151" s="40" cm="1">
        <f t="array" ref="BE151">IF($F$12-$I$4+VLOOKUP($R151,武学奇术!$A:$ZZ,11,FALSE)+SUM(_xlfn.XLOOKUP($S151:$AL151,增益!$A:$A,增益!$K:$K,0))&gt;0,($F$12-$I$4+VLOOKUP($R151,武学奇术!$A:$ZZ,11,FALSE)+SUM(_xlfn.XLOOKUP($S151:$AL151,增益!$A:$A,增益!$K:$K,0)))/200,($F$12-$I$4+VLOOKUP($R151,武学奇术!$A:$ZZ,11,FALSE)+SUM(_xlfn.XLOOKUP($S151:$AL151,增益!$A:$A,增益!$K:$K,0)))/100)</f>
        <v>0.17</v>
      </c>
      <c r="BF151" s="40" cm="1">
        <f t="array" ref="BF151">$G$12+VLOOKUP($R151,武学奇术!$A:$ZZ,12,FALSE)+SUM(_xlfn.XLOOKUP($S151:$AL151,增益!$A:$A,增益!$L:$L,0))</f>
        <v>0.29</v>
      </c>
      <c r="BG151">
        <f t="shared" si="61"/>
        <v>0</v>
      </c>
      <c r="BH151">
        <f t="shared" si="62"/>
        <v>0</v>
      </c>
      <c r="BI151" s="40" cm="1">
        <f t="array" ref="BI151">IF($F$13-$I$4+VLOOKUP($R151,武学奇术!$A:$ZZ,13,FALSE)+SUM(_xlfn.XLOOKUP($S151:$AL151,增益!$A:$A,增益!$M:$M,0))&gt;0,($F$13-$I$4+VLOOKUP($R151,武学奇术!$A:$ZZ,13,FALSE)+SUM(_xlfn.XLOOKUP($S151:$AL151,增益!$A:$A,增益!$K:$K,0)))/200,($F$13-$I$4+VLOOKUP($R151,武学奇术!$A:$ZZ,13,FALSE)+SUM(_xlfn.XLOOKUP($S151:$AL151,增益!$A:$A,增益!$M:$M,0)))/100)</f>
        <v>-0.14</v>
      </c>
      <c r="BJ151" s="40" cm="1">
        <f t="array" ref="BJ151">$G$13+VLOOKUP($R151,武学奇术!$A:$ZZ,14,FALSE)+SUM(_xlfn.XLOOKUP($S151:$AL151,增益!$A:$A,增益!$N:$N,0))</f>
        <v>0.02</v>
      </c>
      <c r="BK151">
        <f t="shared" si="63"/>
        <v>0</v>
      </c>
      <c r="BL151">
        <f t="shared" si="64"/>
        <v>0</v>
      </c>
      <c r="BM151" s="40" cm="1">
        <f t="array" ref="BM151">IF($F$14-$I$4+VLOOKUP($R151,武学奇术!$A:$ZZ,15,FALSE)+SUM(_xlfn.XLOOKUP($S151:$AL151,增益!$A:$A,增益!$O:$O,0))&gt;0,($F$14-$I$4+VLOOKUP($R151,武学奇术!$A:$ZZ,15,FALSE)+SUM(_xlfn.XLOOKUP($S151:$AL151,增益!$A:$A,增益!$O:$O,0)))/200,($F$14-$I$4+VLOOKUP($R151,武学奇术!$A:$ZZ,15,FALSE)+SUM(_xlfn.XLOOKUP($S151:$AL151,增益!$A:$A,增益!$O:$O,0)))/100)</f>
        <v>-0.14</v>
      </c>
      <c r="BN151" s="40" cm="1">
        <f t="array" ref="BN151">$G$14+VLOOKUP($R151,武学奇术!$A:$ZZ,16,FALSE)+SUM(_xlfn.XLOOKUP($S151:$AL151,增益!$A:$A,增益!$P:$P,0))</f>
        <v>0.02</v>
      </c>
      <c r="BO151" s="33">
        <f>MIN(IF(VLOOKUP($R151,武学奇术!$A:$ZZ,23,FALSE)=1,100%,$B$8),100%)</f>
        <v>0.9771</v>
      </c>
      <c r="BP151" s="33" cm="1">
        <f t="array" ref="BP151">IF(VLOOKUP($R151,武学奇术!$A:$ZZ,23,FALSE)=1,100%,MIN(80%,$B$9+VLOOKUP($R151,武学奇术!$A:$ZZ,17,FALSE)+SUM(_xlfn.XLOOKUP($S151:$AL151,增益!$A:$A,增益!$Q:$Q,0)))+$B$11+SUM(_xlfn.XLOOKUP($S151:$AL151,增益!$A:$A,增益!$U:$U,0)))*IF(VLOOKUP($R151,武学奇术!$A:$ZZ,24,FALSE)=1,0,1)</f>
        <v>0.8861</v>
      </c>
      <c r="BQ151" s="33" cm="1">
        <f t="array" ref="BQ151">1+$B$13+VLOOKUP($R151,武学奇术!$A:$ZZ,18,FALSE)+SUM(_xlfn.XLOOKUP($S151:$AL151,增益!$A:$A,增益!$R:$R,0))</f>
        <v>1.88</v>
      </c>
      <c r="BR151" s="33" cm="1">
        <f t="array" ref="BR151">IF(VLOOKUP($R151,武学奇术!$A:$ZZ,24,FALSE)=1,100%,MIN(40%,$B$10+VLOOKUP($R151,武学奇术!$A:$ZZ,19,FALSE)+SUM(_xlfn.XLOOKUP($S151:$AL151,增益!$A:$A,增益!$S:$S,0)))+$B$12+SUM(_xlfn.XLOOKUP($S151:$AL151,增益!$A:$A,增益!$V:$V,0)))*IF(VLOOKUP($R151,武学奇术!$A:$ZZ,23,FALSE)=1,0,1)</f>
        <v>0.0913</v>
      </c>
      <c r="BS151" s="33" cm="1">
        <f t="array" ref="BS151">1+$B$14+VLOOKUP($R151,武学奇术!$A:$ZZ,20,FALSE)+SUM(_xlfn.XLOOKUP($S151:$AL151,增益!$A:$A,增益!$T:$T,0))</f>
        <v>1.35</v>
      </c>
      <c r="BT151" s="33">
        <f t="shared" si="65"/>
        <v>0.86580831</v>
      </c>
      <c r="BU151" s="33">
        <f t="shared" si="66"/>
        <v>0.02208246</v>
      </c>
      <c r="BV151" s="33">
        <f>IF(VLOOKUP($R151,武学奇术!$A:$ZZ,22,FALSE)=1,0,(1-$BO151))*(1-$BR151)</f>
        <v>0.02080923</v>
      </c>
      <c r="BW151" s="33" cm="1">
        <f t="array" ref="BW151">SUM(_xlfn.XLOOKUP($S151:$AL151,增益!$A:$A,增益!$W:$W,0))+$I$5</f>
        <v>0.11</v>
      </c>
      <c r="BX151" s="33" cm="1">
        <f t="array" ref="BX151">VLOOKUP($R151,武学奇术!$A:$ZZ,32,FALSE)+SUM(_xlfn.XLOOKUP($S151:$AL151,增益!$A:$A,增益!$X:$X,0))</f>
        <v>0</v>
      </c>
    </row>
    <row r="152" spans="1:76">
      <c r="A152" s="4" t="s">
        <v>189</v>
      </c>
      <c r="B152" s="4">
        <v>0.8</v>
      </c>
      <c r="D152" s="47"/>
      <c r="E152" s="47"/>
      <c r="L152" s="46">
        <f t="shared" si="56"/>
        <v>0</v>
      </c>
      <c r="M152" s="46">
        <f>((($AT152+$AU152)/2*$AN152+$AO152)*(1+$AV152)*(1+$AW152)+(($AY152+$AZ152)/2*IF($G$1="鸣金",$AP152,$AN152)+IF($G$1="鸣金",$AQ152*1.5,0))*(1+$BA152)*(1+$BB152)+(($BC152+$BD152)/2*IF($G$1="裂石",$AP152,$AN152)+IF($G$1="裂石",$AQ152*1.5,0))*(1+$BE152)*(1+$BF152)+(($BG152+$BH152)/2*IF($G$1="牵丝",$AP152,$AN152)+IF($G$1="牵丝",$AQ152*1.5,0))*(1+$BI152)*(1+$BJ152)+(($BK152+$BL152)/2*IF($G$1="破竹",$AP152,$AN152)+IF($G$1="破竹",$AQ152*1.5,0))*(1+$BM152)*(1+$BN152))*(1+$AR152)*$BQ152*$Q152*(1+IF(VLOOKUP($R152,武学奇术!$A:$ZZ,30,FALSE)="蓄力技",$B$21,0))*(1+IF(VLOOKUP($R152,武学奇术!$A:$ZZ,30,FALSE)="派生技",$B$20,0))*(1+$BW152)*(1+$BX152)</f>
        <v>0</v>
      </c>
      <c r="N152" s="46">
        <f>(($AU152*$AN152+$AO152)*(1+$AV152)*(1+$AW152)+($AZ152*IF($G$1="鸣金",$AP152,$AN152)+IF($G$1="鸣金",$AQ152*1.5,0))*(1+$BA152)*(1+$BB152)+($BD152*IF($G$1="裂石",$AP152,$AN152)+IF($G$1="裂石",$AQ152*1.5,0))*(1+$BE152)*(1+$BF152)+($BH152*IF($G$1="牵丝",$AP152,$AN152)+IF($G$1="牵丝",$AQ152*1.5,0))*(1+$BI152)*(1+$BJ152)+($BL152*IF($G$1="破竹",$AP152,$AN152)+IF($G$1="破竹",$AQ152*1.5,0))*(1+$BM152)*(1+$BN152))*(1+$AR152)*$BS152*$Q152*(1+IF(VLOOKUP($R152,武学奇术!$A:$ZZ,30,FALSE)="蓄力技",$B$21,0))*(1+IF(VLOOKUP($R152,武学奇术!$A:$ZZ,30,FALSE)="派生技",$B$20,0))*(1+$BW152)*(1+$BX152)</f>
        <v>0</v>
      </c>
      <c r="O152" s="46">
        <f>((($AT152+$AU152)/2*$AN152+$AO152)*(1+$AV152)*(1+$AW152)+(($AY152+$AZ152)/2*IF($G$1="鸣金",$AP152,$AN152)+IF($G$1="鸣金",$AQ152*1.5,0))*(1+$BA152)*(1+$BB152)+(($BC152+$BD152)/2*IF($G$1="裂石",$AP152,$AN152)+IF($G$1="裂石",$AQ152*1.5,0))*(1+$BE152)*(1+$BF152)+(($BG152+$BH152)/2*IF($G$1="牵丝",$AP152,$AN152)+IF($G$1="牵丝",$AQ152*1.5,0))*(1+$BI152)*(1+$BJ152)+(($BK152+$BL152)/2*IF($G$1="破竹",$AP152,$AN152)+IF($G$1="破竹",$AQ152*1.5,0))*(1+$BM152)*(1+$BN152))*(1+$AR152)*$Q152*(1+IF(VLOOKUP($R152,武学奇术!$A:$ZZ,30,FALSE)="蓄力技",$B$21,0))*(1+IF(VLOOKUP($R152,武学奇术!$A:$ZZ,30,FALSE)="派生技",$B$20,0))*(1+$BW152)*(1+$BX152)</f>
        <v>0</v>
      </c>
      <c r="P152" s="46">
        <f>((($AT152*$AN152+$AO152)*(1+$AV152)*(1+$AW152)+($AY152*IF($G$1="鸣金",$AP152,$AN152)+IF($G$1="鸣金",$AQ152*1.5,0))*(1+$BA152)*(1+$BB152)+($BC152*IF($G$1="裂石",$AP152,$AN152)+IF($G$1="裂石",$AQ152*1.5,0))*(1+$BE152)*(1+$BF152)+($BG152*IF($G$1="牵丝",$AP152,$AN152)+IF($G$1="牵丝",$AQ152*1.5,0))*(1+$BI152)*(1+$BJ152)+($BK152*IF($G$1="破竹",$AP152,$AN152)+IF($G$1="破竹",$AQ152*1.5,0))*(1+$BM152)*(1+$BN152))*(1+$AR152))*$Q152*(1+IF(VLOOKUP($R152,武学奇术!$A:$ZZ,30,FALSE)="蓄力技",$B$21,0))*(1+IF(VLOOKUP($R152,武学奇术!$A:$ZZ,30,FALSE)="派生技",$B$20,0))*(1+$BW152)*(1+$BX152)</f>
        <v>0</v>
      </c>
      <c r="Q152" s="47">
        <f t="shared" si="69"/>
        <v>0</v>
      </c>
      <c r="R152" s="48" t="s">
        <v>195</v>
      </c>
      <c r="S152" s="48" t="s">
        <v>99</v>
      </c>
      <c r="T152" s="48" t="s">
        <v>95</v>
      </c>
      <c r="U152" s="48" t="s">
        <v>79</v>
      </c>
      <c r="V152" s="48" t="s">
        <v>90</v>
      </c>
      <c r="W152" s="48" t="s">
        <v>141</v>
      </c>
      <c r="X152" s="48" t="s">
        <v>80</v>
      </c>
      <c r="Y152" s="48" t="s">
        <v>74</v>
      </c>
      <c r="Z152" s="48" t="s">
        <v>81</v>
      </c>
      <c r="AA152" s="48" t="s">
        <v>80</v>
      </c>
      <c r="AB152" s="48" t="s">
        <v>80</v>
      </c>
      <c r="AC152" s="48" t="s">
        <v>80</v>
      </c>
      <c r="AD152" s="48" t="s">
        <v>80</v>
      </c>
      <c r="AE152" s="48" t="s">
        <v>82</v>
      </c>
      <c r="AF152" s="48" t="s">
        <v>83</v>
      </c>
      <c r="AG152" s="48" t="s">
        <v>84</v>
      </c>
      <c r="AH152" s="48" t="s">
        <v>80</v>
      </c>
      <c r="AI152" s="48" t="s">
        <v>80</v>
      </c>
      <c r="AJ152" s="48" t="s">
        <v>80</v>
      </c>
      <c r="AK152" s="48" t="s">
        <v>80</v>
      </c>
      <c r="AL152" s="48" t="s">
        <v>85</v>
      </c>
      <c r="AM152" t="str">
        <f>VLOOKUP($R152,武学奇术!$A:$ZZ,25,FALSE)</f>
        <v>横刀</v>
      </c>
      <c r="AN152" s="33">
        <f>VLOOKUP($R152,武学奇术!$A:$ZZ,26,FALSE)</f>
        <v>3.6553</v>
      </c>
      <c r="AO152" s="34">
        <f>VLOOKUP($R152,武学奇术!$A:$ZZ,27,FALSE)*(1+IF(OR($AM152=$F$4,$AM152=$F$5),$B$22,0))</f>
        <v>1619.2</v>
      </c>
      <c r="AP152" s="33">
        <f>VLOOKUP($R152,武学奇术!$A:$ZZ,28,FALSE)</f>
        <v>5.4829</v>
      </c>
      <c r="AQ152" s="34">
        <f>VLOOKUP($R152,武学奇术!$A:$ZZ,29,FALSE)*(1+IF(OR($AM152=$F$4,$AM152=$F$5),$B$22,0))</f>
        <v>880</v>
      </c>
      <c r="AR152" s="33" cm="1">
        <f t="array" ref="AR152">$G$3+IFERROR(VLOOKUP($AM152,$F$4:$G$7,2,FALSE),0)+VLOOKUP($R152,武学奇术!$A:$ZZ,2,FALSE)+SUM(_xlfn.XLOOKUP($S152:$AL152,增益!$A:$A,增益!$B:$B,0))</f>
        <v>0.7289</v>
      </c>
      <c r="AS152" s="33" cm="1">
        <f t="array" ref="AS152">VLOOKUP($R152,武学奇术!$A:$ZZ,5,FALSE)+SUM(_xlfn.XLOOKUP($S152:$AL152,增益!$A:$A,增益!$E:$E,0))</f>
        <v>0</v>
      </c>
      <c r="AT152" cm="1">
        <f t="array" ref="AT152">$D$10*(1+$AS152)+VLOOKUP($R152,武学奇术!$A:$ZZ,3,FALSE)+SUM(_xlfn.XLOOKUP($S152:$AL152,增益!$A:$A,增益!$C:$C,0))-$I$2</f>
        <v>4094.7</v>
      </c>
      <c r="AU152" cm="1">
        <f t="array" ref="AU152">$E$10*(1+$AS152)+VLOOKUP($R152,武学奇术!$A:$ZZ,4,FALSE)+SUM(_xlfn.XLOOKUP($S152:$AL152,增益!$A:$A,增益!$D:$D,0))-$I$2</f>
        <v>4094.7</v>
      </c>
      <c r="AV152" s="40" cm="1">
        <f t="array" ref="AV152">IF($F$10-$I$3+VLOOKUP($R152,武学奇术!$A:$ZZ,6,FALSE)+SUM(_xlfn.XLOOKUP($S152:$AL152,增益!$A:$A,增益!$F:$F,0))&gt;0,($F$10-$I$3+VLOOKUP($R152,武学奇术!$A:$ZZ,6,FALSE)+SUM(_xlfn.XLOOKUP($S152:$AL152,增益!$A:$A,增益!$F:$F,0)))/200,($F$10-$I$3+VLOOKUP($R152,武学奇术!$A:$ZZ,6,FALSE)+SUM(_xlfn.XLOOKUP($S152:$AL152,增益!$A:$A,增益!$F:$F,0)))/100)</f>
        <v>0.4384</v>
      </c>
      <c r="AW152" s="40" cm="1">
        <f t="array" ref="AW152">$G$10+VLOOKUP($R152,武学奇术!$A:$ZZ,7,FALSE)+SUM(_xlfn.XLOOKUP($S152:$AL152,增益!$A:$A,增益!$G:$G,0))</f>
        <v>0.14</v>
      </c>
      <c r="AX152" s="33" cm="1">
        <f t="array" ref="AX152">VLOOKUP($R152,武学奇术!$A:$ZZ,8,FALSE)+SUM(_xlfn.XLOOKUP($S152:$AL152,增益!$A:$A,增益!$H:$H,0))</f>
        <v>0</v>
      </c>
      <c r="AY152">
        <f t="shared" si="57"/>
        <v>0</v>
      </c>
      <c r="AZ152">
        <f t="shared" si="58"/>
        <v>0</v>
      </c>
      <c r="BA152" s="40" cm="1">
        <f t="array" ref="BA152">IF($F$11-$I$4+VLOOKUP($R152,武学奇术!$A:$ZZ,9,FALSE)+SUM(_xlfn.XLOOKUP($S152:$AL152,增益!$A:$A,增益!$I:$I,0))&gt;0,($F$11-$I$4+VLOOKUP($R152,武学奇术!$A:$ZZ,9,FALSE)+SUM(_xlfn.XLOOKUP($S152:$AL152,增益!$A:$A,增益!$I:$I,0)))/200,($F$11-$I$4+VLOOKUP($R152,武学奇术!$A:$ZZ,9,FALSE)+SUM(_xlfn.XLOOKUP($S152:$AL152,增益!$A:$A,增益!$I:$I,0)))/100)</f>
        <v>-0.14</v>
      </c>
      <c r="BB152" s="40" cm="1">
        <f t="array" ref="BB152">$G$11+VLOOKUP($R152,武学奇术!$A:$ZZ,10,FALSE)+SUM(_xlfn.XLOOKUP($S152:$AL152,增益!$A:$A,增益!$J:$J,0))</f>
        <v>0.02</v>
      </c>
      <c r="BC152">
        <f t="shared" si="59"/>
        <v>640.3</v>
      </c>
      <c r="BD152">
        <f t="shared" si="60"/>
        <v>1770.1</v>
      </c>
      <c r="BE152" s="40" cm="1">
        <f t="array" ref="BE152">IF($F$12-$I$4+VLOOKUP($R152,武学奇术!$A:$ZZ,11,FALSE)+SUM(_xlfn.XLOOKUP($S152:$AL152,增益!$A:$A,增益!$K:$K,0))&gt;0,($F$12-$I$4+VLOOKUP($R152,武学奇术!$A:$ZZ,11,FALSE)+SUM(_xlfn.XLOOKUP($S152:$AL152,增益!$A:$A,增益!$K:$K,0)))/200,($F$12-$I$4+VLOOKUP($R152,武学奇术!$A:$ZZ,11,FALSE)+SUM(_xlfn.XLOOKUP($S152:$AL152,增益!$A:$A,增益!$K:$K,0)))/100)</f>
        <v>0.17</v>
      </c>
      <c r="BF152" s="40" cm="1">
        <f t="array" ref="BF152">$G$12+VLOOKUP($R152,武学奇术!$A:$ZZ,12,FALSE)+SUM(_xlfn.XLOOKUP($S152:$AL152,增益!$A:$A,增益!$L:$L,0))</f>
        <v>0.29</v>
      </c>
      <c r="BG152">
        <f t="shared" si="61"/>
        <v>0</v>
      </c>
      <c r="BH152">
        <f t="shared" si="62"/>
        <v>0</v>
      </c>
      <c r="BI152" s="40" cm="1">
        <f t="array" ref="BI152">IF($F$13-$I$4+VLOOKUP($R152,武学奇术!$A:$ZZ,13,FALSE)+SUM(_xlfn.XLOOKUP($S152:$AL152,增益!$A:$A,增益!$M:$M,0))&gt;0,($F$13-$I$4+VLOOKUP($R152,武学奇术!$A:$ZZ,13,FALSE)+SUM(_xlfn.XLOOKUP($S152:$AL152,增益!$A:$A,增益!$K:$K,0)))/200,($F$13-$I$4+VLOOKUP($R152,武学奇术!$A:$ZZ,13,FALSE)+SUM(_xlfn.XLOOKUP($S152:$AL152,增益!$A:$A,增益!$M:$M,0)))/100)</f>
        <v>-0.14</v>
      </c>
      <c r="BJ152" s="40" cm="1">
        <f t="array" ref="BJ152">$G$13+VLOOKUP($R152,武学奇术!$A:$ZZ,14,FALSE)+SUM(_xlfn.XLOOKUP($S152:$AL152,增益!$A:$A,增益!$N:$N,0))</f>
        <v>0.02</v>
      </c>
      <c r="BK152">
        <f t="shared" si="63"/>
        <v>0</v>
      </c>
      <c r="BL152">
        <f t="shared" si="64"/>
        <v>0</v>
      </c>
      <c r="BM152" s="40" cm="1">
        <f t="array" ref="BM152">IF($F$14-$I$4+VLOOKUP($R152,武学奇术!$A:$ZZ,15,FALSE)+SUM(_xlfn.XLOOKUP($S152:$AL152,增益!$A:$A,增益!$O:$O,0))&gt;0,($F$14-$I$4+VLOOKUP($R152,武学奇术!$A:$ZZ,15,FALSE)+SUM(_xlfn.XLOOKUP($S152:$AL152,增益!$A:$A,增益!$O:$O,0)))/200,($F$14-$I$4+VLOOKUP($R152,武学奇术!$A:$ZZ,15,FALSE)+SUM(_xlfn.XLOOKUP($S152:$AL152,增益!$A:$A,增益!$O:$O,0)))/100)</f>
        <v>-0.14</v>
      </c>
      <c r="BN152" s="40" cm="1">
        <f t="array" ref="BN152">$G$14+VLOOKUP($R152,武学奇术!$A:$ZZ,16,FALSE)+SUM(_xlfn.XLOOKUP($S152:$AL152,增益!$A:$A,增益!$P:$P,0))</f>
        <v>0.02</v>
      </c>
      <c r="BO152" s="33">
        <f>MIN(IF(VLOOKUP($R152,武学奇术!$A:$ZZ,23,FALSE)=1,100%,$B$8),100%)</f>
        <v>0.9771</v>
      </c>
      <c r="BP152" s="33" cm="1">
        <f t="array" ref="BP152">IF(VLOOKUP($R152,武学奇术!$A:$ZZ,23,FALSE)=1,100%,MIN(80%,$B$9+VLOOKUP($R152,武学奇术!$A:$ZZ,17,FALSE)+SUM(_xlfn.XLOOKUP($S152:$AL152,增益!$A:$A,增益!$Q:$Q,0)))+$B$11+SUM(_xlfn.XLOOKUP($S152:$AL152,增益!$A:$A,增益!$U:$U,0)))*IF(VLOOKUP($R152,武学奇术!$A:$ZZ,24,FALSE)=1,0,1)</f>
        <v>0.8861</v>
      </c>
      <c r="BQ152" s="33" cm="1">
        <f t="array" ref="BQ152">1+$B$13+VLOOKUP($R152,武学奇术!$A:$ZZ,18,FALSE)+SUM(_xlfn.XLOOKUP($S152:$AL152,增益!$A:$A,增益!$R:$R,0))</f>
        <v>1.93</v>
      </c>
      <c r="BR152" s="33" cm="1">
        <f t="array" ref="BR152">IF(VLOOKUP($R152,武学奇术!$A:$ZZ,24,FALSE)=1,100%,MIN(40%,$B$10+VLOOKUP($R152,武学奇术!$A:$ZZ,19,FALSE)+SUM(_xlfn.XLOOKUP($S152:$AL152,增益!$A:$A,增益!$S:$S,0)))+$B$12+SUM(_xlfn.XLOOKUP($S152:$AL152,增益!$A:$A,增益!$V:$V,0)))*IF(VLOOKUP($R152,武学奇术!$A:$ZZ,23,FALSE)=1,0,1)</f>
        <v>0.0913</v>
      </c>
      <c r="BS152" s="33" cm="1">
        <f t="array" ref="BS152">1+$B$14+VLOOKUP($R152,武学奇术!$A:$ZZ,20,FALSE)+SUM(_xlfn.XLOOKUP($S152:$AL152,增益!$A:$A,增益!$T:$T,0))</f>
        <v>1.35</v>
      </c>
      <c r="BT152" s="33">
        <f t="shared" si="65"/>
        <v>0.86580831</v>
      </c>
      <c r="BU152" s="33">
        <f t="shared" si="66"/>
        <v>0.02208246</v>
      </c>
      <c r="BV152" s="33">
        <f>IF(VLOOKUP($R152,武学奇术!$A:$ZZ,22,FALSE)=1,0,(1-$BO152))*(1-$BR152)</f>
        <v>0.02080923</v>
      </c>
      <c r="BW152" s="33" cm="1">
        <f t="array" ref="BW152">SUM(_xlfn.XLOOKUP($S152:$AL152,增益!$A:$A,增益!$W:$W,0))+$I$5</f>
        <v>0.11</v>
      </c>
      <c r="BX152" s="33" cm="1">
        <f t="array" ref="BX152">VLOOKUP($R152,武学奇术!$A:$ZZ,32,FALSE)+SUM(_xlfn.XLOOKUP($S152:$AL152,增益!$A:$A,增益!$X:$X,0))</f>
        <v>0</v>
      </c>
    </row>
    <row r="153" spans="1:76">
      <c r="A153" s="4" t="s">
        <v>191</v>
      </c>
      <c r="B153" s="4">
        <v>1.8</v>
      </c>
      <c r="D153" s="47"/>
      <c r="E153" s="47"/>
      <c r="L153" s="46">
        <f t="shared" si="56"/>
        <v>0</v>
      </c>
      <c r="M153" s="46">
        <f>((($AT153+$AU153)/2*$AN153+$AO153)*(1+$AV153)*(1+$AW153)+(($AY153+$AZ153)/2*IF($G$1="鸣金",$AP153,$AN153)+IF($G$1="鸣金",$AQ153*1.5,0))*(1+$BA153)*(1+$BB153)+(($BC153+$BD153)/2*IF($G$1="裂石",$AP153,$AN153)+IF($G$1="裂石",$AQ153*1.5,0))*(1+$BE153)*(1+$BF153)+(($BG153+$BH153)/2*IF($G$1="牵丝",$AP153,$AN153)+IF($G$1="牵丝",$AQ153*1.5,0))*(1+$BI153)*(1+$BJ153)+(($BK153+$BL153)/2*IF($G$1="破竹",$AP153,$AN153)+IF($G$1="破竹",$AQ153*1.5,0))*(1+$BM153)*(1+$BN153))*(1+$AR153)*$BQ153*$Q153*(1+IF(VLOOKUP($R153,武学奇术!$A:$ZZ,30,FALSE)="蓄力技",$B$21,0))*(1+IF(VLOOKUP($R153,武学奇术!$A:$ZZ,30,FALSE)="派生技",$B$20,0))*(1+$BW153)*(1+$BX153)</f>
        <v>0</v>
      </c>
      <c r="N153" s="46">
        <f>(($AU153*$AN153+$AO153)*(1+$AV153)*(1+$AW153)+($AZ153*IF($G$1="鸣金",$AP153,$AN153)+IF($G$1="鸣金",$AQ153*1.5,0))*(1+$BA153)*(1+$BB153)+($BD153*IF($G$1="裂石",$AP153,$AN153)+IF($G$1="裂石",$AQ153*1.5,0))*(1+$BE153)*(1+$BF153)+($BH153*IF($G$1="牵丝",$AP153,$AN153)+IF($G$1="牵丝",$AQ153*1.5,0))*(1+$BI153)*(1+$BJ153)+($BL153*IF($G$1="破竹",$AP153,$AN153)+IF($G$1="破竹",$AQ153*1.5,0))*(1+$BM153)*(1+$BN153))*(1+$AR153)*$BS153*$Q153*(1+IF(VLOOKUP($R153,武学奇术!$A:$ZZ,30,FALSE)="蓄力技",$B$21,0))*(1+IF(VLOOKUP($R153,武学奇术!$A:$ZZ,30,FALSE)="派生技",$B$20,0))*(1+$BW153)*(1+$BX153)</f>
        <v>0</v>
      </c>
      <c r="O153" s="46">
        <f>((($AT153+$AU153)/2*$AN153+$AO153)*(1+$AV153)*(1+$AW153)+(($AY153+$AZ153)/2*IF($G$1="鸣金",$AP153,$AN153)+IF($G$1="鸣金",$AQ153*1.5,0))*(1+$BA153)*(1+$BB153)+(($BC153+$BD153)/2*IF($G$1="裂石",$AP153,$AN153)+IF($G$1="裂石",$AQ153*1.5,0))*(1+$BE153)*(1+$BF153)+(($BG153+$BH153)/2*IF($G$1="牵丝",$AP153,$AN153)+IF($G$1="牵丝",$AQ153*1.5,0))*(1+$BI153)*(1+$BJ153)+(($BK153+$BL153)/2*IF($G$1="破竹",$AP153,$AN153)+IF($G$1="破竹",$AQ153*1.5,0))*(1+$BM153)*(1+$BN153))*(1+$AR153)*$Q153*(1+IF(VLOOKUP($R153,武学奇术!$A:$ZZ,30,FALSE)="蓄力技",$B$21,0))*(1+IF(VLOOKUP($R153,武学奇术!$A:$ZZ,30,FALSE)="派生技",$B$20,0))*(1+$BW153)*(1+$BX153)</f>
        <v>0</v>
      </c>
      <c r="P153" s="46">
        <f>((($AT153*$AN153+$AO153)*(1+$AV153)*(1+$AW153)+($AY153*IF($G$1="鸣金",$AP153,$AN153)+IF($G$1="鸣金",$AQ153*1.5,0))*(1+$BA153)*(1+$BB153)+($BC153*IF($G$1="裂石",$AP153,$AN153)+IF($G$1="裂石",$AQ153*1.5,0))*(1+$BE153)*(1+$BF153)+($BG153*IF($G$1="牵丝",$AP153,$AN153)+IF($G$1="牵丝",$AQ153*1.5,0))*(1+$BI153)*(1+$BJ153)+($BK153*IF($G$1="破竹",$AP153,$AN153)+IF($G$1="破竹",$AQ153*1.5,0))*(1+$BM153)*(1+$BN153))*(1+$AR153))*$Q153*(1+IF(VLOOKUP($R153,武学奇术!$A:$ZZ,30,FALSE)="蓄力技",$B$21,0))*(1+IF(VLOOKUP($R153,武学奇术!$A:$ZZ,30,FALSE)="派生技",$B$20,0))*(1+$BW153)*(1+$BX153)</f>
        <v>0</v>
      </c>
      <c r="Q153" s="47">
        <f t="shared" si="69"/>
        <v>0</v>
      </c>
      <c r="R153" s="48" t="s">
        <v>196</v>
      </c>
      <c r="S153" s="48" t="s">
        <v>99</v>
      </c>
      <c r="T153" s="48" t="s">
        <v>95</v>
      </c>
      <c r="U153" s="48" t="s">
        <v>79</v>
      </c>
      <c r="V153" s="48" t="s">
        <v>90</v>
      </c>
      <c r="W153" s="48" t="s">
        <v>141</v>
      </c>
      <c r="X153" s="48" t="s">
        <v>80</v>
      </c>
      <c r="Y153" s="48" t="s">
        <v>74</v>
      </c>
      <c r="Z153" s="48" t="s">
        <v>81</v>
      </c>
      <c r="AA153" s="48" t="s">
        <v>80</v>
      </c>
      <c r="AB153" s="48" t="s">
        <v>80</v>
      </c>
      <c r="AC153" s="48" t="s">
        <v>80</v>
      </c>
      <c r="AD153" s="48" t="s">
        <v>80</v>
      </c>
      <c r="AE153" s="48" t="s">
        <v>82</v>
      </c>
      <c r="AF153" s="48" t="s">
        <v>83</v>
      </c>
      <c r="AG153" s="48" t="s">
        <v>84</v>
      </c>
      <c r="AH153" s="48" t="s">
        <v>80</v>
      </c>
      <c r="AI153" s="48" t="s">
        <v>80</v>
      </c>
      <c r="AJ153" s="48" t="s">
        <v>80</v>
      </c>
      <c r="AK153" s="48" t="s">
        <v>80</v>
      </c>
      <c r="AL153" s="48" t="s">
        <v>85</v>
      </c>
      <c r="AM153" t="str">
        <f>VLOOKUP($R153,武学奇术!$A:$ZZ,25,FALSE)</f>
        <v>横刀</v>
      </c>
      <c r="AN153" s="33">
        <f>VLOOKUP($R153,武学奇术!$A:$ZZ,26,FALSE)</f>
        <v>1.47</v>
      </c>
      <c r="AO153" s="34">
        <f>VLOOKUP($R153,武学奇术!$A:$ZZ,27,FALSE)*(1+IF(OR($AM153=$F$4,$AM153=$F$5),$B$22,0))</f>
        <v>0</v>
      </c>
      <c r="AP153" s="33">
        <f>VLOOKUP($R153,武学奇术!$A:$ZZ,28,FALSE)</f>
        <v>2.205</v>
      </c>
      <c r="AQ153" s="34">
        <f>VLOOKUP($R153,武学奇术!$A:$ZZ,29,FALSE)*(1+IF(OR($AM153=$F$4,$AM153=$F$5),$B$22,0))</f>
        <v>0</v>
      </c>
      <c r="AR153" s="33" cm="1">
        <f t="array" ref="AR153">$G$3+IFERROR(VLOOKUP($AM153,$F$4:$G$7,2,FALSE),0)+VLOOKUP($R153,武学奇术!$A:$ZZ,2,FALSE)+SUM(_xlfn.XLOOKUP($S153:$AL153,增益!$A:$A,增益!$B:$B,0))</f>
        <v>0.6289</v>
      </c>
      <c r="AS153" s="33" cm="1">
        <f t="array" ref="AS153">VLOOKUP($R153,武学奇术!$A:$ZZ,5,FALSE)+SUM(_xlfn.XLOOKUP($S153:$AL153,增益!$A:$A,增益!$E:$E,0))</f>
        <v>0</v>
      </c>
      <c r="AT153" cm="1">
        <f t="array" ref="AT153">$D$10*(1+$AS153)+VLOOKUP($R153,武学奇术!$A:$ZZ,3,FALSE)+SUM(_xlfn.XLOOKUP($S153:$AL153,增益!$A:$A,增益!$C:$C,0))-$I$2</f>
        <v>4094.7</v>
      </c>
      <c r="AU153" cm="1">
        <f t="array" ref="AU153">$E$10*(1+$AS153)+VLOOKUP($R153,武学奇术!$A:$ZZ,4,FALSE)+SUM(_xlfn.XLOOKUP($S153:$AL153,增益!$A:$A,增益!$D:$D,0))-$I$2</f>
        <v>4094.7</v>
      </c>
      <c r="AV153" s="40" cm="1">
        <f t="array" ref="AV153">IF($F$10-$I$3+VLOOKUP($R153,武学奇术!$A:$ZZ,6,FALSE)+SUM(_xlfn.XLOOKUP($S153:$AL153,增益!$A:$A,增益!$F:$F,0))&gt;0,($F$10-$I$3+VLOOKUP($R153,武学奇术!$A:$ZZ,6,FALSE)+SUM(_xlfn.XLOOKUP($S153:$AL153,增益!$A:$A,增益!$F:$F,0)))/200,($F$10-$I$3+VLOOKUP($R153,武学奇术!$A:$ZZ,6,FALSE)+SUM(_xlfn.XLOOKUP($S153:$AL153,增益!$A:$A,增益!$F:$F,0)))/100)</f>
        <v>0.4384</v>
      </c>
      <c r="AW153" s="40" cm="1">
        <f t="array" ref="AW153">$G$10+VLOOKUP($R153,武学奇术!$A:$ZZ,7,FALSE)+SUM(_xlfn.XLOOKUP($S153:$AL153,增益!$A:$A,增益!$G:$G,0))</f>
        <v>0.14</v>
      </c>
      <c r="AX153" s="33" cm="1">
        <f t="array" ref="AX153">VLOOKUP($R153,武学奇术!$A:$ZZ,8,FALSE)+SUM(_xlfn.XLOOKUP($S153:$AL153,增益!$A:$A,增益!$H:$H,0))</f>
        <v>0</v>
      </c>
      <c r="AY153">
        <f t="shared" si="57"/>
        <v>0</v>
      </c>
      <c r="AZ153">
        <f t="shared" si="58"/>
        <v>0</v>
      </c>
      <c r="BA153" s="40" cm="1">
        <f t="array" ref="BA153">IF($F$11-$I$4+VLOOKUP($R153,武学奇术!$A:$ZZ,9,FALSE)+SUM(_xlfn.XLOOKUP($S153:$AL153,增益!$A:$A,增益!$I:$I,0))&gt;0,($F$11-$I$4+VLOOKUP($R153,武学奇术!$A:$ZZ,9,FALSE)+SUM(_xlfn.XLOOKUP($S153:$AL153,增益!$A:$A,增益!$I:$I,0)))/200,($F$11-$I$4+VLOOKUP($R153,武学奇术!$A:$ZZ,9,FALSE)+SUM(_xlfn.XLOOKUP($S153:$AL153,增益!$A:$A,增益!$I:$I,0)))/100)</f>
        <v>-0.14</v>
      </c>
      <c r="BB153" s="40" cm="1">
        <f t="array" ref="BB153">$G$11+VLOOKUP($R153,武学奇术!$A:$ZZ,10,FALSE)+SUM(_xlfn.XLOOKUP($S153:$AL153,增益!$A:$A,增益!$J:$J,0))</f>
        <v>0.02</v>
      </c>
      <c r="BC153">
        <f t="shared" si="59"/>
        <v>640.3</v>
      </c>
      <c r="BD153">
        <f t="shared" si="60"/>
        <v>1770.1</v>
      </c>
      <c r="BE153" s="40" cm="1">
        <f t="array" ref="BE153">IF($F$12-$I$4+VLOOKUP($R153,武学奇术!$A:$ZZ,11,FALSE)+SUM(_xlfn.XLOOKUP($S153:$AL153,增益!$A:$A,增益!$K:$K,0))&gt;0,($F$12-$I$4+VLOOKUP($R153,武学奇术!$A:$ZZ,11,FALSE)+SUM(_xlfn.XLOOKUP($S153:$AL153,增益!$A:$A,增益!$K:$K,0)))/200,($F$12-$I$4+VLOOKUP($R153,武学奇术!$A:$ZZ,11,FALSE)+SUM(_xlfn.XLOOKUP($S153:$AL153,增益!$A:$A,增益!$K:$K,0)))/100)</f>
        <v>0.17</v>
      </c>
      <c r="BF153" s="40" cm="1">
        <f t="array" ref="BF153">$G$12+VLOOKUP($R153,武学奇术!$A:$ZZ,12,FALSE)+SUM(_xlfn.XLOOKUP($S153:$AL153,增益!$A:$A,增益!$L:$L,0))</f>
        <v>0.29</v>
      </c>
      <c r="BG153">
        <f t="shared" si="61"/>
        <v>0</v>
      </c>
      <c r="BH153">
        <f t="shared" si="62"/>
        <v>0</v>
      </c>
      <c r="BI153" s="40" cm="1">
        <f t="array" ref="BI153">IF($F$13-$I$4+VLOOKUP($R153,武学奇术!$A:$ZZ,13,FALSE)+SUM(_xlfn.XLOOKUP($S153:$AL153,增益!$A:$A,增益!$M:$M,0))&gt;0,($F$13-$I$4+VLOOKUP($R153,武学奇术!$A:$ZZ,13,FALSE)+SUM(_xlfn.XLOOKUP($S153:$AL153,增益!$A:$A,增益!$K:$K,0)))/200,($F$13-$I$4+VLOOKUP($R153,武学奇术!$A:$ZZ,13,FALSE)+SUM(_xlfn.XLOOKUP($S153:$AL153,增益!$A:$A,增益!$M:$M,0)))/100)</f>
        <v>-0.14</v>
      </c>
      <c r="BJ153" s="40" cm="1">
        <f t="array" ref="BJ153">$G$13+VLOOKUP($R153,武学奇术!$A:$ZZ,14,FALSE)+SUM(_xlfn.XLOOKUP($S153:$AL153,增益!$A:$A,增益!$N:$N,0))</f>
        <v>0.02</v>
      </c>
      <c r="BK153">
        <f t="shared" si="63"/>
        <v>0</v>
      </c>
      <c r="BL153">
        <f t="shared" si="64"/>
        <v>0</v>
      </c>
      <c r="BM153" s="40" cm="1">
        <f t="array" ref="BM153">IF($F$14-$I$4+VLOOKUP($R153,武学奇术!$A:$ZZ,15,FALSE)+SUM(_xlfn.XLOOKUP($S153:$AL153,增益!$A:$A,增益!$O:$O,0))&gt;0,($F$14-$I$4+VLOOKUP($R153,武学奇术!$A:$ZZ,15,FALSE)+SUM(_xlfn.XLOOKUP($S153:$AL153,增益!$A:$A,增益!$O:$O,0)))/200,($F$14-$I$4+VLOOKUP($R153,武学奇术!$A:$ZZ,15,FALSE)+SUM(_xlfn.XLOOKUP($S153:$AL153,增益!$A:$A,增益!$O:$O,0)))/100)</f>
        <v>-0.14</v>
      </c>
      <c r="BN153" s="40" cm="1">
        <f t="array" ref="BN153">$G$14+VLOOKUP($R153,武学奇术!$A:$ZZ,16,FALSE)+SUM(_xlfn.XLOOKUP($S153:$AL153,增益!$A:$A,增益!$P:$P,0))</f>
        <v>0.02</v>
      </c>
      <c r="BO153" s="33">
        <f>MIN(IF(VLOOKUP($R153,武学奇术!$A:$ZZ,23,FALSE)=1,100%,$B$8),100%)</f>
        <v>0.9771</v>
      </c>
      <c r="BP153" s="33" cm="1">
        <f t="array" ref="BP153">IF(VLOOKUP($R153,武学奇术!$A:$ZZ,23,FALSE)=1,100%,MIN(80%,$B$9+VLOOKUP($R153,武学奇术!$A:$ZZ,17,FALSE)+SUM(_xlfn.XLOOKUP($S153:$AL153,增益!$A:$A,增益!$Q:$Q,0)))+$B$11+SUM(_xlfn.XLOOKUP($S153:$AL153,增益!$A:$A,增益!$U:$U,0)))*IF(VLOOKUP($R153,武学奇术!$A:$ZZ,24,FALSE)=1,0,1)</f>
        <v>0.8861</v>
      </c>
      <c r="BQ153" s="33" cm="1">
        <f t="array" ref="BQ153">1+$B$13+VLOOKUP($R153,武学奇术!$A:$ZZ,18,FALSE)+SUM(_xlfn.XLOOKUP($S153:$AL153,增益!$A:$A,增益!$R:$R,0))</f>
        <v>1.93</v>
      </c>
      <c r="BR153" s="33" cm="1">
        <f t="array" ref="BR153">IF(VLOOKUP($R153,武学奇术!$A:$ZZ,24,FALSE)=1,100%,MIN(40%,$B$10+VLOOKUP($R153,武学奇术!$A:$ZZ,19,FALSE)+SUM(_xlfn.XLOOKUP($S153:$AL153,增益!$A:$A,增益!$S:$S,0)))+$B$12+SUM(_xlfn.XLOOKUP($S153:$AL153,增益!$A:$A,增益!$V:$V,0)))*IF(VLOOKUP($R153,武学奇术!$A:$ZZ,23,FALSE)=1,0,1)</f>
        <v>0.0913</v>
      </c>
      <c r="BS153" s="33" cm="1">
        <f t="array" ref="BS153">1+$B$14+VLOOKUP($R153,武学奇术!$A:$ZZ,20,FALSE)+SUM(_xlfn.XLOOKUP($S153:$AL153,增益!$A:$A,增益!$T:$T,0))</f>
        <v>1.35</v>
      </c>
      <c r="BT153" s="33">
        <f t="shared" si="65"/>
        <v>0.86580831</v>
      </c>
      <c r="BU153" s="33">
        <f t="shared" si="66"/>
        <v>0.02208246</v>
      </c>
      <c r="BV153" s="33">
        <f>IF(VLOOKUP($R153,武学奇术!$A:$ZZ,22,FALSE)=1,0,(1-$BO153))*(1-$BR153)</f>
        <v>0.02080923</v>
      </c>
      <c r="BW153" s="33" cm="1">
        <f t="array" ref="BW153">SUM(_xlfn.XLOOKUP($S153:$AL153,增益!$A:$A,增益!$W:$W,0))+$I$5</f>
        <v>0.11</v>
      </c>
      <c r="BX153" s="33" cm="1">
        <f t="array" ref="BX153">VLOOKUP($R153,武学奇术!$A:$ZZ,32,FALSE)+SUM(_xlfn.XLOOKUP($S153:$AL153,增益!$A:$A,增益!$X:$X,0))</f>
        <v>0.4</v>
      </c>
    </row>
    <row r="154" spans="1:76">
      <c r="A154" s="4" t="s">
        <v>160</v>
      </c>
      <c r="B154" s="4">
        <v>1.1</v>
      </c>
      <c r="D154" s="47"/>
      <c r="E154" s="47"/>
      <c r="L154" s="46">
        <f t="shared" si="56"/>
        <v>0</v>
      </c>
      <c r="M154" s="46">
        <f>((($AT154+$AU154)/2*$AN154+$AO154)*(1+$AV154)*(1+$AW154)+(($AY154+$AZ154)/2*IF($G$1="鸣金",$AP154,$AN154)+IF($G$1="鸣金",$AQ154*1.5,0))*(1+$BA154)*(1+$BB154)+(($BC154+$BD154)/2*IF($G$1="裂石",$AP154,$AN154)+IF($G$1="裂石",$AQ154*1.5,0))*(1+$BE154)*(1+$BF154)+(($BG154+$BH154)/2*IF($G$1="牵丝",$AP154,$AN154)+IF($G$1="牵丝",$AQ154*1.5,0))*(1+$BI154)*(1+$BJ154)+(($BK154+$BL154)/2*IF($G$1="破竹",$AP154,$AN154)+IF($G$1="破竹",$AQ154*1.5,0))*(1+$BM154)*(1+$BN154))*(1+$AR154)*$BQ154*$Q154*(1+IF(VLOOKUP($R154,武学奇术!$A:$ZZ,30,FALSE)="蓄力技",$B$21,0))*(1+IF(VLOOKUP($R154,武学奇术!$A:$ZZ,30,FALSE)="派生技",$B$20,0))*(1+$BW154)*(1+$BX154)</f>
        <v>0</v>
      </c>
      <c r="N154" s="46">
        <f>(($AU154*$AN154+$AO154)*(1+$AV154)*(1+$AW154)+($AZ154*IF($G$1="鸣金",$AP154,$AN154)+IF($G$1="鸣金",$AQ154*1.5,0))*(1+$BA154)*(1+$BB154)+($BD154*IF($G$1="裂石",$AP154,$AN154)+IF($G$1="裂石",$AQ154*1.5,0))*(1+$BE154)*(1+$BF154)+($BH154*IF($G$1="牵丝",$AP154,$AN154)+IF($G$1="牵丝",$AQ154*1.5,0))*(1+$BI154)*(1+$BJ154)+($BL154*IF($G$1="破竹",$AP154,$AN154)+IF($G$1="破竹",$AQ154*1.5,0))*(1+$BM154)*(1+$BN154))*(1+$AR154)*$BS154*$Q154*(1+IF(VLOOKUP($R154,武学奇术!$A:$ZZ,30,FALSE)="蓄力技",$B$21,0))*(1+IF(VLOOKUP($R154,武学奇术!$A:$ZZ,30,FALSE)="派生技",$B$20,0))*(1+$BW154)*(1+$BX154)</f>
        <v>0</v>
      </c>
      <c r="O154" s="46">
        <f>((($AT154+$AU154)/2*$AN154+$AO154)*(1+$AV154)*(1+$AW154)+(($AY154+$AZ154)/2*IF($G$1="鸣金",$AP154,$AN154)+IF($G$1="鸣金",$AQ154*1.5,0))*(1+$BA154)*(1+$BB154)+(($BC154+$BD154)/2*IF($G$1="裂石",$AP154,$AN154)+IF($G$1="裂石",$AQ154*1.5,0))*(1+$BE154)*(1+$BF154)+(($BG154+$BH154)/2*IF($G$1="牵丝",$AP154,$AN154)+IF($G$1="牵丝",$AQ154*1.5,0))*(1+$BI154)*(1+$BJ154)+(($BK154+$BL154)/2*IF($G$1="破竹",$AP154,$AN154)+IF($G$1="破竹",$AQ154*1.5,0))*(1+$BM154)*(1+$BN154))*(1+$AR154)*$Q154*(1+IF(VLOOKUP($R154,武学奇术!$A:$ZZ,30,FALSE)="蓄力技",$B$21,0))*(1+IF(VLOOKUP($R154,武学奇术!$A:$ZZ,30,FALSE)="派生技",$B$20,0))*(1+$BW154)*(1+$BX154)</f>
        <v>0</v>
      </c>
      <c r="P154" s="46">
        <f>((($AT154*$AN154+$AO154)*(1+$AV154)*(1+$AW154)+($AY154*IF($G$1="鸣金",$AP154,$AN154)+IF($G$1="鸣金",$AQ154*1.5,0))*(1+$BA154)*(1+$BB154)+($BC154*IF($G$1="裂石",$AP154,$AN154)+IF($G$1="裂石",$AQ154*1.5,0))*(1+$BE154)*(1+$BF154)+($BG154*IF($G$1="牵丝",$AP154,$AN154)+IF($G$1="牵丝",$AQ154*1.5,0))*(1+$BI154)*(1+$BJ154)+($BK154*IF($G$1="破竹",$AP154,$AN154)+IF($G$1="破竹",$AQ154*1.5,0))*(1+$BM154)*(1+$BN154))*(1+$AR154))*$Q154*(1+IF(VLOOKUP($R154,武学奇术!$A:$ZZ,30,FALSE)="蓄力技",$B$21,0))*(1+IF(VLOOKUP($R154,武学奇术!$A:$ZZ,30,FALSE)="派生技",$B$20,0))*(1+$BW154)*(1+$BX154)</f>
        <v>0</v>
      </c>
      <c r="Q154" s="47">
        <f t="shared" si="69"/>
        <v>0</v>
      </c>
      <c r="R154" s="48" t="s">
        <v>197</v>
      </c>
      <c r="S154" s="48" t="s">
        <v>99</v>
      </c>
      <c r="T154" s="48" t="s">
        <v>100</v>
      </c>
      <c r="U154" s="48" t="s">
        <v>79</v>
      </c>
      <c r="V154" s="48" t="s">
        <v>90</v>
      </c>
      <c r="W154" s="48" t="s">
        <v>91</v>
      </c>
      <c r="X154" s="48" t="s">
        <v>80</v>
      </c>
      <c r="Y154" s="48" t="s">
        <v>80</v>
      </c>
      <c r="Z154" s="48" t="s">
        <v>81</v>
      </c>
      <c r="AA154" s="48" t="s">
        <v>80</v>
      </c>
      <c r="AB154" s="48" t="s">
        <v>80</v>
      </c>
      <c r="AC154" s="48" t="s">
        <v>80</v>
      </c>
      <c r="AD154" s="48" t="s">
        <v>80</v>
      </c>
      <c r="AE154" s="48" t="s">
        <v>82</v>
      </c>
      <c r="AF154" s="48" t="s">
        <v>83</v>
      </c>
      <c r="AG154" s="48" t="s">
        <v>84</v>
      </c>
      <c r="AH154" s="48" t="s">
        <v>80</v>
      </c>
      <c r="AI154" s="48" t="s">
        <v>80</v>
      </c>
      <c r="AJ154" s="48" t="s">
        <v>80</v>
      </c>
      <c r="AK154" s="48" t="s">
        <v>80</v>
      </c>
      <c r="AL154" s="48" t="s">
        <v>85</v>
      </c>
      <c r="AM154" t="str">
        <f>VLOOKUP($R154,武学奇术!$A:$ZZ,25,FALSE)</f>
        <v>横刀</v>
      </c>
      <c r="AN154" s="33">
        <f>VLOOKUP($R154,武学奇术!$A:$ZZ,26,FALSE)</f>
        <v>2.4495</v>
      </c>
      <c r="AO154" s="34">
        <f>VLOOKUP($R154,武学奇术!$A:$ZZ,27,FALSE)*(1+IF(OR($AM154=$F$4,$AM154=$F$5),$B$22,0))</f>
        <v>1083.2</v>
      </c>
      <c r="AP154" s="33">
        <f>VLOOKUP($R154,武学奇术!$A:$ZZ,28,FALSE)</f>
        <v>3.6743</v>
      </c>
      <c r="AQ154" s="34">
        <f>VLOOKUP($R154,武学奇术!$A:$ZZ,29,FALSE)*(1+IF(OR($AM154=$F$4,$AM154=$F$5),$B$22,0))</f>
        <v>588.8</v>
      </c>
      <c r="AR154" s="33" cm="1">
        <f t="array" ref="AR154">$G$3+IFERROR(VLOOKUP($AM154,$F$4:$G$7,2,FALSE),0)+VLOOKUP($R154,武学奇术!$A:$ZZ,2,FALSE)+SUM(_xlfn.XLOOKUP($S154:$AL154,增益!$A:$A,增益!$B:$B,0))</f>
        <v>0.5489</v>
      </c>
      <c r="AS154" s="33" cm="1">
        <f t="array" ref="AS154">VLOOKUP($R154,武学奇术!$A:$ZZ,5,FALSE)+SUM(_xlfn.XLOOKUP($S154:$AL154,增益!$A:$A,增益!$E:$E,0))</f>
        <v>0</v>
      </c>
      <c r="AT154" cm="1">
        <f t="array" ref="AT154">$D$10*(1+$AS154)+VLOOKUP($R154,武学奇术!$A:$ZZ,3,FALSE)+SUM(_xlfn.XLOOKUP($S154:$AL154,增益!$A:$A,增益!$C:$C,0))-$I$2</f>
        <v>4094.7</v>
      </c>
      <c r="AU154" cm="1">
        <f t="array" ref="AU154">$E$10*(1+$AS154)+VLOOKUP($R154,武学奇术!$A:$ZZ,4,FALSE)+SUM(_xlfn.XLOOKUP($S154:$AL154,增益!$A:$A,增益!$D:$D,0))-$I$2</f>
        <v>4094.7</v>
      </c>
      <c r="AV154" s="40" cm="1">
        <f t="array" ref="AV154">IF($F$10-$I$3+VLOOKUP($R154,武学奇术!$A:$ZZ,6,FALSE)+SUM(_xlfn.XLOOKUP($S154:$AL154,增益!$A:$A,增益!$F:$F,0))&gt;0,($F$10-$I$3+VLOOKUP($R154,武学奇术!$A:$ZZ,6,FALSE)+SUM(_xlfn.XLOOKUP($S154:$AL154,增益!$A:$A,增益!$F:$F,0)))/200,($F$10-$I$3+VLOOKUP($R154,武学奇术!$A:$ZZ,6,FALSE)+SUM(_xlfn.XLOOKUP($S154:$AL154,增益!$A:$A,增益!$F:$F,0)))/100)</f>
        <v>0.4134</v>
      </c>
      <c r="AW154" s="40" cm="1">
        <f t="array" ref="AW154">$G$10+VLOOKUP($R154,武学奇术!$A:$ZZ,7,FALSE)+SUM(_xlfn.XLOOKUP($S154:$AL154,增益!$A:$A,增益!$G:$G,0))</f>
        <v>0.14</v>
      </c>
      <c r="AX154" s="33" cm="1">
        <f t="array" ref="AX154">VLOOKUP($R154,武学奇术!$A:$ZZ,8,FALSE)+SUM(_xlfn.XLOOKUP($S154:$AL154,增益!$A:$A,增益!$H:$H,0))</f>
        <v>0</v>
      </c>
      <c r="AY154">
        <f t="shared" si="57"/>
        <v>0</v>
      </c>
      <c r="AZ154">
        <f t="shared" si="58"/>
        <v>0</v>
      </c>
      <c r="BA154" s="40" cm="1">
        <f t="array" ref="BA154">IF($F$11-$I$4+VLOOKUP($R154,武学奇术!$A:$ZZ,9,FALSE)+SUM(_xlfn.XLOOKUP($S154:$AL154,增益!$A:$A,增益!$I:$I,0))&gt;0,($F$11-$I$4+VLOOKUP($R154,武学奇术!$A:$ZZ,9,FALSE)+SUM(_xlfn.XLOOKUP($S154:$AL154,增益!$A:$A,增益!$I:$I,0)))/200,($F$11-$I$4+VLOOKUP($R154,武学奇术!$A:$ZZ,9,FALSE)+SUM(_xlfn.XLOOKUP($S154:$AL154,增益!$A:$A,增益!$I:$I,0)))/100)</f>
        <v>-0.14</v>
      </c>
      <c r="BB154" s="40" cm="1">
        <f t="array" ref="BB154">$G$11+VLOOKUP($R154,武学奇术!$A:$ZZ,10,FALSE)+SUM(_xlfn.XLOOKUP($S154:$AL154,增益!$A:$A,增益!$J:$J,0))</f>
        <v>0.02</v>
      </c>
      <c r="BC154">
        <f t="shared" si="59"/>
        <v>640.3</v>
      </c>
      <c r="BD154">
        <f t="shared" si="60"/>
        <v>1770.1</v>
      </c>
      <c r="BE154" s="40" cm="1">
        <f t="array" ref="BE154">IF($F$12-$I$4+VLOOKUP($R154,武学奇术!$A:$ZZ,11,FALSE)+SUM(_xlfn.XLOOKUP($S154:$AL154,增益!$A:$A,增益!$K:$K,0))&gt;0,($F$12-$I$4+VLOOKUP($R154,武学奇术!$A:$ZZ,11,FALSE)+SUM(_xlfn.XLOOKUP($S154:$AL154,增益!$A:$A,增益!$K:$K,0)))/200,($F$12-$I$4+VLOOKUP($R154,武学奇术!$A:$ZZ,11,FALSE)+SUM(_xlfn.XLOOKUP($S154:$AL154,增益!$A:$A,增益!$K:$K,0)))/100)</f>
        <v>0.17</v>
      </c>
      <c r="BF154" s="40" cm="1">
        <f t="array" ref="BF154">$G$12+VLOOKUP($R154,武学奇术!$A:$ZZ,12,FALSE)+SUM(_xlfn.XLOOKUP($S154:$AL154,增益!$A:$A,增益!$L:$L,0))</f>
        <v>0.29</v>
      </c>
      <c r="BG154">
        <f t="shared" si="61"/>
        <v>0</v>
      </c>
      <c r="BH154">
        <f t="shared" si="62"/>
        <v>0</v>
      </c>
      <c r="BI154" s="40" cm="1">
        <f t="array" ref="BI154">IF($F$13-$I$4+VLOOKUP($R154,武学奇术!$A:$ZZ,13,FALSE)+SUM(_xlfn.XLOOKUP($S154:$AL154,增益!$A:$A,增益!$M:$M,0))&gt;0,($F$13-$I$4+VLOOKUP($R154,武学奇术!$A:$ZZ,13,FALSE)+SUM(_xlfn.XLOOKUP($S154:$AL154,增益!$A:$A,增益!$K:$K,0)))/200,($F$13-$I$4+VLOOKUP($R154,武学奇术!$A:$ZZ,13,FALSE)+SUM(_xlfn.XLOOKUP($S154:$AL154,增益!$A:$A,增益!$M:$M,0)))/100)</f>
        <v>-0.14</v>
      </c>
      <c r="BJ154" s="40" cm="1">
        <f t="array" ref="BJ154">$G$13+VLOOKUP($R154,武学奇术!$A:$ZZ,14,FALSE)+SUM(_xlfn.XLOOKUP($S154:$AL154,增益!$A:$A,增益!$N:$N,0))</f>
        <v>0.02</v>
      </c>
      <c r="BK154">
        <f t="shared" si="63"/>
        <v>0</v>
      </c>
      <c r="BL154">
        <f t="shared" si="64"/>
        <v>0</v>
      </c>
      <c r="BM154" s="40" cm="1">
        <f t="array" ref="BM154">IF($F$14-$I$4+VLOOKUP($R154,武学奇术!$A:$ZZ,15,FALSE)+SUM(_xlfn.XLOOKUP($S154:$AL154,增益!$A:$A,增益!$O:$O,0))&gt;0,($F$14-$I$4+VLOOKUP($R154,武学奇术!$A:$ZZ,15,FALSE)+SUM(_xlfn.XLOOKUP($S154:$AL154,增益!$A:$A,增益!$O:$O,0)))/200,($F$14-$I$4+VLOOKUP($R154,武学奇术!$A:$ZZ,15,FALSE)+SUM(_xlfn.XLOOKUP($S154:$AL154,增益!$A:$A,增益!$O:$O,0)))/100)</f>
        <v>-0.14</v>
      </c>
      <c r="BN154" s="40" cm="1">
        <f t="array" ref="BN154">$G$14+VLOOKUP($R154,武学奇术!$A:$ZZ,16,FALSE)+SUM(_xlfn.XLOOKUP($S154:$AL154,增益!$A:$A,增益!$P:$P,0))</f>
        <v>0.02</v>
      </c>
      <c r="BO154" s="33">
        <f>MIN(IF(VLOOKUP($R154,武学奇术!$A:$ZZ,23,FALSE)=1,100%,$B$8),100%)</f>
        <v>0.9771</v>
      </c>
      <c r="BP154" s="33" cm="1">
        <f t="array" ref="BP154">IF(VLOOKUP($R154,武学奇术!$A:$ZZ,23,FALSE)=1,100%,MIN(80%,$B$9+VLOOKUP($R154,武学奇术!$A:$ZZ,17,FALSE)+SUM(_xlfn.XLOOKUP($S154:$AL154,增益!$A:$A,增益!$Q:$Q,0)))+$B$11+SUM(_xlfn.XLOOKUP($S154:$AL154,增益!$A:$A,增益!$U:$U,0)))*IF(VLOOKUP($R154,武学奇术!$A:$ZZ,24,FALSE)=1,0,1)</f>
        <v>0.8861</v>
      </c>
      <c r="BQ154" s="33" cm="1">
        <f t="array" ref="BQ154">1+$B$13+VLOOKUP($R154,武学奇术!$A:$ZZ,18,FALSE)+SUM(_xlfn.XLOOKUP($S154:$AL154,增益!$A:$A,增益!$R:$R,0))</f>
        <v>1.89</v>
      </c>
      <c r="BR154" s="33" cm="1">
        <f t="array" ref="BR154">IF(VLOOKUP($R154,武学奇术!$A:$ZZ,24,FALSE)=1,100%,MIN(40%,$B$10+VLOOKUP($R154,武学奇术!$A:$ZZ,19,FALSE)+SUM(_xlfn.XLOOKUP($S154:$AL154,增益!$A:$A,增益!$S:$S,0)))+$B$12+SUM(_xlfn.XLOOKUP($S154:$AL154,增益!$A:$A,增益!$V:$V,0)))*IF(VLOOKUP($R154,武学奇术!$A:$ZZ,23,FALSE)=1,0,1)</f>
        <v>0.0913</v>
      </c>
      <c r="BS154" s="33" cm="1">
        <f t="array" ref="BS154">1+$B$14+VLOOKUP($R154,武学奇术!$A:$ZZ,20,FALSE)+SUM(_xlfn.XLOOKUP($S154:$AL154,增益!$A:$A,增益!$T:$T,0))</f>
        <v>1.35</v>
      </c>
      <c r="BT154" s="33">
        <f t="shared" si="65"/>
        <v>0.86580831</v>
      </c>
      <c r="BU154" s="33">
        <f t="shared" si="66"/>
        <v>0.02208246</v>
      </c>
      <c r="BV154" s="33">
        <f>IF(VLOOKUP($R154,武学奇术!$A:$ZZ,22,FALSE)=1,0,(1-$BO154))*(1-$BR154)</f>
        <v>0.02080923</v>
      </c>
      <c r="BW154" s="33" cm="1">
        <f t="array" ref="BW154">SUM(_xlfn.XLOOKUP($S154:$AL154,增益!$A:$A,增益!$W:$W,0))+$I$5</f>
        <v>0.11</v>
      </c>
      <c r="BX154" s="33" cm="1">
        <f t="array" ref="BX154">VLOOKUP($R154,武学奇术!$A:$ZZ,32,FALSE)+SUM(_xlfn.XLOOKUP($S154:$AL154,增益!$A:$A,增益!$X:$X,0))</f>
        <v>0</v>
      </c>
    </row>
    <row r="155" spans="1:76">
      <c r="A155" s="4" t="s">
        <v>198</v>
      </c>
      <c r="B155" s="4">
        <v>1</v>
      </c>
      <c r="D155" s="47"/>
      <c r="E155" s="47"/>
      <c r="L155" s="46">
        <f t="shared" si="56"/>
        <v>0</v>
      </c>
      <c r="M155" s="46">
        <f>((($AT155+$AU155)/2*$AN155+$AO155)*(1+$AV155)*(1+$AW155)+(($AY155+$AZ155)/2*IF($G$1="鸣金",$AP155,$AN155)+IF($G$1="鸣金",$AQ155*1.5,0))*(1+$BA155)*(1+$BB155)+(($BC155+$BD155)/2*IF($G$1="裂石",$AP155,$AN155)+IF($G$1="裂石",$AQ155*1.5,0))*(1+$BE155)*(1+$BF155)+(($BG155+$BH155)/2*IF($G$1="牵丝",$AP155,$AN155)+IF($G$1="牵丝",$AQ155*1.5,0))*(1+$BI155)*(1+$BJ155)+(($BK155+$BL155)/2*IF($G$1="破竹",$AP155,$AN155)+IF($G$1="破竹",$AQ155*1.5,0))*(1+$BM155)*(1+$BN155))*(1+$AR155)*$BQ155*$Q155*(1+IF(VLOOKUP($R155,武学奇术!$A:$ZZ,30,FALSE)="蓄力技",$B$21,0))*(1+IF(VLOOKUP($R155,武学奇术!$A:$ZZ,30,FALSE)="派生技",$B$20,0))*(1+$BW155)*(1+$BX155)</f>
        <v>0</v>
      </c>
      <c r="N155" s="46">
        <f>(($AU155*$AN155+$AO155)*(1+$AV155)*(1+$AW155)+($AZ155*IF($G$1="鸣金",$AP155,$AN155)+IF($G$1="鸣金",$AQ155*1.5,0))*(1+$BA155)*(1+$BB155)+($BD155*IF($G$1="裂石",$AP155,$AN155)+IF($G$1="裂石",$AQ155*1.5,0))*(1+$BE155)*(1+$BF155)+($BH155*IF($G$1="牵丝",$AP155,$AN155)+IF($G$1="牵丝",$AQ155*1.5,0))*(1+$BI155)*(1+$BJ155)+($BL155*IF($G$1="破竹",$AP155,$AN155)+IF($G$1="破竹",$AQ155*1.5,0))*(1+$BM155)*(1+$BN155))*(1+$AR155)*$BS155*$Q155*(1+IF(VLOOKUP($R155,武学奇术!$A:$ZZ,30,FALSE)="蓄力技",$B$21,0))*(1+IF(VLOOKUP($R155,武学奇术!$A:$ZZ,30,FALSE)="派生技",$B$20,0))*(1+$BW155)*(1+$BX155)</f>
        <v>0</v>
      </c>
      <c r="O155" s="46">
        <f>((($AT155+$AU155)/2*$AN155+$AO155)*(1+$AV155)*(1+$AW155)+(($AY155+$AZ155)/2*IF($G$1="鸣金",$AP155,$AN155)+IF($G$1="鸣金",$AQ155*1.5,0))*(1+$BA155)*(1+$BB155)+(($BC155+$BD155)/2*IF($G$1="裂石",$AP155,$AN155)+IF($G$1="裂石",$AQ155*1.5,0))*(1+$BE155)*(1+$BF155)+(($BG155+$BH155)/2*IF($G$1="牵丝",$AP155,$AN155)+IF($G$1="牵丝",$AQ155*1.5,0))*(1+$BI155)*(1+$BJ155)+(($BK155+$BL155)/2*IF($G$1="破竹",$AP155,$AN155)+IF($G$1="破竹",$AQ155*1.5,0))*(1+$BM155)*(1+$BN155))*(1+$AR155)*$Q155*(1+IF(VLOOKUP($R155,武学奇术!$A:$ZZ,30,FALSE)="蓄力技",$B$21,0))*(1+IF(VLOOKUP($R155,武学奇术!$A:$ZZ,30,FALSE)="派生技",$B$20,0))*(1+$BW155)*(1+$BX155)</f>
        <v>0</v>
      </c>
      <c r="P155" s="46">
        <f>((($AT155*$AN155+$AO155)*(1+$AV155)*(1+$AW155)+($AY155*IF($G$1="鸣金",$AP155,$AN155)+IF($G$1="鸣金",$AQ155*1.5,0))*(1+$BA155)*(1+$BB155)+($BC155*IF($G$1="裂石",$AP155,$AN155)+IF($G$1="裂石",$AQ155*1.5,0))*(1+$BE155)*(1+$BF155)+($BG155*IF($G$1="牵丝",$AP155,$AN155)+IF($G$1="牵丝",$AQ155*1.5,0))*(1+$BI155)*(1+$BJ155)+($BK155*IF($G$1="破竹",$AP155,$AN155)+IF($G$1="破竹",$AQ155*1.5,0))*(1+$BM155)*(1+$BN155))*(1+$AR155))*$Q155*(1+IF(VLOOKUP($R155,武学奇术!$A:$ZZ,30,FALSE)="蓄力技",$B$21,0))*(1+IF(VLOOKUP($R155,武学奇术!$A:$ZZ,30,FALSE)="派生技",$B$20,0))*(1+$BW155)*(1+$BX155)</f>
        <v>0</v>
      </c>
      <c r="Q155" s="47">
        <f t="shared" si="69"/>
        <v>0</v>
      </c>
      <c r="R155" s="48" t="s">
        <v>195</v>
      </c>
      <c r="S155" s="48" t="s">
        <v>99</v>
      </c>
      <c r="T155" s="48" t="s">
        <v>100</v>
      </c>
      <c r="U155" s="48" t="s">
        <v>79</v>
      </c>
      <c r="V155" s="48" t="s">
        <v>90</v>
      </c>
      <c r="W155" s="48" t="s">
        <v>141</v>
      </c>
      <c r="X155" s="48" t="s">
        <v>80</v>
      </c>
      <c r="Y155" s="48" t="s">
        <v>74</v>
      </c>
      <c r="Z155" s="48" t="s">
        <v>81</v>
      </c>
      <c r="AA155" s="48" t="s">
        <v>80</v>
      </c>
      <c r="AB155" s="48" t="s">
        <v>80</v>
      </c>
      <c r="AC155" s="48" t="s">
        <v>80</v>
      </c>
      <c r="AD155" s="48" t="s">
        <v>80</v>
      </c>
      <c r="AE155" s="48" t="s">
        <v>82</v>
      </c>
      <c r="AF155" s="48" t="s">
        <v>83</v>
      </c>
      <c r="AG155" s="48" t="s">
        <v>84</v>
      </c>
      <c r="AH155" s="48" t="s">
        <v>80</v>
      </c>
      <c r="AI155" s="48" t="s">
        <v>80</v>
      </c>
      <c r="AJ155" s="48" t="s">
        <v>80</v>
      </c>
      <c r="AK155" s="48" t="s">
        <v>80</v>
      </c>
      <c r="AL155" s="48" t="s">
        <v>85</v>
      </c>
      <c r="AM155" t="str">
        <f>VLOOKUP($R155,武学奇术!$A:$ZZ,25,FALSE)</f>
        <v>横刀</v>
      </c>
      <c r="AN155" s="33">
        <f>VLOOKUP($R155,武学奇术!$A:$ZZ,26,FALSE)</f>
        <v>3.6553</v>
      </c>
      <c r="AO155" s="34">
        <f>VLOOKUP($R155,武学奇术!$A:$ZZ,27,FALSE)*(1+IF(OR($AM155=$F$4,$AM155=$F$5),$B$22,0))</f>
        <v>1619.2</v>
      </c>
      <c r="AP155" s="33">
        <f>VLOOKUP($R155,武学奇术!$A:$ZZ,28,FALSE)</f>
        <v>5.4829</v>
      </c>
      <c r="AQ155" s="34">
        <f>VLOOKUP($R155,武学奇术!$A:$ZZ,29,FALSE)*(1+IF(OR($AM155=$F$4,$AM155=$F$5),$B$22,0))</f>
        <v>880</v>
      </c>
      <c r="AR155" s="33" cm="1">
        <f t="array" ref="AR155">$G$3+IFERROR(VLOOKUP($AM155,$F$4:$G$7,2,FALSE),0)+VLOOKUP($R155,武学奇术!$A:$ZZ,2,FALSE)+SUM(_xlfn.XLOOKUP($S155:$AL155,增益!$A:$A,增益!$B:$B,0))</f>
        <v>0.7289</v>
      </c>
      <c r="AS155" s="33" cm="1">
        <f t="array" ref="AS155">VLOOKUP($R155,武学奇术!$A:$ZZ,5,FALSE)+SUM(_xlfn.XLOOKUP($S155:$AL155,增益!$A:$A,增益!$E:$E,0))</f>
        <v>0</v>
      </c>
      <c r="AT155" cm="1">
        <f t="array" ref="AT155">$D$10*(1+$AS155)+VLOOKUP($R155,武学奇术!$A:$ZZ,3,FALSE)+SUM(_xlfn.XLOOKUP($S155:$AL155,增益!$A:$A,增益!$C:$C,0))-$I$2</f>
        <v>4094.7</v>
      </c>
      <c r="AU155" cm="1">
        <f t="array" ref="AU155">$E$10*(1+$AS155)+VLOOKUP($R155,武学奇术!$A:$ZZ,4,FALSE)+SUM(_xlfn.XLOOKUP($S155:$AL155,增益!$A:$A,增益!$D:$D,0))-$I$2</f>
        <v>4094.7</v>
      </c>
      <c r="AV155" s="40" cm="1">
        <f t="array" ref="AV155">IF($F$10-$I$3+VLOOKUP($R155,武学奇术!$A:$ZZ,6,FALSE)+SUM(_xlfn.XLOOKUP($S155:$AL155,增益!$A:$A,增益!$F:$F,0))&gt;0,($F$10-$I$3+VLOOKUP($R155,武学奇术!$A:$ZZ,6,FALSE)+SUM(_xlfn.XLOOKUP($S155:$AL155,增益!$A:$A,增益!$F:$F,0)))/200,($F$10-$I$3+VLOOKUP($R155,武学奇术!$A:$ZZ,6,FALSE)+SUM(_xlfn.XLOOKUP($S155:$AL155,增益!$A:$A,增益!$F:$F,0)))/100)</f>
        <v>0.4384</v>
      </c>
      <c r="AW155" s="40" cm="1">
        <f t="array" ref="AW155">$G$10+VLOOKUP($R155,武学奇术!$A:$ZZ,7,FALSE)+SUM(_xlfn.XLOOKUP($S155:$AL155,增益!$A:$A,增益!$G:$G,0))</f>
        <v>0.14</v>
      </c>
      <c r="AX155" s="33" cm="1">
        <f t="array" ref="AX155">VLOOKUP($R155,武学奇术!$A:$ZZ,8,FALSE)+SUM(_xlfn.XLOOKUP($S155:$AL155,增益!$A:$A,增益!$H:$H,0))</f>
        <v>0</v>
      </c>
      <c r="AY155">
        <f t="shared" si="57"/>
        <v>0</v>
      </c>
      <c r="AZ155">
        <f t="shared" si="58"/>
        <v>0</v>
      </c>
      <c r="BA155" s="40" cm="1">
        <f t="array" ref="BA155">IF($F$11-$I$4+VLOOKUP($R155,武学奇术!$A:$ZZ,9,FALSE)+SUM(_xlfn.XLOOKUP($S155:$AL155,增益!$A:$A,增益!$I:$I,0))&gt;0,($F$11-$I$4+VLOOKUP($R155,武学奇术!$A:$ZZ,9,FALSE)+SUM(_xlfn.XLOOKUP($S155:$AL155,增益!$A:$A,增益!$I:$I,0)))/200,($F$11-$I$4+VLOOKUP($R155,武学奇术!$A:$ZZ,9,FALSE)+SUM(_xlfn.XLOOKUP($S155:$AL155,增益!$A:$A,增益!$I:$I,0)))/100)</f>
        <v>-0.14</v>
      </c>
      <c r="BB155" s="40" cm="1">
        <f t="array" ref="BB155">$G$11+VLOOKUP($R155,武学奇术!$A:$ZZ,10,FALSE)+SUM(_xlfn.XLOOKUP($S155:$AL155,增益!$A:$A,增益!$J:$J,0))</f>
        <v>0.02</v>
      </c>
      <c r="BC155">
        <f t="shared" si="59"/>
        <v>640.3</v>
      </c>
      <c r="BD155">
        <f t="shared" si="60"/>
        <v>1770.1</v>
      </c>
      <c r="BE155" s="40" cm="1">
        <f t="array" ref="BE155">IF($F$12-$I$4+VLOOKUP($R155,武学奇术!$A:$ZZ,11,FALSE)+SUM(_xlfn.XLOOKUP($S155:$AL155,增益!$A:$A,增益!$K:$K,0))&gt;0,($F$12-$I$4+VLOOKUP($R155,武学奇术!$A:$ZZ,11,FALSE)+SUM(_xlfn.XLOOKUP($S155:$AL155,增益!$A:$A,增益!$K:$K,0)))/200,($F$12-$I$4+VLOOKUP($R155,武学奇术!$A:$ZZ,11,FALSE)+SUM(_xlfn.XLOOKUP($S155:$AL155,增益!$A:$A,增益!$K:$K,0)))/100)</f>
        <v>0.17</v>
      </c>
      <c r="BF155" s="40" cm="1">
        <f t="array" ref="BF155">$G$12+VLOOKUP($R155,武学奇术!$A:$ZZ,12,FALSE)+SUM(_xlfn.XLOOKUP($S155:$AL155,增益!$A:$A,增益!$L:$L,0))</f>
        <v>0.29</v>
      </c>
      <c r="BG155">
        <f t="shared" si="61"/>
        <v>0</v>
      </c>
      <c r="BH155">
        <f t="shared" si="62"/>
        <v>0</v>
      </c>
      <c r="BI155" s="40" cm="1">
        <f t="array" ref="BI155">IF($F$13-$I$4+VLOOKUP($R155,武学奇术!$A:$ZZ,13,FALSE)+SUM(_xlfn.XLOOKUP($S155:$AL155,增益!$A:$A,增益!$M:$M,0))&gt;0,($F$13-$I$4+VLOOKUP($R155,武学奇术!$A:$ZZ,13,FALSE)+SUM(_xlfn.XLOOKUP($S155:$AL155,增益!$A:$A,增益!$K:$K,0)))/200,($F$13-$I$4+VLOOKUP($R155,武学奇术!$A:$ZZ,13,FALSE)+SUM(_xlfn.XLOOKUP($S155:$AL155,增益!$A:$A,增益!$M:$M,0)))/100)</f>
        <v>-0.14</v>
      </c>
      <c r="BJ155" s="40" cm="1">
        <f t="array" ref="BJ155">$G$13+VLOOKUP($R155,武学奇术!$A:$ZZ,14,FALSE)+SUM(_xlfn.XLOOKUP($S155:$AL155,增益!$A:$A,增益!$N:$N,0))</f>
        <v>0.02</v>
      </c>
      <c r="BK155">
        <f t="shared" si="63"/>
        <v>0</v>
      </c>
      <c r="BL155">
        <f t="shared" si="64"/>
        <v>0</v>
      </c>
      <c r="BM155" s="40" cm="1">
        <f t="array" ref="BM155">IF($F$14-$I$4+VLOOKUP($R155,武学奇术!$A:$ZZ,15,FALSE)+SUM(_xlfn.XLOOKUP($S155:$AL155,增益!$A:$A,增益!$O:$O,0))&gt;0,($F$14-$I$4+VLOOKUP($R155,武学奇术!$A:$ZZ,15,FALSE)+SUM(_xlfn.XLOOKUP($S155:$AL155,增益!$A:$A,增益!$O:$O,0)))/200,($F$14-$I$4+VLOOKUP($R155,武学奇术!$A:$ZZ,15,FALSE)+SUM(_xlfn.XLOOKUP($S155:$AL155,增益!$A:$A,增益!$O:$O,0)))/100)</f>
        <v>-0.14</v>
      </c>
      <c r="BN155" s="40" cm="1">
        <f t="array" ref="BN155">$G$14+VLOOKUP($R155,武学奇术!$A:$ZZ,16,FALSE)+SUM(_xlfn.XLOOKUP($S155:$AL155,增益!$A:$A,增益!$P:$P,0))</f>
        <v>0.02</v>
      </c>
      <c r="BO155" s="33">
        <f>MIN(IF(VLOOKUP($R155,武学奇术!$A:$ZZ,23,FALSE)=1,100%,$B$8),100%)</f>
        <v>0.9771</v>
      </c>
      <c r="BP155" s="33" cm="1">
        <f t="array" ref="BP155">IF(VLOOKUP($R155,武学奇术!$A:$ZZ,23,FALSE)=1,100%,MIN(80%,$B$9+VLOOKUP($R155,武学奇术!$A:$ZZ,17,FALSE)+SUM(_xlfn.XLOOKUP($S155:$AL155,增益!$A:$A,增益!$Q:$Q,0)))+$B$11+SUM(_xlfn.XLOOKUP($S155:$AL155,增益!$A:$A,增益!$U:$U,0)))*IF(VLOOKUP($R155,武学奇术!$A:$ZZ,24,FALSE)=1,0,1)</f>
        <v>0.8861</v>
      </c>
      <c r="BQ155" s="33" cm="1">
        <f t="array" ref="BQ155">1+$B$13+VLOOKUP($R155,武学奇术!$A:$ZZ,18,FALSE)+SUM(_xlfn.XLOOKUP($S155:$AL155,增益!$A:$A,增益!$R:$R,0))</f>
        <v>1.94</v>
      </c>
      <c r="BR155" s="33" cm="1">
        <f t="array" ref="BR155">IF(VLOOKUP($R155,武学奇术!$A:$ZZ,24,FALSE)=1,100%,MIN(40%,$B$10+VLOOKUP($R155,武学奇术!$A:$ZZ,19,FALSE)+SUM(_xlfn.XLOOKUP($S155:$AL155,增益!$A:$A,增益!$S:$S,0)))+$B$12+SUM(_xlfn.XLOOKUP($S155:$AL155,增益!$A:$A,增益!$V:$V,0)))*IF(VLOOKUP($R155,武学奇术!$A:$ZZ,23,FALSE)=1,0,1)</f>
        <v>0.0913</v>
      </c>
      <c r="BS155" s="33" cm="1">
        <f t="array" ref="BS155">1+$B$14+VLOOKUP($R155,武学奇术!$A:$ZZ,20,FALSE)+SUM(_xlfn.XLOOKUP($S155:$AL155,增益!$A:$A,增益!$T:$T,0))</f>
        <v>1.35</v>
      </c>
      <c r="BT155" s="33">
        <f t="shared" si="65"/>
        <v>0.86580831</v>
      </c>
      <c r="BU155" s="33">
        <f t="shared" si="66"/>
        <v>0.02208246</v>
      </c>
      <c r="BV155" s="33">
        <f>IF(VLOOKUP($R155,武学奇术!$A:$ZZ,22,FALSE)=1,0,(1-$BO155))*(1-$BR155)</f>
        <v>0.02080923</v>
      </c>
      <c r="BW155" s="33" cm="1">
        <f t="array" ref="BW155">SUM(_xlfn.XLOOKUP($S155:$AL155,增益!$A:$A,增益!$W:$W,0))+$I$5</f>
        <v>0.11</v>
      </c>
      <c r="BX155" s="33" cm="1">
        <f t="array" ref="BX155">VLOOKUP($R155,武学奇术!$A:$ZZ,32,FALSE)+SUM(_xlfn.XLOOKUP($S155:$AL155,增益!$A:$A,增益!$X:$X,0))</f>
        <v>0</v>
      </c>
    </row>
    <row r="156" spans="1:76">
      <c r="A156" s="4" t="s">
        <v>189</v>
      </c>
      <c r="B156" s="4">
        <v>0.8</v>
      </c>
      <c r="D156" s="47"/>
      <c r="E156" s="47"/>
      <c r="L156" s="46">
        <f t="shared" si="56"/>
        <v>0</v>
      </c>
      <c r="M156" s="46">
        <f>((($AT156+$AU156)/2*$AN156+$AO156)*(1+$AV156)*(1+$AW156)+(($AY156+$AZ156)/2*IF($G$1="鸣金",$AP156,$AN156)+IF($G$1="鸣金",$AQ156*1.5,0))*(1+$BA156)*(1+$BB156)+(($BC156+$BD156)/2*IF($G$1="裂石",$AP156,$AN156)+IF($G$1="裂石",$AQ156*1.5,0))*(1+$BE156)*(1+$BF156)+(($BG156+$BH156)/2*IF($G$1="牵丝",$AP156,$AN156)+IF($G$1="牵丝",$AQ156*1.5,0))*(1+$BI156)*(1+$BJ156)+(($BK156+$BL156)/2*IF($G$1="破竹",$AP156,$AN156)+IF($G$1="破竹",$AQ156*1.5,0))*(1+$BM156)*(1+$BN156))*(1+$AR156)*$BQ156*$Q156*(1+IF(VLOOKUP($R156,武学奇术!$A:$ZZ,30,FALSE)="蓄力技",$B$21,0))*(1+IF(VLOOKUP($R156,武学奇术!$A:$ZZ,30,FALSE)="派生技",$B$20,0))*(1+$BW156)*(1+$BX156)</f>
        <v>0</v>
      </c>
      <c r="N156" s="46">
        <f>(($AU156*$AN156+$AO156)*(1+$AV156)*(1+$AW156)+($AZ156*IF($G$1="鸣金",$AP156,$AN156)+IF($G$1="鸣金",$AQ156*1.5,0))*(1+$BA156)*(1+$BB156)+($BD156*IF($G$1="裂石",$AP156,$AN156)+IF($G$1="裂石",$AQ156*1.5,0))*(1+$BE156)*(1+$BF156)+($BH156*IF($G$1="牵丝",$AP156,$AN156)+IF($G$1="牵丝",$AQ156*1.5,0))*(1+$BI156)*(1+$BJ156)+($BL156*IF($G$1="破竹",$AP156,$AN156)+IF($G$1="破竹",$AQ156*1.5,0))*(1+$BM156)*(1+$BN156))*(1+$AR156)*$BS156*$Q156*(1+IF(VLOOKUP($R156,武学奇术!$A:$ZZ,30,FALSE)="蓄力技",$B$21,0))*(1+IF(VLOOKUP($R156,武学奇术!$A:$ZZ,30,FALSE)="派生技",$B$20,0))*(1+$BW156)*(1+$BX156)</f>
        <v>0</v>
      </c>
      <c r="O156" s="46">
        <f>((($AT156+$AU156)/2*$AN156+$AO156)*(1+$AV156)*(1+$AW156)+(($AY156+$AZ156)/2*IF($G$1="鸣金",$AP156,$AN156)+IF($G$1="鸣金",$AQ156*1.5,0))*(1+$BA156)*(1+$BB156)+(($BC156+$BD156)/2*IF($G$1="裂石",$AP156,$AN156)+IF($G$1="裂石",$AQ156*1.5,0))*(1+$BE156)*(1+$BF156)+(($BG156+$BH156)/2*IF($G$1="牵丝",$AP156,$AN156)+IF($G$1="牵丝",$AQ156*1.5,0))*(1+$BI156)*(1+$BJ156)+(($BK156+$BL156)/2*IF($G$1="破竹",$AP156,$AN156)+IF($G$1="破竹",$AQ156*1.5,0))*(1+$BM156)*(1+$BN156))*(1+$AR156)*$Q156*(1+IF(VLOOKUP($R156,武学奇术!$A:$ZZ,30,FALSE)="蓄力技",$B$21,0))*(1+IF(VLOOKUP($R156,武学奇术!$A:$ZZ,30,FALSE)="派生技",$B$20,0))*(1+$BW156)*(1+$BX156)</f>
        <v>0</v>
      </c>
      <c r="P156" s="46">
        <f>((($AT156*$AN156+$AO156)*(1+$AV156)*(1+$AW156)+($AY156*IF($G$1="鸣金",$AP156,$AN156)+IF($G$1="鸣金",$AQ156*1.5,0))*(1+$BA156)*(1+$BB156)+($BC156*IF($G$1="裂石",$AP156,$AN156)+IF($G$1="裂石",$AQ156*1.5,0))*(1+$BE156)*(1+$BF156)+($BG156*IF($G$1="牵丝",$AP156,$AN156)+IF($G$1="牵丝",$AQ156*1.5,0))*(1+$BI156)*(1+$BJ156)+($BK156*IF($G$1="破竹",$AP156,$AN156)+IF($G$1="破竹",$AQ156*1.5,0))*(1+$BM156)*(1+$BN156))*(1+$AR156))*$Q156*(1+IF(VLOOKUP($R156,武学奇术!$A:$ZZ,30,FALSE)="蓄力技",$B$21,0))*(1+IF(VLOOKUP($R156,武学奇术!$A:$ZZ,30,FALSE)="派生技",$B$20,0))*(1+$BW156)*(1+$BX156)</f>
        <v>0</v>
      </c>
      <c r="Q156" s="47">
        <f>IF($E$24="唐刀",1,0)</f>
        <v>0</v>
      </c>
      <c r="R156" s="48" t="s">
        <v>196</v>
      </c>
      <c r="S156" s="48" t="s">
        <v>99</v>
      </c>
      <c r="T156" s="48" t="s">
        <v>100</v>
      </c>
      <c r="U156" s="48" t="s">
        <v>79</v>
      </c>
      <c r="V156" s="48" t="s">
        <v>90</v>
      </c>
      <c r="W156" s="48" t="s">
        <v>141</v>
      </c>
      <c r="X156" s="48" t="s">
        <v>80</v>
      </c>
      <c r="Y156" s="48" t="s">
        <v>74</v>
      </c>
      <c r="Z156" s="48" t="s">
        <v>81</v>
      </c>
      <c r="AA156" s="48" t="s">
        <v>80</v>
      </c>
      <c r="AB156" s="48" t="s">
        <v>80</v>
      </c>
      <c r="AC156" s="48" t="s">
        <v>80</v>
      </c>
      <c r="AD156" s="48" t="s">
        <v>80</v>
      </c>
      <c r="AE156" s="48" t="s">
        <v>82</v>
      </c>
      <c r="AF156" s="48" t="s">
        <v>83</v>
      </c>
      <c r="AG156" s="48" t="s">
        <v>84</v>
      </c>
      <c r="AH156" s="48" t="s">
        <v>80</v>
      </c>
      <c r="AI156" s="48" t="s">
        <v>80</v>
      </c>
      <c r="AJ156" s="48" t="s">
        <v>80</v>
      </c>
      <c r="AK156" s="48" t="s">
        <v>80</v>
      </c>
      <c r="AL156" s="48" t="s">
        <v>85</v>
      </c>
      <c r="AM156" t="str">
        <f>VLOOKUP($R156,武学奇术!$A:$ZZ,25,FALSE)</f>
        <v>横刀</v>
      </c>
      <c r="AN156" s="33">
        <f>VLOOKUP($R156,武学奇术!$A:$ZZ,26,FALSE)</f>
        <v>1.47</v>
      </c>
      <c r="AO156" s="34">
        <f>VLOOKUP($R156,武学奇术!$A:$ZZ,27,FALSE)*(1+IF(OR($AM156=$F$4,$AM156=$F$5),$B$22,0))</f>
        <v>0</v>
      </c>
      <c r="AP156" s="33">
        <f>VLOOKUP($R156,武学奇术!$A:$ZZ,28,FALSE)</f>
        <v>2.205</v>
      </c>
      <c r="AQ156" s="34">
        <f>VLOOKUP($R156,武学奇术!$A:$ZZ,29,FALSE)*(1+IF(OR($AM156=$F$4,$AM156=$F$5),$B$22,0))</f>
        <v>0</v>
      </c>
      <c r="AR156" s="33" cm="1">
        <f t="array" ref="AR156">$G$3+IFERROR(VLOOKUP($AM156,$F$4:$G$7,2,FALSE),0)+VLOOKUP($R156,武学奇术!$A:$ZZ,2,FALSE)+SUM(_xlfn.XLOOKUP($S156:$AL156,增益!$A:$A,增益!$B:$B,0))</f>
        <v>0.6289</v>
      </c>
      <c r="AS156" s="33" cm="1">
        <f t="array" ref="AS156">VLOOKUP($R156,武学奇术!$A:$ZZ,5,FALSE)+SUM(_xlfn.XLOOKUP($S156:$AL156,增益!$A:$A,增益!$E:$E,0))</f>
        <v>0</v>
      </c>
      <c r="AT156" cm="1">
        <f t="array" ref="AT156">$D$10*(1+$AS156)+VLOOKUP($R156,武学奇术!$A:$ZZ,3,FALSE)+SUM(_xlfn.XLOOKUP($S156:$AL156,增益!$A:$A,增益!$C:$C,0))-$I$2</f>
        <v>4094.7</v>
      </c>
      <c r="AU156" cm="1">
        <f t="array" ref="AU156">$E$10*(1+$AS156)+VLOOKUP($R156,武学奇术!$A:$ZZ,4,FALSE)+SUM(_xlfn.XLOOKUP($S156:$AL156,增益!$A:$A,增益!$D:$D,0))-$I$2</f>
        <v>4094.7</v>
      </c>
      <c r="AV156" s="40" cm="1">
        <f t="array" ref="AV156">IF($F$10-$I$3+VLOOKUP($R156,武学奇术!$A:$ZZ,6,FALSE)+SUM(_xlfn.XLOOKUP($S156:$AL156,增益!$A:$A,增益!$F:$F,0))&gt;0,($F$10-$I$3+VLOOKUP($R156,武学奇术!$A:$ZZ,6,FALSE)+SUM(_xlfn.XLOOKUP($S156:$AL156,增益!$A:$A,增益!$F:$F,0)))/200,($F$10-$I$3+VLOOKUP($R156,武学奇术!$A:$ZZ,6,FALSE)+SUM(_xlfn.XLOOKUP($S156:$AL156,增益!$A:$A,增益!$F:$F,0)))/100)</f>
        <v>0.4384</v>
      </c>
      <c r="AW156" s="40" cm="1">
        <f t="array" ref="AW156">$G$10+VLOOKUP($R156,武学奇术!$A:$ZZ,7,FALSE)+SUM(_xlfn.XLOOKUP($S156:$AL156,增益!$A:$A,增益!$G:$G,0))</f>
        <v>0.14</v>
      </c>
      <c r="AX156" s="33" cm="1">
        <f t="array" ref="AX156">VLOOKUP($R156,武学奇术!$A:$ZZ,8,FALSE)+SUM(_xlfn.XLOOKUP($S156:$AL156,增益!$A:$A,增益!$H:$H,0))</f>
        <v>0</v>
      </c>
      <c r="AY156">
        <f t="shared" si="57"/>
        <v>0</v>
      </c>
      <c r="AZ156">
        <f t="shared" si="58"/>
        <v>0</v>
      </c>
      <c r="BA156" s="40" cm="1">
        <f t="array" ref="BA156">IF($F$11-$I$4+VLOOKUP($R156,武学奇术!$A:$ZZ,9,FALSE)+SUM(_xlfn.XLOOKUP($S156:$AL156,增益!$A:$A,增益!$I:$I,0))&gt;0,($F$11-$I$4+VLOOKUP($R156,武学奇术!$A:$ZZ,9,FALSE)+SUM(_xlfn.XLOOKUP($S156:$AL156,增益!$A:$A,增益!$I:$I,0)))/200,($F$11-$I$4+VLOOKUP($R156,武学奇术!$A:$ZZ,9,FALSE)+SUM(_xlfn.XLOOKUP($S156:$AL156,增益!$A:$A,增益!$I:$I,0)))/100)</f>
        <v>-0.14</v>
      </c>
      <c r="BB156" s="40" cm="1">
        <f t="array" ref="BB156">$G$11+VLOOKUP($R156,武学奇术!$A:$ZZ,10,FALSE)+SUM(_xlfn.XLOOKUP($S156:$AL156,增益!$A:$A,增益!$J:$J,0))</f>
        <v>0.02</v>
      </c>
      <c r="BC156">
        <f t="shared" si="59"/>
        <v>640.3</v>
      </c>
      <c r="BD156">
        <f t="shared" si="60"/>
        <v>1770.1</v>
      </c>
      <c r="BE156" s="40" cm="1">
        <f t="array" ref="BE156">IF($F$12-$I$4+VLOOKUP($R156,武学奇术!$A:$ZZ,11,FALSE)+SUM(_xlfn.XLOOKUP($S156:$AL156,增益!$A:$A,增益!$K:$K,0))&gt;0,($F$12-$I$4+VLOOKUP($R156,武学奇术!$A:$ZZ,11,FALSE)+SUM(_xlfn.XLOOKUP($S156:$AL156,增益!$A:$A,增益!$K:$K,0)))/200,($F$12-$I$4+VLOOKUP($R156,武学奇术!$A:$ZZ,11,FALSE)+SUM(_xlfn.XLOOKUP($S156:$AL156,增益!$A:$A,增益!$K:$K,0)))/100)</f>
        <v>0.17</v>
      </c>
      <c r="BF156" s="40" cm="1">
        <f t="array" ref="BF156">$G$12+VLOOKUP($R156,武学奇术!$A:$ZZ,12,FALSE)+SUM(_xlfn.XLOOKUP($S156:$AL156,增益!$A:$A,增益!$L:$L,0))</f>
        <v>0.29</v>
      </c>
      <c r="BG156">
        <f t="shared" si="61"/>
        <v>0</v>
      </c>
      <c r="BH156">
        <f t="shared" si="62"/>
        <v>0</v>
      </c>
      <c r="BI156" s="40" cm="1">
        <f t="array" ref="BI156">IF($F$13-$I$4+VLOOKUP($R156,武学奇术!$A:$ZZ,13,FALSE)+SUM(_xlfn.XLOOKUP($S156:$AL156,增益!$A:$A,增益!$M:$M,0))&gt;0,($F$13-$I$4+VLOOKUP($R156,武学奇术!$A:$ZZ,13,FALSE)+SUM(_xlfn.XLOOKUP($S156:$AL156,增益!$A:$A,增益!$K:$K,0)))/200,($F$13-$I$4+VLOOKUP($R156,武学奇术!$A:$ZZ,13,FALSE)+SUM(_xlfn.XLOOKUP($S156:$AL156,增益!$A:$A,增益!$M:$M,0)))/100)</f>
        <v>-0.14</v>
      </c>
      <c r="BJ156" s="40" cm="1">
        <f t="array" ref="BJ156">$G$13+VLOOKUP($R156,武学奇术!$A:$ZZ,14,FALSE)+SUM(_xlfn.XLOOKUP($S156:$AL156,增益!$A:$A,增益!$N:$N,0))</f>
        <v>0.02</v>
      </c>
      <c r="BK156">
        <f t="shared" si="63"/>
        <v>0</v>
      </c>
      <c r="BL156">
        <f t="shared" si="64"/>
        <v>0</v>
      </c>
      <c r="BM156" s="40" cm="1">
        <f t="array" ref="BM156">IF($F$14-$I$4+VLOOKUP($R156,武学奇术!$A:$ZZ,15,FALSE)+SUM(_xlfn.XLOOKUP($S156:$AL156,增益!$A:$A,增益!$O:$O,0))&gt;0,($F$14-$I$4+VLOOKUP($R156,武学奇术!$A:$ZZ,15,FALSE)+SUM(_xlfn.XLOOKUP($S156:$AL156,增益!$A:$A,增益!$O:$O,0)))/200,($F$14-$I$4+VLOOKUP($R156,武学奇术!$A:$ZZ,15,FALSE)+SUM(_xlfn.XLOOKUP($S156:$AL156,增益!$A:$A,增益!$O:$O,0)))/100)</f>
        <v>-0.14</v>
      </c>
      <c r="BN156" s="40" cm="1">
        <f t="array" ref="BN156">$G$14+VLOOKUP($R156,武学奇术!$A:$ZZ,16,FALSE)+SUM(_xlfn.XLOOKUP($S156:$AL156,增益!$A:$A,增益!$P:$P,0))</f>
        <v>0.02</v>
      </c>
      <c r="BO156" s="33">
        <f>MIN(IF(VLOOKUP($R156,武学奇术!$A:$ZZ,23,FALSE)=1,100%,$B$8),100%)</f>
        <v>0.9771</v>
      </c>
      <c r="BP156" s="33" cm="1">
        <f t="array" ref="BP156">IF(VLOOKUP($R156,武学奇术!$A:$ZZ,23,FALSE)=1,100%,MIN(80%,$B$9+VLOOKUP($R156,武学奇术!$A:$ZZ,17,FALSE)+SUM(_xlfn.XLOOKUP($S156:$AL156,增益!$A:$A,增益!$Q:$Q,0)))+$B$11+SUM(_xlfn.XLOOKUP($S156:$AL156,增益!$A:$A,增益!$U:$U,0)))*IF(VLOOKUP($R156,武学奇术!$A:$ZZ,24,FALSE)=1,0,1)</f>
        <v>0.8861</v>
      </c>
      <c r="BQ156" s="33" cm="1">
        <f t="array" ref="BQ156">1+$B$13+VLOOKUP($R156,武学奇术!$A:$ZZ,18,FALSE)+SUM(_xlfn.XLOOKUP($S156:$AL156,增益!$A:$A,增益!$R:$R,0))</f>
        <v>1.94</v>
      </c>
      <c r="BR156" s="33" cm="1">
        <f t="array" ref="BR156">IF(VLOOKUP($R156,武学奇术!$A:$ZZ,24,FALSE)=1,100%,MIN(40%,$B$10+VLOOKUP($R156,武学奇术!$A:$ZZ,19,FALSE)+SUM(_xlfn.XLOOKUP($S156:$AL156,增益!$A:$A,增益!$S:$S,0)))+$B$12+SUM(_xlfn.XLOOKUP($S156:$AL156,增益!$A:$A,增益!$V:$V,0)))*IF(VLOOKUP($R156,武学奇术!$A:$ZZ,23,FALSE)=1,0,1)</f>
        <v>0.0913</v>
      </c>
      <c r="BS156" s="33" cm="1">
        <f t="array" ref="BS156">1+$B$14+VLOOKUP($R156,武学奇术!$A:$ZZ,20,FALSE)+SUM(_xlfn.XLOOKUP($S156:$AL156,增益!$A:$A,增益!$T:$T,0))</f>
        <v>1.35</v>
      </c>
      <c r="BT156" s="33">
        <f t="shared" si="65"/>
        <v>0.86580831</v>
      </c>
      <c r="BU156" s="33">
        <f t="shared" si="66"/>
        <v>0.02208246</v>
      </c>
      <c r="BV156" s="33">
        <f>IF(VLOOKUP($R156,武学奇术!$A:$ZZ,22,FALSE)=1,0,(1-$BO156))*(1-$BR156)</f>
        <v>0.02080923</v>
      </c>
      <c r="BW156" s="33" cm="1">
        <f t="array" ref="BW156">SUM(_xlfn.XLOOKUP($S156:$AL156,增益!$A:$A,增益!$W:$W,0))+$I$5</f>
        <v>0.11</v>
      </c>
      <c r="BX156" s="33" cm="1">
        <f t="array" ref="BX156">VLOOKUP($R156,武学奇术!$A:$ZZ,32,FALSE)+SUM(_xlfn.XLOOKUP($S156:$AL156,增益!$A:$A,增益!$X:$X,0))</f>
        <v>0.4</v>
      </c>
    </row>
    <row r="157" spans="1:76">
      <c r="A157" s="4" t="s">
        <v>190</v>
      </c>
      <c r="B157" s="4">
        <v>1.1</v>
      </c>
      <c r="D157" s="47"/>
      <c r="E157" s="47"/>
      <c r="L157" s="46">
        <f t="shared" si="56"/>
        <v>0</v>
      </c>
      <c r="M157" s="46">
        <f>((($AT157+$AU157)/2*$AN157+$AO157)*(1+$AV157)*(1+$AW157)+(($AY157+$AZ157)/2*IF($G$1="鸣金",$AP157,$AN157)+IF($G$1="鸣金",$AQ157*1.5,0))*(1+$BA157)*(1+$BB157)+(($BC157+$BD157)/2*IF($G$1="裂石",$AP157,$AN157)+IF($G$1="裂石",$AQ157*1.5,0))*(1+$BE157)*(1+$BF157)+(($BG157+$BH157)/2*IF($G$1="牵丝",$AP157,$AN157)+IF($G$1="牵丝",$AQ157*1.5,0))*(1+$BI157)*(1+$BJ157)+(($BK157+$BL157)/2*IF($G$1="破竹",$AP157,$AN157)+IF($G$1="破竹",$AQ157*1.5,0))*(1+$BM157)*(1+$BN157))*(1+$AR157)*$BQ157*$Q157*(1+IF(VLOOKUP($R157,武学奇术!$A:$ZZ,30,FALSE)="蓄力技",$B$21,0))*(1+IF(VLOOKUP($R157,武学奇术!$A:$ZZ,30,FALSE)="派生技",$B$20,0))*(1+$BW157)*(1+$BX157)</f>
        <v>0</v>
      </c>
      <c r="N157" s="46">
        <f>(($AU157*$AN157+$AO157)*(1+$AV157)*(1+$AW157)+($AZ157*IF($G$1="鸣金",$AP157,$AN157)+IF($G$1="鸣金",$AQ157*1.5,0))*(1+$BA157)*(1+$BB157)+($BD157*IF($G$1="裂石",$AP157,$AN157)+IF($G$1="裂石",$AQ157*1.5,0))*(1+$BE157)*(1+$BF157)+($BH157*IF($G$1="牵丝",$AP157,$AN157)+IF($G$1="牵丝",$AQ157*1.5,0))*(1+$BI157)*(1+$BJ157)+($BL157*IF($G$1="破竹",$AP157,$AN157)+IF($G$1="破竹",$AQ157*1.5,0))*(1+$BM157)*(1+$BN157))*(1+$AR157)*$BS157*$Q157*(1+IF(VLOOKUP($R157,武学奇术!$A:$ZZ,30,FALSE)="蓄力技",$B$21,0))*(1+IF(VLOOKUP($R157,武学奇术!$A:$ZZ,30,FALSE)="派生技",$B$20,0))*(1+$BW157)*(1+$BX157)</f>
        <v>0</v>
      </c>
      <c r="O157" s="46">
        <f>((($AT157+$AU157)/2*$AN157+$AO157)*(1+$AV157)*(1+$AW157)+(($AY157+$AZ157)/2*IF($G$1="鸣金",$AP157,$AN157)+IF($G$1="鸣金",$AQ157*1.5,0))*(1+$BA157)*(1+$BB157)+(($BC157+$BD157)/2*IF($G$1="裂石",$AP157,$AN157)+IF($G$1="裂石",$AQ157*1.5,0))*(1+$BE157)*(1+$BF157)+(($BG157+$BH157)/2*IF($G$1="牵丝",$AP157,$AN157)+IF($G$1="牵丝",$AQ157*1.5,0))*(1+$BI157)*(1+$BJ157)+(($BK157+$BL157)/2*IF($G$1="破竹",$AP157,$AN157)+IF($G$1="破竹",$AQ157*1.5,0))*(1+$BM157)*(1+$BN157))*(1+$AR157)*$Q157*(1+IF(VLOOKUP($R157,武学奇术!$A:$ZZ,30,FALSE)="蓄力技",$B$21,0))*(1+IF(VLOOKUP($R157,武学奇术!$A:$ZZ,30,FALSE)="派生技",$B$20,0))*(1+$BW157)*(1+$BX157)</f>
        <v>0</v>
      </c>
      <c r="P157" s="46">
        <f>((($AT157*$AN157+$AO157)*(1+$AV157)*(1+$AW157)+($AY157*IF($G$1="鸣金",$AP157,$AN157)+IF($G$1="鸣金",$AQ157*1.5,0))*(1+$BA157)*(1+$BB157)+($BC157*IF($G$1="裂石",$AP157,$AN157)+IF($G$1="裂石",$AQ157*1.5,0))*(1+$BE157)*(1+$BF157)+($BG157*IF($G$1="牵丝",$AP157,$AN157)+IF($G$1="牵丝",$AQ157*1.5,0))*(1+$BI157)*(1+$BJ157)+($BK157*IF($G$1="破竹",$AP157,$AN157)+IF($G$1="破竹",$AQ157*1.5,0))*(1+$BM157)*(1+$BN157))*(1+$AR157))*$Q157*(1+IF(VLOOKUP($R157,武学奇术!$A:$ZZ,30,FALSE)="蓄力技",$B$21,0))*(1+IF(VLOOKUP($R157,武学奇术!$A:$ZZ,30,FALSE)="派生技",$B$20,0))*(1+$BW157)*(1+$BX157)</f>
        <v>0</v>
      </c>
      <c r="Q157" s="47">
        <f>IF($E$24="唐刀",1,0)</f>
        <v>0</v>
      </c>
      <c r="R157" s="48" t="s">
        <v>197</v>
      </c>
      <c r="S157" s="48" t="s">
        <v>99</v>
      </c>
      <c r="T157" s="48" t="s">
        <v>103</v>
      </c>
      <c r="U157" s="48" t="s">
        <v>79</v>
      </c>
      <c r="V157" s="48" t="s">
        <v>90</v>
      </c>
      <c r="W157" s="48" t="s">
        <v>91</v>
      </c>
      <c r="X157" s="48" t="s">
        <v>80</v>
      </c>
      <c r="Y157" s="48" t="s">
        <v>80</v>
      </c>
      <c r="Z157" s="48" t="s">
        <v>81</v>
      </c>
      <c r="AA157" s="48" t="s">
        <v>80</v>
      </c>
      <c r="AB157" s="48" t="s">
        <v>80</v>
      </c>
      <c r="AC157" s="48" t="s">
        <v>80</v>
      </c>
      <c r="AD157" s="48" t="s">
        <v>80</v>
      </c>
      <c r="AE157" s="48" t="s">
        <v>82</v>
      </c>
      <c r="AF157" s="48" t="s">
        <v>83</v>
      </c>
      <c r="AG157" s="48" t="s">
        <v>84</v>
      </c>
      <c r="AH157" s="48" t="s">
        <v>80</v>
      </c>
      <c r="AI157" s="48" t="s">
        <v>80</v>
      </c>
      <c r="AJ157" s="48" t="s">
        <v>80</v>
      </c>
      <c r="AK157" s="48" t="s">
        <v>80</v>
      </c>
      <c r="AL157" s="48" t="s">
        <v>85</v>
      </c>
      <c r="AM157" t="str">
        <f>VLOOKUP($R157,武学奇术!$A:$ZZ,25,FALSE)</f>
        <v>横刀</v>
      </c>
      <c r="AN157" s="33">
        <f>VLOOKUP($R157,武学奇术!$A:$ZZ,26,FALSE)</f>
        <v>2.4495</v>
      </c>
      <c r="AO157" s="34">
        <f>VLOOKUP($R157,武学奇术!$A:$ZZ,27,FALSE)*(1+IF(OR($AM157=$F$4,$AM157=$F$5),$B$22,0))</f>
        <v>1083.2</v>
      </c>
      <c r="AP157" s="33">
        <f>VLOOKUP($R157,武学奇术!$A:$ZZ,28,FALSE)</f>
        <v>3.6743</v>
      </c>
      <c r="AQ157" s="34">
        <f>VLOOKUP($R157,武学奇术!$A:$ZZ,29,FALSE)*(1+IF(OR($AM157=$F$4,$AM157=$F$5),$B$22,0))</f>
        <v>588.8</v>
      </c>
      <c r="AR157" s="33" cm="1">
        <f t="array" ref="AR157">$G$3+IFERROR(VLOOKUP($AM157,$F$4:$G$7,2,FALSE),0)+VLOOKUP($R157,武学奇术!$A:$ZZ,2,FALSE)+SUM(_xlfn.XLOOKUP($S157:$AL157,增益!$A:$A,增益!$B:$B,0))</f>
        <v>0.5489</v>
      </c>
      <c r="AS157" s="33" cm="1">
        <f t="array" ref="AS157">VLOOKUP($R157,武学奇术!$A:$ZZ,5,FALSE)+SUM(_xlfn.XLOOKUP($S157:$AL157,增益!$A:$A,增益!$E:$E,0))</f>
        <v>0</v>
      </c>
      <c r="AT157" cm="1">
        <f t="array" ref="AT157">$D$10*(1+$AS157)+VLOOKUP($R157,武学奇术!$A:$ZZ,3,FALSE)+SUM(_xlfn.XLOOKUP($S157:$AL157,增益!$A:$A,增益!$C:$C,0))-$I$2</f>
        <v>4094.7</v>
      </c>
      <c r="AU157" cm="1">
        <f t="array" ref="AU157">$E$10*(1+$AS157)+VLOOKUP($R157,武学奇术!$A:$ZZ,4,FALSE)+SUM(_xlfn.XLOOKUP($S157:$AL157,增益!$A:$A,增益!$D:$D,0))-$I$2</f>
        <v>4094.7</v>
      </c>
      <c r="AV157" s="40" cm="1">
        <f t="array" ref="AV157">IF($F$10-$I$3+VLOOKUP($R157,武学奇术!$A:$ZZ,6,FALSE)+SUM(_xlfn.XLOOKUP($S157:$AL157,增益!$A:$A,增益!$F:$F,0))&gt;0,($F$10-$I$3+VLOOKUP($R157,武学奇术!$A:$ZZ,6,FALSE)+SUM(_xlfn.XLOOKUP($S157:$AL157,增益!$A:$A,增益!$F:$F,0)))/200,($F$10-$I$3+VLOOKUP($R157,武学奇术!$A:$ZZ,6,FALSE)+SUM(_xlfn.XLOOKUP($S157:$AL157,增益!$A:$A,增益!$F:$F,0)))/100)</f>
        <v>0.4134</v>
      </c>
      <c r="AW157" s="40" cm="1">
        <f t="array" ref="AW157">$G$10+VLOOKUP($R157,武学奇术!$A:$ZZ,7,FALSE)+SUM(_xlfn.XLOOKUP($S157:$AL157,增益!$A:$A,增益!$G:$G,0))</f>
        <v>0.14</v>
      </c>
      <c r="AX157" s="33" cm="1">
        <f t="array" ref="AX157">VLOOKUP($R157,武学奇术!$A:$ZZ,8,FALSE)+SUM(_xlfn.XLOOKUP($S157:$AL157,增益!$A:$A,增益!$H:$H,0))</f>
        <v>0</v>
      </c>
      <c r="AY157">
        <f t="shared" si="57"/>
        <v>0</v>
      </c>
      <c r="AZ157">
        <f t="shared" si="58"/>
        <v>0</v>
      </c>
      <c r="BA157" s="40" cm="1">
        <f t="array" ref="BA157">IF($F$11-$I$4+VLOOKUP($R157,武学奇术!$A:$ZZ,9,FALSE)+SUM(_xlfn.XLOOKUP($S157:$AL157,增益!$A:$A,增益!$I:$I,0))&gt;0,($F$11-$I$4+VLOOKUP($R157,武学奇术!$A:$ZZ,9,FALSE)+SUM(_xlfn.XLOOKUP($S157:$AL157,增益!$A:$A,增益!$I:$I,0)))/200,($F$11-$I$4+VLOOKUP($R157,武学奇术!$A:$ZZ,9,FALSE)+SUM(_xlfn.XLOOKUP($S157:$AL157,增益!$A:$A,增益!$I:$I,0)))/100)</f>
        <v>-0.14</v>
      </c>
      <c r="BB157" s="40" cm="1">
        <f t="array" ref="BB157">$G$11+VLOOKUP($R157,武学奇术!$A:$ZZ,10,FALSE)+SUM(_xlfn.XLOOKUP($S157:$AL157,增益!$A:$A,增益!$J:$J,0))</f>
        <v>0.02</v>
      </c>
      <c r="BC157">
        <f t="shared" si="59"/>
        <v>640.3</v>
      </c>
      <c r="BD157">
        <f t="shared" si="60"/>
        <v>1770.1</v>
      </c>
      <c r="BE157" s="40" cm="1">
        <f t="array" ref="BE157">IF($F$12-$I$4+VLOOKUP($R157,武学奇术!$A:$ZZ,11,FALSE)+SUM(_xlfn.XLOOKUP($S157:$AL157,增益!$A:$A,增益!$K:$K,0))&gt;0,($F$12-$I$4+VLOOKUP($R157,武学奇术!$A:$ZZ,11,FALSE)+SUM(_xlfn.XLOOKUP($S157:$AL157,增益!$A:$A,增益!$K:$K,0)))/200,($F$12-$I$4+VLOOKUP($R157,武学奇术!$A:$ZZ,11,FALSE)+SUM(_xlfn.XLOOKUP($S157:$AL157,增益!$A:$A,增益!$K:$K,0)))/100)</f>
        <v>0.17</v>
      </c>
      <c r="BF157" s="40" cm="1">
        <f t="array" ref="BF157">$G$12+VLOOKUP($R157,武学奇术!$A:$ZZ,12,FALSE)+SUM(_xlfn.XLOOKUP($S157:$AL157,增益!$A:$A,增益!$L:$L,0))</f>
        <v>0.29</v>
      </c>
      <c r="BG157">
        <f t="shared" si="61"/>
        <v>0</v>
      </c>
      <c r="BH157">
        <f t="shared" si="62"/>
        <v>0</v>
      </c>
      <c r="BI157" s="40" cm="1">
        <f t="array" ref="BI157">IF($F$13-$I$4+VLOOKUP($R157,武学奇术!$A:$ZZ,13,FALSE)+SUM(_xlfn.XLOOKUP($S157:$AL157,增益!$A:$A,增益!$M:$M,0))&gt;0,($F$13-$I$4+VLOOKUP($R157,武学奇术!$A:$ZZ,13,FALSE)+SUM(_xlfn.XLOOKUP($S157:$AL157,增益!$A:$A,增益!$K:$K,0)))/200,($F$13-$I$4+VLOOKUP($R157,武学奇术!$A:$ZZ,13,FALSE)+SUM(_xlfn.XLOOKUP($S157:$AL157,增益!$A:$A,增益!$M:$M,0)))/100)</f>
        <v>-0.14</v>
      </c>
      <c r="BJ157" s="40" cm="1">
        <f t="array" ref="BJ157">$G$13+VLOOKUP($R157,武学奇术!$A:$ZZ,14,FALSE)+SUM(_xlfn.XLOOKUP($S157:$AL157,增益!$A:$A,增益!$N:$N,0))</f>
        <v>0.02</v>
      </c>
      <c r="BK157">
        <f t="shared" si="63"/>
        <v>0</v>
      </c>
      <c r="BL157">
        <f t="shared" si="64"/>
        <v>0</v>
      </c>
      <c r="BM157" s="40" cm="1">
        <f t="array" ref="BM157">IF($F$14-$I$4+VLOOKUP($R157,武学奇术!$A:$ZZ,15,FALSE)+SUM(_xlfn.XLOOKUP($S157:$AL157,增益!$A:$A,增益!$O:$O,0))&gt;0,($F$14-$I$4+VLOOKUP($R157,武学奇术!$A:$ZZ,15,FALSE)+SUM(_xlfn.XLOOKUP($S157:$AL157,增益!$A:$A,增益!$O:$O,0)))/200,($F$14-$I$4+VLOOKUP($R157,武学奇术!$A:$ZZ,15,FALSE)+SUM(_xlfn.XLOOKUP($S157:$AL157,增益!$A:$A,增益!$O:$O,0)))/100)</f>
        <v>-0.14</v>
      </c>
      <c r="BN157" s="40" cm="1">
        <f t="array" ref="BN157">$G$14+VLOOKUP($R157,武学奇术!$A:$ZZ,16,FALSE)+SUM(_xlfn.XLOOKUP($S157:$AL157,增益!$A:$A,增益!$P:$P,0))</f>
        <v>0.02</v>
      </c>
      <c r="BO157" s="33">
        <f>MIN(IF(VLOOKUP($R157,武学奇术!$A:$ZZ,23,FALSE)=1,100%,$B$8),100%)</f>
        <v>0.9771</v>
      </c>
      <c r="BP157" s="33" cm="1">
        <f t="array" ref="BP157">IF(VLOOKUP($R157,武学奇术!$A:$ZZ,23,FALSE)=1,100%,MIN(80%,$B$9+VLOOKUP($R157,武学奇术!$A:$ZZ,17,FALSE)+SUM(_xlfn.XLOOKUP($S157:$AL157,增益!$A:$A,增益!$Q:$Q,0)))+$B$11+SUM(_xlfn.XLOOKUP($S157:$AL157,增益!$A:$A,增益!$U:$U,0)))*IF(VLOOKUP($R157,武学奇术!$A:$ZZ,24,FALSE)=1,0,1)</f>
        <v>0.8861</v>
      </c>
      <c r="BQ157" s="33" cm="1">
        <f t="array" ref="BQ157">1+$B$13+VLOOKUP($R157,武学奇术!$A:$ZZ,18,FALSE)+SUM(_xlfn.XLOOKUP($S157:$AL157,增益!$A:$A,增益!$R:$R,0))</f>
        <v>1.9</v>
      </c>
      <c r="BR157" s="33" cm="1">
        <f t="array" ref="BR157">IF(VLOOKUP($R157,武学奇术!$A:$ZZ,24,FALSE)=1,100%,MIN(40%,$B$10+VLOOKUP($R157,武学奇术!$A:$ZZ,19,FALSE)+SUM(_xlfn.XLOOKUP($S157:$AL157,增益!$A:$A,增益!$S:$S,0)))+$B$12+SUM(_xlfn.XLOOKUP($S157:$AL157,增益!$A:$A,增益!$V:$V,0)))*IF(VLOOKUP($R157,武学奇术!$A:$ZZ,23,FALSE)=1,0,1)</f>
        <v>0.0913</v>
      </c>
      <c r="BS157" s="33" cm="1">
        <f t="array" ref="BS157">1+$B$14+VLOOKUP($R157,武学奇术!$A:$ZZ,20,FALSE)+SUM(_xlfn.XLOOKUP($S157:$AL157,增益!$A:$A,增益!$T:$T,0))</f>
        <v>1.35</v>
      </c>
      <c r="BT157" s="33">
        <f t="shared" si="65"/>
        <v>0.86580831</v>
      </c>
      <c r="BU157" s="33">
        <f t="shared" si="66"/>
        <v>0.02208246</v>
      </c>
      <c r="BV157" s="33">
        <f>IF(VLOOKUP($R157,武学奇术!$A:$ZZ,22,FALSE)=1,0,(1-$BO157))*(1-$BR157)</f>
        <v>0.02080923</v>
      </c>
      <c r="BW157" s="33" cm="1">
        <f t="array" ref="BW157">SUM(_xlfn.XLOOKUP($S157:$AL157,增益!$A:$A,增益!$W:$W,0))+$I$5</f>
        <v>0.11</v>
      </c>
      <c r="BX157" s="33" cm="1">
        <f t="array" ref="BX157">VLOOKUP($R157,武学奇术!$A:$ZZ,32,FALSE)+SUM(_xlfn.XLOOKUP($S157:$AL157,增益!$A:$A,增益!$X:$X,0))</f>
        <v>0</v>
      </c>
    </row>
    <row r="158" spans="1:76">
      <c r="A158" s="4" t="s">
        <v>189</v>
      </c>
      <c r="B158" s="4">
        <v>0.8</v>
      </c>
      <c r="D158" s="47"/>
      <c r="E158" s="47"/>
      <c r="L158" s="46">
        <f t="shared" ref="L158:L177" si="70">($M158*$BT158+$N158*$BR158+$O158*$BU158+$P158*$BV158)</f>
        <v>0</v>
      </c>
      <c r="M158" s="46">
        <f>((($AT158+$AU158)/2*$AN158+$AO158)*(1+$AV158)*(1+$AW158)+(($AY158+$AZ158)/2*IF($G$1="鸣金",$AP158,$AN158)+IF($G$1="鸣金",$AQ158*1.5,0))*(1+$BA158)*(1+$BB158)+(($BC158+$BD158)/2*IF($G$1="裂石",$AP158,$AN158)+IF($G$1="裂石",$AQ158*1.5,0))*(1+$BE158)*(1+$BF158)+(($BG158+$BH158)/2*IF($G$1="牵丝",$AP158,$AN158)+IF($G$1="牵丝",$AQ158*1.5,0))*(1+$BI158)*(1+$BJ158)+(($BK158+$BL158)/2*IF($G$1="破竹",$AP158,$AN158)+IF($G$1="破竹",$AQ158*1.5,0))*(1+$BM158)*(1+$BN158))*(1+$AR158)*$BQ158*$Q158*(1+IF(VLOOKUP($R158,武学奇术!$A:$ZZ,30,FALSE)="蓄力技",$B$21,0))*(1+IF(VLOOKUP($R158,武学奇术!$A:$ZZ,30,FALSE)="派生技",$B$20,0))*(1+$BW158)*(1+$BX158)</f>
        <v>0</v>
      </c>
      <c r="N158" s="46">
        <f>(($AU158*$AN158+$AO158)*(1+$AV158)*(1+$AW158)+($AZ158*IF($G$1="鸣金",$AP158,$AN158)+IF($G$1="鸣金",$AQ158*1.5,0))*(1+$BA158)*(1+$BB158)+($BD158*IF($G$1="裂石",$AP158,$AN158)+IF($G$1="裂石",$AQ158*1.5,0))*(1+$BE158)*(1+$BF158)+($BH158*IF($G$1="牵丝",$AP158,$AN158)+IF($G$1="牵丝",$AQ158*1.5,0))*(1+$BI158)*(1+$BJ158)+($BL158*IF($G$1="破竹",$AP158,$AN158)+IF($G$1="破竹",$AQ158*1.5,0))*(1+$BM158)*(1+$BN158))*(1+$AR158)*$BS158*$Q158*(1+IF(VLOOKUP($R158,武学奇术!$A:$ZZ,30,FALSE)="蓄力技",$B$21,0))*(1+IF(VLOOKUP($R158,武学奇术!$A:$ZZ,30,FALSE)="派生技",$B$20,0))*(1+$BW158)*(1+$BX158)</f>
        <v>0</v>
      </c>
      <c r="O158" s="46">
        <f>((($AT158+$AU158)/2*$AN158+$AO158)*(1+$AV158)*(1+$AW158)+(($AY158+$AZ158)/2*IF($G$1="鸣金",$AP158,$AN158)+IF($G$1="鸣金",$AQ158*1.5,0))*(1+$BA158)*(1+$BB158)+(($BC158+$BD158)/2*IF($G$1="裂石",$AP158,$AN158)+IF($G$1="裂石",$AQ158*1.5,0))*(1+$BE158)*(1+$BF158)+(($BG158+$BH158)/2*IF($G$1="牵丝",$AP158,$AN158)+IF($G$1="牵丝",$AQ158*1.5,0))*(1+$BI158)*(1+$BJ158)+(($BK158+$BL158)/2*IF($G$1="破竹",$AP158,$AN158)+IF($G$1="破竹",$AQ158*1.5,0))*(1+$BM158)*(1+$BN158))*(1+$AR158)*$Q158*(1+IF(VLOOKUP($R158,武学奇术!$A:$ZZ,30,FALSE)="蓄力技",$B$21,0))*(1+IF(VLOOKUP($R158,武学奇术!$A:$ZZ,30,FALSE)="派生技",$B$20,0))*(1+$BW158)*(1+$BX158)</f>
        <v>0</v>
      </c>
      <c r="P158" s="46">
        <f>((($AT158*$AN158+$AO158)*(1+$AV158)*(1+$AW158)+($AY158*IF($G$1="鸣金",$AP158,$AN158)+IF($G$1="鸣金",$AQ158*1.5,0))*(1+$BA158)*(1+$BB158)+($BC158*IF($G$1="裂石",$AP158,$AN158)+IF($G$1="裂石",$AQ158*1.5,0))*(1+$BE158)*(1+$BF158)+($BG158*IF($G$1="牵丝",$AP158,$AN158)+IF($G$1="牵丝",$AQ158*1.5,0))*(1+$BI158)*(1+$BJ158)+($BK158*IF($G$1="破竹",$AP158,$AN158)+IF($G$1="破竹",$AQ158*1.5,0))*(1+$BM158)*(1+$BN158))*(1+$AR158))*$Q158*(1+IF(VLOOKUP($R158,武学奇术!$A:$ZZ,30,FALSE)="蓄力技",$B$21,0))*(1+IF(VLOOKUP($R158,武学奇术!$A:$ZZ,30,FALSE)="派生技",$B$20,0))*(1+$BW158)*(1+$BX158)</f>
        <v>0</v>
      </c>
      <c r="Q158" s="47">
        <f t="shared" ref="Q158:Q167" si="71">IF($E$24="唐刀",1,0)</f>
        <v>0</v>
      </c>
      <c r="R158" s="48" t="s">
        <v>165</v>
      </c>
      <c r="S158" s="48" t="s">
        <v>99</v>
      </c>
      <c r="T158" s="48" t="s">
        <v>103</v>
      </c>
      <c r="U158" s="48" t="s">
        <v>79</v>
      </c>
      <c r="V158" s="48" t="s">
        <v>90</v>
      </c>
      <c r="W158" s="48" t="s">
        <v>91</v>
      </c>
      <c r="X158" s="48" t="s">
        <v>80</v>
      </c>
      <c r="Y158" s="48" t="s">
        <v>80</v>
      </c>
      <c r="Z158" s="48" t="s">
        <v>80</v>
      </c>
      <c r="AA158" s="48" t="s">
        <v>80</v>
      </c>
      <c r="AB158" s="48" t="s">
        <v>80</v>
      </c>
      <c r="AC158" s="48" t="s">
        <v>80</v>
      </c>
      <c r="AD158" s="48" t="s">
        <v>80</v>
      </c>
      <c r="AE158" s="48" t="s">
        <v>82</v>
      </c>
      <c r="AF158" s="48" t="s">
        <v>83</v>
      </c>
      <c r="AG158" s="48" t="s">
        <v>84</v>
      </c>
      <c r="AH158" s="48" t="s">
        <v>80</v>
      </c>
      <c r="AI158" s="48" t="s">
        <v>80</v>
      </c>
      <c r="AJ158" s="48" t="s">
        <v>80</v>
      </c>
      <c r="AK158" s="48" t="s">
        <v>80</v>
      </c>
      <c r="AL158" s="48" t="s">
        <v>85</v>
      </c>
      <c r="AM158" t="str">
        <f>VLOOKUP($R158,武学奇术!$A:$ZZ,25,FALSE)</f>
        <v>单体奇术</v>
      </c>
      <c r="AN158" s="33">
        <f>VLOOKUP($R158,武学奇术!$A:$ZZ,26,FALSE)</f>
        <v>7.1094</v>
      </c>
      <c r="AO158" s="34">
        <f>VLOOKUP($R158,武学奇术!$A:$ZZ,27,FALSE)*(1+IF(OR($AM158=$F$4,$AM158=$F$5),$B$22,0))</f>
        <v>1420</v>
      </c>
      <c r="AP158" s="33">
        <f>VLOOKUP($R158,武学奇术!$A:$ZZ,28,FALSE)</f>
        <v>10.6641</v>
      </c>
      <c r="AQ158" s="34">
        <f>VLOOKUP($R158,武学奇术!$A:$ZZ,29,FALSE)*(1+IF(OR($AM158=$F$4,$AM158=$F$5),$B$22,0))</f>
        <v>0</v>
      </c>
      <c r="AR158" s="33" cm="1">
        <f t="array" ref="AR158">$G$3+IFERROR(VLOOKUP($AM158,$F$4:$G$7,2,FALSE),0)+VLOOKUP($R158,武学奇术!$A:$ZZ,2,FALSE)+SUM(_xlfn.XLOOKUP($S158:$AL158,增益!$A:$A,增益!$B:$B,0))</f>
        <v>0.4442</v>
      </c>
      <c r="AS158" s="33" cm="1">
        <f t="array" ref="AS158">VLOOKUP($R158,武学奇术!$A:$ZZ,5,FALSE)+SUM(_xlfn.XLOOKUP($S158:$AL158,增益!$A:$A,增益!$E:$E,0))</f>
        <v>0</v>
      </c>
      <c r="AT158" cm="1">
        <f t="array" ref="AT158">$D$10*(1+$AS158)+VLOOKUP($R158,武学奇术!$A:$ZZ,3,FALSE)+SUM(_xlfn.XLOOKUP($S158:$AL158,增益!$A:$A,增益!$C:$C,0))-$I$2</f>
        <v>4094.7</v>
      </c>
      <c r="AU158" cm="1">
        <f t="array" ref="AU158">$E$10*(1+$AS158)+VLOOKUP($R158,武学奇术!$A:$ZZ,4,FALSE)+SUM(_xlfn.XLOOKUP($S158:$AL158,增益!$A:$A,增益!$D:$D,0))-$I$2</f>
        <v>4094.7</v>
      </c>
      <c r="AV158" s="40" cm="1">
        <f t="array" ref="AV158">IF($F$10-$I$3+VLOOKUP($R158,武学奇术!$A:$ZZ,6,FALSE)+SUM(_xlfn.XLOOKUP($S158:$AL158,增益!$A:$A,增益!$F:$F,0))&gt;0,($F$10-$I$3+VLOOKUP($R158,武学奇术!$A:$ZZ,6,FALSE)+SUM(_xlfn.XLOOKUP($S158:$AL158,增益!$A:$A,增益!$F:$F,0)))/200,($F$10-$I$3+VLOOKUP($R158,武学奇术!$A:$ZZ,6,FALSE)+SUM(_xlfn.XLOOKUP($S158:$AL158,增益!$A:$A,增益!$F:$F,0)))/100)</f>
        <v>0.4134</v>
      </c>
      <c r="AW158" s="40" cm="1">
        <f t="array" ref="AW158">$G$10+VLOOKUP($R158,武学奇术!$A:$ZZ,7,FALSE)+SUM(_xlfn.XLOOKUP($S158:$AL158,增益!$A:$A,增益!$G:$G,0))</f>
        <v>0.14</v>
      </c>
      <c r="AX158" s="33" cm="1">
        <f t="array" ref="AX158">VLOOKUP($R158,武学奇术!$A:$ZZ,8,FALSE)+SUM(_xlfn.XLOOKUP($S158:$AL158,增益!$A:$A,增益!$H:$H,0))</f>
        <v>0</v>
      </c>
      <c r="AY158">
        <f t="shared" ref="AY158:AY177" si="72">$D$11*(1+$AX158)</f>
        <v>0</v>
      </c>
      <c r="AZ158">
        <f t="shared" ref="AZ158:AZ177" si="73">$E$11*(1+$AX158)</f>
        <v>0</v>
      </c>
      <c r="BA158" s="40" cm="1">
        <f t="array" ref="BA158">IF($F$11-$I$4+VLOOKUP($R158,武学奇术!$A:$ZZ,9,FALSE)+SUM(_xlfn.XLOOKUP($S158:$AL158,增益!$A:$A,增益!$I:$I,0))&gt;0,($F$11-$I$4+VLOOKUP($R158,武学奇术!$A:$ZZ,9,FALSE)+SUM(_xlfn.XLOOKUP($S158:$AL158,增益!$A:$A,增益!$I:$I,0)))/200,($F$11-$I$4+VLOOKUP($R158,武学奇术!$A:$ZZ,9,FALSE)+SUM(_xlfn.XLOOKUP($S158:$AL158,增益!$A:$A,增益!$I:$I,0)))/100)</f>
        <v>-0.14</v>
      </c>
      <c r="BB158" s="40" cm="1">
        <f t="array" ref="BB158">$G$11+VLOOKUP($R158,武学奇术!$A:$ZZ,10,FALSE)+SUM(_xlfn.XLOOKUP($S158:$AL158,增益!$A:$A,增益!$J:$J,0))</f>
        <v>0.02</v>
      </c>
      <c r="BC158">
        <f t="shared" ref="BC158:BC177" si="74">$D$12*(1+$AX158)</f>
        <v>640.3</v>
      </c>
      <c r="BD158">
        <f t="shared" ref="BD158:BD177" si="75">$E$12*(1+$AX158)</f>
        <v>1770.1</v>
      </c>
      <c r="BE158" s="40" cm="1">
        <f t="array" ref="BE158">IF($F$12-$I$4+VLOOKUP($R158,武学奇术!$A:$ZZ,11,FALSE)+SUM(_xlfn.XLOOKUP($S158:$AL158,增益!$A:$A,增益!$K:$K,0))&gt;0,($F$12-$I$4+VLOOKUP($R158,武学奇术!$A:$ZZ,11,FALSE)+SUM(_xlfn.XLOOKUP($S158:$AL158,增益!$A:$A,增益!$K:$K,0)))/200,($F$12-$I$4+VLOOKUP($R158,武学奇术!$A:$ZZ,11,FALSE)+SUM(_xlfn.XLOOKUP($S158:$AL158,增益!$A:$A,增益!$K:$K,0)))/100)</f>
        <v>0.17</v>
      </c>
      <c r="BF158" s="40" cm="1">
        <f t="array" ref="BF158">$G$12+VLOOKUP($R158,武学奇术!$A:$ZZ,12,FALSE)+SUM(_xlfn.XLOOKUP($S158:$AL158,增益!$A:$A,增益!$L:$L,0))</f>
        <v>0.29</v>
      </c>
      <c r="BG158">
        <f t="shared" ref="BG158:BG177" si="76">$D$13*(1+$AX158)</f>
        <v>0</v>
      </c>
      <c r="BH158">
        <f t="shared" ref="BH158:BH177" si="77">$E$13*(1+$AX158)</f>
        <v>0</v>
      </c>
      <c r="BI158" s="40" cm="1">
        <f t="array" ref="BI158">IF($F$13-$I$4+VLOOKUP($R158,武学奇术!$A:$ZZ,13,FALSE)+SUM(_xlfn.XLOOKUP($S158:$AL158,增益!$A:$A,增益!$M:$M,0))&gt;0,($F$13-$I$4+VLOOKUP($R158,武学奇术!$A:$ZZ,13,FALSE)+SUM(_xlfn.XLOOKUP($S158:$AL158,增益!$A:$A,增益!$K:$K,0)))/200,($F$13-$I$4+VLOOKUP($R158,武学奇术!$A:$ZZ,13,FALSE)+SUM(_xlfn.XLOOKUP($S158:$AL158,增益!$A:$A,增益!$M:$M,0)))/100)</f>
        <v>-0.14</v>
      </c>
      <c r="BJ158" s="40" cm="1">
        <f t="array" ref="BJ158">$G$13+VLOOKUP($R158,武学奇术!$A:$ZZ,14,FALSE)+SUM(_xlfn.XLOOKUP($S158:$AL158,增益!$A:$A,增益!$N:$N,0))</f>
        <v>0.02</v>
      </c>
      <c r="BK158">
        <f t="shared" ref="BK158:BK177" si="78">$D$14*(1+$AX158)</f>
        <v>0</v>
      </c>
      <c r="BL158">
        <f t="shared" ref="BL158:BL177" si="79">$E$14*(1+$AX158)</f>
        <v>0</v>
      </c>
      <c r="BM158" s="40" cm="1">
        <f t="array" ref="BM158">IF($F$14-$I$4+VLOOKUP($R158,武学奇术!$A:$ZZ,15,FALSE)+SUM(_xlfn.XLOOKUP($S158:$AL158,增益!$A:$A,增益!$O:$O,0))&gt;0,($F$14-$I$4+VLOOKUP($R158,武学奇术!$A:$ZZ,15,FALSE)+SUM(_xlfn.XLOOKUP($S158:$AL158,增益!$A:$A,增益!$O:$O,0)))/200,($F$14-$I$4+VLOOKUP($R158,武学奇术!$A:$ZZ,15,FALSE)+SUM(_xlfn.XLOOKUP($S158:$AL158,增益!$A:$A,增益!$O:$O,0)))/100)</f>
        <v>-0.14</v>
      </c>
      <c r="BN158" s="40" cm="1">
        <f t="array" ref="BN158">$G$14+VLOOKUP($R158,武学奇术!$A:$ZZ,16,FALSE)+SUM(_xlfn.XLOOKUP($S158:$AL158,增益!$A:$A,增益!$P:$P,0))</f>
        <v>0.02</v>
      </c>
      <c r="BO158" s="33">
        <f>MIN(IF(VLOOKUP($R158,武学奇术!$A:$ZZ,23,FALSE)=1,100%,$B$8),100%)</f>
        <v>0.9771</v>
      </c>
      <c r="BP158" s="33" cm="1">
        <f t="array" ref="BP158">IF(VLOOKUP($R158,武学奇术!$A:$ZZ,23,FALSE)=1,100%,MIN(80%,$B$9+VLOOKUP($R158,武学奇术!$A:$ZZ,17,FALSE)+SUM(_xlfn.XLOOKUP($S158:$AL158,增益!$A:$A,增益!$Q:$Q,0)))+$B$11+SUM(_xlfn.XLOOKUP($S158:$AL158,增益!$A:$A,增益!$U:$U,0)))*IF(VLOOKUP($R158,武学奇术!$A:$ZZ,24,FALSE)=1,0,1)</f>
        <v>0.8861</v>
      </c>
      <c r="BQ158" s="33" cm="1">
        <f t="array" ref="BQ158">1+$B$13+VLOOKUP($R158,武学奇术!$A:$ZZ,18,FALSE)+SUM(_xlfn.XLOOKUP($S158:$AL158,增益!$A:$A,增益!$R:$R,0))</f>
        <v>1.9</v>
      </c>
      <c r="BR158" s="33" cm="1">
        <f t="array" ref="BR158">IF(VLOOKUP($R158,武学奇术!$A:$ZZ,24,FALSE)=1,100%,MIN(40%,$B$10+VLOOKUP($R158,武学奇术!$A:$ZZ,19,FALSE)+SUM(_xlfn.XLOOKUP($S158:$AL158,增益!$A:$A,增益!$S:$S,0)))+$B$12+SUM(_xlfn.XLOOKUP($S158:$AL158,增益!$A:$A,增益!$V:$V,0)))*IF(VLOOKUP($R158,武学奇术!$A:$ZZ,23,FALSE)=1,0,1)</f>
        <v>0.0913</v>
      </c>
      <c r="BS158" s="33" cm="1">
        <f t="array" ref="BS158">1+$B$14+VLOOKUP($R158,武学奇术!$A:$ZZ,20,FALSE)+SUM(_xlfn.XLOOKUP($S158:$AL158,增益!$A:$A,增益!$T:$T,0))</f>
        <v>1.35</v>
      </c>
      <c r="BT158" s="33">
        <f t="shared" ref="BT158:BT177" si="80">MIN((1-BR158)*BO158,BO158*BP158)</f>
        <v>0.86580831</v>
      </c>
      <c r="BU158" s="33">
        <f t="shared" ref="BU158:BU177" si="81">1-BR158-BT158-BV158</f>
        <v>0.02208246</v>
      </c>
      <c r="BV158" s="33">
        <f>IF(VLOOKUP($R158,武学奇术!$A:$ZZ,22,FALSE)=1,0,(1-$BO158))*(1-$BR158)</f>
        <v>0.02080923</v>
      </c>
      <c r="BW158" s="33" cm="1">
        <f t="array" ref="BW158">SUM(_xlfn.XLOOKUP($S158:$AL158,增益!$A:$A,增益!$W:$W,0))+$I$5</f>
        <v>0.11</v>
      </c>
      <c r="BX158" s="33" cm="1">
        <f t="array" ref="BX158">VLOOKUP($R158,武学奇术!$A:$ZZ,32,FALSE)+SUM(_xlfn.XLOOKUP($S158:$AL158,增益!$A:$A,增益!$X:$X,0))</f>
        <v>0</v>
      </c>
    </row>
    <row r="159" spans="1:76">
      <c r="A159" t="s">
        <v>186</v>
      </c>
      <c r="B159">
        <v>2</v>
      </c>
      <c r="D159" s="47"/>
      <c r="E159" s="47"/>
      <c r="L159" s="46">
        <f t="shared" si="70"/>
        <v>0</v>
      </c>
      <c r="M159" s="46">
        <f>((($AT159+$AU159)/2*$AN159+$AO159)*(1+$AV159)*(1+$AW159)+(($AY159+$AZ159)/2*IF($G$1="鸣金",$AP159,$AN159)+IF($G$1="鸣金",$AQ159*1.5,0))*(1+$BA159)*(1+$BB159)+(($BC159+$BD159)/2*IF($G$1="裂石",$AP159,$AN159)+IF($G$1="裂石",$AQ159*1.5,0))*(1+$BE159)*(1+$BF159)+(($BG159+$BH159)/2*IF($G$1="牵丝",$AP159,$AN159)+IF($G$1="牵丝",$AQ159*1.5,0))*(1+$BI159)*(1+$BJ159)+(($BK159+$BL159)/2*IF($G$1="破竹",$AP159,$AN159)+IF($G$1="破竹",$AQ159*1.5,0))*(1+$BM159)*(1+$BN159))*(1+$AR159)*$BQ159*$Q159*(1+IF(VLOOKUP($R159,武学奇术!$A:$ZZ,30,FALSE)="蓄力技",$B$21,0))*(1+IF(VLOOKUP($R159,武学奇术!$A:$ZZ,30,FALSE)="派生技",$B$20,0))*(1+$BW159)*(1+$BX159)</f>
        <v>0</v>
      </c>
      <c r="N159" s="46">
        <f>(($AU159*$AN159+$AO159)*(1+$AV159)*(1+$AW159)+($AZ159*IF($G$1="鸣金",$AP159,$AN159)+IF($G$1="鸣金",$AQ159*1.5,0))*(1+$BA159)*(1+$BB159)+($BD159*IF($G$1="裂石",$AP159,$AN159)+IF($G$1="裂石",$AQ159*1.5,0))*(1+$BE159)*(1+$BF159)+($BH159*IF($G$1="牵丝",$AP159,$AN159)+IF($G$1="牵丝",$AQ159*1.5,0))*(1+$BI159)*(1+$BJ159)+($BL159*IF($G$1="破竹",$AP159,$AN159)+IF($G$1="破竹",$AQ159*1.5,0))*(1+$BM159)*(1+$BN159))*(1+$AR159)*$BS159*$Q159*(1+IF(VLOOKUP($R159,武学奇术!$A:$ZZ,30,FALSE)="蓄力技",$B$21,0))*(1+IF(VLOOKUP($R159,武学奇术!$A:$ZZ,30,FALSE)="派生技",$B$20,0))*(1+$BW159)*(1+$BX159)</f>
        <v>0</v>
      </c>
      <c r="O159" s="46">
        <f>((($AT159+$AU159)/2*$AN159+$AO159)*(1+$AV159)*(1+$AW159)+(($AY159+$AZ159)/2*IF($G$1="鸣金",$AP159,$AN159)+IF($G$1="鸣金",$AQ159*1.5,0))*(1+$BA159)*(1+$BB159)+(($BC159+$BD159)/2*IF($G$1="裂石",$AP159,$AN159)+IF($G$1="裂石",$AQ159*1.5,0))*(1+$BE159)*(1+$BF159)+(($BG159+$BH159)/2*IF($G$1="牵丝",$AP159,$AN159)+IF($G$1="牵丝",$AQ159*1.5,0))*(1+$BI159)*(1+$BJ159)+(($BK159+$BL159)/2*IF($G$1="破竹",$AP159,$AN159)+IF($G$1="破竹",$AQ159*1.5,0))*(1+$BM159)*(1+$BN159))*(1+$AR159)*$Q159*(1+IF(VLOOKUP($R159,武学奇术!$A:$ZZ,30,FALSE)="蓄力技",$B$21,0))*(1+IF(VLOOKUP($R159,武学奇术!$A:$ZZ,30,FALSE)="派生技",$B$20,0))*(1+$BW159)*(1+$BX159)</f>
        <v>0</v>
      </c>
      <c r="P159" s="46">
        <f>((($AT159*$AN159+$AO159)*(1+$AV159)*(1+$AW159)+($AY159*IF($G$1="鸣金",$AP159,$AN159)+IF($G$1="鸣金",$AQ159*1.5,0))*(1+$BA159)*(1+$BB159)+($BC159*IF($G$1="裂石",$AP159,$AN159)+IF($G$1="裂石",$AQ159*1.5,0))*(1+$BE159)*(1+$BF159)+($BG159*IF($G$1="牵丝",$AP159,$AN159)+IF($G$1="牵丝",$AQ159*1.5,0))*(1+$BI159)*(1+$BJ159)+($BK159*IF($G$1="破竹",$AP159,$AN159)+IF($G$1="破竹",$AQ159*1.5,0))*(1+$BM159)*(1+$BN159))*(1+$AR159))*$Q159*(1+IF(VLOOKUP($R159,武学奇术!$A:$ZZ,30,FALSE)="蓄力技",$B$21,0))*(1+IF(VLOOKUP($R159,武学奇术!$A:$ZZ,30,FALSE)="派生技",$B$20,0))*(1+$BW159)*(1+$BX159)</f>
        <v>0</v>
      </c>
      <c r="Q159" s="47">
        <f t="shared" si="71"/>
        <v>0</v>
      </c>
      <c r="R159" s="48" t="s">
        <v>199</v>
      </c>
      <c r="S159" s="48" t="s">
        <v>99</v>
      </c>
      <c r="T159" s="48" t="s">
        <v>170</v>
      </c>
      <c r="U159" s="48" t="s">
        <v>79</v>
      </c>
      <c r="V159" s="48" t="s">
        <v>90</v>
      </c>
      <c r="W159" s="48" t="s">
        <v>141</v>
      </c>
      <c r="X159" s="48" t="s">
        <v>80</v>
      </c>
      <c r="Y159" s="48" t="s">
        <v>74</v>
      </c>
      <c r="Z159" s="48" t="s">
        <v>80</v>
      </c>
      <c r="AA159" s="48" t="s">
        <v>80</v>
      </c>
      <c r="AB159" s="48" t="s">
        <v>80</v>
      </c>
      <c r="AC159" s="48" t="s">
        <v>80</v>
      </c>
      <c r="AD159" s="48" t="s">
        <v>80</v>
      </c>
      <c r="AE159" s="48" t="s">
        <v>82</v>
      </c>
      <c r="AF159" s="48" t="s">
        <v>83</v>
      </c>
      <c r="AG159" s="48" t="s">
        <v>84</v>
      </c>
      <c r="AH159" s="48" t="s">
        <v>80</v>
      </c>
      <c r="AI159" s="48" t="s">
        <v>80</v>
      </c>
      <c r="AJ159" s="48" t="s">
        <v>80</v>
      </c>
      <c r="AK159" s="48" t="s">
        <v>80</v>
      </c>
      <c r="AL159" s="48" t="s">
        <v>85</v>
      </c>
      <c r="AM159" t="str">
        <f>VLOOKUP($R159,武学奇术!$A:$ZZ,25,FALSE)</f>
        <v>横刀</v>
      </c>
      <c r="AN159" s="33">
        <f>VLOOKUP($R159,武学奇术!$A:$ZZ,26,FALSE)</f>
        <v>2.8245</v>
      </c>
      <c r="AO159" s="34">
        <f>VLOOKUP($R159,武学奇术!$A:$ZZ,27,FALSE)*(1+IF(OR($AM159=$F$4,$AM159=$F$5),$B$22,0))</f>
        <v>1251.2</v>
      </c>
      <c r="AP159" s="33">
        <f>VLOOKUP($R159,武学奇术!$A:$ZZ,28,FALSE)</f>
        <v>4.236808</v>
      </c>
      <c r="AQ159" s="34">
        <f>VLOOKUP($R159,武学奇术!$A:$ZZ,29,FALSE)*(1+IF(OR($AM159=$F$4,$AM159=$F$5),$B$22,0))</f>
        <v>680</v>
      </c>
      <c r="AR159" s="33" cm="1">
        <f t="array" ref="AR159">$G$3+IFERROR(VLOOKUP($AM159,$F$4:$G$7,2,FALSE),0)+VLOOKUP($R159,武学奇术!$A:$ZZ,2,FALSE)+SUM(_xlfn.XLOOKUP($S159:$AL159,增益!$A:$A,增益!$B:$B,0))</f>
        <v>0.7089</v>
      </c>
      <c r="AS159" s="33" cm="1">
        <f t="array" ref="AS159">VLOOKUP($R159,武学奇术!$A:$ZZ,5,FALSE)+SUM(_xlfn.XLOOKUP($S159:$AL159,增益!$A:$A,增益!$E:$E,0))</f>
        <v>0</v>
      </c>
      <c r="AT159" cm="1">
        <f t="array" ref="AT159">$D$10*(1+$AS159)+VLOOKUP($R159,武学奇术!$A:$ZZ,3,FALSE)+SUM(_xlfn.XLOOKUP($S159:$AL159,增益!$A:$A,增益!$C:$C,0))-$I$2</f>
        <v>4094.7</v>
      </c>
      <c r="AU159" cm="1">
        <f t="array" ref="AU159">$E$10*(1+$AS159)+VLOOKUP($R159,武学奇术!$A:$ZZ,4,FALSE)+SUM(_xlfn.XLOOKUP($S159:$AL159,增益!$A:$A,增益!$D:$D,0))-$I$2</f>
        <v>4094.7</v>
      </c>
      <c r="AV159" s="40" cm="1">
        <f t="array" ref="AV159">IF($F$10-$I$3+VLOOKUP($R159,武学奇术!$A:$ZZ,6,FALSE)+SUM(_xlfn.XLOOKUP($S159:$AL159,增益!$A:$A,增益!$F:$F,0))&gt;0,($F$10-$I$3+VLOOKUP($R159,武学奇术!$A:$ZZ,6,FALSE)+SUM(_xlfn.XLOOKUP($S159:$AL159,增益!$A:$A,增益!$F:$F,0)))/200,($F$10-$I$3+VLOOKUP($R159,武学奇术!$A:$ZZ,6,FALSE)+SUM(_xlfn.XLOOKUP($S159:$AL159,增益!$A:$A,增益!$F:$F,0)))/100)</f>
        <v>0.4384</v>
      </c>
      <c r="AW159" s="40" cm="1">
        <f t="array" ref="AW159">$G$10+VLOOKUP($R159,武学奇术!$A:$ZZ,7,FALSE)+SUM(_xlfn.XLOOKUP($S159:$AL159,增益!$A:$A,增益!$G:$G,0))</f>
        <v>0.14</v>
      </c>
      <c r="AX159" s="33" cm="1">
        <f t="array" ref="AX159">VLOOKUP($R159,武学奇术!$A:$ZZ,8,FALSE)+SUM(_xlfn.XLOOKUP($S159:$AL159,增益!$A:$A,增益!$H:$H,0))</f>
        <v>0</v>
      </c>
      <c r="AY159">
        <f t="shared" si="72"/>
        <v>0</v>
      </c>
      <c r="AZ159">
        <f t="shared" si="73"/>
        <v>0</v>
      </c>
      <c r="BA159" s="40" cm="1">
        <f t="array" ref="BA159">IF($F$11-$I$4+VLOOKUP($R159,武学奇术!$A:$ZZ,9,FALSE)+SUM(_xlfn.XLOOKUP($S159:$AL159,增益!$A:$A,增益!$I:$I,0))&gt;0,($F$11-$I$4+VLOOKUP($R159,武学奇术!$A:$ZZ,9,FALSE)+SUM(_xlfn.XLOOKUP($S159:$AL159,增益!$A:$A,增益!$I:$I,0)))/200,($F$11-$I$4+VLOOKUP($R159,武学奇术!$A:$ZZ,9,FALSE)+SUM(_xlfn.XLOOKUP($S159:$AL159,增益!$A:$A,增益!$I:$I,0)))/100)</f>
        <v>-0.14</v>
      </c>
      <c r="BB159" s="40" cm="1">
        <f t="array" ref="BB159">$G$11+VLOOKUP($R159,武学奇术!$A:$ZZ,10,FALSE)+SUM(_xlfn.XLOOKUP($S159:$AL159,增益!$A:$A,增益!$J:$J,0))</f>
        <v>0.02</v>
      </c>
      <c r="BC159">
        <f t="shared" si="74"/>
        <v>640.3</v>
      </c>
      <c r="BD159">
        <f t="shared" si="75"/>
        <v>1770.1</v>
      </c>
      <c r="BE159" s="40" cm="1">
        <f t="array" ref="BE159">IF($F$12-$I$4+VLOOKUP($R159,武学奇术!$A:$ZZ,11,FALSE)+SUM(_xlfn.XLOOKUP($S159:$AL159,增益!$A:$A,增益!$K:$K,0))&gt;0,($F$12-$I$4+VLOOKUP($R159,武学奇术!$A:$ZZ,11,FALSE)+SUM(_xlfn.XLOOKUP($S159:$AL159,增益!$A:$A,增益!$K:$K,0)))/200,($F$12-$I$4+VLOOKUP($R159,武学奇术!$A:$ZZ,11,FALSE)+SUM(_xlfn.XLOOKUP($S159:$AL159,增益!$A:$A,增益!$K:$K,0)))/100)</f>
        <v>0.17</v>
      </c>
      <c r="BF159" s="40" cm="1">
        <f t="array" ref="BF159">$G$12+VLOOKUP($R159,武学奇术!$A:$ZZ,12,FALSE)+SUM(_xlfn.XLOOKUP($S159:$AL159,增益!$A:$A,增益!$L:$L,0))</f>
        <v>0.29</v>
      </c>
      <c r="BG159">
        <f t="shared" si="76"/>
        <v>0</v>
      </c>
      <c r="BH159">
        <f t="shared" si="77"/>
        <v>0</v>
      </c>
      <c r="BI159" s="40" cm="1">
        <f t="array" ref="BI159">IF($F$13-$I$4+VLOOKUP($R159,武学奇术!$A:$ZZ,13,FALSE)+SUM(_xlfn.XLOOKUP($S159:$AL159,增益!$A:$A,增益!$M:$M,0))&gt;0,($F$13-$I$4+VLOOKUP($R159,武学奇术!$A:$ZZ,13,FALSE)+SUM(_xlfn.XLOOKUP($S159:$AL159,增益!$A:$A,增益!$K:$K,0)))/200,($F$13-$I$4+VLOOKUP($R159,武学奇术!$A:$ZZ,13,FALSE)+SUM(_xlfn.XLOOKUP($S159:$AL159,增益!$A:$A,增益!$M:$M,0)))/100)</f>
        <v>-0.14</v>
      </c>
      <c r="BJ159" s="40" cm="1">
        <f t="array" ref="BJ159">$G$13+VLOOKUP($R159,武学奇术!$A:$ZZ,14,FALSE)+SUM(_xlfn.XLOOKUP($S159:$AL159,增益!$A:$A,增益!$N:$N,0))</f>
        <v>0.02</v>
      </c>
      <c r="BK159">
        <f t="shared" si="78"/>
        <v>0</v>
      </c>
      <c r="BL159">
        <f t="shared" si="79"/>
        <v>0</v>
      </c>
      <c r="BM159" s="40" cm="1">
        <f t="array" ref="BM159">IF($F$14-$I$4+VLOOKUP($R159,武学奇术!$A:$ZZ,15,FALSE)+SUM(_xlfn.XLOOKUP($S159:$AL159,增益!$A:$A,增益!$O:$O,0))&gt;0,($F$14-$I$4+VLOOKUP($R159,武学奇术!$A:$ZZ,15,FALSE)+SUM(_xlfn.XLOOKUP($S159:$AL159,增益!$A:$A,增益!$O:$O,0)))/200,($F$14-$I$4+VLOOKUP($R159,武学奇术!$A:$ZZ,15,FALSE)+SUM(_xlfn.XLOOKUP($S159:$AL159,增益!$A:$A,增益!$O:$O,0)))/100)</f>
        <v>-0.14</v>
      </c>
      <c r="BN159" s="40" cm="1">
        <f t="array" ref="BN159">$G$14+VLOOKUP($R159,武学奇术!$A:$ZZ,16,FALSE)+SUM(_xlfn.XLOOKUP($S159:$AL159,增益!$A:$A,增益!$P:$P,0))</f>
        <v>0.02</v>
      </c>
      <c r="BO159" s="33">
        <f>MIN(IF(VLOOKUP($R159,武学奇术!$A:$ZZ,23,FALSE)=1,100%,$B$8),100%)</f>
        <v>0.9771</v>
      </c>
      <c r="BP159" s="33" cm="1">
        <f t="array" ref="BP159">IF(VLOOKUP($R159,武学奇术!$A:$ZZ,23,FALSE)=1,100%,MIN(80%,$B$9+VLOOKUP($R159,武学奇术!$A:$ZZ,17,FALSE)+SUM(_xlfn.XLOOKUP($S159:$AL159,增益!$A:$A,增益!$Q:$Q,0)))+$B$11+SUM(_xlfn.XLOOKUP($S159:$AL159,增益!$A:$A,增益!$U:$U,0)))*IF(VLOOKUP($R159,武学奇术!$A:$ZZ,24,FALSE)=1,0,1)</f>
        <v>0.8861</v>
      </c>
      <c r="BQ159" s="33" cm="1">
        <f t="array" ref="BQ159">1+$B$13+VLOOKUP($R159,武学奇术!$A:$ZZ,18,FALSE)+SUM(_xlfn.XLOOKUP($S159:$AL159,增益!$A:$A,增益!$R:$R,0))</f>
        <v>1.96</v>
      </c>
      <c r="BR159" s="33" cm="1">
        <f t="array" ref="BR159">IF(VLOOKUP($R159,武学奇术!$A:$ZZ,24,FALSE)=1,100%,MIN(40%,$B$10+VLOOKUP($R159,武学奇术!$A:$ZZ,19,FALSE)+SUM(_xlfn.XLOOKUP($S159:$AL159,增益!$A:$A,增益!$S:$S,0)))+$B$12+SUM(_xlfn.XLOOKUP($S159:$AL159,增益!$A:$A,增益!$V:$V,0)))*IF(VLOOKUP($R159,武学奇术!$A:$ZZ,23,FALSE)=1,0,1)</f>
        <v>0.0913</v>
      </c>
      <c r="BS159" s="33" cm="1">
        <f t="array" ref="BS159">1+$B$14+VLOOKUP($R159,武学奇术!$A:$ZZ,20,FALSE)+SUM(_xlfn.XLOOKUP($S159:$AL159,增益!$A:$A,增益!$T:$T,0))</f>
        <v>1.35</v>
      </c>
      <c r="BT159" s="33">
        <f t="shared" si="80"/>
        <v>0.86580831</v>
      </c>
      <c r="BU159" s="33">
        <f t="shared" si="81"/>
        <v>0.02208246</v>
      </c>
      <c r="BV159" s="33">
        <f>IF(VLOOKUP($R159,武学奇术!$A:$ZZ,22,FALSE)=1,0,(1-$BO159))*(1-$BR159)</f>
        <v>0.02080923</v>
      </c>
      <c r="BW159" s="33" cm="1">
        <f t="array" ref="BW159">SUM(_xlfn.XLOOKUP($S159:$AL159,增益!$A:$A,增益!$W:$W,0))+$I$5</f>
        <v>0.11</v>
      </c>
      <c r="BX159" s="33" cm="1">
        <f t="array" ref="BX159">VLOOKUP($R159,武学奇术!$A:$ZZ,32,FALSE)+SUM(_xlfn.XLOOKUP($S159:$AL159,增益!$A:$A,增益!$X:$X,0))</f>
        <v>0</v>
      </c>
    </row>
    <row r="160" spans="1:76">
      <c r="A160" t="s">
        <v>166</v>
      </c>
      <c r="B160">
        <v>0.1</v>
      </c>
      <c r="D160" s="47"/>
      <c r="L160" s="46">
        <f t="shared" si="70"/>
        <v>0</v>
      </c>
      <c r="M160" s="46">
        <f>((($AT160+$AU160)/2*$AN160+$AO160)*(1+$AV160)*(1+$AW160)+(($AY160+$AZ160)/2*IF($G$1="鸣金",$AP160,$AN160)+IF($G$1="鸣金",$AQ160*1.5,0))*(1+$BA160)*(1+$BB160)+(($BC160+$BD160)/2*IF($G$1="裂石",$AP160,$AN160)+IF($G$1="裂石",$AQ160*1.5,0))*(1+$BE160)*(1+$BF160)+(($BG160+$BH160)/2*IF($G$1="牵丝",$AP160,$AN160)+IF($G$1="牵丝",$AQ160*1.5,0))*(1+$BI160)*(1+$BJ160)+(($BK160+$BL160)/2*IF($G$1="破竹",$AP160,$AN160)+IF($G$1="破竹",$AQ160*1.5,0))*(1+$BM160)*(1+$BN160))*(1+$AR160)*$BQ160*$Q160*(1+IF(VLOOKUP($R160,武学奇术!$A:$ZZ,30,FALSE)="蓄力技",$B$21,0))*(1+IF(VLOOKUP($R160,武学奇术!$A:$ZZ,30,FALSE)="派生技",$B$20,0))*(1+$BW160)*(1+$BX160)</f>
        <v>0</v>
      </c>
      <c r="N160" s="46">
        <f>(($AU160*$AN160+$AO160)*(1+$AV160)*(1+$AW160)+($AZ160*IF($G$1="鸣金",$AP160,$AN160)+IF($G$1="鸣金",$AQ160*1.5,0))*(1+$BA160)*(1+$BB160)+($BD160*IF($G$1="裂石",$AP160,$AN160)+IF($G$1="裂石",$AQ160*1.5,0))*(1+$BE160)*(1+$BF160)+($BH160*IF($G$1="牵丝",$AP160,$AN160)+IF($G$1="牵丝",$AQ160*1.5,0))*(1+$BI160)*(1+$BJ160)+($BL160*IF($G$1="破竹",$AP160,$AN160)+IF($G$1="破竹",$AQ160*1.5,0))*(1+$BM160)*(1+$BN160))*(1+$AR160)*$BS160*$Q160*(1+IF(VLOOKUP($R160,武学奇术!$A:$ZZ,30,FALSE)="蓄力技",$B$21,0))*(1+IF(VLOOKUP($R160,武学奇术!$A:$ZZ,30,FALSE)="派生技",$B$20,0))*(1+$BW160)*(1+$BX160)</f>
        <v>0</v>
      </c>
      <c r="O160" s="46">
        <f>((($AT160+$AU160)/2*$AN160+$AO160)*(1+$AV160)*(1+$AW160)+(($AY160+$AZ160)/2*IF($G$1="鸣金",$AP160,$AN160)+IF($G$1="鸣金",$AQ160*1.5,0))*(1+$BA160)*(1+$BB160)+(($BC160+$BD160)/2*IF($G$1="裂石",$AP160,$AN160)+IF($G$1="裂石",$AQ160*1.5,0))*(1+$BE160)*(1+$BF160)+(($BG160+$BH160)/2*IF($G$1="牵丝",$AP160,$AN160)+IF($G$1="牵丝",$AQ160*1.5,0))*(1+$BI160)*(1+$BJ160)+(($BK160+$BL160)/2*IF($G$1="破竹",$AP160,$AN160)+IF($G$1="破竹",$AQ160*1.5,0))*(1+$BM160)*(1+$BN160))*(1+$AR160)*$Q160*(1+IF(VLOOKUP($R160,武学奇术!$A:$ZZ,30,FALSE)="蓄力技",$B$21,0))*(1+IF(VLOOKUP($R160,武学奇术!$A:$ZZ,30,FALSE)="派生技",$B$20,0))*(1+$BW160)*(1+$BX160)</f>
        <v>0</v>
      </c>
      <c r="P160" s="46">
        <f>((($AT160*$AN160+$AO160)*(1+$AV160)*(1+$AW160)+($AY160*IF($G$1="鸣金",$AP160,$AN160)+IF($G$1="鸣金",$AQ160*1.5,0))*(1+$BA160)*(1+$BB160)+($BC160*IF($G$1="裂石",$AP160,$AN160)+IF($G$1="裂石",$AQ160*1.5,0))*(1+$BE160)*(1+$BF160)+($BG160*IF($G$1="牵丝",$AP160,$AN160)+IF($G$1="牵丝",$AQ160*1.5,0))*(1+$BI160)*(1+$BJ160)+($BK160*IF($G$1="破竹",$AP160,$AN160)+IF($G$1="破竹",$AQ160*1.5,0))*(1+$BM160)*(1+$BN160))*(1+$AR160))*$Q160*(1+IF(VLOOKUP($R160,武学奇术!$A:$ZZ,30,FALSE)="蓄力技",$B$21,0))*(1+IF(VLOOKUP($R160,武学奇术!$A:$ZZ,30,FALSE)="派生技",$B$20,0))*(1+$BW160)*(1+$BX160)</f>
        <v>0</v>
      </c>
      <c r="Q160" s="47">
        <f t="shared" si="71"/>
        <v>0</v>
      </c>
      <c r="R160" s="48" t="s">
        <v>122</v>
      </c>
      <c r="S160" s="48" t="s">
        <v>99</v>
      </c>
      <c r="T160" s="48" t="s">
        <v>170</v>
      </c>
      <c r="U160" s="48" t="s">
        <v>79</v>
      </c>
      <c r="V160" s="48" t="s">
        <v>90</v>
      </c>
      <c r="W160" s="48" t="s">
        <v>141</v>
      </c>
      <c r="X160" s="48" t="s">
        <v>80</v>
      </c>
      <c r="Y160" s="48" t="s">
        <v>74</v>
      </c>
      <c r="Z160" s="48" t="s">
        <v>80</v>
      </c>
      <c r="AA160" s="48" t="s">
        <v>80</v>
      </c>
      <c r="AB160" s="48" t="s">
        <v>80</v>
      </c>
      <c r="AC160" s="48" t="s">
        <v>80</v>
      </c>
      <c r="AD160" s="48" t="s">
        <v>80</v>
      </c>
      <c r="AE160" s="48" t="s">
        <v>82</v>
      </c>
      <c r="AF160" s="48" t="s">
        <v>83</v>
      </c>
      <c r="AG160" s="48" t="s">
        <v>84</v>
      </c>
      <c r="AH160" s="48" t="s">
        <v>80</v>
      </c>
      <c r="AI160" s="48" t="s">
        <v>80</v>
      </c>
      <c r="AJ160" s="48" t="s">
        <v>80</v>
      </c>
      <c r="AK160" s="48" t="s">
        <v>80</v>
      </c>
      <c r="AL160" s="48" t="s">
        <v>85</v>
      </c>
      <c r="AM160" t="str">
        <f>VLOOKUP($R160,武学奇术!$A:$ZZ,25,FALSE)</f>
        <v>横刀</v>
      </c>
      <c r="AN160" s="33">
        <f>VLOOKUP($R160,武学奇术!$A:$ZZ,26,FALSE)</f>
        <v>1.47</v>
      </c>
      <c r="AO160" s="34">
        <f>VLOOKUP($R160,武学奇术!$A:$ZZ,27,FALSE)*(1+IF(OR($AM160=$F$4,$AM160=$F$5),$B$22,0))</f>
        <v>0</v>
      </c>
      <c r="AP160" s="33">
        <f>VLOOKUP($R160,武学奇术!$A:$ZZ,28,FALSE)</f>
        <v>2.205</v>
      </c>
      <c r="AQ160" s="34">
        <f>VLOOKUP($R160,武学奇术!$A:$ZZ,29,FALSE)*(1+IF(OR($AM160=$F$4,$AM160=$F$5),$B$22,0))</f>
        <v>0</v>
      </c>
      <c r="AR160" s="33" cm="1">
        <f t="array" ref="AR160">$G$3+IFERROR(VLOOKUP($AM160,$F$4:$G$7,2,FALSE),0)+VLOOKUP($R160,武学奇术!$A:$ZZ,2,FALSE)+SUM(_xlfn.XLOOKUP($S160:$AL160,增益!$A:$A,增益!$B:$B,0))</f>
        <v>0.6089</v>
      </c>
      <c r="AS160" s="33" cm="1">
        <f t="array" ref="AS160">VLOOKUP($R160,武学奇术!$A:$ZZ,5,FALSE)+SUM(_xlfn.XLOOKUP($S160:$AL160,增益!$A:$A,增益!$E:$E,0))</f>
        <v>0</v>
      </c>
      <c r="AT160" cm="1">
        <f t="array" ref="AT160">$D$10*(1+$AS160)+VLOOKUP($R160,武学奇术!$A:$ZZ,3,FALSE)+SUM(_xlfn.XLOOKUP($S160:$AL160,增益!$A:$A,增益!$C:$C,0))-$I$2</f>
        <v>4094.7</v>
      </c>
      <c r="AU160" cm="1">
        <f t="array" ref="AU160">$E$10*(1+$AS160)+VLOOKUP($R160,武学奇术!$A:$ZZ,4,FALSE)+SUM(_xlfn.XLOOKUP($S160:$AL160,增益!$A:$A,增益!$D:$D,0))-$I$2</f>
        <v>4094.7</v>
      </c>
      <c r="AV160" s="40" cm="1">
        <f t="array" ref="AV160">IF($F$10-$I$3+VLOOKUP($R160,武学奇术!$A:$ZZ,6,FALSE)+SUM(_xlfn.XLOOKUP($S160:$AL160,增益!$A:$A,增益!$F:$F,0))&gt;0,($F$10-$I$3+VLOOKUP($R160,武学奇术!$A:$ZZ,6,FALSE)+SUM(_xlfn.XLOOKUP($S160:$AL160,增益!$A:$A,增益!$F:$F,0)))/200,($F$10-$I$3+VLOOKUP($R160,武学奇术!$A:$ZZ,6,FALSE)+SUM(_xlfn.XLOOKUP($S160:$AL160,增益!$A:$A,增益!$F:$F,0)))/100)</f>
        <v>0.4384</v>
      </c>
      <c r="AW160" s="40" cm="1">
        <f t="array" ref="AW160">$G$10+VLOOKUP($R160,武学奇术!$A:$ZZ,7,FALSE)+SUM(_xlfn.XLOOKUP($S160:$AL160,增益!$A:$A,增益!$G:$G,0))</f>
        <v>0.14</v>
      </c>
      <c r="AX160" s="33" cm="1">
        <f t="array" ref="AX160">VLOOKUP($R160,武学奇术!$A:$ZZ,8,FALSE)+SUM(_xlfn.XLOOKUP($S160:$AL160,增益!$A:$A,增益!$H:$H,0))</f>
        <v>0</v>
      </c>
      <c r="AY160">
        <f t="shared" si="72"/>
        <v>0</v>
      </c>
      <c r="AZ160">
        <f t="shared" si="73"/>
        <v>0</v>
      </c>
      <c r="BA160" s="40" cm="1">
        <f t="array" ref="BA160">IF($F$11-$I$4+VLOOKUP($R160,武学奇术!$A:$ZZ,9,FALSE)+SUM(_xlfn.XLOOKUP($S160:$AL160,增益!$A:$A,增益!$I:$I,0))&gt;0,($F$11-$I$4+VLOOKUP($R160,武学奇术!$A:$ZZ,9,FALSE)+SUM(_xlfn.XLOOKUP($S160:$AL160,增益!$A:$A,增益!$I:$I,0)))/200,($F$11-$I$4+VLOOKUP($R160,武学奇术!$A:$ZZ,9,FALSE)+SUM(_xlfn.XLOOKUP($S160:$AL160,增益!$A:$A,增益!$I:$I,0)))/100)</f>
        <v>-0.14</v>
      </c>
      <c r="BB160" s="40" cm="1">
        <f t="array" ref="BB160">$G$11+VLOOKUP($R160,武学奇术!$A:$ZZ,10,FALSE)+SUM(_xlfn.XLOOKUP($S160:$AL160,增益!$A:$A,增益!$J:$J,0))</f>
        <v>0.02</v>
      </c>
      <c r="BC160">
        <f t="shared" si="74"/>
        <v>640.3</v>
      </c>
      <c r="BD160">
        <f t="shared" si="75"/>
        <v>1770.1</v>
      </c>
      <c r="BE160" s="40" cm="1">
        <f t="array" ref="BE160">IF($F$12-$I$4+VLOOKUP($R160,武学奇术!$A:$ZZ,11,FALSE)+SUM(_xlfn.XLOOKUP($S160:$AL160,增益!$A:$A,增益!$K:$K,0))&gt;0,($F$12-$I$4+VLOOKUP($R160,武学奇术!$A:$ZZ,11,FALSE)+SUM(_xlfn.XLOOKUP($S160:$AL160,增益!$A:$A,增益!$K:$K,0)))/200,($F$12-$I$4+VLOOKUP($R160,武学奇术!$A:$ZZ,11,FALSE)+SUM(_xlfn.XLOOKUP($S160:$AL160,增益!$A:$A,增益!$K:$K,0)))/100)</f>
        <v>0.17</v>
      </c>
      <c r="BF160" s="40" cm="1">
        <f t="array" ref="BF160">$G$12+VLOOKUP($R160,武学奇术!$A:$ZZ,12,FALSE)+SUM(_xlfn.XLOOKUP($S160:$AL160,增益!$A:$A,增益!$L:$L,0))</f>
        <v>0.29</v>
      </c>
      <c r="BG160">
        <f t="shared" si="76"/>
        <v>0</v>
      </c>
      <c r="BH160">
        <f t="shared" si="77"/>
        <v>0</v>
      </c>
      <c r="BI160" s="40" cm="1">
        <f t="array" ref="BI160">IF($F$13-$I$4+VLOOKUP($R160,武学奇术!$A:$ZZ,13,FALSE)+SUM(_xlfn.XLOOKUP($S160:$AL160,增益!$A:$A,增益!$M:$M,0))&gt;0,($F$13-$I$4+VLOOKUP($R160,武学奇术!$A:$ZZ,13,FALSE)+SUM(_xlfn.XLOOKUP($S160:$AL160,增益!$A:$A,增益!$K:$K,0)))/200,($F$13-$I$4+VLOOKUP($R160,武学奇术!$A:$ZZ,13,FALSE)+SUM(_xlfn.XLOOKUP($S160:$AL160,增益!$A:$A,增益!$M:$M,0)))/100)</f>
        <v>-0.14</v>
      </c>
      <c r="BJ160" s="40" cm="1">
        <f t="array" ref="BJ160">$G$13+VLOOKUP($R160,武学奇术!$A:$ZZ,14,FALSE)+SUM(_xlfn.XLOOKUP($S160:$AL160,增益!$A:$A,增益!$N:$N,0))</f>
        <v>0.02</v>
      </c>
      <c r="BK160">
        <f t="shared" si="78"/>
        <v>0</v>
      </c>
      <c r="BL160">
        <f t="shared" si="79"/>
        <v>0</v>
      </c>
      <c r="BM160" s="40" cm="1">
        <f t="array" ref="BM160">IF($F$14-$I$4+VLOOKUP($R160,武学奇术!$A:$ZZ,15,FALSE)+SUM(_xlfn.XLOOKUP($S160:$AL160,增益!$A:$A,增益!$O:$O,0))&gt;0,($F$14-$I$4+VLOOKUP($R160,武学奇术!$A:$ZZ,15,FALSE)+SUM(_xlfn.XLOOKUP($S160:$AL160,增益!$A:$A,增益!$O:$O,0)))/200,($F$14-$I$4+VLOOKUP($R160,武学奇术!$A:$ZZ,15,FALSE)+SUM(_xlfn.XLOOKUP($S160:$AL160,增益!$A:$A,增益!$O:$O,0)))/100)</f>
        <v>-0.14</v>
      </c>
      <c r="BN160" s="40" cm="1">
        <f t="array" ref="BN160">$G$14+VLOOKUP($R160,武学奇术!$A:$ZZ,16,FALSE)+SUM(_xlfn.XLOOKUP($S160:$AL160,增益!$A:$A,增益!$P:$P,0))</f>
        <v>0.02</v>
      </c>
      <c r="BO160" s="33">
        <f>MIN(IF(VLOOKUP($R160,武学奇术!$A:$ZZ,23,FALSE)=1,100%,$B$8),100%)</f>
        <v>0.9771</v>
      </c>
      <c r="BP160" s="33" cm="1">
        <f t="array" ref="BP160">IF(VLOOKUP($R160,武学奇术!$A:$ZZ,23,FALSE)=1,100%,MIN(80%,$B$9+VLOOKUP($R160,武学奇术!$A:$ZZ,17,FALSE)+SUM(_xlfn.XLOOKUP($S160:$AL160,增益!$A:$A,增益!$Q:$Q,0)))+$B$11+SUM(_xlfn.XLOOKUP($S160:$AL160,增益!$A:$A,增益!$U:$U,0)))*IF(VLOOKUP($R160,武学奇术!$A:$ZZ,24,FALSE)=1,0,1)</f>
        <v>0.8861</v>
      </c>
      <c r="BQ160" s="33" cm="1">
        <f t="array" ref="BQ160">1+$B$13+VLOOKUP($R160,武学奇术!$A:$ZZ,18,FALSE)+SUM(_xlfn.XLOOKUP($S160:$AL160,增益!$A:$A,增益!$R:$R,0))</f>
        <v>1.96</v>
      </c>
      <c r="BR160" s="33" cm="1">
        <f t="array" ref="BR160">IF(VLOOKUP($R160,武学奇术!$A:$ZZ,24,FALSE)=1,100%,MIN(40%,$B$10+VLOOKUP($R160,武学奇术!$A:$ZZ,19,FALSE)+SUM(_xlfn.XLOOKUP($S160:$AL160,增益!$A:$A,增益!$S:$S,0)))+$B$12+SUM(_xlfn.XLOOKUP($S160:$AL160,增益!$A:$A,增益!$V:$V,0)))*IF(VLOOKUP($R160,武学奇术!$A:$ZZ,23,FALSE)=1,0,1)</f>
        <v>0.0913</v>
      </c>
      <c r="BS160" s="33" cm="1">
        <f t="array" ref="BS160">1+$B$14+VLOOKUP($R160,武学奇术!$A:$ZZ,20,FALSE)+SUM(_xlfn.XLOOKUP($S160:$AL160,增益!$A:$A,增益!$T:$T,0))</f>
        <v>1.35</v>
      </c>
      <c r="BT160" s="33">
        <f t="shared" si="80"/>
        <v>0.86580831</v>
      </c>
      <c r="BU160" s="33">
        <f t="shared" si="81"/>
        <v>0.02208246</v>
      </c>
      <c r="BV160" s="33">
        <f>IF(VLOOKUP($R160,武学奇术!$A:$ZZ,22,FALSE)=1,0,(1-$BO160))*(1-$BR160)</f>
        <v>0.02080923</v>
      </c>
      <c r="BW160" s="33" cm="1">
        <f t="array" ref="BW160">SUM(_xlfn.XLOOKUP($S160:$AL160,增益!$A:$A,增益!$W:$W,0))+$I$5</f>
        <v>0.11</v>
      </c>
      <c r="BX160" s="33" cm="1">
        <f t="array" ref="BX160">VLOOKUP($R160,武学奇术!$A:$ZZ,32,FALSE)+SUM(_xlfn.XLOOKUP($S160:$AL160,增益!$A:$A,增益!$X:$X,0))</f>
        <v>0</v>
      </c>
    </row>
    <row r="161" spans="1:76">
      <c r="A161" t="s">
        <v>179</v>
      </c>
      <c r="B161">
        <v>1</v>
      </c>
      <c r="D161" s="47"/>
      <c r="L161" s="46">
        <f t="shared" si="70"/>
        <v>0</v>
      </c>
      <c r="M161" s="46">
        <f>((($AT161+$AU161)/2*$AN161+$AO161)*(1+$AV161)*(1+$AW161)+(($AY161+$AZ161)/2*IF($G$1="鸣金",$AP161,$AN161)+IF($G$1="鸣金",$AQ161*1.5,0))*(1+$BA161)*(1+$BB161)+(($BC161+$BD161)/2*IF($G$1="裂石",$AP161,$AN161)+IF($G$1="裂石",$AQ161*1.5,0))*(1+$BE161)*(1+$BF161)+(($BG161+$BH161)/2*IF($G$1="牵丝",$AP161,$AN161)+IF($G$1="牵丝",$AQ161*1.5,0))*(1+$BI161)*(1+$BJ161)+(($BK161+$BL161)/2*IF($G$1="破竹",$AP161,$AN161)+IF($G$1="破竹",$AQ161*1.5,0))*(1+$BM161)*(1+$BN161))*(1+$AR161)*$BQ161*$Q161*(1+IF(VLOOKUP($R161,武学奇术!$A:$ZZ,30,FALSE)="蓄力技",$B$21,0))*(1+IF(VLOOKUP($R161,武学奇术!$A:$ZZ,30,FALSE)="派生技",$B$20,0))*(1+$BW161)*(1+$BX161)</f>
        <v>0</v>
      </c>
      <c r="N161" s="46">
        <f>(($AU161*$AN161+$AO161)*(1+$AV161)*(1+$AW161)+($AZ161*IF($G$1="鸣金",$AP161,$AN161)+IF($G$1="鸣金",$AQ161*1.5,0))*(1+$BA161)*(1+$BB161)+($BD161*IF($G$1="裂石",$AP161,$AN161)+IF($G$1="裂石",$AQ161*1.5,0))*(1+$BE161)*(1+$BF161)+($BH161*IF($G$1="牵丝",$AP161,$AN161)+IF($G$1="牵丝",$AQ161*1.5,0))*(1+$BI161)*(1+$BJ161)+($BL161*IF($G$1="破竹",$AP161,$AN161)+IF($G$1="破竹",$AQ161*1.5,0))*(1+$BM161)*(1+$BN161))*(1+$AR161)*$BS161*$Q161*(1+IF(VLOOKUP($R161,武学奇术!$A:$ZZ,30,FALSE)="蓄力技",$B$21,0))*(1+IF(VLOOKUP($R161,武学奇术!$A:$ZZ,30,FALSE)="派生技",$B$20,0))*(1+$BW161)*(1+$BX161)</f>
        <v>0</v>
      </c>
      <c r="O161" s="46">
        <f>((($AT161+$AU161)/2*$AN161+$AO161)*(1+$AV161)*(1+$AW161)+(($AY161+$AZ161)/2*IF($G$1="鸣金",$AP161,$AN161)+IF($G$1="鸣金",$AQ161*1.5,0))*(1+$BA161)*(1+$BB161)+(($BC161+$BD161)/2*IF($G$1="裂石",$AP161,$AN161)+IF($G$1="裂石",$AQ161*1.5,0))*(1+$BE161)*(1+$BF161)+(($BG161+$BH161)/2*IF($G$1="牵丝",$AP161,$AN161)+IF($G$1="牵丝",$AQ161*1.5,0))*(1+$BI161)*(1+$BJ161)+(($BK161+$BL161)/2*IF($G$1="破竹",$AP161,$AN161)+IF($G$1="破竹",$AQ161*1.5,0))*(1+$BM161)*(1+$BN161))*(1+$AR161)*$Q161*(1+IF(VLOOKUP($R161,武学奇术!$A:$ZZ,30,FALSE)="蓄力技",$B$21,0))*(1+IF(VLOOKUP($R161,武学奇术!$A:$ZZ,30,FALSE)="派生技",$B$20,0))*(1+$BW161)*(1+$BX161)</f>
        <v>0</v>
      </c>
      <c r="P161" s="46">
        <f>((($AT161*$AN161+$AO161)*(1+$AV161)*(1+$AW161)+($AY161*IF($G$1="鸣金",$AP161,$AN161)+IF($G$1="鸣金",$AQ161*1.5,0))*(1+$BA161)*(1+$BB161)+($BC161*IF($G$1="裂石",$AP161,$AN161)+IF($G$1="裂石",$AQ161*1.5,0))*(1+$BE161)*(1+$BF161)+($BG161*IF($G$1="牵丝",$AP161,$AN161)+IF($G$1="牵丝",$AQ161*1.5,0))*(1+$BI161)*(1+$BJ161)+($BK161*IF($G$1="破竹",$AP161,$AN161)+IF($G$1="破竹",$AQ161*1.5,0))*(1+$BM161)*(1+$BN161))*(1+$AR161))*$Q161*(1+IF(VLOOKUP($R161,武学奇术!$A:$ZZ,30,FALSE)="蓄力技",$B$21,0))*(1+IF(VLOOKUP($R161,武学奇术!$A:$ZZ,30,FALSE)="派生技",$B$20,0))*(1+$BW161)*(1+$BX161)</f>
        <v>0</v>
      </c>
      <c r="Q161" s="47">
        <f t="shared" si="71"/>
        <v>0</v>
      </c>
      <c r="R161" s="48" t="s">
        <v>197</v>
      </c>
      <c r="S161" s="48" t="s">
        <v>99</v>
      </c>
      <c r="T161" s="48" t="s">
        <v>170</v>
      </c>
      <c r="U161" s="48" t="s">
        <v>79</v>
      </c>
      <c r="V161" s="48" t="s">
        <v>90</v>
      </c>
      <c r="W161" s="48" t="s">
        <v>91</v>
      </c>
      <c r="X161" s="48" t="s">
        <v>80</v>
      </c>
      <c r="Y161" s="48" t="s">
        <v>80</v>
      </c>
      <c r="Z161" s="48" t="s">
        <v>80</v>
      </c>
      <c r="AA161" s="48" t="s">
        <v>80</v>
      </c>
      <c r="AB161" s="48" t="s">
        <v>80</v>
      </c>
      <c r="AC161" s="48" t="s">
        <v>80</v>
      </c>
      <c r="AD161" s="48" t="s">
        <v>80</v>
      </c>
      <c r="AE161" s="48" t="s">
        <v>82</v>
      </c>
      <c r="AF161" s="48" t="s">
        <v>83</v>
      </c>
      <c r="AG161" s="48" t="s">
        <v>84</v>
      </c>
      <c r="AH161" s="48" t="s">
        <v>80</v>
      </c>
      <c r="AI161" s="48" t="s">
        <v>80</v>
      </c>
      <c r="AJ161" s="48" t="s">
        <v>80</v>
      </c>
      <c r="AK161" s="48" t="s">
        <v>80</v>
      </c>
      <c r="AL161" s="48" t="s">
        <v>85</v>
      </c>
      <c r="AM161" t="str">
        <f>VLOOKUP($R161,武学奇术!$A:$ZZ,25,FALSE)</f>
        <v>横刀</v>
      </c>
      <c r="AN161" s="33">
        <f>VLOOKUP($R161,武学奇术!$A:$ZZ,26,FALSE)</f>
        <v>2.4495</v>
      </c>
      <c r="AO161" s="34">
        <f>VLOOKUP($R161,武学奇术!$A:$ZZ,27,FALSE)*(1+IF(OR($AM161=$F$4,$AM161=$F$5),$B$22,0))</f>
        <v>1083.2</v>
      </c>
      <c r="AP161" s="33">
        <f>VLOOKUP($R161,武学奇术!$A:$ZZ,28,FALSE)</f>
        <v>3.6743</v>
      </c>
      <c r="AQ161" s="34">
        <f>VLOOKUP($R161,武学奇术!$A:$ZZ,29,FALSE)*(1+IF(OR($AM161=$F$4,$AM161=$F$5),$B$22,0))</f>
        <v>588.8</v>
      </c>
      <c r="AR161" s="33" cm="1">
        <f t="array" ref="AR161">$G$3+IFERROR(VLOOKUP($AM161,$F$4:$G$7,2,FALSE),0)+VLOOKUP($R161,武学奇术!$A:$ZZ,2,FALSE)+SUM(_xlfn.XLOOKUP($S161:$AL161,增益!$A:$A,增益!$B:$B,0))</f>
        <v>0.5289</v>
      </c>
      <c r="AS161" s="33" cm="1">
        <f t="array" ref="AS161">VLOOKUP($R161,武学奇术!$A:$ZZ,5,FALSE)+SUM(_xlfn.XLOOKUP($S161:$AL161,增益!$A:$A,增益!$E:$E,0))</f>
        <v>0</v>
      </c>
      <c r="AT161" cm="1">
        <f t="array" ref="AT161">$D$10*(1+$AS161)+VLOOKUP($R161,武学奇术!$A:$ZZ,3,FALSE)+SUM(_xlfn.XLOOKUP($S161:$AL161,增益!$A:$A,增益!$C:$C,0))-$I$2</f>
        <v>4094.7</v>
      </c>
      <c r="AU161" cm="1">
        <f t="array" ref="AU161">$E$10*(1+$AS161)+VLOOKUP($R161,武学奇术!$A:$ZZ,4,FALSE)+SUM(_xlfn.XLOOKUP($S161:$AL161,增益!$A:$A,增益!$D:$D,0))-$I$2</f>
        <v>4094.7</v>
      </c>
      <c r="AV161" s="40" cm="1">
        <f t="array" ref="AV161">IF($F$10-$I$3+VLOOKUP($R161,武学奇术!$A:$ZZ,6,FALSE)+SUM(_xlfn.XLOOKUP($S161:$AL161,增益!$A:$A,增益!$F:$F,0))&gt;0,($F$10-$I$3+VLOOKUP($R161,武学奇术!$A:$ZZ,6,FALSE)+SUM(_xlfn.XLOOKUP($S161:$AL161,增益!$A:$A,增益!$F:$F,0)))/200,($F$10-$I$3+VLOOKUP($R161,武学奇术!$A:$ZZ,6,FALSE)+SUM(_xlfn.XLOOKUP($S161:$AL161,增益!$A:$A,增益!$F:$F,0)))/100)</f>
        <v>0.4134</v>
      </c>
      <c r="AW161" s="40" cm="1">
        <f t="array" ref="AW161">$G$10+VLOOKUP($R161,武学奇术!$A:$ZZ,7,FALSE)+SUM(_xlfn.XLOOKUP($S161:$AL161,增益!$A:$A,增益!$G:$G,0))</f>
        <v>0.14</v>
      </c>
      <c r="AX161" s="33" cm="1">
        <f t="array" ref="AX161">VLOOKUP($R161,武学奇术!$A:$ZZ,8,FALSE)+SUM(_xlfn.XLOOKUP($S161:$AL161,增益!$A:$A,增益!$H:$H,0))</f>
        <v>0</v>
      </c>
      <c r="AY161">
        <f t="shared" si="72"/>
        <v>0</v>
      </c>
      <c r="AZ161">
        <f t="shared" si="73"/>
        <v>0</v>
      </c>
      <c r="BA161" s="40" cm="1">
        <f t="array" ref="BA161">IF($F$11-$I$4+VLOOKUP($R161,武学奇术!$A:$ZZ,9,FALSE)+SUM(_xlfn.XLOOKUP($S161:$AL161,增益!$A:$A,增益!$I:$I,0))&gt;0,($F$11-$I$4+VLOOKUP($R161,武学奇术!$A:$ZZ,9,FALSE)+SUM(_xlfn.XLOOKUP($S161:$AL161,增益!$A:$A,增益!$I:$I,0)))/200,($F$11-$I$4+VLOOKUP($R161,武学奇术!$A:$ZZ,9,FALSE)+SUM(_xlfn.XLOOKUP($S161:$AL161,增益!$A:$A,增益!$I:$I,0)))/100)</f>
        <v>-0.14</v>
      </c>
      <c r="BB161" s="40" cm="1">
        <f t="array" ref="BB161">$G$11+VLOOKUP($R161,武学奇术!$A:$ZZ,10,FALSE)+SUM(_xlfn.XLOOKUP($S161:$AL161,增益!$A:$A,增益!$J:$J,0))</f>
        <v>0.02</v>
      </c>
      <c r="BC161">
        <f t="shared" si="74"/>
        <v>640.3</v>
      </c>
      <c r="BD161">
        <f t="shared" si="75"/>
        <v>1770.1</v>
      </c>
      <c r="BE161" s="40" cm="1">
        <f t="array" ref="BE161">IF($F$12-$I$4+VLOOKUP($R161,武学奇术!$A:$ZZ,11,FALSE)+SUM(_xlfn.XLOOKUP($S161:$AL161,增益!$A:$A,增益!$K:$K,0))&gt;0,($F$12-$I$4+VLOOKUP($R161,武学奇术!$A:$ZZ,11,FALSE)+SUM(_xlfn.XLOOKUP($S161:$AL161,增益!$A:$A,增益!$K:$K,0)))/200,($F$12-$I$4+VLOOKUP($R161,武学奇术!$A:$ZZ,11,FALSE)+SUM(_xlfn.XLOOKUP($S161:$AL161,增益!$A:$A,增益!$K:$K,0)))/100)</f>
        <v>0.17</v>
      </c>
      <c r="BF161" s="40" cm="1">
        <f t="array" ref="BF161">$G$12+VLOOKUP($R161,武学奇术!$A:$ZZ,12,FALSE)+SUM(_xlfn.XLOOKUP($S161:$AL161,增益!$A:$A,增益!$L:$L,0))</f>
        <v>0.29</v>
      </c>
      <c r="BG161">
        <f t="shared" si="76"/>
        <v>0</v>
      </c>
      <c r="BH161">
        <f t="shared" si="77"/>
        <v>0</v>
      </c>
      <c r="BI161" s="40" cm="1">
        <f t="array" ref="BI161">IF($F$13-$I$4+VLOOKUP($R161,武学奇术!$A:$ZZ,13,FALSE)+SUM(_xlfn.XLOOKUP($S161:$AL161,增益!$A:$A,增益!$M:$M,0))&gt;0,($F$13-$I$4+VLOOKUP($R161,武学奇术!$A:$ZZ,13,FALSE)+SUM(_xlfn.XLOOKUP($S161:$AL161,增益!$A:$A,增益!$K:$K,0)))/200,($F$13-$I$4+VLOOKUP($R161,武学奇术!$A:$ZZ,13,FALSE)+SUM(_xlfn.XLOOKUP($S161:$AL161,增益!$A:$A,增益!$M:$M,0)))/100)</f>
        <v>-0.14</v>
      </c>
      <c r="BJ161" s="40" cm="1">
        <f t="array" ref="BJ161">$G$13+VLOOKUP($R161,武学奇术!$A:$ZZ,14,FALSE)+SUM(_xlfn.XLOOKUP($S161:$AL161,增益!$A:$A,增益!$N:$N,0))</f>
        <v>0.02</v>
      </c>
      <c r="BK161">
        <f t="shared" si="78"/>
        <v>0</v>
      </c>
      <c r="BL161">
        <f t="shared" si="79"/>
        <v>0</v>
      </c>
      <c r="BM161" s="40" cm="1">
        <f t="array" ref="BM161">IF($F$14-$I$4+VLOOKUP($R161,武学奇术!$A:$ZZ,15,FALSE)+SUM(_xlfn.XLOOKUP($S161:$AL161,增益!$A:$A,增益!$O:$O,0))&gt;0,($F$14-$I$4+VLOOKUP($R161,武学奇术!$A:$ZZ,15,FALSE)+SUM(_xlfn.XLOOKUP($S161:$AL161,增益!$A:$A,增益!$O:$O,0)))/200,($F$14-$I$4+VLOOKUP($R161,武学奇术!$A:$ZZ,15,FALSE)+SUM(_xlfn.XLOOKUP($S161:$AL161,增益!$A:$A,增益!$O:$O,0)))/100)</f>
        <v>-0.14</v>
      </c>
      <c r="BN161" s="40" cm="1">
        <f t="array" ref="BN161">$G$14+VLOOKUP($R161,武学奇术!$A:$ZZ,16,FALSE)+SUM(_xlfn.XLOOKUP($S161:$AL161,增益!$A:$A,增益!$P:$P,0))</f>
        <v>0.02</v>
      </c>
      <c r="BO161" s="33">
        <f>MIN(IF(VLOOKUP($R161,武学奇术!$A:$ZZ,23,FALSE)=1,100%,$B$8),100%)</f>
        <v>0.9771</v>
      </c>
      <c r="BP161" s="33" cm="1">
        <f t="array" ref="BP161">IF(VLOOKUP($R161,武学奇术!$A:$ZZ,23,FALSE)=1,100%,MIN(80%,$B$9+VLOOKUP($R161,武学奇术!$A:$ZZ,17,FALSE)+SUM(_xlfn.XLOOKUP($S161:$AL161,增益!$A:$A,增益!$Q:$Q,0)))+$B$11+SUM(_xlfn.XLOOKUP($S161:$AL161,增益!$A:$A,增益!$U:$U,0)))*IF(VLOOKUP($R161,武学奇术!$A:$ZZ,24,FALSE)=1,0,1)</f>
        <v>0.8861</v>
      </c>
      <c r="BQ161" s="33" cm="1">
        <f t="array" ref="BQ161">1+$B$13+VLOOKUP($R161,武学奇术!$A:$ZZ,18,FALSE)+SUM(_xlfn.XLOOKUP($S161:$AL161,增益!$A:$A,增益!$R:$R,0))</f>
        <v>1.91</v>
      </c>
      <c r="BR161" s="33" cm="1">
        <f t="array" ref="BR161">IF(VLOOKUP($R161,武学奇术!$A:$ZZ,24,FALSE)=1,100%,MIN(40%,$B$10+VLOOKUP($R161,武学奇术!$A:$ZZ,19,FALSE)+SUM(_xlfn.XLOOKUP($S161:$AL161,增益!$A:$A,增益!$S:$S,0)))+$B$12+SUM(_xlfn.XLOOKUP($S161:$AL161,增益!$A:$A,增益!$V:$V,0)))*IF(VLOOKUP($R161,武学奇术!$A:$ZZ,23,FALSE)=1,0,1)</f>
        <v>0.0913</v>
      </c>
      <c r="BS161" s="33" cm="1">
        <f t="array" ref="BS161">1+$B$14+VLOOKUP($R161,武学奇术!$A:$ZZ,20,FALSE)+SUM(_xlfn.XLOOKUP($S161:$AL161,增益!$A:$A,增益!$T:$T,0))</f>
        <v>1.35</v>
      </c>
      <c r="BT161" s="33">
        <f t="shared" si="80"/>
        <v>0.86580831</v>
      </c>
      <c r="BU161" s="33">
        <f t="shared" si="81"/>
        <v>0.02208246</v>
      </c>
      <c r="BV161" s="33">
        <f>IF(VLOOKUP($R161,武学奇术!$A:$ZZ,22,FALSE)=1,0,(1-$BO161))*(1-$BR161)</f>
        <v>0.02080923</v>
      </c>
      <c r="BW161" s="33" cm="1">
        <f t="array" ref="BW161">SUM(_xlfn.XLOOKUP($S161:$AL161,增益!$A:$A,增益!$W:$W,0))+$I$5</f>
        <v>0.11</v>
      </c>
      <c r="BX161" s="33" cm="1">
        <f t="array" ref="BX161">VLOOKUP($R161,武学奇术!$A:$ZZ,32,FALSE)+SUM(_xlfn.XLOOKUP($S161:$AL161,增益!$A:$A,增益!$X:$X,0))</f>
        <v>0</v>
      </c>
    </row>
    <row r="162" spans="1:76">
      <c r="A162" s="4" t="s">
        <v>188</v>
      </c>
      <c r="B162" s="4">
        <v>0.8</v>
      </c>
      <c r="L162" s="46">
        <f t="shared" si="70"/>
        <v>0</v>
      </c>
      <c r="M162" s="46">
        <f>((($AT162+$AU162)/2*$AN162+$AO162)*(1+$AV162)*(1+$AW162)+(($AY162+$AZ162)/2*IF($G$1="鸣金",$AP162,$AN162)+IF($G$1="鸣金",$AQ162*1.5,0))*(1+$BA162)*(1+$BB162)+(($BC162+$BD162)/2*IF($G$1="裂石",$AP162,$AN162)+IF($G$1="裂石",$AQ162*1.5,0))*(1+$BE162)*(1+$BF162)+(($BG162+$BH162)/2*IF($G$1="牵丝",$AP162,$AN162)+IF($G$1="牵丝",$AQ162*1.5,0))*(1+$BI162)*(1+$BJ162)+(($BK162+$BL162)/2*IF($G$1="破竹",$AP162,$AN162)+IF($G$1="破竹",$AQ162*1.5,0))*(1+$BM162)*(1+$BN162))*(1+$AR162)*$BQ162*$Q162*(1+IF(VLOOKUP($R162,武学奇术!$A:$ZZ,30,FALSE)="蓄力技",$B$21,0))*(1+IF(VLOOKUP($R162,武学奇术!$A:$ZZ,30,FALSE)="派生技",$B$20,0))*(1+$BW162)*(1+$BX162)</f>
        <v>0</v>
      </c>
      <c r="N162" s="46">
        <f>(($AU162*$AN162+$AO162)*(1+$AV162)*(1+$AW162)+($AZ162*IF($G$1="鸣金",$AP162,$AN162)+IF($G$1="鸣金",$AQ162*1.5,0))*(1+$BA162)*(1+$BB162)+($BD162*IF($G$1="裂石",$AP162,$AN162)+IF($G$1="裂石",$AQ162*1.5,0))*(1+$BE162)*(1+$BF162)+($BH162*IF($G$1="牵丝",$AP162,$AN162)+IF($G$1="牵丝",$AQ162*1.5,0))*(1+$BI162)*(1+$BJ162)+($BL162*IF($G$1="破竹",$AP162,$AN162)+IF($G$1="破竹",$AQ162*1.5,0))*(1+$BM162)*(1+$BN162))*(1+$AR162)*$BS162*$Q162*(1+IF(VLOOKUP($R162,武学奇术!$A:$ZZ,30,FALSE)="蓄力技",$B$21,0))*(1+IF(VLOOKUP($R162,武学奇术!$A:$ZZ,30,FALSE)="派生技",$B$20,0))*(1+$BW162)*(1+$BX162)</f>
        <v>0</v>
      </c>
      <c r="O162" s="46">
        <f>((($AT162+$AU162)/2*$AN162+$AO162)*(1+$AV162)*(1+$AW162)+(($AY162+$AZ162)/2*IF($G$1="鸣金",$AP162,$AN162)+IF($G$1="鸣金",$AQ162*1.5,0))*(1+$BA162)*(1+$BB162)+(($BC162+$BD162)/2*IF($G$1="裂石",$AP162,$AN162)+IF($G$1="裂石",$AQ162*1.5,0))*(1+$BE162)*(1+$BF162)+(($BG162+$BH162)/2*IF($G$1="牵丝",$AP162,$AN162)+IF($G$1="牵丝",$AQ162*1.5,0))*(1+$BI162)*(1+$BJ162)+(($BK162+$BL162)/2*IF($G$1="破竹",$AP162,$AN162)+IF($G$1="破竹",$AQ162*1.5,0))*(1+$BM162)*(1+$BN162))*(1+$AR162)*$Q162*(1+IF(VLOOKUP($R162,武学奇术!$A:$ZZ,30,FALSE)="蓄力技",$B$21,0))*(1+IF(VLOOKUP($R162,武学奇术!$A:$ZZ,30,FALSE)="派生技",$B$20,0))*(1+$BW162)*(1+$BX162)</f>
        <v>0</v>
      </c>
      <c r="P162" s="46">
        <f>((($AT162*$AN162+$AO162)*(1+$AV162)*(1+$AW162)+($AY162*IF($G$1="鸣金",$AP162,$AN162)+IF($G$1="鸣金",$AQ162*1.5,0))*(1+$BA162)*(1+$BB162)+($BC162*IF($G$1="裂石",$AP162,$AN162)+IF($G$1="裂石",$AQ162*1.5,0))*(1+$BE162)*(1+$BF162)+($BG162*IF($G$1="牵丝",$AP162,$AN162)+IF($G$1="牵丝",$AQ162*1.5,0))*(1+$BI162)*(1+$BJ162)+($BK162*IF($G$1="破竹",$AP162,$AN162)+IF($G$1="破竹",$AQ162*1.5,0))*(1+$BM162)*(1+$BN162))*(1+$AR162))*$Q162*(1+IF(VLOOKUP($R162,武学奇术!$A:$ZZ,30,FALSE)="蓄力技",$B$21,0))*(1+IF(VLOOKUP($R162,武学奇术!$A:$ZZ,30,FALSE)="派生技",$B$20,0))*(1+$BW162)*(1+$BX162)</f>
        <v>0</v>
      </c>
      <c r="Q162" s="47">
        <f t="shared" si="71"/>
        <v>0</v>
      </c>
      <c r="R162" s="48" t="s">
        <v>199</v>
      </c>
      <c r="S162" s="48" t="s">
        <v>99</v>
      </c>
      <c r="T162" s="48" t="s">
        <v>170</v>
      </c>
      <c r="U162" s="48" t="s">
        <v>79</v>
      </c>
      <c r="V162" s="48" t="s">
        <v>90</v>
      </c>
      <c r="W162" s="48" t="s">
        <v>141</v>
      </c>
      <c r="X162" s="48" t="s">
        <v>80</v>
      </c>
      <c r="Y162" s="48" t="s">
        <v>74</v>
      </c>
      <c r="Z162" s="48" t="s">
        <v>80</v>
      </c>
      <c r="AA162" s="48" t="s">
        <v>80</v>
      </c>
      <c r="AB162" s="48" t="s">
        <v>80</v>
      </c>
      <c r="AC162" s="48" t="s">
        <v>80</v>
      </c>
      <c r="AD162" s="48" t="s">
        <v>80</v>
      </c>
      <c r="AE162" s="48" t="s">
        <v>82</v>
      </c>
      <c r="AF162" s="48" t="s">
        <v>83</v>
      </c>
      <c r="AG162" s="48" t="s">
        <v>84</v>
      </c>
      <c r="AH162" s="48" t="s">
        <v>80</v>
      </c>
      <c r="AI162" s="48" t="s">
        <v>80</v>
      </c>
      <c r="AJ162" s="48" t="s">
        <v>80</v>
      </c>
      <c r="AK162" s="48" t="s">
        <v>80</v>
      </c>
      <c r="AL162" s="48" t="s">
        <v>85</v>
      </c>
      <c r="AM162" t="str">
        <f>VLOOKUP($R162,武学奇术!$A:$ZZ,25,FALSE)</f>
        <v>横刀</v>
      </c>
      <c r="AN162" s="33">
        <f>VLOOKUP($R162,武学奇术!$A:$ZZ,26,FALSE)</f>
        <v>2.8245</v>
      </c>
      <c r="AO162" s="34">
        <f>VLOOKUP($R162,武学奇术!$A:$ZZ,27,FALSE)*(1+IF(OR($AM162=$F$4,$AM162=$F$5),$B$22,0))</f>
        <v>1251.2</v>
      </c>
      <c r="AP162" s="33">
        <f>VLOOKUP($R162,武学奇术!$A:$ZZ,28,FALSE)</f>
        <v>4.236808</v>
      </c>
      <c r="AQ162" s="34">
        <f>VLOOKUP($R162,武学奇术!$A:$ZZ,29,FALSE)*(1+IF(OR($AM162=$F$4,$AM162=$F$5),$B$22,0))</f>
        <v>680</v>
      </c>
      <c r="AR162" s="33" cm="1">
        <f t="array" ref="AR162">$G$3+IFERROR(VLOOKUP($AM162,$F$4:$G$7,2,FALSE),0)+VLOOKUP($R162,武学奇术!$A:$ZZ,2,FALSE)+SUM(_xlfn.XLOOKUP($S162:$AL162,增益!$A:$A,增益!$B:$B,0))</f>
        <v>0.7089</v>
      </c>
      <c r="AS162" s="33" cm="1">
        <f t="array" ref="AS162">VLOOKUP($R162,武学奇术!$A:$ZZ,5,FALSE)+SUM(_xlfn.XLOOKUP($S162:$AL162,增益!$A:$A,增益!$E:$E,0))</f>
        <v>0</v>
      </c>
      <c r="AT162" cm="1">
        <f t="array" ref="AT162">$D$10*(1+$AS162)+VLOOKUP($R162,武学奇术!$A:$ZZ,3,FALSE)+SUM(_xlfn.XLOOKUP($S162:$AL162,增益!$A:$A,增益!$C:$C,0))-$I$2</f>
        <v>4094.7</v>
      </c>
      <c r="AU162" cm="1">
        <f t="array" ref="AU162">$E$10*(1+$AS162)+VLOOKUP($R162,武学奇术!$A:$ZZ,4,FALSE)+SUM(_xlfn.XLOOKUP($S162:$AL162,增益!$A:$A,增益!$D:$D,0))-$I$2</f>
        <v>4094.7</v>
      </c>
      <c r="AV162" s="40" cm="1">
        <f t="array" ref="AV162">IF($F$10-$I$3+VLOOKUP($R162,武学奇术!$A:$ZZ,6,FALSE)+SUM(_xlfn.XLOOKUP($S162:$AL162,增益!$A:$A,增益!$F:$F,0))&gt;0,($F$10-$I$3+VLOOKUP($R162,武学奇术!$A:$ZZ,6,FALSE)+SUM(_xlfn.XLOOKUP($S162:$AL162,增益!$A:$A,增益!$F:$F,0)))/200,($F$10-$I$3+VLOOKUP($R162,武学奇术!$A:$ZZ,6,FALSE)+SUM(_xlfn.XLOOKUP($S162:$AL162,增益!$A:$A,增益!$F:$F,0)))/100)</f>
        <v>0.4384</v>
      </c>
      <c r="AW162" s="40" cm="1">
        <f t="array" ref="AW162">$G$10+VLOOKUP($R162,武学奇术!$A:$ZZ,7,FALSE)+SUM(_xlfn.XLOOKUP($S162:$AL162,增益!$A:$A,增益!$G:$G,0))</f>
        <v>0.14</v>
      </c>
      <c r="AX162" s="33" cm="1">
        <f t="array" ref="AX162">VLOOKUP($R162,武学奇术!$A:$ZZ,8,FALSE)+SUM(_xlfn.XLOOKUP($S162:$AL162,增益!$A:$A,增益!$H:$H,0))</f>
        <v>0</v>
      </c>
      <c r="AY162">
        <f t="shared" si="72"/>
        <v>0</v>
      </c>
      <c r="AZ162">
        <f t="shared" si="73"/>
        <v>0</v>
      </c>
      <c r="BA162" s="40" cm="1">
        <f t="array" ref="BA162">IF($F$11-$I$4+VLOOKUP($R162,武学奇术!$A:$ZZ,9,FALSE)+SUM(_xlfn.XLOOKUP($S162:$AL162,增益!$A:$A,增益!$I:$I,0))&gt;0,($F$11-$I$4+VLOOKUP($R162,武学奇术!$A:$ZZ,9,FALSE)+SUM(_xlfn.XLOOKUP($S162:$AL162,增益!$A:$A,增益!$I:$I,0)))/200,($F$11-$I$4+VLOOKUP($R162,武学奇术!$A:$ZZ,9,FALSE)+SUM(_xlfn.XLOOKUP($S162:$AL162,增益!$A:$A,增益!$I:$I,0)))/100)</f>
        <v>-0.14</v>
      </c>
      <c r="BB162" s="40" cm="1">
        <f t="array" ref="BB162">$G$11+VLOOKUP($R162,武学奇术!$A:$ZZ,10,FALSE)+SUM(_xlfn.XLOOKUP($S162:$AL162,增益!$A:$A,增益!$J:$J,0))</f>
        <v>0.02</v>
      </c>
      <c r="BC162">
        <f t="shared" si="74"/>
        <v>640.3</v>
      </c>
      <c r="BD162">
        <f t="shared" si="75"/>
        <v>1770.1</v>
      </c>
      <c r="BE162" s="40" cm="1">
        <f t="array" ref="BE162">IF($F$12-$I$4+VLOOKUP($R162,武学奇术!$A:$ZZ,11,FALSE)+SUM(_xlfn.XLOOKUP($S162:$AL162,增益!$A:$A,增益!$K:$K,0))&gt;0,($F$12-$I$4+VLOOKUP($R162,武学奇术!$A:$ZZ,11,FALSE)+SUM(_xlfn.XLOOKUP($S162:$AL162,增益!$A:$A,增益!$K:$K,0)))/200,($F$12-$I$4+VLOOKUP($R162,武学奇术!$A:$ZZ,11,FALSE)+SUM(_xlfn.XLOOKUP($S162:$AL162,增益!$A:$A,增益!$K:$K,0)))/100)</f>
        <v>0.17</v>
      </c>
      <c r="BF162" s="40" cm="1">
        <f t="array" ref="BF162">$G$12+VLOOKUP($R162,武学奇术!$A:$ZZ,12,FALSE)+SUM(_xlfn.XLOOKUP($S162:$AL162,增益!$A:$A,增益!$L:$L,0))</f>
        <v>0.29</v>
      </c>
      <c r="BG162">
        <f t="shared" si="76"/>
        <v>0</v>
      </c>
      <c r="BH162">
        <f t="shared" si="77"/>
        <v>0</v>
      </c>
      <c r="BI162" s="40" cm="1">
        <f t="array" ref="BI162">IF($F$13-$I$4+VLOOKUP($R162,武学奇术!$A:$ZZ,13,FALSE)+SUM(_xlfn.XLOOKUP($S162:$AL162,增益!$A:$A,增益!$M:$M,0))&gt;0,($F$13-$I$4+VLOOKUP($R162,武学奇术!$A:$ZZ,13,FALSE)+SUM(_xlfn.XLOOKUP($S162:$AL162,增益!$A:$A,增益!$K:$K,0)))/200,($F$13-$I$4+VLOOKUP($R162,武学奇术!$A:$ZZ,13,FALSE)+SUM(_xlfn.XLOOKUP($S162:$AL162,增益!$A:$A,增益!$M:$M,0)))/100)</f>
        <v>-0.14</v>
      </c>
      <c r="BJ162" s="40" cm="1">
        <f t="array" ref="BJ162">$G$13+VLOOKUP($R162,武学奇术!$A:$ZZ,14,FALSE)+SUM(_xlfn.XLOOKUP($S162:$AL162,增益!$A:$A,增益!$N:$N,0))</f>
        <v>0.02</v>
      </c>
      <c r="BK162">
        <f t="shared" si="78"/>
        <v>0</v>
      </c>
      <c r="BL162">
        <f t="shared" si="79"/>
        <v>0</v>
      </c>
      <c r="BM162" s="40" cm="1">
        <f t="array" ref="BM162">IF($F$14-$I$4+VLOOKUP($R162,武学奇术!$A:$ZZ,15,FALSE)+SUM(_xlfn.XLOOKUP($S162:$AL162,增益!$A:$A,增益!$O:$O,0))&gt;0,($F$14-$I$4+VLOOKUP($R162,武学奇术!$A:$ZZ,15,FALSE)+SUM(_xlfn.XLOOKUP($S162:$AL162,增益!$A:$A,增益!$O:$O,0)))/200,($F$14-$I$4+VLOOKUP($R162,武学奇术!$A:$ZZ,15,FALSE)+SUM(_xlfn.XLOOKUP($S162:$AL162,增益!$A:$A,增益!$O:$O,0)))/100)</f>
        <v>-0.14</v>
      </c>
      <c r="BN162" s="40" cm="1">
        <f t="array" ref="BN162">$G$14+VLOOKUP($R162,武学奇术!$A:$ZZ,16,FALSE)+SUM(_xlfn.XLOOKUP($S162:$AL162,增益!$A:$A,增益!$P:$P,0))</f>
        <v>0.02</v>
      </c>
      <c r="BO162" s="33">
        <f>MIN(IF(VLOOKUP($R162,武学奇术!$A:$ZZ,23,FALSE)=1,100%,$B$8),100%)</f>
        <v>0.9771</v>
      </c>
      <c r="BP162" s="33" cm="1">
        <f t="array" ref="BP162">IF(VLOOKUP($R162,武学奇术!$A:$ZZ,23,FALSE)=1,100%,MIN(80%,$B$9+VLOOKUP($R162,武学奇术!$A:$ZZ,17,FALSE)+SUM(_xlfn.XLOOKUP($S162:$AL162,增益!$A:$A,增益!$Q:$Q,0)))+$B$11+SUM(_xlfn.XLOOKUP($S162:$AL162,增益!$A:$A,增益!$U:$U,0)))*IF(VLOOKUP($R162,武学奇术!$A:$ZZ,24,FALSE)=1,0,1)</f>
        <v>0.8861</v>
      </c>
      <c r="BQ162" s="33" cm="1">
        <f t="array" ref="BQ162">1+$B$13+VLOOKUP($R162,武学奇术!$A:$ZZ,18,FALSE)+SUM(_xlfn.XLOOKUP($S162:$AL162,增益!$A:$A,增益!$R:$R,0))</f>
        <v>1.96</v>
      </c>
      <c r="BR162" s="33" cm="1">
        <f t="array" ref="BR162">IF(VLOOKUP($R162,武学奇术!$A:$ZZ,24,FALSE)=1,100%,MIN(40%,$B$10+VLOOKUP($R162,武学奇术!$A:$ZZ,19,FALSE)+SUM(_xlfn.XLOOKUP($S162:$AL162,增益!$A:$A,增益!$S:$S,0)))+$B$12+SUM(_xlfn.XLOOKUP($S162:$AL162,增益!$A:$A,增益!$V:$V,0)))*IF(VLOOKUP($R162,武学奇术!$A:$ZZ,23,FALSE)=1,0,1)</f>
        <v>0.0913</v>
      </c>
      <c r="BS162" s="33" cm="1">
        <f t="array" ref="BS162">1+$B$14+VLOOKUP($R162,武学奇术!$A:$ZZ,20,FALSE)+SUM(_xlfn.XLOOKUP($S162:$AL162,增益!$A:$A,增益!$T:$T,0))</f>
        <v>1.35</v>
      </c>
      <c r="BT162" s="33">
        <f t="shared" si="80"/>
        <v>0.86580831</v>
      </c>
      <c r="BU162" s="33">
        <f t="shared" si="81"/>
        <v>0.02208246</v>
      </c>
      <c r="BV162" s="33">
        <f>IF(VLOOKUP($R162,武学奇术!$A:$ZZ,22,FALSE)=1,0,(1-$BO162))*(1-$BR162)</f>
        <v>0.02080923</v>
      </c>
      <c r="BW162" s="33" cm="1">
        <f t="array" ref="BW162">SUM(_xlfn.XLOOKUP($S162:$AL162,增益!$A:$A,增益!$W:$W,0))+$I$5</f>
        <v>0.11</v>
      </c>
      <c r="BX162" s="33" cm="1">
        <f t="array" ref="BX162">VLOOKUP($R162,武学奇术!$A:$ZZ,32,FALSE)+SUM(_xlfn.XLOOKUP($S162:$AL162,增益!$A:$A,增益!$X:$X,0))</f>
        <v>0</v>
      </c>
    </row>
    <row r="163" spans="1:76">
      <c r="A163" t="s">
        <v>180</v>
      </c>
      <c r="B163">
        <v>1</v>
      </c>
      <c r="L163" s="46">
        <f t="shared" si="70"/>
        <v>0</v>
      </c>
      <c r="M163" s="46">
        <f>((($AT163+$AU163)/2*$AN163+$AO163)*(1+$AV163)*(1+$AW163)+(($AY163+$AZ163)/2*IF($G$1="鸣金",$AP163,$AN163)+IF($G$1="鸣金",$AQ163*1.5,0))*(1+$BA163)*(1+$BB163)+(($BC163+$BD163)/2*IF($G$1="裂石",$AP163,$AN163)+IF($G$1="裂石",$AQ163*1.5,0))*(1+$BE163)*(1+$BF163)+(($BG163+$BH163)/2*IF($G$1="牵丝",$AP163,$AN163)+IF($G$1="牵丝",$AQ163*1.5,0))*(1+$BI163)*(1+$BJ163)+(($BK163+$BL163)/2*IF($G$1="破竹",$AP163,$AN163)+IF($G$1="破竹",$AQ163*1.5,0))*(1+$BM163)*(1+$BN163))*(1+$AR163)*$BQ163*$Q163*(1+IF(VLOOKUP($R163,武学奇术!$A:$ZZ,30,FALSE)="蓄力技",$B$21,0))*(1+IF(VLOOKUP($R163,武学奇术!$A:$ZZ,30,FALSE)="派生技",$B$20,0))*(1+$BW163)*(1+$BX163)</f>
        <v>0</v>
      </c>
      <c r="N163" s="46">
        <f>(($AU163*$AN163+$AO163)*(1+$AV163)*(1+$AW163)+($AZ163*IF($G$1="鸣金",$AP163,$AN163)+IF($G$1="鸣金",$AQ163*1.5,0))*(1+$BA163)*(1+$BB163)+($BD163*IF($G$1="裂石",$AP163,$AN163)+IF($G$1="裂石",$AQ163*1.5,0))*(1+$BE163)*(1+$BF163)+($BH163*IF($G$1="牵丝",$AP163,$AN163)+IF($G$1="牵丝",$AQ163*1.5,0))*(1+$BI163)*(1+$BJ163)+($BL163*IF($G$1="破竹",$AP163,$AN163)+IF($G$1="破竹",$AQ163*1.5,0))*(1+$BM163)*(1+$BN163))*(1+$AR163)*$BS163*$Q163*(1+IF(VLOOKUP($R163,武学奇术!$A:$ZZ,30,FALSE)="蓄力技",$B$21,0))*(1+IF(VLOOKUP($R163,武学奇术!$A:$ZZ,30,FALSE)="派生技",$B$20,0))*(1+$BW163)*(1+$BX163)</f>
        <v>0</v>
      </c>
      <c r="O163" s="46">
        <f>((($AT163+$AU163)/2*$AN163+$AO163)*(1+$AV163)*(1+$AW163)+(($AY163+$AZ163)/2*IF($G$1="鸣金",$AP163,$AN163)+IF($G$1="鸣金",$AQ163*1.5,0))*(1+$BA163)*(1+$BB163)+(($BC163+$BD163)/2*IF($G$1="裂石",$AP163,$AN163)+IF($G$1="裂石",$AQ163*1.5,0))*(1+$BE163)*(1+$BF163)+(($BG163+$BH163)/2*IF($G$1="牵丝",$AP163,$AN163)+IF($G$1="牵丝",$AQ163*1.5,0))*(1+$BI163)*(1+$BJ163)+(($BK163+$BL163)/2*IF($G$1="破竹",$AP163,$AN163)+IF($G$1="破竹",$AQ163*1.5,0))*(1+$BM163)*(1+$BN163))*(1+$AR163)*$Q163*(1+IF(VLOOKUP($R163,武学奇术!$A:$ZZ,30,FALSE)="蓄力技",$B$21,0))*(1+IF(VLOOKUP($R163,武学奇术!$A:$ZZ,30,FALSE)="派生技",$B$20,0))*(1+$BW163)*(1+$BX163)</f>
        <v>0</v>
      </c>
      <c r="P163" s="46">
        <f>((($AT163*$AN163+$AO163)*(1+$AV163)*(1+$AW163)+($AY163*IF($G$1="鸣金",$AP163,$AN163)+IF($G$1="鸣金",$AQ163*1.5,0))*(1+$BA163)*(1+$BB163)+($BC163*IF($G$1="裂石",$AP163,$AN163)+IF($G$1="裂石",$AQ163*1.5,0))*(1+$BE163)*(1+$BF163)+($BG163*IF($G$1="牵丝",$AP163,$AN163)+IF($G$1="牵丝",$AQ163*1.5,0))*(1+$BI163)*(1+$BJ163)+($BK163*IF($G$1="破竹",$AP163,$AN163)+IF($G$1="破竹",$AQ163*1.5,0))*(1+$BM163)*(1+$BN163))*(1+$AR163))*$Q163*(1+IF(VLOOKUP($R163,武学奇术!$A:$ZZ,30,FALSE)="蓄力技",$B$21,0))*(1+IF(VLOOKUP($R163,武学奇术!$A:$ZZ,30,FALSE)="派生技",$B$20,0))*(1+$BW163)*(1+$BX163)</f>
        <v>0</v>
      </c>
      <c r="Q163" s="47">
        <f t="shared" si="71"/>
        <v>0</v>
      </c>
      <c r="R163" s="48" t="s">
        <v>122</v>
      </c>
      <c r="S163" s="48" t="s">
        <v>99</v>
      </c>
      <c r="T163" s="48" t="s">
        <v>170</v>
      </c>
      <c r="U163" s="48" t="s">
        <v>79</v>
      </c>
      <c r="V163" s="48" t="s">
        <v>90</v>
      </c>
      <c r="W163" s="48" t="s">
        <v>141</v>
      </c>
      <c r="X163" s="48" t="s">
        <v>80</v>
      </c>
      <c r="Y163" s="48" t="s">
        <v>74</v>
      </c>
      <c r="Z163" s="48" t="s">
        <v>80</v>
      </c>
      <c r="AA163" s="48" t="s">
        <v>80</v>
      </c>
      <c r="AB163" s="48" t="s">
        <v>80</v>
      </c>
      <c r="AC163" s="48" t="s">
        <v>80</v>
      </c>
      <c r="AD163" s="48" t="s">
        <v>80</v>
      </c>
      <c r="AE163" s="48" t="s">
        <v>82</v>
      </c>
      <c r="AF163" s="48" t="s">
        <v>83</v>
      </c>
      <c r="AG163" s="48" t="s">
        <v>84</v>
      </c>
      <c r="AH163" s="48" t="s">
        <v>80</v>
      </c>
      <c r="AI163" s="48" t="s">
        <v>80</v>
      </c>
      <c r="AJ163" s="48" t="s">
        <v>80</v>
      </c>
      <c r="AK163" s="48" t="s">
        <v>80</v>
      </c>
      <c r="AL163" s="48" t="s">
        <v>85</v>
      </c>
      <c r="AM163" t="str">
        <f>VLOOKUP($R163,武学奇术!$A:$ZZ,25,FALSE)</f>
        <v>横刀</v>
      </c>
      <c r="AN163" s="33">
        <f>VLOOKUP($R163,武学奇术!$A:$ZZ,26,FALSE)</f>
        <v>1.47</v>
      </c>
      <c r="AO163" s="34">
        <f>VLOOKUP($R163,武学奇术!$A:$ZZ,27,FALSE)*(1+IF(OR($AM163=$F$4,$AM163=$F$5),$B$22,0))</f>
        <v>0</v>
      </c>
      <c r="AP163" s="33">
        <f>VLOOKUP($R163,武学奇术!$A:$ZZ,28,FALSE)</f>
        <v>2.205</v>
      </c>
      <c r="AQ163" s="34">
        <f>VLOOKUP($R163,武学奇术!$A:$ZZ,29,FALSE)*(1+IF(OR($AM163=$F$4,$AM163=$F$5),$B$22,0))</f>
        <v>0</v>
      </c>
      <c r="AR163" s="33" cm="1">
        <f t="array" ref="AR163">$G$3+IFERROR(VLOOKUP($AM163,$F$4:$G$7,2,FALSE),0)+VLOOKUP($R163,武学奇术!$A:$ZZ,2,FALSE)+SUM(_xlfn.XLOOKUP($S163:$AL163,增益!$A:$A,增益!$B:$B,0))</f>
        <v>0.6089</v>
      </c>
      <c r="AS163" s="33" cm="1">
        <f t="array" ref="AS163">VLOOKUP($R163,武学奇术!$A:$ZZ,5,FALSE)+SUM(_xlfn.XLOOKUP($S163:$AL163,增益!$A:$A,增益!$E:$E,0))</f>
        <v>0</v>
      </c>
      <c r="AT163" cm="1">
        <f t="array" ref="AT163">$D$10*(1+$AS163)+VLOOKUP($R163,武学奇术!$A:$ZZ,3,FALSE)+SUM(_xlfn.XLOOKUP($S163:$AL163,增益!$A:$A,增益!$C:$C,0))-$I$2</f>
        <v>4094.7</v>
      </c>
      <c r="AU163" cm="1">
        <f t="array" ref="AU163">$E$10*(1+$AS163)+VLOOKUP($R163,武学奇术!$A:$ZZ,4,FALSE)+SUM(_xlfn.XLOOKUP($S163:$AL163,增益!$A:$A,增益!$D:$D,0))-$I$2</f>
        <v>4094.7</v>
      </c>
      <c r="AV163" s="40" cm="1">
        <f t="array" ref="AV163">IF($F$10-$I$3+VLOOKUP($R163,武学奇术!$A:$ZZ,6,FALSE)+SUM(_xlfn.XLOOKUP($S163:$AL163,增益!$A:$A,增益!$F:$F,0))&gt;0,($F$10-$I$3+VLOOKUP($R163,武学奇术!$A:$ZZ,6,FALSE)+SUM(_xlfn.XLOOKUP($S163:$AL163,增益!$A:$A,增益!$F:$F,0)))/200,($F$10-$I$3+VLOOKUP($R163,武学奇术!$A:$ZZ,6,FALSE)+SUM(_xlfn.XLOOKUP($S163:$AL163,增益!$A:$A,增益!$F:$F,0)))/100)</f>
        <v>0.4384</v>
      </c>
      <c r="AW163" s="40" cm="1">
        <f t="array" ref="AW163">$G$10+VLOOKUP($R163,武学奇术!$A:$ZZ,7,FALSE)+SUM(_xlfn.XLOOKUP($S163:$AL163,增益!$A:$A,增益!$G:$G,0))</f>
        <v>0.14</v>
      </c>
      <c r="AX163" s="33" cm="1">
        <f t="array" ref="AX163">VLOOKUP($R163,武学奇术!$A:$ZZ,8,FALSE)+SUM(_xlfn.XLOOKUP($S163:$AL163,增益!$A:$A,增益!$H:$H,0))</f>
        <v>0</v>
      </c>
      <c r="AY163">
        <f t="shared" si="72"/>
        <v>0</v>
      </c>
      <c r="AZ163">
        <f t="shared" si="73"/>
        <v>0</v>
      </c>
      <c r="BA163" s="40" cm="1">
        <f t="array" ref="BA163">IF($F$11-$I$4+VLOOKUP($R163,武学奇术!$A:$ZZ,9,FALSE)+SUM(_xlfn.XLOOKUP($S163:$AL163,增益!$A:$A,增益!$I:$I,0))&gt;0,($F$11-$I$4+VLOOKUP($R163,武学奇术!$A:$ZZ,9,FALSE)+SUM(_xlfn.XLOOKUP($S163:$AL163,增益!$A:$A,增益!$I:$I,0)))/200,($F$11-$I$4+VLOOKUP($R163,武学奇术!$A:$ZZ,9,FALSE)+SUM(_xlfn.XLOOKUP($S163:$AL163,增益!$A:$A,增益!$I:$I,0)))/100)</f>
        <v>-0.14</v>
      </c>
      <c r="BB163" s="40" cm="1">
        <f t="array" ref="BB163">$G$11+VLOOKUP($R163,武学奇术!$A:$ZZ,10,FALSE)+SUM(_xlfn.XLOOKUP($S163:$AL163,增益!$A:$A,增益!$J:$J,0))</f>
        <v>0.02</v>
      </c>
      <c r="BC163">
        <f t="shared" si="74"/>
        <v>640.3</v>
      </c>
      <c r="BD163">
        <f t="shared" si="75"/>
        <v>1770.1</v>
      </c>
      <c r="BE163" s="40" cm="1">
        <f t="array" ref="BE163">IF($F$12-$I$4+VLOOKUP($R163,武学奇术!$A:$ZZ,11,FALSE)+SUM(_xlfn.XLOOKUP($S163:$AL163,增益!$A:$A,增益!$K:$K,0))&gt;0,($F$12-$I$4+VLOOKUP($R163,武学奇术!$A:$ZZ,11,FALSE)+SUM(_xlfn.XLOOKUP($S163:$AL163,增益!$A:$A,增益!$K:$K,0)))/200,($F$12-$I$4+VLOOKUP($R163,武学奇术!$A:$ZZ,11,FALSE)+SUM(_xlfn.XLOOKUP($S163:$AL163,增益!$A:$A,增益!$K:$K,0)))/100)</f>
        <v>0.17</v>
      </c>
      <c r="BF163" s="40" cm="1">
        <f t="array" ref="BF163">$G$12+VLOOKUP($R163,武学奇术!$A:$ZZ,12,FALSE)+SUM(_xlfn.XLOOKUP($S163:$AL163,增益!$A:$A,增益!$L:$L,0))</f>
        <v>0.29</v>
      </c>
      <c r="BG163">
        <f t="shared" si="76"/>
        <v>0</v>
      </c>
      <c r="BH163">
        <f t="shared" si="77"/>
        <v>0</v>
      </c>
      <c r="BI163" s="40" cm="1">
        <f t="array" ref="BI163">IF($F$13-$I$4+VLOOKUP($R163,武学奇术!$A:$ZZ,13,FALSE)+SUM(_xlfn.XLOOKUP($S163:$AL163,增益!$A:$A,增益!$M:$M,0))&gt;0,($F$13-$I$4+VLOOKUP($R163,武学奇术!$A:$ZZ,13,FALSE)+SUM(_xlfn.XLOOKUP($S163:$AL163,增益!$A:$A,增益!$K:$K,0)))/200,($F$13-$I$4+VLOOKUP($R163,武学奇术!$A:$ZZ,13,FALSE)+SUM(_xlfn.XLOOKUP($S163:$AL163,增益!$A:$A,增益!$M:$M,0)))/100)</f>
        <v>-0.14</v>
      </c>
      <c r="BJ163" s="40" cm="1">
        <f t="array" ref="BJ163">$G$13+VLOOKUP($R163,武学奇术!$A:$ZZ,14,FALSE)+SUM(_xlfn.XLOOKUP($S163:$AL163,增益!$A:$A,增益!$N:$N,0))</f>
        <v>0.02</v>
      </c>
      <c r="BK163">
        <f t="shared" si="78"/>
        <v>0</v>
      </c>
      <c r="BL163">
        <f t="shared" si="79"/>
        <v>0</v>
      </c>
      <c r="BM163" s="40" cm="1">
        <f t="array" ref="BM163">IF($F$14-$I$4+VLOOKUP($R163,武学奇术!$A:$ZZ,15,FALSE)+SUM(_xlfn.XLOOKUP($S163:$AL163,增益!$A:$A,增益!$O:$O,0))&gt;0,($F$14-$I$4+VLOOKUP($R163,武学奇术!$A:$ZZ,15,FALSE)+SUM(_xlfn.XLOOKUP($S163:$AL163,增益!$A:$A,增益!$O:$O,0)))/200,($F$14-$I$4+VLOOKUP($R163,武学奇术!$A:$ZZ,15,FALSE)+SUM(_xlfn.XLOOKUP($S163:$AL163,增益!$A:$A,增益!$O:$O,0)))/100)</f>
        <v>-0.14</v>
      </c>
      <c r="BN163" s="40" cm="1">
        <f t="array" ref="BN163">$G$14+VLOOKUP($R163,武学奇术!$A:$ZZ,16,FALSE)+SUM(_xlfn.XLOOKUP($S163:$AL163,增益!$A:$A,增益!$P:$P,0))</f>
        <v>0.02</v>
      </c>
      <c r="BO163" s="33">
        <f>MIN(IF(VLOOKUP($R163,武学奇术!$A:$ZZ,23,FALSE)=1,100%,$B$8),100%)</f>
        <v>0.9771</v>
      </c>
      <c r="BP163" s="33" cm="1">
        <f t="array" ref="BP163">IF(VLOOKUP($R163,武学奇术!$A:$ZZ,23,FALSE)=1,100%,MIN(80%,$B$9+VLOOKUP($R163,武学奇术!$A:$ZZ,17,FALSE)+SUM(_xlfn.XLOOKUP($S163:$AL163,增益!$A:$A,增益!$Q:$Q,0)))+$B$11+SUM(_xlfn.XLOOKUP($S163:$AL163,增益!$A:$A,增益!$U:$U,0)))*IF(VLOOKUP($R163,武学奇术!$A:$ZZ,24,FALSE)=1,0,1)</f>
        <v>0.8861</v>
      </c>
      <c r="BQ163" s="33" cm="1">
        <f t="array" ref="BQ163">1+$B$13+VLOOKUP($R163,武学奇术!$A:$ZZ,18,FALSE)+SUM(_xlfn.XLOOKUP($S163:$AL163,增益!$A:$A,增益!$R:$R,0))</f>
        <v>1.96</v>
      </c>
      <c r="BR163" s="33" cm="1">
        <f t="array" ref="BR163">IF(VLOOKUP($R163,武学奇术!$A:$ZZ,24,FALSE)=1,100%,MIN(40%,$B$10+VLOOKUP($R163,武学奇术!$A:$ZZ,19,FALSE)+SUM(_xlfn.XLOOKUP($S163:$AL163,增益!$A:$A,增益!$S:$S,0)))+$B$12+SUM(_xlfn.XLOOKUP($S163:$AL163,增益!$A:$A,增益!$V:$V,0)))*IF(VLOOKUP($R163,武学奇术!$A:$ZZ,23,FALSE)=1,0,1)</f>
        <v>0.0913</v>
      </c>
      <c r="BS163" s="33" cm="1">
        <f t="array" ref="BS163">1+$B$14+VLOOKUP($R163,武学奇术!$A:$ZZ,20,FALSE)+SUM(_xlfn.XLOOKUP($S163:$AL163,增益!$A:$A,增益!$T:$T,0))</f>
        <v>1.35</v>
      </c>
      <c r="BT163" s="33">
        <f t="shared" si="80"/>
        <v>0.86580831</v>
      </c>
      <c r="BU163" s="33">
        <f t="shared" si="81"/>
        <v>0.02208246</v>
      </c>
      <c r="BV163" s="33">
        <f>IF(VLOOKUP($R163,武学奇术!$A:$ZZ,22,FALSE)=1,0,(1-$BO163))*(1-$BR163)</f>
        <v>0.02080923</v>
      </c>
      <c r="BW163" s="33" cm="1">
        <f t="array" ref="BW163">SUM(_xlfn.XLOOKUP($S163:$AL163,增益!$A:$A,增益!$W:$W,0))+$I$5</f>
        <v>0.11</v>
      </c>
      <c r="BX163" s="33" cm="1">
        <f t="array" ref="BX163">VLOOKUP($R163,武学奇术!$A:$ZZ,32,FALSE)+SUM(_xlfn.XLOOKUP($S163:$AL163,增益!$A:$A,增益!$X:$X,0))</f>
        <v>0</v>
      </c>
    </row>
    <row r="164" spans="1:76">
      <c r="A164" t="s">
        <v>116</v>
      </c>
      <c r="B164">
        <v>2.3</v>
      </c>
      <c r="L164" s="46">
        <f t="shared" si="70"/>
        <v>0</v>
      </c>
      <c r="M164" s="46">
        <f>((($AT164+$AU164)/2*$AN164+$AO164)*(1+$AV164)*(1+$AW164)+(($AY164+$AZ164)/2*IF($G$1="鸣金",$AP164,$AN164)+IF($G$1="鸣金",$AQ164*1.5,0))*(1+$BA164)*(1+$BB164)+(($BC164+$BD164)/2*IF($G$1="裂石",$AP164,$AN164)+IF($G$1="裂石",$AQ164*1.5,0))*(1+$BE164)*(1+$BF164)+(($BG164+$BH164)/2*IF($G$1="牵丝",$AP164,$AN164)+IF($G$1="牵丝",$AQ164*1.5,0))*(1+$BI164)*(1+$BJ164)+(($BK164+$BL164)/2*IF($G$1="破竹",$AP164,$AN164)+IF($G$1="破竹",$AQ164*1.5,0))*(1+$BM164)*(1+$BN164))*(1+$AR164)*$BQ164*$Q164*(1+IF(VLOOKUP($R164,武学奇术!$A:$ZZ,30,FALSE)="蓄力技",$B$21,0))*(1+IF(VLOOKUP($R164,武学奇术!$A:$ZZ,30,FALSE)="派生技",$B$20,0))*(1+$BW164)*(1+$BX164)</f>
        <v>0</v>
      </c>
      <c r="N164" s="46">
        <f>(($AU164*$AN164+$AO164)*(1+$AV164)*(1+$AW164)+($AZ164*IF($G$1="鸣金",$AP164,$AN164)+IF($G$1="鸣金",$AQ164*1.5,0))*(1+$BA164)*(1+$BB164)+($BD164*IF($G$1="裂石",$AP164,$AN164)+IF($G$1="裂石",$AQ164*1.5,0))*(1+$BE164)*(1+$BF164)+($BH164*IF($G$1="牵丝",$AP164,$AN164)+IF($G$1="牵丝",$AQ164*1.5,0))*(1+$BI164)*(1+$BJ164)+($BL164*IF($G$1="破竹",$AP164,$AN164)+IF($G$1="破竹",$AQ164*1.5,0))*(1+$BM164)*(1+$BN164))*(1+$AR164)*$BS164*$Q164*(1+IF(VLOOKUP($R164,武学奇术!$A:$ZZ,30,FALSE)="蓄力技",$B$21,0))*(1+IF(VLOOKUP($R164,武学奇术!$A:$ZZ,30,FALSE)="派生技",$B$20,0))*(1+$BW164)*(1+$BX164)</f>
        <v>0</v>
      </c>
      <c r="O164" s="46">
        <f>((($AT164+$AU164)/2*$AN164+$AO164)*(1+$AV164)*(1+$AW164)+(($AY164+$AZ164)/2*IF($G$1="鸣金",$AP164,$AN164)+IF($G$1="鸣金",$AQ164*1.5,0))*(1+$BA164)*(1+$BB164)+(($BC164+$BD164)/2*IF($G$1="裂石",$AP164,$AN164)+IF($G$1="裂石",$AQ164*1.5,0))*(1+$BE164)*(1+$BF164)+(($BG164+$BH164)/2*IF($G$1="牵丝",$AP164,$AN164)+IF($G$1="牵丝",$AQ164*1.5,0))*(1+$BI164)*(1+$BJ164)+(($BK164+$BL164)/2*IF($G$1="破竹",$AP164,$AN164)+IF($G$1="破竹",$AQ164*1.5,0))*(1+$BM164)*(1+$BN164))*(1+$AR164)*$Q164*(1+IF(VLOOKUP($R164,武学奇术!$A:$ZZ,30,FALSE)="蓄力技",$B$21,0))*(1+IF(VLOOKUP($R164,武学奇术!$A:$ZZ,30,FALSE)="派生技",$B$20,0))*(1+$BW164)*(1+$BX164)</f>
        <v>0</v>
      </c>
      <c r="P164" s="46">
        <f>((($AT164*$AN164+$AO164)*(1+$AV164)*(1+$AW164)+($AY164*IF($G$1="鸣金",$AP164,$AN164)+IF($G$1="鸣金",$AQ164*1.5,0))*(1+$BA164)*(1+$BB164)+($BC164*IF($G$1="裂石",$AP164,$AN164)+IF($G$1="裂石",$AQ164*1.5,0))*(1+$BE164)*(1+$BF164)+($BG164*IF($G$1="牵丝",$AP164,$AN164)+IF($G$1="牵丝",$AQ164*1.5,0))*(1+$BI164)*(1+$BJ164)+($BK164*IF($G$1="破竹",$AP164,$AN164)+IF($G$1="破竹",$AQ164*1.5,0))*(1+$BM164)*(1+$BN164))*(1+$AR164))*$Q164*(1+IF(VLOOKUP($R164,武学奇术!$A:$ZZ,30,FALSE)="蓄力技",$B$21,0))*(1+IF(VLOOKUP($R164,武学奇术!$A:$ZZ,30,FALSE)="派生技",$B$20,0))*(1+$BW164)*(1+$BX164)</f>
        <v>0</v>
      </c>
      <c r="Q164" s="47">
        <f t="shared" si="71"/>
        <v>0</v>
      </c>
      <c r="R164" s="48" t="s">
        <v>172</v>
      </c>
      <c r="S164" s="48" t="s">
        <v>99</v>
      </c>
      <c r="T164" s="48" t="s">
        <v>176</v>
      </c>
      <c r="U164" s="48" t="s">
        <v>79</v>
      </c>
      <c r="V164" s="48" t="s">
        <v>90</v>
      </c>
      <c r="W164" s="48" t="s">
        <v>141</v>
      </c>
      <c r="X164" s="48" t="s">
        <v>80</v>
      </c>
      <c r="Y164" s="48" t="s">
        <v>74</v>
      </c>
      <c r="Z164" s="48" t="s">
        <v>80</v>
      </c>
      <c r="AA164" s="48" t="s">
        <v>80</v>
      </c>
      <c r="AB164" s="48" t="s">
        <v>80</v>
      </c>
      <c r="AC164" s="48" t="s">
        <v>80</v>
      </c>
      <c r="AD164" s="48" t="s">
        <v>80</v>
      </c>
      <c r="AE164" s="48" t="s">
        <v>82</v>
      </c>
      <c r="AF164" s="48" t="s">
        <v>83</v>
      </c>
      <c r="AG164" s="48" t="s">
        <v>84</v>
      </c>
      <c r="AH164" s="48" t="s">
        <v>80</v>
      </c>
      <c r="AI164" s="48" t="s">
        <v>80</v>
      </c>
      <c r="AJ164" s="48" t="s">
        <v>80</v>
      </c>
      <c r="AK164" s="48" t="s">
        <v>80</v>
      </c>
      <c r="AL164" s="48" t="s">
        <v>85</v>
      </c>
      <c r="AM164" t="str">
        <f>VLOOKUP($R164,武学奇术!$A:$ZZ,25,FALSE)</f>
        <v>陌刀</v>
      </c>
      <c r="AN164" s="33">
        <f>VLOOKUP($R164,武学奇术!$A:$ZZ,26,FALSE)</f>
        <v>3.5256</v>
      </c>
      <c r="AO164" s="34">
        <f>VLOOKUP($R164,武学奇术!$A:$ZZ,27,FALSE)*(1+IF(OR($AM164=$F$4,$AM164=$F$5),$B$22,0))</f>
        <v>846.144</v>
      </c>
      <c r="AP164" s="33">
        <f>VLOOKUP($R164,武学奇术!$A:$ZZ,28,FALSE)</f>
        <v>5.2884</v>
      </c>
      <c r="AQ164" s="34">
        <f>VLOOKUP($R164,武学奇术!$A:$ZZ,29,FALSE)*(1+IF(OR($AM164=$F$4,$AM164=$F$5),$B$22,0))</f>
        <v>851.2</v>
      </c>
      <c r="AR164" s="33" cm="1">
        <f t="array" ref="AR164">$G$3+IFERROR(VLOOKUP($AM164,$F$4:$G$7,2,FALSE),0)+VLOOKUP($R164,武学奇术!$A:$ZZ,2,FALSE)+SUM(_xlfn.XLOOKUP($S164:$AL164,增益!$A:$A,增益!$B:$B,0))</f>
        <v>0.6943</v>
      </c>
      <c r="AS164" s="33" cm="1">
        <f t="array" ref="AS164">VLOOKUP($R164,武学奇术!$A:$ZZ,5,FALSE)+SUM(_xlfn.XLOOKUP($S164:$AL164,增益!$A:$A,增益!$E:$E,0))</f>
        <v>0</v>
      </c>
      <c r="AT164" cm="1">
        <f t="array" ref="AT164">$D$10*(1+$AS164)+VLOOKUP($R164,武学奇术!$A:$ZZ,3,FALSE)+SUM(_xlfn.XLOOKUP($S164:$AL164,增益!$A:$A,增益!$C:$C,0))-$I$2</f>
        <v>4094.7</v>
      </c>
      <c r="AU164" cm="1">
        <f t="array" ref="AU164">$E$10*(1+$AS164)+VLOOKUP($R164,武学奇术!$A:$ZZ,4,FALSE)+SUM(_xlfn.XLOOKUP($S164:$AL164,增益!$A:$A,增益!$D:$D,0))-$I$2</f>
        <v>4094.7</v>
      </c>
      <c r="AV164" s="40" cm="1">
        <f t="array" ref="AV164">IF($F$10-$I$3+VLOOKUP($R164,武学奇术!$A:$ZZ,6,FALSE)+SUM(_xlfn.XLOOKUP($S164:$AL164,增益!$A:$A,增益!$F:$F,0))&gt;0,($F$10-$I$3+VLOOKUP($R164,武学奇术!$A:$ZZ,6,FALSE)+SUM(_xlfn.XLOOKUP($S164:$AL164,增益!$A:$A,增益!$F:$F,0)))/200,($F$10-$I$3+VLOOKUP($R164,武学奇术!$A:$ZZ,6,FALSE)+SUM(_xlfn.XLOOKUP($S164:$AL164,增益!$A:$A,增益!$F:$F,0)))/100)</f>
        <v>0.4384</v>
      </c>
      <c r="AW164" s="40" cm="1">
        <f t="array" ref="AW164">$G$10+VLOOKUP($R164,武学奇术!$A:$ZZ,7,FALSE)+SUM(_xlfn.XLOOKUP($S164:$AL164,增益!$A:$A,增益!$G:$G,0))</f>
        <v>0.14</v>
      </c>
      <c r="AX164" s="33" cm="1">
        <f t="array" ref="AX164">VLOOKUP($R164,武学奇术!$A:$ZZ,8,FALSE)+SUM(_xlfn.XLOOKUP($S164:$AL164,增益!$A:$A,增益!$H:$H,0))</f>
        <v>0</v>
      </c>
      <c r="AY164">
        <f t="shared" si="72"/>
        <v>0</v>
      </c>
      <c r="AZ164">
        <f t="shared" si="73"/>
        <v>0</v>
      </c>
      <c r="BA164" s="40" cm="1">
        <f t="array" ref="BA164">IF($F$11-$I$4+VLOOKUP($R164,武学奇术!$A:$ZZ,9,FALSE)+SUM(_xlfn.XLOOKUP($S164:$AL164,增益!$A:$A,增益!$I:$I,0))&gt;0,($F$11-$I$4+VLOOKUP($R164,武学奇术!$A:$ZZ,9,FALSE)+SUM(_xlfn.XLOOKUP($S164:$AL164,增益!$A:$A,增益!$I:$I,0)))/200,($F$11-$I$4+VLOOKUP($R164,武学奇术!$A:$ZZ,9,FALSE)+SUM(_xlfn.XLOOKUP($S164:$AL164,增益!$A:$A,增益!$I:$I,0)))/100)</f>
        <v>-0.14</v>
      </c>
      <c r="BB164" s="40" cm="1">
        <f t="array" ref="BB164">$G$11+VLOOKUP($R164,武学奇术!$A:$ZZ,10,FALSE)+SUM(_xlfn.XLOOKUP($S164:$AL164,增益!$A:$A,增益!$J:$J,0))</f>
        <v>0.02</v>
      </c>
      <c r="BC164">
        <f t="shared" si="74"/>
        <v>640.3</v>
      </c>
      <c r="BD164">
        <f t="shared" si="75"/>
        <v>1770.1</v>
      </c>
      <c r="BE164" s="40" cm="1">
        <f t="array" ref="BE164">IF($F$12-$I$4+VLOOKUP($R164,武学奇术!$A:$ZZ,11,FALSE)+SUM(_xlfn.XLOOKUP($S164:$AL164,增益!$A:$A,增益!$K:$K,0))&gt;0,($F$12-$I$4+VLOOKUP($R164,武学奇术!$A:$ZZ,11,FALSE)+SUM(_xlfn.XLOOKUP($S164:$AL164,增益!$A:$A,增益!$K:$K,0)))/200,($F$12-$I$4+VLOOKUP($R164,武学奇术!$A:$ZZ,11,FALSE)+SUM(_xlfn.XLOOKUP($S164:$AL164,增益!$A:$A,增益!$K:$K,0)))/100)</f>
        <v>0.17</v>
      </c>
      <c r="BF164" s="40" cm="1">
        <f t="array" ref="BF164">$G$12+VLOOKUP($R164,武学奇术!$A:$ZZ,12,FALSE)+SUM(_xlfn.XLOOKUP($S164:$AL164,增益!$A:$A,增益!$L:$L,0))</f>
        <v>0.29</v>
      </c>
      <c r="BG164">
        <f t="shared" si="76"/>
        <v>0</v>
      </c>
      <c r="BH164">
        <f t="shared" si="77"/>
        <v>0</v>
      </c>
      <c r="BI164" s="40" cm="1">
        <f t="array" ref="BI164">IF($F$13-$I$4+VLOOKUP($R164,武学奇术!$A:$ZZ,13,FALSE)+SUM(_xlfn.XLOOKUP($S164:$AL164,增益!$A:$A,增益!$M:$M,0))&gt;0,($F$13-$I$4+VLOOKUP($R164,武学奇术!$A:$ZZ,13,FALSE)+SUM(_xlfn.XLOOKUP($S164:$AL164,增益!$A:$A,增益!$K:$K,0)))/200,($F$13-$I$4+VLOOKUP($R164,武学奇术!$A:$ZZ,13,FALSE)+SUM(_xlfn.XLOOKUP($S164:$AL164,增益!$A:$A,增益!$M:$M,0)))/100)</f>
        <v>-0.14</v>
      </c>
      <c r="BJ164" s="40" cm="1">
        <f t="array" ref="BJ164">$G$13+VLOOKUP($R164,武学奇术!$A:$ZZ,14,FALSE)+SUM(_xlfn.XLOOKUP($S164:$AL164,增益!$A:$A,增益!$N:$N,0))</f>
        <v>0.02</v>
      </c>
      <c r="BK164">
        <f t="shared" si="78"/>
        <v>0</v>
      </c>
      <c r="BL164">
        <f t="shared" si="79"/>
        <v>0</v>
      </c>
      <c r="BM164" s="40" cm="1">
        <f t="array" ref="BM164">IF($F$14-$I$4+VLOOKUP($R164,武学奇术!$A:$ZZ,15,FALSE)+SUM(_xlfn.XLOOKUP($S164:$AL164,增益!$A:$A,增益!$O:$O,0))&gt;0,($F$14-$I$4+VLOOKUP($R164,武学奇术!$A:$ZZ,15,FALSE)+SUM(_xlfn.XLOOKUP($S164:$AL164,增益!$A:$A,增益!$O:$O,0)))/200,($F$14-$I$4+VLOOKUP($R164,武学奇术!$A:$ZZ,15,FALSE)+SUM(_xlfn.XLOOKUP($S164:$AL164,增益!$A:$A,增益!$O:$O,0)))/100)</f>
        <v>-0.14</v>
      </c>
      <c r="BN164" s="40" cm="1">
        <f t="array" ref="BN164">$G$14+VLOOKUP($R164,武学奇术!$A:$ZZ,16,FALSE)+SUM(_xlfn.XLOOKUP($S164:$AL164,增益!$A:$A,增益!$P:$P,0))</f>
        <v>0.02</v>
      </c>
      <c r="BO164" s="33">
        <f>MIN(IF(VLOOKUP($R164,武学奇术!$A:$ZZ,23,FALSE)=1,100%,$B$8),100%)</f>
        <v>0.9771</v>
      </c>
      <c r="BP164" s="33" cm="1">
        <f t="array" ref="BP164">IF(VLOOKUP($R164,武学奇术!$A:$ZZ,23,FALSE)=1,100%,MIN(80%,$B$9+VLOOKUP($R164,武学奇术!$A:$ZZ,17,FALSE)+SUM(_xlfn.XLOOKUP($S164:$AL164,增益!$A:$A,增益!$Q:$Q,0)))+$B$11+SUM(_xlfn.XLOOKUP($S164:$AL164,增益!$A:$A,增益!$U:$U,0)))*IF(VLOOKUP($R164,武学奇术!$A:$ZZ,24,FALSE)=1,0,1)</f>
        <v>0.8861</v>
      </c>
      <c r="BQ164" s="33" cm="1">
        <f t="array" ref="BQ164">1+$B$13+VLOOKUP($R164,武学奇术!$A:$ZZ,18,FALSE)+SUM(_xlfn.XLOOKUP($S164:$AL164,增益!$A:$A,增益!$R:$R,0))</f>
        <v>1.97</v>
      </c>
      <c r="BR164" s="33" cm="1">
        <f t="array" ref="BR164">IF(VLOOKUP($R164,武学奇术!$A:$ZZ,24,FALSE)=1,100%,MIN(40%,$B$10+VLOOKUP($R164,武学奇术!$A:$ZZ,19,FALSE)+SUM(_xlfn.XLOOKUP($S164:$AL164,增益!$A:$A,增益!$S:$S,0)))+$B$12+SUM(_xlfn.XLOOKUP($S164:$AL164,增益!$A:$A,增益!$V:$V,0)))*IF(VLOOKUP($R164,武学奇术!$A:$ZZ,23,FALSE)=1,0,1)</f>
        <v>0.0913</v>
      </c>
      <c r="BS164" s="33" cm="1">
        <f t="array" ref="BS164">1+$B$14+VLOOKUP($R164,武学奇术!$A:$ZZ,20,FALSE)+SUM(_xlfn.XLOOKUP($S164:$AL164,增益!$A:$A,增益!$T:$T,0))</f>
        <v>1.35</v>
      </c>
      <c r="BT164" s="33">
        <f t="shared" si="80"/>
        <v>0.86580831</v>
      </c>
      <c r="BU164" s="33">
        <f t="shared" si="81"/>
        <v>0.02208246</v>
      </c>
      <c r="BV164" s="33">
        <f>IF(VLOOKUP($R164,武学奇术!$A:$ZZ,22,FALSE)=1,0,(1-$BO164))*(1-$BR164)</f>
        <v>0.02080923</v>
      </c>
      <c r="BW164" s="33" cm="1">
        <f t="array" ref="BW164">SUM(_xlfn.XLOOKUP($S164:$AL164,增益!$A:$A,增益!$W:$W,0))+$I$5</f>
        <v>0.11</v>
      </c>
      <c r="BX164" s="33" cm="1">
        <f t="array" ref="BX164">VLOOKUP($R164,武学奇术!$A:$ZZ,32,FALSE)+SUM(_xlfn.XLOOKUP($S164:$AL164,增益!$A:$A,增益!$X:$X,0))</f>
        <v>0</v>
      </c>
    </row>
    <row r="165" spans="1:76">
      <c r="A165" s="4" t="s">
        <v>189</v>
      </c>
      <c r="B165" s="4">
        <v>0.8</v>
      </c>
      <c r="E165" s="47" t="s">
        <v>79</v>
      </c>
      <c r="L165" s="46">
        <f t="shared" si="70"/>
        <v>0</v>
      </c>
      <c r="M165" s="46">
        <f>((($AT165+$AU165)/2*$AN165+$AO165)*(1+$AV165)*(1+$AW165)+(($AY165+$AZ165)/2*IF($G$1="鸣金",$AP165,$AN165)+IF($G$1="鸣金",$AQ165*1.5,0))*(1+$BA165)*(1+$BB165)+(($BC165+$BD165)/2*IF($G$1="裂石",$AP165,$AN165)+IF($G$1="裂石",$AQ165*1.5,0))*(1+$BE165)*(1+$BF165)+(($BG165+$BH165)/2*IF($G$1="牵丝",$AP165,$AN165)+IF($G$1="牵丝",$AQ165*1.5,0))*(1+$BI165)*(1+$BJ165)+(($BK165+$BL165)/2*IF($G$1="破竹",$AP165,$AN165)+IF($G$1="破竹",$AQ165*1.5,0))*(1+$BM165)*(1+$BN165))*(1+$AR165)*$BQ165*$Q165*(1+IF(VLOOKUP($R165,武学奇术!$A:$ZZ,30,FALSE)="蓄力技",$B$21,0))*(1+IF(VLOOKUP($R165,武学奇术!$A:$ZZ,30,FALSE)="派生技",$B$20,0))*(1+$BW165)*(1+$BX165)</f>
        <v>0</v>
      </c>
      <c r="N165" s="46">
        <f>(($AU165*$AN165+$AO165)*(1+$AV165)*(1+$AW165)+($AZ165*IF($G$1="鸣金",$AP165,$AN165)+IF($G$1="鸣金",$AQ165*1.5,0))*(1+$BA165)*(1+$BB165)+($BD165*IF($G$1="裂石",$AP165,$AN165)+IF($G$1="裂石",$AQ165*1.5,0))*(1+$BE165)*(1+$BF165)+($BH165*IF($G$1="牵丝",$AP165,$AN165)+IF($G$1="牵丝",$AQ165*1.5,0))*(1+$BI165)*(1+$BJ165)+($BL165*IF($G$1="破竹",$AP165,$AN165)+IF($G$1="破竹",$AQ165*1.5,0))*(1+$BM165)*(1+$BN165))*(1+$AR165)*$BS165*$Q165*(1+IF(VLOOKUP($R165,武学奇术!$A:$ZZ,30,FALSE)="蓄力技",$B$21,0))*(1+IF(VLOOKUP($R165,武学奇术!$A:$ZZ,30,FALSE)="派生技",$B$20,0))*(1+$BW165)*(1+$BX165)</f>
        <v>0</v>
      </c>
      <c r="O165" s="46">
        <f>((($AT165+$AU165)/2*$AN165+$AO165)*(1+$AV165)*(1+$AW165)+(($AY165+$AZ165)/2*IF($G$1="鸣金",$AP165,$AN165)+IF($G$1="鸣金",$AQ165*1.5,0))*(1+$BA165)*(1+$BB165)+(($BC165+$BD165)/2*IF($G$1="裂石",$AP165,$AN165)+IF($G$1="裂石",$AQ165*1.5,0))*(1+$BE165)*(1+$BF165)+(($BG165+$BH165)/2*IF($G$1="牵丝",$AP165,$AN165)+IF($G$1="牵丝",$AQ165*1.5,0))*(1+$BI165)*(1+$BJ165)+(($BK165+$BL165)/2*IF($G$1="破竹",$AP165,$AN165)+IF($G$1="破竹",$AQ165*1.5,0))*(1+$BM165)*(1+$BN165))*(1+$AR165)*$Q165*(1+IF(VLOOKUP($R165,武学奇术!$A:$ZZ,30,FALSE)="蓄力技",$B$21,0))*(1+IF(VLOOKUP($R165,武学奇术!$A:$ZZ,30,FALSE)="派生技",$B$20,0))*(1+$BW165)*(1+$BX165)</f>
        <v>0</v>
      </c>
      <c r="P165" s="46">
        <f>((($AT165*$AN165+$AO165)*(1+$AV165)*(1+$AW165)+($AY165*IF($G$1="鸣金",$AP165,$AN165)+IF($G$1="鸣金",$AQ165*1.5,0))*(1+$BA165)*(1+$BB165)+($BC165*IF($G$1="裂石",$AP165,$AN165)+IF($G$1="裂石",$AQ165*1.5,0))*(1+$BE165)*(1+$BF165)+($BG165*IF($G$1="牵丝",$AP165,$AN165)+IF($G$1="牵丝",$AQ165*1.5,0))*(1+$BI165)*(1+$BJ165)+($BK165*IF($G$1="破竹",$AP165,$AN165)+IF($G$1="破竹",$AQ165*1.5,0))*(1+$BM165)*(1+$BN165))*(1+$AR165))*$Q165*(1+IF(VLOOKUP($R165,武学奇术!$A:$ZZ,30,FALSE)="蓄力技",$B$21,0))*(1+IF(VLOOKUP($R165,武学奇术!$A:$ZZ,30,FALSE)="派生技",$B$20,0))*(1+$BW165)*(1+$BX165)</f>
        <v>0</v>
      </c>
      <c r="Q165" s="47">
        <f t="shared" si="71"/>
        <v>0</v>
      </c>
      <c r="R165" s="48" t="s">
        <v>173</v>
      </c>
      <c r="S165" s="48" t="s">
        <v>99</v>
      </c>
      <c r="T165" s="48" t="s">
        <v>176</v>
      </c>
      <c r="U165" s="48" t="s">
        <v>79</v>
      </c>
      <c r="V165" s="48" t="s">
        <v>90</v>
      </c>
      <c r="W165" s="48" t="s">
        <v>141</v>
      </c>
      <c r="X165" s="48" t="s">
        <v>80</v>
      </c>
      <c r="Y165" s="48" t="s">
        <v>74</v>
      </c>
      <c r="Z165" s="48" t="s">
        <v>80</v>
      </c>
      <c r="AA165" s="48" t="s">
        <v>80</v>
      </c>
      <c r="AB165" s="48" t="s">
        <v>80</v>
      </c>
      <c r="AC165" s="48" t="s">
        <v>80</v>
      </c>
      <c r="AD165" s="48" t="s">
        <v>80</v>
      </c>
      <c r="AE165" s="48" t="s">
        <v>82</v>
      </c>
      <c r="AF165" s="48" t="s">
        <v>83</v>
      </c>
      <c r="AG165" s="48" t="s">
        <v>84</v>
      </c>
      <c r="AH165" s="48" t="s">
        <v>80</v>
      </c>
      <c r="AI165" s="48" t="s">
        <v>80</v>
      </c>
      <c r="AJ165" s="48" t="s">
        <v>80</v>
      </c>
      <c r="AK165" s="48" t="s">
        <v>80</v>
      </c>
      <c r="AL165" s="48" t="s">
        <v>85</v>
      </c>
      <c r="AM165" t="str">
        <f>VLOOKUP($R165,武学奇术!$A:$ZZ,25,FALSE)</f>
        <v>陌刀</v>
      </c>
      <c r="AN165" s="33">
        <f>VLOOKUP($R165,武学奇术!$A:$ZZ,26,FALSE)</f>
        <v>1.05</v>
      </c>
      <c r="AO165" s="34">
        <f>VLOOKUP($R165,武学奇术!$A:$ZZ,27,FALSE)*(1+IF(OR($AM165=$F$4,$AM165=$F$5),$B$22,0))</f>
        <v>0</v>
      </c>
      <c r="AP165" s="33">
        <f>VLOOKUP($R165,武学奇术!$A:$ZZ,28,FALSE)</f>
        <v>1.575</v>
      </c>
      <c r="AQ165" s="34">
        <f>VLOOKUP($R165,武学奇术!$A:$ZZ,29,FALSE)*(1+IF(OR($AM165=$F$4,$AM165=$F$5),$B$22,0))</f>
        <v>0</v>
      </c>
      <c r="AR165" s="33" cm="1">
        <f t="array" ref="AR165">$G$3+IFERROR(VLOOKUP($AM165,$F$4:$G$7,2,FALSE),0)+VLOOKUP($R165,武学奇术!$A:$ZZ,2,FALSE)+SUM(_xlfn.XLOOKUP($S165:$AL165,增益!$A:$A,增益!$B:$B,0))</f>
        <v>0.6943</v>
      </c>
      <c r="AS165" s="33" cm="1">
        <f t="array" ref="AS165">VLOOKUP($R165,武学奇术!$A:$ZZ,5,FALSE)+SUM(_xlfn.XLOOKUP($S165:$AL165,增益!$A:$A,增益!$E:$E,0))</f>
        <v>0</v>
      </c>
      <c r="AT165" cm="1">
        <f t="array" ref="AT165">$D$10*(1+$AS165)+VLOOKUP($R165,武学奇术!$A:$ZZ,3,FALSE)+SUM(_xlfn.XLOOKUP($S165:$AL165,增益!$A:$A,增益!$C:$C,0))-$I$2</f>
        <v>4094.7</v>
      </c>
      <c r="AU165" cm="1">
        <f t="array" ref="AU165">$E$10*(1+$AS165)+VLOOKUP($R165,武学奇术!$A:$ZZ,4,FALSE)+SUM(_xlfn.XLOOKUP($S165:$AL165,增益!$A:$A,增益!$D:$D,0))-$I$2</f>
        <v>4094.7</v>
      </c>
      <c r="AV165" s="40" cm="1">
        <f t="array" ref="AV165">IF($F$10-$I$3+VLOOKUP($R165,武学奇术!$A:$ZZ,6,FALSE)+SUM(_xlfn.XLOOKUP($S165:$AL165,增益!$A:$A,增益!$F:$F,0))&gt;0,($F$10-$I$3+VLOOKUP($R165,武学奇术!$A:$ZZ,6,FALSE)+SUM(_xlfn.XLOOKUP($S165:$AL165,增益!$A:$A,增益!$F:$F,0)))/200,($F$10-$I$3+VLOOKUP($R165,武学奇术!$A:$ZZ,6,FALSE)+SUM(_xlfn.XLOOKUP($S165:$AL165,增益!$A:$A,增益!$F:$F,0)))/100)</f>
        <v>0.4384</v>
      </c>
      <c r="AW165" s="40" cm="1">
        <f t="array" ref="AW165">$G$10+VLOOKUP($R165,武学奇术!$A:$ZZ,7,FALSE)+SUM(_xlfn.XLOOKUP($S165:$AL165,增益!$A:$A,增益!$G:$G,0))</f>
        <v>0.14</v>
      </c>
      <c r="AX165" s="33" cm="1">
        <f t="array" ref="AX165">VLOOKUP($R165,武学奇术!$A:$ZZ,8,FALSE)+SUM(_xlfn.XLOOKUP($S165:$AL165,增益!$A:$A,增益!$H:$H,0))</f>
        <v>0</v>
      </c>
      <c r="AY165">
        <f t="shared" si="72"/>
        <v>0</v>
      </c>
      <c r="AZ165">
        <f t="shared" si="73"/>
        <v>0</v>
      </c>
      <c r="BA165" s="40" cm="1">
        <f t="array" ref="BA165">IF($F$11-$I$4+VLOOKUP($R165,武学奇术!$A:$ZZ,9,FALSE)+SUM(_xlfn.XLOOKUP($S165:$AL165,增益!$A:$A,增益!$I:$I,0))&gt;0,($F$11-$I$4+VLOOKUP($R165,武学奇术!$A:$ZZ,9,FALSE)+SUM(_xlfn.XLOOKUP($S165:$AL165,增益!$A:$A,增益!$I:$I,0)))/200,($F$11-$I$4+VLOOKUP($R165,武学奇术!$A:$ZZ,9,FALSE)+SUM(_xlfn.XLOOKUP($S165:$AL165,增益!$A:$A,增益!$I:$I,0)))/100)</f>
        <v>-0.14</v>
      </c>
      <c r="BB165" s="40" cm="1">
        <f t="array" ref="BB165">$G$11+VLOOKUP($R165,武学奇术!$A:$ZZ,10,FALSE)+SUM(_xlfn.XLOOKUP($S165:$AL165,增益!$A:$A,增益!$J:$J,0))</f>
        <v>0.02</v>
      </c>
      <c r="BC165">
        <f t="shared" si="74"/>
        <v>640.3</v>
      </c>
      <c r="BD165">
        <f t="shared" si="75"/>
        <v>1770.1</v>
      </c>
      <c r="BE165" s="40" cm="1">
        <f t="array" ref="BE165">IF($F$12-$I$4+VLOOKUP($R165,武学奇术!$A:$ZZ,11,FALSE)+SUM(_xlfn.XLOOKUP($S165:$AL165,增益!$A:$A,增益!$K:$K,0))&gt;0,($F$12-$I$4+VLOOKUP($R165,武学奇术!$A:$ZZ,11,FALSE)+SUM(_xlfn.XLOOKUP($S165:$AL165,增益!$A:$A,增益!$K:$K,0)))/200,($F$12-$I$4+VLOOKUP($R165,武学奇术!$A:$ZZ,11,FALSE)+SUM(_xlfn.XLOOKUP($S165:$AL165,增益!$A:$A,增益!$K:$K,0)))/100)</f>
        <v>0.17</v>
      </c>
      <c r="BF165" s="40" cm="1">
        <f t="array" ref="BF165">$G$12+VLOOKUP($R165,武学奇术!$A:$ZZ,12,FALSE)+SUM(_xlfn.XLOOKUP($S165:$AL165,增益!$A:$A,增益!$L:$L,0))</f>
        <v>0.29</v>
      </c>
      <c r="BG165">
        <f t="shared" si="76"/>
        <v>0</v>
      </c>
      <c r="BH165">
        <f t="shared" si="77"/>
        <v>0</v>
      </c>
      <c r="BI165" s="40" cm="1">
        <f t="array" ref="BI165">IF($F$13-$I$4+VLOOKUP($R165,武学奇术!$A:$ZZ,13,FALSE)+SUM(_xlfn.XLOOKUP($S165:$AL165,增益!$A:$A,增益!$M:$M,0))&gt;0,($F$13-$I$4+VLOOKUP($R165,武学奇术!$A:$ZZ,13,FALSE)+SUM(_xlfn.XLOOKUP($S165:$AL165,增益!$A:$A,增益!$K:$K,0)))/200,($F$13-$I$4+VLOOKUP($R165,武学奇术!$A:$ZZ,13,FALSE)+SUM(_xlfn.XLOOKUP($S165:$AL165,增益!$A:$A,增益!$M:$M,0)))/100)</f>
        <v>-0.14</v>
      </c>
      <c r="BJ165" s="40" cm="1">
        <f t="array" ref="BJ165">$G$13+VLOOKUP($R165,武学奇术!$A:$ZZ,14,FALSE)+SUM(_xlfn.XLOOKUP($S165:$AL165,增益!$A:$A,增益!$N:$N,0))</f>
        <v>0.02</v>
      </c>
      <c r="BK165">
        <f t="shared" si="78"/>
        <v>0</v>
      </c>
      <c r="BL165">
        <f t="shared" si="79"/>
        <v>0</v>
      </c>
      <c r="BM165" s="40" cm="1">
        <f t="array" ref="BM165">IF($F$14-$I$4+VLOOKUP($R165,武学奇术!$A:$ZZ,15,FALSE)+SUM(_xlfn.XLOOKUP($S165:$AL165,增益!$A:$A,增益!$O:$O,0))&gt;0,($F$14-$I$4+VLOOKUP($R165,武学奇术!$A:$ZZ,15,FALSE)+SUM(_xlfn.XLOOKUP($S165:$AL165,增益!$A:$A,增益!$O:$O,0)))/200,($F$14-$I$4+VLOOKUP($R165,武学奇术!$A:$ZZ,15,FALSE)+SUM(_xlfn.XLOOKUP($S165:$AL165,增益!$A:$A,增益!$O:$O,0)))/100)</f>
        <v>-0.14</v>
      </c>
      <c r="BN165" s="40" cm="1">
        <f t="array" ref="BN165">$G$14+VLOOKUP($R165,武学奇术!$A:$ZZ,16,FALSE)+SUM(_xlfn.XLOOKUP($S165:$AL165,增益!$A:$A,增益!$P:$P,0))</f>
        <v>0.02</v>
      </c>
      <c r="BO165" s="33">
        <f>MIN(IF(VLOOKUP($R165,武学奇术!$A:$ZZ,23,FALSE)=1,100%,$B$8),100%)</f>
        <v>0.9771</v>
      </c>
      <c r="BP165" s="33" cm="1">
        <f t="array" ref="BP165">IF(VLOOKUP($R165,武学奇术!$A:$ZZ,23,FALSE)=1,100%,MIN(80%,$B$9+VLOOKUP($R165,武学奇术!$A:$ZZ,17,FALSE)+SUM(_xlfn.XLOOKUP($S165:$AL165,增益!$A:$A,增益!$Q:$Q,0)))+$B$11+SUM(_xlfn.XLOOKUP($S165:$AL165,增益!$A:$A,增益!$U:$U,0)))*IF(VLOOKUP($R165,武学奇术!$A:$ZZ,24,FALSE)=1,0,1)</f>
        <v>0.8861</v>
      </c>
      <c r="BQ165" s="33" cm="1">
        <f t="array" ref="BQ165">1+$B$13+VLOOKUP($R165,武学奇术!$A:$ZZ,18,FALSE)+SUM(_xlfn.XLOOKUP($S165:$AL165,增益!$A:$A,增益!$R:$R,0))</f>
        <v>1.97</v>
      </c>
      <c r="BR165" s="33" cm="1">
        <f t="array" ref="BR165">IF(VLOOKUP($R165,武学奇术!$A:$ZZ,24,FALSE)=1,100%,MIN(40%,$B$10+VLOOKUP($R165,武学奇术!$A:$ZZ,19,FALSE)+SUM(_xlfn.XLOOKUP($S165:$AL165,增益!$A:$A,增益!$S:$S,0)))+$B$12+SUM(_xlfn.XLOOKUP($S165:$AL165,增益!$A:$A,增益!$V:$V,0)))*IF(VLOOKUP($R165,武学奇术!$A:$ZZ,23,FALSE)=1,0,1)</f>
        <v>0.0913</v>
      </c>
      <c r="BS165" s="33" cm="1">
        <f t="array" ref="BS165">1+$B$14+VLOOKUP($R165,武学奇术!$A:$ZZ,20,FALSE)+SUM(_xlfn.XLOOKUP($S165:$AL165,增益!$A:$A,增益!$T:$T,0))</f>
        <v>1.35</v>
      </c>
      <c r="BT165" s="33">
        <f t="shared" si="80"/>
        <v>0.86580831</v>
      </c>
      <c r="BU165" s="33">
        <f t="shared" si="81"/>
        <v>0.02208246</v>
      </c>
      <c r="BV165" s="33">
        <f>IF(VLOOKUP($R165,武学奇术!$A:$ZZ,22,FALSE)=1,0,(1-$BO165))*(1-$BR165)</f>
        <v>0.02080923</v>
      </c>
      <c r="BW165" s="33" cm="1">
        <f t="array" ref="BW165">SUM(_xlfn.XLOOKUP($S165:$AL165,增益!$A:$A,增益!$W:$W,0))+$I$5</f>
        <v>0.11</v>
      </c>
      <c r="BX165" s="33" cm="1">
        <f t="array" ref="BX165">VLOOKUP($R165,武学奇术!$A:$ZZ,32,FALSE)+SUM(_xlfn.XLOOKUP($S165:$AL165,增益!$A:$A,增益!$X:$X,0))</f>
        <v>0</v>
      </c>
    </row>
    <row r="166" spans="1:76">
      <c r="A166" s="4" t="s">
        <v>190</v>
      </c>
      <c r="B166" s="4">
        <v>1.1</v>
      </c>
      <c r="E166" s="47"/>
      <c r="L166" s="46">
        <f t="shared" si="70"/>
        <v>0</v>
      </c>
      <c r="M166" s="46">
        <f>((($AT166+$AU166)/2*$AN166+$AO166)*(1+$AV166)*(1+$AW166)+(($AY166+$AZ166)/2*IF($G$1="鸣金",$AP166,$AN166)+IF($G$1="鸣金",$AQ166*1.5,0))*(1+$BA166)*(1+$BB166)+(($BC166+$BD166)/2*IF($G$1="裂石",$AP166,$AN166)+IF($G$1="裂石",$AQ166*1.5,0))*(1+$BE166)*(1+$BF166)+(($BG166+$BH166)/2*IF($G$1="牵丝",$AP166,$AN166)+IF($G$1="牵丝",$AQ166*1.5,0))*(1+$BI166)*(1+$BJ166)+(($BK166+$BL166)/2*IF($G$1="破竹",$AP166,$AN166)+IF($G$1="破竹",$AQ166*1.5,0))*(1+$BM166)*(1+$BN166))*(1+$AR166)*$BQ166*$Q166*(1+IF(VLOOKUP($R166,武学奇术!$A:$ZZ,30,FALSE)="蓄力技",$B$21,0))*(1+IF(VLOOKUP($R166,武学奇术!$A:$ZZ,30,FALSE)="派生技",$B$20,0))*(1+$BW166)*(1+$BX166)</f>
        <v>0</v>
      </c>
      <c r="N166" s="46">
        <f>(($AU166*$AN166+$AO166)*(1+$AV166)*(1+$AW166)+($AZ166*IF($G$1="鸣金",$AP166,$AN166)+IF($G$1="鸣金",$AQ166*1.5,0))*(1+$BA166)*(1+$BB166)+($BD166*IF($G$1="裂石",$AP166,$AN166)+IF($G$1="裂石",$AQ166*1.5,0))*(1+$BE166)*(1+$BF166)+($BH166*IF($G$1="牵丝",$AP166,$AN166)+IF($G$1="牵丝",$AQ166*1.5,0))*(1+$BI166)*(1+$BJ166)+($BL166*IF($G$1="破竹",$AP166,$AN166)+IF($G$1="破竹",$AQ166*1.5,0))*(1+$BM166)*(1+$BN166))*(1+$AR166)*$BS166*$Q166*(1+IF(VLOOKUP($R166,武学奇术!$A:$ZZ,30,FALSE)="蓄力技",$B$21,0))*(1+IF(VLOOKUP($R166,武学奇术!$A:$ZZ,30,FALSE)="派生技",$B$20,0))*(1+$BW166)*(1+$BX166)</f>
        <v>0</v>
      </c>
      <c r="O166" s="46">
        <f>((($AT166+$AU166)/2*$AN166+$AO166)*(1+$AV166)*(1+$AW166)+(($AY166+$AZ166)/2*IF($G$1="鸣金",$AP166,$AN166)+IF($G$1="鸣金",$AQ166*1.5,0))*(1+$BA166)*(1+$BB166)+(($BC166+$BD166)/2*IF($G$1="裂石",$AP166,$AN166)+IF($G$1="裂石",$AQ166*1.5,0))*(1+$BE166)*(1+$BF166)+(($BG166+$BH166)/2*IF($G$1="牵丝",$AP166,$AN166)+IF($G$1="牵丝",$AQ166*1.5,0))*(1+$BI166)*(1+$BJ166)+(($BK166+$BL166)/2*IF($G$1="破竹",$AP166,$AN166)+IF($G$1="破竹",$AQ166*1.5,0))*(1+$BM166)*(1+$BN166))*(1+$AR166)*$Q166*(1+IF(VLOOKUP($R166,武学奇术!$A:$ZZ,30,FALSE)="蓄力技",$B$21,0))*(1+IF(VLOOKUP($R166,武学奇术!$A:$ZZ,30,FALSE)="派生技",$B$20,0))*(1+$BW166)*(1+$BX166)</f>
        <v>0</v>
      </c>
      <c r="P166" s="46">
        <f>((($AT166*$AN166+$AO166)*(1+$AV166)*(1+$AW166)+($AY166*IF($G$1="鸣金",$AP166,$AN166)+IF($G$1="鸣金",$AQ166*1.5,0))*(1+$BA166)*(1+$BB166)+($BC166*IF($G$1="裂石",$AP166,$AN166)+IF($G$1="裂石",$AQ166*1.5,0))*(1+$BE166)*(1+$BF166)+($BG166*IF($G$1="牵丝",$AP166,$AN166)+IF($G$1="牵丝",$AQ166*1.5,0))*(1+$BI166)*(1+$BJ166)+($BK166*IF($G$1="破竹",$AP166,$AN166)+IF($G$1="破竹",$AQ166*1.5,0))*(1+$BM166)*(1+$BN166))*(1+$AR166))*$Q166*(1+IF(VLOOKUP($R166,武学奇术!$A:$ZZ,30,FALSE)="蓄力技",$B$21,0))*(1+IF(VLOOKUP($R166,武学奇术!$A:$ZZ,30,FALSE)="派生技",$B$20,0))*(1+$BW166)*(1+$BX166)</f>
        <v>0</v>
      </c>
      <c r="Q166" s="47">
        <f t="shared" si="71"/>
        <v>0</v>
      </c>
      <c r="R166" s="48" t="s">
        <v>200</v>
      </c>
      <c r="S166" s="48" t="s">
        <v>99</v>
      </c>
      <c r="T166" s="48" t="s">
        <v>176</v>
      </c>
      <c r="U166" s="48" t="s">
        <v>79</v>
      </c>
      <c r="V166" s="48" t="s">
        <v>90</v>
      </c>
      <c r="W166" s="48" t="s">
        <v>91</v>
      </c>
      <c r="X166" s="48" t="s">
        <v>80</v>
      </c>
      <c r="Y166" s="48" t="s">
        <v>80</v>
      </c>
      <c r="Z166" s="48" t="s">
        <v>80</v>
      </c>
      <c r="AA166" s="48" t="s">
        <v>80</v>
      </c>
      <c r="AB166" s="48" t="s">
        <v>80</v>
      </c>
      <c r="AC166" s="48" t="s">
        <v>80</v>
      </c>
      <c r="AD166" s="48" t="s">
        <v>80</v>
      </c>
      <c r="AE166" s="48" t="s">
        <v>82</v>
      </c>
      <c r="AF166" s="48" t="s">
        <v>83</v>
      </c>
      <c r="AG166" s="48" t="s">
        <v>84</v>
      </c>
      <c r="AH166" s="48" t="s">
        <v>80</v>
      </c>
      <c r="AI166" s="48" t="s">
        <v>80</v>
      </c>
      <c r="AJ166" s="48" t="s">
        <v>80</v>
      </c>
      <c r="AK166" s="48" t="s">
        <v>80</v>
      </c>
      <c r="AL166" s="48" t="s">
        <v>85</v>
      </c>
      <c r="AM166" t="str">
        <f>VLOOKUP($R166,武学奇术!$A:$ZZ,25,FALSE)</f>
        <v>横刀</v>
      </c>
      <c r="AN166" s="33">
        <f>VLOOKUP($R166,武学奇术!$A:$ZZ,26,FALSE)</f>
        <v>0.6486</v>
      </c>
      <c r="AO166" s="34">
        <f>VLOOKUP($R166,武学奇术!$A:$ZZ,27,FALSE)*(1+IF(OR($AM166=$F$4,$AM166=$F$5),$B$22,0))</f>
        <v>288</v>
      </c>
      <c r="AP166" s="33">
        <f>VLOOKUP($R166,武学奇术!$A:$ZZ,28,FALSE)</f>
        <v>0.9729</v>
      </c>
      <c r="AQ166" s="34">
        <f>VLOOKUP($R166,武学奇术!$A:$ZZ,29,FALSE)*(1+IF(OR($AM166=$F$4,$AM166=$F$5),$B$22,0))</f>
        <v>156.8</v>
      </c>
      <c r="AR166" s="33" cm="1">
        <f t="array" ref="AR166">$G$3+IFERROR(VLOOKUP($AM166,$F$4:$G$7,2,FALSE),0)+VLOOKUP($R166,武学奇术!$A:$ZZ,2,FALSE)+SUM(_xlfn.XLOOKUP($S166:$AL166,增益!$A:$A,增益!$B:$B,0))</f>
        <v>0.5289</v>
      </c>
      <c r="AS166" s="33" cm="1">
        <f t="array" ref="AS166">VLOOKUP($R166,武学奇术!$A:$ZZ,5,FALSE)+SUM(_xlfn.XLOOKUP($S166:$AL166,增益!$A:$A,增益!$E:$E,0))</f>
        <v>0</v>
      </c>
      <c r="AT166" cm="1">
        <f t="array" ref="AT166">$D$10*(1+$AS166)+VLOOKUP($R166,武学奇术!$A:$ZZ,3,FALSE)+SUM(_xlfn.XLOOKUP($S166:$AL166,增益!$A:$A,增益!$C:$C,0))-$I$2</f>
        <v>4094.7</v>
      </c>
      <c r="AU166" cm="1">
        <f t="array" ref="AU166">$E$10*(1+$AS166)+VLOOKUP($R166,武学奇术!$A:$ZZ,4,FALSE)+SUM(_xlfn.XLOOKUP($S166:$AL166,增益!$A:$A,增益!$D:$D,0))-$I$2</f>
        <v>4094.7</v>
      </c>
      <c r="AV166" s="40" cm="1">
        <f t="array" ref="AV166">IF($F$10-$I$3+VLOOKUP($R166,武学奇术!$A:$ZZ,6,FALSE)+SUM(_xlfn.XLOOKUP($S166:$AL166,增益!$A:$A,增益!$F:$F,0))&gt;0,($F$10-$I$3+VLOOKUP($R166,武学奇术!$A:$ZZ,6,FALSE)+SUM(_xlfn.XLOOKUP($S166:$AL166,增益!$A:$A,增益!$F:$F,0)))/200,($F$10-$I$3+VLOOKUP($R166,武学奇术!$A:$ZZ,6,FALSE)+SUM(_xlfn.XLOOKUP($S166:$AL166,增益!$A:$A,增益!$F:$F,0)))/100)</f>
        <v>0.4134</v>
      </c>
      <c r="AW166" s="40" cm="1">
        <f t="array" ref="AW166">$G$10+VLOOKUP($R166,武学奇术!$A:$ZZ,7,FALSE)+SUM(_xlfn.XLOOKUP($S166:$AL166,增益!$A:$A,增益!$G:$G,0))</f>
        <v>0.14</v>
      </c>
      <c r="AX166" s="33" cm="1">
        <f t="array" ref="AX166">VLOOKUP($R166,武学奇术!$A:$ZZ,8,FALSE)+SUM(_xlfn.XLOOKUP($S166:$AL166,增益!$A:$A,增益!$H:$H,0))</f>
        <v>0</v>
      </c>
      <c r="AY166">
        <f t="shared" si="72"/>
        <v>0</v>
      </c>
      <c r="AZ166">
        <f t="shared" si="73"/>
        <v>0</v>
      </c>
      <c r="BA166" s="40" cm="1">
        <f t="array" ref="BA166">IF($F$11-$I$4+VLOOKUP($R166,武学奇术!$A:$ZZ,9,FALSE)+SUM(_xlfn.XLOOKUP($S166:$AL166,增益!$A:$A,增益!$I:$I,0))&gt;0,($F$11-$I$4+VLOOKUP($R166,武学奇术!$A:$ZZ,9,FALSE)+SUM(_xlfn.XLOOKUP($S166:$AL166,增益!$A:$A,增益!$I:$I,0)))/200,($F$11-$I$4+VLOOKUP($R166,武学奇术!$A:$ZZ,9,FALSE)+SUM(_xlfn.XLOOKUP($S166:$AL166,增益!$A:$A,增益!$I:$I,0)))/100)</f>
        <v>-0.14</v>
      </c>
      <c r="BB166" s="40" cm="1">
        <f t="array" ref="BB166">$G$11+VLOOKUP($R166,武学奇术!$A:$ZZ,10,FALSE)+SUM(_xlfn.XLOOKUP($S166:$AL166,增益!$A:$A,增益!$J:$J,0))</f>
        <v>0.02</v>
      </c>
      <c r="BC166">
        <f t="shared" si="74"/>
        <v>640.3</v>
      </c>
      <c r="BD166">
        <f t="shared" si="75"/>
        <v>1770.1</v>
      </c>
      <c r="BE166" s="40" cm="1">
        <f t="array" ref="BE166">IF($F$12-$I$4+VLOOKUP($R166,武学奇术!$A:$ZZ,11,FALSE)+SUM(_xlfn.XLOOKUP($S166:$AL166,增益!$A:$A,增益!$K:$K,0))&gt;0,($F$12-$I$4+VLOOKUP($R166,武学奇术!$A:$ZZ,11,FALSE)+SUM(_xlfn.XLOOKUP($S166:$AL166,增益!$A:$A,增益!$K:$K,0)))/200,($F$12-$I$4+VLOOKUP($R166,武学奇术!$A:$ZZ,11,FALSE)+SUM(_xlfn.XLOOKUP($S166:$AL166,增益!$A:$A,增益!$K:$K,0)))/100)</f>
        <v>0.17</v>
      </c>
      <c r="BF166" s="40" cm="1">
        <f t="array" ref="BF166">$G$12+VLOOKUP($R166,武学奇术!$A:$ZZ,12,FALSE)+SUM(_xlfn.XLOOKUP($S166:$AL166,增益!$A:$A,增益!$L:$L,0))</f>
        <v>0.29</v>
      </c>
      <c r="BG166">
        <f t="shared" si="76"/>
        <v>0</v>
      </c>
      <c r="BH166">
        <f t="shared" si="77"/>
        <v>0</v>
      </c>
      <c r="BI166" s="40" cm="1">
        <f t="array" ref="BI166">IF($F$13-$I$4+VLOOKUP($R166,武学奇术!$A:$ZZ,13,FALSE)+SUM(_xlfn.XLOOKUP($S166:$AL166,增益!$A:$A,增益!$M:$M,0))&gt;0,($F$13-$I$4+VLOOKUP($R166,武学奇术!$A:$ZZ,13,FALSE)+SUM(_xlfn.XLOOKUP($S166:$AL166,增益!$A:$A,增益!$K:$K,0)))/200,($F$13-$I$4+VLOOKUP($R166,武学奇术!$A:$ZZ,13,FALSE)+SUM(_xlfn.XLOOKUP($S166:$AL166,增益!$A:$A,增益!$M:$M,0)))/100)</f>
        <v>-0.14</v>
      </c>
      <c r="BJ166" s="40" cm="1">
        <f t="array" ref="BJ166">$G$13+VLOOKUP($R166,武学奇术!$A:$ZZ,14,FALSE)+SUM(_xlfn.XLOOKUP($S166:$AL166,增益!$A:$A,增益!$N:$N,0))</f>
        <v>0.02</v>
      </c>
      <c r="BK166">
        <f t="shared" si="78"/>
        <v>0</v>
      </c>
      <c r="BL166">
        <f t="shared" si="79"/>
        <v>0</v>
      </c>
      <c r="BM166" s="40" cm="1">
        <f t="array" ref="BM166">IF($F$14-$I$4+VLOOKUP($R166,武学奇术!$A:$ZZ,15,FALSE)+SUM(_xlfn.XLOOKUP($S166:$AL166,增益!$A:$A,增益!$O:$O,0))&gt;0,($F$14-$I$4+VLOOKUP($R166,武学奇术!$A:$ZZ,15,FALSE)+SUM(_xlfn.XLOOKUP($S166:$AL166,增益!$A:$A,增益!$O:$O,0)))/200,($F$14-$I$4+VLOOKUP($R166,武学奇术!$A:$ZZ,15,FALSE)+SUM(_xlfn.XLOOKUP($S166:$AL166,增益!$A:$A,增益!$O:$O,0)))/100)</f>
        <v>-0.14</v>
      </c>
      <c r="BN166" s="40" cm="1">
        <f t="array" ref="BN166">$G$14+VLOOKUP($R166,武学奇术!$A:$ZZ,16,FALSE)+SUM(_xlfn.XLOOKUP($S166:$AL166,增益!$A:$A,增益!$P:$P,0))</f>
        <v>0.02</v>
      </c>
      <c r="BO166" s="33">
        <f>MIN(IF(VLOOKUP($R166,武学奇术!$A:$ZZ,23,FALSE)=1,100%,$B$8),100%)</f>
        <v>0.9771</v>
      </c>
      <c r="BP166" s="33" cm="1">
        <f t="array" ref="BP166">IF(VLOOKUP($R166,武学奇术!$A:$ZZ,23,FALSE)=1,100%,MIN(80%,$B$9+VLOOKUP($R166,武学奇术!$A:$ZZ,17,FALSE)+SUM(_xlfn.XLOOKUP($S166:$AL166,增益!$A:$A,增益!$Q:$Q,0)))+$B$11+SUM(_xlfn.XLOOKUP($S166:$AL166,增益!$A:$A,增益!$U:$U,0)))*IF(VLOOKUP($R166,武学奇术!$A:$ZZ,24,FALSE)=1,0,1)</f>
        <v>0.8861</v>
      </c>
      <c r="BQ166" s="33" cm="1">
        <f t="array" ref="BQ166">1+$B$13+VLOOKUP($R166,武学奇术!$A:$ZZ,18,FALSE)+SUM(_xlfn.XLOOKUP($S166:$AL166,增益!$A:$A,增益!$R:$R,0))</f>
        <v>1.92</v>
      </c>
      <c r="BR166" s="33" cm="1">
        <f t="array" ref="BR166">IF(VLOOKUP($R166,武学奇术!$A:$ZZ,24,FALSE)=1,100%,MIN(40%,$B$10+VLOOKUP($R166,武学奇术!$A:$ZZ,19,FALSE)+SUM(_xlfn.XLOOKUP($S166:$AL166,增益!$A:$A,增益!$S:$S,0)))+$B$12+SUM(_xlfn.XLOOKUP($S166:$AL166,增益!$A:$A,增益!$V:$V,0)))*IF(VLOOKUP($R166,武学奇术!$A:$ZZ,23,FALSE)=1,0,1)</f>
        <v>0.0913</v>
      </c>
      <c r="BS166" s="33" cm="1">
        <f t="array" ref="BS166">1+$B$14+VLOOKUP($R166,武学奇术!$A:$ZZ,20,FALSE)+SUM(_xlfn.XLOOKUP($S166:$AL166,增益!$A:$A,增益!$T:$T,0))</f>
        <v>1.35</v>
      </c>
      <c r="BT166" s="33">
        <f t="shared" si="80"/>
        <v>0.86580831</v>
      </c>
      <c r="BU166" s="33">
        <f t="shared" si="81"/>
        <v>0.02208246</v>
      </c>
      <c r="BV166" s="33">
        <f>IF(VLOOKUP($R166,武学奇术!$A:$ZZ,22,FALSE)=1,0,(1-$BO166))*(1-$BR166)</f>
        <v>0.02080923</v>
      </c>
      <c r="BW166" s="33" cm="1">
        <f t="array" ref="BW166">SUM(_xlfn.XLOOKUP($S166:$AL166,增益!$A:$A,增益!$W:$W,0))+$I$5</f>
        <v>0.11</v>
      </c>
      <c r="BX166" s="33" cm="1">
        <f t="array" ref="BX166">VLOOKUP($R166,武学奇术!$A:$ZZ,32,FALSE)+SUM(_xlfn.XLOOKUP($S166:$AL166,增益!$A:$A,增益!$X:$X,0))</f>
        <v>0</v>
      </c>
    </row>
    <row r="167" spans="1:76">
      <c r="A167" t="s">
        <v>164</v>
      </c>
      <c r="B167">
        <v>1</v>
      </c>
      <c r="C167" s="47" t="s">
        <v>183</v>
      </c>
      <c r="E167" s="47"/>
      <c r="L167" s="46">
        <f t="shared" si="70"/>
        <v>0</v>
      </c>
      <c r="M167" s="46">
        <f>((($AT167+$AU167)/2*$AN167+$AO167)*(1+$AV167)*(1+$AW167)+(($AY167+$AZ167)/2*IF($G$1="鸣金",$AP167,$AN167)+IF($G$1="鸣金",$AQ167*1.5,0))*(1+$BA167)*(1+$BB167)+(($BC167+$BD167)/2*IF($G$1="裂石",$AP167,$AN167)+IF($G$1="裂石",$AQ167*1.5,0))*(1+$BE167)*(1+$BF167)+(($BG167+$BH167)/2*IF($G$1="牵丝",$AP167,$AN167)+IF($G$1="牵丝",$AQ167*1.5,0))*(1+$BI167)*(1+$BJ167)+(($BK167+$BL167)/2*IF($G$1="破竹",$AP167,$AN167)+IF($G$1="破竹",$AQ167*1.5,0))*(1+$BM167)*(1+$BN167))*(1+$AR167)*$BQ167*$Q167*(1+IF(VLOOKUP($R167,武学奇术!$A:$ZZ,30,FALSE)="蓄力技",$B$21,0))*(1+IF(VLOOKUP($R167,武学奇术!$A:$ZZ,30,FALSE)="派生技",$B$20,0))*(1+$BW167)*(1+$BX167)</f>
        <v>0</v>
      </c>
      <c r="N167" s="46">
        <f>(($AU167*$AN167+$AO167)*(1+$AV167)*(1+$AW167)+($AZ167*IF($G$1="鸣金",$AP167,$AN167)+IF($G$1="鸣金",$AQ167*1.5,0))*(1+$BA167)*(1+$BB167)+($BD167*IF($G$1="裂石",$AP167,$AN167)+IF($G$1="裂石",$AQ167*1.5,0))*(1+$BE167)*(1+$BF167)+($BH167*IF($G$1="牵丝",$AP167,$AN167)+IF($G$1="牵丝",$AQ167*1.5,0))*(1+$BI167)*(1+$BJ167)+($BL167*IF($G$1="破竹",$AP167,$AN167)+IF($G$1="破竹",$AQ167*1.5,0))*(1+$BM167)*(1+$BN167))*(1+$AR167)*$BS167*$Q167*(1+IF(VLOOKUP($R167,武学奇术!$A:$ZZ,30,FALSE)="蓄力技",$B$21,0))*(1+IF(VLOOKUP($R167,武学奇术!$A:$ZZ,30,FALSE)="派生技",$B$20,0))*(1+$BW167)*(1+$BX167)</f>
        <v>0</v>
      </c>
      <c r="O167" s="46">
        <f>((($AT167+$AU167)/2*$AN167+$AO167)*(1+$AV167)*(1+$AW167)+(($AY167+$AZ167)/2*IF($G$1="鸣金",$AP167,$AN167)+IF($G$1="鸣金",$AQ167*1.5,0))*(1+$BA167)*(1+$BB167)+(($BC167+$BD167)/2*IF($G$1="裂石",$AP167,$AN167)+IF($G$1="裂石",$AQ167*1.5,0))*(1+$BE167)*(1+$BF167)+(($BG167+$BH167)/2*IF($G$1="牵丝",$AP167,$AN167)+IF($G$1="牵丝",$AQ167*1.5,0))*(1+$BI167)*(1+$BJ167)+(($BK167+$BL167)/2*IF($G$1="破竹",$AP167,$AN167)+IF($G$1="破竹",$AQ167*1.5,0))*(1+$BM167)*(1+$BN167))*(1+$AR167)*$Q167*(1+IF(VLOOKUP($R167,武学奇术!$A:$ZZ,30,FALSE)="蓄力技",$B$21,0))*(1+IF(VLOOKUP($R167,武学奇术!$A:$ZZ,30,FALSE)="派生技",$B$20,0))*(1+$BW167)*(1+$BX167)</f>
        <v>0</v>
      </c>
      <c r="P167" s="46">
        <f>((($AT167*$AN167+$AO167)*(1+$AV167)*(1+$AW167)+($AY167*IF($G$1="鸣金",$AP167,$AN167)+IF($G$1="鸣金",$AQ167*1.5,0))*(1+$BA167)*(1+$BB167)+($BC167*IF($G$1="裂石",$AP167,$AN167)+IF($G$1="裂石",$AQ167*1.5,0))*(1+$BE167)*(1+$BF167)+($BG167*IF($G$1="牵丝",$AP167,$AN167)+IF($G$1="牵丝",$AQ167*1.5,0))*(1+$BI167)*(1+$BJ167)+($BK167*IF($G$1="破竹",$AP167,$AN167)+IF($G$1="破竹",$AQ167*1.5,0))*(1+$BM167)*(1+$BN167))*(1+$AR167))*$Q167*(1+IF(VLOOKUP($R167,武学奇术!$A:$ZZ,30,FALSE)="蓄力技",$B$21,0))*(1+IF(VLOOKUP($R167,武学奇术!$A:$ZZ,30,FALSE)="派生技",$B$20,0))*(1+$BW167)*(1+$BX167)</f>
        <v>0</v>
      </c>
      <c r="Q167" s="47">
        <f t="shared" si="71"/>
        <v>0</v>
      </c>
      <c r="R167" s="48" t="s">
        <v>175</v>
      </c>
      <c r="S167" s="48" t="s">
        <v>99</v>
      </c>
      <c r="T167" s="48" t="s">
        <v>176</v>
      </c>
      <c r="U167" s="48" t="s">
        <v>80</v>
      </c>
      <c r="V167" s="48" t="s">
        <v>90</v>
      </c>
      <c r="W167" s="48" t="s">
        <v>91</v>
      </c>
      <c r="X167" s="48" t="s">
        <v>80</v>
      </c>
      <c r="Y167" s="48" t="s">
        <v>80</v>
      </c>
      <c r="Z167" s="48" t="s">
        <v>80</v>
      </c>
      <c r="AA167" s="48" t="s">
        <v>80</v>
      </c>
      <c r="AB167" s="48" t="s">
        <v>80</v>
      </c>
      <c r="AC167" s="48" t="s">
        <v>80</v>
      </c>
      <c r="AD167" s="48" t="s">
        <v>80</v>
      </c>
      <c r="AE167" s="48" t="s">
        <v>82</v>
      </c>
      <c r="AF167" s="48" t="s">
        <v>83</v>
      </c>
      <c r="AG167" s="48" t="s">
        <v>84</v>
      </c>
      <c r="AH167" s="48" t="s">
        <v>80</v>
      </c>
      <c r="AI167" s="48" t="s">
        <v>80</v>
      </c>
      <c r="AJ167" s="48" t="s">
        <v>80</v>
      </c>
      <c r="AK167" s="48" t="s">
        <v>80</v>
      </c>
      <c r="AL167" s="48" t="s">
        <v>85</v>
      </c>
      <c r="AM167" t="str">
        <f>VLOOKUP($R167,武学奇术!$A:$ZZ,25,FALSE)</f>
        <v>横刀</v>
      </c>
      <c r="AN167" s="33">
        <f>VLOOKUP($R167,武学奇术!$A:$ZZ,26,FALSE)</f>
        <v>1.2338</v>
      </c>
      <c r="AO167" s="34">
        <f>VLOOKUP($R167,武学奇术!$A:$ZZ,27,FALSE)*(1+IF(OR($AM167=$F$4,$AM167=$F$5),$B$22,0))</f>
        <v>547.2</v>
      </c>
      <c r="AP167" s="33">
        <f>VLOOKUP($R167,武学奇术!$A:$ZZ,28,FALSE)</f>
        <v>1.8507</v>
      </c>
      <c r="AQ167" s="34">
        <f>VLOOKUP($R167,武学奇术!$A:$ZZ,29,FALSE)*(1+IF(OR($AM167=$F$4,$AM167=$F$5),$B$22,0))</f>
        <v>297.6</v>
      </c>
      <c r="AR167" s="33" cm="1">
        <f t="array" ref="AR167">$G$3+IFERROR(VLOOKUP($AM167,$F$4:$G$7,2,FALSE),0)+VLOOKUP($R167,武学奇术!$A:$ZZ,2,FALSE)+SUM(_xlfn.XLOOKUP($S167:$AL167,增益!$A:$A,增益!$B:$B,0))</f>
        <v>0.5289</v>
      </c>
      <c r="AS167" s="33" cm="1">
        <f t="array" ref="AS167">VLOOKUP($R167,武学奇术!$A:$ZZ,5,FALSE)+SUM(_xlfn.XLOOKUP($S167:$AL167,增益!$A:$A,增益!$E:$E,0))</f>
        <v>0</v>
      </c>
      <c r="AT167" cm="1">
        <f t="array" ref="AT167">$D$10*(1+$AS167)+VLOOKUP($R167,武学奇术!$A:$ZZ,3,FALSE)+SUM(_xlfn.XLOOKUP($S167:$AL167,增益!$A:$A,增益!$C:$C,0))-$I$2</f>
        <v>4094.7</v>
      </c>
      <c r="AU167" cm="1">
        <f t="array" ref="AU167">$E$10*(1+$AS167)+VLOOKUP($R167,武学奇术!$A:$ZZ,4,FALSE)+SUM(_xlfn.XLOOKUP($S167:$AL167,增益!$A:$A,增益!$D:$D,0))-$I$2</f>
        <v>4094.7</v>
      </c>
      <c r="AV167" s="40" cm="1">
        <f t="array" ref="AV167">IF($F$10-$I$3+VLOOKUP($R167,武学奇术!$A:$ZZ,6,FALSE)+SUM(_xlfn.XLOOKUP($S167:$AL167,增益!$A:$A,增益!$F:$F,0))&gt;0,($F$10-$I$3+VLOOKUP($R167,武学奇术!$A:$ZZ,6,FALSE)+SUM(_xlfn.XLOOKUP($S167:$AL167,增益!$A:$A,增益!$F:$F,0)))/200,($F$10-$I$3+VLOOKUP($R167,武学奇术!$A:$ZZ,6,FALSE)+SUM(_xlfn.XLOOKUP($S167:$AL167,增益!$A:$A,增益!$F:$F,0)))/100)</f>
        <v>0.4134</v>
      </c>
      <c r="AW167" s="40" cm="1">
        <f t="array" ref="AW167">$G$10+VLOOKUP($R167,武学奇术!$A:$ZZ,7,FALSE)+SUM(_xlfn.XLOOKUP($S167:$AL167,增益!$A:$A,增益!$G:$G,0))</f>
        <v>0.02</v>
      </c>
      <c r="AX167" s="33" cm="1">
        <f t="array" ref="AX167">VLOOKUP($R167,武学奇术!$A:$ZZ,8,FALSE)+SUM(_xlfn.XLOOKUP($S167:$AL167,增益!$A:$A,增益!$H:$H,0))</f>
        <v>0</v>
      </c>
      <c r="AY167">
        <f t="shared" si="72"/>
        <v>0</v>
      </c>
      <c r="AZ167">
        <f t="shared" si="73"/>
        <v>0</v>
      </c>
      <c r="BA167" s="40" cm="1">
        <f t="array" ref="BA167">IF($F$11-$I$4+VLOOKUP($R167,武学奇术!$A:$ZZ,9,FALSE)+SUM(_xlfn.XLOOKUP($S167:$AL167,增益!$A:$A,增益!$I:$I,0))&gt;0,($F$11-$I$4+VLOOKUP($R167,武学奇术!$A:$ZZ,9,FALSE)+SUM(_xlfn.XLOOKUP($S167:$AL167,增益!$A:$A,增益!$I:$I,0)))/200,($F$11-$I$4+VLOOKUP($R167,武学奇术!$A:$ZZ,9,FALSE)+SUM(_xlfn.XLOOKUP($S167:$AL167,增益!$A:$A,增益!$I:$I,0)))/100)</f>
        <v>-0.14</v>
      </c>
      <c r="BB167" s="40" cm="1">
        <f t="array" ref="BB167">$G$11+VLOOKUP($R167,武学奇术!$A:$ZZ,10,FALSE)+SUM(_xlfn.XLOOKUP($S167:$AL167,增益!$A:$A,增益!$J:$J,0))</f>
        <v>0.02</v>
      </c>
      <c r="BC167">
        <f t="shared" si="74"/>
        <v>640.3</v>
      </c>
      <c r="BD167">
        <f t="shared" si="75"/>
        <v>1770.1</v>
      </c>
      <c r="BE167" s="40" cm="1">
        <f t="array" ref="BE167">IF($F$12-$I$4+VLOOKUP($R167,武学奇术!$A:$ZZ,11,FALSE)+SUM(_xlfn.XLOOKUP($S167:$AL167,增益!$A:$A,增益!$K:$K,0))&gt;0,($F$12-$I$4+VLOOKUP($R167,武学奇术!$A:$ZZ,11,FALSE)+SUM(_xlfn.XLOOKUP($S167:$AL167,增益!$A:$A,增益!$K:$K,0)))/200,($F$12-$I$4+VLOOKUP($R167,武学奇术!$A:$ZZ,11,FALSE)+SUM(_xlfn.XLOOKUP($S167:$AL167,增益!$A:$A,增益!$K:$K,0)))/100)</f>
        <v>0.17</v>
      </c>
      <c r="BF167" s="40" cm="1">
        <f t="array" ref="BF167">$G$12+VLOOKUP($R167,武学奇术!$A:$ZZ,12,FALSE)+SUM(_xlfn.XLOOKUP($S167:$AL167,增益!$A:$A,增益!$L:$L,0))</f>
        <v>0.17</v>
      </c>
      <c r="BG167">
        <f t="shared" si="76"/>
        <v>0</v>
      </c>
      <c r="BH167">
        <f t="shared" si="77"/>
        <v>0</v>
      </c>
      <c r="BI167" s="40" cm="1">
        <f t="array" ref="BI167">IF($F$13-$I$4+VLOOKUP($R167,武学奇术!$A:$ZZ,13,FALSE)+SUM(_xlfn.XLOOKUP($S167:$AL167,增益!$A:$A,增益!$M:$M,0))&gt;0,($F$13-$I$4+VLOOKUP($R167,武学奇术!$A:$ZZ,13,FALSE)+SUM(_xlfn.XLOOKUP($S167:$AL167,增益!$A:$A,增益!$K:$K,0)))/200,($F$13-$I$4+VLOOKUP($R167,武学奇术!$A:$ZZ,13,FALSE)+SUM(_xlfn.XLOOKUP($S167:$AL167,增益!$A:$A,增益!$M:$M,0)))/100)</f>
        <v>-0.14</v>
      </c>
      <c r="BJ167" s="40" cm="1">
        <f t="array" ref="BJ167">$G$13+VLOOKUP($R167,武学奇术!$A:$ZZ,14,FALSE)+SUM(_xlfn.XLOOKUP($S167:$AL167,增益!$A:$A,增益!$N:$N,0))</f>
        <v>0.02</v>
      </c>
      <c r="BK167">
        <f t="shared" si="78"/>
        <v>0</v>
      </c>
      <c r="BL167">
        <f t="shared" si="79"/>
        <v>0</v>
      </c>
      <c r="BM167" s="40" cm="1">
        <f t="array" ref="BM167">IF($F$14-$I$4+VLOOKUP($R167,武学奇术!$A:$ZZ,15,FALSE)+SUM(_xlfn.XLOOKUP($S167:$AL167,增益!$A:$A,增益!$O:$O,0))&gt;0,($F$14-$I$4+VLOOKUP($R167,武学奇术!$A:$ZZ,15,FALSE)+SUM(_xlfn.XLOOKUP($S167:$AL167,增益!$A:$A,增益!$O:$O,0)))/200,($F$14-$I$4+VLOOKUP($R167,武学奇术!$A:$ZZ,15,FALSE)+SUM(_xlfn.XLOOKUP($S167:$AL167,增益!$A:$A,增益!$O:$O,0)))/100)</f>
        <v>-0.14</v>
      </c>
      <c r="BN167" s="40" cm="1">
        <f t="array" ref="BN167">$G$14+VLOOKUP($R167,武学奇术!$A:$ZZ,16,FALSE)+SUM(_xlfn.XLOOKUP($S167:$AL167,增益!$A:$A,增益!$P:$P,0))</f>
        <v>0.02</v>
      </c>
      <c r="BO167" s="33">
        <f>MIN(IF(VLOOKUP($R167,武学奇术!$A:$ZZ,23,FALSE)=1,100%,$B$8),100%)</f>
        <v>0.9771</v>
      </c>
      <c r="BP167" s="33" cm="1">
        <f t="array" ref="BP167">IF(VLOOKUP($R167,武学奇术!$A:$ZZ,23,FALSE)=1,100%,MIN(80%,$B$9+VLOOKUP($R167,武学奇术!$A:$ZZ,17,FALSE)+SUM(_xlfn.XLOOKUP($S167:$AL167,增益!$A:$A,增益!$Q:$Q,0)))+$B$11+SUM(_xlfn.XLOOKUP($S167:$AL167,增益!$A:$A,增益!$U:$U,0)))*IF(VLOOKUP($R167,武学奇术!$A:$ZZ,24,FALSE)=1,0,1)</f>
        <v>0.8861</v>
      </c>
      <c r="BQ167" s="33" cm="1">
        <f t="array" ref="BQ167">1+$B$13+VLOOKUP($R167,武学奇术!$A:$ZZ,18,FALSE)+SUM(_xlfn.XLOOKUP($S167:$AL167,增益!$A:$A,增益!$R:$R,0))</f>
        <v>1.92</v>
      </c>
      <c r="BR167" s="33" cm="1">
        <f t="array" ref="BR167">IF(VLOOKUP($R167,武学奇术!$A:$ZZ,24,FALSE)=1,100%,MIN(40%,$B$10+VLOOKUP($R167,武学奇术!$A:$ZZ,19,FALSE)+SUM(_xlfn.XLOOKUP($S167:$AL167,增益!$A:$A,增益!$S:$S,0)))+$B$12+SUM(_xlfn.XLOOKUP($S167:$AL167,增益!$A:$A,增益!$V:$V,0)))*IF(VLOOKUP($R167,武学奇术!$A:$ZZ,23,FALSE)=1,0,1)</f>
        <v>0.0913</v>
      </c>
      <c r="BS167" s="33" cm="1">
        <f t="array" ref="BS167">1+$B$14+VLOOKUP($R167,武学奇术!$A:$ZZ,20,FALSE)+SUM(_xlfn.XLOOKUP($S167:$AL167,增益!$A:$A,增益!$T:$T,0))</f>
        <v>1.35</v>
      </c>
      <c r="BT167" s="33">
        <f t="shared" si="80"/>
        <v>0.86580831</v>
      </c>
      <c r="BU167" s="33">
        <f t="shared" si="81"/>
        <v>0.02208246</v>
      </c>
      <c r="BV167" s="33">
        <f>IF(VLOOKUP($R167,武学奇术!$A:$ZZ,22,FALSE)=1,0,(1-$BO167))*(1-$BR167)</f>
        <v>0.02080923</v>
      </c>
      <c r="BW167" s="33" cm="1">
        <f t="array" ref="BW167">SUM(_xlfn.XLOOKUP($S167:$AL167,增益!$A:$A,增益!$W:$W,0))+$I$5</f>
        <v>0.11</v>
      </c>
      <c r="BX167" s="33" cm="1">
        <f t="array" ref="BX167">VLOOKUP($R167,武学奇术!$A:$ZZ,32,FALSE)+SUM(_xlfn.XLOOKUP($S167:$AL167,增益!$A:$A,增益!$X:$X,0))</f>
        <v>0</v>
      </c>
    </row>
    <row r="168" spans="1:76">
      <c r="A168" s="4" t="s">
        <v>189</v>
      </c>
      <c r="B168" s="4">
        <v>0.8</v>
      </c>
      <c r="C168" s="47"/>
      <c r="D168" s="47" t="s">
        <v>167</v>
      </c>
      <c r="E168" s="47"/>
      <c r="L168" s="46">
        <f t="shared" si="70"/>
        <v>0</v>
      </c>
      <c r="M168" s="46">
        <f>((($AT168+$AU168)/2*$AN168+$AO168)*(1+$AV168)*(1+$AW168)+(($AY168+$AZ168)/2*IF($G$1="鸣金",$AP168,$AN168)+IF($G$1="鸣金",$AQ168*1.5,0))*(1+$BA168)*(1+$BB168)+(($BC168+$BD168)/2*IF($G$1="裂石",$AP168,$AN168)+IF($G$1="裂石",$AQ168*1.5,0))*(1+$BE168)*(1+$BF168)+(($BG168+$BH168)/2*IF($G$1="牵丝",$AP168,$AN168)+IF($G$1="牵丝",$AQ168*1.5,0))*(1+$BI168)*(1+$BJ168)+(($BK168+$BL168)/2*IF($G$1="破竹",$AP168,$AN168)+IF($G$1="破竹",$AQ168*1.5,0))*(1+$BM168)*(1+$BN168))*(1+$AR168)*$BQ168*$Q168*(1+IF(VLOOKUP($R168,武学奇术!$A:$ZZ,30,FALSE)="蓄力技",$B$21,0))*(1+IF(VLOOKUP($R168,武学奇术!$A:$ZZ,30,FALSE)="派生技",$B$20,0))*(1+$BW168)*(1+$BX168)</f>
        <v>0</v>
      </c>
      <c r="N168" s="46">
        <f>(($AU168*$AN168+$AO168)*(1+$AV168)*(1+$AW168)+($AZ168*IF($G$1="鸣金",$AP168,$AN168)+IF($G$1="鸣金",$AQ168*1.5,0))*(1+$BA168)*(1+$BB168)+($BD168*IF($G$1="裂石",$AP168,$AN168)+IF($G$1="裂石",$AQ168*1.5,0))*(1+$BE168)*(1+$BF168)+($BH168*IF($G$1="牵丝",$AP168,$AN168)+IF($G$1="牵丝",$AQ168*1.5,0))*(1+$BI168)*(1+$BJ168)+($BL168*IF($G$1="破竹",$AP168,$AN168)+IF($G$1="破竹",$AQ168*1.5,0))*(1+$BM168)*(1+$BN168))*(1+$AR168)*$BS168*$Q168*(1+IF(VLOOKUP($R168,武学奇术!$A:$ZZ,30,FALSE)="蓄力技",$B$21,0))*(1+IF(VLOOKUP($R168,武学奇术!$A:$ZZ,30,FALSE)="派生技",$B$20,0))*(1+$BW168)*(1+$BX168)</f>
        <v>0</v>
      </c>
      <c r="O168" s="46">
        <f>((($AT168+$AU168)/2*$AN168+$AO168)*(1+$AV168)*(1+$AW168)+(($AY168+$AZ168)/2*IF($G$1="鸣金",$AP168,$AN168)+IF($G$1="鸣金",$AQ168*1.5,0))*(1+$BA168)*(1+$BB168)+(($BC168+$BD168)/2*IF($G$1="裂石",$AP168,$AN168)+IF($G$1="裂石",$AQ168*1.5,0))*(1+$BE168)*(1+$BF168)+(($BG168+$BH168)/2*IF($G$1="牵丝",$AP168,$AN168)+IF($G$1="牵丝",$AQ168*1.5,0))*(1+$BI168)*(1+$BJ168)+(($BK168+$BL168)/2*IF($G$1="破竹",$AP168,$AN168)+IF($G$1="破竹",$AQ168*1.5,0))*(1+$BM168)*(1+$BN168))*(1+$AR168)*$Q168*(1+IF(VLOOKUP($R168,武学奇术!$A:$ZZ,30,FALSE)="蓄力技",$B$21,0))*(1+IF(VLOOKUP($R168,武学奇术!$A:$ZZ,30,FALSE)="派生技",$B$20,0))*(1+$BW168)*(1+$BX168)</f>
        <v>0</v>
      </c>
      <c r="P168" s="46">
        <f>((($AT168*$AN168+$AO168)*(1+$AV168)*(1+$AW168)+($AY168*IF($G$1="鸣金",$AP168,$AN168)+IF($G$1="鸣金",$AQ168*1.5,0))*(1+$BA168)*(1+$BB168)+($BC168*IF($G$1="裂石",$AP168,$AN168)+IF($G$1="裂石",$AQ168*1.5,0))*(1+$BE168)*(1+$BF168)+($BG168*IF($G$1="牵丝",$AP168,$AN168)+IF($G$1="牵丝",$AQ168*1.5,0))*(1+$BI168)*(1+$BJ168)+($BK168*IF($G$1="破竹",$AP168,$AN168)+IF($G$1="破竹",$AQ168*1.5,0))*(1+$BM168)*(1+$BN168))*(1+$AR168))*$Q168*(1+IF(VLOOKUP($R168,武学奇术!$A:$ZZ,30,FALSE)="蓄力技",$B$21,0))*(1+IF(VLOOKUP($R168,武学奇术!$A:$ZZ,30,FALSE)="派生技",$B$20,0))*(1+$BW168)*(1+$BX168)</f>
        <v>0</v>
      </c>
      <c r="Q168" s="47">
        <f t="shared" ref="Q168:Q177" si="82">IF($E$24="唐刀",1,0)</f>
        <v>0</v>
      </c>
      <c r="R168" s="48" t="s">
        <v>116</v>
      </c>
      <c r="S168" s="48" t="s">
        <v>99</v>
      </c>
      <c r="T168" s="48" t="s">
        <v>178</v>
      </c>
      <c r="U168" s="48" t="s">
        <v>80</v>
      </c>
      <c r="V168" s="48" t="s">
        <v>80</v>
      </c>
      <c r="W168" s="48" t="s">
        <v>91</v>
      </c>
      <c r="X168" s="48" t="s">
        <v>80</v>
      </c>
      <c r="Y168" s="48" t="s">
        <v>80</v>
      </c>
      <c r="Z168" s="48" t="s">
        <v>80</v>
      </c>
      <c r="AA168" s="48" t="s">
        <v>80</v>
      </c>
      <c r="AB168" s="48" t="s">
        <v>80</v>
      </c>
      <c r="AC168" s="48" t="s">
        <v>80</v>
      </c>
      <c r="AD168" s="48" t="s">
        <v>80</v>
      </c>
      <c r="AE168" s="48" t="s">
        <v>82</v>
      </c>
      <c r="AF168" s="48" t="s">
        <v>83</v>
      </c>
      <c r="AG168" s="48" t="s">
        <v>84</v>
      </c>
      <c r="AH168" s="48" t="s">
        <v>80</v>
      </c>
      <c r="AI168" s="48" t="s">
        <v>80</v>
      </c>
      <c r="AJ168" s="48" t="s">
        <v>80</v>
      </c>
      <c r="AK168" s="48" t="s">
        <v>80</v>
      </c>
      <c r="AL168" s="48" t="s">
        <v>85</v>
      </c>
      <c r="AM168" t="str">
        <f>VLOOKUP($R168,武学奇术!$A:$ZZ,25,FALSE)</f>
        <v>横刀</v>
      </c>
      <c r="AN168" s="33">
        <f>VLOOKUP($R168,武学奇术!$A:$ZZ,26,FALSE)</f>
        <v>3.7797</v>
      </c>
      <c r="AO168" s="34">
        <f>VLOOKUP($R168,武学奇术!$A:$ZZ,27,FALSE)*(1+IF(OR($AM168=$F$4,$AM168=$F$5),$B$22,0))</f>
        <v>1672</v>
      </c>
      <c r="AP168" s="33">
        <f>VLOOKUP($R168,武学奇术!$A:$ZZ,28,FALSE)</f>
        <v>5.6696</v>
      </c>
      <c r="AQ168" s="34">
        <f>VLOOKUP($R168,武学奇术!$A:$ZZ,29,FALSE)*(1+IF(OR($AM168=$F$4,$AM168=$F$5),$B$22,0))</f>
        <v>912</v>
      </c>
      <c r="AR168" s="33" cm="1">
        <f t="array" ref="AR168">$G$3+IFERROR(VLOOKUP($AM168,$F$4:$G$7,2,FALSE),0)+VLOOKUP($R168,武学奇术!$A:$ZZ,2,FALSE)+SUM(_xlfn.XLOOKUP($S168:$AL168,增益!$A:$A,增益!$B:$B,0))</f>
        <v>0.4489</v>
      </c>
      <c r="AS168" s="33" cm="1">
        <f t="array" ref="AS168">VLOOKUP($R168,武学奇术!$A:$ZZ,5,FALSE)+SUM(_xlfn.XLOOKUP($S168:$AL168,增益!$A:$A,增益!$E:$E,0))</f>
        <v>0</v>
      </c>
      <c r="AT168" cm="1">
        <f t="array" ref="AT168">$D$10*(1+$AS168)+VLOOKUP($R168,武学奇术!$A:$ZZ,3,FALSE)+SUM(_xlfn.XLOOKUP($S168:$AL168,增益!$A:$A,增益!$C:$C,0))-$I$2</f>
        <v>4094.7</v>
      </c>
      <c r="AU168" cm="1">
        <f t="array" ref="AU168">$E$10*(1+$AS168)+VLOOKUP($R168,武学奇术!$A:$ZZ,4,FALSE)+SUM(_xlfn.XLOOKUP($S168:$AL168,增益!$A:$A,增益!$D:$D,0))-$I$2</f>
        <v>4094.7</v>
      </c>
      <c r="AV168" s="40" cm="1">
        <f t="array" ref="AV168">IF($F$10-$I$3+VLOOKUP($R168,武学奇术!$A:$ZZ,6,FALSE)+SUM(_xlfn.XLOOKUP($S168:$AL168,增益!$A:$A,增益!$F:$F,0))&gt;0,($F$10-$I$3+VLOOKUP($R168,武学奇术!$A:$ZZ,6,FALSE)+SUM(_xlfn.XLOOKUP($S168:$AL168,增益!$A:$A,增益!$F:$F,0)))/200,($F$10-$I$3+VLOOKUP($R168,武学奇术!$A:$ZZ,6,FALSE)+SUM(_xlfn.XLOOKUP($S168:$AL168,增益!$A:$A,增益!$F:$F,0)))/100)</f>
        <v>0.4134</v>
      </c>
      <c r="AW168" s="40" cm="1">
        <f t="array" ref="AW168">$G$10+VLOOKUP($R168,武学奇术!$A:$ZZ,7,FALSE)+SUM(_xlfn.XLOOKUP($S168:$AL168,增益!$A:$A,增益!$G:$G,0))</f>
        <v>0.02</v>
      </c>
      <c r="AX168" s="33" cm="1">
        <f t="array" ref="AX168">VLOOKUP($R168,武学奇术!$A:$ZZ,8,FALSE)+SUM(_xlfn.XLOOKUP($S168:$AL168,增益!$A:$A,增益!$H:$H,0))</f>
        <v>0</v>
      </c>
      <c r="AY168">
        <f t="shared" si="72"/>
        <v>0</v>
      </c>
      <c r="AZ168">
        <f t="shared" si="73"/>
        <v>0</v>
      </c>
      <c r="BA168" s="40" cm="1">
        <f t="array" ref="BA168">IF($F$11-$I$4+VLOOKUP($R168,武学奇术!$A:$ZZ,9,FALSE)+SUM(_xlfn.XLOOKUP($S168:$AL168,增益!$A:$A,增益!$I:$I,0))&gt;0,($F$11-$I$4+VLOOKUP($R168,武学奇术!$A:$ZZ,9,FALSE)+SUM(_xlfn.XLOOKUP($S168:$AL168,增益!$A:$A,增益!$I:$I,0)))/200,($F$11-$I$4+VLOOKUP($R168,武学奇术!$A:$ZZ,9,FALSE)+SUM(_xlfn.XLOOKUP($S168:$AL168,增益!$A:$A,增益!$I:$I,0)))/100)</f>
        <v>-0.3</v>
      </c>
      <c r="BB168" s="40" cm="1">
        <f t="array" ref="BB168">$G$11+VLOOKUP($R168,武学奇术!$A:$ZZ,10,FALSE)+SUM(_xlfn.XLOOKUP($S168:$AL168,增益!$A:$A,增益!$J:$J,0))</f>
        <v>0.02</v>
      </c>
      <c r="BC168">
        <f t="shared" si="74"/>
        <v>640.3</v>
      </c>
      <c r="BD168">
        <f t="shared" si="75"/>
        <v>1770.1</v>
      </c>
      <c r="BE168" s="40" cm="1">
        <f t="array" ref="BE168">IF($F$12-$I$4+VLOOKUP($R168,武学奇术!$A:$ZZ,11,FALSE)+SUM(_xlfn.XLOOKUP($S168:$AL168,增益!$A:$A,增益!$K:$K,0))&gt;0,($F$12-$I$4+VLOOKUP($R168,武学奇术!$A:$ZZ,11,FALSE)+SUM(_xlfn.XLOOKUP($S168:$AL168,增益!$A:$A,增益!$K:$K,0)))/200,($F$12-$I$4+VLOOKUP($R168,武学奇术!$A:$ZZ,11,FALSE)+SUM(_xlfn.XLOOKUP($S168:$AL168,增益!$A:$A,增益!$K:$K,0)))/100)</f>
        <v>0.09</v>
      </c>
      <c r="BF168" s="40" cm="1">
        <f t="array" ref="BF168">$G$12+VLOOKUP($R168,武学奇术!$A:$ZZ,12,FALSE)+SUM(_xlfn.XLOOKUP($S168:$AL168,增益!$A:$A,增益!$L:$L,0))</f>
        <v>0.17</v>
      </c>
      <c r="BG168">
        <f t="shared" si="76"/>
        <v>0</v>
      </c>
      <c r="BH168">
        <f t="shared" si="77"/>
        <v>0</v>
      </c>
      <c r="BI168" s="40" cm="1">
        <f t="array" ref="BI168">IF($F$13-$I$4+VLOOKUP($R168,武学奇术!$A:$ZZ,13,FALSE)+SUM(_xlfn.XLOOKUP($S168:$AL168,增益!$A:$A,增益!$M:$M,0))&gt;0,($F$13-$I$4+VLOOKUP($R168,武学奇术!$A:$ZZ,13,FALSE)+SUM(_xlfn.XLOOKUP($S168:$AL168,增益!$A:$A,增益!$K:$K,0)))/200,($F$13-$I$4+VLOOKUP($R168,武学奇术!$A:$ZZ,13,FALSE)+SUM(_xlfn.XLOOKUP($S168:$AL168,增益!$A:$A,增益!$M:$M,0)))/100)</f>
        <v>-0.3</v>
      </c>
      <c r="BJ168" s="40" cm="1">
        <f t="array" ref="BJ168">$G$13+VLOOKUP($R168,武学奇术!$A:$ZZ,14,FALSE)+SUM(_xlfn.XLOOKUP($S168:$AL168,增益!$A:$A,增益!$N:$N,0))</f>
        <v>0.02</v>
      </c>
      <c r="BK168">
        <f t="shared" si="78"/>
        <v>0</v>
      </c>
      <c r="BL168">
        <f t="shared" si="79"/>
        <v>0</v>
      </c>
      <c r="BM168" s="40" cm="1">
        <f t="array" ref="BM168">IF($F$14-$I$4+VLOOKUP($R168,武学奇术!$A:$ZZ,15,FALSE)+SUM(_xlfn.XLOOKUP($S168:$AL168,增益!$A:$A,增益!$O:$O,0))&gt;0,($F$14-$I$4+VLOOKUP($R168,武学奇术!$A:$ZZ,15,FALSE)+SUM(_xlfn.XLOOKUP($S168:$AL168,增益!$A:$A,增益!$O:$O,0)))/200,($F$14-$I$4+VLOOKUP($R168,武学奇术!$A:$ZZ,15,FALSE)+SUM(_xlfn.XLOOKUP($S168:$AL168,增益!$A:$A,增益!$O:$O,0)))/100)</f>
        <v>-0.3</v>
      </c>
      <c r="BN168" s="40" cm="1">
        <f t="array" ref="BN168">$G$14+VLOOKUP($R168,武学奇术!$A:$ZZ,16,FALSE)+SUM(_xlfn.XLOOKUP($S168:$AL168,增益!$A:$A,增益!$P:$P,0))</f>
        <v>0.02</v>
      </c>
      <c r="BO168" s="33">
        <f>MIN(IF(VLOOKUP($R168,武学奇术!$A:$ZZ,23,FALSE)=1,100%,$B$8),100%)</f>
        <v>0.9771</v>
      </c>
      <c r="BP168" s="33" cm="1">
        <f t="array" ref="BP168">IF(VLOOKUP($R168,武学奇术!$A:$ZZ,23,FALSE)=1,100%,MIN(80%,$B$9+VLOOKUP($R168,武学奇术!$A:$ZZ,17,FALSE)+SUM(_xlfn.XLOOKUP($S168:$AL168,增益!$A:$A,增益!$Q:$Q,0)))+$B$11+SUM(_xlfn.XLOOKUP($S168:$AL168,增益!$A:$A,增益!$U:$U,0)))*IF(VLOOKUP($R168,武学奇术!$A:$ZZ,24,FALSE)=1,0,1)</f>
        <v>0.8861</v>
      </c>
      <c r="BQ168" s="33" cm="1">
        <f t="array" ref="BQ168">1+$B$13+VLOOKUP($R168,武学奇术!$A:$ZZ,18,FALSE)+SUM(_xlfn.XLOOKUP($S168:$AL168,增益!$A:$A,增益!$R:$R,0))</f>
        <v>1.93</v>
      </c>
      <c r="BR168" s="33" cm="1">
        <f t="array" ref="BR168">IF(VLOOKUP($R168,武学奇术!$A:$ZZ,24,FALSE)=1,100%,MIN(40%,$B$10+VLOOKUP($R168,武学奇术!$A:$ZZ,19,FALSE)+SUM(_xlfn.XLOOKUP($S168:$AL168,增益!$A:$A,增益!$S:$S,0)))+$B$12+SUM(_xlfn.XLOOKUP($S168:$AL168,增益!$A:$A,增益!$V:$V,0)))*IF(VLOOKUP($R168,武学奇术!$A:$ZZ,23,FALSE)=1,0,1)</f>
        <v>0.0913</v>
      </c>
      <c r="BS168" s="33" cm="1">
        <f t="array" ref="BS168">1+$B$14+VLOOKUP($R168,武学奇术!$A:$ZZ,20,FALSE)+SUM(_xlfn.XLOOKUP($S168:$AL168,增益!$A:$A,增益!$T:$T,0))</f>
        <v>1.35</v>
      </c>
      <c r="BT168" s="33">
        <f t="shared" si="80"/>
        <v>0.86580831</v>
      </c>
      <c r="BU168" s="33">
        <f t="shared" si="81"/>
        <v>0.02208246</v>
      </c>
      <c r="BV168" s="33">
        <f>IF(VLOOKUP($R168,武学奇术!$A:$ZZ,22,FALSE)=1,0,(1-$BO168))*(1-$BR168)</f>
        <v>0.02080923</v>
      </c>
      <c r="BW168" s="33" cm="1">
        <f t="array" ref="BW168">SUM(_xlfn.XLOOKUP($S168:$AL168,增益!$A:$A,增益!$W:$W,0))+$I$5</f>
        <v>0.11</v>
      </c>
      <c r="BX168" s="33" cm="1">
        <f t="array" ref="BX168">VLOOKUP($R168,武学奇术!$A:$ZZ,32,FALSE)+SUM(_xlfn.XLOOKUP($S168:$AL168,增益!$A:$A,增益!$X:$X,0))</f>
        <v>0</v>
      </c>
    </row>
    <row r="169" spans="1:76">
      <c r="A169" s="4" t="s">
        <v>190</v>
      </c>
      <c r="B169" s="4">
        <v>1.1</v>
      </c>
      <c r="C169" s="47"/>
      <c r="D169" s="47"/>
      <c r="E169" s="47"/>
      <c r="L169" s="46">
        <f t="shared" si="70"/>
        <v>0</v>
      </c>
      <c r="M169" s="46">
        <f>((($AT169+$AU169)/2*$AN169+$AO169)*(1+$AV169)*(1+$AW169)+(($AY169+$AZ169)/2*IF($G$1="鸣金",$AP169,$AN169)+IF($G$1="鸣金",$AQ169*1.5,0))*(1+$BA169)*(1+$BB169)+(($BC169+$BD169)/2*IF($G$1="裂石",$AP169,$AN169)+IF($G$1="裂石",$AQ169*1.5,0))*(1+$BE169)*(1+$BF169)+(($BG169+$BH169)/2*IF($G$1="牵丝",$AP169,$AN169)+IF($G$1="牵丝",$AQ169*1.5,0))*(1+$BI169)*(1+$BJ169)+(($BK169+$BL169)/2*IF($G$1="破竹",$AP169,$AN169)+IF($G$1="破竹",$AQ169*1.5,0))*(1+$BM169)*(1+$BN169))*(1+$AR169)*$BQ169*$Q169*(1+IF(VLOOKUP($R169,武学奇术!$A:$ZZ,30,FALSE)="蓄力技",$B$21,0))*(1+IF(VLOOKUP($R169,武学奇术!$A:$ZZ,30,FALSE)="派生技",$B$20,0))*(1+$BW169)*(1+$BX169)</f>
        <v>0</v>
      </c>
      <c r="N169" s="46">
        <f>(($AU169*$AN169+$AO169)*(1+$AV169)*(1+$AW169)+($AZ169*IF($G$1="鸣金",$AP169,$AN169)+IF($G$1="鸣金",$AQ169*1.5,0))*(1+$BA169)*(1+$BB169)+($BD169*IF($G$1="裂石",$AP169,$AN169)+IF($G$1="裂石",$AQ169*1.5,0))*(1+$BE169)*(1+$BF169)+($BH169*IF($G$1="牵丝",$AP169,$AN169)+IF($G$1="牵丝",$AQ169*1.5,0))*(1+$BI169)*(1+$BJ169)+($BL169*IF($G$1="破竹",$AP169,$AN169)+IF($G$1="破竹",$AQ169*1.5,0))*(1+$BM169)*(1+$BN169))*(1+$AR169)*$BS169*$Q169*(1+IF(VLOOKUP($R169,武学奇术!$A:$ZZ,30,FALSE)="蓄力技",$B$21,0))*(1+IF(VLOOKUP($R169,武学奇术!$A:$ZZ,30,FALSE)="派生技",$B$20,0))*(1+$BW169)*(1+$BX169)</f>
        <v>0</v>
      </c>
      <c r="O169" s="46">
        <f>((($AT169+$AU169)/2*$AN169+$AO169)*(1+$AV169)*(1+$AW169)+(($AY169+$AZ169)/2*IF($G$1="鸣金",$AP169,$AN169)+IF($G$1="鸣金",$AQ169*1.5,0))*(1+$BA169)*(1+$BB169)+(($BC169+$BD169)/2*IF($G$1="裂石",$AP169,$AN169)+IF($G$1="裂石",$AQ169*1.5,0))*(1+$BE169)*(1+$BF169)+(($BG169+$BH169)/2*IF($G$1="牵丝",$AP169,$AN169)+IF($G$1="牵丝",$AQ169*1.5,0))*(1+$BI169)*(1+$BJ169)+(($BK169+$BL169)/2*IF($G$1="破竹",$AP169,$AN169)+IF($G$1="破竹",$AQ169*1.5,0))*(1+$BM169)*(1+$BN169))*(1+$AR169)*$Q169*(1+IF(VLOOKUP($R169,武学奇术!$A:$ZZ,30,FALSE)="蓄力技",$B$21,0))*(1+IF(VLOOKUP($R169,武学奇术!$A:$ZZ,30,FALSE)="派生技",$B$20,0))*(1+$BW169)*(1+$BX169)</f>
        <v>0</v>
      </c>
      <c r="P169" s="46">
        <f>((($AT169*$AN169+$AO169)*(1+$AV169)*(1+$AW169)+($AY169*IF($G$1="鸣金",$AP169,$AN169)+IF($G$1="鸣金",$AQ169*1.5,0))*(1+$BA169)*(1+$BB169)+($BC169*IF($G$1="裂石",$AP169,$AN169)+IF($G$1="裂石",$AQ169*1.5,0))*(1+$BE169)*(1+$BF169)+($BG169*IF($G$1="牵丝",$AP169,$AN169)+IF($G$1="牵丝",$AQ169*1.5,0))*(1+$BI169)*(1+$BJ169)+($BK169*IF($G$1="破竹",$AP169,$AN169)+IF($G$1="破竹",$AQ169*1.5,0))*(1+$BM169)*(1+$BN169))*(1+$AR169))*$Q169*(1+IF(VLOOKUP($R169,武学奇术!$A:$ZZ,30,FALSE)="蓄力技",$B$21,0))*(1+IF(VLOOKUP($R169,武学奇术!$A:$ZZ,30,FALSE)="派生技",$B$20,0))*(1+$BW169)*(1+$BX169)</f>
        <v>0</v>
      </c>
      <c r="Q169" s="47">
        <f t="shared" si="82"/>
        <v>0</v>
      </c>
      <c r="R169" s="48" t="s">
        <v>195</v>
      </c>
      <c r="S169" s="48" t="s">
        <v>99</v>
      </c>
      <c r="T169" s="48" t="s">
        <v>178</v>
      </c>
      <c r="U169" s="48" t="s">
        <v>79</v>
      </c>
      <c r="V169" s="48" t="s">
        <v>80</v>
      </c>
      <c r="W169" s="48" t="s">
        <v>141</v>
      </c>
      <c r="X169" s="48" t="s">
        <v>80</v>
      </c>
      <c r="Y169" s="48" t="s">
        <v>74</v>
      </c>
      <c r="Z169" s="48" t="s">
        <v>80</v>
      </c>
      <c r="AA169" s="48" t="s">
        <v>80</v>
      </c>
      <c r="AB169" s="48" t="s">
        <v>80</v>
      </c>
      <c r="AC169" s="48" t="s">
        <v>80</v>
      </c>
      <c r="AD169" s="48" t="s">
        <v>80</v>
      </c>
      <c r="AE169" s="48" t="s">
        <v>82</v>
      </c>
      <c r="AF169" s="48" t="s">
        <v>83</v>
      </c>
      <c r="AG169" s="48" t="s">
        <v>84</v>
      </c>
      <c r="AH169" s="48" t="s">
        <v>80</v>
      </c>
      <c r="AI169" s="48" t="s">
        <v>80</v>
      </c>
      <c r="AJ169" s="48" t="s">
        <v>80</v>
      </c>
      <c r="AK169" s="48" t="s">
        <v>80</v>
      </c>
      <c r="AL169" s="48" t="s">
        <v>85</v>
      </c>
      <c r="AM169" t="str">
        <f>VLOOKUP($R169,武学奇术!$A:$ZZ,25,FALSE)</f>
        <v>横刀</v>
      </c>
      <c r="AN169" s="33">
        <f>VLOOKUP($R169,武学奇术!$A:$ZZ,26,FALSE)</f>
        <v>3.6553</v>
      </c>
      <c r="AO169" s="34">
        <f>VLOOKUP($R169,武学奇术!$A:$ZZ,27,FALSE)*(1+IF(OR($AM169=$F$4,$AM169=$F$5),$B$22,0))</f>
        <v>1619.2</v>
      </c>
      <c r="AP169" s="33">
        <f>VLOOKUP($R169,武学奇术!$A:$ZZ,28,FALSE)</f>
        <v>5.4829</v>
      </c>
      <c r="AQ169" s="34">
        <f>VLOOKUP($R169,武学奇术!$A:$ZZ,29,FALSE)*(1+IF(OR($AM169=$F$4,$AM169=$F$5),$B$22,0))</f>
        <v>880</v>
      </c>
      <c r="AR169" s="33" cm="1">
        <f t="array" ref="AR169">$G$3+IFERROR(VLOOKUP($AM169,$F$4:$G$7,2,FALSE),0)+VLOOKUP($R169,武学奇术!$A:$ZZ,2,FALSE)+SUM(_xlfn.XLOOKUP($S169:$AL169,增益!$A:$A,增益!$B:$B,0))</f>
        <v>0.6289</v>
      </c>
      <c r="AS169" s="33" cm="1">
        <f t="array" ref="AS169">VLOOKUP($R169,武学奇术!$A:$ZZ,5,FALSE)+SUM(_xlfn.XLOOKUP($S169:$AL169,增益!$A:$A,增益!$E:$E,0))</f>
        <v>0</v>
      </c>
      <c r="AT169" cm="1">
        <f t="array" ref="AT169">$D$10*(1+$AS169)+VLOOKUP($R169,武学奇术!$A:$ZZ,3,FALSE)+SUM(_xlfn.XLOOKUP($S169:$AL169,增益!$A:$A,增益!$C:$C,0))-$I$2</f>
        <v>4094.7</v>
      </c>
      <c r="AU169" cm="1">
        <f t="array" ref="AU169">$E$10*(1+$AS169)+VLOOKUP($R169,武学奇术!$A:$ZZ,4,FALSE)+SUM(_xlfn.XLOOKUP($S169:$AL169,增益!$A:$A,增益!$D:$D,0))-$I$2</f>
        <v>4094.7</v>
      </c>
      <c r="AV169" s="40" cm="1">
        <f t="array" ref="AV169">IF($F$10-$I$3+VLOOKUP($R169,武学奇术!$A:$ZZ,6,FALSE)+SUM(_xlfn.XLOOKUP($S169:$AL169,增益!$A:$A,增益!$F:$F,0))&gt;0,($F$10-$I$3+VLOOKUP($R169,武学奇术!$A:$ZZ,6,FALSE)+SUM(_xlfn.XLOOKUP($S169:$AL169,增益!$A:$A,增益!$F:$F,0)))/200,($F$10-$I$3+VLOOKUP($R169,武学奇术!$A:$ZZ,6,FALSE)+SUM(_xlfn.XLOOKUP($S169:$AL169,增益!$A:$A,增益!$F:$F,0)))/100)</f>
        <v>0.4384</v>
      </c>
      <c r="AW169" s="40" cm="1">
        <f t="array" ref="AW169">$G$10+VLOOKUP($R169,武学奇术!$A:$ZZ,7,FALSE)+SUM(_xlfn.XLOOKUP($S169:$AL169,增益!$A:$A,增益!$G:$G,0))</f>
        <v>0.14</v>
      </c>
      <c r="AX169" s="33" cm="1">
        <f t="array" ref="AX169">VLOOKUP($R169,武学奇术!$A:$ZZ,8,FALSE)+SUM(_xlfn.XLOOKUP($S169:$AL169,增益!$A:$A,增益!$H:$H,0))</f>
        <v>0</v>
      </c>
      <c r="AY169">
        <f t="shared" si="72"/>
        <v>0</v>
      </c>
      <c r="AZ169">
        <f t="shared" si="73"/>
        <v>0</v>
      </c>
      <c r="BA169" s="40" cm="1">
        <f t="array" ref="BA169">IF($F$11-$I$4+VLOOKUP($R169,武学奇术!$A:$ZZ,9,FALSE)+SUM(_xlfn.XLOOKUP($S169:$AL169,增益!$A:$A,增益!$I:$I,0))&gt;0,($F$11-$I$4+VLOOKUP($R169,武学奇术!$A:$ZZ,9,FALSE)+SUM(_xlfn.XLOOKUP($S169:$AL169,增益!$A:$A,增益!$I:$I,0)))/200,($F$11-$I$4+VLOOKUP($R169,武学奇术!$A:$ZZ,9,FALSE)+SUM(_xlfn.XLOOKUP($S169:$AL169,增益!$A:$A,增益!$I:$I,0)))/100)</f>
        <v>-0.3</v>
      </c>
      <c r="BB169" s="40" cm="1">
        <f t="array" ref="BB169">$G$11+VLOOKUP($R169,武学奇术!$A:$ZZ,10,FALSE)+SUM(_xlfn.XLOOKUP($S169:$AL169,增益!$A:$A,增益!$J:$J,0))</f>
        <v>0.02</v>
      </c>
      <c r="BC169">
        <f t="shared" si="74"/>
        <v>640.3</v>
      </c>
      <c r="BD169">
        <f t="shared" si="75"/>
        <v>1770.1</v>
      </c>
      <c r="BE169" s="40" cm="1">
        <f t="array" ref="BE169">IF($F$12-$I$4+VLOOKUP($R169,武学奇术!$A:$ZZ,11,FALSE)+SUM(_xlfn.XLOOKUP($S169:$AL169,增益!$A:$A,增益!$K:$K,0))&gt;0,($F$12-$I$4+VLOOKUP($R169,武学奇术!$A:$ZZ,11,FALSE)+SUM(_xlfn.XLOOKUP($S169:$AL169,增益!$A:$A,增益!$K:$K,0)))/200,($F$12-$I$4+VLOOKUP($R169,武学奇术!$A:$ZZ,11,FALSE)+SUM(_xlfn.XLOOKUP($S169:$AL169,增益!$A:$A,增益!$K:$K,0)))/100)</f>
        <v>0.09</v>
      </c>
      <c r="BF169" s="40" cm="1">
        <f t="array" ref="BF169">$G$12+VLOOKUP($R169,武学奇术!$A:$ZZ,12,FALSE)+SUM(_xlfn.XLOOKUP($S169:$AL169,增益!$A:$A,增益!$L:$L,0))</f>
        <v>0.29</v>
      </c>
      <c r="BG169">
        <f t="shared" si="76"/>
        <v>0</v>
      </c>
      <c r="BH169">
        <f t="shared" si="77"/>
        <v>0</v>
      </c>
      <c r="BI169" s="40" cm="1">
        <f t="array" ref="BI169">IF($F$13-$I$4+VLOOKUP($R169,武学奇术!$A:$ZZ,13,FALSE)+SUM(_xlfn.XLOOKUP($S169:$AL169,增益!$A:$A,增益!$M:$M,0))&gt;0,($F$13-$I$4+VLOOKUP($R169,武学奇术!$A:$ZZ,13,FALSE)+SUM(_xlfn.XLOOKUP($S169:$AL169,增益!$A:$A,增益!$K:$K,0)))/200,($F$13-$I$4+VLOOKUP($R169,武学奇术!$A:$ZZ,13,FALSE)+SUM(_xlfn.XLOOKUP($S169:$AL169,增益!$A:$A,增益!$M:$M,0)))/100)</f>
        <v>-0.3</v>
      </c>
      <c r="BJ169" s="40" cm="1">
        <f t="array" ref="BJ169">$G$13+VLOOKUP($R169,武学奇术!$A:$ZZ,14,FALSE)+SUM(_xlfn.XLOOKUP($S169:$AL169,增益!$A:$A,增益!$N:$N,0))</f>
        <v>0.02</v>
      </c>
      <c r="BK169">
        <f t="shared" si="78"/>
        <v>0</v>
      </c>
      <c r="BL169">
        <f t="shared" si="79"/>
        <v>0</v>
      </c>
      <c r="BM169" s="40" cm="1">
        <f t="array" ref="BM169">IF($F$14-$I$4+VLOOKUP($R169,武学奇术!$A:$ZZ,15,FALSE)+SUM(_xlfn.XLOOKUP($S169:$AL169,增益!$A:$A,增益!$O:$O,0))&gt;0,($F$14-$I$4+VLOOKUP($R169,武学奇术!$A:$ZZ,15,FALSE)+SUM(_xlfn.XLOOKUP($S169:$AL169,增益!$A:$A,增益!$O:$O,0)))/200,($F$14-$I$4+VLOOKUP($R169,武学奇术!$A:$ZZ,15,FALSE)+SUM(_xlfn.XLOOKUP($S169:$AL169,增益!$A:$A,增益!$O:$O,0)))/100)</f>
        <v>-0.3</v>
      </c>
      <c r="BN169" s="40" cm="1">
        <f t="array" ref="BN169">$G$14+VLOOKUP($R169,武学奇术!$A:$ZZ,16,FALSE)+SUM(_xlfn.XLOOKUP($S169:$AL169,增益!$A:$A,增益!$P:$P,0))</f>
        <v>0.02</v>
      </c>
      <c r="BO169" s="33">
        <f>MIN(IF(VLOOKUP($R169,武学奇术!$A:$ZZ,23,FALSE)=1,100%,$B$8),100%)</f>
        <v>0.9771</v>
      </c>
      <c r="BP169" s="33" cm="1">
        <f t="array" ref="BP169">IF(VLOOKUP($R169,武学奇术!$A:$ZZ,23,FALSE)=1,100%,MIN(80%,$B$9+VLOOKUP($R169,武学奇术!$A:$ZZ,17,FALSE)+SUM(_xlfn.XLOOKUP($S169:$AL169,增益!$A:$A,增益!$Q:$Q,0)))+$B$11+SUM(_xlfn.XLOOKUP($S169:$AL169,增益!$A:$A,增益!$U:$U,0)))*IF(VLOOKUP($R169,武学奇术!$A:$ZZ,24,FALSE)=1,0,1)</f>
        <v>0.8861</v>
      </c>
      <c r="BQ169" s="33" cm="1">
        <f t="array" ref="BQ169">1+$B$13+VLOOKUP($R169,武学奇术!$A:$ZZ,18,FALSE)+SUM(_xlfn.XLOOKUP($S169:$AL169,增益!$A:$A,增益!$R:$R,0))</f>
        <v>1.98</v>
      </c>
      <c r="BR169" s="33" cm="1">
        <f t="array" ref="BR169">IF(VLOOKUP($R169,武学奇术!$A:$ZZ,24,FALSE)=1,100%,MIN(40%,$B$10+VLOOKUP($R169,武学奇术!$A:$ZZ,19,FALSE)+SUM(_xlfn.XLOOKUP($S169:$AL169,增益!$A:$A,增益!$S:$S,0)))+$B$12+SUM(_xlfn.XLOOKUP($S169:$AL169,增益!$A:$A,增益!$V:$V,0)))*IF(VLOOKUP($R169,武学奇术!$A:$ZZ,23,FALSE)=1,0,1)</f>
        <v>0.0913</v>
      </c>
      <c r="BS169" s="33" cm="1">
        <f t="array" ref="BS169">1+$B$14+VLOOKUP($R169,武学奇术!$A:$ZZ,20,FALSE)+SUM(_xlfn.XLOOKUP($S169:$AL169,增益!$A:$A,增益!$T:$T,0))</f>
        <v>1.35</v>
      </c>
      <c r="BT169" s="33">
        <f t="shared" si="80"/>
        <v>0.86580831</v>
      </c>
      <c r="BU169" s="33">
        <f t="shared" si="81"/>
        <v>0.02208246</v>
      </c>
      <c r="BV169" s="33">
        <f>IF(VLOOKUP($R169,武学奇术!$A:$ZZ,22,FALSE)=1,0,(1-$BO169))*(1-$BR169)</f>
        <v>0.02080923</v>
      </c>
      <c r="BW169" s="33" cm="1">
        <f t="array" ref="BW169">SUM(_xlfn.XLOOKUP($S169:$AL169,增益!$A:$A,增益!$W:$W,0))+$I$5</f>
        <v>0.11</v>
      </c>
      <c r="BX169" s="33" cm="1">
        <f t="array" ref="BX169">VLOOKUP($R169,武学奇术!$A:$ZZ,32,FALSE)+SUM(_xlfn.XLOOKUP($S169:$AL169,增益!$A:$A,增益!$X:$X,0))</f>
        <v>0</v>
      </c>
    </row>
    <row r="170" spans="1:76">
      <c r="A170" s="4" t="s">
        <v>189</v>
      </c>
      <c r="B170" s="4">
        <v>0.8</v>
      </c>
      <c r="C170" s="47"/>
      <c r="D170" s="47"/>
      <c r="E170" s="47"/>
      <c r="L170" s="46">
        <f t="shared" si="70"/>
        <v>0</v>
      </c>
      <c r="M170" s="46">
        <f>((($AT170+$AU170)/2*$AN170+$AO170)*(1+$AV170)*(1+$AW170)+(($AY170+$AZ170)/2*IF($G$1="鸣金",$AP170,$AN170)+IF($G$1="鸣金",$AQ170*1.5,0))*(1+$BA170)*(1+$BB170)+(($BC170+$BD170)/2*IF($G$1="裂石",$AP170,$AN170)+IF($G$1="裂石",$AQ170*1.5,0))*(1+$BE170)*(1+$BF170)+(($BG170+$BH170)/2*IF($G$1="牵丝",$AP170,$AN170)+IF($G$1="牵丝",$AQ170*1.5,0))*(1+$BI170)*(1+$BJ170)+(($BK170+$BL170)/2*IF($G$1="破竹",$AP170,$AN170)+IF($G$1="破竹",$AQ170*1.5,0))*(1+$BM170)*(1+$BN170))*(1+$AR170)*$BQ170*$Q170*(1+IF(VLOOKUP($R170,武学奇术!$A:$ZZ,30,FALSE)="蓄力技",$B$21,0))*(1+IF(VLOOKUP($R170,武学奇术!$A:$ZZ,30,FALSE)="派生技",$B$20,0))*(1+$BW170)*(1+$BX170)</f>
        <v>0</v>
      </c>
      <c r="N170" s="46">
        <f>(($AU170*$AN170+$AO170)*(1+$AV170)*(1+$AW170)+($AZ170*IF($G$1="鸣金",$AP170,$AN170)+IF($G$1="鸣金",$AQ170*1.5,0))*(1+$BA170)*(1+$BB170)+($BD170*IF($G$1="裂石",$AP170,$AN170)+IF($G$1="裂石",$AQ170*1.5,0))*(1+$BE170)*(1+$BF170)+($BH170*IF($G$1="牵丝",$AP170,$AN170)+IF($G$1="牵丝",$AQ170*1.5,0))*(1+$BI170)*(1+$BJ170)+($BL170*IF($G$1="破竹",$AP170,$AN170)+IF($G$1="破竹",$AQ170*1.5,0))*(1+$BM170)*(1+$BN170))*(1+$AR170)*$BS170*$Q170*(1+IF(VLOOKUP($R170,武学奇术!$A:$ZZ,30,FALSE)="蓄力技",$B$21,0))*(1+IF(VLOOKUP($R170,武学奇术!$A:$ZZ,30,FALSE)="派生技",$B$20,0))*(1+$BW170)*(1+$BX170)</f>
        <v>0</v>
      </c>
      <c r="O170" s="46">
        <f>((($AT170+$AU170)/2*$AN170+$AO170)*(1+$AV170)*(1+$AW170)+(($AY170+$AZ170)/2*IF($G$1="鸣金",$AP170,$AN170)+IF($G$1="鸣金",$AQ170*1.5,0))*(1+$BA170)*(1+$BB170)+(($BC170+$BD170)/2*IF($G$1="裂石",$AP170,$AN170)+IF($G$1="裂石",$AQ170*1.5,0))*(1+$BE170)*(1+$BF170)+(($BG170+$BH170)/2*IF($G$1="牵丝",$AP170,$AN170)+IF($G$1="牵丝",$AQ170*1.5,0))*(1+$BI170)*(1+$BJ170)+(($BK170+$BL170)/2*IF($G$1="破竹",$AP170,$AN170)+IF($G$1="破竹",$AQ170*1.5,0))*(1+$BM170)*(1+$BN170))*(1+$AR170)*$Q170*(1+IF(VLOOKUP($R170,武学奇术!$A:$ZZ,30,FALSE)="蓄力技",$B$21,0))*(1+IF(VLOOKUP($R170,武学奇术!$A:$ZZ,30,FALSE)="派生技",$B$20,0))*(1+$BW170)*(1+$BX170)</f>
        <v>0</v>
      </c>
      <c r="P170" s="46">
        <f>((($AT170*$AN170+$AO170)*(1+$AV170)*(1+$AW170)+($AY170*IF($G$1="鸣金",$AP170,$AN170)+IF($G$1="鸣金",$AQ170*1.5,0))*(1+$BA170)*(1+$BB170)+($BC170*IF($G$1="裂石",$AP170,$AN170)+IF($G$1="裂石",$AQ170*1.5,0))*(1+$BE170)*(1+$BF170)+($BG170*IF($G$1="牵丝",$AP170,$AN170)+IF($G$1="牵丝",$AQ170*1.5,0))*(1+$BI170)*(1+$BJ170)+($BK170*IF($G$1="破竹",$AP170,$AN170)+IF($G$1="破竹",$AQ170*1.5,0))*(1+$BM170)*(1+$BN170))*(1+$AR170))*$Q170*(1+IF(VLOOKUP($R170,武学奇术!$A:$ZZ,30,FALSE)="蓄力技",$B$21,0))*(1+IF(VLOOKUP($R170,武学奇术!$A:$ZZ,30,FALSE)="派生技",$B$20,0))*(1+$BW170)*(1+$BX170)</f>
        <v>0</v>
      </c>
      <c r="Q170" s="47">
        <f t="shared" si="82"/>
        <v>0</v>
      </c>
      <c r="R170" s="48" t="s">
        <v>196</v>
      </c>
      <c r="S170" s="48" t="s">
        <v>99</v>
      </c>
      <c r="T170" s="48" t="s">
        <v>178</v>
      </c>
      <c r="U170" s="48" t="s">
        <v>79</v>
      </c>
      <c r="V170" s="48" t="s">
        <v>80</v>
      </c>
      <c r="W170" s="48" t="s">
        <v>141</v>
      </c>
      <c r="X170" s="48" t="s">
        <v>80</v>
      </c>
      <c r="Y170" s="48" t="s">
        <v>74</v>
      </c>
      <c r="Z170" s="48" t="s">
        <v>80</v>
      </c>
      <c r="AA170" s="48" t="s">
        <v>80</v>
      </c>
      <c r="AB170" s="48" t="s">
        <v>80</v>
      </c>
      <c r="AC170" s="48" t="s">
        <v>80</v>
      </c>
      <c r="AD170" s="48" t="s">
        <v>80</v>
      </c>
      <c r="AE170" s="48" t="s">
        <v>82</v>
      </c>
      <c r="AF170" s="48" t="s">
        <v>83</v>
      </c>
      <c r="AG170" s="48" t="s">
        <v>84</v>
      </c>
      <c r="AH170" s="48" t="s">
        <v>80</v>
      </c>
      <c r="AI170" s="48" t="s">
        <v>80</v>
      </c>
      <c r="AJ170" s="48" t="s">
        <v>80</v>
      </c>
      <c r="AK170" s="48" t="s">
        <v>80</v>
      </c>
      <c r="AL170" s="48" t="s">
        <v>85</v>
      </c>
      <c r="AM170" t="str">
        <f>VLOOKUP($R170,武学奇术!$A:$ZZ,25,FALSE)</f>
        <v>横刀</v>
      </c>
      <c r="AN170" s="33">
        <f>VLOOKUP($R170,武学奇术!$A:$ZZ,26,FALSE)</f>
        <v>1.47</v>
      </c>
      <c r="AO170" s="34">
        <f>VLOOKUP($R170,武学奇术!$A:$ZZ,27,FALSE)*(1+IF(OR($AM170=$F$4,$AM170=$F$5),$B$22,0))</f>
        <v>0</v>
      </c>
      <c r="AP170" s="33">
        <f>VLOOKUP($R170,武学奇术!$A:$ZZ,28,FALSE)</f>
        <v>2.205</v>
      </c>
      <c r="AQ170" s="34">
        <f>VLOOKUP($R170,武学奇术!$A:$ZZ,29,FALSE)*(1+IF(OR($AM170=$F$4,$AM170=$F$5),$B$22,0))</f>
        <v>0</v>
      </c>
      <c r="AR170" s="33" cm="1">
        <f t="array" ref="AR170">$G$3+IFERROR(VLOOKUP($AM170,$F$4:$G$7,2,FALSE),0)+VLOOKUP($R170,武学奇术!$A:$ZZ,2,FALSE)+SUM(_xlfn.XLOOKUP($S170:$AL170,增益!$A:$A,增益!$B:$B,0))</f>
        <v>0.5289</v>
      </c>
      <c r="AS170" s="33" cm="1">
        <f t="array" ref="AS170">VLOOKUP($R170,武学奇术!$A:$ZZ,5,FALSE)+SUM(_xlfn.XLOOKUP($S170:$AL170,增益!$A:$A,增益!$E:$E,0))</f>
        <v>0</v>
      </c>
      <c r="AT170" cm="1">
        <f t="array" ref="AT170">$D$10*(1+$AS170)+VLOOKUP($R170,武学奇术!$A:$ZZ,3,FALSE)+SUM(_xlfn.XLOOKUP($S170:$AL170,增益!$A:$A,增益!$C:$C,0))-$I$2</f>
        <v>4094.7</v>
      </c>
      <c r="AU170" cm="1">
        <f t="array" ref="AU170">$E$10*(1+$AS170)+VLOOKUP($R170,武学奇术!$A:$ZZ,4,FALSE)+SUM(_xlfn.XLOOKUP($S170:$AL170,增益!$A:$A,增益!$D:$D,0))-$I$2</f>
        <v>4094.7</v>
      </c>
      <c r="AV170" s="40" cm="1">
        <f t="array" ref="AV170">IF($F$10-$I$3+VLOOKUP($R170,武学奇术!$A:$ZZ,6,FALSE)+SUM(_xlfn.XLOOKUP($S170:$AL170,增益!$A:$A,增益!$F:$F,0))&gt;0,($F$10-$I$3+VLOOKUP($R170,武学奇术!$A:$ZZ,6,FALSE)+SUM(_xlfn.XLOOKUP($S170:$AL170,增益!$A:$A,增益!$F:$F,0)))/200,($F$10-$I$3+VLOOKUP($R170,武学奇术!$A:$ZZ,6,FALSE)+SUM(_xlfn.XLOOKUP($S170:$AL170,增益!$A:$A,增益!$F:$F,0)))/100)</f>
        <v>0.4384</v>
      </c>
      <c r="AW170" s="40" cm="1">
        <f t="array" ref="AW170">$G$10+VLOOKUP($R170,武学奇术!$A:$ZZ,7,FALSE)+SUM(_xlfn.XLOOKUP($S170:$AL170,增益!$A:$A,增益!$G:$G,0))</f>
        <v>0.14</v>
      </c>
      <c r="AX170" s="33" cm="1">
        <f t="array" ref="AX170">VLOOKUP($R170,武学奇术!$A:$ZZ,8,FALSE)+SUM(_xlfn.XLOOKUP($S170:$AL170,增益!$A:$A,增益!$H:$H,0))</f>
        <v>0</v>
      </c>
      <c r="AY170">
        <f t="shared" si="72"/>
        <v>0</v>
      </c>
      <c r="AZ170">
        <f t="shared" si="73"/>
        <v>0</v>
      </c>
      <c r="BA170" s="40" cm="1">
        <f t="array" ref="BA170">IF($F$11-$I$4+VLOOKUP($R170,武学奇术!$A:$ZZ,9,FALSE)+SUM(_xlfn.XLOOKUP($S170:$AL170,增益!$A:$A,增益!$I:$I,0))&gt;0,($F$11-$I$4+VLOOKUP($R170,武学奇术!$A:$ZZ,9,FALSE)+SUM(_xlfn.XLOOKUP($S170:$AL170,增益!$A:$A,增益!$I:$I,0)))/200,($F$11-$I$4+VLOOKUP($R170,武学奇术!$A:$ZZ,9,FALSE)+SUM(_xlfn.XLOOKUP($S170:$AL170,增益!$A:$A,增益!$I:$I,0)))/100)</f>
        <v>-0.3</v>
      </c>
      <c r="BB170" s="40" cm="1">
        <f t="array" ref="BB170">$G$11+VLOOKUP($R170,武学奇术!$A:$ZZ,10,FALSE)+SUM(_xlfn.XLOOKUP($S170:$AL170,增益!$A:$A,增益!$J:$J,0))</f>
        <v>0.02</v>
      </c>
      <c r="BC170">
        <f t="shared" si="74"/>
        <v>640.3</v>
      </c>
      <c r="BD170">
        <f t="shared" si="75"/>
        <v>1770.1</v>
      </c>
      <c r="BE170" s="40" cm="1">
        <f t="array" ref="BE170">IF($F$12-$I$4+VLOOKUP($R170,武学奇术!$A:$ZZ,11,FALSE)+SUM(_xlfn.XLOOKUP($S170:$AL170,增益!$A:$A,增益!$K:$K,0))&gt;0,($F$12-$I$4+VLOOKUP($R170,武学奇术!$A:$ZZ,11,FALSE)+SUM(_xlfn.XLOOKUP($S170:$AL170,增益!$A:$A,增益!$K:$K,0)))/200,($F$12-$I$4+VLOOKUP($R170,武学奇术!$A:$ZZ,11,FALSE)+SUM(_xlfn.XLOOKUP($S170:$AL170,增益!$A:$A,增益!$K:$K,0)))/100)</f>
        <v>0.09</v>
      </c>
      <c r="BF170" s="40" cm="1">
        <f t="array" ref="BF170">$G$12+VLOOKUP($R170,武学奇术!$A:$ZZ,12,FALSE)+SUM(_xlfn.XLOOKUP($S170:$AL170,增益!$A:$A,增益!$L:$L,0))</f>
        <v>0.29</v>
      </c>
      <c r="BG170">
        <f t="shared" si="76"/>
        <v>0</v>
      </c>
      <c r="BH170">
        <f t="shared" si="77"/>
        <v>0</v>
      </c>
      <c r="BI170" s="40" cm="1">
        <f t="array" ref="BI170">IF($F$13-$I$4+VLOOKUP($R170,武学奇术!$A:$ZZ,13,FALSE)+SUM(_xlfn.XLOOKUP($S170:$AL170,增益!$A:$A,增益!$M:$M,0))&gt;0,($F$13-$I$4+VLOOKUP($R170,武学奇术!$A:$ZZ,13,FALSE)+SUM(_xlfn.XLOOKUP($S170:$AL170,增益!$A:$A,增益!$K:$K,0)))/200,($F$13-$I$4+VLOOKUP($R170,武学奇术!$A:$ZZ,13,FALSE)+SUM(_xlfn.XLOOKUP($S170:$AL170,增益!$A:$A,增益!$M:$M,0)))/100)</f>
        <v>-0.3</v>
      </c>
      <c r="BJ170" s="40" cm="1">
        <f t="array" ref="BJ170">$G$13+VLOOKUP($R170,武学奇术!$A:$ZZ,14,FALSE)+SUM(_xlfn.XLOOKUP($S170:$AL170,增益!$A:$A,增益!$N:$N,0))</f>
        <v>0.02</v>
      </c>
      <c r="BK170">
        <f t="shared" si="78"/>
        <v>0</v>
      </c>
      <c r="BL170">
        <f t="shared" si="79"/>
        <v>0</v>
      </c>
      <c r="BM170" s="40" cm="1">
        <f t="array" ref="BM170">IF($F$14-$I$4+VLOOKUP($R170,武学奇术!$A:$ZZ,15,FALSE)+SUM(_xlfn.XLOOKUP($S170:$AL170,增益!$A:$A,增益!$O:$O,0))&gt;0,($F$14-$I$4+VLOOKUP($R170,武学奇术!$A:$ZZ,15,FALSE)+SUM(_xlfn.XLOOKUP($S170:$AL170,增益!$A:$A,增益!$O:$O,0)))/200,($F$14-$I$4+VLOOKUP($R170,武学奇术!$A:$ZZ,15,FALSE)+SUM(_xlfn.XLOOKUP($S170:$AL170,增益!$A:$A,增益!$O:$O,0)))/100)</f>
        <v>-0.3</v>
      </c>
      <c r="BN170" s="40" cm="1">
        <f t="array" ref="BN170">$G$14+VLOOKUP($R170,武学奇术!$A:$ZZ,16,FALSE)+SUM(_xlfn.XLOOKUP($S170:$AL170,增益!$A:$A,增益!$P:$P,0))</f>
        <v>0.02</v>
      </c>
      <c r="BO170" s="33">
        <f>MIN(IF(VLOOKUP($R170,武学奇术!$A:$ZZ,23,FALSE)=1,100%,$B$8),100%)</f>
        <v>0.9771</v>
      </c>
      <c r="BP170" s="33" cm="1">
        <f t="array" ref="BP170">IF(VLOOKUP($R170,武学奇术!$A:$ZZ,23,FALSE)=1,100%,MIN(80%,$B$9+VLOOKUP($R170,武学奇术!$A:$ZZ,17,FALSE)+SUM(_xlfn.XLOOKUP($S170:$AL170,增益!$A:$A,增益!$Q:$Q,0)))+$B$11+SUM(_xlfn.XLOOKUP($S170:$AL170,增益!$A:$A,增益!$U:$U,0)))*IF(VLOOKUP($R170,武学奇术!$A:$ZZ,24,FALSE)=1,0,1)</f>
        <v>0.8861</v>
      </c>
      <c r="BQ170" s="33" cm="1">
        <f t="array" ref="BQ170">1+$B$13+VLOOKUP($R170,武学奇术!$A:$ZZ,18,FALSE)+SUM(_xlfn.XLOOKUP($S170:$AL170,增益!$A:$A,增益!$R:$R,0))</f>
        <v>1.98</v>
      </c>
      <c r="BR170" s="33" cm="1">
        <f t="array" ref="BR170">IF(VLOOKUP($R170,武学奇术!$A:$ZZ,24,FALSE)=1,100%,MIN(40%,$B$10+VLOOKUP($R170,武学奇术!$A:$ZZ,19,FALSE)+SUM(_xlfn.XLOOKUP($S170:$AL170,增益!$A:$A,增益!$S:$S,0)))+$B$12+SUM(_xlfn.XLOOKUP($S170:$AL170,增益!$A:$A,增益!$V:$V,0)))*IF(VLOOKUP($R170,武学奇术!$A:$ZZ,23,FALSE)=1,0,1)</f>
        <v>0.0913</v>
      </c>
      <c r="BS170" s="33" cm="1">
        <f t="array" ref="BS170">1+$B$14+VLOOKUP($R170,武学奇术!$A:$ZZ,20,FALSE)+SUM(_xlfn.XLOOKUP($S170:$AL170,增益!$A:$A,增益!$T:$T,0))</f>
        <v>1.35</v>
      </c>
      <c r="BT170" s="33">
        <f t="shared" si="80"/>
        <v>0.86580831</v>
      </c>
      <c r="BU170" s="33">
        <f t="shared" si="81"/>
        <v>0.02208246</v>
      </c>
      <c r="BV170" s="33">
        <f>IF(VLOOKUP($R170,武学奇术!$A:$ZZ,22,FALSE)=1,0,(1-$BO170))*(1-$BR170)</f>
        <v>0.02080923</v>
      </c>
      <c r="BW170" s="33" cm="1">
        <f t="array" ref="BW170">SUM(_xlfn.XLOOKUP($S170:$AL170,增益!$A:$A,增益!$W:$W,0))+$I$5</f>
        <v>0.11</v>
      </c>
      <c r="BX170" s="33" cm="1">
        <f t="array" ref="BX170">VLOOKUP($R170,武学奇术!$A:$ZZ,32,FALSE)+SUM(_xlfn.XLOOKUP($S170:$AL170,增益!$A:$A,增益!$X:$X,0))</f>
        <v>0.4</v>
      </c>
    </row>
    <row r="171" spans="1:76">
      <c r="A171" s="4" t="s">
        <v>190</v>
      </c>
      <c r="B171" s="4">
        <v>1.1</v>
      </c>
      <c r="C171" s="47"/>
      <c r="D171" s="47"/>
      <c r="E171" s="47"/>
      <c r="L171" s="46">
        <f t="shared" si="70"/>
        <v>0</v>
      </c>
      <c r="M171" s="46">
        <f>((($AT171+$AU171)/2*$AN171+$AO171)*(1+$AV171)*(1+$AW171)+(($AY171+$AZ171)/2*IF($G$1="鸣金",$AP171,$AN171)+IF($G$1="鸣金",$AQ171*1.5,0))*(1+$BA171)*(1+$BB171)+(($BC171+$BD171)/2*IF($G$1="裂石",$AP171,$AN171)+IF($G$1="裂石",$AQ171*1.5,0))*(1+$BE171)*(1+$BF171)+(($BG171+$BH171)/2*IF($G$1="牵丝",$AP171,$AN171)+IF($G$1="牵丝",$AQ171*1.5,0))*(1+$BI171)*(1+$BJ171)+(($BK171+$BL171)/2*IF($G$1="破竹",$AP171,$AN171)+IF($G$1="破竹",$AQ171*1.5,0))*(1+$BM171)*(1+$BN171))*(1+$AR171)*$BQ171*$Q171*(1+IF(VLOOKUP($R171,武学奇术!$A:$ZZ,30,FALSE)="蓄力技",$B$21,0))*(1+IF(VLOOKUP($R171,武学奇术!$A:$ZZ,30,FALSE)="派生技",$B$20,0))*(1+$BW171)*(1+$BX171)</f>
        <v>0</v>
      </c>
      <c r="N171" s="46">
        <f>(($AU171*$AN171+$AO171)*(1+$AV171)*(1+$AW171)+($AZ171*IF($G$1="鸣金",$AP171,$AN171)+IF($G$1="鸣金",$AQ171*1.5,0))*(1+$BA171)*(1+$BB171)+($BD171*IF($G$1="裂石",$AP171,$AN171)+IF($G$1="裂石",$AQ171*1.5,0))*(1+$BE171)*(1+$BF171)+($BH171*IF($G$1="牵丝",$AP171,$AN171)+IF($G$1="牵丝",$AQ171*1.5,0))*(1+$BI171)*(1+$BJ171)+($BL171*IF($G$1="破竹",$AP171,$AN171)+IF($G$1="破竹",$AQ171*1.5,0))*(1+$BM171)*(1+$BN171))*(1+$AR171)*$BS171*$Q171*(1+IF(VLOOKUP($R171,武学奇术!$A:$ZZ,30,FALSE)="蓄力技",$B$21,0))*(1+IF(VLOOKUP($R171,武学奇术!$A:$ZZ,30,FALSE)="派生技",$B$20,0))*(1+$BW171)*(1+$BX171)</f>
        <v>0</v>
      </c>
      <c r="O171" s="46">
        <f>((($AT171+$AU171)/2*$AN171+$AO171)*(1+$AV171)*(1+$AW171)+(($AY171+$AZ171)/2*IF($G$1="鸣金",$AP171,$AN171)+IF($G$1="鸣金",$AQ171*1.5,0))*(1+$BA171)*(1+$BB171)+(($BC171+$BD171)/2*IF($G$1="裂石",$AP171,$AN171)+IF($G$1="裂石",$AQ171*1.5,0))*(1+$BE171)*(1+$BF171)+(($BG171+$BH171)/2*IF($G$1="牵丝",$AP171,$AN171)+IF($G$1="牵丝",$AQ171*1.5,0))*(1+$BI171)*(1+$BJ171)+(($BK171+$BL171)/2*IF($G$1="破竹",$AP171,$AN171)+IF($G$1="破竹",$AQ171*1.5,0))*(1+$BM171)*(1+$BN171))*(1+$AR171)*$Q171*(1+IF(VLOOKUP($R171,武学奇术!$A:$ZZ,30,FALSE)="蓄力技",$B$21,0))*(1+IF(VLOOKUP($R171,武学奇术!$A:$ZZ,30,FALSE)="派生技",$B$20,0))*(1+$BW171)*(1+$BX171)</f>
        <v>0</v>
      </c>
      <c r="P171" s="46">
        <f>((($AT171*$AN171+$AO171)*(1+$AV171)*(1+$AW171)+($AY171*IF($G$1="鸣金",$AP171,$AN171)+IF($G$1="鸣金",$AQ171*1.5,0))*(1+$BA171)*(1+$BB171)+($BC171*IF($G$1="裂石",$AP171,$AN171)+IF($G$1="裂石",$AQ171*1.5,0))*(1+$BE171)*(1+$BF171)+($BG171*IF($G$1="牵丝",$AP171,$AN171)+IF($G$1="牵丝",$AQ171*1.5,0))*(1+$BI171)*(1+$BJ171)+($BK171*IF($G$1="破竹",$AP171,$AN171)+IF($G$1="破竹",$AQ171*1.5,0))*(1+$BM171)*(1+$BN171))*(1+$AR171))*$Q171*(1+IF(VLOOKUP($R171,武学奇术!$A:$ZZ,30,FALSE)="蓄力技",$B$21,0))*(1+IF(VLOOKUP($R171,武学奇术!$A:$ZZ,30,FALSE)="派生技",$B$20,0))*(1+$BW171)*(1+$BX171)</f>
        <v>0</v>
      </c>
      <c r="Q171" s="47">
        <f t="shared" si="82"/>
        <v>0</v>
      </c>
      <c r="R171" s="48" t="s">
        <v>197</v>
      </c>
      <c r="S171" s="48" t="s">
        <v>99</v>
      </c>
      <c r="T171" s="48" t="s">
        <v>181</v>
      </c>
      <c r="U171" s="48" t="s">
        <v>79</v>
      </c>
      <c r="V171" s="48" t="s">
        <v>80</v>
      </c>
      <c r="W171" s="48" t="s">
        <v>91</v>
      </c>
      <c r="X171" s="48" t="s">
        <v>80</v>
      </c>
      <c r="Y171" s="48" t="s">
        <v>80</v>
      </c>
      <c r="Z171" s="48" t="s">
        <v>80</v>
      </c>
      <c r="AA171" s="48" t="s">
        <v>80</v>
      </c>
      <c r="AB171" s="48" t="s">
        <v>80</v>
      </c>
      <c r="AC171" s="48" t="s">
        <v>80</v>
      </c>
      <c r="AD171" s="48" t="s">
        <v>80</v>
      </c>
      <c r="AE171" s="48" t="s">
        <v>82</v>
      </c>
      <c r="AF171" s="48" t="s">
        <v>83</v>
      </c>
      <c r="AG171" s="48" t="s">
        <v>84</v>
      </c>
      <c r="AH171" s="48" t="s">
        <v>80</v>
      </c>
      <c r="AI171" s="48" t="s">
        <v>80</v>
      </c>
      <c r="AJ171" s="48" t="s">
        <v>80</v>
      </c>
      <c r="AK171" s="48" t="s">
        <v>80</v>
      </c>
      <c r="AL171" s="48" t="s">
        <v>85</v>
      </c>
      <c r="AM171" t="str">
        <f>VLOOKUP($R171,武学奇术!$A:$ZZ,25,FALSE)</f>
        <v>横刀</v>
      </c>
      <c r="AN171" s="33">
        <f>VLOOKUP($R171,武学奇术!$A:$ZZ,26,FALSE)</f>
        <v>2.4495</v>
      </c>
      <c r="AO171" s="34">
        <f>VLOOKUP($R171,武学奇术!$A:$ZZ,27,FALSE)*(1+IF(OR($AM171=$F$4,$AM171=$F$5),$B$22,0))</f>
        <v>1083.2</v>
      </c>
      <c r="AP171" s="33">
        <f>VLOOKUP($R171,武学奇术!$A:$ZZ,28,FALSE)</f>
        <v>3.6743</v>
      </c>
      <c r="AQ171" s="34">
        <f>VLOOKUP($R171,武学奇术!$A:$ZZ,29,FALSE)*(1+IF(OR($AM171=$F$4,$AM171=$F$5),$B$22,0))</f>
        <v>588.8</v>
      </c>
      <c r="AR171" s="33" cm="1">
        <f t="array" ref="AR171">$G$3+IFERROR(VLOOKUP($AM171,$F$4:$G$7,2,FALSE),0)+VLOOKUP($R171,武学奇术!$A:$ZZ,2,FALSE)+SUM(_xlfn.XLOOKUP($S171:$AL171,增益!$A:$A,增益!$B:$B,0))</f>
        <v>0.4489</v>
      </c>
      <c r="AS171" s="33" cm="1">
        <f t="array" ref="AS171">VLOOKUP($R171,武学奇术!$A:$ZZ,5,FALSE)+SUM(_xlfn.XLOOKUP($S171:$AL171,增益!$A:$A,增益!$E:$E,0))</f>
        <v>0</v>
      </c>
      <c r="AT171" cm="1">
        <f t="array" ref="AT171">$D$10*(1+$AS171)+VLOOKUP($R171,武学奇术!$A:$ZZ,3,FALSE)+SUM(_xlfn.XLOOKUP($S171:$AL171,增益!$A:$A,增益!$C:$C,0))-$I$2</f>
        <v>4094.7</v>
      </c>
      <c r="AU171" cm="1">
        <f t="array" ref="AU171">$E$10*(1+$AS171)+VLOOKUP($R171,武学奇术!$A:$ZZ,4,FALSE)+SUM(_xlfn.XLOOKUP($S171:$AL171,增益!$A:$A,增益!$D:$D,0))-$I$2</f>
        <v>4094.7</v>
      </c>
      <c r="AV171" s="40" cm="1">
        <f t="array" ref="AV171">IF($F$10-$I$3+VLOOKUP($R171,武学奇术!$A:$ZZ,6,FALSE)+SUM(_xlfn.XLOOKUP($S171:$AL171,增益!$A:$A,增益!$F:$F,0))&gt;0,($F$10-$I$3+VLOOKUP($R171,武学奇术!$A:$ZZ,6,FALSE)+SUM(_xlfn.XLOOKUP($S171:$AL171,增益!$A:$A,增益!$F:$F,0)))/200,($F$10-$I$3+VLOOKUP($R171,武学奇术!$A:$ZZ,6,FALSE)+SUM(_xlfn.XLOOKUP($S171:$AL171,增益!$A:$A,增益!$F:$F,0)))/100)</f>
        <v>0.4134</v>
      </c>
      <c r="AW171" s="40" cm="1">
        <f t="array" ref="AW171">$G$10+VLOOKUP($R171,武学奇术!$A:$ZZ,7,FALSE)+SUM(_xlfn.XLOOKUP($S171:$AL171,增益!$A:$A,增益!$G:$G,0))</f>
        <v>0.14</v>
      </c>
      <c r="AX171" s="33" cm="1">
        <f t="array" ref="AX171">VLOOKUP($R171,武学奇术!$A:$ZZ,8,FALSE)+SUM(_xlfn.XLOOKUP($S171:$AL171,增益!$A:$A,增益!$H:$H,0))</f>
        <v>0</v>
      </c>
      <c r="AY171">
        <f t="shared" si="72"/>
        <v>0</v>
      </c>
      <c r="AZ171">
        <f t="shared" si="73"/>
        <v>0</v>
      </c>
      <c r="BA171" s="40" cm="1">
        <f t="array" ref="BA171">IF($F$11-$I$4+VLOOKUP($R171,武学奇术!$A:$ZZ,9,FALSE)+SUM(_xlfn.XLOOKUP($S171:$AL171,增益!$A:$A,增益!$I:$I,0))&gt;0,($F$11-$I$4+VLOOKUP($R171,武学奇术!$A:$ZZ,9,FALSE)+SUM(_xlfn.XLOOKUP($S171:$AL171,增益!$A:$A,增益!$I:$I,0)))/200,($F$11-$I$4+VLOOKUP($R171,武学奇术!$A:$ZZ,9,FALSE)+SUM(_xlfn.XLOOKUP($S171:$AL171,增益!$A:$A,增益!$I:$I,0)))/100)</f>
        <v>-0.3</v>
      </c>
      <c r="BB171" s="40" cm="1">
        <f t="array" ref="BB171">$G$11+VLOOKUP($R171,武学奇术!$A:$ZZ,10,FALSE)+SUM(_xlfn.XLOOKUP($S171:$AL171,增益!$A:$A,增益!$J:$J,0))</f>
        <v>0.02</v>
      </c>
      <c r="BC171">
        <f t="shared" si="74"/>
        <v>640.3</v>
      </c>
      <c r="BD171">
        <f t="shared" si="75"/>
        <v>1770.1</v>
      </c>
      <c r="BE171" s="40" cm="1">
        <f t="array" ref="BE171">IF($F$12-$I$4+VLOOKUP($R171,武学奇术!$A:$ZZ,11,FALSE)+SUM(_xlfn.XLOOKUP($S171:$AL171,增益!$A:$A,增益!$K:$K,0))&gt;0,($F$12-$I$4+VLOOKUP($R171,武学奇术!$A:$ZZ,11,FALSE)+SUM(_xlfn.XLOOKUP($S171:$AL171,增益!$A:$A,增益!$K:$K,0)))/200,($F$12-$I$4+VLOOKUP($R171,武学奇术!$A:$ZZ,11,FALSE)+SUM(_xlfn.XLOOKUP($S171:$AL171,增益!$A:$A,增益!$K:$K,0)))/100)</f>
        <v>0.09</v>
      </c>
      <c r="BF171" s="40" cm="1">
        <f t="array" ref="BF171">$G$12+VLOOKUP($R171,武学奇术!$A:$ZZ,12,FALSE)+SUM(_xlfn.XLOOKUP($S171:$AL171,增益!$A:$A,增益!$L:$L,0))</f>
        <v>0.29</v>
      </c>
      <c r="BG171">
        <f t="shared" si="76"/>
        <v>0</v>
      </c>
      <c r="BH171">
        <f t="shared" si="77"/>
        <v>0</v>
      </c>
      <c r="BI171" s="40" cm="1">
        <f t="array" ref="BI171">IF($F$13-$I$4+VLOOKUP($R171,武学奇术!$A:$ZZ,13,FALSE)+SUM(_xlfn.XLOOKUP($S171:$AL171,增益!$A:$A,增益!$M:$M,0))&gt;0,($F$13-$I$4+VLOOKUP($R171,武学奇术!$A:$ZZ,13,FALSE)+SUM(_xlfn.XLOOKUP($S171:$AL171,增益!$A:$A,增益!$K:$K,0)))/200,($F$13-$I$4+VLOOKUP($R171,武学奇术!$A:$ZZ,13,FALSE)+SUM(_xlfn.XLOOKUP($S171:$AL171,增益!$A:$A,增益!$M:$M,0)))/100)</f>
        <v>-0.3</v>
      </c>
      <c r="BJ171" s="40" cm="1">
        <f t="array" ref="BJ171">$G$13+VLOOKUP($R171,武学奇术!$A:$ZZ,14,FALSE)+SUM(_xlfn.XLOOKUP($S171:$AL171,增益!$A:$A,增益!$N:$N,0))</f>
        <v>0.02</v>
      </c>
      <c r="BK171">
        <f t="shared" si="78"/>
        <v>0</v>
      </c>
      <c r="BL171">
        <f t="shared" si="79"/>
        <v>0</v>
      </c>
      <c r="BM171" s="40" cm="1">
        <f t="array" ref="BM171">IF($F$14-$I$4+VLOOKUP($R171,武学奇术!$A:$ZZ,15,FALSE)+SUM(_xlfn.XLOOKUP($S171:$AL171,增益!$A:$A,增益!$O:$O,0))&gt;0,($F$14-$I$4+VLOOKUP($R171,武学奇术!$A:$ZZ,15,FALSE)+SUM(_xlfn.XLOOKUP($S171:$AL171,增益!$A:$A,增益!$O:$O,0)))/200,($F$14-$I$4+VLOOKUP($R171,武学奇术!$A:$ZZ,15,FALSE)+SUM(_xlfn.XLOOKUP($S171:$AL171,增益!$A:$A,增益!$O:$O,0)))/100)</f>
        <v>-0.3</v>
      </c>
      <c r="BN171" s="40" cm="1">
        <f t="array" ref="BN171">$G$14+VLOOKUP($R171,武学奇术!$A:$ZZ,16,FALSE)+SUM(_xlfn.XLOOKUP($S171:$AL171,增益!$A:$A,增益!$P:$P,0))</f>
        <v>0.02</v>
      </c>
      <c r="BO171" s="33">
        <f>MIN(IF(VLOOKUP($R171,武学奇术!$A:$ZZ,23,FALSE)=1,100%,$B$8),100%)</f>
        <v>0.9771</v>
      </c>
      <c r="BP171" s="33" cm="1">
        <f t="array" ref="BP171">IF(VLOOKUP($R171,武学奇术!$A:$ZZ,23,FALSE)=1,100%,MIN(80%,$B$9+VLOOKUP($R171,武学奇术!$A:$ZZ,17,FALSE)+SUM(_xlfn.XLOOKUP($S171:$AL171,增益!$A:$A,增益!$Q:$Q,0)))+$B$11+SUM(_xlfn.XLOOKUP($S171:$AL171,增益!$A:$A,增益!$U:$U,0)))*IF(VLOOKUP($R171,武学奇术!$A:$ZZ,24,FALSE)=1,0,1)</f>
        <v>0.8861</v>
      </c>
      <c r="BQ171" s="33" cm="1">
        <f t="array" ref="BQ171">1+$B$13+VLOOKUP($R171,武学奇术!$A:$ZZ,18,FALSE)+SUM(_xlfn.XLOOKUP($S171:$AL171,增益!$A:$A,增益!$R:$R,0))</f>
        <v>1.94</v>
      </c>
      <c r="BR171" s="33" cm="1">
        <f t="array" ref="BR171">IF(VLOOKUP($R171,武学奇术!$A:$ZZ,24,FALSE)=1,100%,MIN(40%,$B$10+VLOOKUP($R171,武学奇术!$A:$ZZ,19,FALSE)+SUM(_xlfn.XLOOKUP($S171:$AL171,增益!$A:$A,增益!$S:$S,0)))+$B$12+SUM(_xlfn.XLOOKUP($S171:$AL171,增益!$A:$A,增益!$V:$V,0)))*IF(VLOOKUP($R171,武学奇术!$A:$ZZ,23,FALSE)=1,0,1)</f>
        <v>0.0913</v>
      </c>
      <c r="BS171" s="33" cm="1">
        <f t="array" ref="BS171">1+$B$14+VLOOKUP($R171,武学奇术!$A:$ZZ,20,FALSE)+SUM(_xlfn.XLOOKUP($S171:$AL171,增益!$A:$A,增益!$T:$T,0))</f>
        <v>1.35</v>
      </c>
      <c r="BT171" s="33">
        <f t="shared" si="80"/>
        <v>0.86580831</v>
      </c>
      <c r="BU171" s="33">
        <f t="shared" si="81"/>
        <v>0.02208246</v>
      </c>
      <c r="BV171" s="33">
        <f>IF(VLOOKUP($R171,武学奇术!$A:$ZZ,22,FALSE)=1,0,(1-$BO171))*(1-$BR171)</f>
        <v>0.02080923</v>
      </c>
      <c r="BW171" s="33" cm="1">
        <f t="array" ref="BW171">SUM(_xlfn.XLOOKUP($S171:$AL171,增益!$A:$A,增益!$W:$W,0))+$I$5</f>
        <v>0.11</v>
      </c>
      <c r="BX171" s="33" cm="1">
        <f t="array" ref="BX171">VLOOKUP($R171,武学奇术!$A:$ZZ,32,FALSE)+SUM(_xlfn.XLOOKUP($S171:$AL171,增益!$A:$A,增益!$X:$X,0))</f>
        <v>0</v>
      </c>
    </row>
    <row r="172" spans="1:76">
      <c r="A172" s="4" t="s">
        <v>189</v>
      </c>
      <c r="B172" s="4">
        <v>0.8</v>
      </c>
      <c r="C172" s="47"/>
      <c r="D172" s="47"/>
      <c r="E172" s="47"/>
      <c r="L172" s="46">
        <f t="shared" si="70"/>
        <v>0</v>
      </c>
      <c r="M172" s="46">
        <f>((($AT172+$AU172)/2*$AN172+$AO172)*(1+$AV172)*(1+$AW172)+(($AY172+$AZ172)/2*IF($G$1="鸣金",$AP172,$AN172)+IF($G$1="鸣金",$AQ172*1.5,0))*(1+$BA172)*(1+$BB172)+(($BC172+$BD172)/2*IF($G$1="裂石",$AP172,$AN172)+IF($G$1="裂石",$AQ172*1.5,0))*(1+$BE172)*(1+$BF172)+(($BG172+$BH172)/2*IF($G$1="牵丝",$AP172,$AN172)+IF($G$1="牵丝",$AQ172*1.5,0))*(1+$BI172)*(1+$BJ172)+(($BK172+$BL172)/2*IF($G$1="破竹",$AP172,$AN172)+IF($G$1="破竹",$AQ172*1.5,0))*(1+$BM172)*(1+$BN172))*(1+$AR172)*$BQ172*$Q172*(1+IF(VLOOKUP($R172,武学奇术!$A:$ZZ,30,FALSE)="蓄力技",$B$21,0))*(1+IF(VLOOKUP($R172,武学奇术!$A:$ZZ,30,FALSE)="派生技",$B$20,0))*(1+$BW172)*(1+$BX172)</f>
        <v>0</v>
      </c>
      <c r="N172" s="46">
        <f>(($AU172*$AN172+$AO172)*(1+$AV172)*(1+$AW172)+($AZ172*IF($G$1="鸣金",$AP172,$AN172)+IF($G$1="鸣金",$AQ172*1.5,0))*(1+$BA172)*(1+$BB172)+($BD172*IF($G$1="裂石",$AP172,$AN172)+IF($G$1="裂石",$AQ172*1.5,0))*(1+$BE172)*(1+$BF172)+($BH172*IF($G$1="牵丝",$AP172,$AN172)+IF($G$1="牵丝",$AQ172*1.5,0))*(1+$BI172)*(1+$BJ172)+($BL172*IF($G$1="破竹",$AP172,$AN172)+IF($G$1="破竹",$AQ172*1.5,0))*(1+$BM172)*(1+$BN172))*(1+$AR172)*$BS172*$Q172*(1+IF(VLOOKUP($R172,武学奇术!$A:$ZZ,30,FALSE)="蓄力技",$B$21,0))*(1+IF(VLOOKUP($R172,武学奇术!$A:$ZZ,30,FALSE)="派生技",$B$20,0))*(1+$BW172)*(1+$BX172)</f>
        <v>0</v>
      </c>
      <c r="O172" s="46">
        <f>((($AT172+$AU172)/2*$AN172+$AO172)*(1+$AV172)*(1+$AW172)+(($AY172+$AZ172)/2*IF($G$1="鸣金",$AP172,$AN172)+IF($G$1="鸣金",$AQ172*1.5,0))*(1+$BA172)*(1+$BB172)+(($BC172+$BD172)/2*IF($G$1="裂石",$AP172,$AN172)+IF($G$1="裂石",$AQ172*1.5,0))*(1+$BE172)*(1+$BF172)+(($BG172+$BH172)/2*IF($G$1="牵丝",$AP172,$AN172)+IF($G$1="牵丝",$AQ172*1.5,0))*(1+$BI172)*(1+$BJ172)+(($BK172+$BL172)/2*IF($G$1="破竹",$AP172,$AN172)+IF($G$1="破竹",$AQ172*1.5,0))*(1+$BM172)*(1+$BN172))*(1+$AR172)*$Q172*(1+IF(VLOOKUP($R172,武学奇术!$A:$ZZ,30,FALSE)="蓄力技",$B$21,0))*(1+IF(VLOOKUP($R172,武学奇术!$A:$ZZ,30,FALSE)="派生技",$B$20,0))*(1+$BW172)*(1+$BX172)</f>
        <v>0</v>
      </c>
      <c r="P172" s="46">
        <f>((($AT172*$AN172+$AO172)*(1+$AV172)*(1+$AW172)+($AY172*IF($G$1="鸣金",$AP172,$AN172)+IF($G$1="鸣金",$AQ172*1.5,0))*(1+$BA172)*(1+$BB172)+($BC172*IF($G$1="裂石",$AP172,$AN172)+IF($G$1="裂石",$AQ172*1.5,0))*(1+$BE172)*(1+$BF172)+($BG172*IF($G$1="牵丝",$AP172,$AN172)+IF($G$1="牵丝",$AQ172*1.5,0))*(1+$BI172)*(1+$BJ172)+($BK172*IF($G$1="破竹",$AP172,$AN172)+IF($G$1="破竹",$AQ172*1.5,0))*(1+$BM172)*(1+$BN172))*(1+$AR172))*$Q172*(1+IF(VLOOKUP($R172,武学奇术!$A:$ZZ,30,FALSE)="蓄力技",$B$21,0))*(1+IF(VLOOKUP($R172,武学奇术!$A:$ZZ,30,FALSE)="派生技",$B$20,0))*(1+$BW172)*(1+$BX172)</f>
        <v>0</v>
      </c>
      <c r="Q172" s="47">
        <f t="shared" si="82"/>
        <v>0</v>
      </c>
      <c r="R172" s="48" t="s">
        <v>119</v>
      </c>
      <c r="S172" s="48" t="s">
        <v>99</v>
      </c>
      <c r="T172" s="48" t="s">
        <v>181</v>
      </c>
      <c r="U172" s="48" t="s">
        <v>79</v>
      </c>
      <c r="V172" s="48" t="s">
        <v>80</v>
      </c>
      <c r="W172" s="48" t="s">
        <v>141</v>
      </c>
      <c r="X172" s="48" t="s">
        <v>80</v>
      </c>
      <c r="Y172" s="48" t="s">
        <v>74</v>
      </c>
      <c r="Z172" s="48" t="s">
        <v>80</v>
      </c>
      <c r="AA172" s="48" t="s">
        <v>80</v>
      </c>
      <c r="AB172" s="48" t="s">
        <v>80</v>
      </c>
      <c r="AC172" s="48" t="s">
        <v>80</v>
      </c>
      <c r="AD172" s="48" t="s">
        <v>80</v>
      </c>
      <c r="AE172" s="48" t="s">
        <v>82</v>
      </c>
      <c r="AF172" s="48" t="s">
        <v>83</v>
      </c>
      <c r="AG172" s="48" t="s">
        <v>84</v>
      </c>
      <c r="AH172" s="48" t="s">
        <v>80</v>
      </c>
      <c r="AI172" s="48" t="s">
        <v>80</v>
      </c>
      <c r="AJ172" s="48" t="s">
        <v>80</v>
      </c>
      <c r="AK172" s="48" t="s">
        <v>80</v>
      </c>
      <c r="AL172" s="48" t="s">
        <v>85</v>
      </c>
      <c r="AM172" t="str">
        <f>VLOOKUP($R172,武学奇术!$A:$ZZ,25,FALSE)</f>
        <v>横刀</v>
      </c>
      <c r="AN172" s="33">
        <f>VLOOKUP($R172,武学奇术!$A:$ZZ,26,FALSE)</f>
        <v>2.1324</v>
      </c>
      <c r="AO172" s="34">
        <f>VLOOKUP($R172,武学奇术!$A:$ZZ,27,FALSE)*(1+IF(OR($AM172=$F$4,$AM172=$F$5),$B$22,0))</f>
        <v>944</v>
      </c>
      <c r="AP172" s="33">
        <f>VLOOKUP($R172,武学奇术!$A:$ZZ,28,FALSE)</f>
        <v>3.1986</v>
      </c>
      <c r="AQ172" s="34">
        <f>VLOOKUP($R172,武学奇术!$A:$ZZ,29,FALSE)*(1+IF(OR($AM172=$F$4,$AM172=$F$5),$B$22,0))</f>
        <v>515.2</v>
      </c>
      <c r="AR172" s="33" cm="1">
        <f t="array" ref="AR172">$G$3+IFERROR(VLOOKUP($AM172,$F$4:$G$7,2,FALSE),0)+VLOOKUP($R172,武学奇术!$A:$ZZ,2,FALSE)+SUM(_xlfn.XLOOKUP($S172:$AL172,增益!$A:$A,增益!$B:$B,0))</f>
        <v>0.5289</v>
      </c>
      <c r="AS172" s="33" cm="1">
        <f t="array" ref="AS172">VLOOKUP($R172,武学奇术!$A:$ZZ,5,FALSE)+SUM(_xlfn.XLOOKUP($S172:$AL172,增益!$A:$A,增益!$E:$E,0))</f>
        <v>0</v>
      </c>
      <c r="AT172" cm="1">
        <f t="array" ref="AT172">$D$10*(1+$AS172)+VLOOKUP($R172,武学奇术!$A:$ZZ,3,FALSE)+SUM(_xlfn.XLOOKUP($S172:$AL172,增益!$A:$A,增益!$C:$C,0))-$I$2</f>
        <v>4094.7</v>
      </c>
      <c r="AU172" cm="1">
        <f t="array" ref="AU172">$E$10*(1+$AS172)+VLOOKUP($R172,武学奇术!$A:$ZZ,4,FALSE)+SUM(_xlfn.XLOOKUP($S172:$AL172,增益!$A:$A,增益!$D:$D,0))-$I$2</f>
        <v>4094.7</v>
      </c>
      <c r="AV172" s="40" cm="1">
        <f t="array" ref="AV172">IF($F$10-$I$3+VLOOKUP($R172,武学奇术!$A:$ZZ,6,FALSE)+SUM(_xlfn.XLOOKUP($S172:$AL172,增益!$A:$A,增益!$F:$F,0))&gt;0,($F$10-$I$3+VLOOKUP($R172,武学奇术!$A:$ZZ,6,FALSE)+SUM(_xlfn.XLOOKUP($S172:$AL172,增益!$A:$A,增益!$F:$F,0)))/200,($F$10-$I$3+VLOOKUP($R172,武学奇术!$A:$ZZ,6,FALSE)+SUM(_xlfn.XLOOKUP($S172:$AL172,增益!$A:$A,增益!$F:$F,0)))/100)</f>
        <v>0.4384</v>
      </c>
      <c r="AW172" s="40" cm="1">
        <f t="array" ref="AW172">$G$10+VLOOKUP($R172,武学奇术!$A:$ZZ,7,FALSE)+SUM(_xlfn.XLOOKUP($S172:$AL172,增益!$A:$A,增益!$G:$G,0))</f>
        <v>0.14</v>
      </c>
      <c r="AX172" s="33" cm="1">
        <f t="array" ref="AX172">VLOOKUP($R172,武学奇术!$A:$ZZ,8,FALSE)+SUM(_xlfn.XLOOKUP($S172:$AL172,增益!$A:$A,增益!$H:$H,0))</f>
        <v>0</v>
      </c>
      <c r="AY172">
        <f t="shared" si="72"/>
        <v>0</v>
      </c>
      <c r="AZ172">
        <f t="shared" si="73"/>
        <v>0</v>
      </c>
      <c r="BA172" s="40" cm="1">
        <f t="array" ref="BA172">IF($F$11-$I$4+VLOOKUP($R172,武学奇术!$A:$ZZ,9,FALSE)+SUM(_xlfn.XLOOKUP($S172:$AL172,增益!$A:$A,增益!$I:$I,0))&gt;0,($F$11-$I$4+VLOOKUP($R172,武学奇术!$A:$ZZ,9,FALSE)+SUM(_xlfn.XLOOKUP($S172:$AL172,增益!$A:$A,增益!$I:$I,0)))/200,($F$11-$I$4+VLOOKUP($R172,武学奇术!$A:$ZZ,9,FALSE)+SUM(_xlfn.XLOOKUP($S172:$AL172,增益!$A:$A,增益!$I:$I,0)))/100)</f>
        <v>-0.3</v>
      </c>
      <c r="BB172" s="40" cm="1">
        <f t="array" ref="BB172">$G$11+VLOOKUP($R172,武学奇术!$A:$ZZ,10,FALSE)+SUM(_xlfn.XLOOKUP($S172:$AL172,增益!$A:$A,增益!$J:$J,0))</f>
        <v>0.02</v>
      </c>
      <c r="BC172">
        <f t="shared" si="74"/>
        <v>640.3</v>
      </c>
      <c r="BD172">
        <f t="shared" si="75"/>
        <v>1770.1</v>
      </c>
      <c r="BE172" s="40" cm="1">
        <f t="array" ref="BE172">IF($F$12-$I$4+VLOOKUP($R172,武学奇术!$A:$ZZ,11,FALSE)+SUM(_xlfn.XLOOKUP($S172:$AL172,增益!$A:$A,增益!$K:$K,0))&gt;0,($F$12-$I$4+VLOOKUP($R172,武学奇术!$A:$ZZ,11,FALSE)+SUM(_xlfn.XLOOKUP($S172:$AL172,增益!$A:$A,增益!$K:$K,0)))/200,($F$12-$I$4+VLOOKUP($R172,武学奇术!$A:$ZZ,11,FALSE)+SUM(_xlfn.XLOOKUP($S172:$AL172,增益!$A:$A,增益!$K:$K,0)))/100)</f>
        <v>0.09</v>
      </c>
      <c r="BF172" s="40" cm="1">
        <f t="array" ref="BF172">$G$12+VLOOKUP($R172,武学奇术!$A:$ZZ,12,FALSE)+SUM(_xlfn.XLOOKUP($S172:$AL172,增益!$A:$A,增益!$L:$L,0))</f>
        <v>0.29</v>
      </c>
      <c r="BG172">
        <f t="shared" si="76"/>
        <v>0</v>
      </c>
      <c r="BH172">
        <f t="shared" si="77"/>
        <v>0</v>
      </c>
      <c r="BI172" s="40" cm="1">
        <f t="array" ref="BI172">IF($F$13-$I$4+VLOOKUP($R172,武学奇术!$A:$ZZ,13,FALSE)+SUM(_xlfn.XLOOKUP($S172:$AL172,增益!$A:$A,增益!$M:$M,0))&gt;0,($F$13-$I$4+VLOOKUP($R172,武学奇术!$A:$ZZ,13,FALSE)+SUM(_xlfn.XLOOKUP($S172:$AL172,增益!$A:$A,增益!$K:$K,0)))/200,($F$13-$I$4+VLOOKUP($R172,武学奇术!$A:$ZZ,13,FALSE)+SUM(_xlfn.XLOOKUP($S172:$AL172,增益!$A:$A,增益!$M:$M,0)))/100)</f>
        <v>-0.3</v>
      </c>
      <c r="BJ172" s="40" cm="1">
        <f t="array" ref="BJ172">$G$13+VLOOKUP($R172,武学奇术!$A:$ZZ,14,FALSE)+SUM(_xlfn.XLOOKUP($S172:$AL172,增益!$A:$A,增益!$N:$N,0))</f>
        <v>0.02</v>
      </c>
      <c r="BK172">
        <f t="shared" si="78"/>
        <v>0</v>
      </c>
      <c r="BL172">
        <f t="shared" si="79"/>
        <v>0</v>
      </c>
      <c r="BM172" s="40" cm="1">
        <f t="array" ref="BM172">IF($F$14-$I$4+VLOOKUP($R172,武学奇术!$A:$ZZ,15,FALSE)+SUM(_xlfn.XLOOKUP($S172:$AL172,增益!$A:$A,增益!$O:$O,0))&gt;0,($F$14-$I$4+VLOOKUP($R172,武学奇术!$A:$ZZ,15,FALSE)+SUM(_xlfn.XLOOKUP($S172:$AL172,增益!$A:$A,增益!$O:$O,0)))/200,($F$14-$I$4+VLOOKUP($R172,武学奇术!$A:$ZZ,15,FALSE)+SUM(_xlfn.XLOOKUP($S172:$AL172,增益!$A:$A,增益!$O:$O,0)))/100)</f>
        <v>-0.3</v>
      </c>
      <c r="BN172" s="40" cm="1">
        <f t="array" ref="BN172">$G$14+VLOOKUP($R172,武学奇术!$A:$ZZ,16,FALSE)+SUM(_xlfn.XLOOKUP($S172:$AL172,增益!$A:$A,增益!$P:$P,0))</f>
        <v>0.02</v>
      </c>
      <c r="BO172" s="33">
        <f>MIN(IF(VLOOKUP($R172,武学奇术!$A:$ZZ,23,FALSE)=1,100%,$B$8),100%)</f>
        <v>0.9771</v>
      </c>
      <c r="BP172" s="33" cm="1">
        <f t="array" ref="BP172">IF(VLOOKUP($R172,武学奇术!$A:$ZZ,23,FALSE)=1,100%,MIN(80%,$B$9+VLOOKUP($R172,武学奇术!$A:$ZZ,17,FALSE)+SUM(_xlfn.XLOOKUP($S172:$AL172,增益!$A:$A,增益!$Q:$Q,0)))+$B$11+SUM(_xlfn.XLOOKUP($S172:$AL172,增益!$A:$A,增益!$U:$U,0)))*IF(VLOOKUP($R172,武学奇术!$A:$ZZ,24,FALSE)=1,0,1)</f>
        <v>0.8861</v>
      </c>
      <c r="BQ172" s="33" cm="1">
        <f t="array" ref="BQ172">1+$B$13+VLOOKUP($R172,武学奇术!$A:$ZZ,18,FALSE)+SUM(_xlfn.XLOOKUP($S172:$AL172,增益!$A:$A,增益!$R:$R,0))</f>
        <v>1.99</v>
      </c>
      <c r="BR172" s="33" cm="1">
        <f t="array" ref="BR172">IF(VLOOKUP($R172,武学奇术!$A:$ZZ,24,FALSE)=1,100%,MIN(40%,$B$10+VLOOKUP($R172,武学奇术!$A:$ZZ,19,FALSE)+SUM(_xlfn.XLOOKUP($S172:$AL172,增益!$A:$A,增益!$S:$S,0)))+$B$12+SUM(_xlfn.XLOOKUP($S172:$AL172,增益!$A:$A,增益!$V:$V,0)))*IF(VLOOKUP($R172,武学奇术!$A:$ZZ,23,FALSE)=1,0,1)</f>
        <v>0.0913</v>
      </c>
      <c r="BS172" s="33" cm="1">
        <f t="array" ref="BS172">1+$B$14+VLOOKUP($R172,武学奇术!$A:$ZZ,20,FALSE)+SUM(_xlfn.XLOOKUP($S172:$AL172,增益!$A:$A,增益!$T:$T,0))</f>
        <v>1.35</v>
      </c>
      <c r="BT172" s="33">
        <f t="shared" si="80"/>
        <v>0.86580831</v>
      </c>
      <c r="BU172" s="33">
        <f t="shared" si="81"/>
        <v>0.02208246</v>
      </c>
      <c r="BV172" s="33">
        <f>IF(VLOOKUP($R172,武学奇术!$A:$ZZ,22,FALSE)=1,0,(1-$BO172))*(1-$BR172)</f>
        <v>0.02080923</v>
      </c>
      <c r="BW172" s="33" cm="1">
        <f t="array" ref="BW172">SUM(_xlfn.XLOOKUP($S172:$AL172,增益!$A:$A,增益!$W:$W,0))+$I$5</f>
        <v>0.11</v>
      </c>
      <c r="BX172" s="33" cm="1">
        <f t="array" ref="BX172">VLOOKUP($R172,武学奇术!$A:$ZZ,32,FALSE)+SUM(_xlfn.XLOOKUP($S172:$AL172,增益!$A:$A,增益!$X:$X,0))</f>
        <v>0</v>
      </c>
    </row>
    <row r="173" spans="1:76">
      <c r="A173" s="4" t="s">
        <v>190</v>
      </c>
      <c r="B173" s="4">
        <v>1.1</v>
      </c>
      <c r="C173" s="47"/>
      <c r="D173" s="47"/>
      <c r="E173" s="47"/>
      <c r="L173" s="46">
        <f t="shared" si="70"/>
        <v>0</v>
      </c>
      <c r="M173" s="46">
        <f>((($AT173+$AU173)/2*$AN173+$AO173)*(1+$AV173)*(1+$AW173)+(($AY173+$AZ173)/2*IF($G$1="鸣金",$AP173,$AN173)+IF($G$1="鸣金",$AQ173*1.5,0))*(1+$BA173)*(1+$BB173)+(($BC173+$BD173)/2*IF($G$1="裂石",$AP173,$AN173)+IF($G$1="裂石",$AQ173*1.5,0))*(1+$BE173)*(1+$BF173)+(($BG173+$BH173)/2*IF($G$1="牵丝",$AP173,$AN173)+IF($G$1="牵丝",$AQ173*1.5,0))*(1+$BI173)*(1+$BJ173)+(($BK173+$BL173)/2*IF($G$1="破竹",$AP173,$AN173)+IF($G$1="破竹",$AQ173*1.5,0))*(1+$BM173)*(1+$BN173))*(1+$AR173)*$BQ173*$Q173*(1+IF(VLOOKUP($R173,武学奇术!$A:$ZZ,30,FALSE)="蓄力技",$B$21,0))*(1+IF(VLOOKUP($R173,武学奇术!$A:$ZZ,30,FALSE)="派生技",$B$20,0))*(1+$BW173)*(1+$BX173)</f>
        <v>0</v>
      </c>
      <c r="N173" s="46">
        <f>(($AU173*$AN173+$AO173)*(1+$AV173)*(1+$AW173)+($AZ173*IF($G$1="鸣金",$AP173,$AN173)+IF($G$1="鸣金",$AQ173*1.5,0))*(1+$BA173)*(1+$BB173)+($BD173*IF($G$1="裂石",$AP173,$AN173)+IF($G$1="裂石",$AQ173*1.5,0))*(1+$BE173)*(1+$BF173)+($BH173*IF($G$1="牵丝",$AP173,$AN173)+IF($G$1="牵丝",$AQ173*1.5,0))*(1+$BI173)*(1+$BJ173)+($BL173*IF($G$1="破竹",$AP173,$AN173)+IF($G$1="破竹",$AQ173*1.5,0))*(1+$BM173)*(1+$BN173))*(1+$AR173)*$BS173*$Q173*(1+IF(VLOOKUP($R173,武学奇术!$A:$ZZ,30,FALSE)="蓄力技",$B$21,0))*(1+IF(VLOOKUP($R173,武学奇术!$A:$ZZ,30,FALSE)="派生技",$B$20,0))*(1+$BW173)*(1+$BX173)</f>
        <v>0</v>
      </c>
      <c r="O173" s="46">
        <f>((($AT173+$AU173)/2*$AN173+$AO173)*(1+$AV173)*(1+$AW173)+(($AY173+$AZ173)/2*IF($G$1="鸣金",$AP173,$AN173)+IF($G$1="鸣金",$AQ173*1.5,0))*(1+$BA173)*(1+$BB173)+(($BC173+$BD173)/2*IF($G$1="裂石",$AP173,$AN173)+IF($G$1="裂石",$AQ173*1.5,0))*(1+$BE173)*(1+$BF173)+(($BG173+$BH173)/2*IF($G$1="牵丝",$AP173,$AN173)+IF($G$1="牵丝",$AQ173*1.5,0))*(1+$BI173)*(1+$BJ173)+(($BK173+$BL173)/2*IF($G$1="破竹",$AP173,$AN173)+IF($G$1="破竹",$AQ173*1.5,0))*(1+$BM173)*(1+$BN173))*(1+$AR173)*$Q173*(1+IF(VLOOKUP($R173,武学奇术!$A:$ZZ,30,FALSE)="蓄力技",$B$21,0))*(1+IF(VLOOKUP($R173,武学奇术!$A:$ZZ,30,FALSE)="派生技",$B$20,0))*(1+$BW173)*(1+$BX173)</f>
        <v>0</v>
      </c>
      <c r="P173" s="46">
        <f>((($AT173*$AN173+$AO173)*(1+$AV173)*(1+$AW173)+($AY173*IF($G$1="鸣金",$AP173,$AN173)+IF($G$1="鸣金",$AQ173*1.5,0))*(1+$BA173)*(1+$BB173)+($BC173*IF($G$1="裂石",$AP173,$AN173)+IF($G$1="裂石",$AQ173*1.5,0))*(1+$BE173)*(1+$BF173)+($BG173*IF($G$1="牵丝",$AP173,$AN173)+IF($G$1="牵丝",$AQ173*1.5,0))*(1+$BI173)*(1+$BJ173)+($BK173*IF($G$1="破竹",$AP173,$AN173)+IF($G$1="破竹",$AQ173*1.5,0))*(1+$BM173)*(1+$BN173))*(1+$AR173))*$Q173*(1+IF(VLOOKUP($R173,武学奇术!$A:$ZZ,30,FALSE)="蓄力技",$B$21,0))*(1+IF(VLOOKUP($R173,武学奇术!$A:$ZZ,30,FALSE)="派生技",$B$20,0))*(1+$BW173)*(1+$BX173)</f>
        <v>0</v>
      </c>
      <c r="Q173" s="47">
        <f t="shared" si="82"/>
        <v>0</v>
      </c>
      <c r="R173" s="48" t="s">
        <v>122</v>
      </c>
      <c r="S173" s="48" t="s">
        <v>99</v>
      </c>
      <c r="T173" s="48" t="s">
        <v>181</v>
      </c>
      <c r="U173" s="48" t="s">
        <v>79</v>
      </c>
      <c r="V173" s="48" t="s">
        <v>90</v>
      </c>
      <c r="W173" s="48" t="s">
        <v>141</v>
      </c>
      <c r="X173" s="48" t="s">
        <v>80</v>
      </c>
      <c r="Y173" s="48" t="s">
        <v>74</v>
      </c>
      <c r="Z173" s="48" t="s">
        <v>80</v>
      </c>
      <c r="AA173" s="48" t="s">
        <v>80</v>
      </c>
      <c r="AB173" s="48" t="s">
        <v>80</v>
      </c>
      <c r="AC173" s="48" t="s">
        <v>80</v>
      </c>
      <c r="AD173" s="48" t="s">
        <v>80</v>
      </c>
      <c r="AE173" s="48" t="s">
        <v>82</v>
      </c>
      <c r="AF173" s="48" t="s">
        <v>83</v>
      </c>
      <c r="AG173" s="48" t="s">
        <v>84</v>
      </c>
      <c r="AH173" s="48" t="s">
        <v>80</v>
      </c>
      <c r="AI173" s="48" t="s">
        <v>80</v>
      </c>
      <c r="AJ173" s="48" t="s">
        <v>80</v>
      </c>
      <c r="AK173" s="48" t="s">
        <v>80</v>
      </c>
      <c r="AL173" s="48" t="s">
        <v>85</v>
      </c>
      <c r="AM173" t="str">
        <f>VLOOKUP($R173,武学奇术!$A:$ZZ,25,FALSE)</f>
        <v>横刀</v>
      </c>
      <c r="AN173" s="33">
        <f>VLOOKUP($R173,武学奇术!$A:$ZZ,26,FALSE)</f>
        <v>1.47</v>
      </c>
      <c r="AO173" s="34">
        <f>VLOOKUP($R173,武学奇术!$A:$ZZ,27,FALSE)*(1+IF(OR($AM173=$F$4,$AM173=$F$5),$B$22,0))</f>
        <v>0</v>
      </c>
      <c r="AP173" s="33">
        <f>VLOOKUP($R173,武学奇术!$A:$ZZ,28,FALSE)</f>
        <v>2.205</v>
      </c>
      <c r="AQ173" s="34">
        <f>VLOOKUP($R173,武学奇术!$A:$ZZ,29,FALSE)*(1+IF(OR($AM173=$F$4,$AM173=$F$5),$B$22,0))</f>
        <v>0</v>
      </c>
      <c r="AR173" s="33" cm="1">
        <f t="array" ref="AR173">$G$3+IFERROR(VLOOKUP($AM173,$F$4:$G$7,2,FALSE),0)+VLOOKUP($R173,武学奇术!$A:$ZZ,2,FALSE)+SUM(_xlfn.XLOOKUP($S173:$AL173,增益!$A:$A,增益!$B:$B,0))</f>
        <v>0.6089</v>
      </c>
      <c r="AS173" s="33" cm="1">
        <f t="array" ref="AS173">VLOOKUP($R173,武学奇术!$A:$ZZ,5,FALSE)+SUM(_xlfn.XLOOKUP($S173:$AL173,增益!$A:$A,增益!$E:$E,0))</f>
        <v>0</v>
      </c>
      <c r="AT173" cm="1">
        <f t="array" ref="AT173">$D$10*(1+$AS173)+VLOOKUP($R173,武学奇术!$A:$ZZ,3,FALSE)+SUM(_xlfn.XLOOKUP($S173:$AL173,增益!$A:$A,增益!$C:$C,0))-$I$2</f>
        <v>4094.7</v>
      </c>
      <c r="AU173" cm="1">
        <f t="array" ref="AU173">$E$10*(1+$AS173)+VLOOKUP($R173,武学奇术!$A:$ZZ,4,FALSE)+SUM(_xlfn.XLOOKUP($S173:$AL173,增益!$A:$A,增益!$D:$D,0))-$I$2</f>
        <v>4094.7</v>
      </c>
      <c r="AV173" s="40" cm="1">
        <f t="array" ref="AV173">IF($F$10-$I$3+VLOOKUP($R173,武学奇术!$A:$ZZ,6,FALSE)+SUM(_xlfn.XLOOKUP($S173:$AL173,增益!$A:$A,增益!$F:$F,0))&gt;0,($F$10-$I$3+VLOOKUP($R173,武学奇术!$A:$ZZ,6,FALSE)+SUM(_xlfn.XLOOKUP($S173:$AL173,增益!$A:$A,增益!$F:$F,0)))/200,($F$10-$I$3+VLOOKUP($R173,武学奇术!$A:$ZZ,6,FALSE)+SUM(_xlfn.XLOOKUP($S173:$AL173,增益!$A:$A,增益!$F:$F,0)))/100)</f>
        <v>0.4384</v>
      </c>
      <c r="AW173" s="40" cm="1">
        <f t="array" ref="AW173">$G$10+VLOOKUP($R173,武学奇术!$A:$ZZ,7,FALSE)+SUM(_xlfn.XLOOKUP($S173:$AL173,增益!$A:$A,增益!$G:$G,0))</f>
        <v>0.14</v>
      </c>
      <c r="AX173" s="33" cm="1">
        <f t="array" ref="AX173">VLOOKUP($R173,武学奇术!$A:$ZZ,8,FALSE)+SUM(_xlfn.XLOOKUP($S173:$AL173,增益!$A:$A,增益!$H:$H,0))</f>
        <v>0</v>
      </c>
      <c r="AY173">
        <f t="shared" si="72"/>
        <v>0</v>
      </c>
      <c r="AZ173">
        <f t="shared" si="73"/>
        <v>0</v>
      </c>
      <c r="BA173" s="40" cm="1">
        <f t="array" ref="BA173">IF($F$11-$I$4+VLOOKUP($R173,武学奇术!$A:$ZZ,9,FALSE)+SUM(_xlfn.XLOOKUP($S173:$AL173,增益!$A:$A,增益!$I:$I,0))&gt;0,($F$11-$I$4+VLOOKUP($R173,武学奇术!$A:$ZZ,9,FALSE)+SUM(_xlfn.XLOOKUP($S173:$AL173,增益!$A:$A,增益!$I:$I,0)))/200,($F$11-$I$4+VLOOKUP($R173,武学奇术!$A:$ZZ,9,FALSE)+SUM(_xlfn.XLOOKUP($S173:$AL173,增益!$A:$A,增益!$I:$I,0)))/100)</f>
        <v>-0.14</v>
      </c>
      <c r="BB173" s="40" cm="1">
        <f t="array" ref="BB173">$G$11+VLOOKUP($R173,武学奇术!$A:$ZZ,10,FALSE)+SUM(_xlfn.XLOOKUP($S173:$AL173,增益!$A:$A,增益!$J:$J,0))</f>
        <v>0.02</v>
      </c>
      <c r="BC173">
        <f t="shared" si="74"/>
        <v>640.3</v>
      </c>
      <c r="BD173">
        <f t="shared" si="75"/>
        <v>1770.1</v>
      </c>
      <c r="BE173" s="40" cm="1">
        <f t="array" ref="BE173">IF($F$12-$I$4+VLOOKUP($R173,武学奇术!$A:$ZZ,11,FALSE)+SUM(_xlfn.XLOOKUP($S173:$AL173,增益!$A:$A,增益!$K:$K,0))&gt;0,($F$12-$I$4+VLOOKUP($R173,武学奇术!$A:$ZZ,11,FALSE)+SUM(_xlfn.XLOOKUP($S173:$AL173,增益!$A:$A,增益!$K:$K,0)))/200,($F$12-$I$4+VLOOKUP($R173,武学奇术!$A:$ZZ,11,FALSE)+SUM(_xlfn.XLOOKUP($S173:$AL173,增益!$A:$A,增益!$K:$K,0)))/100)</f>
        <v>0.17</v>
      </c>
      <c r="BF173" s="40" cm="1">
        <f t="array" ref="BF173">$G$12+VLOOKUP($R173,武学奇术!$A:$ZZ,12,FALSE)+SUM(_xlfn.XLOOKUP($S173:$AL173,增益!$A:$A,增益!$L:$L,0))</f>
        <v>0.29</v>
      </c>
      <c r="BG173">
        <f t="shared" si="76"/>
        <v>0</v>
      </c>
      <c r="BH173">
        <f t="shared" si="77"/>
        <v>0</v>
      </c>
      <c r="BI173" s="40" cm="1">
        <f t="array" ref="BI173">IF($F$13-$I$4+VLOOKUP($R173,武学奇术!$A:$ZZ,13,FALSE)+SUM(_xlfn.XLOOKUP($S173:$AL173,增益!$A:$A,增益!$M:$M,0))&gt;0,($F$13-$I$4+VLOOKUP($R173,武学奇术!$A:$ZZ,13,FALSE)+SUM(_xlfn.XLOOKUP($S173:$AL173,增益!$A:$A,增益!$K:$K,0)))/200,($F$13-$I$4+VLOOKUP($R173,武学奇术!$A:$ZZ,13,FALSE)+SUM(_xlfn.XLOOKUP($S173:$AL173,增益!$A:$A,增益!$M:$M,0)))/100)</f>
        <v>-0.14</v>
      </c>
      <c r="BJ173" s="40" cm="1">
        <f t="array" ref="BJ173">$G$13+VLOOKUP($R173,武学奇术!$A:$ZZ,14,FALSE)+SUM(_xlfn.XLOOKUP($S173:$AL173,增益!$A:$A,增益!$N:$N,0))</f>
        <v>0.02</v>
      </c>
      <c r="BK173">
        <f t="shared" si="78"/>
        <v>0</v>
      </c>
      <c r="BL173">
        <f t="shared" si="79"/>
        <v>0</v>
      </c>
      <c r="BM173" s="40" cm="1">
        <f t="array" ref="BM173">IF($F$14-$I$4+VLOOKUP($R173,武学奇术!$A:$ZZ,15,FALSE)+SUM(_xlfn.XLOOKUP($S173:$AL173,增益!$A:$A,增益!$O:$O,0))&gt;0,($F$14-$I$4+VLOOKUP($R173,武学奇术!$A:$ZZ,15,FALSE)+SUM(_xlfn.XLOOKUP($S173:$AL173,增益!$A:$A,增益!$O:$O,0)))/200,($F$14-$I$4+VLOOKUP($R173,武学奇术!$A:$ZZ,15,FALSE)+SUM(_xlfn.XLOOKUP($S173:$AL173,增益!$A:$A,增益!$O:$O,0)))/100)</f>
        <v>-0.14</v>
      </c>
      <c r="BN173" s="40" cm="1">
        <f t="array" ref="BN173">$G$14+VLOOKUP($R173,武学奇术!$A:$ZZ,16,FALSE)+SUM(_xlfn.XLOOKUP($S173:$AL173,增益!$A:$A,增益!$P:$P,0))</f>
        <v>0.02</v>
      </c>
      <c r="BO173" s="33">
        <f>MIN(IF(VLOOKUP($R173,武学奇术!$A:$ZZ,23,FALSE)=1,100%,$B$8),100%)</f>
        <v>0.9771</v>
      </c>
      <c r="BP173" s="33" cm="1">
        <f t="array" ref="BP173">IF(VLOOKUP($R173,武学奇术!$A:$ZZ,23,FALSE)=1,100%,MIN(80%,$B$9+VLOOKUP($R173,武学奇术!$A:$ZZ,17,FALSE)+SUM(_xlfn.XLOOKUP($S173:$AL173,增益!$A:$A,增益!$Q:$Q,0)))+$B$11+SUM(_xlfn.XLOOKUP($S173:$AL173,增益!$A:$A,增益!$U:$U,0)))*IF(VLOOKUP($R173,武学奇术!$A:$ZZ,24,FALSE)=1,0,1)</f>
        <v>0.8861</v>
      </c>
      <c r="BQ173" s="33" cm="1">
        <f t="array" ref="BQ173">1+$B$13+VLOOKUP($R173,武学奇术!$A:$ZZ,18,FALSE)+SUM(_xlfn.XLOOKUP($S173:$AL173,增益!$A:$A,增益!$R:$R,0))</f>
        <v>1.99</v>
      </c>
      <c r="BR173" s="33" cm="1">
        <f t="array" ref="BR173">IF(VLOOKUP($R173,武学奇术!$A:$ZZ,24,FALSE)=1,100%,MIN(40%,$B$10+VLOOKUP($R173,武学奇术!$A:$ZZ,19,FALSE)+SUM(_xlfn.XLOOKUP($S173:$AL173,增益!$A:$A,增益!$S:$S,0)))+$B$12+SUM(_xlfn.XLOOKUP($S173:$AL173,增益!$A:$A,增益!$V:$V,0)))*IF(VLOOKUP($R173,武学奇术!$A:$ZZ,23,FALSE)=1,0,1)</f>
        <v>0.0913</v>
      </c>
      <c r="BS173" s="33" cm="1">
        <f t="array" ref="BS173">1+$B$14+VLOOKUP($R173,武学奇术!$A:$ZZ,20,FALSE)+SUM(_xlfn.XLOOKUP($S173:$AL173,增益!$A:$A,增益!$T:$T,0))</f>
        <v>1.35</v>
      </c>
      <c r="BT173" s="33">
        <f t="shared" si="80"/>
        <v>0.86580831</v>
      </c>
      <c r="BU173" s="33">
        <f t="shared" si="81"/>
        <v>0.02208246</v>
      </c>
      <c r="BV173" s="33">
        <f>IF(VLOOKUP($R173,武学奇术!$A:$ZZ,22,FALSE)=1,0,(1-$BO173))*(1-$BR173)</f>
        <v>0.02080923</v>
      </c>
      <c r="BW173" s="33" cm="1">
        <f t="array" ref="BW173">SUM(_xlfn.XLOOKUP($S173:$AL173,增益!$A:$A,增益!$W:$W,0))+$I$5</f>
        <v>0.11</v>
      </c>
      <c r="BX173" s="33" cm="1">
        <f t="array" ref="BX173">VLOOKUP($R173,武学奇术!$A:$ZZ,32,FALSE)+SUM(_xlfn.XLOOKUP($S173:$AL173,增益!$A:$A,增益!$X:$X,0))</f>
        <v>0</v>
      </c>
    </row>
    <row r="174" spans="1:76">
      <c r="A174" s="4" t="s">
        <v>189</v>
      </c>
      <c r="B174" s="4">
        <v>0.8</v>
      </c>
      <c r="C174" s="47"/>
      <c r="D174" s="47"/>
      <c r="E174" s="47"/>
      <c r="L174" s="46">
        <f t="shared" si="70"/>
        <v>0</v>
      </c>
      <c r="M174" s="46">
        <f>((($AT174+$AU174)/2*$AN174+$AO174)*(1+$AV174)*(1+$AW174)+(($AY174+$AZ174)/2*IF($G$1="鸣金",$AP174,$AN174)+IF($G$1="鸣金",$AQ174*1.5,0))*(1+$BA174)*(1+$BB174)+(($BC174+$BD174)/2*IF($G$1="裂石",$AP174,$AN174)+IF($G$1="裂石",$AQ174*1.5,0))*(1+$BE174)*(1+$BF174)+(($BG174+$BH174)/2*IF($G$1="牵丝",$AP174,$AN174)+IF($G$1="牵丝",$AQ174*1.5,0))*(1+$BI174)*(1+$BJ174)+(($BK174+$BL174)/2*IF($G$1="破竹",$AP174,$AN174)+IF($G$1="破竹",$AQ174*1.5,0))*(1+$BM174)*(1+$BN174))*(1+$AR174)*$BQ174*$Q174*(1+IF(VLOOKUP($R174,武学奇术!$A:$ZZ,30,FALSE)="蓄力技",$B$21,0))*(1+IF(VLOOKUP($R174,武学奇术!$A:$ZZ,30,FALSE)="派生技",$B$20,0))*(1+$BW174)*(1+$BX174)</f>
        <v>0</v>
      </c>
      <c r="N174" s="46">
        <f>(($AU174*$AN174+$AO174)*(1+$AV174)*(1+$AW174)+($AZ174*IF($G$1="鸣金",$AP174,$AN174)+IF($G$1="鸣金",$AQ174*1.5,0))*(1+$BA174)*(1+$BB174)+($BD174*IF($G$1="裂石",$AP174,$AN174)+IF($G$1="裂石",$AQ174*1.5,0))*(1+$BE174)*(1+$BF174)+($BH174*IF($G$1="牵丝",$AP174,$AN174)+IF($G$1="牵丝",$AQ174*1.5,0))*(1+$BI174)*(1+$BJ174)+($BL174*IF($G$1="破竹",$AP174,$AN174)+IF($G$1="破竹",$AQ174*1.5,0))*(1+$BM174)*(1+$BN174))*(1+$AR174)*$BS174*$Q174*(1+IF(VLOOKUP($R174,武学奇术!$A:$ZZ,30,FALSE)="蓄力技",$B$21,0))*(1+IF(VLOOKUP($R174,武学奇术!$A:$ZZ,30,FALSE)="派生技",$B$20,0))*(1+$BW174)*(1+$BX174)</f>
        <v>0</v>
      </c>
      <c r="O174" s="46">
        <f>((($AT174+$AU174)/2*$AN174+$AO174)*(1+$AV174)*(1+$AW174)+(($AY174+$AZ174)/2*IF($G$1="鸣金",$AP174,$AN174)+IF($G$1="鸣金",$AQ174*1.5,0))*(1+$BA174)*(1+$BB174)+(($BC174+$BD174)/2*IF($G$1="裂石",$AP174,$AN174)+IF($G$1="裂石",$AQ174*1.5,0))*(1+$BE174)*(1+$BF174)+(($BG174+$BH174)/2*IF($G$1="牵丝",$AP174,$AN174)+IF($G$1="牵丝",$AQ174*1.5,0))*(1+$BI174)*(1+$BJ174)+(($BK174+$BL174)/2*IF($G$1="破竹",$AP174,$AN174)+IF($G$1="破竹",$AQ174*1.5,0))*(1+$BM174)*(1+$BN174))*(1+$AR174)*$Q174*(1+IF(VLOOKUP($R174,武学奇术!$A:$ZZ,30,FALSE)="蓄力技",$B$21,0))*(1+IF(VLOOKUP($R174,武学奇术!$A:$ZZ,30,FALSE)="派生技",$B$20,0))*(1+$BW174)*(1+$BX174)</f>
        <v>0</v>
      </c>
      <c r="P174" s="46">
        <f>((($AT174*$AN174+$AO174)*(1+$AV174)*(1+$AW174)+($AY174*IF($G$1="鸣金",$AP174,$AN174)+IF($G$1="鸣金",$AQ174*1.5,0))*(1+$BA174)*(1+$BB174)+($BC174*IF($G$1="裂石",$AP174,$AN174)+IF($G$1="裂石",$AQ174*1.5,0))*(1+$BE174)*(1+$BF174)+($BG174*IF($G$1="牵丝",$AP174,$AN174)+IF($G$1="牵丝",$AQ174*1.5,0))*(1+$BI174)*(1+$BJ174)+($BK174*IF($G$1="破竹",$AP174,$AN174)+IF($G$1="破竹",$AQ174*1.5,0))*(1+$BM174)*(1+$BN174))*(1+$AR174))*$Q174*(1+IF(VLOOKUP($R174,武学奇术!$A:$ZZ,30,FALSE)="蓄力技",$B$21,0))*(1+IF(VLOOKUP($R174,武学奇术!$A:$ZZ,30,FALSE)="派生技",$B$20,0))*(1+$BW174)*(1+$BX174)</f>
        <v>0</v>
      </c>
      <c r="Q174" s="47">
        <f t="shared" si="82"/>
        <v>0</v>
      </c>
      <c r="R174" s="48" t="s">
        <v>195</v>
      </c>
      <c r="S174" s="48" t="s">
        <v>99</v>
      </c>
      <c r="T174" s="48" t="s">
        <v>181</v>
      </c>
      <c r="U174" s="48" t="s">
        <v>79</v>
      </c>
      <c r="V174" s="48" t="s">
        <v>90</v>
      </c>
      <c r="W174" s="48" t="s">
        <v>141</v>
      </c>
      <c r="X174" s="48" t="s">
        <v>80</v>
      </c>
      <c r="Y174" s="48" t="s">
        <v>74</v>
      </c>
      <c r="Z174" s="48" t="s">
        <v>80</v>
      </c>
      <c r="AA174" s="48" t="s">
        <v>80</v>
      </c>
      <c r="AB174" s="48" t="s">
        <v>80</v>
      </c>
      <c r="AC174" s="48" t="s">
        <v>80</v>
      </c>
      <c r="AD174" s="48" t="s">
        <v>80</v>
      </c>
      <c r="AE174" s="48" t="s">
        <v>82</v>
      </c>
      <c r="AF174" s="48" t="s">
        <v>83</v>
      </c>
      <c r="AG174" s="48" t="s">
        <v>84</v>
      </c>
      <c r="AH174" s="48" t="s">
        <v>80</v>
      </c>
      <c r="AI174" s="48" t="s">
        <v>80</v>
      </c>
      <c r="AJ174" s="48" t="s">
        <v>80</v>
      </c>
      <c r="AK174" s="48" t="s">
        <v>80</v>
      </c>
      <c r="AL174" s="48" t="s">
        <v>85</v>
      </c>
      <c r="AM174" t="str">
        <f>VLOOKUP($R174,武学奇术!$A:$ZZ,25,FALSE)</f>
        <v>横刀</v>
      </c>
      <c r="AN174" s="33">
        <f>VLOOKUP($R174,武学奇术!$A:$ZZ,26,FALSE)</f>
        <v>3.6553</v>
      </c>
      <c r="AO174" s="34">
        <f>VLOOKUP($R174,武学奇术!$A:$ZZ,27,FALSE)*(1+IF(OR($AM174=$F$4,$AM174=$F$5),$B$22,0))</f>
        <v>1619.2</v>
      </c>
      <c r="AP174" s="33">
        <f>VLOOKUP($R174,武学奇术!$A:$ZZ,28,FALSE)</f>
        <v>5.4829</v>
      </c>
      <c r="AQ174" s="34">
        <f>VLOOKUP($R174,武学奇术!$A:$ZZ,29,FALSE)*(1+IF(OR($AM174=$F$4,$AM174=$F$5),$B$22,0))</f>
        <v>880</v>
      </c>
      <c r="AR174" s="33" cm="1">
        <f t="array" ref="AR174">$G$3+IFERROR(VLOOKUP($AM174,$F$4:$G$7,2,FALSE),0)+VLOOKUP($R174,武学奇术!$A:$ZZ,2,FALSE)+SUM(_xlfn.XLOOKUP($S174:$AL174,增益!$A:$A,增益!$B:$B,0))</f>
        <v>0.7089</v>
      </c>
      <c r="AS174" s="33" cm="1">
        <f t="array" ref="AS174">VLOOKUP($R174,武学奇术!$A:$ZZ,5,FALSE)+SUM(_xlfn.XLOOKUP($S174:$AL174,增益!$A:$A,增益!$E:$E,0))</f>
        <v>0</v>
      </c>
      <c r="AT174" cm="1">
        <f t="array" ref="AT174">$D$10*(1+$AS174)+VLOOKUP($R174,武学奇术!$A:$ZZ,3,FALSE)+SUM(_xlfn.XLOOKUP($S174:$AL174,增益!$A:$A,增益!$C:$C,0))-$I$2</f>
        <v>4094.7</v>
      </c>
      <c r="AU174" cm="1">
        <f t="array" ref="AU174">$E$10*(1+$AS174)+VLOOKUP($R174,武学奇术!$A:$ZZ,4,FALSE)+SUM(_xlfn.XLOOKUP($S174:$AL174,增益!$A:$A,增益!$D:$D,0))-$I$2</f>
        <v>4094.7</v>
      </c>
      <c r="AV174" s="40" cm="1">
        <f t="array" ref="AV174">IF($F$10-$I$3+VLOOKUP($R174,武学奇术!$A:$ZZ,6,FALSE)+SUM(_xlfn.XLOOKUP($S174:$AL174,增益!$A:$A,增益!$F:$F,0))&gt;0,($F$10-$I$3+VLOOKUP($R174,武学奇术!$A:$ZZ,6,FALSE)+SUM(_xlfn.XLOOKUP($S174:$AL174,增益!$A:$A,增益!$F:$F,0)))/200,($F$10-$I$3+VLOOKUP($R174,武学奇术!$A:$ZZ,6,FALSE)+SUM(_xlfn.XLOOKUP($S174:$AL174,增益!$A:$A,增益!$F:$F,0)))/100)</f>
        <v>0.4384</v>
      </c>
      <c r="AW174" s="40" cm="1">
        <f t="array" ref="AW174">$G$10+VLOOKUP($R174,武学奇术!$A:$ZZ,7,FALSE)+SUM(_xlfn.XLOOKUP($S174:$AL174,增益!$A:$A,增益!$G:$G,0))</f>
        <v>0.14</v>
      </c>
      <c r="AX174" s="33" cm="1">
        <f t="array" ref="AX174">VLOOKUP($R174,武学奇术!$A:$ZZ,8,FALSE)+SUM(_xlfn.XLOOKUP($S174:$AL174,增益!$A:$A,增益!$H:$H,0))</f>
        <v>0</v>
      </c>
      <c r="AY174">
        <f t="shared" si="72"/>
        <v>0</v>
      </c>
      <c r="AZ174">
        <f t="shared" si="73"/>
        <v>0</v>
      </c>
      <c r="BA174" s="40" cm="1">
        <f t="array" ref="BA174">IF($F$11-$I$4+VLOOKUP($R174,武学奇术!$A:$ZZ,9,FALSE)+SUM(_xlfn.XLOOKUP($S174:$AL174,增益!$A:$A,增益!$I:$I,0))&gt;0,($F$11-$I$4+VLOOKUP($R174,武学奇术!$A:$ZZ,9,FALSE)+SUM(_xlfn.XLOOKUP($S174:$AL174,增益!$A:$A,增益!$I:$I,0)))/200,($F$11-$I$4+VLOOKUP($R174,武学奇术!$A:$ZZ,9,FALSE)+SUM(_xlfn.XLOOKUP($S174:$AL174,增益!$A:$A,增益!$I:$I,0)))/100)</f>
        <v>-0.14</v>
      </c>
      <c r="BB174" s="40" cm="1">
        <f t="array" ref="BB174">$G$11+VLOOKUP($R174,武学奇术!$A:$ZZ,10,FALSE)+SUM(_xlfn.XLOOKUP($S174:$AL174,增益!$A:$A,增益!$J:$J,0))</f>
        <v>0.02</v>
      </c>
      <c r="BC174">
        <f t="shared" si="74"/>
        <v>640.3</v>
      </c>
      <c r="BD174">
        <f t="shared" si="75"/>
        <v>1770.1</v>
      </c>
      <c r="BE174" s="40" cm="1">
        <f t="array" ref="BE174">IF($F$12-$I$4+VLOOKUP($R174,武学奇术!$A:$ZZ,11,FALSE)+SUM(_xlfn.XLOOKUP($S174:$AL174,增益!$A:$A,增益!$K:$K,0))&gt;0,($F$12-$I$4+VLOOKUP($R174,武学奇术!$A:$ZZ,11,FALSE)+SUM(_xlfn.XLOOKUP($S174:$AL174,增益!$A:$A,增益!$K:$K,0)))/200,($F$12-$I$4+VLOOKUP($R174,武学奇术!$A:$ZZ,11,FALSE)+SUM(_xlfn.XLOOKUP($S174:$AL174,增益!$A:$A,增益!$K:$K,0)))/100)</f>
        <v>0.17</v>
      </c>
      <c r="BF174" s="40" cm="1">
        <f t="array" ref="BF174">$G$12+VLOOKUP($R174,武学奇术!$A:$ZZ,12,FALSE)+SUM(_xlfn.XLOOKUP($S174:$AL174,增益!$A:$A,增益!$L:$L,0))</f>
        <v>0.29</v>
      </c>
      <c r="BG174">
        <f t="shared" si="76"/>
        <v>0</v>
      </c>
      <c r="BH174">
        <f t="shared" si="77"/>
        <v>0</v>
      </c>
      <c r="BI174" s="40" cm="1">
        <f t="array" ref="BI174">IF($F$13-$I$4+VLOOKUP($R174,武学奇术!$A:$ZZ,13,FALSE)+SUM(_xlfn.XLOOKUP($S174:$AL174,增益!$A:$A,增益!$M:$M,0))&gt;0,($F$13-$I$4+VLOOKUP($R174,武学奇术!$A:$ZZ,13,FALSE)+SUM(_xlfn.XLOOKUP($S174:$AL174,增益!$A:$A,增益!$K:$K,0)))/200,($F$13-$I$4+VLOOKUP($R174,武学奇术!$A:$ZZ,13,FALSE)+SUM(_xlfn.XLOOKUP($S174:$AL174,增益!$A:$A,增益!$M:$M,0)))/100)</f>
        <v>-0.14</v>
      </c>
      <c r="BJ174" s="40" cm="1">
        <f t="array" ref="BJ174">$G$13+VLOOKUP($R174,武学奇术!$A:$ZZ,14,FALSE)+SUM(_xlfn.XLOOKUP($S174:$AL174,增益!$A:$A,增益!$N:$N,0))</f>
        <v>0.02</v>
      </c>
      <c r="BK174">
        <f t="shared" si="78"/>
        <v>0</v>
      </c>
      <c r="BL174">
        <f t="shared" si="79"/>
        <v>0</v>
      </c>
      <c r="BM174" s="40" cm="1">
        <f t="array" ref="BM174">IF($F$14-$I$4+VLOOKUP($R174,武学奇术!$A:$ZZ,15,FALSE)+SUM(_xlfn.XLOOKUP($S174:$AL174,增益!$A:$A,增益!$O:$O,0))&gt;0,($F$14-$I$4+VLOOKUP($R174,武学奇术!$A:$ZZ,15,FALSE)+SUM(_xlfn.XLOOKUP($S174:$AL174,增益!$A:$A,增益!$O:$O,0)))/200,($F$14-$I$4+VLOOKUP($R174,武学奇术!$A:$ZZ,15,FALSE)+SUM(_xlfn.XLOOKUP($S174:$AL174,增益!$A:$A,增益!$O:$O,0)))/100)</f>
        <v>-0.14</v>
      </c>
      <c r="BN174" s="40" cm="1">
        <f t="array" ref="BN174">$G$14+VLOOKUP($R174,武学奇术!$A:$ZZ,16,FALSE)+SUM(_xlfn.XLOOKUP($S174:$AL174,增益!$A:$A,增益!$P:$P,0))</f>
        <v>0.02</v>
      </c>
      <c r="BO174" s="33">
        <f>MIN(IF(VLOOKUP($R174,武学奇术!$A:$ZZ,23,FALSE)=1,100%,$B$8),100%)</f>
        <v>0.9771</v>
      </c>
      <c r="BP174" s="33" cm="1">
        <f t="array" ref="BP174">IF(VLOOKUP($R174,武学奇术!$A:$ZZ,23,FALSE)=1,100%,MIN(80%,$B$9+VLOOKUP($R174,武学奇术!$A:$ZZ,17,FALSE)+SUM(_xlfn.XLOOKUP($S174:$AL174,增益!$A:$A,增益!$Q:$Q,0)))+$B$11+SUM(_xlfn.XLOOKUP($S174:$AL174,增益!$A:$A,增益!$U:$U,0)))*IF(VLOOKUP($R174,武学奇术!$A:$ZZ,24,FALSE)=1,0,1)</f>
        <v>0.8861</v>
      </c>
      <c r="BQ174" s="33" cm="1">
        <f t="array" ref="BQ174">1+$B$13+VLOOKUP($R174,武学奇术!$A:$ZZ,18,FALSE)+SUM(_xlfn.XLOOKUP($S174:$AL174,增益!$A:$A,增益!$R:$R,0))</f>
        <v>1.99</v>
      </c>
      <c r="BR174" s="33" cm="1">
        <f t="array" ref="BR174">IF(VLOOKUP($R174,武学奇术!$A:$ZZ,24,FALSE)=1,100%,MIN(40%,$B$10+VLOOKUP($R174,武学奇术!$A:$ZZ,19,FALSE)+SUM(_xlfn.XLOOKUP($S174:$AL174,增益!$A:$A,增益!$S:$S,0)))+$B$12+SUM(_xlfn.XLOOKUP($S174:$AL174,增益!$A:$A,增益!$V:$V,0)))*IF(VLOOKUP($R174,武学奇术!$A:$ZZ,23,FALSE)=1,0,1)</f>
        <v>0.0913</v>
      </c>
      <c r="BS174" s="33" cm="1">
        <f t="array" ref="BS174">1+$B$14+VLOOKUP($R174,武学奇术!$A:$ZZ,20,FALSE)+SUM(_xlfn.XLOOKUP($S174:$AL174,增益!$A:$A,增益!$T:$T,0))</f>
        <v>1.35</v>
      </c>
      <c r="BT174" s="33">
        <f t="shared" si="80"/>
        <v>0.86580831</v>
      </c>
      <c r="BU174" s="33">
        <f t="shared" si="81"/>
        <v>0.02208246</v>
      </c>
      <c r="BV174" s="33">
        <f>IF(VLOOKUP($R174,武学奇术!$A:$ZZ,22,FALSE)=1,0,(1-$BO174))*(1-$BR174)</f>
        <v>0.02080923</v>
      </c>
      <c r="BW174" s="33" cm="1">
        <f t="array" ref="BW174">SUM(_xlfn.XLOOKUP($S174:$AL174,增益!$A:$A,增益!$W:$W,0))+$I$5</f>
        <v>0.11</v>
      </c>
      <c r="BX174" s="33" cm="1">
        <f t="array" ref="BX174">VLOOKUP($R174,武学奇术!$A:$ZZ,32,FALSE)+SUM(_xlfn.XLOOKUP($S174:$AL174,增益!$A:$A,增益!$X:$X,0))</f>
        <v>0</v>
      </c>
    </row>
    <row r="175" spans="1:76">
      <c r="A175" s="4" t="s">
        <v>190</v>
      </c>
      <c r="B175" s="4">
        <v>1.1</v>
      </c>
      <c r="C175" s="47"/>
      <c r="D175" s="47"/>
      <c r="E175" s="47"/>
      <c r="L175" s="46">
        <f t="shared" si="70"/>
        <v>0</v>
      </c>
      <c r="M175" s="46">
        <f>((($AT175+$AU175)/2*$AN175+$AO175)*(1+$AV175)*(1+$AW175)+(($AY175+$AZ175)/2*IF($G$1="鸣金",$AP175,$AN175)+IF($G$1="鸣金",$AQ175*1.5,0))*(1+$BA175)*(1+$BB175)+(($BC175+$BD175)/2*IF($G$1="裂石",$AP175,$AN175)+IF($G$1="裂石",$AQ175*1.5,0))*(1+$BE175)*(1+$BF175)+(($BG175+$BH175)/2*IF($G$1="牵丝",$AP175,$AN175)+IF($G$1="牵丝",$AQ175*1.5,0))*(1+$BI175)*(1+$BJ175)+(($BK175+$BL175)/2*IF($G$1="破竹",$AP175,$AN175)+IF($G$1="破竹",$AQ175*1.5,0))*(1+$BM175)*(1+$BN175))*(1+$AR175)*$BQ175*$Q175*(1+IF(VLOOKUP($R175,武学奇术!$A:$ZZ,30,FALSE)="蓄力技",$B$21,0))*(1+IF(VLOOKUP($R175,武学奇术!$A:$ZZ,30,FALSE)="派生技",$B$20,0))*(1+$BW175)*(1+$BX175)</f>
        <v>0</v>
      </c>
      <c r="N175" s="46">
        <f>(($AU175*$AN175+$AO175)*(1+$AV175)*(1+$AW175)+($AZ175*IF($G$1="鸣金",$AP175,$AN175)+IF($G$1="鸣金",$AQ175*1.5,0))*(1+$BA175)*(1+$BB175)+($BD175*IF($G$1="裂石",$AP175,$AN175)+IF($G$1="裂石",$AQ175*1.5,0))*(1+$BE175)*(1+$BF175)+($BH175*IF($G$1="牵丝",$AP175,$AN175)+IF($G$1="牵丝",$AQ175*1.5,0))*(1+$BI175)*(1+$BJ175)+($BL175*IF($G$1="破竹",$AP175,$AN175)+IF($G$1="破竹",$AQ175*1.5,0))*(1+$BM175)*(1+$BN175))*(1+$AR175)*$BS175*$Q175*(1+IF(VLOOKUP($R175,武学奇术!$A:$ZZ,30,FALSE)="蓄力技",$B$21,0))*(1+IF(VLOOKUP($R175,武学奇术!$A:$ZZ,30,FALSE)="派生技",$B$20,0))*(1+$BW175)*(1+$BX175)</f>
        <v>0</v>
      </c>
      <c r="O175" s="46">
        <f>((($AT175+$AU175)/2*$AN175+$AO175)*(1+$AV175)*(1+$AW175)+(($AY175+$AZ175)/2*IF($G$1="鸣金",$AP175,$AN175)+IF($G$1="鸣金",$AQ175*1.5,0))*(1+$BA175)*(1+$BB175)+(($BC175+$BD175)/2*IF($G$1="裂石",$AP175,$AN175)+IF($G$1="裂石",$AQ175*1.5,0))*(1+$BE175)*(1+$BF175)+(($BG175+$BH175)/2*IF($G$1="牵丝",$AP175,$AN175)+IF($G$1="牵丝",$AQ175*1.5,0))*(1+$BI175)*(1+$BJ175)+(($BK175+$BL175)/2*IF($G$1="破竹",$AP175,$AN175)+IF($G$1="破竹",$AQ175*1.5,0))*(1+$BM175)*(1+$BN175))*(1+$AR175)*$Q175*(1+IF(VLOOKUP($R175,武学奇术!$A:$ZZ,30,FALSE)="蓄力技",$B$21,0))*(1+IF(VLOOKUP($R175,武学奇术!$A:$ZZ,30,FALSE)="派生技",$B$20,0))*(1+$BW175)*(1+$BX175)</f>
        <v>0</v>
      </c>
      <c r="P175" s="46">
        <f>((($AT175*$AN175+$AO175)*(1+$AV175)*(1+$AW175)+($AY175*IF($G$1="鸣金",$AP175,$AN175)+IF($G$1="鸣金",$AQ175*1.5,0))*(1+$BA175)*(1+$BB175)+($BC175*IF($G$1="裂石",$AP175,$AN175)+IF($G$1="裂石",$AQ175*1.5,0))*(1+$BE175)*(1+$BF175)+($BG175*IF($G$1="牵丝",$AP175,$AN175)+IF($G$1="牵丝",$AQ175*1.5,0))*(1+$BI175)*(1+$BJ175)+($BK175*IF($G$1="破竹",$AP175,$AN175)+IF($G$1="破竹",$AQ175*1.5,0))*(1+$BM175)*(1+$BN175))*(1+$AR175))*$Q175*(1+IF(VLOOKUP($R175,武学奇术!$A:$ZZ,30,FALSE)="蓄力技",$B$21,0))*(1+IF(VLOOKUP($R175,武学奇术!$A:$ZZ,30,FALSE)="派生技",$B$20,0))*(1+$BW175)*(1+$BX175)</f>
        <v>0</v>
      </c>
      <c r="Q175" s="47">
        <f t="shared" si="82"/>
        <v>0</v>
      </c>
      <c r="R175" s="48" t="s">
        <v>196</v>
      </c>
      <c r="S175" s="48" t="s">
        <v>99</v>
      </c>
      <c r="T175" s="48" t="s">
        <v>181</v>
      </c>
      <c r="U175" s="48" t="s">
        <v>79</v>
      </c>
      <c r="V175" s="48" t="s">
        <v>90</v>
      </c>
      <c r="W175" s="48" t="s">
        <v>141</v>
      </c>
      <c r="X175" s="48" t="s">
        <v>80</v>
      </c>
      <c r="Y175" s="48" t="s">
        <v>74</v>
      </c>
      <c r="Z175" s="48" t="s">
        <v>80</v>
      </c>
      <c r="AA175" s="48" t="s">
        <v>80</v>
      </c>
      <c r="AB175" s="48" t="s">
        <v>80</v>
      </c>
      <c r="AC175" s="48" t="s">
        <v>80</v>
      </c>
      <c r="AD175" s="48" t="s">
        <v>80</v>
      </c>
      <c r="AE175" s="48" t="s">
        <v>82</v>
      </c>
      <c r="AF175" s="48" t="s">
        <v>83</v>
      </c>
      <c r="AG175" s="48" t="s">
        <v>84</v>
      </c>
      <c r="AH175" s="48" t="s">
        <v>80</v>
      </c>
      <c r="AI175" s="48" t="s">
        <v>80</v>
      </c>
      <c r="AJ175" s="48" t="s">
        <v>80</v>
      </c>
      <c r="AK175" s="48" t="s">
        <v>80</v>
      </c>
      <c r="AL175" s="48" t="s">
        <v>85</v>
      </c>
      <c r="AM175" t="str">
        <f>VLOOKUP($R175,武学奇术!$A:$ZZ,25,FALSE)</f>
        <v>横刀</v>
      </c>
      <c r="AN175" s="33">
        <f>VLOOKUP($R175,武学奇术!$A:$ZZ,26,FALSE)</f>
        <v>1.47</v>
      </c>
      <c r="AO175" s="34">
        <f>VLOOKUP($R175,武学奇术!$A:$ZZ,27,FALSE)*(1+IF(OR($AM175=$F$4,$AM175=$F$5),$B$22,0))</f>
        <v>0</v>
      </c>
      <c r="AP175" s="33">
        <f>VLOOKUP($R175,武学奇术!$A:$ZZ,28,FALSE)</f>
        <v>2.205</v>
      </c>
      <c r="AQ175" s="34">
        <f>VLOOKUP($R175,武学奇术!$A:$ZZ,29,FALSE)*(1+IF(OR($AM175=$F$4,$AM175=$F$5),$B$22,0))</f>
        <v>0</v>
      </c>
      <c r="AR175" s="33" cm="1">
        <f t="array" ref="AR175">$G$3+IFERROR(VLOOKUP($AM175,$F$4:$G$7,2,FALSE),0)+VLOOKUP($R175,武学奇术!$A:$ZZ,2,FALSE)+SUM(_xlfn.XLOOKUP($S175:$AL175,增益!$A:$A,增益!$B:$B,0))</f>
        <v>0.6089</v>
      </c>
      <c r="AS175" s="33" cm="1">
        <f t="array" ref="AS175">VLOOKUP($R175,武学奇术!$A:$ZZ,5,FALSE)+SUM(_xlfn.XLOOKUP($S175:$AL175,增益!$A:$A,增益!$E:$E,0))</f>
        <v>0</v>
      </c>
      <c r="AT175" cm="1">
        <f t="array" ref="AT175">$D$10*(1+$AS175)+VLOOKUP($R175,武学奇术!$A:$ZZ,3,FALSE)+SUM(_xlfn.XLOOKUP($S175:$AL175,增益!$A:$A,增益!$C:$C,0))-$I$2</f>
        <v>4094.7</v>
      </c>
      <c r="AU175" cm="1">
        <f t="array" ref="AU175">$E$10*(1+$AS175)+VLOOKUP($R175,武学奇术!$A:$ZZ,4,FALSE)+SUM(_xlfn.XLOOKUP($S175:$AL175,增益!$A:$A,增益!$D:$D,0))-$I$2</f>
        <v>4094.7</v>
      </c>
      <c r="AV175" s="40" cm="1">
        <f t="array" ref="AV175">IF($F$10-$I$3+VLOOKUP($R175,武学奇术!$A:$ZZ,6,FALSE)+SUM(_xlfn.XLOOKUP($S175:$AL175,增益!$A:$A,增益!$F:$F,0))&gt;0,($F$10-$I$3+VLOOKUP($R175,武学奇术!$A:$ZZ,6,FALSE)+SUM(_xlfn.XLOOKUP($S175:$AL175,增益!$A:$A,增益!$F:$F,0)))/200,($F$10-$I$3+VLOOKUP($R175,武学奇术!$A:$ZZ,6,FALSE)+SUM(_xlfn.XLOOKUP($S175:$AL175,增益!$A:$A,增益!$F:$F,0)))/100)</f>
        <v>0.4384</v>
      </c>
      <c r="AW175" s="40" cm="1">
        <f t="array" ref="AW175">$G$10+VLOOKUP($R175,武学奇术!$A:$ZZ,7,FALSE)+SUM(_xlfn.XLOOKUP($S175:$AL175,增益!$A:$A,增益!$G:$G,0))</f>
        <v>0.14</v>
      </c>
      <c r="AX175" s="33" cm="1">
        <f t="array" ref="AX175">VLOOKUP($R175,武学奇术!$A:$ZZ,8,FALSE)+SUM(_xlfn.XLOOKUP($S175:$AL175,增益!$A:$A,增益!$H:$H,0))</f>
        <v>0</v>
      </c>
      <c r="AY175">
        <f t="shared" si="72"/>
        <v>0</v>
      </c>
      <c r="AZ175">
        <f t="shared" si="73"/>
        <v>0</v>
      </c>
      <c r="BA175" s="40" cm="1">
        <f t="array" ref="BA175">IF($F$11-$I$4+VLOOKUP($R175,武学奇术!$A:$ZZ,9,FALSE)+SUM(_xlfn.XLOOKUP($S175:$AL175,增益!$A:$A,增益!$I:$I,0))&gt;0,($F$11-$I$4+VLOOKUP($R175,武学奇术!$A:$ZZ,9,FALSE)+SUM(_xlfn.XLOOKUP($S175:$AL175,增益!$A:$A,增益!$I:$I,0)))/200,($F$11-$I$4+VLOOKUP($R175,武学奇术!$A:$ZZ,9,FALSE)+SUM(_xlfn.XLOOKUP($S175:$AL175,增益!$A:$A,增益!$I:$I,0)))/100)</f>
        <v>-0.14</v>
      </c>
      <c r="BB175" s="40" cm="1">
        <f t="array" ref="BB175">$G$11+VLOOKUP($R175,武学奇术!$A:$ZZ,10,FALSE)+SUM(_xlfn.XLOOKUP($S175:$AL175,增益!$A:$A,增益!$J:$J,0))</f>
        <v>0.02</v>
      </c>
      <c r="BC175">
        <f t="shared" si="74"/>
        <v>640.3</v>
      </c>
      <c r="BD175">
        <f t="shared" si="75"/>
        <v>1770.1</v>
      </c>
      <c r="BE175" s="40" cm="1">
        <f t="array" ref="BE175">IF($F$12-$I$4+VLOOKUP($R175,武学奇术!$A:$ZZ,11,FALSE)+SUM(_xlfn.XLOOKUP($S175:$AL175,增益!$A:$A,增益!$K:$K,0))&gt;0,($F$12-$I$4+VLOOKUP($R175,武学奇术!$A:$ZZ,11,FALSE)+SUM(_xlfn.XLOOKUP($S175:$AL175,增益!$A:$A,增益!$K:$K,0)))/200,($F$12-$I$4+VLOOKUP($R175,武学奇术!$A:$ZZ,11,FALSE)+SUM(_xlfn.XLOOKUP($S175:$AL175,增益!$A:$A,增益!$K:$K,0)))/100)</f>
        <v>0.17</v>
      </c>
      <c r="BF175" s="40" cm="1">
        <f t="array" ref="BF175">$G$12+VLOOKUP($R175,武学奇术!$A:$ZZ,12,FALSE)+SUM(_xlfn.XLOOKUP($S175:$AL175,增益!$A:$A,增益!$L:$L,0))</f>
        <v>0.29</v>
      </c>
      <c r="BG175">
        <f t="shared" si="76"/>
        <v>0</v>
      </c>
      <c r="BH175">
        <f t="shared" si="77"/>
        <v>0</v>
      </c>
      <c r="BI175" s="40" cm="1">
        <f t="array" ref="BI175">IF($F$13-$I$4+VLOOKUP($R175,武学奇术!$A:$ZZ,13,FALSE)+SUM(_xlfn.XLOOKUP($S175:$AL175,增益!$A:$A,增益!$M:$M,0))&gt;0,($F$13-$I$4+VLOOKUP($R175,武学奇术!$A:$ZZ,13,FALSE)+SUM(_xlfn.XLOOKUP($S175:$AL175,增益!$A:$A,增益!$K:$K,0)))/200,($F$13-$I$4+VLOOKUP($R175,武学奇术!$A:$ZZ,13,FALSE)+SUM(_xlfn.XLOOKUP($S175:$AL175,增益!$A:$A,增益!$M:$M,0)))/100)</f>
        <v>-0.14</v>
      </c>
      <c r="BJ175" s="40" cm="1">
        <f t="array" ref="BJ175">$G$13+VLOOKUP($R175,武学奇术!$A:$ZZ,14,FALSE)+SUM(_xlfn.XLOOKUP($S175:$AL175,增益!$A:$A,增益!$N:$N,0))</f>
        <v>0.02</v>
      </c>
      <c r="BK175">
        <f t="shared" si="78"/>
        <v>0</v>
      </c>
      <c r="BL175">
        <f t="shared" si="79"/>
        <v>0</v>
      </c>
      <c r="BM175" s="40" cm="1">
        <f t="array" ref="BM175">IF($F$14-$I$4+VLOOKUP($R175,武学奇术!$A:$ZZ,15,FALSE)+SUM(_xlfn.XLOOKUP($S175:$AL175,增益!$A:$A,增益!$O:$O,0))&gt;0,($F$14-$I$4+VLOOKUP($R175,武学奇术!$A:$ZZ,15,FALSE)+SUM(_xlfn.XLOOKUP($S175:$AL175,增益!$A:$A,增益!$O:$O,0)))/200,($F$14-$I$4+VLOOKUP($R175,武学奇术!$A:$ZZ,15,FALSE)+SUM(_xlfn.XLOOKUP($S175:$AL175,增益!$A:$A,增益!$O:$O,0)))/100)</f>
        <v>-0.14</v>
      </c>
      <c r="BN175" s="40" cm="1">
        <f t="array" ref="BN175">$G$14+VLOOKUP($R175,武学奇术!$A:$ZZ,16,FALSE)+SUM(_xlfn.XLOOKUP($S175:$AL175,增益!$A:$A,增益!$P:$P,0))</f>
        <v>0.02</v>
      </c>
      <c r="BO175" s="33">
        <f>MIN(IF(VLOOKUP($R175,武学奇术!$A:$ZZ,23,FALSE)=1,100%,$B$8),100%)</f>
        <v>0.9771</v>
      </c>
      <c r="BP175" s="33" cm="1">
        <f t="array" ref="BP175">IF(VLOOKUP($R175,武学奇术!$A:$ZZ,23,FALSE)=1,100%,MIN(80%,$B$9+VLOOKUP($R175,武学奇术!$A:$ZZ,17,FALSE)+SUM(_xlfn.XLOOKUP($S175:$AL175,增益!$A:$A,增益!$Q:$Q,0)))+$B$11+SUM(_xlfn.XLOOKUP($S175:$AL175,增益!$A:$A,增益!$U:$U,0)))*IF(VLOOKUP($R175,武学奇术!$A:$ZZ,24,FALSE)=1,0,1)</f>
        <v>0.8861</v>
      </c>
      <c r="BQ175" s="33" cm="1">
        <f t="array" ref="BQ175">1+$B$13+VLOOKUP($R175,武学奇术!$A:$ZZ,18,FALSE)+SUM(_xlfn.XLOOKUP($S175:$AL175,增益!$A:$A,增益!$R:$R,0))</f>
        <v>1.99</v>
      </c>
      <c r="BR175" s="33" cm="1">
        <f t="array" ref="BR175">IF(VLOOKUP($R175,武学奇术!$A:$ZZ,24,FALSE)=1,100%,MIN(40%,$B$10+VLOOKUP($R175,武学奇术!$A:$ZZ,19,FALSE)+SUM(_xlfn.XLOOKUP($S175:$AL175,增益!$A:$A,增益!$S:$S,0)))+$B$12+SUM(_xlfn.XLOOKUP($S175:$AL175,增益!$A:$A,增益!$V:$V,0)))*IF(VLOOKUP($R175,武学奇术!$A:$ZZ,23,FALSE)=1,0,1)</f>
        <v>0.0913</v>
      </c>
      <c r="BS175" s="33" cm="1">
        <f t="array" ref="BS175">1+$B$14+VLOOKUP($R175,武学奇术!$A:$ZZ,20,FALSE)+SUM(_xlfn.XLOOKUP($S175:$AL175,增益!$A:$A,增益!$T:$T,0))</f>
        <v>1.35</v>
      </c>
      <c r="BT175" s="33">
        <f t="shared" si="80"/>
        <v>0.86580831</v>
      </c>
      <c r="BU175" s="33">
        <f t="shared" si="81"/>
        <v>0.02208246</v>
      </c>
      <c r="BV175" s="33">
        <f>IF(VLOOKUP($R175,武学奇术!$A:$ZZ,22,FALSE)=1,0,(1-$BO175))*(1-$BR175)</f>
        <v>0.02080923</v>
      </c>
      <c r="BW175" s="33" cm="1">
        <f t="array" ref="BW175">SUM(_xlfn.XLOOKUP($S175:$AL175,增益!$A:$A,增益!$W:$W,0))+$I$5</f>
        <v>0.11</v>
      </c>
      <c r="BX175" s="33" cm="1">
        <f t="array" ref="BX175">VLOOKUP($R175,武学奇术!$A:$ZZ,32,FALSE)+SUM(_xlfn.XLOOKUP($S175:$AL175,增益!$A:$A,增益!$X:$X,0))</f>
        <v>0.4</v>
      </c>
    </row>
    <row r="176" spans="1:76">
      <c r="A176" s="4" t="s">
        <v>189</v>
      </c>
      <c r="B176" s="4">
        <v>0.8</v>
      </c>
      <c r="C176" s="47"/>
      <c r="D176" s="47"/>
      <c r="E176" s="47"/>
      <c r="L176" s="46">
        <f t="shared" si="70"/>
        <v>0</v>
      </c>
      <c r="M176" s="46">
        <f>((($AT176+$AU176)/2*$AN176+$AO176)*(1+$AV176)*(1+$AW176)+(($AY176+$AZ176)/2*IF($G$1="鸣金",$AP176,$AN176)+IF($G$1="鸣金",$AQ176*1.5,0))*(1+$BA176)*(1+$BB176)+(($BC176+$BD176)/2*IF($G$1="裂石",$AP176,$AN176)+IF($G$1="裂石",$AQ176*1.5,0))*(1+$BE176)*(1+$BF176)+(($BG176+$BH176)/2*IF($G$1="牵丝",$AP176,$AN176)+IF($G$1="牵丝",$AQ176*1.5,0))*(1+$BI176)*(1+$BJ176)+(($BK176+$BL176)/2*IF($G$1="破竹",$AP176,$AN176)+IF($G$1="破竹",$AQ176*1.5,0))*(1+$BM176)*(1+$BN176))*(1+$AR176)*$BQ176*$Q176*(1+IF(VLOOKUP($R176,武学奇术!$A:$ZZ,30,FALSE)="蓄力技",$B$21,0))*(1+IF(VLOOKUP($R176,武学奇术!$A:$ZZ,30,FALSE)="派生技",$B$20,0))*(1+$BW176)*(1+$BX176)</f>
        <v>0</v>
      </c>
      <c r="N176" s="46">
        <f>(($AU176*$AN176+$AO176)*(1+$AV176)*(1+$AW176)+($AZ176*IF($G$1="鸣金",$AP176,$AN176)+IF($G$1="鸣金",$AQ176*1.5,0))*(1+$BA176)*(1+$BB176)+($BD176*IF($G$1="裂石",$AP176,$AN176)+IF($G$1="裂石",$AQ176*1.5,0))*(1+$BE176)*(1+$BF176)+($BH176*IF($G$1="牵丝",$AP176,$AN176)+IF($G$1="牵丝",$AQ176*1.5,0))*(1+$BI176)*(1+$BJ176)+($BL176*IF($G$1="破竹",$AP176,$AN176)+IF($G$1="破竹",$AQ176*1.5,0))*(1+$BM176)*(1+$BN176))*(1+$AR176)*$BS176*$Q176*(1+IF(VLOOKUP($R176,武学奇术!$A:$ZZ,30,FALSE)="蓄力技",$B$21,0))*(1+IF(VLOOKUP($R176,武学奇术!$A:$ZZ,30,FALSE)="派生技",$B$20,0))*(1+$BW176)*(1+$BX176)</f>
        <v>0</v>
      </c>
      <c r="O176" s="46">
        <f>((($AT176+$AU176)/2*$AN176+$AO176)*(1+$AV176)*(1+$AW176)+(($AY176+$AZ176)/2*IF($G$1="鸣金",$AP176,$AN176)+IF($G$1="鸣金",$AQ176*1.5,0))*(1+$BA176)*(1+$BB176)+(($BC176+$BD176)/2*IF($G$1="裂石",$AP176,$AN176)+IF($G$1="裂石",$AQ176*1.5,0))*(1+$BE176)*(1+$BF176)+(($BG176+$BH176)/2*IF($G$1="牵丝",$AP176,$AN176)+IF($G$1="牵丝",$AQ176*1.5,0))*(1+$BI176)*(1+$BJ176)+(($BK176+$BL176)/2*IF($G$1="破竹",$AP176,$AN176)+IF($G$1="破竹",$AQ176*1.5,0))*(1+$BM176)*(1+$BN176))*(1+$AR176)*$Q176*(1+IF(VLOOKUP($R176,武学奇术!$A:$ZZ,30,FALSE)="蓄力技",$B$21,0))*(1+IF(VLOOKUP($R176,武学奇术!$A:$ZZ,30,FALSE)="派生技",$B$20,0))*(1+$BW176)*(1+$BX176)</f>
        <v>0</v>
      </c>
      <c r="P176" s="46">
        <f>((($AT176*$AN176+$AO176)*(1+$AV176)*(1+$AW176)+($AY176*IF($G$1="鸣金",$AP176,$AN176)+IF($G$1="鸣金",$AQ176*1.5,0))*(1+$BA176)*(1+$BB176)+($BC176*IF($G$1="裂石",$AP176,$AN176)+IF($G$1="裂石",$AQ176*1.5,0))*(1+$BE176)*(1+$BF176)+($BG176*IF($G$1="牵丝",$AP176,$AN176)+IF($G$1="牵丝",$AQ176*1.5,0))*(1+$BI176)*(1+$BJ176)+($BK176*IF($G$1="破竹",$AP176,$AN176)+IF($G$1="破竹",$AQ176*1.5,0))*(1+$BM176)*(1+$BN176))*(1+$AR176))*$Q176*(1+IF(VLOOKUP($R176,武学奇术!$A:$ZZ,30,FALSE)="蓄力技",$B$21,0))*(1+IF(VLOOKUP($R176,武学奇术!$A:$ZZ,30,FALSE)="派生技",$B$20,0))*(1+$BW176)*(1+$BX176)</f>
        <v>0</v>
      </c>
      <c r="Q176" s="47">
        <f t="shared" si="82"/>
        <v>0</v>
      </c>
      <c r="R176" s="48" t="s">
        <v>197</v>
      </c>
      <c r="S176" s="48" t="s">
        <v>99</v>
      </c>
      <c r="T176" s="48" t="s">
        <v>182</v>
      </c>
      <c r="U176" s="48" t="s">
        <v>79</v>
      </c>
      <c r="V176" s="48" t="s">
        <v>90</v>
      </c>
      <c r="W176" s="48" t="s">
        <v>91</v>
      </c>
      <c r="X176" s="48" t="s">
        <v>80</v>
      </c>
      <c r="Y176" s="48" t="s">
        <v>80</v>
      </c>
      <c r="Z176" s="48" t="s">
        <v>80</v>
      </c>
      <c r="AA176" s="48" t="s">
        <v>80</v>
      </c>
      <c r="AB176" s="48" t="s">
        <v>80</v>
      </c>
      <c r="AC176" s="48" t="s">
        <v>80</v>
      </c>
      <c r="AD176" s="48" t="s">
        <v>80</v>
      </c>
      <c r="AE176" s="48" t="s">
        <v>82</v>
      </c>
      <c r="AF176" s="48" t="s">
        <v>83</v>
      </c>
      <c r="AG176" s="48" t="s">
        <v>84</v>
      </c>
      <c r="AH176" s="48" t="s">
        <v>80</v>
      </c>
      <c r="AI176" s="48" t="s">
        <v>80</v>
      </c>
      <c r="AJ176" s="48" t="s">
        <v>80</v>
      </c>
      <c r="AK176" s="48" t="s">
        <v>80</v>
      </c>
      <c r="AL176" s="48" t="s">
        <v>85</v>
      </c>
      <c r="AM176" t="str">
        <f>VLOOKUP($R176,武学奇术!$A:$ZZ,25,FALSE)</f>
        <v>横刀</v>
      </c>
      <c r="AN176" s="33">
        <f>VLOOKUP($R176,武学奇术!$A:$ZZ,26,FALSE)</f>
        <v>2.4495</v>
      </c>
      <c r="AO176" s="34">
        <f>VLOOKUP($R176,武学奇术!$A:$ZZ,27,FALSE)*(1+IF(OR($AM176=$F$4,$AM176=$F$5),$B$22,0))</f>
        <v>1083.2</v>
      </c>
      <c r="AP176" s="33">
        <f>VLOOKUP($R176,武学奇术!$A:$ZZ,28,FALSE)</f>
        <v>3.6743</v>
      </c>
      <c r="AQ176" s="34">
        <f>VLOOKUP($R176,武学奇术!$A:$ZZ,29,FALSE)*(1+IF(OR($AM176=$F$4,$AM176=$F$5),$B$22,0))</f>
        <v>588.8</v>
      </c>
      <c r="AR176" s="33" cm="1">
        <f t="array" ref="AR176">$G$3+IFERROR(VLOOKUP($AM176,$F$4:$G$7,2,FALSE),0)+VLOOKUP($R176,武学奇术!$A:$ZZ,2,FALSE)+SUM(_xlfn.XLOOKUP($S176:$AL176,增益!$A:$A,增益!$B:$B,0))</f>
        <v>0.5289</v>
      </c>
      <c r="AS176" s="33" cm="1">
        <f t="array" ref="AS176">VLOOKUP($R176,武学奇术!$A:$ZZ,5,FALSE)+SUM(_xlfn.XLOOKUP($S176:$AL176,增益!$A:$A,增益!$E:$E,0))</f>
        <v>0</v>
      </c>
      <c r="AT176" cm="1">
        <f t="array" ref="AT176">$D$10*(1+$AS176)+VLOOKUP($R176,武学奇术!$A:$ZZ,3,FALSE)+SUM(_xlfn.XLOOKUP($S176:$AL176,增益!$A:$A,增益!$C:$C,0))-$I$2</f>
        <v>4094.7</v>
      </c>
      <c r="AU176" cm="1">
        <f t="array" ref="AU176">$E$10*(1+$AS176)+VLOOKUP($R176,武学奇术!$A:$ZZ,4,FALSE)+SUM(_xlfn.XLOOKUP($S176:$AL176,增益!$A:$A,增益!$D:$D,0))-$I$2</f>
        <v>4094.7</v>
      </c>
      <c r="AV176" s="40" cm="1">
        <f t="array" ref="AV176">IF($F$10-$I$3+VLOOKUP($R176,武学奇术!$A:$ZZ,6,FALSE)+SUM(_xlfn.XLOOKUP($S176:$AL176,增益!$A:$A,增益!$F:$F,0))&gt;0,($F$10-$I$3+VLOOKUP($R176,武学奇术!$A:$ZZ,6,FALSE)+SUM(_xlfn.XLOOKUP($S176:$AL176,增益!$A:$A,增益!$F:$F,0)))/200,($F$10-$I$3+VLOOKUP($R176,武学奇术!$A:$ZZ,6,FALSE)+SUM(_xlfn.XLOOKUP($S176:$AL176,增益!$A:$A,增益!$F:$F,0)))/100)</f>
        <v>0.4134</v>
      </c>
      <c r="AW176" s="40" cm="1">
        <f t="array" ref="AW176">$G$10+VLOOKUP($R176,武学奇术!$A:$ZZ,7,FALSE)+SUM(_xlfn.XLOOKUP($S176:$AL176,增益!$A:$A,增益!$G:$G,0))</f>
        <v>0.14</v>
      </c>
      <c r="AX176" s="33" cm="1">
        <f t="array" ref="AX176">VLOOKUP($R176,武学奇术!$A:$ZZ,8,FALSE)+SUM(_xlfn.XLOOKUP($S176:$AL176,增益!$A:$A,增益!$H:$H,0))</f>
        <v>0</v>
      </c>
      <c r="AY176">
        <f t="shared" si="72"/>
        <v>0</v>
      </c>
      <c r="AZ176">
        <f t="shared" si="73"/>
        <v>0</v>
      </c>
      <c r="BA176" s="40" cm="1">
        <f t="array" ref="BA176">IF($F$11-$I$4+VLOOKUP($R176,武学奇术!$A:$ZZ,9,FALSE)+SUM(_xlfn.XLOOKUP($S176:$AL176,增益!$A:$A,增益!$I:$I,0))&gt;0,($F$11-$I$4+VLOOKUP($R176,武学奇术!$A:$ZZ,9,FALSE)+SUM(_xlfn.XLOOKUP($S176:$AL176,增益!$A:$A,增益!$I:$I,0)))/200,($F$11-$I$4+VLOOKUP($R176,武学奇术!$A:$ZZ,9,FALSE)+SUM(_xlfn.XLOOKUP($S176:$AL176,增益!$A:$A,增益!$I:$I,0)))/100)</f>
        <v>-0.14</v>
      </c>
      <c r="BB176" s="40" cm="1">
        <f t="array" ref="BB176">$G$11+VLOOKUP($R176,武学奇术!$A:$ZZ,10,FALSE)+SUM(_xlfn.XLOOKUP($S176:$AL176,增益!$A:$A,增益!$J:$J,0))</f>
        <v>0.02</v>
      </c>
      <c r="BC176">
        <f t="shared" si="74"/>
        <v>640.3</v>
      </c>
      <c r="BD176">
        <f t="shared" si="75"/>
        <v>1770.1</v>
      </c>
      <c r="BE176" s="40" cm="1">
        <f t="array" ref="BE176">IF($F$12-$I$4+VLOOKUP($R176,武学奇术!$A:$ZZ,11,FALSE)+SUM(_xlfn.XLOOKUP($S176:$AL176,增益!$A:$A,增益!$K:$K,0))&gt;0,($F$12-$I$4+VLOOKUP($R176,武学奇术!$A:$ZZ,11,FALSE)+SUM(_xlfn.XLOOKUP($S176:$AL176,增益!$A:$A,增益!$K:$K,0)))/200,($F$12-$I$4+VLOOKUP($R176,武学奇术!$A:$ZZ,11,FALSE)+SUM(_xlfn.XLOOKUP($S176:$AL176,增益!$A:$A,增益!$K:$K,0)))/100)</f>
        <v>0.17</v>
      </c>
      <c r="BF176" s="40" cm="1">
        <f t="array" ref="BF176">$G$12+VLOOKUP($R176,武学奇术!$A:$ZZ,12,FALSE)+SUM(_xlfn.XLOOKUP($S176:$AL176,增益!$A:$A,增益!$L:$L,0))</f>
        <v>0.29</v>
      </c>
      <c r="BG176">
        <f t="shared" si="76"/>
        <v>0</v>
      </c>
      <c r="BH176">
        <f t="shared" si="77"/>
        <v>0</v>
      </c>
      <c r="BI176" s="40" cm="1">
        <f t="array" ref="BI176">IF($F$13-$I$4+VLOOKUP($R176,武学奇术!$A:$ZZ,13,FALSE)+SUM(_xlfn.XLOOKUP($S176:$AL176,增益!$A:$A,增益!$M:$M,0))&gt;0,($F$13-$I$4+VLOOKUP($R176,武学奇术!$A:$ZZ,13,FALSE)+SUM(_xlfn.XLOOKUP($S176:$AL176,增益!$A:$A,增益!$K:$K,0)))/200,($F$13-$I$4+VLOOKUP($R176,武学奇术!$A:$ZZ,13,FALSE)+SUM(_xlfn.XLOOKUP($S176:$AL176,增益!$A:$A,增益!$M:$M,0)))/100)</f>
        <v>-0.14</v>
      </c>
      <c r="BJ176" s="40" cm="1">
        <f t="array" ref="BJ176">$G$13+VLOOKUP($R176,武学奇术!$A:$ZZ,14,FALSE)+SUM(_xlfn.XLOOKUP($S176:$AL176,增益!$A:$A,增益!$N:$N,0))</f>
        <v>0.02</v>
      </c>
      <c r="BK176">
        <f t="shared" si="78"/>
        <v>0</v>
      </c>
      <c r="BL176">
        <f t="shared" si="79"/>
        <v>0</v>
      </c>
      <c r="BM176" s="40" cm="1">
        <f t="array" ref="BM176">IF($F$14-$I$4+VLOOKUP($R176,武学奇术!$A:$ZZ,15,FALSE)+SUM(_xlfn.XLOOKUP($S176:$AL176,增益!$A:$A,增益!$O:$O,0))&gt;0,($F$14-$I$4+VLOOKUP($R176,武学奇术!$A:$ZZ,15,FALSE)+SUM(_xlfn.XLOOKUP($S176:$AL176,增益!$A:$A,增益!$O:$O,0)))/200,($F$14-$I$4+VLOOKUP($R176,武学奇术!$A:$ZZ,15,FALSE)+SUM(_xlfn.XLOOKUP($S176:$AL176,增益!$A:$A,增益!$O:$O,0)))/100)</f>
        <v>-0.14</v>
      </c>
      <c r="BN176" s="40" cm="1">
        <f t="array" ref="BN176">$G$14+VLOOKUP($R176,武学奇术!$A:$ZZ,16,FALSE)+SUM(_xlfn.XLOOKUP($S176:$AL176,增益!$A:$A,增益!$P:$P,0))</f>
        <v>0.02</v>
      </c>
      <c r="BO176" s="33">
        <f>MIN(IF(VLOOKUP($R176,武学奇术!$A:$ZZ,23,FALSE)=1,100%,$B$8),100%)</f>
        <v>0.9771</v>
      </c>
      <c r="BP176" s="33" cm="1">
        <f t="array" ref="BP176">IF(VLOOKUP($R176,武学奇术!$A:$ZZ,23,FALSE)=1,100%,MIN(80%,$B$9+VLOOKUP($R176,武学奇术!$A:$ZZ,17,FALSE)+SUM(_xlfn.XLOOKUP($S176:$AL176,增益!$A:$A,增益!$Q:$Q,0)))+$B$11+SUM(_xlfn.XLOOKUP($S176:$AL176,增益!$A:$A,增益!$U:$U,0)))*IF(VLOOKUP($R176,武学奇术!$A:$ZZ,24,FALSE)=1,0,1)</f>
        <v>0.8861</v>
      </c>
      <c r="BQ176" s="33" cm="1">
        <f t="array" ref="BQ176">1+$B$13+VLOOKUP($R176,武学奇术!$A:$ZZ,18,FALSE)+SUM(_xlfn.XLOOKUP($S176:$AL176,增益!$A:$A,增益!$R:$R,0))</f>
        <v>1.95</v>
      </c>
      <c r="BR176" s="33" cm="1">
        <f t="array" ref="BR176">IF(VLOOKUP($R176,武学奇术!$A:$ZZ,24,FALSE)=1,100%,MIN(40%,$B$10+VLOOKUP($R176,武学奇术!$A:$ZZ,19,FALSE)+SUM(_xlfn.XLOOKUP($S176:$AL176,增益!$A:$A,增益!$S:$S,0)))+$B$12+SUM(_xlfn.XLOOKUP($S176:$AL176,增益!$A:$A,增益!$V:$V,0)))*IF(VLOOKUP($R176,武学奇术!$A:$ZZ,23,FALSE)=1,0,1)</f>
        <v>0.0913</v>
      </c>
      <c r="BS176" s="33" cm="1">
        <f t="array" ref="BS176">1+$B$14+VLOOKUP($R176,武学奇术!$A:$ZZ,20,FALSE)+SUM(_xlfn.XLOOKUP($S176:$AL176,增益!$A:$A,增益!$T:$T,0))</f>
        <v>1.35</v>
      </c>
      <c r="BT176" s="33">
        <f t="shared" si="80"/>
        <v>0.86580831</v>
      </c>
      <c r="BU176" s="33">
        <f t="shared" si="81"/>
        <v>0.02208246</v>
      </c>
      <c r="BV176" s="33">
        <f>IF(VLOOKUP($R176,武学奇术!$A:$ZZ,22,FALSE)=1,0,(1-$BO176))*(1-$BR176)</f>
        <v>0.02080923</v>
      </c>
      <c r="BW176" s="33" cm="1">
        <f t="array" ref="BW176">SUM(_xlfn.XLOOKUP($S176:$AL176,增益!$A:$A,增益!$W:$W,0))+$I$5</f>
        <v>0.11</v>
      </c>
      <c r="BX176" s="33" cm="1">
        <f t="array" ref="BX176">VLOOKUP($R176,武学奇术!$A:$ZZ,32,FALSE)+SUM(_xlfn.XLOOKUP($S176:$AL176,增益!$A:$A,增益!$X:$X,0))</f>
        <v>0</v>
      </c>
    </row>
    <row r="177" spans="1:76">
      <c r="A177" s="4" t="s">
        <v>190</v>
      </c>
      <c r="B177" s="4">
        <v>1.1</v>
      </c>
      <c r="C177" s="47" t="s">
        <v>194</v>
      </c>
      <c r="D177" s="47"/>
      <c r="E177" s="47"/>
      <c r="L177" s="46">
        <f t="shared" si="70"/>
        <v>0</v>
      </c>
      <c r="M177" s="46">
        <f>((($AT177+$AU177)/2*$AN177+$AO177)*(1+$AV177)*(1+$AW177)+(($AY177+$AZ177)/2*IF($G$1="鸣金",$AP177,$AN177)+IF($G$1="鸣金",$AQ177*1.5,0))*(1+$BA177)*(1+$BB177)+(($BC177+$BD177)/2*IF($G$1="裂石",$AP177,$AN177)+IF($G$1="裂石",$AQ177*1.5,0))*(1+$BE177)*(1+$BF177)+(($BG177+$BH177)/2*IF($G$1="牵丝",$AP177,$AN177)+IF($G$1="牵丝",$AQ177*1.5,0))*(1+$BI177)*(1+$BJ177)+(($BK177+$BL177)/2*IF($G$1="破竹",$AP177,$AN177)+IF($G$1="破竹",$AQ177*1.5,0))*(1+$BM177)*(1+$BN177))*(1+$AR177)*$BQ177*$Q177*(1+IF(VLOOKUP($R177,武学奇术!$A:$ZZ,30,FALSE)="蓄力技",$B$21,0))*(1+IF(VLOOKUP($R177,武学奇术!$A:$ZZ,30,FALSE)="派生技",$B$20,0))*(1+$BW177)*(1+$BX177)</f>
        <v>0</v>
      </c>
      <c r="N177" s="46">
        <f>(($AU177*$AN177+$AO177)*(1+$AV177)*(1+$AW177)+($AZ177*IF($G$1="鸣金",$AP177,$AN177)+IF($G$1="鸣金",$AQ177*1.5,0))*(1+$BA177)*(1+$BB177)+($BD177*IF($G$1="裂石",$AP177,$AN177)+IF($G$1="裂石",$AQ177*1.5,0))*(1+$BE177)*(1+$BF177)+($BH177*IF($G$1="牵丝",$AP177,$AN177)+IF($G$1="牵丝",$AQ177*1.5,0))*(1+$BI177)*(1+$BJ177)+($BL177*IF($G$1="破竹",$AP177,$AN177)+IF($G$1="破竹",$AQ177*1.5,0))*(1+$BM177)*(1+$BN177))*(1+$AR177)*$BS177*$Q177*(1+IF(VLOOKUP($R177,武学奇术!$A:$ZZ,30,FALSE)="蓄力技",$B$21,0))*(1+IF(VLOOKUP($R177,武学奇术!$A:$ZZ,30,FALSE)="派生技",$B$20,0))*(1+$BW177)*(1+$BX177)</f>
        <v>0</v>
      </c>
      <c r="O177" s="46">
        <f>((($AT177+$AU177)/2*$AN177+$AO177)*(1+$AV177)*(1+$AW177)+(($AY177+$AZ177)/2*IF($G$1="鸣金",$AP177,$AN177)+IF($G$1="鸣金",$AQ177*1.5,0))*(1+$BA177)*(1+$BB177)+(($BC177+$BD177)/2*IF($G$1="裂石",$AP177,$AN177)+IF($G$1="裂石",$AQ177*1.5,0))*(1+$BE177)*(1+$BF177)+(($BG177+$BH177)/2*IF($G$1="牵丝",$AP177,$AN177)+IF($G$1="牵丝",$AQ177*1.5,0))*(1+$BI177)*(1+$BJ177)+(($BK177+$BL177)/2*IF($G$1="破竹",$AP177,$AN177)+IF($G$1="破竹",$AQ177*1.5,0))*(1+$BM177)*(1+$BN177))*(1+$AR177)*$Q177*(1+IF(VLOOKUP($R177,武学奇术!$A:$ZZ,30,FALSE)="蓄力技",$B$21,0))*(1+IF(VLOOKUP($R177,武学奇术!$A:$ZZ,30,FALSE)="派生技",$B$20,0))*(1+$BW177)*(1+$BX177)</f>
        <v>0</v>
      </c>
      <c r="P177" s="46">
        <f>((($AT177*$AN177+$AO177)*(1+$AV177)*(1+$AW177)+($AY177*IF($G$1="鸣金",$AP177,$AN177)+IF($G$1="鸣金",$AQ177*1.5,0))*(1+$BA177)*(1+$BB177)+($BC177*IF($G$1="裂石",$AP177,$AN177)+IF($G$1="裂石",$AQ177*1.5,0))*(1+$BE177)*(1+$BF177)+($BG177*IF($G$1="牵丝",$AP177,$AN177)+IF($G$1="牵丝",$AQ177*1.5,0))*(1+$BI177)*(1+$BJ177)+($BK177*IF($G$1="破竹",$AP177,$AN177)+IF($G$1="破竹",$AQ177*1.5,0))*(1+$BM177)*(1+$BN177))*(1+$AR177))*$Q177*(1+IF(VLOOKUP($R177,武学奇术!$A:$ZZ,30,FALSE)="蓄力技",$B$21,0))*(1+IF(VLOOKUP($R177,武学奇术!$A:$ZZ,30,FALSE)="派生技",$B$20,0))*(1+$BW177)*(1+$BX177)</f>
        <v>0</v>
      </c>
      <c r="Q177" s="47">
        <f t="shared" si="82"/>
        <v>0</v>
      </c>
      <c r="R177" s="48" t="s">
        <v>195</v>
      </c>
      <c r="S177" s="48" t="s">
        <v>99</v>
      </c>
      <c r="T177" s="48" t="s">
        <v>182</v>
      </c>
      <c r="U177" s="48" t="s">
        <v>79</v>
      </c>
      <c r="V177" s="48" t="s">
        <v>90</v>
      </c>
      <c r="W177" s="48" t="s">
        <v>141</v>
      </c>
      <c r="X177" s="48" t="s">
        <v>80</v>
      </c>
      <c r="Y177" s="48" t="s">
        <v>74</v>
      </c>
      <c r="Z177" s="48" t="s">
        <v>80</v>
      </c>
      <c r="AA177" s="48" t="s">
        <v>80</v>
      </c>
      <c r="AB177" s="48" t="s">
        <v>80</v>
      </c>
      <c r="AC177" s="48" t="s">
        <v>80</v>
      </c>
      <c r="AD177" s="48" t="s">
        <v>80</v>
      </c>
      <c r="AE177" s="48" t="s">
        <v>82</v>
      </c>
      <c r="AF177" s="48" t="s">
        <v>83</v>
      </c>
      <c r="AG177" s="48" t="s">
        <v>84</v>
      </c>
      <c r="AH177" s="48" t="s">
        <v>80</v>
      </c>
      <c r="AI177" s="48" t="s">
        <v>80</v>
      </c>
      <c r="AJ177" s="48" t="s">
        <v>80</v>
      </c>
      <c r="AK177" s="48" t="s">
        <v>80</v>
      </c>
      <c r="AL177" s="48" t="s">
        <v>85</v>
      </c>
      <c r="AM177" t="str">
        <f>VLOOKUP($R177,武学奇术!$A:$ZZ,25,FALSE)</f>
        <v>横刀</v>
      </c>
      <c r="AN177" s="33">
        <f>VLOOKUP($R177,武学奇术!$A:$ZZ,26,FALSE)</f>
        <v>3.6553</v>
      </c>
      <c r="AO177" s="34">
        <f>VLOOKUP($R177,武学奇术!$A:$ZZ,27,FALSE)*(1+IF(OR($AM177=$F$4,$AM177=$F$5),$B$22,0))</f>
        <v>1619.2</v>
      </c>
      <c r="AP177" s="33">
        <f>VLOOKUP($R177,武学奇术!$A:$ZZ,28,FALSE)</f>
        <v>5.4829</v>
      </c>
      <c r="AQ177" s="34">
        <f>VLOOKUP($R177,武学奇术!$A:$ZZ,29,FALSE)*(1+IF(OR($AM177=$F$4,$AM177=$F$5),$B$22,0))</f>
        <v>880</v>
      </c>
      <c r="AR177" s="33" cm="1">
        <f t="array" ref="AR177">$G$3+IFERROR(VLOOKUP($AM177,$F$4:$G$7,2,FALSE),0)+VLOOKUP($R177,武学奇术!$A:$ZZ,2,FALSE)+SUM(_xlfn.XLOOKUP($S177:$AL177,增益!$A:$A,增益!$B:$B,0))</f>
        <v>0.7089</v>
      </c>
      <c r="AS177" s="33" cm="1">
        <f t="array" ref="AS177">VLOOKUP($R177,武学奇术!$A:$ZZ,5,FALSE)+SUM(_xlfn.XLOOKUP($S177:$AL177,增益!$A:$A,增益!$E:$E,0))</f>
        <v>0</v>
      </c>
      <c r="AT177" cm="1">
        <f t="array" ref="AT177">$D$10*(1+$AS177)+VLOOKUP($R177,武学奇术!$A:$ZZ,3,FALSE)+SUM(_xlfn.XLOOKUP($S177:$AL177,增益!$A:$A,增益!$C:$C,0))-$I$2</f>
        <v>4094.7</v>
      </c>
      <c r="AU177" cm="1">
        <f t="array" ref="AU177">$E$10*(1+$AS177)+VLOOKUP($R177,武学奇术!$A:$ZZ,4,FALSE)+SUM(_xlfn.XLOOKUP($S177:$AL177,增益!$A:$A,增益!$D:$D,0))-$I$2</f>
        <v>4094.7</v>
      </c>
      <c r="AV177" s="40" cm="1">
        <f t="array" ref="AV177">IF($F$10-$I$3+VLOOKUP($R177,武学奇术!$A:$ZZ,6,FALSE)+SUM(_xlfn.XLOOKUP($S177:$AL177,增益!$A:$A,增益!$F:$F,0))&gt;0,($F$10-$I$3+VLOOKUP($R177,武学奇术!$A:$ZZ,6,FALSE)+SUM(_xlfn.XLOOKUP($S177:$AL177,增益!$A:$A,增益!$F:$F,0)))/200,($F$10-$I$3+VLOOKUP($R177,武学奇术!$A:$ZZ,6,FALSE)+SUM(_xlfn.XLOOKUP($S177:$AL177,增益!$A:$A,增益!$F:$F,0)))/100)</f>
        <v>0.4384</v>
      </c>
      <c r="AW177" s="40" cm="1">
        <f t="array" ref="AW177">$G$10+VLOOKUP($R177,武学奇术!$A:$ZZ,7,FALSE)+SUM(_xlfn.XLOOKUP($S177:$AL177,增益!$A:$A,增益!$G:$G,0))</f>
        <v>0.14</v>
      </c>
      <c r="AX177" s="33" cm="1">
        <f t="array" ref="AX177">VLOOKUP($R177,武学奇术!$A:$ZZ,8,FALSE)+SUM(_xlfn.XLOOKUP($S177:$AL177,增益!$A:$A,增益!$H:$H,0))</f>
        <v>0</v>
      </c>
      <c r="AY177">
        <f t="shared" si="72"/>
        <v>0</v>
      </c>
      <c r="AZ177">
        <f t="shared" si="73"/>
        <v>0</v>
      </c>
      <c r="BA177" s="40" cm="1">
        <f t="array" ref="BA177">IF($F$11-$I$4+VLOOKUP($R177,武学奇术!$A:$ZZ,9,FALSE)+SUM(_xlfn.XLOOKUP($S177:$AL177,增益!$A:$A,增益!$I:$I,0))&gt;0,($F$11-$I$4+VLOOKUP($R177,武学奇术!$A:$ZZ,9,FALSE)+SUM(_xlfn.XLOOKUP($S177:$AL177,增益!$A:$A,增益!$I:$I,0)))/200,($F$11-$I$4+VLOOKUP($R177,武学奇术!$A:$ZZ,9,FALSE)+SUM(_xlfn.XLOOKUP($S177:$AL177,增益!$A:$A,增益!$I:$I,0)))/100)</f>
        <v>-0.14</v>
      </c>
      <c r="BB177" s="40" cm="1">
        <f t="array" ref="BB177">$G$11+VLOOKUP($R177,武学奇术!$A:$ZZ,10,FALSE)+SUM(_xlfn.XLOOKUP($S177:$AL177,增益!$A:$A,增益!$J:$J,0))</f>
        <v>0.02</v>
      </c>
      <c r="BC177">
        <f t="shared" si="74"/>
        <v>640.3</v>
      </c>
      <c r="BD177">
        <f t="shared" si="75"/>
        <v>1770.1</v>
      </c>
      <c r="BE177" s="40" cm="1">
        <f t="array" ref="BE177">IF($F$12-$I$4+VLOOKUP($R177,武学奇术!$A:$ZZ,11,FALSE)+SUM(_xlfn.XLOOKUP($S177:$AL177,增益!$A:$A,增益!$K:$K,0))&gt;0,($F$12-$I$4+VLOOKUP($R177,武学奇术!$A:$ZZ,11,FALSE)+SUM(_xlfn.XLOOKUP($S177:$AL177,增益!$A:$A,增益!$K:$K,0)))/200,($F$12-$I$4+VLOOKUP($R177,武学奇术!$A:$ZZ,11,FALSE)+SUM(_xlfn.XLOOKUP($S177:$AL177,增益!$A:$A,增益!$K:$K,0)))/100)</f>
        <v>0.17</v>
      </c>
      <c r="BF177" s="40" cm="1">
        <f t="array" ref="BF177">$G$12+VLOOKUP($R177,武学奇术!$A:$ZZ,12,FALSE)+SUM(_xlfn.XLOOKUP($S177:$AL177,增益!$A:$A,增益!$L:$L,0))</f>
        <v>0.29</v>
      </c>
      <c r="BG177">
        <f t="shared" si="76"/>
        <v>0</v>
      </c>
      <c r="BH177">
        <f t="shared" si="77"/>
        <v>0</v>
      </c>
      <c r="BI177" s="40" cm="1">
        <f t="array" ref="BI177">IF($F$13-$I$4+VLOOKUP($R177,武学奇术!$A:$ZZ,13,FALSE)+SUM(_xlfn.XLOOKUP($S177:$AL177,增益!$A:$A,增益!$M:$M,0))&gt;0,($F$13-$I$4+VLOOKUP($R177,武学奇术!$A:$ZZ,13,FALSE)+SUM(_xlfn.XLOOKUP($S177:$AL177,增益!$A:$A,增益!$K:$K,0)))/200,($F$13-$I$4+VLOOKUP($R177,武学奇术!$A:$ZZ,13,FALSE)+SUM(_xlfn.XLOOKUP($S177:$AL177,增益!$A:$A,增益!$M:$M,0)))/100)</f>
        <v>-0.14</v>
      </c>
      <c r="BJ177" s="40" cm="1">
        <f t="array" ref="BJ177">$G$13+VLOOKUP($R177,武学奇术!$A:$ZZ,14,FALSE)+SUM(_xlfn.XLOOKUP($S177:$AL177,增益!$A:$A,增益!$N:$N,0))</f>
        <v>0.02</v>
      </c>
      <c r="BK177">
        <f t="shared" si="78"/>
        <v>0</v>
      </c>
      <c r="BL177">
        <f t="shared" si="79"/>
        <v>0</v>
      </c>
      <c r="BM177" s="40" cm="1">
        <f t="array" ref="BM177">IF($F$14-$I$4+VLOOKUP($R177,武学奇术!$A:$ZZ,15,FALSE)+SUM(_xlfn.XLOOKUP($S177:$AL177,增益!$A:$A,增益!$O:$O,0))&gt;0,($F$14-$I$4+VLOOKUP($R177,武学奇术!$A:$ZZ,15,FALSE)+SUM(_xlfn.XLOOKUP($S177:$AL177,增益!$A:$A,增益!$O:$O,0)))/200,($F$14-$I$4+VLOOKUP($R177,武学奇术!$A:$ZZ,15,FALSE)+SUM(_xlfn.XLOOKUP($S177:$AL177,增益!$A:$A,增益!$O:$O,0)))/100)</f>
        <v>-0.14</v>
      </c>
      <c r="BN177" s="40" cm="1">
        <f t="array" ref="BN177">$G$14+VLOOKUP($R177,武学奇术!$A:$ZZ,16,FALSE)+SUM(_xlfn.XLOOKUP($S177:$AL177,增益!$A:$A,增益!$P:$P,0))</f>
        <v>0.02</v>
      </c>
      <c r="BO177" s="33">
        <f>MIN(IF(VLOOKUP($R177,武学奇术!$A:$ZZ,23,FALSE)=1,100%,$B$8),100%)</f>
        <v>0.9771</v>
      </c>
      <c r="BP177" s="33" cm="1">
        <f t="array" ref="BP177">IF(VLOOKUP($R177,武学奇术!$A:$ZZ,23,FALSE)=1,100%,MIN(80%,$B$9+VLOOKUP($R177,武学奇术!$A:$ZZ,17,FALSE)+SUM(_xlfn.XLOOKUP($S177:$AL177,增益!$A:$A,增益!$Q:$Q,0)))+$B$11+SUM(_xlfn.XLOOKUP($S177:$AL177,增益!$A:$A,增益!$U:$U,0)))*IF(VLOOKUP($R177,武学奇术!$A:$ZZ,24,FALSE)=1,0,1)</f>
        <v>0.8861</v>
      </c>
      <c r="BQ177" s="33" cm="1">
        <f t="array" ref="BQ177">1+$B$13+VLOOKUP($R177,武学奇术!$A:$ZZ,18,FALSE)+SUM(_xlfn.XLOOKUP($S177:$AL177,增益!$A:$A,增益!$R:$R,0))</f>
        <v>2</v>
      </c>
      <c r="BR177" s="33" cm="1">
        <f t="array" ref="BR177">IF(VLOOKUP($R177,武学奇术!$A:$ZZ,24,FALSE)=1,100%,MIN(40%,$B$10+VLOOKUP($R177,武学奇术!$A:$ZZ,19,FALSE)+SUM(_xlfn.XLOOKUP($S177:$AL177,增益!$A:$A,增益!$S:$S,0)))+$B$12+SUM(_xlfn.XLOOKUP($S177:$AL177,增益!$A:$A,增益!$V:$V,0)))*IF(VLOOKUP($R177,武学奇术!$A:$ZZ,23,FALSE)=1,0,1)</f>
        <v>0.0913</v>
      </c>
      <c r="BS177" s="33" cm="1">
        <f t="array" ref="BS177">1+$B$14+VLOOKUP($R177,武学奇术!$A:$ZZ,20,FALSE)+SUM(_xlfn.XLOOKUP($S177:$AL177,增益!$A:$A,增益!$T:$T,0))</f>
        <v>1.35</v>
      </c>
      <c r="BT177" s="33">
        <f t="shared" si="80"/>
        <v>0.86580831</v>
      </c>
      <c r="BU177" s="33">
        <f t="shared" si="81"/>
        <v>0.02208246</v>
      </c>
      <c r="BV177" s="33">
        <f>IF(VLOOKUP($R177,武学奇术!$A:$ZZ,22,FALSE)=1,0,(1-$BO177))*(1-$BR177)</f>
        <v>0.02080923</v>
      </c>
      <c r="BW177" s="33" cm="1">
        <f t="array" ref="BW177">SUM(_xlfn.XLOOKUP($S177:$AL177,增益!$A:$A,增益!$W:$W,0))+$I$5</f>
        <v>0.11</v>
      </c>
      <c r="BX177" s="33" cm="1">
        <f t="array" ref="BX177">VLOOKUP($R177,武学奇术!$A:$ZZ,32,FALSE)+SUM(_xlfn.XLOOKUP($S177:$AL177,增益!$A:$A,增益!$X:$X,0))</f>
        <v>0</v>
      </c>
    </row>
    <row r="178" spans="1:76">
      <c r="A178" s="4" t="s">
        <v>189</v>
      </c>
      <c r="B178" s="4">
        <v>0.8</v>
      </c>
      <c r="C178" s="47"/>
      <c r="D178" s="47"/>
      <c r="E178" s="47"/>
      <c r="L178" s="46">
        <f t="shared" ref="L178:L190" si="83">($M178*$BT178+$N178*$BR178+$O178*$BU178+$P178*$BV178)</f>
        <v>0</v>
      </c>
      <c r="M178" s="46">
        <f>((($AT178+$AU178)/2*$AN178+$AO178)*(1+$AV178)*(1+$AW178)+(($AY178+$AZ178)/2*IF($G$1="鸣金",$AP178,$AN178)+IF($G$1="鸣金",$AQ178*1.5,0))*(1+$BA178)*(1+$BB178)+(($BC178+$BD178)/2*IF($G$1="裂石",$AP178,$AN178)+IF($G$1="裂石",$AQ178*1.5,0))*(1+$BE178)*(1+$BF178)+(($BG178+$BH178)/2*IF($G$1="牵丝",$AP178,$AN178)+IF($G$1="牵丝",$AQ178*1.5,0))*(1+$BI178)*(1+$BJ178)+(($BK178+$BL178)/2*IF($G$1="破竹",$AP178,$AN178)+IF($G$1="破竹",$AQ178*1.5,0))*(1+$BM178)*(1+$BN178))*(1+$AR178)*$BQ178*$Q178*(1+IF(VLOOKUP($R178,武学奇术!$A:$ZZ,30,FALSE)="蓄力技",$B$21,0))*(1+IF(VLOOKUP($R178,武学奇术!$A:$ZZ,30,FALSE)="派生技",$B$20,0))*(1+$BW178)*(1+$BX178)</f>
        <v>0</v>
      </c>
      <c r="N178" s="46">
        <f>(($AU178*$AN178+$AO178)*(1+$AV178)*(1+$AW178)+($AZ178*IF($G$1="鸣金",$AP178,$AN178)+IF($G$1="鸣金",$AQ178*1.5,0))*(1+$BA178)*(1+$BB178)+($BD178*IF($G$1="裂石",$AP178,$AN178)+IF($G$1="裂石",$AQ178*1.5,0))*(1+$BE178)*(1+$BF178)+($BH178*IF($G$1="牵丝",$AP178,$AN178)+IF($G$1="牵丝",$AQ178*1.5,0))*(1+$BI178)*(1+$BJ178)+($BL178*IF($G$1="破竹",$AP178,$AN178)+IF($G$1="破竹",$AQ178*1.5,0))*(1+$BM178)*(1+$BN178))*(1+$AR178)*$BS178*$Q178*(1+IF(VLOOKUP($R178,武学奇术!$A:$ZZ,30,FALSE)="蓄力技",$B$21,0))*(1+IF(VLOOKUP($R178,武学奇术!$A:$ZZ,30,FALSE)="派生技",$B$20,0))*(1+$BW178)*(1+$BX178)</f>
        <v>0</v>
      </c>
      <c r="O178" s="46">
        <f>((($AT178+$AU178)/2*$AN178+$AO178)*(1+$AV178)*(1+$AW178)+(($AY178+$AZ178)/2*IF($G$1="鸣金",$AP178,$AN178)+IF($G$1="鸣金",$AQ178*1.5,0))*(1+$BA178)*(1+$BB178)+(($BC178+$BD178)/2*IF($G$1="裂石",$AP178,$AN178)+IF($G$1="裂石",$AQ178*1.5,0))*(1+$BE178)*(1+$BF178)+(($BG178+$BH178)/2*IF($G$1="牵丝",$AP178,$AN178)+IF($G$1="牵丝",$AQ178*1.5,0))*(1+$BI178)*(1+$BJ178)+(($BK178+$BL178)/2*IF($G$1="破竹",$AP178,$AN178)+IF($G$1="破竹",$AQ178*1.5,0))*(1+$BM178)*(1+$BN178))*(1+$AR178)*$Q178*(1+IF(VLOOKUP($R178,武学奇术!$A:$ZZ,30,FALSE)="蓄力技",$B$21,0))*(1+IF(VLOOKUP($R178,武学奇术!$A:$ZZ,30,FALSE)="派生技",$B$20,0))*(1+$BW178)*(1+$BX178)</f>
        <v>0</v>
      </c>
      <c r="P178" s="46">
        <f>((($AT178*$AN178+$AO178)*(1+$AV178)*(1+$AW178)+($AY178*IF($G$1="鸣金",$AP178,$AN178)+IF($G$1="鸣金",$AQ178*1.5,0))*(1+$BA178)*(1+$BB178)+($BC178*IF($G$1="裂石",$AP178,$AN178)+IF($G$1="裂石",$AQ178*1.5,0))*(1+$BE178)*(1+$BF178)+($BG178*IF($G$1="牵丝",$AP178,$AN178)+IF($G$1="牵丝",$AQ178*1.5,0))*(1+$BI178)*(1+$BJ178)+($BK178*IF($G$1="破竹",$AP178,$AN178)+IF($G$1="破竹",$AQ178*1.5,0))*(1+$BM178)*(1+$BN178))*(1+$AR178))*$Q178*(1+IF(VLOOKUP($R178,武学奇术!$A:$ZZ,30,FALSE)="蓄力技",$B$21,0))*(1+IF(VLOOKUP($R178,武学奇术!$A:$ZZ,30,FALSE)="派生技",$B$20,0))*(1+$BW178)*(1+$BX178)</f>
        <v>0</v>
      </c>
      <c r="Q178" s="47">
        <f t="shared" ref="Q178:Q190" si="84">IF($E$24="唐刀",1,0)</f>
        <v>0</v>
      </c>
      <c r="R178" s="48" t="s">
        <v>196</v>
      </c>
      <c r="S178" s="48" t="s">
        <v>99</v>
      </c>
      <c r="T178" s="48" t="s">
        <v>182</v>
      </c>
      <c r="U178" s="48" t="s">
        <v>79</v>
      </c>
      <c r="V178" s="48" t="s">
        <v>90</v>
      </c>
      <c r="W178" s="48" t="s">
        <v>141</v>
      </c>
      <c r="X178" s="48" t="s">
        <v>80</v>
      </c>
      <c r="Y178" s="48" t="s">
        <v>74</v>
      </c>
      <c r="Z178" s="48" t="s">
        <v>80</v>
      </c>
      <c r="AA178" s="48" t="s">
        <v>80</v>
      </c>
      <c r="AB178" s="48" t="s">
        <v>80</v>
      </c>
      <c r="AC178" s="48" t="s">
        <v>80</v>
      </c>
      <c r="AD178" s="48" t="s">
        <v>80</v>
      </c>
      <c r="AE178" s="48" t="s">
        <v>82</v>
      </c>
      <c r="AF178" s="48" t="s">
        <v>83</v>
      </c>
      <c r="AG178" s="48" t="s">
        <v>84</v>
      </c>
      <c r="AH178" s="48" t="s">
        <v>80</v>
      </c>
      <c r="AI178" s="48" t="s">
        <v>80</v>
      </c>
      <c r="AJ178" s="48" t="s">
        <v>80</v>
      </c>
      <c r="AK178" s="48" t="s">
        <v>80</v>
      </c>
      <c r="AL178" s="48" t="s">
        <v>85</v>
      </c>
      <c r="AM178" t="str">
        <f>VLOOKUP($R178,武学奇术!$A:$ZZ,25,FALSE)</f>
        <v>横刀</v>
      </c>
      <c r="AN178" s="33">
        <f>VLOOKUP($R178,武学奇术!$A:$ZZ,26,FALSE)</f>
        <v>1.47</v>
      </c>
      <c r="AO178" s="34">
        <f>VLOOKUP($R178,武学奇术!$A:$ZZ,27,FALSE)*(1+IF(OR($AM178=$F$4,$AM178=$F$5),$B$22,0))</f>
        <v>0</v>
      </c>
      <c r="AP178" s="33">
        <f>VLOOKUP($R178,武学奇术!$A:$ZZ,28,FALSE)</f>
        <v>2.205</v>
      </c>
      <c r="AQ178" s="34">
        <f>VLOOKUP($R178,武学奇术!$A:$ZZ,29,FALSE)*(1+IF(OR($AM178=$F$4,$AM178=$F$5),$B$22,0))</f>
        <v>0</v>
      </c>
      <c r="AR178" s="33" cm="1">
        <f t="array" ref="AR178">$G$3+IFERROR(VLOOKUP($AM178,$F$4:$G$7,2,FALSE),0)+VLOOKUP($R178,武学奇术!$A:$ZZ,2,FALSE)+SUM(_xlfn.XLOOKUP($S178:$AL178,增益!$A:$A,增益!$B:$B,0))</f>
        <v>0.6089</v>
      </c>
      <c r="AS178" s="33" cm="1">
        <f t="array" ref="AS178">VLOOKUP($R178,武学奇术!$A:$ZZ,5,FALSE)+SUM(_xlfn.XLOOKUP($S178:$AL178,增益!$A:$A,增益!$E:$E,0))</f>
        <v>0</v>
      </c>
      <c r="AT178" cm="1">
        <f t="array" ref="AT178">$D$10*(1+$AS178)+VLOOKUP($R178,武学奇术!$A:$ZZ,3,FALSE)+SUM(_xlfn.XLOOKUP($S178:$AL178,增益!$A:$A,增益!$C:$C,0))-$I$2</f>
        <v>4094.7</v>
      </c>
      <c r="AU178" cm="1">
        <f t="array" ref="AU178">$E$10*(1+$AS178)+VLOOKUP($R178,武学奇术!$A:$ZZ,4,FALSE)+SUM(_xlfn.XLOOKUP($S178:$AL178,增益!$A:$A,增益!$D:$D,0))-$I$2</f>
        <v>4094.7</v>
      </c>
      <c r="AV178" s="40" cm="1">
        <f t="array" ref="AV178">IF($F$10-$I$3+VLOOKUP($R178,武学奇术!$A:$ZZ,6,FALSE)+SUM(_xlfn.XLOOKUP($S178:$AL178,增益!$A:$A,增益!$F:$F,0))&gt;0,($F$10-$I$3+VLOOKUP($R178,武学奇术!$A:$ZZ,6,FALSE)+SUM(_xlfn.XLOOKUP($S178:$AL178,增益!$A:$A,增益!$F:$F,0)))/200,($F$10-$I$3+VLOOKUP($R178,武学奇术!$A:$ZZ,6,FALSE)+SUM(_xlfn.XLOOKUP($S178:$AL178,增益!$A:$A,增益!$F:$F,0)))/100)</f>
        <v>0.4384</v>
      </c>
      <c r="AW178" s="40" cm="1">
        <f t="array" ref="AW178">$G$10+VLOOKUP($R178,武学奇术!$A:$ZZ,7,FALSE)+SUM(_xlfn.XLOOKUP($S178:$AL178,增益!$A:$A,增益!$G:$G,0))</f>
        <v>0.14</v>
      </c>
      <c r="AX178" s="33" cm="1">
        <f t="array" ref="AX178">VLOOKUP($R178,武学奇术!$A:$ZZ,8,FALSE)+SUM(_xlfn.XLOOKUP($S178:$AL178,增益!$A:$A,增益!$H:$H,0))</f>
        <v>0</v>
      </c>
      <c r="AY178">
        <f t="shared" ref="AY178:AY190" si="85">$D$11*(1+$AX178)</f>
        <v>0</v>
      </c>
      <c r="AZ178">
        <f t="shared" ref="AZ178:AZ190" si="86">$E$11*(1+$AX178)</f>
        <v>0</v>
      </c>
      <c r="BA178" s="40" cm="1">
        <f t="array" ref="BA178">IF($F$11-$I$4+VLOOKUP($R178,武学奇术!$A:$ZZ,9,FALSE)+SUM(_xlfn.XLOOKUP($S178:$AL178,增益!$A:$A,增益!$I:$I,0))&gt;0,($F$11-$I$4+VLOOKUP($R178,武学奇术!$A:$ZZ,9,FALSE)+SUM(_xlfn.XLOOKUP($S178:$AL178,增益!$A:$A,增益!$I:$I,0)))/200,($F$11-$I$4+VLOOKUP($R178,武学奇术!$A:$ZZ,9,FALSE)+SUM(_xlfn.XLOOKUP($S178:$AL178,增益!$A:$A,增益!$I:$I,0)))/100)</f>
        <v>-0.14</v>
      </c>
      <c r="BB178" s="40" cm="1">
        <f t="array" ref="BB178">$G$11+VLOOKUP($R178,武学奇术!$A:$ZZ,10,FALSE)+SUM(_xlfn.XLOOKUP($S178:$AL178,增益!$A:$A,增益!$J:$J,0))</f>
        <v>0.02</v>
      </c>
      <c r="BC178">
        <f t="shared" ref="BC178:BC190" si="87">$D$12*(1+$AX178)</f>
        <v>640.3</v>
      </c>
      <c r="BD178">
        <f t="shared" ref="BD178:BD190" si="88">$E$12*(1+$AX178)</f>
        <v>1770.1</v>
      </c>
      <c r="BE178" s="40" cm="1">
        <f t="array" ref="BE178">IF($F$12-$I$4+VLOOKUP($R178,武学奇术!$A:$ZZ,11,FALSE)+SUM(_xlfn.XLOOKUP($S178:$AL178,增益!$A:$A,增益!$K:$K,0))&gt;0,($F$12-$I$4+VLOOKUP($R178,武学奇术!$A:$ZZ,11,FALSE)+SUM(_xlfn.XLOOKUP($S178:$AL178,增益!$A:$A,增益!$K:$K,0)))/200,($F$12-$I$4+VLOOKUP($R178,武学奇术!$A:$ZZ,11,FALSE)+SUM(_xlfn.XLOOKUP($S178:$AL178,增益!$A:$A,增益!$K:$K,0)))/100)</f>
        <v>0.17</v>
      </c>
      <c r="BF178" s="40" cm="1">
        <f t="array" ref="BF178">$G$12+VLOOKUP($R178,武学奇术!$A:$ZZ,12,FALSE)+SUM(_xlfn.XLOOKUP($S178:$AL178,增益!$A:$A,增益!$L:$L,0))</f>
        <v>0.29</v>
      </c>
      <c r="BG178">
        <f t="shared" ref="BG178:BG190" si="89">$D$13*(1+$AX178)</f>
        <v>0</v>
      </c>
      <c r="BH178">
        <f t="shared" ref="BH178:BH190" si="90">$E$13*(1+$AX178)</f>
        <v>0</v>
      </c>
      <c r="BI178" s="40" cm="1">
        <f t="array" ref="BI178">IF($F$13-$I$4+VLOOKUP($R178,武学奇术!$A:$ZZ,13,FALSE)+SUM(_xlfn.XLOOKUP($S178:$AL178,增益!$A:$A,增益!$M:$M,0))&gt;0,($F$13-$I$4+VLOOKUP($R178,武学奇术!$A:$ZZ,13,FALSE)+SUM(_xlfn.XLOOKUP($S178:$AL178,增益!$A:$A,增益!$K:$K,0)))/200,($F$13-$I$4+VLOOKUP($R178,武学奇术!$A:$ZZ,13,FALSE)+SUM(_xlfn.XLOOKUP($S178:$AL178,增益!$A:$A,增益!$M:$M,0)))/100)</f>
        <v>-0.14</v>
      </c>
      <c r="BJ178" s="40" cm="1">
        <f t="array" ref="BJ178">$G$13+VLOOKUP($R178,武学奇术!$A:$ZZ,14,FALSE)+SUM(_xlfn.XLOOKUP($S178:$AL178,增益!$A:$A,增益!$N:$N,0))</f>
        <v>0.02</v>
      </c>
      <c r="BK178">
        <f t="shared" ref="BK178:BK190" si="91">$D$14*(1+$AX178)</f>
        <v>0</v>
      </c>
      <c r="BL178">
        <f t="shared" ref="BL178:BL190" si="92">$E$14*(1+$AX178)</f>
        <v>0</v>
      </c>
      <c r="BM178" s="40" cm="1">
        <f t="array" ref="BM178">IF($F$14-$I$4+VLOOKUP($R178,武学奇术!$A:$ZZ,15,FALSE)+SUM(_xlfn.XLOOKUP($S178:$AL178,增益!$A:$A,增益!$O:$O,0))&gt;0,($F$14-$I$4+VLOOKUP($R178,武学奇术!$A:$ZZ,15,FALSE)+SUM(_xlfn.XLOOKUP($S178:$AL178,增益!$A:$A,增益!$O:$O,0)))/200,($F$14-$I$4+VLOOKUP($R178,武学奇术!$A:$ZZ,15,FALSE)+SUM(_xlfn.XLOOKUP($S178:$AL178,增益!$A:$A,增益!$O:$O,0)))/100)</f>
        <v>-0.14</v>
      </c>
      <c r="BN178" s="40" cm="1">
        <f t="array" ref="BN178">$G$14+VLOOKUP($R178,武学奇术!$A:$ZZ,16,FALSE)+SUM(_xlfn.XLOOKUP($S178:$AL178,增益!$A:$A,增益!$P:$P,0))</f>
        <v>0.02</v>
      </c>
      <c r="BO178" s="33">
        <f>MIN(IF(VLOOKUP($R178,武学奇术!$A:$ZZ,23,FALSE)=1,100%,$B$8),100%)</f>
        <v>0.9771</v>
      </c>
      <c r="BP178" s="33" cm="1">
        <f t="array" ref="BP178">IF(VLOOKUP($R178,武学奇术!$A:$ZZ,23,FALSE)=1,100%,MIN(80%,$B$9+VLOOKUP($R178,武学奇术!$A:$ZZ,17,FALSE)+SUM(_xlfn.XLOOKUP($S178:$AL178,增益!$A:$A,增益!$Q:$Q,0)))+$B$11+SUM(_xlfn.XLOOKUP($S178:$AL178,增益!$A:$A,增益!$U:$U,0)))*IF(VLOOKUP($R178,武学奇术!$A:$ZZ,24,FALSE)=1,0,1)</f>
        <v>0.8861</v>
      </c>
      <c r="BQ178" s="33" cm="1">
        <f t="array" ref="BQ178">1+$B$13+VLOOKUP($R178,武学奇术!$A:$ZZ,18,FALSE)+SUM(_xlfn.XLOOKUP($S178:$AL178,增益!$A:$A,增益!$R:$R,0))</f>
        <v>2</v>
      </c>
      <c r="BR178" s="33" cm="1">
        <f t="array" ref="BR178">IF(VLOOKUP($R178,武学奇术!$A:$ZZ,24,FALSE)=1,100%,MIN(40%,$B$10+VLOOKUP($R178,武学奇术!$A:$ZZ,19,FALSE)+SUM(_xlfn.XLOOKUP($S178:$AL178,增益!$A:$A,增益!$S:$S,0)))+$B$12+SUM(_xlfn.XLOOKUP($S178:$AL178,增益!$A:$A,增益!$V:$V,0)))*IF(VLOOKUP($R178,武学奇术!$A:$ZZ,23,FALSE)=1,0,1)</f>
        <v>0.0913</v>
      </c>
      <c r="BS178" s="33" cm="1">
        <f t="array" ref="BS178">1+$B$14+VLOOKUP($R178,武学奇术!$A:$ZZ,20,FALSE)+SUM(_xlfn.XLOOKUP($S178:$AL178,增益!$A:$A,增益!$T:$T,0))</f>
        <v>1.35</v>
      </c>
      <c r="BT178" s="33">
        <f t="shared" ref="BT178:BT190" si="93">MIN((1-BR178)*BO178,BO178*BP178)</f>
        <v>0.86580831</v>
      </c>
      <c r="BU178" s="33">
        <f t="shared" ref="BU178:BU190" si="94">1-BR178-BT178-BV178</f>
        <v>0.02208246</v>
      </c>
      <c r="BV178" s="33">
        <f>IF(VLOOKUP($R178,武学奇术!$A:$ZZ,22,FALSE)=1,0,(1-$BO178))*(1-$BR178)</f>
        <v>0.02080923</v>
      </c>
      <c r="BW178" s="33" cm="1">
        <f t="array" ref="BW178">SUM(_xlfn.XLOOKUP($S178:$AL178,增益!$A:$A,增益!$W:$W,0))+$I$5</f>
        <v>0.11</v>
      </c>
      <c r="BX178" s="33" cm="1">
        <f t="array" ref="BX178">VLOOKUP($R178,武学奇术!$A:$ZZ,32,FALSE)+SUM(_xlfn.XLOOKUP($S178:$AL178,增益!$A:$A,增益!$X:$X,0))</f>
        <v>0.4</v>
      </c>
    </row>
    <row r="179" spans="1:76">
      <c r="A179" s="4" t="s">
        <v>201</v>
      </c>
      <c r="B179" s="4">
        <v>1.7</v>
      </c>
      <c r="C179" s="47"/>
      <c r="D179" s="47"/>
      <c r="E179" s="47"/>
      <c r="L179" s="46">
        <f t="shared" si="83"/>
        <v>0</v>
      </c>
      <c r="M179" s="46">
        <f>((($AT179+$AU179)/2*$AN179+$AO179)*(1+$AV179)*(1+$AW179)+(($AY179+$AZ179)/2*IF($G$1="鸣金",$AP179,$AN179)+IF($G$1="鸣金",$AQ179*1.5,0))*(1+$BA179)*(1+$BB179)+(($BC179+$BD179)/2*IF($G$1="裂石",$AP179,$AN179)+IF($G$1="裂石",$AQ179*1.5,0))*(1+$BE179)*(1+$BF179)+(($BG179+$BH179)/2*IF($G$1="牵丝",$AP179,$AN179)+IF($G$1="牵丝",$AQ179*1.5,0))*(1+$BI179)*(1+$BJ179)+(($BK179+$BL179)/2*IF($G$1="破竹",$AP179,$AN179)+IF($G$1="破竹",$AQ179*1.5,0))*(1+$BM179)*(1+$BN179))*(1+$AR179)*$BQ179*$Q179*(1+IF(VLOOKUP($R179,武学奇术!$A:$ZZ,30,FALSE)="蓄力技",$B$21,0))*(1+IF(VLOOKUP($R179,武学奇术!$A:$ZZ,30,FALSE)="派生技",$B$20,0))*(1+$BW179)*(1+$BX179)</f>
        <v>0</v>
      </c>
      <c r="N179" s="46">
        <f>(($AU179*$AN179+$AO179)*(1+$AV179)*(1+$AW179)+($AZ179*IF($G$1="鸣金",$AP179,$AN179)+IF($G$1="鸣金",$AQ179*1.5,0))*(1+$BA179)*(1+$BB179)+($BD179*IF($G$1="裂石",$AP179,$AN179)+IF($G$1="裂石",$AQ179*1.5,0))*(1+$BE179)*(1+$BF179)+($BH179*IF($G$1="牵丝",$AP179,$AN179)+IF($G$1="牵丝",$AQ179*1.5,0))*(1+$BI179)*(1+$BJ179)+($BL179*IF($G$1="破竹",$AP179,$AN179)+IF($G$1="破竹",$AQ179*1.5,0))*(1+$BM179)*(1+$BN179))*(1+$AR179)*$BS179*$Q179*(1+IF(VLOOKUP($R179,武学奇术!$A:$ZZ,30,FALSE)="蓄力技",$B$21,0))*(1+IF(VLOOKUP($R179,武学奇术!$A:$ZZ,30,FALSE)="派生技",$B$20,0))*(1+$BW179)*(1+$BX179)</f>
        <v>0</v>
      </c>
      <c r="O179" s="46">
        <f>((($AT179+$AU179)/2*$AN179+$AO179)*(1+$AV179)*(1+$AW179)+(($AY179+$AZ179)/2*IF($G$1="鸣金",$AP179,$AN179)+IF($G$1="鸣金",$AQ179*1.5,0))*(1+$BA179)*(1+$BB179)+(($BC179+$BD179)/2*IF($G$1="裂石",$AP179,$AN179)+IF($G$1="裂石",$AQ179*1.5,0))*(1+$BE179)*(1+$BF179)+(($BG179+$BH179)/2*IF($G$1="牵丝",$AP179,$AN179)+IF($G$1="牵丝",$AQ179*1.5,0))*(1+$BI179)*(1+$BJ179)+(($BK179+$BL179)/2*IF($G$1="破竹",$AP179,$AN179)+IF($G$1="破竹",$AQ179*1.5,0))*(1+$BM179)*(1+$BN179))*(1+$AR179)*$Q179*(1+IF(VLOOKUP($R179,武学奇术!$A:$ZZ,30,FALSE)="蓄力技",$B$21,0))*(1+IF(VLOOKUP($R179,武学奇术!$A:$ZZ,30,FALSE)="派生技",$B$20,0))*(1+$BW179)*(1+$BX179)</f>
        <v>0</v>
      </c>
      <c r="P179" s="46">
        <f>((($AT179*$AN179+$AO179)*(1+$AV179)*(1+$AW179)+($AY179*IF($G$1="鸣金",$AP179,$AN179)+IF($G$1="鸣金",$AQ179*1.5,0))*(1+$BA179)*(1+$BB179)+($BC179*IF($G$1="裂石",$AP179,$AN179)+IF($G$1="裂石",$AQ179*1.5,0))*(1+$BE179)*(1+$BF179)+($BG179*IF($G$1="牵丝",$AP179,$AN179)+IF($G$1="牵丝",$AQ179*1.5,0))*(1+$BI179)*(1+$BJ179)+($BK179*IF($G$1="破竹",$AP179,$AN179)+IF($G$1="破竹",$AQ179*1.5,0))*(1+$BM179)*(1+$BN179))*(1+$AR179))*$Q179*(1+IF(VLOOKUP($R179,武学奇术!$A:$ZZ,30,FALSE)="蓄力技",$B$21,0))*(1+IF(VLOOKUP($R179,武学奇术!$A:$ZZ,30,FALSE)="派生技",$B$20,0))*(1+$BW179)*(1+$BX179)</f>
        <v>0</v>
      </c>
      <c r="Q179" s="47">
        <f>IF($E$24="唐刀",5,0)</f>
        <v>0</v>
      </c>
      <c r="R179" s="48" t="s">
        <v>197</v>
      </c>
      <c r="S179" s="48" t="s">
        <v>99</v>
      </c>
      <c r="T179" s="48" t="s">
        <v>182</v>
      </c>
      <c r="U179" s="48" t="s">
        <v>79</v>
      </c>
      <c r="V179" s="48" t="s">
        <v>90</v>
      </c>
      <c r="W179" s="48" t="s">
        <v>91</v>
      </c>
      <c r="X179" s="48" t="s">
        <v>80</v>
      </c>
      <c r="Y179" s="48" t="s">
        <v>80</v>
      </c>
      <c r="Z179" s="48" t="s">
        <v>80</v>
      </c>
      <c r="AA179" s="48" t="s">
        <v>183</v>
      </c>
      <c r="AB179" s="48" t="s">
        <v>184</v>
      </c>
      <c r="AC179" s="48" t="s">
        <v>193</v>
      </c>
      <c r="AD179" s="48" t="s">
        <v>80</v>
      </c>
      <c r="AE179" s="48" t="s">
        <v>82</v>
      </c>
      <c r="AF179" s="48" t="s">
        <v>83</v>
      </c>
      <c r="AG179" s="48" t="s">
        <v>84</v>
      </c>
      <c r="AH179" s="48" t="s">
        <v>80</v>
      </c>
      <c r="AI179" s="48" t="s">
        <v>80</v>
      </c>
      <c r="AJ179" s="48" t="s">
        <v>80</v>
      </c>
      <c r="AK179" s="48" t="s">
        <v>80</v>
      </c>
      <c r="AL179" s="48" t="s">
        <v>85</v>
      </c>
      <c r="AM179" t="str">
        <f>VLOOKUP($R179,武学奇术!$A:$ZZ,25,FALSE)</f>
        <v>横刀</v>
      </c>
      <c r="AN179" s="33">
        <f>VLOOKUP($R179,武学奇术!$A:$ZZ,26,FALSE)</f>
        <v>2.4495</v>
      </c>
      <c r="AO179" s="34">
        <f>VLOOKUP($R179,武学奇术!$A:$ZZ,27,FALSE)*(1+IF(OR($AM179=$F$4,$AM179=$F$5),$B$22,0))</f>
        <v>1083.2</v>
      </c>
      <c r="AP179" s="33">
        <f>VLOOKUP($R179,武学奇术!$A:$ZZ,28,FALSE)</f>
        <v>3.6743</v>
      </c>
      <c r="AQ179" s="34">
        <f>VLOOKUP($R179,武学奇术!$A:$ZZ,29,FALSE)*(1+IF(OR($AM179=$F$4,$AM179=$F$5),$B$22,0))</f>
        <v>588.8</v>
      </c>
      <c r="AR179" s="33" cm="1">
        <f t="array" ref="AR179">$G$3+IFERROR(VLOOKUP($AM179,$F$4:$G$7,2,FALSE),0)+VLOOKUP($R179,武学奇术!$A:$ZZ,2,FALSE)+SUM(_xlfn.XLOOKUP($S179:$AL179,增益!$A:$A,增益!$B:$B,0))</f>
        <v>0.5289</v>
      </c>
      <c r="AS179" s="33" cm="1">
        <f t="array" ref="AS179">VLOOKUP($R179,武学奇术!$A:$ZZ,5,FALSE)+SUM(_xlfn.XLOOKUP($S179:$AL179,增益!$A:$A,增益!$E:$E,0))</f>
        <v>0</v>
      </c>
      <c r="AT179" cm="1">
        <f t="array" ref="AT179">$D$10*(1+$AS179)+VLOOKUP($R179,武学奇术!$A:$ZZ,3,FALSE)+SUM(_xlfn.XLOOKUP($S179:$AL179,增益!$A:$A,增益!$C:$C,0))-$I$2</f>
        <v>4094.7</v>
      </c>
      <c r="AU179" cm="1">
        <f t="array" ref="AU179">$E$10*(1+$AS179)+VLOOKUP($R179,武学奇术!$A:$ZZ,4,FALSE)+SUM(_xlfn.XLOOKUP($S179:$AL179,增益!$A:$A,增益!$D:$D,0))-$I$2</f>
        <v>4094.7</v>
      </c>
      <c r="AV179" s="40" cm="1">
        <f t="array" ref="AV179">IF($F$10-$I$3+VLOOKUP($R179,武学奇术!$A:$ZZ,6,FALSE)+SUM(_xlfn.XLOOKUP($S179:$AL179,增益!$A:$A,增益!$F:$F,0))&gt;0,($F$10-$I$3+VLOOKUP($R179,武学奇术!$A:$ZZ,6,FALSE)+SUM(_xlfn.XLOOKUP($S179:$AL179,增益!$A:$A,增益!$F:$F,0)))/200,($F$10-$I$3+VLOOKUP($R179,武学奇术!$A:$ZZ,6,FALSE)+SUM(_xlfn.XLOOKUP($S179:$AL179,增益!$A:$A,增益!$F:$F,0)))/100)</f>
        <v>0.4134</v>
      </c>
      <c r="AW179" s="40" cm="1">
        <f t="array" ref="AW179">$G$10+VLOOKUP($R179,武学奇术!$A:$ZZ,7,FALSE)+SUM(_xlfn.XLOOKUP($S179:$AL179,增益!$A:$A,增益!$G:$G,0))</f>
        <v>0.14</v>
      </c>
      <c r="AX179" s="33" cm="1">
        <f t="array" ref="AX179">VLOOKUP($R179,武学奇术!$A:$ZZ,8,FALSE)+SUM(_xlfn.XLOOKUP($S179:$AL179,增益!$A:$A,增益!$H:$H,0))</f>
        <v>0</v>
      </c>
      <c r="AY179">
        <f t="shared" si="85"/>
        <v>0</v>
      </c>
      <c r="AZ179">
        <f t="shared" si="86"/>
        <v>0</v>
      </c>
      <c r="BA179" s="40" cm="1">
        <f t="array" ref="BA179">IF($F$11-$I$4+VLOOKUP($R179,武学奇术!$A:$ZZ,9,FALSE)+SUM(_xlfn.XLOOKUP($S179:$AL179,增益!$A:$A,增益!$I:$I,0))&gt;0,($F$11-$I$4+VLOOKUP($R179,武学奇术!$A:$ZZ,9,FALSE)+SUM(_xlfn.XLOOKUP($S179:$AL179,增益!$A:$A,增益!$I:$I,0)))/200,($F$11-$I$4+VLOOKUP($R179,武学奇术!$A:$ZZ,9,FALSE)+SUM(_xlfn.XLOOKUP($S179:$AL179,增益!$A:$A,增益!$I:$I,0)))/100)</f>
        <v>-0.14</v>
      </c>
      <c r="BB179" s="40" cm="1">
        <f t="array" ref="BB179">$G$11+VLOOKUP($R179,武学奇术!$A:$ZZ,10,FALSE)+SUM(_xlfn.XLOOKUP($S179:$AL179,增益!$A:$A,增益!$J:$J,0))</f>
        <v>0.12</v>
      </c>
      <c r="BC179">
        <f t="shared" si="87"/>
        <v>640.3</v>
      </c>
      <c r="BD179">
        <f t="shared" si="88"/>
        <v>1770.1</v>
      </c>
      <c r="BE179" s="40" cm="1">
        <f t="array" ref="BE179">IF($F$12-$I$4+VLOOKUP($R179,武学奇术!$A:$ZZ,11,FALSE)+SUM(_xlfn.XLOOKUP($S179:$AL179,增益!$A:$A,增益!$K:$K,0))&gt;0,($F$12-$I$4+VLOOKUP($R179,武学奇术!$A:$ZZ,11,FALSE)+SUM(_xlfn.XLOOKUP($S179:$AL179,增益!$A:$A,增益!$K:$K,0)))/200,($F$12-$I$4+VLOOKUP($R179,武学奇术!$A:$ZZ,11,FALSE)+SUM(_xlfn.XLOOKUP($S179:$AL179,增益!$A:$A,增益!$K:$K,0)))/100)</f>
        <v>0.17</v>
      </c>
      <c r="BF179" s="40" cm="1">
        <f t="array" ref="BF179">$G$12+VLOOKUP($R179,武学奇术!$A:$ZZ,12,FALSE)+SUM(_xlfn.XLOOKUP($S179:$AL179,增益!$A:$A,增益!$L:$L,0))</f>
        <v>0.29</v>
      </c>
      <c r="BG179">
        <f t="shared" si="89"/>
        <v>0</v>
      </c>
      <c r="BH179">
        <f t="shared" si="90"/>
        <v>0</v>
      </c>
      <c r="BI179" s="40" cm="1">
        <f t="array" ref="BI179">IF($F$13-$I$4+VLOOKUP($R179,武学奇术!$A:$ZZ,13,FALSE)+SUM(_xlfn.XLOOKUP($S179:$AL179,增益!$A:$A,增益!$M:$M,0))&gt;0,($F$13-$I$4+VLOOKUP($R179,武学奇术!$A:$ZZ,13,FALSE)+SUM(_xlfn.XLOOKUP($S179:$AL179,增益!$A:$A,增益!$K:$K,0)))/200,($F$13-$I$4+VLOOKUP($R179,武学奇术!$A:$ZZ,13,FALSE)+SUM(_xlfn.XLOOKUP($S179:$AL179,增益!$A:$A,增益!$M:$M,0)))/100)</f>
        <v>-0.14</v>
      </c>
      <c r="BJ179" s="40" cm="1">
        <f t="array" ref="BJ179">$G$13+VLOOKUP($R179,武学奇术!$A:$ZZ,14,FALSE)+SUM(_xlfn.XLOOKUP($S179:$AL179,增益!$A:$A,增益!$N:$N,0))</f>
        <v>0.02</v>
      </c>
      <c r="BK179">
        <f t="shared" si="91"/>
        <v>0</v>
      </c>
      <c r="BL179">
        <f t="shared" si="92"/>
        <v>0</v>
      </c>
      <c r="BM179" s="40" cm="1">
        <f t="array" ref="BM179">IF($F$14-$I$4+VLOOKUP($R179,武学奇术!$A:$ZZ,15,FALSE)+SUM(_xlfn.XLOOKUP($S179:$AL179,增益!$A:$A,增益!$O:$O,0))&gt;0,($F$14-$I$4+VLOOKUP($R179,武学奇术!$A:$ZZ,15,FALSE)+SUM(_xlfn.XLOOKUP($S179:$AL179,增益!$A:$A,增益!$O:$O,0)))/200,($F$14-$I$4+VLOOKUP($R179,武学奇术!$A:$ZZ,15,FALSE)+SUM(_xlfn.XLOOKUP($S179:$AL179,增益!$A:$A,增益!$O:$O,0)))/100)</f>
        <v>-0.14</v>
      </c>
      <c r="BN179" s="40" cm="1">
        <f t="array" ref="BN179">$G$14+VLOOKUP($R179,武学奇术!$A:$ZZ,16,FALSE)+SUM(_xlfn.XLOOKUP($S179:$AL179,增益!$A:$A,增益!$P:$P,0))</f>
        <v>0.02</v>
      </c>
      <c r="BO179" s="33">
        <f>MIN(IF(VLOOKUP($R179,武学奇术!$A:$ZZ,23,FALSE)=1,100%,$B$8),100%)</f>
        <v>0.9771</v>
      </c>
      <c r="BP179" s="33" cm="1">
        <f t="array" ref="BP179">IF(VLOOKUP($R179,武学奇术!$A:$ZZ,23,FALSE)=1,100%,MIN(80%,$B$9+VLOOKUP($R179,武学奇术!$A:$ZZ,17,FALSE)+SUM(_xlfn.XLOOKUP($S179:$AL179,增益!$A:$A,增益!$Q:$Q,0)))+$B$11+SUM(_xlfn.XLOOKUP($S179:$AL179,增益!$A:$A,增益!$U:$U,0)))*IF(VLOOKUP($R179,武学奇术!$A:$ZZ,24,FALSE)=1,0,1)</f>
        <v>0.8861</v>
      </c>
      <c r="BQ179" s="33" cm="1">
        <f t="array" ref="BQ179">1+$B$13+VLOOKUP($R179,武学奇术!$A:$ZZ,18,FALSE)+SUM(_xlfn.XLOOKUP($S179:$AL179,增益!$A:$A,增益!$R:$R,0))</f>
        <v>1.95</v>
      </c>
      <c r="BR179" s="33" cm="1">
        <f t="array" ref="BR179">IF(VLOOKUP($R179,武学奇术!$A:$ZZ,24,FALSE)=1,100%,MIN(40%,$B$10+VLOOKUP($R179,武学奇术!$A:$ZZ,19,FALSE)+SUM(_xlfn.XLOOKUP($S179:$AL179,增益!$A:$A,增益!$S:$S,0)))+$B$12+SUM(_xlfn.XLOOKUP($S179:$AL179,增益!$A:$A,增益!$V:$V,0)))*IF(VLOOKUP($R179,武学奇术!$A:$ZZ,23,FALSE)=1,0,1)</f>
        <v>0.0913</v>
      </c>
      <c r="BS179" s="33" cm="1">
        <f t="array" ref="BS179">1+$B$14+VLOOKUP($R179,武学奇术!$A:$ZZ,20,FALSE)+SUM(_xlfn.XLOOKUP($S179:$AL179,增益!$A:$A,增益!$T:$T,0))</f>
        <v>1.35</v>
      </c>
      <c r="BT179" s="33">
        <f t="shared" si="93"/>
        <v>0.86580831</v>
      </c>
      <c r="BU179" s="33">
        <f t="shared" si="94"/>
        <v>0.02208246</v>
      </c>
      <c r="BV179" s="33">
        <f>IF(VLOOKUP($R179,武学奇术!$A:$ZZ,22,FALSE)=1,0,(1-$BO179))*(1-$BR179)</f>
        <v>0.02080923</v>
      </c>
      <c r="BW179" s="33" cm="1">
        <f t="array" ref="BW179">SUM(_xlfn.XLOOKUP($S179:$AL179,增益!$A:$A,增益!$W:$W,0))+$I$5</f>
        <v>0.31</v>
      </c>
      <c r="BX179" s="33" cm="1">
        <f t="array" ref="BX179">VLOOKUP($R179,武学奇术!$A:$ZZ,32,FALSE)+SUM(_xlfn.XLOOKUP($S179:$AL179,增益!$A:$A,增益!$X:$X,0))</f>
        <v>0</v>
      </c>
    </row>
    <row r="180" spans="1:76">
      <c r="A180" t="s">
        <v>166</v>
      </c>
      <c r="B180">
        <v>0.1</v>
      </c>
      <c r="C180" s="47"/>
      <c r="D180" s="47"/>
      <c r="E180" s="47"/>
      <c r="L180" s="46">
        <f t="shared" si="83"/>
        <v>0</v>
      </c>
      <c r="M180" s="46">
        <f>((($AT180+$AU180)/2*$AN180+$AO180)*(1+$AV180)*(1+$AW180)+(($AY180+$AZ180)/2*IF($G$1="鸣金",$AP180,$AN180)+IF($G$1="鸣金",$AQ180*1.5,0))*(1+$BA180)*(1+$BB180)+(($BC180+$BD180)/2*IF($G$1="裂石",$AP180,$AN180)+IF($G$1="裂石",$AQ180*1.5,0))*(1+$BE180)*(1+$BF180)+(($BG180+$BH180)/2*IF($G$1="牵丝",$AP180,$AN180)+IF($G$1="牵丝",$AQ180*1.5,0))*(1+$BI180)*(1+$BJ180)+(($BK180+$BL180)/2*IF($G$1="破竹",$AP180,$AN180)+IF($G$1="破竹",$AQ180*1.5,0))*(1+$BM180)*(1+$BN180))*(1+$AR180)*$BQ180*$Q180*(1+IF(VLOOKUP($R180,武学奇术!$A:$ZZ,30,FALSE)="蓄力技",$B$21,0))*(1+IF(VLOOKUP($R180,武学奇术!$A:$ZZ,30,FALSE)="派生技",$B$20,0))*(1+$BW180)*(1+$BX180)</f>
        <v>0</v>
      </c>
      <c r="N180" s="46">
        <f>(($AU180*$AN180+$AO180)*(1+$AV180)*(1+$AW180)+($AZ180*IF($G$1="鸣金",$AP180,$AN180)+IF($G$1="鸣金",$AQ180*1.5,0))*(1+$BA180)*(1+$BB180)+($BD180*IF($G$1="裂石",$AP180,$AN180)+IF($G$1="裂石",$AQ180*1.5,0))*(1+$BE180)*(1+$BF180)+($BH180*IF($G$1="牵丝",$AP180,$AN180)+IF($G$1="牵丝",$AQ180*1.5,0))*(1+$BI180)*(1+$BJ180)+($BL180*IF($G$1="破竹",$AP180,$AN180)+IF($G$1="破竹",$AQ180*1.5,0))*(1+$BM180)*(1+$BN180))*(1+$AR180)*$BS180*$Q180*(1+IF(VLOOKUP($R180,武学奇术!$A:$ZZ,30,FALSE)="蓄力技",$B$21,0))*(1+IF(VLOOKUP($R180,武学奇术!$A:$ZZ,30,FALSE)="派生技",$B$20,0))*(1+$BW180)*(1+$BX180)</f>
        <v>0</v>
      </c>
      <c r="O180" s="46">
        <f>((($AT180+$AU180)/2*$AN180+$AO180)*(1+$AV180)*(1+$AW180)+(($AY180+$AZ180)/2*IF($G$1="鸣金",$AP180,$AN180)+IF($G$1="鸣金",$AQ180*1.5,0))*(1+$BA180)*(1+$BB180)+(($BC180+$BD180)/2*IF($G$1="裂石",$AP180,$AN180)+IF($G$1="裂石",$AQ180*1.5,0))*(1+$BE180)*(1+$BF180)+(($BG180+$BH180)/2*IF($G$1="牵丝",$AP180,$AN180)+IF($G$1="牵丝",$AQ180*1.5,0))*(1+$BI180)*(1+$BJ180)+(($BK180+$BL180)/2*IF($G$1="破竹",$AP180,$AN180)+IF($G$1="破竹",$AQ180*1.5,0))*(1+$BM180)*(1+$BN180))*(1+$AR180)*$Q180*(1+IF(VLOOKUP($R180,武学奇术!$A:$ZZ,30,FALSE)="蓄力技",$B$21,0))*(1+IF(VLOOKUP($R180,武学奇术!$A:$ZZ,30,FALSE)="派生技",$B$20,0))*(1+$BW180)*(1+$BX180)</f>
        <v>0</v>
      </c>
      <c r="P180" s="46">
        <f>((($AT180*$AN180+$AO180)*(1+$AV180)*(1+$AW180)+($AY180*IF($G$1="鸣金",$AP180,$AN180)+IF($G$1="鸣金",$AQ180*1.5,0))*(1+$BA180)*(1+$BB180)+($BC180*IF($G$1="裂石",$AP180,$AN180)+IF($G$1="裂石",$AQ180*1.5,0))*(1+$BE180)*(1+$BF180)+($BG180*IF($G$1="牵丝",$AP180,$AN180)+IF($G$1="牵丝",$AQ180*1.5,0))*(1+$BI180)*(1+$BJ180)+($BK180*IF($G$1="破竹",$AP180,$AN180)+IF($G$1="破竹",$AQ180*1.5,0))*(1+$BM180)*(1+$BN180))*(1+$AR180))*$Q180*(1+IF(VLOOKUP($R180,武学奇术!$A:$ZZ,30,FALSE)="蓄力技",$B$21,0))*(1+IF(VLOOKUP($R180,武学奇术!$A:$ZZ,30,FALSE)="派生技",$B$20,0))*(1+$BW180)*(1+$BX180)</f>
        <v>0</v>
      </c>
      <c r="Q180" s="47">
        <f>IF($E$24="唐刀",5,0)</f>
        <v>0</v>
      </c>
      <c r="R180" s="48" t="s">
        <v>195</v>
      </c>
      <c r="S180" s="48" t="s">
        <v>99</v>
      </c>
      <c r="T180" s="48" t="s">
        <v>182</v>
      </c>
      <c r="U180" s="48" t="s">
        <v>79</v>
      </c>
      <c r="V180" s="48" t="s">
        <v>90</v>
      </c>
      <c r="W180" s="48" t="s">
        <v>141</v>
      </c>
      <c r="X180" s="48" t="s">
        <v>80</v>
      </c>
      <c r="Y180" s="48" t="s">
        <v>74</v>
      </c>
      <c r="Z180" s="48" t="s">
        <v>80</v>
      </c>
      <c r="AA180" s="48" t="s">
        <v>183</v>
      </c>
      <c r="AB180" s="48" t="s">
        <v>184</v>
      </c>
      <c r="AC180" s="48" t="s">
        <v>193</v>
      </c>
      <c r="AD180" s="48" t="s">
        <v>80</v>
      </c>
      <c r="AE180" s="48" t="s">
        <v>82</v>
      </c>
      <c r="AF180" s="48" t="s">
        <v>83</v>
      </c>
      <c r="AG180" s="48" t="s">
        <v>84</v>
      </c>
      <c r="AH180" s="48" t="s">
        <v>80</v>
      </c>
      <c r="AI180" s="48" t="s">
        <v>80</v>
      </c>
      <c r="AJ180" s="48" t="s">
        <v>80</v>
      </c>
      <c r="AK180" s="48" t="s">
        <v>80</v>
      </c>
      <c r="AL180" s="48" t="s">
        <v>85</v>
      </c>
      <c r="AM180" t="str">
        <f>VLOOKUP($R180,武学奇术!$A:$ZZ,25,FALSE)</f>
        <v>横刀</v>
      </c>
      <c r="AN180" s="33">
        <f>VLOOKUP($R180,武学奇术!$A:$ZZ,26,FALSE)</f>
        <v>3.6553</v>
      </c>
      <c r="AO180" s="34">
        <f>VLOOKUP($R180,武学奇术!$A:$ZZ,27,FALSE)*(1+IF(OR($AM180=$F$4,$AM180=$F$5),$B$22,0))</f>
        <v>1619.2</v>
      </c>
      <c r="AP180" s="33">
        <f>VLOOKUP($R180,武学奇术!$A:$ZZ,28,FALSE)</f>
        <v>5.4829</v>
      </c>
      <c r="AQ180" s="34">
        <f>VLOOKUP($R180,武学奇术!$A:$ZZ,29,FALSE)*(1+IF(OR($AM180=$F$4,$AM180=$F$5),$B$22,0))</f>
        <v>880</v>
      </c>
      <c r="AR180" s="33" cm="1">
        <f t="array" ref="AR180">$G$3+IFERROR(VLOOKUP($AM180,$F$4:$G$7,2,FALSE),0)+VLOOKUP($R180,武学奇术!$A:$ZZ,2,FALSE)+SUM(_xlfn.XLOOKUP($S180:$AL180,增益!$A:$A,增益!$B:$B,0))</f>
        <v>0.7089</v>
      </c>
      <c r="AS180" s="33" cm="1">
        <f t="array" ref="AS180">VLOOKUP($R180,武学奇术!$A:$ZZ,5,FALSE)+SUM(_xlfn.XLOOKUP($S180:$AL180,增益!$A:$A,增益!$E:$E,0))</f>
        <v>0</v>
      </c>
      <c r="AT180" cm="1">
        <f t="array" ref="AT180">$D$10*(1+$AS180)+VLOOKUP($R180,武学奇术!$A:$ZZ,3,FALSE)+SUM(_xlfn.XLOOKUP($S180:$AL180,增益!$A:$A,增益!$C:$C,0))-$I$2</f>
        <v>4094.7</v>
      </c>
      <c r="AU180" cm="1">
        <f t="array" ref="AU180">$E$10*(1+$AS180)+VLOOKUP($R180,武学奇术!$A:$ZZ,4,FALSE)+SUM(_xlfn.XLOOKUP($S180:$AL180,增益!$A:$A,增益!$D:$D,0))-$I$2</f>
        <v>4094.7</v>
      </c>
      <c r="AV180" s="40" cm="1">
        <f t="array" ref="AV180">IF($F$10-$I$3+VLOOKUP($R180,武学奇术!$A:$ZZ,6,FALSE)+SUM(_xlfn.XLOOKUP($S180:$AL180,增益!$A:$A,增益!$F:$F,0))&gt;0,($F$10-$I$3+VLOOKUP($R180,武学奇术!$A:$ZZ,6,FALSE)+SUM(_xlfn.XLOOKUP($S180:$AL180,增益!$A:$A,增益!$F:$F,0)))/200,($F$10-$I$3+VLOOKUP($R180,武学奇术!$A:$ZZ,6,FALSE)+SUM(_xlfn.XLOOKUP($S180:$AL180,增益!$A:$A,增益!$F:$F,0)))/100)</f>
        <v>0.4384</v>
      </c>
      <c r="AW180" s="40" cm="1">
        <f t="array" ref="AW180">$G$10+VLOOKUP($R180,武学奇术!$A:$ZZ,7,FALSE)+SUM(_xlfn.XLOOKUP($S180:$AL180,增益!$A:$A,增益!$G:$G,0))</f>
        <v>0.14</v>
      </c>
      <c r="AX180" s="33" cm="1">
        <f t="array" ref="AX180">VLOOKUP($R180,武学奇术!$A:$ZZ,8,FALSE)+SUM(_xlfn.XLOOKUP($S180:$AL180,增益!$A:$A,增益!$H:$H,0))</f>
        <v>0</v>
      </c>
      <c r="AY180">
        <f t="shared" si="85"/>
        <v>0</v>
      </c>
      <c r="AZ180">
        <f t="shared" si="86"/>
        <v>0</v>
      </c>
      <c r="BA180" s="40" cm="1">
        <f t="array" ref="BA180">IF($F$11-$I$4+VLOOKUP($R180,武学奇术!$A:$ZZ,9,FALSE)+SUM(_xlfn.XLOOKUP($S180:$AL180,增益!$A:$A,增益!$I:$I,0))&gt;0,($F$11-$I$4+VLOOKUP($R180,武学奇术!$A:$ZZ,9,FALSE)+SUM(_xlfn.XLOOKUP($S180:$AL180,增益!$A:$A,增益!$I:$I,0)))/200,($F$11-$I$4+VLOOKUP($R180,武学奇术!$A:$ZZ,9,FALSE)+SUM(_xlfn.XLOOKUP($S180:$AL180,增益!$A:$A,增益!$I:$I,0)))/100)</f>
        <v>-0.14</v>
      </c>
      <c r="BB180" s="40" cm="1">
        <f t="array" ref="BB180">$G$11+VLOOKUP($R180,武学奇术!$A:$ZZ,10,FALSE)+SUM(_xlfn.XLOOKUP($S180:$AL180,增益!$A:$A,增益!$J:$J,0))</f>
        <v>0.12</v>
      </c>
      <c r="BC180">
        <f t="shared" si="87"/>
        <v>640.3</v>
      </c>
      <c r="BD180">
        <f t="shared" si="88"/>
        <v>1770.1</v>
      </c>
      <c r="BE180" s="40" cm="1">
        <f t="array" ref="BE180">IF($F$12-$I$4+VLOOKUP($R180,武学奇术!$A:$ZZ,11,FALSE)+SUM(_xlfn.XLOOKUP($S180:$AL180,增益!$A:$A,增益!$K:$K,0))&gt;0,($F$12-$I$4+VLOOKUP($R180,武学奇术!$A:$ZZ,11,FALSE)+SUM(_xlfn.XLOOKUP($S180:$AL180,增益!$A:$A,增益!$K:$K,0)))/200,($F$12-$I$4+VLOOKUP($R180,武学奇术!$A:$ZZ,11,FALSE)+SUM(_xlfn.XLOOKUP($S180:$AL180,增益!$A:$A,增益!$K:$K,0)))/100)</f>
        <v>0.17</v>
      </c>
      <c r="BF180" s="40" cm="1">
        <f t="array" ref="BF180">$G$12+VLOOKUP($R180,武学奇术!$A:$ZZ,12,FALSE)+SUM(_xlfn.XLOOKUP($S180:$AL180,增益!$A:$A,增益!$L:$L,0))</f>
        <v>0.29</v>
      </c>
      <c r="BG180">
        <f t="shared" si="89"/>
        <v>0</v>
      </c>
      <c r="BH180">
        <f t="shared" si="90"/>
        <v>0</v>
      </c>
      <c r="BI180" s="40" cm="1">
        <f t="array" ref="BI180">IF($F$13-$I$4+VLOOKUP($R180,武学奇术!$A:$ZZ,13,FALSE)+SUM(_xlfn.XLOOKUP($S180:$AL180,增益!$A:$A,增益!$M:$M,0))&gt;0,($F$13-$I$4+VLOOKUP($R180,武学奇术!$A:$ZZ,13,FALSE)+SUM(_xlfn.XLOOKUP($S180:$AL180,增益!$A:$A,增益!$K:$K,0)))/200,($F$13-$I$4+VLOOKUP($R180,武学奇术!$A:$ZZ,13,FALSE)+SUM(_xlfn.XLOOKUP($S180:$AL180,增益!$A:$A,增益!$M:$M,0)))/100)</f>
        <v>-0.14</v>
      </c>
      <c r="BJ180" s="40" cm="1">
        <f t="array" ref="BJ180">$G$13+VLOOKUP($R180,武学奇术!$A:$ZZ,14,FALSE)+SUM(_xlfn.XLOOKUP($S180:$AL180,增益!$A:$A,增益!$N:$N,0))</f>
        <v>0.02</v>
      </c>
      <c r="BK180">
        <f t="shared" si="91"/>
        <v>0</v>
      </c>
      <c r="BL180">
        <f t="shared" si="92"/>
        <v>0</v>
      </c>
      <c r="BM180" s="40" cm="1">
        <f t="array" ref="BM180">IF($F$14-$I$4+VLOOKUP($R180,武学奇术!$A:$ZZ,15,FALSE)+SUM(_xlfn.XLOOKUP($S180:$AL180,增益!$A:$A,增益!$O:$O,0))&gt;0,($F$14-$I$4+VLOOKUP($R180,武学奇术!$A:$ZZ,15,FALSE)+SUM(_xlfn.XLOOKUP($S180:$AL180,增益!$A:$A,增益!$O:$O,0)))/200,($F$14-$I$4+VLOOKUP($R180,武学奇术!$A:$ZZ,15,FALSE)+SUM(_xlfn.XLOOKUP($S180:$AL180,增益!$A:$A,增益!$O:$O,0)))/100)</f>
        <v>-0.14</v>
      </c>
      <c r="BN180" s="40" cm="1">
        <f t="array" ref="BN180">$G$14+VLOOKUP($R180,武学奇术!$A:$ZZ,16,FALSE)+SUM(_xlfn.XLOOKUP($S180:$AL180,增益!$A:$A,增益!$P:$P,0))</f>
        <v>0.02</v>
      </c>
      <c r="BO180" s="33">
        <f>MIN(IF(VLOOKUP($R180,武学奇术!$A:$ZZ,23,FALSE)=1,100%,$B$8),100%)</f>
        <v>0.9771</v>
      </c>
      <c r="BP180" s="33" cm="1">
        <f t="array" ref="BP180">IF(VLOOKUP($R180,武学奇术!$A:$ZZ,23,FALSE)=1,100%,MIN(80%,$B$9+VLOOKUP($R180,武学奇术!$A:$ZZ,17,FALSE)+SUM(_xlfn.XLOOKUP($S180:$AL180,增益!$A:$A,增益!$Q:$Q,0)))+$B$11+SUM(_xlfn.XLOOKUP($S180:$AL180,增益!$A:$A,增益!$U:$U,0)))*IF(VLOOKUP($R180,武学奇术!$A:$ZZ,24,FALSE)=1,0,1)</f>
        <v>0.8861</v>
      </c>
      <c r="BQ180" s="33" cm="1">
        <f t="array" ref="BQ180">1+$B$13+VLOOKUP($R180,武学奇术!$A:$ZZ,18,FALSE)+SUM(_xlfn.XLOOKUP($S180:$AL180,增益!$A:$A,增益!$R:$R,0))</f>
        <v>2</v>
      </c>
      <c r="BR180" s="33" cm="1">
        <f t="array" ref="BR180">IF(VLOOKUP($R180,武学奇术!$A:$ZZ,24,FALSE)=1,100%,MIN(40%,$B$10+VLOOKUP($R180,武学奇术!$A:$ZZ,19,FALSE)+SUM(_xlfn.XLOOKUP($S180:$AL180,增益!$A:$A,增益!$S:$S,0)))+$B$12+SUM(_xlfn.XLOOKUP($S180:$AL180,增益!$A:$A,增益!$V:$V,0)))*IF(VLOOKUP($R180,武学奇术!$A:$ZZ,23,FALSE)=1,0,1)</f>
        <v>0.0913</v>
      </c>
      <c r="BS180" s="33" cm="1">
        <f t="array" ref="BS180">1+$B$14+VLOOKUP($R180,武学奇术!$A:$ZZ,20,FALSE)+SUM(_xlfn.XLOOKUP($S180:$AL180,增益!$A:$A,增益!$T:$T,0))</f>
        <v>1.35</v>
      </c>
      <c r="BT180" s="33">
        <f t="shared" si="93"/>
        <v>0.86580831</v>
      </c>
      <c r="BU180" s="33">
        <f t="shared" si="94"/>
        <v>0.02208246</v>
      </c>
      <c r="BV180" s="33">
        <f>IF(VLOOKUP($R180,武学奇术!$A:$ZZ,22,FALSE)=1,0,(1-$BO180))*(1-$BR180)</f>
        <v>0.02080923</v>
      </c>
      <c r="BW180" s="33" cm="1">
        <f t="array" ref="BW180">SUM(_xlfn.XLOOKUP($S180:$AL180,增益!$A:$A,增益!$W:$W,0))+$I$5</f>
        <v>0.31</v>
      </c>
      <c r="BX180" s="33" cm="1">
        <f t="array" ref="BX180">VLOOKUP($R180,武学奇术!$A:$ZZ,32,FALSE)+SUM(_xlfn.XLOOKUP($S180:$AL180,增益!$A:$A,增益!$X:$X,0))</f>
        <v>0</v>
      </c>
    </row>
    <row r="181" spans="1:76">
      <c r="A181" t="s">
        <v>179</v>
      </c>
      <c r="B181">
        <v>1</v>
      </c>
      <c r="C181" s="47"/>
      <c r="D181" s="47"/>
      <c r="E181" s="47"/>
      <c r="L181" s="46">
        <f t="shared" si="83"/>
        <v>0</v>
      </c>
      <c r="M181" s="46">
        <f>((($AT181+$AU181)/2*$AN181+$AO181)*(1+$AV181)*(1+$AW181)+(($AY181+$AZ181)/2*IF($G$1="鸣金",$AP181,$AN181)+IF($G$1="鸣金",$AQ181*1.5,0))*(1+$BA181)*(1+$BB181)+(($BC181+$BD181)/2*IF($G$1="裂石",$AP181,$AN181)+IF($G$1="裂石",$AQ181*1.5,0))*(1+$BE181)*(1+$BF181)+(($BG181+$BH181)/2*IF($G$1="牵丝",$AP181,$AN181)+IF($G$1="牵丝",$AQ181*1.5,0))*(1+$BI181)*(1+$BJ181)+(($BK181+$BL181)/2*IF($G$1="破竹",$AP181,$AN181)+IF($G$1="破竹",$AQ181*1.5,0))*(1+$BM181)*(1+$BN181))*(1+$AR181)*$BQ181*$Q181*(1+IF(VLOOKUP($R181,武学奇术!$A:$ZZ,30,FALSE)="蓄力技",$B$21,0))*(1+IF(VLOOKUP($R181,武学奇术!$A:$ZZ,30,FALSE)="派生技",$B$20,0))*(1+$BW181)*(1+$BX181)</f>
        <v>0</v>
      </c>
      <c r="N181" s="46">
        <f>(($AU181*$AN181+$AO181)*(1+$AV181)*(1+$AW181)+($AZ181*IF($G$1="鸣金",$AP181,$AN181)+IF($G$1="鸣金",$AQ181*1.5,0))*(1+$BA181)*(1+$BB181)+($BD181*IF($G$1="裂石",$AP181,$AN181)+IF($G$1="裂石",$AQ181*1.5,0))*(1+$BE181)*(1+$BF181)+($BH181*IF($G$1="牵丝",$AP181,$AN181)+IF($G$1="牵丝",$AQ181*1.5,0))*(1+$BI181)*(1+$BJ181)+($BL181*IF($G$1="破竹",$AP181,$AN181)+IF($G$1="破竹",$AQ181*1.5,0))*(1+$BM181)*(1+$BN181))*(1+$AR181)*$BS181*$Q181*(1+IF(VLOOKUP($R181,武学奇术!$A:$ZZ,30,FALSE)="蓄力技",$B$21,0))*(1+IF(VLOOKUP($R181,武学奇术!$A:$ZZ,30,FALSE)="派生技",$B$20,0))*(1+$BW181)*(1+$BX181)</f>
        <v>0</v>
      </c>
      <c r="O181" s="46">
        <f>((($AT181+$AU181)/2*$AN181+$AO181)*(1+$AV181)*(1+$AW181)+(($AY181+$AZ181)/2*IF($G$1="鸣金",$AP181,$AN181)+IF($G$1="鸣金",$AQ181*1.5,0))*(1+$BA181)*(1+$BB181)+(($BC181+$BD181)/2*IF($G$1="裂石",$AP181,$AN181)+IF($G$1="裂石",$AQ181*1.5,0))*(1+$BE181)*(1+$BF181)+(($BG181+$BH181)/2*IF($G$1="牵丝",$AP181,$AN181)+IF($G$1="牵丝",$AQ181*1.5,0))*(1+$BI181)*(1+$BJ181)+(($BK181+$BL181)/2*IF($G$1="破竹",$AP181,$AN181)+IF($G$1="破竹",$AQ181*1.5,0))*(1+$BM181)*(1+$BN181))*(1+$AR181)*$Q181*(1+IF(VLOOKUP($R181,武学奇术!$A:$ZZ,30,FALSE)="蓄力技",$B$21,0))*(1+IF(VLOOKUP($R181,武学奇术!$A:$ZZ,30,FALSE)="派生技",$B$20,0))*(1+$BW181)*(1+$BX181)</f>
        <v>0</v>
      </c>
      <c r="P181" s="46">
        <f>((($AT181*$AN181+$AO181)*(1+$AV181)*(1+$AW181)+($AY181*IF($G$1="鸣金",$AP181,$AN181)+IF($G$1="鸣金",$AQ181*1.5,0))*(1+$BA181)*(1+$BB181)+($BC181*IF($G$1="裂石",$AP181,$AN181)+IF($G$1="裂石",$AQ181*1.5,0))*(1+$BE181)*(1+$BF181)+($BG181*IF($G$1="牵丝",$AP181,$AN181)+IF($G$1="牵丝",$AQ181*1.5,0))*(1+$BI181)*(1+$BJ181)+($BK181*IF($G$1="破竹",$AP181,$AN181)+IF($G$1="破竹",$AQ181*1.5,0))*(1+$BM181)*(1+$BN181))*(1+$AR181))*$Q181*(1+IF(VLOOKUP($R181,武学奇术!$A:$ZZ,30,FALSE)="蓄力技",$B$21,0))*(1+IF(VLOOKUP($R181,武学奇术!$A:$ZZ,30,FALSE)="派生技",$B$20,0))*(1+$BW181)*(1+$BX181)</f>
        <v>0</v>
      </c>
      <c r="Q181" s="47">
        <f>IF($E$24="唐刀",5,0)</f>
        <v>0</v>
      </c>
      <c r="R181" s="48" t="s">
        <v>196</v>
      </c>
      <c r="S181" s="48" t="s">
        <v>99</v>
      </c>
      <c r="T181" s="48" t="s">
        <v>182</v>
      </c>
      <c r="U181" s="48" t="s">
        <v>79</v>
      </c>
      <c r="V181" s="48" t="s">
        <v>90</v>
      </c>
      <c r="W181" s="48" t="s">
        <v>141</v>
      </c>
      <c r="X181" s="48" t="s">
        <v>80</v>
      </c>
      <c r="Y181" s="48" t="s">
        <v>74</v>
      </c>
      <c r="Z181" s="48" t="s">
        <v>80</v>
      </c>
      <c r="AA181" s="48" t="s">
        <v>183</v>
      </c>
      <c r="AB181" s="48" t="s">
        <v>184</v>
      </c>
      <c r="AC181" s="48" t="s">
        <v>193</v>
      </c>
      <c r="AD181" s="48" t="s">
        <v>80</v>
      </c>
      <c r="AE181" s="48" t="s">
        <v>82</v>
      </c>
      <c r="AF181" s="48" t="s">
        <v>83</v>
      </c>
      <c r="AG181" s="48" t="s">
        <v>84</v>
      </c>
      <c r="AH181" s="48" t="s">
        <v>80</v>
      </c>
      <c r="AI181" s="48" t="s">
        <v>80</v>
      </c>
      <c r="AJ181" s="48" t="s">
        <v>80</v>
      </c>
      <c r="AK181" s="48" t="s">
        <v>80</v>
      </c>
      <c r="AL181" s="48" t="s">
        <v>85</v>
      </c>
      <c r="AM181" t="str">
        <f>VLOOKUP($R181,武学奇术!$A:$ZZ,25,FALSE)</f>
        <v>横刀</v>
      </c>
      <c r="AN181" s="33">
        <f>VLOOKUP($R181,武学奇术!$A:$ZZ,26,FALSE)</f>
        <v>1.47</v>
      </c>
      <c r="AO181" s="34">
        <f>VLOOKUP($R181,武学奇术!$A:$ZZ,27,FALSE)*(1+IF(OR($AM181=$F$4,$AM181=$F$5),$B$22,0))</f>
        <v>0</v>
      </c>
      <c r="AP181" s="33">
        <f>VLOOKUP($R181,武学奇术!$A:$ZZ,28,FALSE)</f>
        <v>2.205</v>
      </c>
      <c r="AQ181" s="34">
        <f>VLOOKUP($R181,武学奇术!$A:$ZZ,29,FALSE)*(1+IF(OR($AM181=$F$4,$AM181=$F$5),$B$22,0))</f>
        <v>0</v>
      </c>
      <c r="AR181" s="33" cm="1">
        <f t="array" ref="AR181">$G$3+IFERROR(VLOOKUP($AM181,$F$4:$G$7,2,FALSE),0)+VLOOKUP($R181,武学奇术!$A:$ZZ,2,FALSE)+SUM(_xlfn.XLOOKUP($S181:$AL181,增益!$A:$A,增益!$B:$B,0))</f>
        <v>0.6089</v>
      </c>
      <c r="AS181" s="33" cm="1">
        <f t="array" ref="AS181">VLOOKUP($R181,武学奇术!$A:$ZZ,5,FALSE)+SUM(_xlfn.XLOOKUP($S181:$AL181,增益!$A:$A,增益!$E:$E,0))</f>
        <v>0</v>
      </c>
      <c r="AT181" cm="1">
        <f t="array" ref="AT181">$D$10*(1+$AS181)+VLOOKUP($R181,武学奇术!$A:$ZZ,3,FALSE)+SUM(_xlfn.XLOOKUP($S181:$AL181,增益!$A:$A,增益!$C:$C,0))-$I$2</f>
        <v>4094.7</v>
      </c>
      <c r="AU181" cm="1">
        <f t="array" ref="AU181">$E$10*(1+$AS181)+VLOOKUP($R181,武学奇术!$A:$ZZ,4,FALSE)+SUM(_xlfn.XLOOKUP($S181:$AL181,增益!$A:$A,增益!$D:$D,0))-$I$2</f>
        <v>4094.7</v>
      </c>
      <c r="AV181" s="40" cm="1">
        <f t="array" ref="AV181">IF($F$10-$I$3+VLOOKUP($R181,武学奇术!$A:$ZZ,6,FALSE)+SUM(_xlfn.XLOOKUP($S181:$AL181,增益!$A:$A,增益!$F:$F,0))&gt;0,($F$10-$I$3+VLOOKUP($R181,武学奇术!$A:$ZZ,6,FALSE)+SUM(_xlfn.XLOOKUP($S181:$AL181,增益!$A:$A,增益!$F:$F,0)))/200,($F$10-$I$3+VLOOKUP($R181,武学奇术!$A:$ZZ,6,FALSE)+SUM(_xlfn.XLOOKUP($S181:$AL181,增益!$A:$A,增益!$F:$F,0)))/100)</f>
        <v>0.4384</v>
      </c>
      <c r="AW181" s="40" cm="1">
        <f t="array" ref="AW181">$G$10+VLOOKUP($R181,武学奇术!$A:$ZZ,7,FALSE)+SUM(_xlfn.XLOOKUP($S181:$AL181,增益!$A:$A,增益!$G:$G,0))</f>
        <v>0.14</v>
      </c>
      <c r="AX181" s="33" cm="1">
        <f t="array" ref="AX181">VLOOKUP($R181,武学奇术!$A:$ZZ,8,FALSE)+SUM(_xlfn.XLOOKUP($S181:$AL181,增益!$A:$A,增益!$H:$H,0))</f>
        <v>0</v>
      </c>
      <c r="AY181">
        <f t="shared" si="85"/>
        <v>0</v>
      </c>
      <c r="AZ181">
        <f t="shared" si="86"/>
        <v>0</v>
      </c>
      <c r="BA181" s="40" cm="1">
        <f t="array" ref="BA181">IF($F$11-$I$4+VLOOKUP($R181,武学奇术!$A:$ZZ,9,FALSE)+SUM(_xlfn.XLOOKUP($S181:$AL181,增益!$A:$A,增益!$I:$I,0))&gt;0,($F$11-$I$4+VLOOKUP($R181,武学奇术!$A:$ZZ,9,FALSE)+SUM(_xlfn.XLOOKUP($S181:$AL181,增益!$A:$A,增益!$I:$I,0)))/200,($F$11-$I$4+VLOOKUP($R181,武学奇术!$A:$ZZ,9,FALSE)+SUM(_xlfn.XLOOKUP($S181:$AL181,增益!$A:$A,增益!$I:$I,0)))/100)</f>
        <v>-0.14</v>
      </c>
      <c r="BB181" s="40" cm="1">
        <f t="array" ref="BB181">$G$11+VLOOKUP($R181,武学奇术!$A:$ZZ,10,FALSE)+SUM(_xlfn.XLOOKUP($S181:$AL181,增益!$A:$A,增益!$J:$J,0))</f>
        <v>0.12</v>
      </c>
      <c r="BC181">
        <f t="shared" si="87"/>
        <v>640.3</v>
      </c>
      <c r="BD181">
        <f t="shared" si="88"/>
        <v>1770.1</v>
      </c>
      <c r="BE181" s="40" cm="1">
        <f t="array" ref="BE181">IF($F$12-$I$4+VLOOKUP($R181,武学奇术!$A:$ZZ,11,FALSE)+SUM(_xlfn.XLOOKUP($S181:$AL181,增益!$A:$A,增益!$K:$K,0))&gt;0,($F$12-$I$4+VLOOKUP($R181,武学奇术!$A:$ZZ,11,FALSE)+SUM(_xlfn.XLOOKUP($S181:$AL181,增益!$A:$A,增益!$K:$K,0)))/200,($F$12-$I$4+VLOOKUP($R181,武学奇术!$A:$ZZ,11,FALSE)+SUM(_xlfn.XLOOKUP($S181:$AL181,增益!$A:$A,增益!$K:$K,0)))/100)</f>
        <v>0.17</v>
      </c>
      <c r="BF181" s="40" cm="1">
        <f t="array" ref="BF181">$G$12+VLOOKUP($R181,武学奇术!$A:$ZZ,12,FALSE)+SUM(_xlfn.XLOOKUP($S181:$AL181,增益!$A:$A,增益!$L:$L,0))</f>
        <v>0.29</v>
      </c>
      <c r="BG181">
        <f t="shared" si="89"/>
        <v>0</v>
      </c>
      <c r="BH181">
        <f t="shared" si="90"/>
        <v>0</v>
      </c>
      <c r="BI181" s="40" cm="1">
        <f t="array" ref="BI181">IF($F$13-$I$4+VLOOKUP($R181,武学奇术!$A:$ZZ,13,FALSE)+SUM(_xlfn.XLOOKUP($S181:$AL181,增益!$A:$A,增益!$M:$M,0))&gt;0,($F$13-$I$4+VLOOKUP($R181,武学奇术!$A:$ZZ,13,FALSE)+SUM(_xlfn.XLOOKUP($S181:$AL181,增益!$A:$A,增益!$K:$K,0)))/200,($F$13-$I$4+VLOOKUP($R181,武学奇术!$A:$ZZ,13,FALSE)+SUM(_xlfn.XLOOKUP($S181:$AL181,增益!$A:$A,增益!$M:$M,0)))/100)</f>
        <v>-0.14</v>
      </c>
      <c r="BJ181" s="40" cm="1">
        <f t="array" ref="BJ181">$G$13+VLOOKUP($R181,武学奇术!$A:$ZZ,14,FALSE)+SUM(_xlfn.XLOOKUP($S181:$AL181,增益!$A:$A,增益!$N:$N,0))</f>
        <v>0.02</v>
      </c>
      <c r="BK181">
        <f t="shared" si="91"/>
        <v>0</v>
      </c>
      <c r="BL181">
        <f t="shared" si="92"/>
        <v>0</v>
      </c>
      <c r="BM181" s="40" cm="1">
        <f t="array" ref="BM181">IF($F$14-$I$4+VLOOKUP($R181,武学奇术!$A:$ZZ,15,FALSE)+SUM(_xlfn.XLOOKUP($S181:$AL181,增益!$A:$A,增益!$O:$O,0))&gt;0,($F$14-$I$4+VLOOKUP($R181,武学奇术!$A:$ZZ,15,FALSE)+SUM(_xlfn.XLOOKUP($S181:$AL181,增益!$A:$A,增益!$O:$O,0)))/200,($F$14-$I$4+VLOOKUP($R181,武学奇术!$A:$ZZ,15,FALSE)+SUM(_xlfn.XLOOKUP($S181:$AL181,增益!$A:$A,增益!$O:$O,0)))/100)</f>
        <v>-0.14</v>
      </c>
      <c r="BN181" s="40" cm="1">
        <f t="array" ref="BN181">$G$14+VLOOKUP($R181,武学奇术!$A:$ZZ,16,FALSE)+SUM(_xlfn.XLOOKUP($S181:$AL181,增益!$A:$A,增益!$P:$P,0))</f>
        <v>0.02</v>
      </c>
      <c r="BO181" s="33">
        <f>MIN(IF(VLOOKUP($R181,武学奇术!$A:$ZZ,23,FALSE)=1,100%,$B$8),100%)</f>
        <v>0.9771</v>
      </c>
      <c r="BP181" s="33" cm="1">
        <f t="array" ref="BP181">IF(VLOOKUP($R181,武学奇术!$A:$ZZ,23,FALSE)=1,100%,MIN(80%,$B$9+VLOOKUP($R181,武学奇术!$A:$ZZ,17,FALSE)+SUM(_xlfn.XLOOKUP($S181:$AL181,增益!$A:$A,增益!$Q:$Q,0)))+$B$11+SUM(_xlfn.XLOOKUP($S181:$AL181,增益!$A:$A,增益!$U:$U,0)))*IF(VLOOKUP($R181,武学奇术!$A:$ZZ,24,FALSE)=1,0,1)</f>
        <v>0.8861</v>
      </c>
      <c r="BQ181" s="33" cm="1">
        <f t="array" ref="BQ181">1+$B$13+VLOOKUP($R181,武学奇术!$A:$ZZ,18,FALSE)+SUM(_xlfn.XLOOKUP($S181:$AL181,增益!$A:$A,增益!$R:$R,0))</f>
        <v>2</v>
      </c>
      <c r="BR181" s="33" cm="1">
        <f t="array" ref="BR181">IF(VLOOKUP($R181,武学奇术!$A:$ZZ,24,FALSE)=1,100%,MIN(40%,$B$10+VLOOKUP($R181,武学奇术!$A:$ZZ,19,FALSE)+SUM(_xlfn.XLOOKUP($S181:$AL181,增益!$A:$A,增益!$S:$S,0)))+$B$12+SUM(_xlfn.XLOOKUP($S181:$AL181,增益!$A:$A,增益!$V:$V,0)))*IF(VLOOKUP($R181,武学奇术!$A:$ZZ,23,FALSE)=1,0,1)</f>
        <v>0.0913</v>
      </c>
      <c r="BS181" s="33" cm="1">
        <f t="array" ref="BS181">1+$B$14+VLOOKUP($R181,武学奇术!$A:$ZZ,20,FALSE)+SUM(_xlfn.XLOOKUP($S181:$AL181,增益!$A:$A,增益!$T:$T,0))</f>
        <v>1.35</v>
      </c>
      <c r="BT181" s="33">
        <f t="shared" si="93"/>
        <v>0.86580831</v>
      </c>
      <c r="BU181" s="33">
        <f t="shared" si="94"/>
        <v>0.02208246</v>
      </c>
      <c r="BV181" s="33">
        <f>IF(VLOOKUP($R181,武学奇术!$A:$ZZ,22,FALSE)=1,0,(1-$BO181))*(1-$BR181)</f>
        <v>0.02080923</v>
      </c>
      <c r="BW181" s="33" cm="1">
        <f t="array" ref="BW181">SUM(_xlfn.XLOOKUP($S181:$AL181,增益!$A:$A,增益!$W:$W,0))+$I$5</f>
        <v>0.31</v>
      </c>
      <c r="BX181" s="33" cm="1">
        <f t="array" ref="BX181">VLOOKUP($R181,武学奇术!$A:$ZZ,32,FALSE)+SUM(_xlfn.XLOOKUP($S181:$AL181,增益!$A:$A,增益!$X:$X,0))</f>
        <v>0.4</v>
      </c>
    </row>
    <row r="182" spans="1:76">
      <c r="A182" s="4" t="s">
        <v>188</v>
      </c>
      <c r="B182" s="4">
        <v>0.8</v>
      </c>
      <c r="D182" s="47"/>
      <c r="E182" s="47"/>
      <c r="L182" s="46">
        <f t="shared" si="83"/>
        <v>0</v>
      </c>
      <c r="M182" s="46">
        <f>((($AT182+$AU182)/2*$AN182+$AO182)*(1+$AV182)*(1+$AW182)+(($AY182+$AZ182)/2*IF($G$1="鸣金",$AP182,$AN182)+IF($G$1="鸣金",$AQ182*1.5,0))*(1+$BA182)*(1+$BB182)+(($BC182+$BD182)/2*IF($G$1="裂石",$AP182,$AN182)+IF($G$1="裂石",$AQ182*1.5,0))*(1+$BE182)*(1+$BF182)+(($BG182+$BH182)/2*IF($G$1="牵丝",$AP182,$AN182)+IF($G$1="牵丝",$AQ182*1.5,0))*(1+$BI182)*(1+$BJ182)+(($BK182+$BL182)/2*IF($G$1="破竹",$AP182,$AN182)+IF($G$1="破竹",$AQ182*1.5,0))*(1+$BM182)*(1+$BN182))*(1+$AR182)*$BQ182*$Q182*(1+IF(VLOOKUP($R182,武学奇术!$A:$ZZ,30,FALSE)="蓄力技",$B$21,0))*(1+IF(VLOOKUP($R182,武学奇术!$A:$ZZ,30,FALSE)="派生技",$B$20,0))*(1+$BW182)*(1+$BX182)</f>
        <v>0</v>
      </c>
      <c r="N182" s="46">
        <f>(($AU182*$AN182+$AO182)*(1+$AV182)*(1+$AW182)+($AZ182*IF($G$1="鸣金",$AP182,$AN182)+IF($G$1="鸣金",$AQ182*1.5,0))*(1+$BA182)*(1+$BB182)+($BD182*IF($G$1="裂石",$AP182,$AN182)+IF($G$1="裂石",$AQ182*1.5,0))*(1+$BE182)*(1+$BF182)+($BH182*IF($G$1="牵丝",$AP182,$AN182)+IF($G$1="牵丝",$AQ182*1.5,0))*(1+$BI182)*(1+$BJ182)+($BL182*IF($G$1="破竹",$AP182,$AN182)+IF($G$1="破竹",$AQ182*1.5,0))*(1+$BM182)*(1+$BN182))*(1+$AR182)*$BS182*$Q182*(1+IF(VLOOKUP($R182,武学奇术!$A:$ZZ,30,FALSE)="蓄力技",$B$21,0))*(1+IF(VLOOKUP($R182,武学奇术!$A:$ZZ,30,FALSE)="派生技",$B$20,0))*(1+$BW182)*(1+$BX182)</f>
        <v>0</v>
      </c>
      <c r="O182" s="46">
        <f>((($AT182+$AU182)/2*$AN182+$AO182)*(1+$AV182)*(1+$AW182)+(($AY182+$AZ182)/2*IF($G$1="鸣金",$AP182,$AN182)+IF($G$1="鸣金",$AQ182*1.5,0))*(1+$BA182)*(1+$BB182)+(($BC182+$BD182)/2*IF($G$1="裂石",$AP182,$AN182)+IF($G$1="裂石",$AQ182*1.5,0))*(1+$BE182)*(1+$BF182)+(($BG182+$BH182)/2*IF($G$1="牵丝",$AP182,$AN182)+IF($G$1="牵丝",$AQ182*1.5,0))*(1+$BI182)*(1+$BJ182)+(($BK182+$BL182)/2*IF($G$1="破竹",$AP182,$AN182)+IF($G$1="破竹",$AQ182*1.5,0))*(1+$BM182)*(1+$BN182))*(1+$AR182)*$Q182*(1+IF(VLOOKUP($R182,武学奇术!$A:$ZZ,30,FALSE)="蓄力技",$B$21,0))*(1+IF(VLOOKUP($R182,武学奇术!$A:$ZZ,30,FALSE)="派生技",$B$20,0))*(1+$BW182)*(1+$BX182)</f>
        <v>0</v>
      </c>
      <c r="P182" s="46">
        <f>((($AT182*$AN182+$AO182)*(1+$AV182)*(1+$AW182)+($AY182*IF($G$1="鸣金",$AP182,$AN182)+IF($G$1="鸣金",$AQ182*1.5,0))*(1+$BA182)*(1+$BB182)+($BC182*IF($G$1="裂石",$AP182,$AN182)+IF($G$1="裂石",$AQ182*1.5,0))*(1+$BE182)*(1+$BF182)+($BG182*IF($G$1="牵丝",$AP182,$AN182)+IF($G$1="牵丝",$AQ182*1.5,0))*(1+$BI182)*(1+$BJ182)+($BK182*IF($G$1="破竹",$AP182,$AN182)+IF($G$1="破竹",$AQ182*1.5,0))*(1+$BM182)*(1+$BN182))*(1+$AR182))*$Q182*(1+IF(VLOOKUP($R182,武学奇术!$A:$ZZ,30,FALSE)="蓄力技",$B$21,0))*(1+IF(VLOOKUP($R182,武学奇术!$A:$ZZ,30,FALSE)="派生技",$B$20,0))*(1+$BW182)*(1+$BX182)</f>
        <v>0</v>
      </c>
      <c r="Q182" s="47">
        <f t="shared" si="84"/>
        <v>0</v>
      </c>
      <c r="R182" s="48" t="s">
        <v>172</v>
      </c>
      <c r="S182" s="48" t="s">
        <v>99</v>
      </c>
      <c r="T182" s="48" t="s">
        <v>182</v>
      </c>
      <c r="U182" s="48" t="s">
        <v>79</v>
      </c>
      <c r="V182" s="48" t="s">
        <v>90</v>
      </c>
      <c r="W182" s="48" t="s">
        <v>141</v>
      </c>
      <c r="X182" s="48" t="s">
        <v>80</v>
      </c>
      <c r="Y182" s="48" t="s">
        <v>74</v>
      </c>
      <c r="Z182" s="48" t="s">
        <v>80</v>
      </c>
      <c r="AA182" s="48" t="s">
        <v>80</v>
      </c>
      <c r="AB182" s="48" t="s">
        <v>80</v>
      </c>
      <c r="AC182" s="48" t="s">
        <v>193</v>
      </c>
      <c r="AD182" s="48" t="s">
        <v>80</v>
      </c>
      <c r="AE182" s="48" t="s">
        <v>82</v>
      </c>
      <c r="AF182" s="48" t="s">
        <v>83</v>
      </c>
      <c r="AG182" s="48" t="s">
        <v>84</v>
      </c>
      <c r="AH182" s="48" t="s">
        <v>80</v>
      </c>
      <c r="AI182" s="48" t="s">
        <v>80</v>
      </c>
      <c r="AJ182" s="48" t="s">
        <v>80</v>
      </c>
      <c r="AK182" s="48" t="s">
        <v>80</v>
      </c>
      <c r="AL182" s="48" t="s">
        <v>85</v>
      </c>
      <c r="AM182" t="str">
        <f>VLOOKUP($R182,武学奇术!$A:$ZZ,25,FALSE)</f>
        <v>陌刀</v>
      </c>
      <c r="AN182" s="33">
        <f>VLOOKUP($R182,武学奇术!$A:$ZZ,26,FALSE)</f>
        <v>3.5256</v>
      </c>
      <c r="AO182" s="34">
        <f>VLOOKUP($R182,武学奇术!$A:$ZZ,27,FALSE)*(1+IF(OR($AM182=$F$4,$AM182=$F$5),$B$22,0))</f>
        <v>846.144</v>
      </c>
      <c r="AP182" s="33">
        <f>VLOOKUP($R182,武学奇术!$A:$ZZ,28,FALSE)</f>
        <v>5.2884</v>
      </c>
      <c r="AQ182" s="34">
        <f>VLOOKUP($R182,武学奇术!$A:$ZZ,29,FALSE)*(1+IF(OR($AM182=$F$4,$AM182=$F$5),$B$22,0))</f>
        <v>851.2</v>
      </c>
      <c r="AR182" s="33" cm="1">
        <f t="array" ref="AR182">$G$3+IFERROR(VLOOKUP($AM182,$F$4:$G$7,2,FALSE),0)+VLOOKUP($R182,武学奇术!$A:$ZZ,2,FALSE)+SUM(_xlfn.XLOOKUP($S182:$AL182,增益!$A:$A,增益!$B:$B,0))</f>
        <v>0.6943</v>
      </c>
      <c r="AS182" s="33" cm="1">
        <f t="array" ref="AS182">VLOOKUP($R182,武学奇术!$A:$ZZ,5,FALSE)+SUM(_xlfn.XLOOKUP($S182:$AL182,增益!$A:$A,增益!$E:$E,0))</f>
        <v>0</v>
      </c>
      <c r="AT182" cm="1">
        <f t="array" ref="AT182">$D$10*(1+$AS182)+VLOOKUP($R182,武学奇术!$A:$ZZ,3,FALSE)+SUM(_xlfn.XLOOKUP($S182:$AL182,增益!$A:$A,增益!$C:$C,0))-$I$2</f>
        <v>4094.7</v>
      </c>
      <c r="AU182" cm="1">
        <f t="array" ref="AU182">$E$10*(1+$AS182)+VLOOKUP($R182,武学奇术!$A:$ZZ,4,FALSE)+SUM(_xlfn.XLOOKUP($S182:$AL182,增益!$A:$A,增益!$D:$D,0))-$I$2</f>
        <v>4094.7</v>
      </c>
      <c r="AV182" s="40" cm="1">
        <f t="array" ref="AV182">IF($F$10-$I$3+VLOOKUP($R182,武学奇术!$A:$ZZ,6,FALSE)+SUM(_xlfn.XLOOKUP($S182:$AL182,增益!$A:$A,增益!$F:$F,0))&gt;0,($F$10-$I$3+VLOOKUP($R182,武学奇术!$A:$ZZ,6,FALSE)+SUM(_xlfn.XLOOKUP($S182:$AL182,增益!$A:$A,增益!$F:$F,0)))/200,($F$10-$I$3+VLOOKUP($R182,武学奇术!$A:$ZZ,6,FALSE)+SUM(_xlfn.XLOOKUP($S182:$AL182,增益!$A:$A,增益!$F:$F,0)))/100)</f>
        <v>0.4384</v>
      </c>
      <c r="AW182" s="40" cm="1">
        <f t="array" ref="AW182">$G$10+VLOOKUP($R182,武学奇术!$A:$ZZ,7,FALSE)+SUM(_xlfn.XLOOKUP($S182:$AL182,增益!$A:$A,增益!$G:$G,0))</f>
        <v>0.14</v>
      </c>
      <c r="AX182" s="33" cm="1">
        <f t="array" ref="AX182">VLOOKUP($R182,武学奇术!$A:$ZZ,8,FALSE)+SUM(_xlfn.XLOOKUP($S182:$AL182,增益!$A:$A,增益!$H:$H,0))</f>
        <v>0</v>
      </c>
      <c r="AY182">
        <f t="shared" si="85"/>
        <v>0</v>
      </c>
      <c r="AZ182">
        <f t="shared" si="86"/>
        <v>0</v>
      </c>
      <c r="BA182" s="40" cm="1">
        <f t="array" ref="BA182">IF($F$11-$I$4+VLOOKUP($R182,武学奇术!$A:$ZZ,9,FALSE)+SUM(_xlfn.XLOOKUP($S182:$AL182,增益!$A:$A,增益!$I:$I,0))&gt;0,($F$11-$I$4+VLOOKUP($R182,武学奇术!$A:$ZZ,9,FALSE)+SUM(_xlfn.XLOOKUP($S182:$AL182,增益!$A:$A,增益!$I:$I,0)))/200,($F$11-$I$4+VLOOKUP($R182,武学奇术!$A:$ZZ,9,FALSE)+SUM(_xlfn.XLOOKUP($S182:$AL182,增益!$A:$A,增益!$I:$I,0)))/100)</f>
        <v>-0.14</v>
      </c>
      <c r="BB182" s="40" cm="1">
        <f t="array" ref="BB182">$G$11+VLOOKUP($R182,武学奇术!$A:$ZZ,10,FALSE)+SUM(_xlfn.XLOOKUP($S182:$AL182,增益!$A:$A,增益!$J:$J,0))</f>
        <v>0.02</v>
      </c>
      <c r="BC182">
        <f t="shared" si="87"/>
        <v>640.3</v>
      </c>
      <c r="BD182">
        <f t="shared" si="88"/>
        <v>1770.1</v>
      </c>
      <c r="BE182" s="40" cm="1">
        <f t="array" ref="BE182">IF($F$12-$I$4+VLOOKUP($R182,武学奇术!$A:$ZZ,11,FALSE)+SUM(_xlfn.XLOOKUP($S182:$AL182,增益!$A:$A,增益!$K:$K,0))&gt;0,($F$12-$I$4+VLOOKUP($R182,武学奇术!$A:$ZZ,11,FALSE)+SUM(_xlfn.XLOOKUP($S182:$AL182,增益!$A:$A,增益!$K:$K,0)))/200,($F$12-$I$4+VLOOKUP($R182,武学奇术!$A:$ZZ,11,FALSE)+SUM(_xlfn.XLOOKUP($S182:$AL182,增益!$A:$A,增益!$K:$K,0)))/100)</f>
        <v>0.17</v>
      </c>
      <c r="BF182" s="40" cm="1">
        <f t="array" ref="BF182">$G$12+VLOOKUP($R182,武学奇术!$A:$ZZ,12,FALSE)+SUM(_xlfn.XLOOKUP($S182:$AL182,增益!$A:$A,增益!$L:$L,0))</f>
        <v>0.29</v>
      </c>
      <c r="BG182">
        <f t="shared" si="89"/>
        <v>0</v>
      </c>
      <c r="BH182">
        <f t="shared" si="90"/>
        <v>0</v>
      </c>
      <c r="BI182" s="40" cm="1">
        <f t="array" ref="BI182">IF($F$13-$I$4+VLOOKUP($R182,武学奇术!$A:$ZZ,13,FALSE)+SUM(_xlfn.XLOOKUP($S182:$AL182,增益!$A:$A,增益!$M:$M,0))&gt;0,($F$13-$I$4+VLOOKUP($R182,武学奇术!$A:$ZZ,13,FALSE)+SUM(_xlfn.XLOOKUP($S182:$AL182,增益!$A:$A,增益!$K:$K,0)))/200,($F$13-$I$4+VLOOKUP($R182,武学奇术!$A:$ZZ,13,FALSE)+SUM(_xlfn.XLOOKUP($S182:$AL182,增益!$A:$A,增益!$M:$M,0)))/100)</f>
        <v>-0.14</v>
      </c>
      <c r="BJ182" s="40" cm="1">
        <f t="array" ref="BJ182">$G$13+VLOOKUP($R182,武学奇术!$A:$ZZ,14,FALSE)+SUM(_xlfn.XLOOKUP($S182:$AL182,增益!$A:$A,增益!$N:$N,0))</f>
        <v>0.02</v>
      </c>
      <c r="BK182">
        <f t="shared" si="91"/>
        <v>0</v>
      </c>
      <c r="BL182">
        <f t="shared" si="92"/>
        <v>0</v>
      </c>
      <c r="BM182" s="40" cm="1">
        <f t="array" ref="BM182">IF($F$14-$I$4+VLOOKUP($R182,武学奇术!$A:$ZZ,15,FALSE)+SUM(_xlfn.XLOOKUP($S182:$AL182,增益!$A:$A,增益!$O:$O,0))&gt;0,($F$14-$I$4+VLOOKUP($R182,武学奇术!$A:$ZZ,15,FALSE)+SUM(_xlfn.XLOOKUP($S182:$AL182,增益!$A:$A,增益!$O:$O,0)))/200,($F$14-$I$4+VLOOKUP($R182,武学奇术!$A:$ZZ,15,FALSE)+SUM(_xlfn.XLOOKUP($S182:$AL182,增益!$A:$A,增益!$O:$O,0)))/100)</f>
        <v>-0.14</v>
      </c>
      <c r="BN182" s="40" cm="1">
        <f t="array" ref="BN182">$G$14+VLOOKUP($R182,武学奇术!$A:$ZZ,16,FALSE)+SUM(_xlfn.XLOOKUP($S182:$AL182,增益!$A:$A,增益!$P:$P,0))</f>
        <v>0.02</v>
      </c>
      <c r="BO182" s="33">
        <f>MIN(IF(VLOOKUP($R182,武学奇术!$A:$ZZ,23,FALSE)=1,100%,$B$8),100%)</f>
        <v>0.9771</v>
      </c>
      <c r="BP182" s="33" cm="1">
        <f t="array" ref="BP182">IF(VLOOKUP($R182,武学奇术!$A:$ZZ,23,FALSE)=1,100%,MIN(80%,$B$9+VLOOKUP($R182,武学奇术!$A:$ZZ,17,FALSE)+SUM(_xlfn.XLOOKUP($S182:$AL182,增益!$A:$A,增益!$Q:$Q,0)))+$B$11+SUM(_xlfn.XLOOKUP($S182:$AL182,增益!$A:$A,增益!$U:$U,0)))*IF(VLOOKUP($R182,武学奇术!$A:$ZZ,24,FALSE)=1,0,1)</f>
        <v>0.8861</v>
      </c>
      <c r="BQ182" s="33" cm="1">
        <f t="array" ref="BQ182">1+$B$13+VLOOKUP($R182,武学奇术!$A:$ZZ,18,FALSE)+SUM(_xlfn.XLOOKUP($S182:$AL182,增益!$A:$A,增益!$R:$R,0))</f>
        <v>2</v>
      </c>
      <c r="BR182" s="33" cm="1">
        <f t="array" ref="BR182">IF(VLOOKUP($R182,武学奇术!$A:$ZZ,24,FALSE)=1,100%,MIN(40%,$B$10+VLOOKUP($R182,武学奇术!$A:$ZZ,19,FALSE)+SUM(_xlfn.XLOOKUP($S182:$AL182,增益!$A:$A,增益!$S:$S,0)))+$B$12+SUM(_xlfn.XLOOKUP($S182:$AL182,增益!$A:$A,增益!$V:$V,0)))*IF(VLOOKUP($R182,武学奇术!$A:$ZZ,23,FALSE)=1,0,1)</f>
        <v>0.0913</v>
      </c>
      <c r="BS182" s="33" cm="1">
        <f t="array" ref="BS182">1+$B$14+VLOOKUP($R182,武学奇术!$A:$ZZ,20,FALSE)+SUM(_xlfn.XLOOKUP($S182:$AL182,增益!$A:$A,增益!$T:$T,0))</f>
        <v>1.35</v>
      </c>
      <c r="BT182" s="33">
        <f t="shared" si="93"/>
        <v>0.86580831</v>
      </c>
      <c r="BU182" s="33">
        <f t="shared" si="94"/>
        <v>0.02208246</v>
      </c>
      <c r="BV182" s="33">
        <f>IF(VLOOKUP($R182,武学奇术!$A:$ZZ,22,FALSE)=1,0,(1-$BO182))*(1-$BR182)</f>
        <v>0.02080923</v>
      </c>
      <c r="BW182" s="33" cm="1">
        <f t="array" ref="BW182">SUM(_xlfn.XLOOKUP($S182:$AL182,增益!$A:$A,增益!$W:$W,0))+$I$5</f>
        <v>0.11</v>
      </c>
      <c r="BX182" s="33" cm="1">
        <f t="array" ref="BX182">VLOOKUP($R182,武学奇术!$A:$ZZ,32,FALSE)+SUM(_xlfn.XLOOKUP($S182:$AL182,增益!$A:$A,增益!$X:$X,0))</f>
        <v>0</v>
      </c>
    </row>
    <row r="183" spans="1:76">
      <c r="A183" t="s">
        <v>180</v>
      </c>
      <c r="B183">
        <v>1</v>
      </c>
      <c r="D183" s="47"/>
      <c r="E183" s="47"/>
      <c r="L183" s="46">
        <f t="shared" si="83"/>
        <v>0</v>
      </c>
      <c r="M183" s="46">
        <f>((($AT183+$AU183)/2*$AN183+$AO183)*(1+$AV183)*(1+$AW183)+(($AY183+$AZ183)/2*IF($G$1="鸣金",$AP183,$AN183)+IF($G$1="鸣金",$AQ183*1.5,0))*(1+$BA183)*(1+$BB183)+(($BC183+$BD183)/2*IF($G$1="裂石",$AP183,$AN183)+IF($G$1="裂石",$AQ183*1.5,0))*(1+$BE183)*(1+$BF183)+(($BG183+$BH183)/2*IF($G$1="牵丝",$AP183,$AN183)+IF($G$1="牵丝",$AQ183*1.5,0))*(1+$BI183)*(1+$BJ183)+(($BK183+$BL183)/2*IF($G$1="破竹",$AP183,$AN183)+IF($G$1="破竹",$AQ183*1.5,0))*(1+$BM183)*(1+$BN183))*(1+$AR183)*$BQ183*$Q183*(1+IF(VLOOKUP($R183,武学奇术!$A:$ZZ,30,FALSE)="蓄力技",$B$21,0))*(1+IF(VLOOKUP($R183,武学奇术!$A:$ZZ,30,FALSE)="派生技",$B$20,0))*(1+$BW183)*(1+$BX183)</f>
        <v>0</v>
      </c>
      <c r="N183" s="46">
        <f>(($AU183*$AN183+$AO183)*(1+$AV183)*(1+$AW183)+($AZ183*IF($G$1="鸣金",$AP183,$AN183)+IF($G$1="鸣金",$AQ183*1.5,0))*(1+$BA183)*(1+$BB183)+($BD183*IF($G$1="裂石",$AP183,$AN183)+IF($G$1="裂石",$AQ183*1.5,0))*(1+$BE183)*(1+$BF183)+($BH183*IF($G$1="牵丝",$AP183,$AN183)+IF($G$1="牵丝",$AQ183*1.5,0))*(1+$BI183)*(1+$BJ183)+($BL183*IF($G$1="破竹",$AP183,$AN183)+IF($G$1="破竹",$AQ183*1.5,0))*(1+$BM183)*(1+$BN183))*(1+$AR183)*$BS183*$Q183*(1+IF(VLOOKUP($R183,武学奇术!$A:$ZZ,30,FALSE)="蓄力技",$B$21,0))*(1+IF(VLOOKUP($R183,武学奇术!$A:$ZZ,30,FALSE)="派生技",$B$20,0))*(1+$BW183)*(1+$BX183)</f>
        <v>0</v>
      </c>
      <c r="O183" s="46">
        <f>((($AT183+$AU183)/2*$AN183+$AO183)*(1+$AV183)*(1+$AW183)+(($AY183+$AZ183)/2*IF($G$1="鸣金",$AP183,$AN183)+IF($G$1="鸣金",$AQ183*1.5,0))*(1+$BA183)*(1+$BB183)+(($BC183+$BD183)/2*IF($G$1="裂石",$AP183,$AN183)+IF($G$1="裂石",$AQ183*1.5,0))*(1+$BE183)*(1+$BF183)+(($BG183+$BH183)/2*IF($G$1="牵丝",$AP183,$AN183)+IF($G$1="牵丝",$AQ183*1.5,0))*(1+$BI183)*(1+$BJ183)+(($BK183+$BL183)/2*IF($G$1="破竹",$AP183,$AN183)+IF($G$1="破竹",$AQ183*1.5,0))*(1+$BM183)*(1+$BN183))*(1+$AR183)*$Q183*(1+IF(VLOOKUP($R183,武学奇术!$A:$ZZ,30,FALSE)="蓄力技",$B$21,0))*(1+IF(VLOOKUP($R183,武学奇术!$A:$ZZ,30,FALSE)="派生技",$B$20,0))*(1+$BW183)*(1+$BX183)</f>
        <v>0</v>
      </c>
      <c r="P183" s="46">
        <f>((($AT183*$AN183+$AO183)*(1+$AV183)*(1+$AW183)+($AY183*IF($G$1="鸣金",$AP183,$AN183)+IF($G$1="鸣金",$AQ183*1.5,0))*(1+$BA183)*(1+$BB183)+($BC183*IF($G$1="裂石",$AP183,$AN183)+IF($G$1="裂石",$AQ183*1.5,0))*(1+$BE183)*(1+$BF183)+($BG183*IF($G$1="牵丝",$AP183,$AN183)+IF($G$1="牵丝",$AQ183*1.5,0))*(1+$BI183)*(1+$BJ183)+($BK183*IF($G$1="破竹",$AP183,$AN183)+IF($G$1="破竹",$AQ183*1.5,0))*(1+$BM183)*(1+$BN183))*(1+$AR183))*$Q183*(1+IF(VLOOKUP($R183,武学奇术!$A:$ZZ,30,FALSE)="蓄力技",$B$21,0))*(1+IF(VLOOKUP($R183,武学奇术!$A:$ZZ,30,FALSE)="派生技",$B$20,0))*(1+$BW183)*(1+$BX183)</f>
        <v>0</v>
      </c>
      <c r="Q183" s="47">
        <f t="shared" si="84"/>
        <v>0</v>
      </c>
      <c r="R183" s="48" t="s">
        <v>173</v>
      </c>
      <c r="S183" s="48" t="s">
        <v>99</v>
      </c>
      <c r="T183" s="48" t="s">
        <v>182</v>
      </c>
      <c r="U183" s="48" t="s">
        <v>79</v>
      </c>
      <c r="V183" s="48" t="s">
        <v>90</v>
      </c>
      <c r="W183" s="48" t="s">
        <v>141</v>
      </c>
      <c r="X183" s="48" t="s">
        <v>80</v>
      </c>
      <c r="Y183" s="48" t="s">
        <v>74</v>
      </c>
      <c r="Z183" s="48" t="s">
        <v>80</v>
      </c>
      <c r="AA183" s="48" t="s">
        <v>80</v>
      </c>
      <c r="AB183" s="48" t="s">
        <v>80</v>
      </c>
      <c r="AC183" s="48" t="s">
        <v>193</v>
      </c>
      <c r="AD183" s="48" t="s">
        <v>80</v>
      </c>
      <c r="AE183" s="48" t="s">
        <v>82</v>
      </c>
      <c r="AF183" s="48" t="s">
        <v>83</v>
      </c>
      <c r="AG183" s="48" t="s">
        <v>84</v>
      </c>
      <c r="AH183" s="48" t="s">
        <v>80</v>
      </c>
      <c r="AI183" s="48" t="s">
        <v>80</v>
      </c>
      <c r="AJ183" s="48" t="s">
        <v>80</v>
      </c>
      <c r="AK183" s="48" t="s">
        <v>80</v>
      </c>
      <c r="AL183" s="48" t="s">
        <v>85</v>
      </c>
      <c r="AM183" t="str">
        <f>VLOOKUP($R183,武学奇术!$A:$ZZ,25,FALSE)</f>
        <v>陌刀</v>
      </c>
      <c r="AN183" s="33">
        <f>VLOOKUP($R183,武学奇术!$A:$ZZ,26,FALSE)</f>
        <v>1.05</v>
      </c>
      <c r="AO183" s="34">
        <f>VLOOKUP($R183,武学奇术!$A:$ZZ,27,FALSE)*(1+IF(OR($AM183=$F$4,$AM183=$F$5),$B$22,0))</f>
        <v>0</v>
      </c>
      <c r="AP183" s="33">
        <f>VLOOKUP($R183,武学奇术!$A:$ZZ,28,FALSE)</f>
        <v>1.575</v>
      </c>
      <c r="AQ183" s="34">
        <f>VLOOKUP($R183,武学奇术!$A:$ZZ,29,FALSE)*(1+IF(OR($AM183=$F$4,$AM183=$F$5),$B$22,0))</f>
        <v>0</v>
      </c>
      <c r="AR183" s="33" cm="1">
        <f t="array" ref="AR183">$G$3+IFERROR(VLOOKUP($AM183,$F$4:$G$7,2,FALSE),0)+VLOOKUP($R183,武学奇术!$A:$ZZ,2,FALSE)+SUM(_xlfn.XLOOKUP($S183:$AL183,增益!$A:$A,增益!$B:$B,0))</f>
        <v>0.6943</v>
      </c>
      <c r="AS183" s="33" cm="1">
        <f t="array" ref="AS183">VLOOKUP($R183,武学奇术!$A:$ZZ,5,FALSE)+SUM(_xlfn.XLOOKUP($S183:$AL183,增益!$A:$A,增益!$E:$E,0))</f>
        <v>0</v>
      </c>
      <c r="AT183" cm="1">
        <f t="array" ref="AT183">$D$10*(1+$AS183)+VLOOKUP($R183,武学奇术!$A:$ZZ,3,FALSE)+SUM(_xlfn.XLOOKUP($S183:$AL183,增益!$A:$A,增益!$C:$C,0))-$I$2</f>
        <v>4094.7</v>
      </c>
      <c r="AU183" cm="1">
        <f t="array" ref="AU183">$E$10*(1+$AS183)+VLOOKUP($R183,武学奇术!$A:$ZZ,4,FALSE)+SUM(_xlfn.XLOOKUP($S183:$AL183,增益!$A:$A,增益!$D:$D,0))-$I$2</f>
        <v>4094.7</v>
      </c>
      <c r="AV183" s="40" cm="1">
        <f t="array" ref="AV183">IF($F$10-$I$3+VLOOKUP($R183,武学奇术!$A:$ZZ,6,FALSE)+SUM(_xlfn.XLOOKUP($S183:$AL183,增益!$A:$A,增益!$F:$F,0))&gt;0,($F$10-$I$3+VLOOKUP($R183,武学奇术!$A:$ZZ,6,FALSE)+SUM(_xlfn.XLOOKUP($S183:$AL183,增益!$A:$A,增益!$F:$F,0)))/200,($F$10-$I$3+VLOOKUP($R183,武学奇术!$A:$ZZ,6,FALSE)+SUM(_xlfn.XLOOKUP($S183:$AL183,增益!$A:$A,增益!$F:$F,0)))/100)</f>
        <v>0.4384</v>
      </c>
      <c r="AW183" s="40" cm="1">
        <f t="array" ref="AW183">$G$10+VLOOKUP($R183,武学奇术!$A:$ZZ,7,FALSE)+SUM(_xlfn.XLOOKUP($S183:$AL183,增益!$A:$A,增益!$G:$G,0))</f>
        <v>0.14</v>
      </c>
      <c r="AX183" s="33" cm="1">
        <f t="array" ref="AX183">VLOOKUP($R183,武学奇术!$A:$ZZ,8,FALSE)+SUM(_xlfn.XLOOKUP($S183:$AL183,增益!$A:$A,增益!$H:$H,0))</f>
        <v>0</v>
      </c>
      <c r="AY183">
        <f t="shared" si="85"/>
        <v>0</v>
      </c>
      <c r="AZ183">
        <f t="shared" si="86"/>
        <v>0</v>
      </c>
      <c r="BA183" s="40" cm="1">
        <f t="array" ref="BA183">IF($F$11-$I$4+VLOOKUP($R183,武学奇术!$A:$ZZ,9,FALSE)+SUM(_xlfn.XLOOKUP($S183:$AL183,增益!$A:$A,增益!$I:$I,0))&gt;0,($F$11-$I$4+VLOOKUP($R183,武学奇术!$A:$ZZ,9,FALSE)+SUM(_xlfn.XLOOKUP($S183:$AL183,增益!$A:$A,增益!$I:$I,0)))/200,($F$11-$I$4+VLOOKUP($R183,武学奇术!$A:$ZZ,9,FALSE)+SUM(_xlfn.XLOOKUP($S183:$AL183,增益!$A:$A,增益!$I:$I,0)))/100)</f>
        <v>-0.14</v>
      </c>
      <c r="BB183" s="40" cm="1">
        <f t="array" ref="BB183">$G$11+VLOOKUP($R183,武学奇术!$A:$ZZ,10,FALSE)+SUM(_xlfn.XLOOKUP($S183:$AL183,增益!$A:$A,增益!$J:$J,0))</f>
        <v>0.02</v>
      </c>
      <c r="BC183">
        <f t="shared" si="87"/>
        <v>640.3</v>
      </c>
      <c r="BD183">
        <f t="shared" si="88"/>
        <v>1770.1</v>
      </c>
      <c r="BE183" s="40" cm="1">
        <f t="array" ref="BE183">IF($F$12-$I$4+VLOOKUP($R183,武学奇术!$A:$ZZ,11,FALSE)+SUM(_xlfn.XLOOKUP($S183:$AL183,增益!$A:$A,增益!$K:$K,0))&gt;0,($F$12-$I$4+VLOOKUP($R183,武学奇术!$A:$ZZ,11,FALSE)+SUM(_xlfn.XLOOKUP($S183:$AL183,增益!$A:$A,增益!$K:$K,0)))/200,($F$12-$I$4+VLOOKUP($R183,武学奇术!$A:$ZZ,11,FALSE)+SUM(_xlfn.XLOOKUP($S183:$AL183,增益!$A:$A,增益!$K:$K,0)))/100)</f>
        <v>0.17</v>
      </c>
      <c r="BF183" s="40" cm="1">
        <f t="array" ref="BF183">$G$12+VLOOKUP($R183,武学奇术!$A:$ZZ,12,FALSE)+SUM(_xlfn.XLOOKUP($S183:$AL183,增益!$A:$A,增益!$L:$L,0))</f>
        <v>0.29</v>
      </c>
      <c r="BG183">
        <f t="shared" si="89"/>
        <v>0</v>
      </c>
      <c r="BH183">
        <f t="shared" si="90"/>
        <v>0</v>
      </c>
      <c r="BI183" s="40" cm="1">
        <f t="array" ref="BI183">IF($F$13-$I$4+VLOOKUP($R183,武学奇术!$A:$ZZ,13,FALSE)+SUM(_xlfn.XLOOKUP($S183:$AL183,增益!$A:$A,增益!$M:$M,0))&gt;0,($F$13-$I$4+VLOOKUP($R183,武学奇术!$A:$ZZ,13,FALSE)+SUM(_xlfn.XLOOKUP($S183:$AL183,增益!$A:$A,增益!$K:$K,0)))/200,($F$13-$I$4+VLOOKUP($R183,武学奇术!$A:$ZZ,13,FALSE)+SUM(_xlfn.XLOOKUP($S183:$AL183,增益!$A:$A,增益!$M:$M,0)))/100)</f>
        <v>-0.14</v>
      </c>
      <c r="BJ183" s="40" cm="1">
        <f t="array" ref="BJ183">$G$13+VLOOKUP($R183,武学奇术!$A:$ZZ,14,FALSE)+SUM(_xlfn.XLOOKUP($S183:$AL183,增益!$A:$A,增益!$N:$N,0))</f>
        <v>0.02</v>
      </c>
      <c r="BK183">
        <f t="shared" si="91"/>
        <v>0</v>
      </c>
      <c r="BL183">
        <f t="shared" si="92"/>
        <v>0</v>
      </c>
      <c r="BM183" s="40" cm="1">
        <f t="array" ref="BM183">IF($F$14-$I$4+VLOOKUP($R183,武学奇术!$A:$ZZ,15,FALSE)+SUM(_xlfn.XLOOKUP($S183:$AL183,增益!$A:$A,增益!$O:$O,0))&gt;0,($F$14-$I$4+VLOOKUP($R183,武学奇术!$A:$ZZ,15,FALSE)+SUM(_xlfn.XLOOKUP($S183:$AL183,增益!$A:$A,增益!$O:$O,0)))/200,($F$14-$I$4+VLOOKUP($R183,武学奇术!$A:$ZZ,15,FALSE)+SUM(_xlfn.XLOOKUP($S183:$AL183,增益!$A:$A,增益!$O:$O,0)))/100)</f>
        <v>-0.14</v>
      </c>
      <c r="BN183" s="40" cm="1">
        <f t="array" ref="BN183">$G$14+VLOOKUP($R183,武学奇术!$A:$ZZ,16,FALSE)+SUM(_xlfn.XLOOKUP($S183:$AL183,增益!$A:$A,增益!$P:$P,0))</f>
        <v>0.02</v>
      </c>
      <c r="BO183" s="33">
        <f>MIN(IF(VLOOKUP($R183,武学奇术!$A:$ZZ,23,FALSE)=1,100%,$B$8),100%)</f>
        <v>0.9771</v>
      </c>
      <c r="BP183" s="33" cm="1">
        <f t="array" ref="BP183">IF(VLOOKUP($R183,武学奇术!$A:$ZZ,23,FALSE)=1,100%,MIN(80%,$B$9+VLOOKUP($R183,武学奇术!$A:$ZZ,17,FALSE)+SUM(_xlfn.XLOOKUP($S183:$AL183,增益!$A:$A,增益!$Q:$Q,0)))+$B$11+SUM(_xlfn.XLOOKUP($S183:$AL183,增益!$A:$A,增益!$U:$U,0)))*IF(VLOOKUP($R183,武学奇术!$A:$ZZ,24,FALSE)=1,0,1)</f>
        <v>0.8861</v>
      </c>
      <c r="BQ183" s="33" cm="1">
        <f t="array" ref="BQ183">1+$B$13+VLOOKUP($R183,武学奇术!$A:$ZZ,18,FALSE)+SUM(_xlfn.XLOOKUP($S183:$AL183,增益!$A:$A,增益!$R:$R,0))</f>
        <v>2</v>
      </c>
      <c r="BR183" s="33" cm="1">
        <f t="array" ref="BR183">IF(VLOOKUP($R183,武学奇术!$A:$ZZ,24,FALSE)=1,100%,MIN(40%,$B$10+VLOOKUP($R183,武学奇术!$A:$ZZ,19,FALSE)+SUM(_xlfn.XLOOKUP($S183:$AL183,增益!$A:$A,增益!$S:$S,0)))+$B$12+SUM(_xlfn.XLOOKUP($S183:$AL183,增益!$A:$A,增益!$V:$V,0)))*IF(VLOOKUP($R183,武学奇术!$A:$ZZ,23,FALSE)=1,0,1)</f>
        <v>0.0913</v>
      </c>
      <c r="BS183" s="33" cm="1">
        <f t="array" ref="BS183">1+$B$14+VLOOKUP($R183,武学奇术!$A:$ZZ,20,FALSE)+SUM(_xlfn.XLOOKUP($S183:$AL183,增益!$A:$A,增益!$T:$T,0))</f>
        <v>1.35</v>
      </c>
      <c r="BT183" s="33">
        <f t="shared" si="93"/>
        <v>0.86580831</v>
      </c>
      <c r="BU183" s="33">
        <f t="shared" si="94"/>
        <v>0.02208246</v>
      </c>
      <c r="BV183" s="33">
        <f>IF(VLOOKUP($R183,武学奇术!$A:$ZZ,22,FALSE)=1,0,(1-$BO183))*(1-$BR183)</f>
        <v>0.02080923</v>
      </c>
      <c r="BW183" s="33" cm="1">
        <f t="array" ref="BW183">SUM(_xlfn.XLOOKUP($S183:$AL183,增益!$A:$A,增益!$W:$W,0))+$I$5</f>
        <v>0.11</v>
      </c>
      <c r="BX183" s="33" cm="1">
        <f t="array" ref="BX183">VLOOKUP($R183,武学奇术!$A:$ZZ,32,FALSE)+SUM(_xlfn.XLOOKUP($S183:$AL183,增益!$A:$A,增益!$X:$X,0))</f>
        <v>0</v>
      </c>
    </row>
    <row r="184" spans="1:76">
      <c r="A184" t="s">
        <v>116</v>
      </c>
      <c r="B184">
        <v>2.3</v>
      </c>
      <c r="E184" s="47"/>
      <c r="L184" s="46">
        <f t="shared" si="83"/>
        <v>0</v>
      </c>
      <c r="M184" s="46">
        <f>((($AT184+$AU184)/2*$AN184+$AO184)*(1+$AV184)*(1+$AW184)+(($AY184+$AZ184)/2*IF($G$1="鸣金",$AP184,$AN184)+IF($G$1="鸣金",$AQ184*1.5,0))*(1+$BA184)*(1+$BB184)+(($BC184+$BD184)/2*IF($G$1="裂石",$AP184,$AN184)+IF($G$1="裂石",$AQ184*1.5,0))*(1+$BE184)*(1+$BF184)+(($BG184+$BH184)/2*IF($G$1="牵丝",$AP184,$AN184)+IF($G$1="牵丝",$AQ184*1.5,0))*(1+$BI184)*(1+$BJ184)+(($BK184+$BL184)/2*IF($G$1="破竹",$AP184,$AN184)+IF($G$1="破竹",$AQ184*1.5,0))*(1+$BM184)*(1+$BN184))*(1+$AR184)*$BQ184*$Q184*(1+IF(VLOOKUP($R184,武学奇术!$A:$ZZ,30,FALSE)="蓄力技",$B$21,0))*(1+IF(VLOOKUP($R184,武学奇术!$A:$ZZ,30,FALSE)="派生技",$B$20,0))*(1+$BW184)*(1+$BX184)</f>
        <v>0</v>
      </c>
      <c r="N184" s="46">
        <f>(($AU184*$AN184+$AO184)*(1+$AV184)*(1+$AW184)+($AZ184*IF($G$1="鸣金",$AP184,$AN184)+IF($G$1="鸣金",$AQ184*1.5,0))*(1+$BA184)*(1+$BB184)+($BD184*IF($G$1="裂石",$AP184,$AN184)+IF($G$1="裂石",$AQ184*1.5,0))*(1+$BE184)*(1+$BF184)+($BH184*IF($G$1="牵丝",$AP184,$AN184)+IF($G$1="牵丝",$AQ184*1.5,0))*(1+$BI184)*(1+$BJ184)+($BL184*IF($G$1="破竹",$AP184,$AN184)+IF($G$1="破竹",$AQ184*1.5,0))*(1+$BM184)*(1+$BN184))*(1+$AR184)*$BS184*$Q184*(1+IF(VLOOKUP($R184,武学奇术!$A:$ZZ,30,FALSE)="蓄力技",$B$21,0))*(1+IF(VLOOKUP($R184,武学奇术!$A:$ZZ,30,FALSE)="派生技",$B$20,0))*(1+$BW184)*(1+$BX184)</f>
        <v>0</v>
      </c>
      <c r="O184" s="46">
        <f>((($AT184+$AU184)/2*$AN184+$AO184)*(1+$AV184)*(1+$AW184)+(($AY184+$AZ184)/2*IF($G$1="鸣金",$AP184,$AN184)+IF($G$1="鸣金",$AQ184*1.5,0))*(1+$BA184)*(1+$BB184)+(($BC184+$BD184)/2*IF($G$1="裂石",$AP184,$AN184)+IF($G$1="裂石",$AQ184*1.5,0))*(1+$BE184)*(1+$BF184)+(($BG184+$BH184)/2*IF($G$1="牵丝",$AP184,$AN184)+IF($G$1="牵丝",$AQ184*1.5,0))*(1+$BI184)*(1+$BJ184)+(($BK184+$BL184)/2*IF($G$1="破竹",$AP184,$AN184)+IF($G$1="破竹",$AQ184*1.5,0))*(1+$BM184)*(1+$BN184))*(1+$AR184)*$Q184*(1+IF(VLOOKUP($R184,武学奇术!$A:$ZZ,30,FALSE)="蓄力技",$B$21,0))*(1+IF(VLOOKUP($R184,武学奇术!$A:$ZZ,30,FALSE)="派生技",$B$20,0))*(1+$BW184)*(1+$BX184)</f>
        <v>0</v>
      </c>
      <c r="P184" s="46">
        <f>((($AT184*$AN184+$AO184)*(1+$AV184)*(1+$AW184)+($AY184*IF($G$1="鸣金",$AP184,$AN184)+IF($G$1="鸣金",$AQ184*1.5,0))*(1+$BA184)*(1+$BB184)+($BC184*IF($G$1="裂石",$AP184,$AN184)+IF($G$1="裂石",$AQ184*1.5,0))*(1+$BE184)*(1+$BF184)+($BG184*IF($G$1="牵丝",$AP184,$AN184)+IF($G$1="牵丝",$AQ184*1.5,0))*(1+$BI184)*(1+$BJ184)+($BK184*IF($G$1="破竹",$AP184,$AN184)+IF($G$1="破竹",$AQ184*1.5,0))*(1+$BM184)*(1+$BN184))*(1+$AR184))*$Q184*(1+IF(VLOOKUP($R184,武学奇术!$A:$ZZ,30,FALSE)="蓄力技",$B$21,0))*(1+IF(VLOOKUP($R184,武学奇术!$A:$ZZ,30,FALSE)="派生技",$B$20,0))*(1+$BW184)*(1+$BX184)</f>
        <v>0</v>
      </c>
      <c r="Q184" s="47">
        <f t="shared" si="84"/>
        <v>0</v>
      </c>
      <c r="R184" s="48" t="s">
        <v>200</v>
      </c>
      <c r="S184" s="48" t="s">
        <v>99</v>
      </c>
      <c r="T184" s="48" t="s">
        <v>182</v>
      </c>
      <c r="U184" s="48" t="s">
        <v>79</v>
      </c>
      <c r="V184" s="48" t="s">
        <v>90</v>
      </c>
      <c r="W184" s="48" t="s">
        <v>91</v>
      </c>
      <c r="X184" s="48" t="s">
        <v>80</v>
      </c>
      <c r="Y184" s="48" t="s">
        <v>80</v>
      </c>
      <c r="Z184" s="48" t="s">
        <v>80</v>
      </c>
      <c r="AA184" s="48" t="s">
        <v>80</v>
      </c>
      <c r="AB184" s="48" t="s">
        <v>80</v>
      </c>
      <c r="AC184" s="48" t="s">
        <v>193</v>
      </c>
      <c r="AD184" s="48" t="s">
        <v>80</v>
      </c>
      <c r="AE184" s="48" t="s">
        <v>82</v>
      </c>
      <c r="AF184" s="48" t="s">
        <v>83</v>
      </c>
      <c r="AG184" s="48" t="s">
        <v>84</v>
      </c>
      <c r="AH184" s="48" t="s">
        <v>80</v>
      </c>
      <c r="AI184" s="48" t="s">
        <v>80</v>
      </c>
      <c r="AJ184" s="48" t="s">
        <v>80</v>
      </c>
      <c r="AK184" s="48" t="s">
        <v>80</v>
      </c>
      <c r="AL184" s="48" t="s">
        <v>85</v>
      </c>
      <c r="AM184" t="str">
        <f>VLOOKUP($R184,武学奇术!$A:$ZZ,25,FALSE)</f>
        <v>横刀</v>
      </c>
      <c r="AN184" s="33">
        <f>VLOOKUP($R184,武学奇术!$A:$ZZ,26,FALSE)</f>
        <v>0.6486</v>
      </c>
      <c r="AO184" s="34">
        <f>VLOOKUP($R184,武学奇术!$A:$ZZ,27,FALSE)*(1+IF(OR($AM184=$F$4,$AM184=$F$5),$B$22,0))</f>
        <v>288</v>
      </c>
      <c r="AP184" s="33">
        <f>VLOOKUP($R184,武学奇术!$A:$ZZ,28,FALSE)</f>
        <v>0.9729</v>
      </c>
      <c r="AQ184" s="34">
        <f>VLOOKUP($R184,武学奇术!$A:$ZZ,29,FALSE)*(1+IF(OR($AM184=$F$4,$AM184=$F$5),$B$22,0))</f>
        <v>156.8</v>
      </c>
      <c r="AR184" s="33" cm="1">
        <f t="array" ref="AR184">$G$3+IFERROR(VLOOKUP($AM184,$F$4:$G$7,2,FALSE),0)+VLOOKUP($R184,武学奇术!$A:$ZZ,2,FALSE)+SUM(_xlfn.XLOOKUP($S184:$AL184,增益!$A:$A,增益!$B:$B,0))</f>
        <v>0.5289</v>
      </c>
      <c r="AS184" s="33" cm="1">
        <f t="array" ref="AS184">VLOOKUP($R184,武学奇术!$A:$ZZ,5,FALSE)+SUM(_xlfn.XLOOKUP($S184:$AL184,增益!$A:$A,增益!$E:$E,0))</f>
        <v>0</v>
      </c>
      <c r="AT184" cm="1">
        <f t="array" ref="AT184">$D$10*(1+$AS184)+VLOOKUP($R184,武学奇术!$A:$ZZ,3,FALSE)+SUM(_xlfn.XLOOKUP($S184:$AL184,增益!$A:$A,增益!$C:$C,0))-$I$2</f>
        <v>4094.7</v>
      </c>
      <c r="AU184" cm="1">
        <f t="array" ref="AU184">$E$10*(1+$AS184)+VLOOKUP($R184,武学奇术!$A:$ZZ,4,FALSE)+SUM(_xlfn.XLOOKUP($S184:$AL184,增益!$A:$A,增益!$D:$D,0))-$I$2</f>
        <v>4094.7</v>
      </c>
      <c r="AV184" s="40" cm="1">
        <f t="array" ref="AV184">IF($F$10-$I$3+VLOOKUP($R184,武学奇术!$A:$ZZ,6,FALSE)+SUM(_xlfn.XLOOKUP($S184:$AL184,增益!$A:$A,增益!$F:$F,0))&gt;0,($F$10-$I$3+VLOOKUP($R184,武学奇术!$A:$ZZ,6,FALSE)+SUM(_xlfn.XLOOKUP($S184:$AL184,增益!$A:$A,增益!$F:$F,0)))/200,($F$10-$I$3+VLOOKUP($R184,武学奇术!$A:$ZZ,6,FALSE)+SUM(_xlfn.XLOOKUP($S184:$AL184,增益!$A:$A,增益!$F:$F,0)))/100)</f>
        <v>0.4134</v>
      </c>
      <c r="AW184" s="40" cm="1">
        <f t="array" ref="AW184">$G$10+VLOOKUP($R184,武学奇术!$A:$ZZ,7,FALSE)+SUM(_xlfn.XLOOKUP($S184:$AL184,增益!$A:$A,增益!$G:$G,0))</f>
        <v>0.14</v>
      </c>
      <c r="AX184" s="33" cm="1">
        <f t="array" ref="AX184">VLOOKUP($R184,武学奇术!$A:$ZZ,8,FALSE)+SUM(_xlfn.XLOOKUP($S184:$AL184,增益!$A:$A,增益!$H:$H,0))</f>
        <v>0</v>
      </c>
      <c r="AY184">
        <f t="shared" si="85"/>
        <v>0</v>
      </c>
      <c r="AZ184">
        <f t="shared" si="86"/>
        <v>0</v>
      </c>
      <c r="BA184" s="40" cm="1">
        <f t="array" ref="BA184">IF($F$11-$I$4+VLOOKUP($R184,武学奇术!$A:$ZZ,9,FALSE)+SUM(_xlfn.XLOOKUP($S184:$AL184,增益!$A:$A,增益!$I:$I,0))&gt;0,($F$11-$I$4+VLOOKUP($R184,武学奇术!$A:$ZZ,9,FALSE)+SUM(_xlfn.XLOOKUP($S184:$AL184,增益!$A:$A,增益!$I:$I,0)))/200,($F$11-$I$4+VLOOKUP($R184,武学奇术!$A:$ZZ,9,FALSE)+SUM(_xlfn.XLOOKUP($S184:$AL184,增益!$A:$A,增益!$I:$I,0)))/100)</f>
        <v>-0.14</v>
      </c>
      <c r="BB184" s="40" cm="1">
        <f t="array" ref="BB184">$G$11+VLOOKUP($R184,武学奇术!$A:$ZZ,10,FALSE)+SUM(_xlfn.XLOOKUP($S184:$AL184,增益!$A:$A,增益!$J:$J,0))</f>
        <v>0.02</v>
      </c>
      <c r="BC184">
        <f t="shared" si="87"/>
        <v>640.3</v>
      </c>
      <c r="BD184">
        <f t="shared" si="88"/>
        <v>1770.1</v>
      </c>
      <c r="BE184" s="40" cm="1">
        <f t="array" ref="BE184">IF($F$12-$I$4+VLOOKUP($R184,武学奇术!$A:$ZZ,11,FALSE)+SUM(_xlfn.XLOOKUP($S184:$AL184,增益!$A:$A,增益!$K:$K,0))&gt;0,($F$12-$I$4+VLOOKUP($R184,武学奇术!$A:$ZZ,11,FALSE)+SUM(_xlfn.XLOOKUP($S184:$AL184,增益!$A:$A,增益!$K:$K,0)))/200,($F$12-$I$4+VLOOKUP($R184,武学奇术!$A:$ZZ,11,FALSE)+SUM(_xlfn.XLOOKUP($S184:$AL184,增益!$A:$A,增益!$K:$K,0)))/100)</f>
        <v>0.17</v>
      </c>
      <c r="BF184" s="40" cm="1">
        <f t="array" ref="BF184">$G$12+VLOOKUP($R184,武学奇术!$A:$ZZ,12,FALSE)+SUM(_xlfn.XLOOKUP($S184:$AL184,增益!$A:$A,增益!$L:$L,0))</f>
        <v>0.29</v>
      </c>
      <c r="BG184">
        <f t="shared" si="89"/>
        <v>0</v>
      </c>
      <c r="BH184">
        <f t="shared" si="90"/>
        <v>0</v>
      </c>
      <c r="BI184" s="40" cm="1">
        <f t="array" ref="BI184">IF($F$13-$I$4+VLOOKUP($R184,武学奇术!$A:$ZZ,13,FALSE)+SUM(_xlfn.XLOOKUP($S184:$AL184,增益!$A:$A,增益!$M:$M,0))&gt;0,($F$13-$I$4+VLOOKUP($R184,武学奇术!$A:$ZZ,13,FALSE)+SUM(_xlfn.XLOOKUP($S184:$AL184,增益!$A:$A,增益!$K:$K,0)))/200,($F$13-$I$4+VLOOKUP($R184,武学奇术!$A:$ZZ,13,FALSE)+SUM(_xlfn.XLOOKUP($S184:$AL184,增益!$A:$A,增益!$M:$M,0)))/100)</f>
        <v>-0.14</v>
      </c>
      <c r="BJ184" s="40" cm="1">
        <f t="array" ref="BJ184">$G$13+VLOOKUP($R184,武学奇术!$A:$ZZ,14,FALSE)+SUM(_xlfn.XLOOKUP($S184:$AL184,增益!$A:$A,增益!$N:$N,0))</f>
        <v>0.02</v>
      </c>
      <c r="BK184">
        <f t="shared" si="91"/>
        <v>0</v>
      </c>
      <c r="BL184">
        <f t="shared" si="92"/>
        <v>0</v>
      </c>
      <c r="BM184" s="40" cm="1">
        <f t="array" ref="BM184">IF($F$14-$I$4+VLOOKUP($R184,武学奇术!$A:$ZZ,15,FALSE)+SUM(_xlfn.XLOOKUP($S184:$AL184,增益!$A:$A,增益!$O:$O,0))&gt;0,($F$14-$I$4+VLOOKUP($R184,武学奇术!$A:$ZZ,15,FALSE)+SUM(_xlfn.XLOOKUP($S184:$AL184,增益!$A:$A,增益!$O:$O,0)))/200,($F$14-$I$4+VLOOKUP($R184,武学奇术!$A:$ZZ,15,FALSE)+SUM(_xlfn.XLOOKUP($S184:$AL184,增益!$A:$A,增益!$O:$O,0)))/100)</f>
        <v>-0.14</v>
      </c>
      <c r="BN184" s="40" cm="1">
        <f t="array" ref="BN184">$G$14+VLOOKUP($R184,武学奇术!$A:$ZZ,16,FALSE)+SUM(_xlfn.XLOOKUP($S184:$AL184,增益!$A:$A,增益!$P:$P,0))</f>
        <v>0.02</v>
      </c>
      <c r="BO184" s="33">
        <f>MIN(IF(VLOOKUP($R184,武学奇术!$A:$ZZ,23,FALSE)=1,100%,$B$8),100%)</f>
        <v>0.9771</v>
      </c>
      <c r="BP184" s="33" cm="1">
        <f t="array" ref="BP184">IF(VLOOKUP($R184,武学奇术!$A:$ZZ,23,FALSE)=1,100%,MIN(80%,$B$9+VLOOKUP($R184,武学奇术!$A:$ZZ,17,FALSE)+SUM(_xlfn.XLOOKUP($S184:$AL184,增益!$A:$A,增益!$Q:$Q,0)))+$B$11+SUM(_xlfn.XLOOKUP($S184:$AL184,增益!$A:$A,增益!$U:$U,0)))*IF(VLOOKUP($R184,武学奇术!$A:$ZZ,24,FALSE)=1,0,1)</f>
        <v>0.8861</v>
      </c>
      <c r="BQ184" s="33" cm="1">
        <f t="array" ref="BQ184">1+$B$13+VLOOKUP($R184,武学奇术!$A:$ZZ,18,FALSE)+SUM(_xlfn.XLOOKUP($S184:$AL184,增益!$A:$A,增益!$R:$R,0))</f>
        <v>1.95</v>
      </c>
      <c r="BR184" s="33" cm="1">
        <f t="array" ref="BR184">IF(VLOOKUP($R184,武学奇术!$A:$ZZ,24,FALSE)=1,100%,MIN(40%,$B$10+VLOOKUP($R184,武学奇术!$A:$ZZ,19,FALSE)+SUM(_xlfn.XLOOKUP($S184:$AL184,增益!$A:$A,增益!$S:$S,0)))+$B$12+SUM(_xlfn.XLOOKUP($S184:$AL184,增益!$A:$A,增益!$V:$V,0)))*IF(VLOOKUP($R184,武学奇术!$A:$ZZ,23,FALSE)=1,0,1)</f>
        <v>0.0913</v>
      </c>
      <c r="BS184" s="33" cm="1">
        <f t="array" ref="BS184">1+$B$14+VLOOKUP($R184,武学奇术!$A:$ZZ,20,FALSE)+SUM(_xlfn.XLOOKUP($S184:$AL184,增益!$A:$A,增益!$T:$T,0))</f>
        <v>1.35</v>
      </c>
      <c r="BT184" s="33">
        <f t="shared" si="93"/>
        <v>0.86580831</v>
      </c>
      <c r="BU184" s="33">
        <f t="shared" si="94"/>
        <v>0.02208246</v>
      </c>
      <c r="BV184" s="33">
        <f>IF(VLOOKUP($R184,武学奇术!$A:$ZZ,22,FALSE)=1,0,(1-$BO184))*(1-$BR184)</f>
        <v>0.02080923</v>
      </c>
      <c r="BW184" s="33" cm="1">
        <f t="array" ref="BW184">SUM(_xlfn.XLOOKUP($S184:$AL184,增益!$A:$A,增益!$W:$W,0))+$I$5</f>
        <v>0.11</v>
      </c>
      <c r="BX184" s="33" cm="1">
        <f t="array" ref="BX184">VLOOKUP($R184,武学奇术!$A:$ZZ,32,FALSE)+SUM(_xlfn.XLOOKUP($S184:$AL184,增益!$A:$A,增益!$X:$X,0))</f>
        <v>0</v>
      </c>
    </row>
    <row r="185" spans="1:76">
      <c r="A185" s="4" t="s">
        <v>189</v>
      </c>
      <c r="B185" s="4">
        <v>0.8</v>
      </c>
      <c r="E185" s="47"/>
      <c r="L185" s="46">
        <f t="shared" si="83"/>
        <v>0</v>
      </c>
      <c r="M185" s="46">
        <f>((($AT185+$AU185)/2*$AN185+$AO185)*(1+$AV185)*(1+$AW185)+(($AY185+$AZ185)/2*IF($G$1="鸣金",$AP185,$AN185)+IF($G$1="鸣金",$AQ185*1.5,0))*(1+$BA185)*(1+$BB185)+(($BC185+$BD185)/2*IF($G$1="裂石",$AP185,$AN185)+IF($G$1="裂石",$AQ185*1.5,0))*(1+$BE185)*(1+$BF185)+(($BG185+$BH185)/2*IF($G$1="牵丝",$AP185,$AN185)+IF($G$1="牵丝",$AQ185*1.5,0))*(1+$BI185)*(1+$BJ185)+(($BK185+$BL185)/2*IF($G$1="破竹",$AP185,$AN185)+IF($G$1="破竹",$AQ185*1.5,0))*(1+$BM185)*(1+$BN185))*(1+$AR185)*$BQ185*$Q185*(1+IF(VLOOKUP($R185,武学奇术!$A:$ZZ,30,FALSE)="蓄力技",$B$21,0))*(1+IF(VLOOKUP($R185,武学奇术!$A:$ZZ,30,FALSE)="派生技",$B$20,0))*(1+$BW185)*(1+$BX185)</f>
        <v>0</v>
      </c>
      <c r="N185" s="46">
        <f>(($AU185*$AN185+$AO185)*(1+$AV185)*(1+$AW185)+($AZ185*IF($G$1="鸣金",$AP185,$AN185)+IF($G$1="鸣金",$AQ185*1.5,0))*(1+$BA185)*(1+$BB185)+($BD185*IF($G$1="裂石",$AP185,$AN185)+IF($G$1="裂石",$AQ185*1.5,0))*(1+$BE185)*(1+$BF185)+($BH185*IF($G$1="牵丝",$AP185,$AN185)+IF($G$1="牵丝",$AQ185*1.5,0))*(1+$BI185)*(1+$BJ185)+($BL185*IF($G$1="破竹",$AP185,$AN185)+IF($G$1="破竹",$AQ185*1.5,0))*(1+$BM185)*(1+$BN185))*(1+$AR185)*$BS185*$Q185*(1+IF(VLOOKUP($R185,武学奇术!$A:$ZZ,30,FALSE)="蓄力技",$B$21,0))*(1+IF(VLOOKUP($R185,武学奇术!$A:$ZZ,30,FALSE)="派生技",$B$20,0))*(1+$BW185)*(1+$BX185)</f>
        <v>0</v>
      </c>
      <c r="O185" s="46">
        <f>((($AT185+$AU185)/2*$AN185+$AO185)*(1+$AV185)*(1+$AW185)+(($AY185+$AZ185)/2*IF($G$1="鸣金",$AP185,$AN185)+IF($G$1="鸣金",$AQ185*1.5,0))*(1+$BA185)*(1+$BB185)+(($BC185+$BD185)/2*IF($G$1="裂石",$AP185,$AN185)+IF($G$1="裂石",$AQ185*1.5,0))*(1+$BE185)*(1+$BF185)+(($BG185+$BH185)/2*IF($G$1="牵丝",$AP185,$AN185)+IF($G$1="牵丝",$AQ185*1.5,0))*(1+$BI185)*(1+$BJ185)+(($BK185+$BL185)/2*IF($G$1="破竹",$AP185,$AN185)+IF($G$1="破竹",$AQ185*1.5,0))*(1+$BM185)*(1+$BN185))*(1+$AR185)*$Q185*(1+IF(VLOOKUP($R185,武学奇术!$A:$ZZ,30,FALSE)="蓄力技",$B$21,0))*(1+IF(VLOOKUP($R185,武学奇术!$A:$ZZ,30,FALSE)="派生技",$B$20,0))*(1+$BW185)*(1+$BX185)</f>
        <v>0</v>
      </c>
      <c r="P185" s="46">
        <f>((($AT185*$AN185+$AO185)*(1+$AV185)*(1+$AW185)+($AY185*IF($G$1="鸣金",$AP185,$AN185)+IF($G$1="鸣金",$AQ185*1.5,0))*(1+$BA185)*(1+$BB185)+($BC185*IF($G$1="裂石",$AP185,$AN185)+IF($G$1="裂石",$AQ185*1.5,0))*(1+$BE185)*(1+$BF185)+($BG185*IF($G$1="牵丝",$AP185,$AN185)+IF($G$1="牵丝",$AQ185*1.5,0))*(1+$BI185)*(1+$BJ185)+($BK185*IF($G$1="破竹",$AP185,$AN185)+IF($G$1="破竹",$AQ185*1.5,0))*(1+$BM185)*(1+$BN185))*(1+$AR185))*$Q185*(1+IF(VLOOKUP($R185,武学奇术!$A:$ZZ,30,FALSE)="蓄力技",$B$21,0))*(1+IF(VLOOKUP($R185,武学奇术!$A:$ZZ,30,FALSE)="派生技",$B$20,0))*(1+$BW185)*(1+$BX185)</f>
        <v>0</v>
      </c>
      <c r="Q185" s="47">
        <f t="shared" si="84"/>
        <v>0</v>
      </c>
      <c r="R185" s="48" t="s">
        <v>175</v>
      </c>
      <c r="S185" s="48" t="s">
        <v>99</v>
      </c>
      <c r="T185" s="48" t="s">
        <v>182</v>
      </c>
      <c r="U185" s="48" t="s">
        <v>79</v>
      </c>
      <c r="V185" s="48" t="s">
        <v>80</v>
      </c>
      <c r="W185" s="48" t="s">
        <v>91</v>
      </c>
      <c r="X185" s="48" t="s">
        <v>80</v>
      </c>
      <c r="Y185" s="48" t="s">
        <v>80</v>
      </c>
      <c r="Z185" s="48" t="s">
        <v>80</v>
      </c>
      <c r="AA185" s="48" t="s">
        <v>80</v>
      </c>
      <c r="AB185" s="48" t="s">
        <v>80</v>
      </c>
      <c r="AC185" s="48" t="s">
        <v>193</v>
      </c>
      <c r="AD185" s="48" t="s">
        <v>80</v>
      </c>
      <c r="AE185" s="48" t="s">
        <v>82</v>
      </c>
      <c r="AF185" s="48" t="s">
        <v>83</v>
      </c>
      <c r="AG185" s="48" t="s">
        <v>84</v>
      </c>
      <c r="AH185" s="48" t="s">
        <v>80</v>
      </c>
      <c r="AI185" s="48" t="s">
        <v>80</v>
      </c>
      <c r="AJ185" s="48" t="s">
        <v>80</v>
      </c>
      <c r="AK185" s="48" t="s">
        <v>80</v>
      </c>
      <c r="AL185" s="48" t="s">
        <v>85</v>
      </c>
      <c r="AM185" t="str">
        <f>VLOOKUP($R185,武学奇术!$A:$ZZ,25,FALSE)</f>
        <v>横刀</v>
      </c>
      <c r="AN185" s="33">
        <f>VLOOKUP($R185,武学奇术!$A:$ZZ,26,FALSE)</f>
        <v>1.2338</v>
      </c>
      <c r="AO185" s="34">
        <f>VLOOKUP($R185,武学奇术!$A:$ZZ,27,FALSE)*(1+IF(OR($AM185=$F$4,$AM185=$F$5),$B$22,0))</f>
        <v>547.2</v>
      </c>
      <c r="AP185" s="33">
        <f>VLOOKUP($R185,武学奇术!$A:$ZZ,28,FALSE)</f>
        <v>1.8507</v>
      </c>
      <c r="AQ185" s="34">
        <f>VLOOKUP($R185,武学奇术!$A:$ZZ,29,FALSE)*(1+IF(OR($AM185=$F$4,$AM185=$F$5),$B$22,0))</f>
        <v>297.6</v>
      </c>
      <c r="AR185" s="33" cm="1">
        <f t="array" ref="AR185">$G$3+IFERROR(VLOOKUP($AM185,$F$4:$G$7,2,FALSE),0)+VLOOKUP($R185,武学奇术!$A:$ZZ,2,FALSE)+SUM(_xlfn.XLOOKUP($S185:$AL185,增益!$A:$A,增益!$B:$B,0))</f>
        <v>0.4489</v>
      </c>
      <c r="AS185" s="33" cm="1">
        <f t="array" ref="AS185">VLOOKUP($R185,武学奇术!$A:$ZZ,5,FALSE)+SUM(_xlfn.XLOOKUP($S185:$AL185,增益!$A:$A,增益!$E:$E,0))</f>
        <v>0</v>
      </c>
      <c r="AT185" cm="1">
        <f t="array" ref="AT185">$D$10*(1+$AS185)+VLOOKUP($R185,武学奇术!$A:$ZZ,3,FALSE)+SUM(_xlfn.XLOOKUP($S185:$AL185,增益!$A:$A,增益!$C:$C,0))-$I$2</f>
        <v>4094.7</v>
      </c>
      <c r="AU185" cm="1">
        <f t="array" ref="AU185">$E$10*(1+$AS185)+VLOOKUP($R185,武学奇术!$A:$ZZ,4,FALSE)+SUM(_xlfn.XLOOKUP($S185:$AL185,增益!$A:$A,增益!$D:$D,0))-$I$2</f>
        <v>4094.7</v>
      </c>
      <c r="AV185" s="40" cm="1">
        <f t="array" ref="AV185">IF($F$10-$I$3+VLOOKUP($R185,武学奇术!$A:$ZZ,6,FALSE)+SUM(_xlfn.XLOOKUP($S185:$AL185,增益!$A:$A,增益!$F:$F,0))&gt;0,($F$10-$I$3+VLOOKUP($R185,武学奇术!$A:$ZZ,6,FALSE)+SUM(_xlfn.XLOOKUP($S185:$AL185,增益!$A:$A,增益!$F:$F,0)))/200,($F$10-$I$3+VLOOKUP($R185,武学奇术!$A:$ZZ,6,FALSE)+SUM(_xlfn.XLOOKUP($S185:$AL185,增益!$A:$A,增益!$F:$F,0)))/100)</f>
        <v>0.4134</v>
      </c>
      <c r="AW185" s="40" cm="1">
        <f t="array" ref="AW185">$G$10+VLOOKUP($R185,武学奇术!$A:$ZZ,7,FALSE)+SUM(_xlfn.XLOOKUP($S185:$AL185,增益!$A:$A,增益!$G:$G,0))</f>
        <v>0.14</v>
      </c>
      <c r="AX185" s="33" cm="1">
        <f t="array" ref="AX185">VLOOKUP($R185,武学奇术!$A:$ZZ,8,FALSE)+SUM(_xlfn.XLOOKUP($S185:$AL185,增益!$A:$A,增益!$H:$H,0))</f>
        <v>0</v>
      </c>
      <c r="AY185">
        <f t="shared" si="85"/>
        <v>0</v>
      </c>
      <c r="AZ185">
        <f t="shared" si="86"/>
        <v>0</v>
      </c>
      <c r="BA185" s="40" cm="1">
        <f t="array" ref="BA185">IF($F$11-$I$4+VLOOKUP($R185,武学奇术!$A:$ZZ,9,FALSE)+SUM(_xlfn.XLOOKUP($S185:$AL185,增益!$A:$A,增益!$I:$I,0))&gt;0,($F$11-$I$4+VLOOKUP($R185,武学奇术!$A:$ZZ,9,FALSE)+SUM(_xlfn.XLOOKUP($S185:$AL185,增益!$A:$A,增益!$I:$I,0)))/200,($F$11-$I$4+VLOOKUP($R185,武学奇术!$A:$ZZ,9,FALSE)+SUM(_xlfn.XLOOKUP($S185:$AL185,增益!$A:$A,增益!$I:$I,0)))/100)</f>
        <v>-0.3</v>
      </c>
      <c r="BB185" s="40" cm="1">
        <f t="array" ref="BB185">$G$11+VLOOKUP($R185,武学奇术!$A:$ZZ,10,FALSE)+SUM(_xlfn.XLOOKUP($S185:$AL185,增益!$A:$A,增益!$J:$J,0))</f>
        <v>0.02</v>
      </c>
      <c r="BC185">
        <f t="shared" si="87"/>
        <v>640.3</v>
      </c>
      <c r="BD185">
        <f t="shared" si="88"/>
        <v>1770.1</v>
      </c>
      <c r="BE185" s="40" cm="1">
        <f t="array" ref="BE185">IF($F$12-$I$4+VLOOKUP($R185,武学奇术!$A:$ZZ,11,FALSE)+SUM(_xlfn.XLOOKUP($S185:$AL185,增益!$A:$A,增益!$K:$K,0))&gt;0,($F$12-$I$4+VLOOKUP($R185,武学奇术!$A:$ZZ,11,FALSE)+SUM(_xlfn.XLOOKUP($S185:$AL185,增益!$A:$A,增益!$K:$K,0)))/200,($F$12-$I$4+VLOOKUP($R185,武学奇术!$A:$ZZ,11,FALSE)+SUM(_xlfn.XLOOKUP($S185:$AL185,增益!$A:$A,增益!$K:$K,0)))/100)</f>
        <v>0.09</v>
      </c>
      <c r="BF185" s="40" cm="1">
        <f t="array" ref="BF185">$G$12+VLOOKUP($R185,武学奇术!$A:$ZZ,12,FALSE)+SUM(_xlfn.XLOOKUP($S185:$AL185,增益!$A:$A,增益!$L:$L,0))</f>
        <v>0.29</v>
      </c>
      <c r="BG185">
        <f t="shared" si="89"/>
        <v>0</v>
      </c>
      <c r="BH185">
        <f t="shared" si="90"/>
        <v>0</v>
      </c>
      <c r="BI185" s="40" cm="1">
        <f t="array" ref="BI185">IF($F$13-$I$4+VLOOKUP($R185,武学奇术!$A:$ZZ,13,FALSE)+SUM(_xlfn.XLOOKUP($S185:$AL185,增益!$A:$A,增益!$M:$M,0))&gt;0,($F$13-$I$4+VLOOKUP($R185,武学奇术!$A:$ZZ,13,FALSE)+SUM(_xlfn.XLOOKUP($S185:$AL185,增益!$A:$A,增益!$K:$K,0)))/200,($F$13-$I$4+VLOOKUP($R185,武学奇术!$A:$ZZ,13,FALSE)+SUM(_xlfn.XLOOKUP($S185:$AL185,增益!$A:$A,增益!$M:$M,0)))/100)</f>
        <v>-0.3</v>
      </c>
      <c r="BJ185" s="40" cm="1">
        <f t="array" ref="BJ185">$G$13+VLOOKUP($R185,武学奇术!$A:$ZZ,14,FALSE)+SUM(_xlfn.XLOOKUP($S185:$AL185,增益!$A:$A,增益!$N:$N,0))</f>
        <v>0.02</v>
      </c>
      <c r="BK185">
        <f t="shared" si="91"/>
        <v>0</v>
      </c>
      <c r="BL185">
        <f t="shared" si="92"/>
        <v>0</v>
      </c>
      <c r="BM185" s="40" cm="1">
        <f t="array" ref="BM185">IF($F$14-$I$4+VLOOKUP($R185,武学奇术!$A:$ZZ,15,FALSE)+SUM(_xlfn.XLOOKUP($S185:$AL185,增益!$A:$A,增益!$O:$O,0))&gt;0,($F$14-$I$4+VLOOKUP($R185,武学奇术!$A:$ZZ,15,FALSE)+SUM(_xlfn.XLOOKUP($S185:$AL185,增益!$A:$A,增益!$O:$O,0)))/200,($F$14-$I$4+VLOOKUP($R185,武学奇术!$A:$ZZ,15,FALSE)+SUM(_xlfn.XLOOKUP($S185:$AL185,增益!$A:$A,增益!$O:$O,0)))/100)</f>
        <v>-0.3</v>
      </c>
      <c r="BN185" s="40" cm="1">
        <f t="array" ref="BN185">$G$14+VLOOKUP($R185,武学奇术!$A:$ZZ,16,FALSE)+SUM(_xlfn.XLOOKUP($S185:$AL185,增益!$A:$A,增益!$P:$P,0))</f>
        <v>0.02</v>
      </c>
      <c r="BO185" s="33">
        <f>MIN(IF(VLOOKUP($R185,武学奇术!$A:$ZZ,23,FALSE)=1,100%,$B$8),100%)</f>
        <v>0.9771</v>
      </c>
      <c r="BP185" s="33" cm="1">
        <f t="array" ref="BP185">IF(VLOOKUP($R185,武学奇术!$A:$ZZ,23,FALSE)=1,100%,MIN(80%,$B$9+VLOOKUP($R185,武学奇术!$A:$ZZ,17,FALSE)+SUM(_xlfn.XLOOKUP($S185:$AL185,增益!$A:$A,增益!$Q:$Q,0)))+$B$11+SUM(_xlfn.XLOOKUP($S185:$AL185,增益!$A:$A,增益!$U:$U,0)))*IF(VLOOKUP($R185,武学奇术!$A:$ZZ,24,FALSE)=1,0,1)</f>
        <v>0.8861</v>
      </c>
      <c r="BQ185" s="33" cm="1">
        <f t="array" ref="BQ185">1+$B$13+VLOOKUP($R185,武学奇术!$A:$ZZ,18,FALSE)+SUM(_xlfn.XLOOKUP($S185:$AL185,增益!$A:$A,增益!$R:$R,0))</f>
        <v>1.95</v>
      </c>
      <c r="BR185" s="33" cm="1">
        <f t="array" ref="BR185">IF(VLOOKUP($R185,武学奇术!$A:$ZZ,24,FALSE)=1,100%,MIN(40%,$B$10+VLOOKUP($R185,武学奇术!$A:$ZZ,19,FALSE)+SUM(_xlfn.XLOOKUP($S185:$AL185,增益!$A:$A,增益!$S:$S,0)))+$B$12+SUM(_xlfn.XLOOKUP($S185:$AL185,增益!$A:$A,增益!$V:$V,0)))*IF(VLOOKUP($R185,武学奇术!$A:$ZZ,23,FALSE)=1,0,1)</f>
        <v>0.0913</v>
      </c>
      <c r="BS185" s="33" cm="1">
        <f t="array" ref="BS185">1+$B$14+VLOOKUP($R185,武学奇术!$A:$ZZ,20,FALSE)+SUM(_xlfn.XLOOKUP($S185:$AL185,增益!$A:$A,增益!$T:$T,0))</f>
        <v>1.35</v>
      </c>
      <c r="BT185" s="33">
        <f t="shared" si="93"/>
        <v>0.86580831</v>
      </c>
      <c r="BU185" s="33">
        <f t="shared" si="94"/>
        <v>0.02208246</v>
      </c>
      <c r="BV185" s="33">
        <f>IF(VLOOKUP($R185,武学奇术!$A:$ZZ,22,FALSE)=1,0,(1-$BO185))*(1-$BR185)</f>
        <v>0.02080923</v>
      </c>
      <c r="BW185" s="33" cm="1">
        <f t="array" ref="BW185">SUM(_xlfn.XLOOKUP($S185:$AL185,增益!$A:$A,增益!$W:$W,0))+$I$5</f>
        <v>0.11</v>
      </c>
      <c r="BX185" s="33" cm="1">
        <f t="array" ref="BX185">VLOOKUP($R185,武学奇术!$A:$ZZ,32,FALSE)+SUM(_xlfn.XLOOKUP($S185:$AL185,增益!$A:$A,增益!$X:$X,0))</f>
        <v>0</v>
      </c>
    </row>
    <row r="186" spans="1:76">
      <c r="A186" s="4" t="s">
        <v>190</v>
      </c>
      <c r="B186" s="4">
        <v>1.1</v>
      </c>
      <c r="E186" s="47"/>
      <c r="L186" s="46">
        <f t="shared" si="83"/>
        <v>0</v>
      </c>
      <c r="M186" s="46">
        <f>((($AT186+$AU186)/2*$AN186+$AO186)*(1+$AV186)*(1+$AW186)+(($AY186+$AZ186)/2*IF($G$1="鸣金",$AP186,$AN186)+IF($G$1="鸣金",$AQ186*1.5,0))*(1+$BA186)*(1+$BB186)+(($BC186+$BD186)/2*IF($G$1="裂石",$AP186,$AN186)+IF($G$1="裂石",$AQ186*1.5,0))*(1+$BE186)*(1+$BF186)+(($BG186+$BH186)/2*IF($G$1="牵丝",$AP186,$AN186)+IF($G$1="牵丝",$AQ186*1.5,0))*(1+$BI186)*(1+$BJ186)+(($BK186+$BL186)/2*IF($G$1="破竹",$AP186,$AN186)+IF($G$1="破竹",$AQ186*1.5,0))*(1+$BM186)*(1+$BN186))*(1+$AR186)*$BQ186*$Q186*(1+IF(VLOOKUP($R186,武学奇术!$A:$ZZ,30,FALSE)="蓄力技",$B$21,0))*(1+IF(VLOOKUP($R186,武学奇术!$A:$ZZ,30,FALSE)="派生技",$B$20,0))*(1+$BW186)*(1+$BX186)</f>
        <v>0</v>
      </c>
      <c r="N186" s="46">
        <f>(($AU186*$AN186+$AO186)*(1+$AV186)*(1+$AW186)+($AZ186*IF($G$1="鸣金",$AP186,$AN186)+IF($G$1="鸣金",$AQ186*1.5,0))*(1+$BA186)*(1+$BB186)+($BD186*IF($G$1="裂石",$AP186,$AN186)+IF($G$1="裂石",$AQ186*1.5,0))*(1+$BE186)*(1+$BF186)+($BH186*IF($G$1="牵丝",$AP186,$AN186)+IF($G$1="牵丝",$AQ186*1.5,0))*(1+$BI186)*(1+$BJ186)+($BL186*IF($G$1="破竹",$AP186,$AN186)+IF($G$1="破竹",$AQ186*1.5,0))*(1+$BM186)*(1+$BN186))*(1+$AR186)*$BS186*$Q186*(1+IF(VLOOKUP($R186,武学奇术!$A:$ZZ,30,FALSE)="蓄力技",$B$21,0))*(1+IF(VLOOKUP($R186,武学奇术!$A:$ZZ,30,FALSE)="派生技",$B$20,0))*(1+$BW186)*(1+$BX186)</f>
        <v>0</v>
      </c>
      <c r="O186" s="46">
        <f>((($AT186+$AU186)/2*$AN186+$AO186)*(1+$AV186)*(1+$AW186)+(($AY186+$AZ186)/2*IF($G$1="鸣金",$AP186,$AN186)+IF($G$1="鸣金",$AQ186*1.5,0))*(1+$BA186)*(1+$BB186)+(($BC186+$BD186)/2*IF($G$1="裂石",$AP186,$AN186)+IF($G$1="裂石",$AQ186*1.5,0))*(1+$BE186)*(1+$BF186)+(($BG186+$BH186)/2*IF($G$1="牵丝",$AP186,$AN186)+IF($G$1="牵丝",$AQ186*1.5,0))*(1+$BI186)*(1+$BJ186)+(($BK186+$BL186)/2*IF($G$1="破竹",$AP186,$AN186)+IF($G$1="破竹",$AQ186*1.5,0))*(1+$BM186)*(1+$BN186))*(1+$AR186)*$Q186*(1+IF(VLOOKUP($R186,武学奇术!$A:$ZZ,30,FALSE)="蓄力技",$B$21,0))*(1+IF(VLOOKUP($R186,武学奇术!$A:$ZZ,30,FALSE)="派生技",$B$20,0))*(1+$BW186)*(1+$BX186)</f>
        <v>0</v>
      </c>
      <c r="P186" s="46">
        <f>((($AT186*$AN186+$AO186)*(1+$AV186)*(1+$AW186)+($AY186*IF($G$1="鸣金",$AP186,$AN186)+IF($G$1="鸣金",$AQ186*1.5,0))*(1+$BA186)*(1+$BB186)+($BC186*IF($G$1="裂石",$AP186,$AN186)+IF($G$1="裂石",$AQ186*1.5,0))*(1+$BE186)*(1+$BF186)+($BG186*IF($G$1="牵丝",$AP186,$AN186)+IF($G$1="牵丝",$AQ186*1.5,0))*(1+$BI186)*(1+$BJ186)+($BK186*IF($G$1="破竹",$AP186,$AN186)+IF($G$1="破竹",$AQ186*1.5,0))*(1+$BM186)*(1+$BN186))*(1+$AR186))*$Q186*(1+IF(VLOOKUP($R186,武学奇术!$A:$ZZ,30,FALSE)="蓄力技",$B$21,0))*(1+IF(VLOOKUP($R186,武学奇术!$A:$ZZ,30,FALSE)="派生技",$B$20,0))*(1+$BW186)*(1+$BX186)</f>
        <v>0</v>
      </c>
      <c r="Q186" s="47">
        <f t="shared" si="84"/>
        <v>0</v>
      </c>
      <c r="R186" s="48" t="s">
        <v>116</v>
      </c>
      <c r="S186" s="48" t="s">
        <v>99</v>
      </c>
      <c r="T186" s="48" t="s">
        <v>182</v>
      </c>
      <c r="U186" s="48" t="s">
        <v>79</v>
      </c>
      <c r="V186" s="48" t="s">
        <v>80</v>
      </c>
      <c r="W186" s="48" t="s">
        <v>91</v>
      </c>
      <c r="X186" s="48" t="s">
        <v>80</v>
      </c>
      <c r="Y186" s="48" t="s">
        <v>80</v>
      </c>
      <c r="Z186" s="48" t="s">
        <v>80</v>
      </c>
      <c r="AA186" s="48" t="s">
        <v>80</v>
      </c>
      <c r="AB186" s="48" t="s">
        <v>80</v>
      </c>
      <c r="AC186" s="48" t="s">
        <v>193</v>
      </c>
      <c r="AD186" s="48" t="s">
        <v>80</v>
      </c>
      <c r="AE186" s="48" t="s">
        <v>82</v>
      </c>
      <c r="AF186" s="48" t="s">
        <v>83</v>
      </c>
      <c r="AG186" s="48" t="s">
        <v>84</v>
      </c>
      <c r="AH186" s="48" t="s">
        <v>80</v>
      </c>
      <c r="AI186" s="48" t="s">
        <v>80</v>
      </c>
      <c r="AJ186" s="48" t="s">
        <v>80</v>
      </c>
      <c r="AK186" s="48" t="s">
        <v>80</v>
      </c>
      <c r="AL186" s="48" t="s">
        <v>85</v>
      </c>
      <c r="AM186" t="str">
        <f>VLOOKUP($R186,武学奇术!$A:$ZZ,25,FALSE)</f>
        <v>横刀</v>
      </c>
      <c r="AN186" s="33">
        <f>VLOOKUP($R186,武学奇术!$A:$ZZ,26,FALSE)</f>
        <v>3.7797</v>
      </c>
      <c r="AO186" s="34">
        <f>VLOOKUP($R186,武学奇术!$A:$ZZ,27,FALSE)*(1+IF(OR($AM186=$F$4,$AM186=$F$5),$B$22,0))</f>
        <v>1672</v>
      </c>
      <c r="AP186" s="33">
        <f>VLOOKUP($R186,武学奇术!$A:$ZZ,28,FALSE)</f>
        <v>5.6696</v>
      </c>
      <c r="AQ186" s="34">
        <f>VLOOKUP($R186,武学奇术!$A:$ZZ,29,FALSE)*(1+IF(OR($AM186=$F$4,$AM186=$F$5),$B$22,0))</f>
        <v>912</v>
      </c>
      <c r="AR186" s="33" cm="1">
        <f t="array" ref="AR186">$G$3+IFERROR(VLOOKUP($AM186,$F$4:$G$7,2,FALSE),0)+VLOOKUP($R186,武学奇术!$A:$ZZ,2,FALSE)+SUM(_xlfn.XLOOKUP($S186:$AL186,增益!$A:$A,增益!$B:$B,0))</f>
        <v>0.4489</v>
      </c>
      <c r="AS186" s="33" cm="1">
        <f t="array" ref="AS186">VLOOKUP($R186,武学奇术!$A:$ZZ,5,FALSE)+SUM(_xlfn.XLOOKUP($S186:$AL186,增益!$A:$A,增益!$E:$E,0))</f>
        <v>0</v>
      </c>
      <c r="AT186" cm="1">
        <f t="array" ref="AT186">$D$10*(1+$AS186)+VLOOKUP($R186,武学奇术!$A:$ZZ,3,FALSE)+SUM(_xlfn.XLOOKUP($S186:$AL186,增益!$A:$A,增益!$C:$C,0))-$I$2</f>
        <v>4094.7</v>
      </c>
      <c r="AU186" cm="1">
        <f t="array" ref="AU186">$E$10*(1+$AS186)+VLOOKUP($R186,武学奇术!$A:$ZZ,4,FALSE)+SUM(_xlfn.XLOOKUP($S186:$AL186,增益!$A:$A,增益!$D:$D,0))-$I$2</f>
        <v>4094.7</v>
      </c>
      <c r="AV186" s="40" cm="1">
        <f t="array" ref="AV186">IF($F$10-$I$3+VLOOKUP($R186,武学奇术!$A:$ZZ,6,FALSE)+SUM(_xlfn.XLOOKUP($S186:$AL186,增益!$A:$A,增益!$F:$F,0))&gt;0,($F$10-$I$3+VLOOKUP($R186,武学奇术!$A:$ZZ,6,FALSE)+SUM(_xlfn.XLOOKUP($S186:$AL186,增益!$A:$A,增益!$F:$F,0)))/200,($F$10-$I$3+VLOOKUP($R186,武学奇术!$A:$ZZ,6,FALSE)+SUM(_xlfn.XLOOKUP($S186:$AL186,增益!$A:$A,增益!$F:$F,0)))/100)</f>
        <v>0.4134</v>
      </c>
      <c r="AW186" s="40" cm="1">
        <f t="array" ref="AW186">$G$10+VLOOKUP($R186,武学奇术!$A:$ZZ,7,FALSE)+SUM(_xlfn.XLOOKUP($S186:$AL186,增益!$A:$A,增益!$G:$G,0))</f>
        <v>0.14</v>
      </c>
      <c r="AX186" s="33" cm="1">
        <f t="array" ref="AX186">VLOOKUP($R186,武学奇术!$A:$ZZ,8,FALSE)+SUM(_xlfn.XLOOKUP($S186:$AL186,增益!$A:$A,增益!$H:$H,0))</f>
        <v>0</v>
      </c>
      <c r="AY186">
        <f t="shared" si="85"/>
        <v>0</v>
      </c>
      <c r="AZ186">
        <f t="shared" si="86"/>
        <v>0</v>
      </c>
      <c r="BA186" s="40" cm="1">
        <f t="array" ref="BA186">IF($F$11-$I$4+VLOOKUP($R186,武学奇术!$A:$ZZ,9,FALSE)+SUM(_xlfn.XLOOKUP($S186:$AL186,增益!$A:$A,增益!$I:$I,0))&gt;0,($F$11-$I$4+VLOOKUP($R186,武学奇术!$A:$ZZ,9,FALSE)+SUM(_xlfn.XLOOKUP($S186:$AL186,增益!$A:$A,增益!$I:$I,0)))/200,($F$11-$I$4+VLOOKUP($R186,武学奇术!$A:$ZZ,9,FALSE)+SUM(_xlfn.XLOOKUP($S186:$AL186,增益!$A:$A,增益!$I:$I,0)))/100)</f>
        <v>-0.3</v>
      </c>
      <c r="BB186" s="40" cm="1">
        <f t="array" ref="BB186">$G$11+VLOOKUP($R186,武学奇术!$A:$ZZ,10,FALSE)+SUM(_xlfn.XLOOKUP($S186:$AL186,增益!$A:$A,增益!$J:$J,0))</f>
        <v>0.02</v>
      </c>
      <c r="BC186">
        <f t="shared" si="87"/>
        <v>640.3</v>
      </c>
      <c r="BD186">
        <f t="shared" si="88"/>
        <v>1770.1</v>
      </c>
      <c r="BE186" s="40" cm="1">
        <f t="array" ref="BE186">IF($F$12-$I$4+VLOOKUP($R186,武学奇术!$A:$ZZ,11,FALSE)+SUM(_xlfn.XLOOKUP($S186:$AL186,增益!$A:$A,增益!$K:$K,0))&gt;0,($F$12-$I$4+VLOOKUP($R186,武学奇术!$A:$ZZ,11,FALSE)+SUM(_xlfn.XLOOKUP($S186:$AL186,增益!$A:$A,增益!$K:$K,0)))/200,($F$12-$I$4+VLOOKUP($R186,武学奇术!$A:$ZZ,11,FALSE)+SUM(_xlfn.XLOOKUP($S186:$AL186,增益!$A:$A,增益!$K:$K,0)))/100)</f>
        <v>0.09</v>
      </c>
      <c r="BF186" s="40" cm="1">
        <f t="array" ref="BF186">$G$12+VLOOKUP($R186,武学奇术!$A:$ZZ,12,FALSE)+SUM(_xlfn.XLOOKUP($S186:$AL186,增益!$A:$A,增益!$L:$L,0))</f>
        <v>0.29</v>
      </c>
      <c r="BG186">
        <f t="shared" si="89"/>
        <v>0</v>
      </c>
      <c r="BH186">
        <f t="shared" si="90"/>
        <v>0</v>
      </c>
      <c r="BI186" s="40" cm="1">
        <f t="array" ref="BI186">IF($F$13-$I$4+VLOOKUP($R186,武学奇术!$A:$ZZ,13,FALSE)+SUM(_xlfn.XLOOKUP($S186:$AL186,增益!$A:$A,增益!$M:$M,0))&gt;0,($F$13-$I$4+VLOOKUP($R186,武学奇术!$A:$ZZ,13,FALSE)+SUM(_xlfn.XLOOKUP($S186:$AL186,增益!$A:$A,增益!$K:$K,0)))/200,($F$13-$I$4+VLOOKUP($R186,武学奇术!$A:$ZZ,13,FALSE)+SUM(_xlfn.XLOOKUP($S186:$AL186,增益!$A:$A,增益!$M:$M,0)))/100)</f>
        <v>-0.3</v>
      </c>
      <c r="BJ186" s="40" cm="1">
        <f t="array" ref="BJ186">$G$13+VLOOKUP($R186,武学奇术!$A:$ZZ,14,FALSE)+SUM(_xlfn.XLOOKUP($S186:$AL186,增益!$A:$A,增益!$N:$N,0))</f>
        <v>0.02</v>
      </c>
      <c r="BK186">
        <f t="shared" si="91"/>
        <v>0</v>
      </c>
      <c r="BL186">
        <f t="shared" si="92"/>
        <v>0</v>
      </c>
      <c r="BM186" s="40" cm="1">
        <f t="array" ref="BM186">IF($F$14-$I$4+VLOOKUP($R186,武学奇术!$A:$ZZ,15,FALSE)+SUM(_xlfn.XLOOKUP($S186:$AL186,增益!$A:$A,增益!$O:$O,0))&gt;0,($F$14-$I$4+VLOOKUP($R186,武学奇术!$A:$ZZ,15,FALSE)+SUM(_xlfn.XLOOKUP($S186:$AL186,增益!$A:$A,增益!$O:$O,0)))/200,($F$14-$I$4+VLOOKUP($R186,武学奇术!$A:$ZZ,15,FALSE)+SUM(_xlfn.XLOOKUP($S186:$AL186,增益!$A:$A,增益!$O:$O,0)))/100)</f>
        <v>-0.3</v>
      </c>
      <c r="BN186" s="40" cm="1">
        <f t="array" ref="BN186">$G$14+VLOOKUP($R186,武学奇术!$A:$ZZ,16,FALSE)+SUM(_xlfn.XLOOKUP($S186:$AL186,增益!$A:$A,增益!$P:$P,0))</f>
        <v>0.02</v>
      </c>
      <c r="BO186" s="33">
        <f>MIN(IF(VLOOKUP($R186,武学奇术!$A:$ZZ,23,FALSE)=1,100%,$B$8),100%)</f>
        <v>0.9771</v>
      </c>
      <c r="BP186" s="33" cm="1">
        <f t="array" ref="BP186">IF(VLOOKUP($R186,武学奇术!$A:$ZZ,23,FALSE)=1,100%,MIN(80%,$B$9+VLOOKUP($R186,武学奇术!$A:$ZZ,17,FALSE)+SUM(_xlfn.XLOOKUP($S186:$AL186,增益!$A:$A,增益!$Q:$Q,0)))+$B$11+SUM(_xlfn.XLOOKUP($S186:$AL186,增益!$A:$A,增益!$U:$U,0)))*IF(VLOOKUP($R186,武学奇术!$A:$ZZ,24,FALSE)=1,0,1)</f>
        <v>0.8861</v>
      </c>
      <c r="BQ186" s="33" cm="1">
        <f t="array" ref="BQ186">1+$B$13+VLOOKUP($R186,武学奇术!$A:$ZZ,18,FALSE)+SUM(_xlfn.XLOOKUP($S186:$AL186,增益!$A:$A,增益!$R:$R,0))</f>
        <v>1.95</v>
      </c>
      <c r="BR186" s="33" cm="1">
        <f t="array" ref="BR186">IF(VLOOKUP($R186,武学奇术!$A:$ZZ,24,FALSE)=1,100%,MIN(40%,$B$10+VLOOKUP($R186,武学奇术!$A:$ZZ,19,FALSE)+SUM(_xlfn.XLOOKUP($S186:$AL186,增益!$A:$A,增益!$S:$S,0)))+$B$12+SUM(_xlfn.XLOOKUP($S186:$AL186,增益!$A:$A,增益!$V:$V,0)))*IF(VLOOKUP($R186,武学奇术!$A:$ZZ,23,FALSE)=1,0,1)</f>
        <v>0.0913</v>
      </c>
      <c r="BS186" s="33" cm="1">
        <f t="array" ref="BS186">1+$B$14+VLOOKUP($R186,武学奇术!$A:$ZZ,20,FALSE)+SUM(_xlfn.XLOOKUP($S186:$AL186,增益!$A:$A,增益!$T:$T,0))</f>
        <v>1.35</v>
      </c>
      <c r="BT186" s="33">
        <f t="shared" si="93"/>
        <v>0.86580831</v>
      </c>
      <c r="BU186" s="33">
        <f t="shared" si="94"/>
        <v>0.02208246</v>
      </c>
      <c r="BV186" s="33">
        <f>IF(VLOOKUP($R186,武学奇术!$A:$ZZ,22,FALSE)=1,0,(1-$BO186))*(1-$BR186)</f>
        <v>0.02080923</v>
      </c>
      <c r="BW186" s="33" cm="1">
        <f t="array" ref="BW186">SUM(_xlfn.XLOOKUP($S186:$AL186,增益!$A:$A,增益!$W:$W,0))+$I$5</f>
        <v>0.11</v>
      </c>
      <c r="BX186" s="33" cm="1">
        <f t="array" ref="BX186">VLOOKUP($R186,武学奇术!$A:$ZZ,32,FALSE)+SUM(_xlfn.XLOOKUP($S186:$AL186,增益!$A:$A,增益!$X:$X,0))</f>
        <v>0</v>
      </c>
    </row>
    <row r="187" spans="1:76">
      <c r="A187" t="s">
        <v>164</v>
      </c>
      <c r="B187">
        <v>1</v>
      </c>
      <c r="E187" s="47"/>
      <c r="L187" s="46">
        <f t="shared" si="83"/>
        <v>0</v>
      </c>
      <c r="M187" s="46">
        <f>((($AT187+$AU187)/2*$AN187+$AO187)*(1+$AV187)*(1+$AW187)+(($AY187+$AZ187)/2*IF($G$1="鸣金",$AP187,$AN187)+IF($G$1="鸣金",$AQ187*1.5,0))*(1+$BA187)*(1+$BB187)+(($BC187+$BD187)/2*IF($G$1="裂石",$AP187,$AN187)+IF($G$1="裂石",$AQ187*1.5,0))*(1+$BE187)*(1+$BF187)+(($BG187+$BH187)/2*IF($G$1="牵丝",$AP187,$AN187)+IF($G$1="牵丝",$AQ187*1.5,0))*(1+$BI187)*(1+$BJ187)+(($BK187+$BL187)/2*IF($G$1="破竹",$AP187,$AN187)+IF($G$1="破竹",$AQ187*1.5,0))*(1+$BM187)*(1+$BN187))*(1+$AR187)*$BQ187*$Q187*(1+IF(VLOOKUP($R187,武学奇术!$A:$ZZ,30,FALSE)="蓄力技",$B$21,0))*(1+IF(VLOOKUP($R187,武学奇术!$A:$ZZ,30,FALSE)="派生技",$B$20,0))*(1+$BW187)*(1+$BX187)</f>
        <v>0</v>
      </c>
      <c r="N187" s="46">
        <f>(($AU187*$AN187+$AO187)*(1+$AV187)*(1+$AW187)+($AZ187*IF($G$1="鸣金",$AP187,$AN187)+IF($G$1="鸣金",$AQ187*1.5,0))*(1+$BA187)*(1+$BB187)+($BD187*IF($G$1="裂石",$AP187,$AN187)+IF($G$1="裂石",$AQ187*1.5,0))*(1+$BE187)*(1+$BF187)+($BH187*IF($G$1="牵丝",$AP187,$AN187)+IF($G$1="牵丝",$AQ187*1.5,0))*(1+$BI187)*(1+$BJ187)+($BL187*IF($G$1="破竹",$AP187,$AN187)+IF($G$1="破竹",$AQ187*1.5,0))*(1+$BM187)*(1+$BN187))*(1+$AR187)*$BS187*$Q187*(1+IF(VLOOKUP($R187,武学奇术!$A:$ZZ,30,FALSE)="蓄力技",$B$21,0))*(1+IF(VLOOKUP($R187,武学奇术!$A:$ZZ,30,FALSE)="派生技",$B$20,0))*(1+$BW187)*(1+$BX187)</f>
        <v>0</v>
      </c>
      <c r="O187" s="46">
        <f>((($AT187+$AU187)/2*$AN187+$AO187)*(1+$AV187)*(1+$AW187)+(($AY187+$AZ187)/2*IF($G$1="鸣金",$AP187,$AN187)+IF($G$1="鸣金",$AQ187*1.5,0))*(1+$BA187)*(1+$BB187)+(($BC187+$BD187)/2*IF($G$1="裂石",$AP187,$AN187)+IF($G$1="裂石",$AQ187*1.5,0))*(1+$BE187)*(1+$BF187)+(($BG187+$BH187)/2*IF($G$1="牵丝",$AP187,$AN187)+IF($G$1="牵丝",$AQ187*1.5,0))*(1+$BI187)*(1+$BJ187)+(($BK187+$BL187)/2*IF($G$1="破竹",$AP187,$AN187)+IF($G$1="破竹",$AQ187*1.5,0))*(1+$BM187)*(1+$BN187))*(1+$AR187)*$Q187*(1+IF(VLOOKUP($R187,武学奇术!$A:$ZZ,30,FALSE)="蓄力技",$B$21,0))*(1+IF(VLOOKUP($R187,武学奇术!$A:$ZZ,30,FALSE)="派生技",$B$20,0))*(1+$BW187)*(1+$BX187)</f>
        <v>0</v>
      </c>
      <c r="P187" s="46">
        <f>((($AT187*$AN187+$AO187)*(1+$AV187)*(1+$AW187)+($AY187*IF($G$1="鸣金",$AP187,$AN187)+IF($G$1="鸣金",$AQ187*1.5,0))*(1+$BA187)*(1+$BB187)+($BC187*IF($G$1="裂石",$AP187,$AN187)+IF($G$1="裂石",$AQ187*1.5,0))*(1+$BE187)*(1+$BF187)+($BG187*IF($G$1="牵丝",$AP187,$AN187)+IF($G$1="牵丝",$AQ187*1.5,0))*(1+$BI187)*(1+$BJ187)+($BK187*IF($G$1="破竹",$AP187,$AN187)+IF($G$1="破竹",$AQ187*1.5,0))*(1+$BM187)*(1+$BN187))*(1+$AR187))*$Q187*(1+IF(VLOOKUP($R187,武学奇术!$A:$ZZ,30,FALSE)="蓄力技",$B$21,0))*(1+IF(VLOOKUP($R187,武学奇术!$A:$ZZ,30,FALSE)="派生技",$B$20,0))*(1+$BW187)*(1+$BX187)</f>
        <v>0</v>
      </c>
      <c r="Q187" s="47">
        <f t="shared" si="84"/>
        <v>0</v>
      </c>
      <c r="R187" s="48" t="s">
        <v>195</v>
      </c>
      <c r="S187" s="48" t="s">
        <v>99</v>
      </c>
      <c r="T187" s="48" t="s">
        <v>182</v>
      </c>
      <c r="U187" s="48" t="s">
        <v>79</v>
      </c>
      <c r="V187" s="48" t="s">
        <v>80</v>
      </c>
      <c r="W187" s="48" t="s">
        <v>141</v>
      </c>
      <c r="X187" s="48" t="s">
        <v>80</v>
      </c>
      <c r="Y187" s="48" t="s">
        <v>74</v>
      </c>
      <c r="Z187" s="48" t="s">
        <v>80</v>
      </c>
      <c r="AA187" s="48" t="s">
        <v>80</v>
      </c>
      <c r="AB187" s="48" t="s">
        <v>80</v>
      </c>
      <c r="AC187" s="48" t="s">
        <v>80</v>
      </c>
      <c r="AD187" s="48" t="s">
        <v>80</v>
      </c>
      <c r="AE187" s="48" t="s">
        <v>82</v>
      </c>
      <c r="AF187" s="48" t="s">
        <v>83</v>
      </c>
      <c r="AG187" s="48" t="s">
        <v>84</v>
      </c>
      <c r="AH187" s="48" t="s">
        <v>80</v>
      </c>
      <c r="AI187" s="48" t="s">
        <v>80</v>
      </c>
      <c r="AJ187" s="48" t="s">
        <v>80</v>
      </c>
      <c r="AK187" s="48" t="s">
        <v>80</v>
      </c>
      <c r="AL187" s="48" t="s">
        <v>85</v>
      </c>
      <c r="AM187" t="str">
        <f>VLOOKUP($R187,武学奇术!$A:$ZZ,25,FALSE)</f>
        <v>横刀</v>
      </c>
      <c r="AN187" s="33">
        <f>VLOOKUP($R187,武学奇术!$A:$ZZ,26,FALSE)</f>
        <v>3.6553</v>
      </c>
      <c r="AO187" s="34">
        <f>VLOOKUP($R187,武学奇术!$A:$ZZ,27,FALSE)*(1+IF(OR($AM187=$F$4,$AM187=$F$5),$B$22,0))</f>
        <v>1619.2</v>
      </c>
      <c r="AP187" s="33">
        <f>VLOOKUP($R187,武学奇术!$A:$ZZ,28,FALSE)</f>
        <v>5.4829</v>
      </c>
      <c r="AQ187" s="34">
        <f>VLOOKUP($R187,武学奇术!$A:$ZZ,29,FALSE)*(1+IF(OR($AM187=$F$4,$AM187=$F$5),$B$22,0))</f>
        <v>880</v>
      </c>
      <c r="AR187" s="33" cm="1">
        <f t="array" ref="AR187">$G$3+IFERROR(VLOOKUP($AM187,$F$4:$G$7,2,FALSE),0)+VLOOKUP($R187,武学奇术!$A:$ZZ,2,FALSE)+SUM(_xlfn.XLOOKUP($S187:$AL187,增益!$A:$A,增益!$B:$B,0))</f>
        <v>0.6289</v>
      </c>
      <c r="AS187" s="33" cm="1">
        <f t="array" ref="AS187">VLOOKUP($R187,武学奇术!$A:$ZZ,5,FALSE)+SUM(_xlfn.XLOOKUP($S187:$AL187,增益!$A:$A,增益!$E:$E,0))</f>
        <v>0</v>
      </c>
      <c r="AT187" cm="1">
        <f t="array" ref="AT187">$D$10*(1+$AS187)+VLOOKUP($R187,武学奇术!$A:$ZZ,3,FALSE)+SUM(_xlfn.XLOOKUP($S187:$AL187,增益!$A:$A,增益!$C:$C,0))-$I$2</f>
        <v>4094.7</v>
      </c>
      <c r="AU187" cm="1">
        <f t="array" ref="AU187">$E$10*(1+$AS187)+VLOOKUP($R187,武学奇术!$A:$ZZ,4,FALSE)+SUM(_xlfn.XLOOKUP($S187:$AL187,增益!$A:$A,增益!$D:$D,0))-$I$2</f>
        <v>4094.7</v>
      </c>
      <c r="AV187" s="40" cm="1">
        <f t="array" ref="AV187">IF($F$10-$I$3+VLOOKUP($R187,武学奇术!$A:$ZZ,6,FALSE)+SUM(_xlfn.XLOOKUP($S187:$AL187,增益!$A:$A,增益!$F:$F,0))&gt;0,($F$10-$I$3+VLOOKUP($R187,武学奇术!$A:$ZZ,6,FALSE)+SUM(_xlfn.XLOOKUP($S187:$AL187,增益!$A:$A,增益!$F:$F,0)))/200,($F$10-$I$3+VLOOKUP($R187,武学奇术!$A:$ZZ,6,FALSE)+SUM(_xlfn.XLOOKUP($S187:$AL187,增益!$A:$A,增益!$F:$F,0)))/100)</f>
        <v>0.4384</v>
      </c>
      <c r="AW187" s="40" cm="1">
        <f t="array" ref="AW187">$G$10+VLOOKUP($R187,武学奇术!$A:$ZZ,7,FALSE)+SUM(_xlfn.XLOOKUP($S187:$AL187,增益!$A:$A,增益!$G:$G,0))</f>
        <v>0.14</v>
      </c>
      <c r="AX187" s="33" cm="1">
        <f t="array" ref="AX187">VLOOKUP($R187,武学奇术!$A:$ZZ,8,FALSE)+SUM(_xlfn.XLOOKUP($S187:$AL187,增益!$A:$A,增益!$H:$H,0))</f>
        <v>0</v>
      </c>
      <c r="AY187">
        <f t="shared" si="85"/>
        <v>0</v>
      </c>
      <c r="AZ187">
        <f t="shared" si="86"/>
        <v>0</v>
      </c>
      <c r="BA187" s="40" cm="1">
        <f t="array" ref="BA187">IF($F$11-$I$4+VLOOKUP($R187,武学奇术!$A:$ZZ,9,FALSE)+SUM(_xlfn.XLOOKUP($S187:$AL187,增益!$A:$A,增益!$I:$I,0))&gt;0,($F$11-$I$4+VLOOKUP($R187,武学奇术!$A:$ZZ,9,FALSE)+SUM(_xlfn.XLOOKUP($S187:$AL187,增益!$A:$A,增益!$I:$I,0)))/200,($F$11-$I$4+VLOOKUP($R187,武学奇术!$A:$ZZ,9,FALSE)+SUM(_xlfn.XLOOKUP($S187:$AL187,增益!$A:$A,增益!$I:$I,0)))/100)</f>
        <v>-0.3</v>
      </c>
      <c r="BB187" s="40" cm="1">
        <f t="array" ref="BB187">$G$11+VLOOKUP($R187,武学奇术!$A:$ZZ,10,FALSE)+SUM(_xlfn.XLOOKUP($S187:$AL187,增益!$A:$A,增益!$J:$J,0))</f>
        <v>0.02</v>
      </c>
      <c r="BC187">
        <f t="shared" si="87"/>
        <v>640.3</v>
      </c>
      <c r="BD187">
        <f t="shared" si="88"/>
        <v>1770.1</v>
      </c>
      <c r="BE187" s="40" cm="1">
        <f t="array" ref="BE187">IF($F$12-$I$4+VLOOKUP($R187,武学奇术!$A:$ZZ,11,FALSE)+SUM(_xlfn.XLOOKUP($S187:$AL187,增益!$A:$A,增益!$K:$K,0))&gt;0,($F$12-$I$4+VLOOKUP($R187,武学奇术!$A:$ZZ,11,FALSE)+SUM(_xlfn.XLOOKUP($S187:$AL187,增益!$A:$A,增益!$K:$K,0)))/200,($F$12-$I$4+VLOOKUP($R187,武学奇术!$A:$ZZ,11,FALSE)+SUM(_xlfn.XLOOKUP($S187:$AL187,增益!$A:$A,增益!$K:$K,0)))/100)</f>
        <v>0.09</v>
      </c>
      <c r="BF187" s="40" cm="1">
        <f t="array" ref="BF187">$G$12+VLOOKUP($R187,武学奇术!$A:$ZZ,12,FALSE)+SUM(_xlfn.XLOOKUP($S187:$AL187,增益!$A:$A,增益!$L:$L,0))</f>
        <v>0.29</v>
      </c>
      <c r="BG187">
        <f t="shared" si="89"/>
        <v>0</v>
      </c>
      <c r="BH187">
        <f t="shared" si="90"/>
        <v>0</v>
      </c>
      <c r="BI187" s="40" cm="1">
        <f t="array" ref="BI187">IF($F$13-$I$4+VLOOKUP($R187,武学奇术!$A:$ZZ,13,FALSE)+SUM(_xlfn.XLOOKUP($S187:$AL187,增益!$A:$A,增益!$M:$M,0))&gt;0,($F$13-$I$4+VLOOKUP($R187,武学奇术!$A:$ZZ,13,FALSE)+SUM(_xlfn.XLOOKUP($S187:$AL187,增益!$A:$A,增益!$K:$K,0)))/200,($F$13-$I$4+VLOOKUP($R187,武学奇术!$A:$ZZ,13,FALSE)+SUM(_xlfn.XLOOKUP($S187:$AL187,增益!$A:$A,增益!$M:$M,0)))/100)</f>
        <v>-0.3</v>
      </c>
      <c r="BJ187" s="40" cm="1">
        <f t="array" ref="BJ187">$G$13+VLOOKUP($R187,武学奇术!$A:$ZZ,14,FALSE)+SUM(_xlfn.XLOOKUP($S187:$AL187,增益!$A:$A,增益!$N:$N,0))</f>
        <v>0.02</v>
      </c>
      <c r="BK187">
        <f t="shared" si="91"/>
        <v>0</v>
      </c>
      <c r="BL187">
        <f t="shared" si="92"/>
        <v>0</v>
      </c>
      <c r="BM187" s="40" cm="1">
        <f t="array" ref="BM187">IF($F$14-$I$4+VLOOKUP($R187,武学奇术!$A:$ZZ,15,FALSE)+SUM(_xlfn.XLOOKUP($S187:$AL187,增益!$A:$A,增益!$O:$O,0))&gt;0,($F$14-$I$4+VLOOKUP($R187,武学奇术!$A:$ZZ,15,FALSE)+SUM(_xlfn.XLOOKUP($S187:$AL187,增益!$A:$A,增益!$O:$O,0)))/200,($F$14-$I$4+VLOOKUP($R187,武学奇术!$A:$ZZ,15,FALSE)+SUM(_xlfn.XLOOKUP($S187:$AL187,增益!$A:$A,增益!$O:$O,0)))/100)</f>
        <v>-0.3</v>
      </c>
      <c r="BN187" s="40" cm="1">
        <f t="array" ref="BN187">$G$14+VLOOKUP($R187,武学奇术!$A:$ZZ,16,FALSE)+SUM(_xlfn.XLOOKUP($S187:$AL187,增益!$A:$A,增益!$P:$P,0))</f>
        <v>0.02</v>
      </c>
      <c r="BO187" s="33">
        <f>MIN(IF(VLOOKUP($R187,武学奇术!$A:$ZZ,23,FALSE)=1,100%,$B$8),100%)</f>
        <v>0.9771</v>
      </c>
      <c r="BP187" s="33" cm="1">
        <f t="array" ref="BP187">IF(VLOOKUP($R187,武学奇术!$A:$ZZ,23,FALSE)=1,100%,MIN(80%,$B$9+VLOOKUP($R187,武学奇术!$A:$ZZ,17,FALSE)+SUM(_xlfn.XLOOKUP($S187:$AL187,增益!$A:$A,增益!$Q:$Q,0)))+$B$11+SUM(_xlfn.XLOOKUP($S187:$AL187,增益!$A:$A,增益!$U:$U,0)))*IF(VLOOKUP($R187,武学奇术!$A:$ZZ,24,FALSE)=1,0,1)</f>
        <v>0.8861</v>
      </c>
      <c r="BQ187" s="33" cm="1">
        <f t="array" ref="BQ187">1+$B$13+VLOOKUP($R187,武学奇术!$A:$ZZ,18,FALSE)+SUM(_xlfn.XLOOKUP($S187:$AL187,增益!$A:$A,增益!$R:$R,0))</f>
        <v>2</v>
      </c>
      <c r="BR187" s="33" cm="1">
        <f t="array" ref="BR187">IF(VLOOKUP($R187,武学奇术!$A:$ZZ,24,FALSE)=1,100%,MIN(40%,$B$10+VLOOKUP($R187,武学奇术!$A:$ZZ,19,FALSE)+SUM(_xlfn.XLOOKUP($S187:$AL187,增益!$A:$A,增益!$S:$S,0)))+$B$12+SUM(_xlfn.XLOOKUP($S187:$AL187,增益!$A:$A,增益!$V:$V,0)))*IF(VLOOKUP($R187,武学奇术!$A:$ZZ,23,FALSE)=1,0,1)</f>
        <v>0.0913</v>
      </c>
      <c r="BS187" s="33" cm="1">
        <f t="array" ref="BS187">1+$B$14+VLOOKUP($R187,武学奇术!$A:$ZZ,20,FALSE)+SUM(_xlfn.XLOOKUP($S187:$AL187,增益!$A:$A,增益!$T:$T,0))</f>
        <v>1.35</v>
      </c>
      <c r="BT187" s="33">
        <f t="shared" si="93"/>
        <v>0.86580831</v>
      </c>
      <c r="BU187" s="33">
        <f t="shared" si="94"/>
        <v>0.02208246</v>
      </c>
      <c r="BV187" s="33">
        <f>IF(VLOOKUP($R187,武学奇术!$A:$ZZ,22,FALSE)=1,0,(1-$BO187))*(1-$BR187)</f>
        <v>0.02080923</v>
      </c>
      <c r="BW187" s="33" cm="1">
        <f t="array" ref="BW187">SUM(_xlfn.XLOOKUP($S187:$AL187,增益!$A:$A,增益!$W:$W,0))+$I$5</f>
        <v>0.11</v>
      </c>
      <c r="BX187" s="33" cm="1">
        <f t="array" ref="BX187">VLOOKUP($R187,武学奇术!$A:$ZZ,32,FALSE)+SUM(_xlfn.XLOOKUP($S187:$AL187,增益!$A:$A,增益!$X:$X,0))</f>
        <v>0</v>
      </c>
    </row>
    <row r="188" spans="1:76">
      <c r="A188" s="4" t="s">
        <v>189</v>
      </c>
      <c r="B188" s="4">
        <v>0.8</v>
      </c>
      <c r="E188" s="47"/>
      <c r="L188" s="46">
        <f t="shared" si="83"/>
        <v>0</v>
      </c>
      <c r="M188" s="46">
        <f>((($AT188+$AU188)/2*$AN188+$AO188)*(1+$AV188)*(1+$AW188)+(($AY188+$AZ188)/2*IF($G$1="鸣金",$AP188,$AN188)+IF($G$1="鸣金",$AQ188*1.5,0))*(1+$BA188)*(1+$BB188)+(($BC188+$BD188)/2*IF($G$1="裂石",$AP188,$AN188)+IF($G$1="裂石",$AQ188*1.5,0))*(1+$BE188)*(1+$BF188)+(($BG188+$BH188)/2*IF($G$1="牵丝",$AP188,$AN188)+IF($G$1="牵丝",$AQ188*1.5,0))*(1+$BI188)*(1+$BJ188)+(($BK188+$BL188)/2*IF($G$1="破竹",$AP188,$AN188)+IF($G$1="破竹",$AQ188*1.5,0))*(1+$BM188)*(1+$BN188))*(1+$AR188)*$BQ188*$Q188*(1+IF(VLOOKUP($R188,武学奇术!$A:$ZZ,30,FALSE)="蓄力技",$B$21,0))*(1+IF(VLOOKUP($R188,武学奇术!$A:$ZZ,30,FALSE)="派生技",$B$20,0))*(1+$BW188)*(1+$BX188)</f>
        <v>0</v>
      </c>
      <c r="N188" s="46">
        <f>(($AU188*$AN188+$AO188)*(1+$AV188)*(1+$AW188)+($AZ188*IF($G$1="鸣金",$AP188,$AN188)+IF($G$1="鸣金",$AQ188*1.5,0))*(1+$BA188)*(1+$BB188)+($BD188*IF($G$1="裂石",$AP188,$AN188)+IF($G$1="裂石",$AQ188*1.5,0))*(1+$BE188)*(1+$BF188)+($BH188*IF($G$1="牵丝",$AP188,$AN188)+IF($G$1="牵丝",$AQ188*1.5,0))*(1+$BI188)*(1+$BJ188)+($BL188*IF($G$1="破竹",$AP188,$AN188)+IF($G$1="破竹",$AQ188*1.5,0))*(1+$BM188)*(1+$BN188))*(1+$AR188)*$BS188*$Q188*(1+IF(VLOOKUP($R188,武学奇术!$A:$ZZ,30,FALSE)="蓄力技",$B$21,0))*(1+IF(VLOOKUP($R188,武学奇术!$A:$ZZ,30,FALSE)="派生技",$B$20,0))*(1+$BW188)*(1+$BX188)</f>
        <v>0</v>
      </c>
      <c r="O188" s="46">
        <f>((($AT188+$AU188)/2*$AN188+$AO188)*(1+$AV188)*(1+$AW188)+(($AY188+$AZ188)/2*IF($G$1="鸣金",$AP188,$AN188)+IF($G$1="鸣金",$AQ188*1.5,0))*(1+$BA188)*(1+$BB188)+(($BC188+$BD188)/2*IF($G$1="裂石",$AP188,$AN188)+IF($G$1="裂石",$AQ188*1.5,0))*(1+$BE188)*(1+$BF188)+(($BG188+$BH188)/2*IF($G$1="牵丝",$AP188,$AN188)+IF($G$1="牵丝",$AQ188*1.5,0))*(1+$BI188)*(1+$BJ188)+(($BK188+$BL188)/2*IF($G$1="破竹",$AP188,$AN188)+IF($G$1="破竹",$AQ188*1.5,0))*(1+$BM188)*(1+$BN188))*(1+$AR188)*$Q188*(1+IF(VLOOKUP($R188,武学奇术!$A:$ZZ,30,FALSE)="蓄力技",$B$21,0))*(1+IF(VLOOKUP($R188,武学奇术!$A:$ZZ,30,FALSE)="派生技",$B$20,0))*(1+$BW188)*(1+$BX188)</f>
        <v>0</v>
      </c>
      <c r="P188" s="46">
        <f>((($AT188*$AN188+$AO188)*(1+$AV188)*(1+$AW188)+($AY188*IF($G$1="鸣金",$AP188,$AN188)+IF($G$1="鸣金",$AQ188*1.5,0))*(1+$BA188)*(1+$BB188)+($BC188*IF($G$1="裂石",$AP188,$AN188)+IF($G$1="裂石",$AQ188*1.5,0))*(1+$BE188)*(1+$BF188)+($BG188*IF($G$1="牵丝",$AP188,$AN188)+IF($G$1="牵丝",$AQ188*1.5,0))*(1+$BI188)*(1+$BJ188)+($BK188*IF($G$1="破竹",$AP188,$AN188)+IF($G$1="破竹",$AQ188*1.5,0))*(1+$BM188)*(1+$BN188))*(1+$AR188))*$Q188*(1+IF(VLOOKUP($R188,武学奇术!$A:$ZZ,30,FALSE)="蓄力技",$B$21,0))*(1+IF(VLOOKUP($R188,武学奇术!$A:$ZZ,30,FALSE)="派生技",$B$20,0))*(1+$BW188)*(1+$BX188)</f>
        <v>0</v>
      </c>
      <c r="Q188" s="47">
        <f t="shared" si="84"/>
        <v>0</v>
      </c>
      <c r="R188" s="48" t="s">
        <v>196</v>
      </c>
      <c r="S188" s="48" t="s">
        <v>99</v>
      </c>
      <c r="T188" s="48" t="s">
        <v>182</v>
      </c>
      <c r="U188" s="48" t="s">
        <v>79</v>
      </c>
      <c r="V188" s="48" t="s">
        <v>80</v>
      </c>
      <c r="W188" s="48" t="s">
        <v>141</v>
      </c>
      <c r="X188" s="48" t="s">
        <v>80</v>
      </c>
      <c r="Y188" s="48" t="s">
        <v>74</v>
      </c>
      <c r="Z188" s="48" t="s">
        <v>80</v>
      </c>
      <c r="AA188" s="48" t="s">
        <v>80</v>
      </c>
      <c r="AB188" s="48" t="s">
        <v>80</v>
      </c>
      <c r="AC188" s="48" t="s">
        <v>80</v>
      </c>
      <c r="AD188" s="48" t="s">
        <v>80</v>
      </c>
      <c r="AE188" s="48" t="s">
        <v>82</v>
      </c>
      <c r="AF188" s="48" t="s">
        <v>83</v>
      </c>
      <c r="AG188" s="48" t="s">
        <v>84</v>
      </c>
      <c r="AH188" s="48" t="s">
        <v>80</v>
      </c>
      <c r="AI188" s="48" t="s">
        <v>80</v>
      </c>
      <c r="AJ188" s="48" t="s">
        <v>80</v>
      </c>
      <c r="AK188" s="48" t="s">
        <v>80</v>
      </c>
      <c r="AL188" s="48" t="s">
        <v>85</v>
      </c>
      <c r="AM188" t="str">
        <f>VLOOKUP($R188,武学奇术!$A:$ZZ,25,FALSE)</f>
        <v>横刀</v>
      </c>
      <c r="AN188" s="33">
        <f>VLOOKUP($R188,武学奇术!$A:$ZZ,26,FALSE)</f>
        <v>1.47</v>
      </c>
      <c r="AO188" s="34">
        <f>VLOOKUP($R188,武学奇术!$A:$ZZ,27,FALSE)*(1+IF(OR($AM188=$F$4,$AM188=$F$5),$B$22,0))</f>
        <v>0</v>
      </c>
      <c r="AP188" s="33">
        <f>VLOOKUP($R188,武学奇术!$A:$ZZ,28,FALSE)</f>
        <v>2.205</v>
      </c>
      <c r="AQ188" s="34">
        <f>VLOOKUP($R188,武学奇术!$A:$ZZ,29,FALSE)*(1+IF(OR($AM188=$F$4,$AM188=$F$5),$B$22,0))</f>
        <v>0</v>
      </c>
      <c r="AR188" s="33" cm="1">
        <f t="array" ref="AR188">$G$3+IFERROR(VLOOKUP($AM188,$F$4:$G$7,2,FALSE),0)+VLOOKUP($R188,武学奇术!$A:$ZZ,2,FALSE)+SUM(_xlfn.XLOOKUP($S188:$AL188,增益!$A:$A,增益!$B:$B,0))</f>
        <v>0.5289</v>
      </c>
      <c r="AS188" s="33" cm="1">
        <f t="array" ref="AS188">VLOOKUP($R188,武学奇术!$A:$ZZ,5,FALSE)+SUM(_xlfn.XLOOKUP($S188:$AL188,增益!$A:$A,增益!$E:$E,0))</f>
        <v>0</v>
      </c>
      <c r="AT188" cm="1">
        <f t="array" ref="AT188">$D$10*(1+$AS188)+VLOOKUP($R188,武学奇术!$A:$ZZ,3,FALSE)+SUM(_xlfn.XLOOKUP($S188:$AL188,增益!$A:$A,增益!$C:$C,0))-$I$2</f>
        <v>4094.7</v>
      </c>
      <c r="AU188" cm="1">
        <f t="array" ref="AU188">$E$10*(1+$AS188)+VLOOKUP($R188,武学奇术!$A:$ZZ,4,FALSE)+SUM(_xlfn.XLOOKUP($S188:$AL188,增益!$A:$A,增益!$D:$D,0))-$I$2</f>
        <v>4094.7</v>
      </c>
      <c r="AV188" s="40" cm="1">
        <f t="array" ref="AV188">IF($F$10-$I$3+VLOOKUP($R188,武学奇术!$A:$ZZ,6,FALSE)+SUM(_xlfn.XLOOKUP($S188:$AL188,增益!$A:$A,增益!$F:$F,0))&gt;0,($F$10-$I$3+VLOOKUP($R188,武学奇术!$A:$ZZ,6,FALSE)+SUM(_xlfn.XLOOKUP($S188:$AL188,增益!$A:$A,增益!$F:$F,0)))/200,($F$10-$I$3+VLOOKUP($R188,武学奇术!$A:$ZZ,6,FALSE)+SUM(_xlfn.XLOOKUP($S188:$AL188,增益!$A:$A,增益!$F:$F,0)))/100)</f>
        <v>0.4384</v>
      </c>
      <c r="AW188" s="40" cm="1">
        <f t="array" ref="AW188">$G$10+VLOOKUP($R188,武学奇术!$A:$ZZ,7,FALSE)+SUM(_xlfn.XLOOKUP($S188:$AL188,增益!$A:$A,增益!$G:$G,0))</f>
        <v>0.14</v>
      </c>
      <c r="AX188" s="33" cm="1">
        <f t="array" ref="AX188">VLOOKUP($R188,武学奇术!$A:$ZZ,8,FALSE)+SUM(_xlfn.XLOOKUP($S188:$AL188,增益!$A:$A,增益!$H:$H,0))</f>
        <v>0</v>
      </c>
      <c r="AY188">
        <f t="shared" si="85"/>
        <v>0</v>
      </c>
      <c r="AZ188">
        <f t="shared" si="86"/>
        <v>0</v>
      </c>
      <c r="BA188" s="40" cm="1">
        <f t="array" ref="BA188">IF($F$11-$I$4+VLOOKUP($R188,武学奇术!$A:$ZZ,9,FALSE)+SUM(_xlfn.XLOOKUP($S188:$AL188,增益!$A:$A,增益!$I:$I,0))&gt;0,($F$11-$I$4+VLOOKUP($R188,武学奇术!$A:$ZZ,9,FALSE)+SUM(_xlfn.XLOOKUP($S188:$AL188,增益!$A:$A,增益!$I:$I,0)))/200,($F$11-$I$4+VLOOKUP($R188,武学奇术!$A:$ZZ,9,FALSE)+SUM(_xlfn.XLOOKUP($S188:$AL188,增益!$A:$A,增益!$I:$I,0)))/100)</f>
        <v>-0.3</v>
      </c>
      <c r="BB188" s="40" cm="1">
        <f t="array" ref="BB188">$G$11+VLOOKUP($R188,武学奇术!$A:$ZZ,10,FALSE)+SUM(_xlfn.XLOOKUP($S188:$AL188,增益!$A:$A,增益!$J:$J,0))</f>
        <v>0.02</v>
      </c>
      <c r="BC188">
        <f t="shared" si="87"/>
        <v>640.3</v>
      </c>
      <c r="BD188">
        <f t="shared" si="88"/>
        <v>1770.1</v>
      </c>
      <c r="BE188" s="40" cm="1">
        <f t="array" ref="BE188">IF($F$12-$I$4+VLOOKUP($R188,武学奇术!$A:$ZZ,11,FALSE)+SUM(_xlfn.XLOOKUP($S188:$AL188,增益!$A:$A,增益!$K:$K,0))&gt;0,($F$12-$I$4+VLOOKUP($R188,武学奇术!$A:$ZZ,11,FALSE)+SUM(_xlfn.XLOOKUP($S188:$AL188,增益!$A:$A,增益!$K:$K,0)))/200,($F$12-$I$4+VLOOKUP($R188,武学奇术!$A:$ZZ,11,FALSE)+SUM(_xlfn.XLOOKUP($S188:$AL188,增益!$A:$A,增益!$K:$K,0)))/100)</f>
        <v>0.09</v>
      </c>
      <c r="BF188" s="40" cm="1">
        <f t="array" ref="BF188">$G$12+VLOOKUP($R188,武学奇术!$A:$ZZ,12,FALSE)+SUM(_xlfn.XLOOKUP($S188:$AL188,增益!$A:$A,增益!$L:$L,0))</f>
        <v>0.29</v>
      </c>
      <c r="BG188">
        <f t="shared" si="89"/>
        <v>0</v>
      </c>
      <c r="BH188">
        <f t="shared" si="90"/>
        <v>0</v>
      </c>
      <c r="BI188" s="40" cm="1">
        <f t="array" ref="BI188">IF($F$13-$I$4+VLOOKUP($R188,武学奇术!$A:$ZZ,13,FALSE)+SUM(_xlfn.XLOOKUP($S188:$AL188,增益!$A:$A,增益!$M:$M,0))&gt;0,($F$13-$I$4+VLOOKUP($R188,武学奇术!$A:$ZZ,13,FALSE)+SUM(_xlfn.XLOOKUP($S188:$AL188,增益!$A:$A,增益!$K:$K,0)))/200,($F$13-$I$4+VLOOKUP($R188,武学奇术!$A:$ZZ,13,FALSE)+SUM(_xlfn.XLOOKUP($S188:$AL188,增益!$A:$A,增益!$M:$M,0)))/100)</f>
        <v>-0.3</v>
      </c>
      <c r="BJ188" s="40" cm="1">
        <f t="array" ref="BJ188">$G$13+VLOOKUP($R188,武学奇术!$A:$ZZ,14,FALSE)+SUM(_xlfn.XLOOKUP($S188:$AL188,增益!$A:$A,增益!$N:$N,0))</f>
        <v>0.02</v>
      </c>
      <c r="BK188">
        <f t="shared" si="91"/>
        <v>0</v>
      </c>
      <c r="BL188">
        <f t="shared" si="92"/>
        <v>0</v>
      </c>
      <c r="BM188" s="40" cm="1">
        <f t="array" ref="BM188">IF($F$14-$I$4+VLOOKUP($R188,武学奇术!$A:$ZZ,15,FALSE)+SUM(_xlfn.XLOOKUP($S188:$AL188,增益!$A:$A,增益!$O:$O,0))&gt;0,($F$14-$I$4+VLOOKUP($R188,武学奇术!$A:$ZZ,15,FALSE)+SUM(_xlfn.XLOOKUP($S188:$AL188,增益!$A:$A,增益!$O:$O,0)))/200,($F$14-$I$4+VLOOKUP($R188,武学奇术!$A:$ZZ,15,FALSE)+SUM(_xlfn.XLOOKUP($S188:$AL188,增益!$A:$A,增益!$O:$O,0)))/100)</f>
        <v>-0.3</v>
      </c>
      <c r="BN188" s="40" cm="1">
        <f t="array" ref="BN188">$G$14+VLOOKUP($R188,武学奇术!$A:$ZZ,16,FALSE)+SUM(_xlfn.XLOOKUP($S188:$AL188,增益!$A:$A,增益!$P:$P,0))</f>
        <v>0.02</v>
      </c>
      <c r="BO188" s="33">
        <f>MIN(IF(VLOOKUP($R188,武学奇术!$A:$ZZ,23,FALSE)=1,100%,$B$8),100%)</f>
        <v>0.9771</v>
      </c>
      <c r="BP188" s="33" cm="1">
        <f t="array" ref="BP188">IF(VLOOKUP($R188,武学奇术!$A:$ZZ,23,FALSE)=1,100%,MIN(80%,$B$9+VLOOKUP($R188,武学奇术!$A:$ZZ,17,FALSE)+SUM(_xlfn.XLOOKUP($S188:$AL188,增益!$A:$A,增益!$Q:$Q,0)))+$B$11+SUM(_xlfn.XLOOKUP($S188:$AL188,增益!$A:$A,增益!$U:$U,0)))*IF(VLOOKUP($R188,武学奇术!$A:$ZZ,24,FALSE)=1,0,1)</f>
        <v>0.8861</v>
      </c>
      <c r="BQ188" s="33" cm="1">
        <f t="array" ref="BQ188">1+$B$13+VLOOKUP($R188,武学奇术!$A:$ZZ,18,FALSE)+SUM(_xlfn.XLOOKUP($S188:$AL188,增益!$A:$A,增益!$R:$R,0))</f>
        <v>2</v>
      </c>
      <c r="BR188" s="33" cm="1">
        <f t="array" ref="BR188">IF(VLOOKUP($R188,武学奇术!$A:$ZZ,24,FALSE)=1,100%,MIN(40%,$B$10+VLOOKUP($R188,武学奇术!$A:$ZZ,19,FALSE)+SUM(_xlfn.XLOOKUP($S188:$AL188,增益!$A:$A,增益!$S:$S,0)))+$B$12+SUM(_xlfn.XLOOKUP($S188:$AL188,增益!$A:$A,增益!$V:$V,0)))*IF(VLOOKUP($R188,武学奇术!$A:$ZZ,23,FALSE)=1,0,1)</f>
        <v>0.0913</v>
      </c>
      <c r="BS188" s="33" cm="1">
        <f t="array" ref="BS188">1+$B$14+VLOOKUP($R188,武学奇术!$A:$ZZ,20,FALSE)+SUM(_xlfn.XLOOKUP($S188:$AL188,增益!$A:$A,增益!$T:$T,0))</f>
        <v>1.35</v>
      </c>
      <c r="BT188" s="33">
        <f t="shared" si="93"/>
        <v>0.86580831</v>
      </c>
      <c r="BU188" s="33">
        <f t="shared" si="94"/>
        <v>0.02208246</v>
      </c>
      <c r="BV188" s="33">
        <f>IF(VLOOKUP($R188,武学奇术!$A:$ZZ,22,FALSE)=1,0,(1-$BO188))*(1-$BR188)</f>
        <v>0.02080923</v>
      </c>
      <c r="BW188" s="33" cm="1">
        <f t="array" ref="BW188">SUM(_xlfn.XLOOKUP($S188:$AL188,增益!$A:$A,增益!$W:$W,0))+$I$5</f>
        <v>0.11</v>
      </c>
      <c r="BX188" s="33" cm="1">
        <f t="array" ref="BX188">VLOOKUP($R188,武学奇术!$A:$ZZ,32,FALSE)+SUM(_xlfn.XLOOKUP($S188:$AL188,增益!$A:$A,增益!$X:$X,0))</f>
        <v>0.4</v>
      </c>
    </row>
    <row r="189" spans="1:76">
      <c r="L189" s="46">
        <f t="shared" si="83"/>
        <v>0</v>
      </c>
      <c r="M189" s="46">
        <f>((($AT189+$AU189)/2*$AN189+$AO189)*(1+$AV189)*(1+$AW189)+(($AY189+$AZ189)/2*IF($G$1="鸣金",$AP189,$AN189)+IF($G$1="鸣金",$AQ189*1.5,0))*(1+$BA189)*(1+$BB189)+(($BC189+$BD189)/2*IF($G$1="裂石",$AP189,$AN189)+IF($G$1="裂石",$AQ189*1.5,0))*(1+$BE189)*(1+$BF189)+(($BG189+$BH189)/2*IF($G$1="牵丝",$AP189,$AN189)+IF($G$1="牵丝",$AQ189*1.5,0))*(1+$BI189)*(1+$BJ189)+(($BK189+$BL189)/2*IF($G$1="破竹",$AP189,$AN189)+IF($G$1="破竹",$AQ189*1.5,0))*(1+$BM189)*(1+$BN189))*(1+$AR189)*$BQ189*$Q189*(1+IF(VLOOKUP($R189,武学奇术!$A:$ZZ,30,FALSE)="蓄力技",$B$21,0))*(1+IF(VLOOKUP($R189,武学奇术!$A:$ZZ,30,FALSE)="派生技",$B$20,0))*(1+$BW189)*(1+$BX189)</f>
        <v>0</v>
      </c>
      <c r="N189" s="46">
        <f>(($AU189*$AN189+$AO189)*(1+$AV189)*(1+$AW189)+($AZ189*IF($G$1="鸣金",$AP189,$AN189)+IF($G$1="鸣金",$AQ189*1.5,0))*(1+$BA189)*(1+$BB189)+($BD189*IF($G$1="裂石",$AP189,$AN189)+IF($G$1="裂石",$AQ189*1.5,0))*(1+$BE189)*(1+$BF189)+($BH189*IF($G$1="牵丝",$AP189,$AN189)+IF($G$1="牵丝",$AQ189*1.5,0))*(1+$BI189)*(1+$BJ189)+($BL189*IF($G$1="破竹",$AP189,$AN189)+IF($G$1="破竹",$AQ189*1.5,0))*(1+$BM189)*(1+$BN189))*(1+$AR189)*$BS189*$Q189*(1+IF(VLOOKUP($R189,武学奇术!$A:$ZZ,30,FALSE)="蓄力技",$B$21,0))*(1+IF(VLOOKUP($R189,武学奇术!$A:$ZZ,30,FALSE)="派生技",$B$20,0))*(1+$BW189)*(1+$BX189)</f>
        <v>0</v>
      </c>
      <c r="O189" s="46">
        <f>((($AT189+$AU189)/2*$AN189+$AO189)*(1+$AV189)*(1+$AW189)+(($AY189+$AZ189)/2*IF($G$1="鸣金",$AP189,$AN189)+IF($G$1="鸣金",$AQ189*1.5,0))*(1+$BA189)*(1+$BB189)+(($BC189+$BD189)/2*IF($G$1="裂石",$AP189,$AN189)+IF($G$1="裂石",$AQ189*1.5,0))*(1+$BE189)*(1+$BF189)+(($BG189+$BH189)/2*IF($G$1="牵丝",$AP189,$AN189)+IF($G$1="牵丝",$AQ189*1.5,0))*(1+$BI189)*(1+$BJ189)+(($BK189+$BL189)/2*IF($G$1="破竹",$AP189,$AN189)+IF($G$1="破竹",$AQ189*1.5,0))*(1+$BM189)*(1+$BN189))*(1+$AR189)*$Q189*(1+IF(VLOOKUP($R189,武学奇术!$A:$ZZ,30,FALSE)="蓄力技",$B$21,0))*(1+IF(VLOOKUP($R189,武学奇术!$A:$ZZ,30,FALSE)="派生技",$B$20,0))*(1+$BW189)*(1+$BX189)</f>
        <v>0</v>
      </c>
      <c r="P189" s="46">
        <f>((($AT189*$AN189+$AO189)*(1+$AV189)*(1+$AW189)+($AY189*IF($G$1="鸣金",$AP189,$AN189)+IF($G$1="鸣金",$AQ189*1.5,0))*(1+$BA189)*(1+$BB189)+($BC189*IF($G$1="裂石",$AP189,$AN189)+IF($G$1="裂石",$AQ189*1.5,0))*(1+$BE189)*(1+$BF189)+($BG189*IF($G$1="牵丝",$AP189,$AN189)+IF($G$1="牵丝",$AQ189*1.5,0))*(1+$BI189)*(1+$BJ189)+($BK189*IF($G$1="破竹",$AP189,$AN189)+IF($G$1="破竹",$AQ189*1.5,0))*(1+$BM189)*(1+$BN189))*(1+$AR189))*$Q189*(1+IF(VLOOKUP($R189,武学奇术!$A:$ZZ,30,FALSE)="蓄力技",$B$21,0))*(1+IF(VLOOKUP($R189,武学奇术!$A:$ZZ,30,FALSE)="派生技",$B$20,0))*(1+$BW189)*(1+$BX189)</f>
        <v>0</v>
      </c>
      <c r="Q189" s="47">
        <f t="shared" si="84"/>
        <v>0</v>
      </c>
      <c r="R189" s="48" t="s">
        <v>197</v>
      </c>
      <c r="S189" s="48" t="s">
        <v>99</v>
      </c>
      <c r="T189" s="48" t="s">
        <v>182</v>
      </c>
      <c r="U189" s="48" t="s">
        <v>79</v>
      </c>
      <c r="V189" s="48" t="s">
        <v>80</v>
      </c>
      <c r="W189" s="48" t="s">
        <v>91</v>
      </c>
      <c r="X189" s="48" t="s">
        <v>80</v>
      </c>
      <c r="Y189" s="48" t="s">
        <v>80</v>
      </c>
      <c r="Z189" s="48" t="s">
        <v>80</v>
      </c>
      <c r="AA189" s="48" t="s">
        <v>80</v>
      </c>
      <c r="AB189" s="48" t="s">
        <v>80</v>
      </c>
      <c r="AC189" s="48" t="s">
        <v>80</v>
      </c>
      <c r="AD189" s="48" t="s">
        <v>80</v>
      </c>
      <c r="AE189" s="48" t="s">
        <v>82</v>
      </c>
      <c r="AF189" s="48" t="s">
        <v>83</v>
      </c>
      <c r="AG189" s="48" t="s">
        <v>84</v>
      </c>
      <c r="AH189" s="48" t="s">
        <v>80</v>
      </c>
      <c r="AI189" s="48" t="s">
        <v>80</v>
      </c>
      <c r="AJ189" s="48" t="s">
        <v>80</v>
      </c>
      <c r="AK189" s="48" t="s">
        <v>80</v>
      </c>
      <c r="AL189" s="48" t="s">
        <v>85</v>
      </c>
      <c r="AM189" t="str">
        <f>VLOOKUP($R189,武学奇术!$A:$ZZ,25,FALSE)</f>
        <v>横刀</v>
      </c>
      <c r="AN189" s="33">
        <f>VLOOKUP($R189,武学奇术!$A:$ZZ,26,FALSE)</f>
        <v>2.4495</v>
      </c>
      <c r="AO189" s="34">
        <f>VLOOKUP($R189,武学奇术!$A:$ZZ,27,FALSE)*(1+IF(OR($AM189=$F$4,$AM189=$F$5),$B$22,0))</f>
        <v>1083.2</v>
      </c>
      <c r="AP189" s="33">
        <f>VLOOKUP($R189,武学奇术!$A:$ZZ,28,FALSE)</f>
        <v>3.6743</v>
      </c>
      <c r="AQ189" s="34">
        <f>VLOOKUP($R189,武学奇术!$A:$ZZ,29,FALSE)*(1+IF(OR($AM189=$F$4,$AM189=$F$5),$B$22,0))</f>
        <v>588.8</v>
      </c>
      <c r="AR189" s="33" cm="1">
        <f t="array" ref="AR189">$G$3+IFERROR(VLOOKUP($AM189,$F$4:$G$7,2,FALSE),0)+VLOOKUP($R189,武学奇术!$A:$ZZ,2,FALSE)+SUM(_xlfn.XLOOKUP($S189:$AL189,增益!$A:$A,增益!$B:$B,0))</f>
        <v>0.4489</v>
      </c>
      <c r="AS189" s="33" cm="1">
        <f t="array" ref="AS189">VLOOKUP($R189,武学奇术!$A:$ZZ,5,FALSE)+SUM(_xlfn.XLOOKUP($S189:$AL189,增益!$A:$A,增益!$E:$E,0))</f>
        <v>0</v>
      </c>
      <c r="AT189" cm="1">
        <f t="array" ref="AT189">$D$10*(1+$AS189)+VLOOKUP($R189,武学奇术!$A:$ZZ,3,FALSE)+SUM(_xlfn.XLOOKUP($S189:$AL189,增益!$A:$A,增益!$C:$C,0))-$I$2</f>
        <v>4094.7</v>
      </c>
      <c r="AU189" cm="1">
        <f t="array" ref="AU189">$E$10*(1+$AS189)+VLOOKUP($R189,武学奇术!$A:$ZZ,4,FALSE)+SUM(_xlfn.XLOOKUP($S189:$AL189,增益!$A:$A,增益!$D:$D,0))-$I$2</f>
        <v>4094.7</v>
      </c>
      <c r="AV189" s="40" cm="1">
        <f t="array" ref="AV189">IF($F$10-$I$3+VLOOKUP($R189,武学奇术!$A:$ZZ,6,FALSE)+SUM(_xlfn.XLOOKUP($S189:$AL189,增益!$A:$A,增益!$F:$F,0))&gt;0,($F$10-$I$3+VLOOKUP($R189,武学奇术!$A:$ZZ,6,FALSE)+SUM(_xlfn.XLOOKUP($S189:$AL189,增益!$A:$A,增益!$F:$F,0)))/200,($F$10-$I$3+VLOOKUP($R189,武学奇术!$A:$ZZ,6,FALSE)+SUM(_xlfn.XLOOKUP($S189:$AL189,增益!$A:$A,增益!$F:$F,0)))/100)</f>
        <v>0.4134</v>
      </c>
      <c r="AW189" s="40" cm="1">
        <f t="array" ref="AW189">$G$10+VLOOKUP($R189,武学奇术!$A:$ZZ,7,FALSE)+SUM(_xlfn.XLOOKUP($S189:$AL189,增益!$A:$A,增益!$G:$G,0))</f>
        <v>0.14</v>
      </c>
      <c r="AX189" s="33" cm="1">
        <f t="array" ref="AX189">VLOOKUP($R189,武学奇术!$A:$ZZ,8,FALSE)+SUM(_xlfn.XLOOKUP($S189:$AL189,增益!$A:$A,增益!$H:$H,0))</f>
        <v>0</v>
      </c>
      <c r="AY189">
        <f t="shared" si="85"/>
        <v>0</v>
      </c>
      <c r="AZ189">
        <f t="shared" si="86"/>
        <v>0</v>
      </c>
      <c r="BA189" s="40" cm="1">
        <f t="array" ref="BA189">IF($F$11-$I$4+VLOOKUP($R189,武学奇术!$A:$ZZ,9,FALSE)+SUM(_xlfn.XLOOKUP($S189:$AL189,增益!$A:$A,增益!$I:$I,0))&gt;0,($F$11-$I$4+VLOOKUP($R189,武学奇术!$A:$ZZ,9,FALSE)+SUM(_xlfn.XLOOKUP($S189:$AL189,增益!$A:$A,增益!$I:$I,0)))/200,($F$11-$I$4+VLOOKUP($R189,武学奇术!$A:$ZZ,9,FALSE)+SUM(_xlfn.XLOOKUP($S189:$AL189,增益!$A:$A,增益!$I:$I,0)))/100)</f>
        <v>-0.3</v>
      </c>
      <c r="BB189" s="40" cm="1">
        <f t="array" ref="BB189">$G$11+VLOOKUP($R189,武学奇术!$A:$ZZ,10,FALSE)+SUM(_xlfn.XLOOKUP($S189:$AL189,增益!$A:$A,增益!$J:$J,0))</f>
        <v>0.02</v>
      </c>
      <c r="BC189">
        <f t="shared" si="87"/>
        <v>640.3</v>
      </c>
      <c r="BD189">
        <f t="shared" si="88"/>
        <v>1770.1</v>
      </c>
      <c r="BE189" s="40" cm="1">
        <f t="array" ref="BE189">IF($F$12-$I$4+VLOOKUP($R189,武学奇术!$A:$ZZ,11,FALSE)+SUM(_xlfn.XLOOKUP($S189:$AL189,增益!$A:$A,增益!$K:$K,0))&gt;0,($F$12-$I$4+VLOOKUP($R189,武学奇术!$A:$ZZ,11,FALSE)+SUM(_xlfn.XLOOKUP($S189:$AL189,增益!$A:$A,增益!$K:$K,0)))/200,($F$12-$I$4+VLOOKUP($R189,武学奇术!$A:$ZZ,11,FALSE)+SUM(_xlfn.XLOOKUP($S189:$AL189,增益!$A:$A,增益!$K:$K,0)))/100)</f>
        <v>0.09</v>
      </c>
      <c r="BF189" s="40" cm="1">
        <f t="array" ref="BF189">$G$12+VLOOKUP($R189,武学奇术!$A:$ZZ,12,FALSE)+SUM(_xlfn.XLOOKUP($S189:$AL189,增益!$A:$A,增益!$L:$L,0))</f>
        <v>0.29</v>
      </c>
      <c r="BG189">
        <f t="shared" si="89"/>
        <v>0</v>
      </c>
      <c r="BH189">
        <f t="shared" si="90"/>
        <v>0</v>
      </c>
      <c r="BI189" s="40" cm="1">
        <f t="array" ref="BI189">IF($F$13-$I$4+VLOOKUP($R189,武学奇术!$A:$ZZ,13,FALSE)+SUM(_xlfn.XLOOKUP($S189:$AL189,增益!$A:$A,增益!$M:$M,0))&gt;0,($F$13-$I$4+VLOOKUP($R189,武学奇术!$A:$ZZ,13,FALSE)+SUM(_xlfn.XLOOKUP($S189:$AL189,增益!$A:$A,增益!$K:$K,0)))/200,($F$13-$I$4+VLOOKUP($R189,武学奇术!$A:$ZZ,13,FALSE)+SUM(_xlfn.XLOOKUP($S189:$AL189,增益!$A:$A,增益!$M:$M,0)))/100)</f>
        <v>-0.3</v>
      </c>
      <c r="BJ189" s="40" cm="1">
        <f t="array" ref="BJ189">$G$13+VLOOKUP($R189,武学奇术!$A:$ZZ,14,FALSE)+SUM(_xlfn.XLOOKUP($S189:$AL189,增益!$A:$A,增益!$N:$N,0))</f>
        <v>0.02</v>
      </c>
      <c r="BK189">
        <f t="shared" si="91"/>
        <v>0</v>
      </c>
      <c r="BL189">
        <f t="shared" si="92"/>
        <v>0</v>
      </c>
      <c r="BM189" s="40" cm="1">
        <f t="array" ref="BM189">IF($F$14-$I$4+VLOOKUP($R189,武学奇术!$A:$ZZ,15,FALSE)+SUM(_xlfn.XLOOKUP($S189:$AL189,增益!$A:$A,增益!$O:$O,0))&gt;0,($F$14-$I$4+VLOOKUP($R189,武学奇术!$A:$ZZ,15,FALSE)+SUM(_xlfn.XLOOKUP($S189:$AL189,增益!$A:$A,增益!$O:$O,0)))/200,($F$14-$I$4+VLOOKUP($R189,武学奇术!$A:$ZZ,15,FALSE)+SUM(_xlfn.XLOOKUP($S189:$AL189,增益!$A:$A,增益!$O:$O,0)))/100)</f>
        <v>-0.3</v>
      </c>
      <c r="BN189" s="40" cm="1">
        <f t="array" ref="BN189">$G$14+VLOOKUP($R189,武学奇术!$A:$ZZ,16,FALSE)+SUM(_xlfn.XLOOKUP($S189:$AL189,增益!$A:$A,增益!$P:$P,0))</f>
        <v>0.02</v>
      </c>
      <c r="BO189" s="33">
        <f>MIN(IF(VLOOKUP($R189,武学奇术!$A:$ZZ,23,FALSE)=1,100%,$B$8),100%)</f>
        <v>0.9771</v>
      </c>
      <c r="BP189" s="33" cm="1">
        <f t="array" ref="BP189">IF(VLOOKUP($R189,武学奇术!$A:$ZZ,23,FALSE)=1,100%,MIN(80%,$B$9+VLOOKUP($R189,武学奇术!$A:$ZZ,17,FALSE)+SUM(_xlfn.XLOOKUP($S189:$AL189,增益!$A:$A,增益!$Q:$Q,0)))+$B$11+SUM(_xlfn.XLOOKUP($S189:$AL189,增益!$A:$A,增益!$U:$U,0)))*IF(VLOOKUP($R189,武学奇术!$A:$ZZ,24,FALSE)=1,0,1)</f>
        <v>0.8861</v>
      </c>
      <c r="BQ189" s="33" cm="1">
        <f t="array" ref="BQ189">1+$B$13+VLOOKUP($R189,武学奇术!$A:$ZZ,18,FALSE)+SUM(_xlfn.XLOOKUP($S189:$AL189,增益!$A:$A,增益!$R:$R,0))</f>
        <v>1.95</v>
      </c>
      <c r="BR189" s="33" cm="1">
        <f t="array" ref="BR189">IF(VLOOKUP($R189,武学奇术!$A:$ZZ,24,FALSE)=1,100%,MIN(40%,$B$10+VLOOKUP($R189,武学奇术!$A:$ZZ,19,FALSE)+SUM(_xlfn.XLOOKUP($S189:$AL189,增益!$A:$A,增益!$S:$S,0)))+$B$12+SUM(_xlfn.XLOOKUP($S189:$AL189,增益!$A:$A,增益!$V:$V,0)))*IF(VLOOKUP($R189,武学奇术!$A:$ZZ,23,FALSE)=1,0,1)</f>
        <v>0.0913</v>
      </c>
      <c r="BS189" s="33" cm="1">
        <f t="array" ref="BS189">1+$B$14+VLOOKUP($R189,武学奇术!$A:$ZZ,20,FALSE)+SUM(_xlfn.XLOOKUP($S189:$AL189,增益!$A:$A,增益!$T:$T,0))</f>
        <v>1.35</v>
      </c>
      <c r="BT189" s="33">
        <f t="shared" si="93"/>
        <v>0.86580831</v>
      </c>
      <c r="BU189" s="33">
        <f t="shared" si="94"/>
        <v>0.02208246</v>
      </c>
      <c r="BV189" s="33">
        <f>IF(VLOOKUP($R189,武学奇术!$A:$ZZ,22,FALSE)=1,0,(1-$BO189))*(1-$BR189)</f>
        <v>0.02080923</v>
      </c>
      <c r="BW189" s="33" cm="1">
        <f t="array" ref="BW189">SUM(_xlfn.XLOOKUP($S189:$AL189,增益!$A:$A,增益!$W:$W,0))+$I$5</f>
        <v>0.11</v>
      </c>
      <c r="BX189" s="33" cm="1">
        <f t="array" ref="BX189">VLOOKUP($R189,武学奇术!$A:$ZZ,32,FALSE)+SUM(_xlfn.XLOOKUP($S189:$AL189,增益!$A:$A,增益!$X:$X,0))</f>
        <v>0</v>
      </c>
    </row>
    <row r="190" spans="1:76">
      <c r="L190" s="46">
        <f t="shared" si="83"/>
        <v>0</v>
      </c>
      <c r="M190" s="46">
        <f>((($AT190+$AU190)/2*$AN190+$AO190)*(1+$AV190)*(1+$AW190)+(($AY190+$AZ190)/2*IF($G$1="鸣金",$AP190,$AN190)+IF($G$1="鸣金",$AQ190*1.5,0))*(1+$BA190)*(1+$BB190)+(($BC190+$BD190)/2*IF($G$1="裂石",$AP190,$AN190)+IF($G$1="裂石",$AQ190*1.5,0))*(1+$BE190)*(1+$BF190)+(($BG190+$BH190)/2*IF($G$1="牵丝",$AP190,$AN190)+IF($G$1="牵丝",$AQ190*1.5,0))*(1+$BI190)*(1+$BJ190)+(($BK190+$BL190)/2*IF($G$1="破竹",$AP190,$AN190)+IF($G$1="破竹",$AQ190*1.5,0))*(1+$BM190)*(1+$BN190))*(1+$AR190)*$BQ190*$Q190*(1+IF(VLOOKUP($R190,武学奇术!$A:$ZZ,30,FALSE)="蓄力技",$B$21,0))*(1+IF(VLOOKUP($R190,武学奇术!$A:$ZZ,30,FALSE)="派生技",$B$20,0))*(1+$BW190)*(1+$BX190)</f>
        <v>0</v>
      </c>
      <c r="N190" s="46">
        <f>(($AU190*$AN190+$AO190)*(1+$AV190)*(1+$AW190)+($AZ190*IF($G$1="鸣金",$AP190,$AN190)+IF($G$1="鸣金",$AQ190*1.5,0))*(1+$BA190)*(1+$BB190)+($BD190*IF($G$1="裂石",$AP190,$AN190)+IF($G$1="裂石",$AQ190*1.5,0))*(1+$BE190)*(1+$BF190)+($BH190*IF($G$1="牵丝",$AP190,$AN190)+IF($G$1="牵丝",$AQ190*1.5,0))*(1+$BI190)*(1+$BJ190)+($BL190*IF($G$1="破竹",$AP190,$AN190)+IF($G$1="破竹",$AQ190*1.5,0))*(1+$BM190)*(1+$BN190))*(1+$AR190)*$BS190*$Q190*(1+IF(VLOOKUP($R190,武学奇术!$A:$ZZ,30,FALSE)="蓄力技",$B$21,0))*(1+IF(VLOOKUP($R190,武学奇术!$A:$ZZ,30,FALSE)="派生技",$B$20,0))*(1+$BW190)*(1+$BX190)</f>
        <v>0</v>
      </c>
      <c r="O190" s="46">
        <f>((($AT190+$AU190)/2*$AN190+$AO190)*(1+$AV190)*(1+$AW190)+(($AY190+$AZ190)/2*IF($G$1="鸣金",$AP190,$AN190)+IF($G$1="鸣金",$AQ190*1.5,0))*(1+$BA190)*(1+$BB190)+(($BC190+$BD190)/2*IF($G$1="裂石",$AP190,$AN190)+IF($G$1="裂石",$AQ190*1.5,0))*(1+$BE190)*(1+$BF190)+(($BG190+$BH190)/2*IF($G$1="牵丝",$AP190,$AN190)+IF($G$1="牵丝",$AQ190*1.5,0))*(1+$BI190)*(1+$BJ190)+(($BK190+$BL190)/2*IF($G$1="破竹",$AP190,$AN190)+IF($G$1="破竹",$AQ190*1.5,0))*(1+$BM190)*(1+$BN190))*(1+$AR190)*$Q190*(1+IF(VLOOKUP($R190,武学奇术!$A:$ZZ,30,FALSE)="蓄力技",$B$21,0))*(1+IF(VLOOKUP($R190,武学奇术!$A:$ZZ,30,FALSE)="派生技",$B$20,0))*(1+$BW190)*(1+$BX190)</f>
        <v>0</v>
      </c>
      <c r="P190" s="46">
        <f>((($AT190*$AN190+$AO190)*(1+$AV190)*(1+$AW190)+($AY190*IF($G$1="鸣金",$AP190,$AN190)+IF($G$1="鸣金",$AQ190*1.5,0))*(1+$BA190)*(1+$BB190)+($BC190*IF($G$1="裂石",$AP190,$AN190)+IF($G$1="裂石",$AQ190*1.5,0))*(1+$BE190)*(1+$BF190)+($BG190*IF($G$1="牵丝",$AP190,$AN190)+IF($G$1="牵丝",$AQ190*1.5,0))*(1+$BI190)*(1+$BJ190)+($BK190*IF($G$1="破竹",$AP190,$AN190)+IF($G$1="破竹",$AQ190*1.5,0))*(1+$BM190)*(1+$BN190))*(1+$AR190))*$Q190*(1+IF(VLOOKUP($R190,武学奇术!$A:$ZZ,30,FALSE)="蓄力技",$B$21,0))*(1+IF(VLOOKUP($R190,武学奇术!$A:$ZZ,30,FALSE)="派生技",$B$20,0))*(1+$BW190)*(1+$BX190)</f>
        <v>0</v>
      </c>
      <c r="Q190" s="47">
        <f t="shared" si="84"/>
        <v>0</v>
      </c>
      <c r="R190" s="48" t="s">
        <v>119</v>
      </c>
      <c r="S190" s="48" t="s">
        <v>99</v>
      </c>
      <c r="T190" s="48" t="s">
        <v>182</v>
      </c>
      <c r="U190" s="48" t="s">
        <v>79</v>
      </c>
      <c r="V190" s="48" t="s">
        <v>80</v>
      </c>
      <c r="W190" s="48" t="s">
        <v>141</v>
      </c>
      <c r="X190" s="48" t="s">
        <v>80</v>
      </c>
      <c r="Y190" s="48" t="s">
        <v>74</v>
      </c>
      <c r="Z190" s="48" t="s">
        <v>80</v>
      </c>
      <c r="AA190" s="48" t="s">
        <v>80</v>
      </c>
      <c r="AB190" s="48" t="s">
        <v>80</v>
      </c>
      <c r="AC190" s="48" t="s">
        <v>80</v>
      </c>
      <c r="AD190" s="48" t="s">
        <v>80</v>
      </c>
      <c r="AE190" s="48" t="s">
        <v>82</v>
      </c>
      <c r="AF190" s="48" t="s">
        <v>83</v>
      </c>
      <c r="AG190" s="48" t="s">
        <v>84</v>
      </c>
      <c r="AH190" s="48" t="s">
        <v>80</v>
      </c>
      <c r="AI190" s="48" t="s">
        <v>80</v>
      </c>
      <c r="AJ190" s="48" t="s">
        <v>80</v>
      </c>
      <c r="AK190" s="48" t="s">
        <v>80</v>
      </c>
      <c r="AL190" s="48" t="s">
        <v>85</v>
      </c>
      <c r="AM190" t="str">
        <f>VLOOKUP($R190,武学奇术!$A:$ZZ,25,FALSE)</f>
        <v>横刀</v>
      </c>
      <c r="AN190" s="33">
        <f>VLOOKUP($R190,武学奇术!$A:$ZZ,26,FALSE)</f>
        <v>2.1324</v>
      </c>
      <c r="AO190" s="34">
        <f>VLOOKUP($R190,武学奇术!$A:$ZZ,27,FALSE)*(1+IF(OR($AM190=$F$4,$AM190=$F$5),$B$22,0))</f>
        <v>944</v>
      </c>
      <c r="AP190" s="33">
        <f>VLOOKUP($R190,武学奇术!$A:$ZZ,28,FALSE)</f>
        <v>3.1986</v>
      </c>
      <c r="AQ190" s="34">
        <f>VLOOKUP($R190,武学奇术!$A:$ZZ,29,FALSE)*(1+IF(OR($AM190=$F$4,$AM190=$F$5),$B$22,0))</f>
        <v>515.2</v>
      </c>
      <c r="AR190" s="33" cm="1">
        <f t="array" ref="AR190">$G$3+IFERROR(VLOOKUP($AM190,$F$4:$G$7,2,FALSE),0)+VLOOKUP($R190,武学奇术!$A:$ZZ,2,FALSE)+SUM(_xlfn.XLOOKUP($S190:$AL190,增益!$A:$A,增益!$B:$B,0))</f>
        <v>0.5289</v>
      </c>
      <c r="AS190" s="33" cm="1">
        <f t="array" ref="AS190">VLOOKUP($R190,武学奇术!$A:$ZZ,5,FALSE)+SUM(_xlfn.XLOOKUP($S190:$AL190,增益!$A:$A,增益!$E:$E,0))</f>
        <v>0</v>
      </c>
      <c r="AT190" cm="1">
        <f t="array" ref="AT190">$D$10*(1+$AS190)+VLOOKUP($R190,武学奇术!$A:$ZZ,3,FALSE)+SUM(_xlfn.XLOOKUP($S190:$AL190,增益!$A:$A,增益!$C:$C,0))-$I$2</f>
        <v>4094.7</v>
      </c>
      <c r="AU190" cm="1">
        <f t="array" ref="AU190">$E$10*(1+$AS190)+VLOOKUP($R190,武学奇术!$A:$ZZ,4,FALSE)+SUM(_xlfn.XLOOKUP($S190:$AL190,增益!$A:$A,增益!$D:$D,0))-$I$2</f>
        <v>4094.7</v>
      </c>
      <c r="AV190" s="40" cm="1">
        <f t="array" ref="AV190">IF($F$10-$I$3+VLOOKUP($R190,武学奇术!$A:$ZZ,6,FALSE)+SUM(_xlfn.XLOOKUP($S190:$AL190,增益!$A:$A,增益!$F:$F,0))&gt;0,($F$10-$I$3+VLOOKUP($R190,武学奇术!$A:$ZZ,6,FALSE)+SUM(_xlfn.XLOOKUP($S190:$AL190,增益!$A:$A,增益!$F:$F,0)))/200,($F$10-$I$3+VLOOKUP($R190,武学奇术!$A:$ZZ,6,FALSE)+SUM(_xlfn.XLOOKUP($S190:$AL190,增益!$A:$A,增益!$F:$F,0)))/100)</f>
        <v>0.4384</v>
      </c>
      <c r="AW190" s="40" cm="1">
        <f t="array" ref="AW190">$G$10+VLOOKUP($R190,武学奇术!$A:$ZZ,7,FALSE)+SUM(_xlfn.XLOOKUP($S190:$AL190,增益!$A:$A,增益!$G:$G,0))</f>
        <v>0.14</v>
      </c>
      <c r="AX190" s="33" cm="1">
        <f t="array" ref="AX190">VLOOKUP($R190,武学奇术!$A:$ZZ,8,FALSE)+SUM(_xlfn.XLOOKUP($S190:$AL190,增益!$A:$A,增益!$H:$H,0))</f>
        <v>0</v>
      </c>
      <c r="AY190">
        <f t="shared" si="85"/>
        <v>0</v>
      </c>
      <c r="AZ190">
        <f t="shared" si="86"/>
        <v>0</v>
      </c>
      <c r="BA190" s="40" cm="1">
        <f t="array" ref="BA190">IF($F$11-$I$4+VLOOKUP($R190,武学奇术!$A:$ZZ,9,FALSE)+SUM(_xlfn.XLOOKUP($S190:$AL190,增益!$A:$A,增益!$I:$I,0))&gt;0,($F$11-$I$4+VLOOKUP($R190,武学奇术!$A:$ZZ,9,FALSE)+SUM(_xlfn.XLOOKUP($S190:$AL190,增益!$A:$A,增益!$I:$I,0)))/200,($F$11-$I$4+VLOOKUP($R190,武学奇术!$A:$ZZ,9,FALSE)+SUM(_xlfn.XLOOKUP($S190:$AL190,增益!$A:$A,增益!$I:$I,0)))/100)</f>
        <v>-0.3</v>
      </c>
      <c r="BB190" s="40" cm="1">
        <f t="array" ref="BB190">$G$11+VLOOKUP($R190,武学奇术!$A:$ZZ,10,FALSE)+SUM(_xlfn.XLOOKUP($S190:$AL190,增益!$A:$A,增益!$J:$J,0))</f>
        <v>0.02</v>
      </c>
      <c r="BC190">
        <f t="shared" si="87"/>
        <v>640.3</v>
      </c>
      <c r="BD190">
        <f t="shared" si="88"/>
        <v>1770.1</v>
      </c>
      <c r="BE190" s="40" cm="1">
        <f t="array" ref="BE190">IF($F$12-$I$4+VLOOKUP($R190,武学奇术!$A:$ZZ,11,FALSE)+SUM(_xlfn.XLOOKUP($S190:$AL190,增益!$A:$A,增益!$K:$K,0))&gt;0,($F$12-$I$4+VLOOKUP($R190,武学奇术!$A:$ZZ,11,FALSE)+SUM(_xlfn.XLOOKUP($S190:$AL190,增益!$A:$A,增益!$K:$K,0)))/200,($F$12-$I$4+VLOOKUP($R190,武学奇术!$A:$ZZ,11,FALSE)+SUM(_xlfn.XLOOKUP($S190:$AL190,增益!$A:$A,增益!$K:$K,0)))/100)</f>
        <v>0.09</v>
      </c>
      <c r="BF190" s="40" cm="1">
        <f t="array" ref="BF190">$G$12+VLOOKUP($R190,武学奇术!$A:$ZZ,12,FALSE)+SUM(_xlfn.XLOOKUP($S190:$AL190,增益!$A:$A,增益!$L:$L,0))</f>
        <v>0.29</v>
      </c>
      <c r="BG190">
        <f t="shared" si="89"/>
        <v>0</v>
      </c>
      <c r="BH190">
        <f t="shared" si="90"/>
        <v>0</v>
      </c>
      <c r="BI190" s="40" cm="1">
        <f t="array" ref="BI190">IF($F$13-$I$4+VLOOKUP($R190,武学奇术!$A:$ZZ,13,FALSE)+SUM(_xlfn.XLOOKUP($S190:$AL190,增益!$A:$A,增益!$M:$M,0))&gt;0,($F$13-$I$4+VLOOKUP($R190,武学奇术!$A:$ZZ,13,FALSE)+SUM(_xlfn.XLOOKUP($S190:$AL190,增益!$A:$A,增益!$K:$K,0)))/200,($F$13-$I$4+VLOOKUP($R190,武学奇术!$A:$ZZ,13,FALSE)+SUM(_xlfn.XLOOKUP($S190:$AL190,增益!$A:$A,增益!$M:$M,0)))/100)</f>
        <v>-0.3</v>
      </c>
      <c r="BJ190" s="40" cm="1">
        <f t="array" ref="BJ190">$G$13+VLOOKUP($R190,武学奇术!$A:$ZZ,14,FALSE)+SUM(_xlfn.XLOOKUP($S190:$AL190,增益!$A:$A,增益!$N:$N,0))</f>
        <v>0.02</v>
      </c>
      <c r="BK190">
        <f t="shared" si="91"/>
        <v>0</v>
      </c>
      <c r="BL190">
        <f t="shared" si="92"/>
        <v>0</v>
      </c>
      <c r="BM190" s="40" cm="1">
        <f t="array" ref="BM190">IF($F$14-$I$4+VLOOKUP($R190,武学奇术!$A:$ZZ,15,FALSE)+SUM(_xlfn.XLOOKUP($S190:$AL190,增益!$A:$A,增益!$O:$O,0))&gt;0,($F$14-$I$4+VLOOKUP($R190,武学奇术!$A:$ZZ,15,FALSE)+SUM(_xlfn.XLOOKUP($S190:$AL190,增益!$A:$A,增益!$O:$O,0)))/200,($F$14-$I$4+VLOOKUP($R190,武学奇术!$A:$ZZ,15,FALSE)+SUM(_xlfn.XLOOKUP($S190:$AL190,增益!$A:$A,增益!$O:$O,0)))/100)</f>
        <v>-0.3</v>
      </c>
      <c r="BN190" s="40" cm="1">
        <f t="array" ref="BN190">$G$14+VLOOKUP($R190,武学奇术!$A:$ZZ,16,FALSE)+SUM(_xlfn.XLOOKUP($S190:$AL190,增益!$A:$A,增益!$P:$P,0))</f>
        <v>0.02</v>
      </c>
      <c r="BO190" s="33">
        <f>MIN(IF(VLOOKUP($R190,武学奇术!$A:$ZZ,23,FALSE)=1,100%,$B$8),100%)</f>
        <v>0.9771</v>
      </c>
      <c r="BP190" s="33" cm="1">
        <f t="array" ref="BP190">IF(VLOOKUP($R190,武学奇术!$A:$ZZ,23,FALSE)=1,100%,MIN(80%,$B$9+VLOOKUP($R190,武学奇术!$A:$ZZ,17,FALSE)+SUM(_xlfn.XLOOKUP($S190:$AL190,增益!$A:$A,增益!$Q:$Q,0)))+$B$11+SUM(_xlfn.XLOOKUP($S190:$AL190,增益!$A:$A,增益!$U:$U,0)))*IF(VLOOKUP($R190,武学奇术!$A:$ZZ,24,FALSE)=1,0,1)</f>
        <v>0.8861</v>
      </c>
      <c r="BQ190" s="33" cm="1">
        <f t="array" ref="BQ190">1+$B$13+VLOOKUP($R190,武学奇术!$A:$ZZ,18,FALSE)+SUM(_xlfn.XLOOKUP($S190:$AL190,增益!$A:$A,增益!$R:$R,0))</f>
        <v>2</v>
      </c>
      <c r="BR190" s="33" cm="1">
        <f t="array" ref="BR190">IF(VLOOKUP($R190,武学奇术!$A:$ZZ,24,FALSE)=1,100%,MIN(40%,$B$10+VLOOKUP($R190,武学奇术!$A:$ZZ,19,FALSE)+SUM(_xlfn.XLOOKUP($S190:$AL190,增益!$A:$A,增益!$S:$S,0)))+$B$12+SUM(_xlfn.XLOOKUP($S190:$AL190,增益!$A:$A,增益!$V:$V,0)))*IF(VLOOKUP($R190,武学奇术!$A:$ZZ,23,FALSE)=1,0,1)</f>
        <v>0.0913</v>
      </c>
      <c r="BS190" s="33" cm="1">
        <f t="array" ref="BS190">1+$B$14+VLOOKUP($R190,武学奇术!$A:$ZZ,20,FALSE)+SUM(_xlfn.XLOOKUP($S190:$AL190,增益!$A:$A,增益!$T:$T,0))</f>
        <v>1.35</v>
      </c>
      <c r="BT190" s="33">
        <f t="shared" si="93"/>
        <v>0.86580831</v>
      </c>
      <c r="BU190" s="33">
        <f t="shared" si="94"/>
        <v>0.02208246</v>
      </c>
      <c r="BV190" s="33">
        <f>IF(VLOOKUP($R190,武学奇术!$A:$ZZ,22,FALSE)=1,0,(1-$BO190))*(1-$BR190)</f>
        <v>0.02080923</v>
      </c>
      <c r="BW190" s="33" cm="1">
        <f t="array" ref="BW190">SUM(_xlfn.XLOOKUP($S190:$AL190,增益!$A:$A,增益!$W:$W,0))+$I$5</f>
        <v>0.11</v>
      </c>
      <c r="BX190" s="33" cm="1">
        <f t="array" ref="BX190">VLOOKUP($R190,武学奇术!$A:$ZZ,32,FALSE)+SUM(_xlfn.XLOOKUP($S190:$AL190,增益!$A:$A,增益!$X:$X,0))</f>
        <v>0</v>
      </c>
    </row>
    <row r="191" spans="1:76">
      <c r="L191" s="46">
        <f t="shared" ref="L191:L198" si="95">($M191*$BT191+$N191*$BR191+$O191*$BU191+$P191*$BV191)</f>
        <v>0</v>
      </c>
      <c r="M191" s="46">
        <f>((($AT191+$AU191)/2*$AN191+$AO191)*(1+$AV191)*(1+$AW191)+(($AY191+$AZ191)/2*IF($G$1="鸣金",$AP191,$AN191)+IF($G$1="鸣金",$AQ191*1.5,0))*(1+$BA191)*(1+$BB191)+(($BC191+$BD191)/2*IF($G$1="裂石",$AP191,$AN191)+IF($G$1="裂石",$AQ191*1.5,0))*(1+$BE191)*(1+$BF191)+(($BG191+$BH191)/2*IF($G$1="牵丝",$AP191,$AN191)+IF($G$1="牵丝",$AQ191*1.5,0))*(1+$BI191)*(1+$BJ191)+(($BK191+$BL191)/2*IF($G$1="破竹",$AP191,$AN191)+IF($G$1="破竹",$AQ191*1.5,0))*(1+$BM191)*(1+$BN191))*(1+$AR191)*$BQ191*$Q191*(1+IF(VLOOKUP($R191,武学奇术!$A:$ZZ,30,FALSE)="蓄力技",$B$21,0))*(1+IF(VLOOKUP($R191,武学奇术!$A:$ZZ,30,FALSE)="派生技",$B$20,0))*(1+$BW191)*(1+$BX191)</f>
        <v>0</v>
      </c>
      <c r="N191" s="46">
        <f>(($AU191*$AN191+$AO191)*(1+$AV191)*(1+$AW191)+($AZ191*IF($G$1="鸣金",$AP191,$AN191)+IF($G$1="鸣金",$AQ191*1.5,0))*(1+$BA191)*(1+$BB191)+($BD191*IF($G$1="裂石",$AP191,$AN191)+IF($G$1="裂石",$AQ191*1.5,0))*(1+$BE191)*(1+$BF191)+($BH191*IF($G$1="牵丝",$AP191,$AN191)+IF($G$1="牵丝",$AQ191*1.5,0))*(1+$BI191)*(1+$BJ191)+($BL191*IF($G$1="破竹",$AP191,$AN191)+IF($G$1="破竹",$AQ191*1.5,0))*(1+$BM191)*(1+$BN191))*(1+$AR191)*$BS191*$Q191*(1+IF(VLOOKUP($R191,武学奇术!$A:$ZZ,30,FALSE)="蓄力技",$B$21,0))*(1+IF(VLOOKUP($R191,武学奇术!$A:$ZZ,30,FALSE)="派生技",$B$20,0))*(1+$BW191)*(1+$BX191)</f>
        <v>0</v>
      </c>
      <c r="O191" s="46">
        <f>((($AT191+$AU191)/2*$AN191+$AO191)*(1+$AV191)*(1+$AW191)+(($AY191+$AZ191)/2*IF($G$1="鸣金",$AP191,$AN191)+IF($G$1="鸣金",$AQ191*1.5,0))*(1+$BA191)*(1+$BB191)+(($BC191+$BD191)/2*IF($G$1="裂石",$AP191,$AN191)+IF($G$1="裂石",$AQ191*1.5,0))*(1+$BE191)*(1+$BF191)+(($BG191+$BH191)/2*IF($G$1="牵丝",$AP191,$AN191)+IF($G$1="牵丝",$AQ191*1.5,0))*(1+$BI191)*(1+$BJ191)+(($BK191+$BL191)/2*IF($G$1="破竹",$AP191,$AN191)+IF($G$1="破竹",$AQ191*1.5,0))*(1+$BM191)*(1+$BN191))*(1+$AR191)*$Q191*(1+IF(VLOOKUP($R191,武学奇术!$A:$ZZ,30,FALSE)="蓄力技",$B$21,0))*(1+IF(VLOOKUP($R191,武学奇术!$A:$ZZ,30,FALSE)="派生技",$B$20,0))*(1+$BW191)*(1+$BX191)</f>
        <v>0</v>
      </c>
      <c r="P191" s="46">
        <f>((($AT191*$AN191+$AO191)*(1+$AV191)*(1+$AW191)+($AY191*IF($G$1="鸣金",$AP191,$AN191)+IF($G$1="鸣金",$AQ191*1.5,0))*(1+$BA191)*(1+$BB191)+($BC191*IF($G$1="裂石",$AP191,$AN191)+IF($G$1="裂石",$AQ191*1.5,0))*(1+$BE191)*(1+$BF191)+($BG191*IF($G$1="牵丝",$AP191,$AN191)+IF($G$1="牵丝",$AQ191*1.5,0))*(1+$BI191)*(1+$BJ191)+($BK191*IF($G$1="破竹",$AP191,$AN191)+IF($G$1="破竹",$AQ191*1.5,0))*(1+$BM191)*(1+$BN191))*(1+$AR191))*$Q191*(1+IF(VLOOKUP($R191,武学奇术!$A:$ZZ,30,FALSE)="蓄力技",$B$21,0))*(1+IF(VLOOKUP($R191,武学奇术!$A:$ZZ,30,FALSE)="派生技",$B$20,0))*(1+$BW191)*(1+$BX191)</f>
        <v>0</v>
      </c>
      <c r="Q191" s="47">
        <f>IF($E$24="唐刀",1,0)</f>
        <v>0</v>
      </c>
      <c r="R191" s="48" t="s">
        <v>122</v>
      </c>
      <c r="S191" s="48" t="s">
        <v>99</v>
      </c>
      <c r="T191" s="48" t="s">
        <v>182</v>
      </c>
      <c r="U191" s="48" t="s">
        <v>79</v>
      </c>
      <c r="V191" s="48" t="s">
        <v>90</v>
      </c>
      <c r="W191" s="48" t="s">
        <v>141</v>
      </c>
      <c r="X191" s="48" t="s">
        <v>80</v>
      </c>
      <c r="Y191" s="48" t="s">
        <v>74</v>
      </c>
      <c r="Z191" s="48" t="s">
        <v>80</v>
      </c>
      <c r="AA191" s="48" t="s">
        <v>80</v>
      </c>
      <c r="AB191" s="48" t="s">
        <v>80</v>
      </c>
      <c r="AC191" s="48" t="s">
        <v>80</v>
      </c>
      <c r="AD191" s="48" t="s">
        <v>80</v>
      </c>
      <c r="AE191" s="48" t="s">
        <v>82</v>
      </c>
      <c r="AF191" s="48" t="s">
        <v>83</v>
      </c>
      <c r="AG191" s="48" t="s">
        <v>84</v>
      </c>
      <c r="AH191" s="48" t="s">
        <v>80</v>
      </c>
      <c r="AI191" s="48" t="s">
        <v>80</v>
      </c>
      <c r="AJ191" s="48" t="s">
        <v>80</v>
      </c>
      <c r="AK191" s="48" t="s">
        <v>80</v>
      </c>
      <c r="AL191" s="48" t="s">
        <v>85</v>
      </c>
      <c r="AM191" t="str">
        <f>VLOOKUP($R191,武学奇术!$A:$ZZ,25,FALSE)</f>
        <v>横刀</v>
      </c>
      <c r="AN191" s="33">
        <f>VLOOKUP($R191,武学奇术!$A:$ZZ,26,FALSE)</f>
        <v>1.47</v>
      </c>
      <c r="AO191" s="34">
        <f>VLOOKUP($R191,武学奇术!$A:$ZZ,27,FALSE)*(1+IF(OR($AM191=$F$4,$AM191=$F$5),$B$22,0))</f>
        <v>0</v>
      </c>
      <c r="AP191" s="33">
        <f>VLOOKUP($R191,武学奇术!$A:$ZZ,28,FALSE)</f>
        <v>2.205</v>
      </c>
      <c r="AQ191" s="34">
        <f>VLOOKUP($R191,武学奇术!$A:$ZZ,29,FALSE)*(1+IF(OR($AM191=$F$4,$AM191=$F$5),$B$22,0))</f>
        <v>0</v>
      </c>
      <c r="AR191" s="33" cm="1">
        <f t="array" ref="AR191">$G$3+IFERROR(VLOOKUP($AM191,$F$4:$G$7,2,FALSE),0)+VLOOKUP($R191,武学奇术!$A:$ZZ,2,FALSE)+SUM(_xlfn.XLOOKUP($S191:$AL191,增益!$A:$A,增益!$B:$B,0))</f>
        <v>0.6089</v>
      </c>
      <c r="AS191" s="33" cm="1">
        <f t="array" ref="AS191">VLOOKUP($R191,武学奇术!$A:$ZZ,5,FALSE)+SUM(_xlfn.XLOOKUP($S191:$AL191,增益!$A:$A,增益!$E:$E,0))</f>
        <v>0</v>
      </c>
      <c r="AT191" cm="1">
        <f t="array" ref="AT191">$D$10*(1+$AS191)+VLOOKUP($R191,武学奇术!$A:$ZZ,3,FALSE)+SUM(_xlfn.XLOOKUP($S191:$AL191,增益!$A:$A,增益!$C:$C,0))-$I$2</f>
        <v>4094.7</v>
      </c>
      <c r="AU191" cm="1">
        <f t="array" ref="AU191">$E$10*(1+$AS191)+VLOOKUP($R191,武学奇术!$A:$ZZ,4,FALSE)+SUM(_xlfn.XLOOKUP($S191:$AL191,增益!$A:$A,增益!$D:$D,0))-$I$2</f>
        <v>4094.7</v>
      </c>
      <c r="AV191" s="40" cm="1">
        <f t="array" ref="AV191">IF($F$10-$I$3+VLOOKUP($R191,武学奇术!$A:$ZZ,6,FALSE)+SUM(_xlfn.XLOOKUP($S191:$AL191,增益!$A:$A,增益!$F:$F,0))&gt;0,($F$10-$I$3+VLOOKUP($R191,武学奇术!$A:$ZZ,6,FALSE)+SUM(_xlfn.XLOOKUP($S191:$AL191,增益!$A:$A,增益!$F:$F,0)))/200,($F$10-$I$3+VLOOKUP($R191,武学奇术!$A:$ZZ,6,FALSE)+SUM(_xlfn.XLOOKUP($S191:$AL191,增益!$A:$A,增益!$F:$F,0)))/100)</f>
        <v>0.4384</v>
      </c>
      <c r="AW191" s="40" cm="1">
        <f t="array" ref="AW191">$G$10+VLOOKUP($R191,武学奇术!$A:$ZZ,7,FALSE)+SUM(_xlfn.XLOOKUP($S191:$AL191,增益!$A:$A,增益!$G:$G,0))</f>
        <v>0.14</v>
      </c>
      <c r="AX191" s="33" cm="1">
        <f t="array" ref="AX191">VLOOKUP($R191,武学奇术!$A:$ZZ,8,FALSE)+SUM(_xlfn.XLOOKUP($S191:$AL191,增益!$A:$A,增益!$H:$H,0))</f>
        <v>0</v>
      </c>
      <c r="AY191">
        <f t="shared" ref="AY191:AY198" si="96">$D$11*(1+$AX191)</f>
        <v>0</v>
      </c>
      <c r="AZ191">
        <f t="shared" ref="AZ191:AZ198" si="97">$E$11*(1+$AX191)</f>
        <v>0</v>
      </c>
      <c r="BA191" s="40" cm="1">
        <f t="array" ref="BA191">IF($F$11-$I$4+VLOOKUP($R191,武学奇术!$A:$ZZ,9,FALSE)+SUM(_xlfn.XLOOKUP($S191:$AL191,增益!$A:$A,增益!$I:$I,0))&gt;0,($F$11-$I$4+VLOOKUP($R191,武学奇术!$A:$ZZ,9,FALSE)+SUM(_xlfn.XLOOKUP($S191:$AL191,增益!$A:$A,增益!$I:$I,0)))/200,($F$11-$I$4+VLOOKUP($R191,武学奇术!$A:$ZZ,9,FALSE)+SUM(_xlfn.XLOOKUP($S191:$AL191,增益!$A:$A,增益!$I:$I,0)))/100)</f>
        <v>-0.14</v>
      </c>
      <c r="BB191" s="40" cm="1">
        <f t="array" ref="BB191">$G$11+VLOOKUP($R191,武学奇术!$A:$ZZ,10,FALSE)+SUM(_xlfn.XLOOKUP($S191:$AL191,增益!$A:$A,增益!$J:$J,0))</f>
        <v>0.02</v>
      </c>
      <c r="BC191">
        <f t="shared" ref="BC191:BC198" si="98">$D$12*(1+$AX191)</f>
        <v>640.3</v>
      </c>
      <c r="BD191">
        <f t="shared" ref="BD191:BD198" si="99">$E$12*(1+$AX191)</f>
        <v>1770.1</v>
      </c>
      <c r="BE191" s="40" cm="1">
        <f t="array" ref="BE191">IF($F$12-$I$4+VLOOKUP($R191,武学奇术!$A:$ZZ,11,FALSE)+SUM(_xlfn.XLOOKUP($S191:$AL191,增益!$A:$A,增益!$K:$K,0))&gt;0,($F$12-$I$4+VLOOKUP($R191,武学奇术!$A:$ZZ,11,FALSE)+SUM(_xlfn.XLOOKUP($S191:$AL191,增益!$A:$A,增益!$K:$K,0)))/200,($F$12-$I$4+VLOOKUP($R191,武学奇术!$A:$ZZ,11,FALSE)+SUM(_xlfn.XLOOKUP($S191:$AL191,增益!$A:$A,增益!$K:$K,0)))/100)</f>
        <v>0.17</v>
      </c>
      <c r="BF191" s="40" cm="1">
        <f t="array" ref="BF191">$G$12+VLOOKUP($R191,武学奇术!$A:$ZZ,12,FALSE)+SUM(_xlfn.XLOOKUP($S191:$AL191,增益!$A:$A,增益!$L:$L,0))</f>
        <v>0.29</v>
      </c>
      <c r="BG191">
        <f t="shared" ref="BG191:BG198" si="100">$D$13*(1+$AX191)</f>
        <v>0</v>
      </c>
      <c r="BH191">
        <f t="shared" ref="BH191:BH198" si="101">$E$13*(1+$AX191)</f>
        <v>0</v>
      </c>
      <c r="BI191" s="40" cm="1">
        <f t="array" ref="BI191">IF($F$13-$I$4+VLOOKUP($R191,武学奇术!$A:$ZZ,13,FALSE)+SUM(_xlfn.XLOOKUP($S191:$AL191,增益!$A:$A,增益!$M:$M,0))&gt;0,($F$13-$I$4+VLOOKUP($R191,武学奇术!$A:$ZZ,13,FALSE)+SUM(_xlfn.XLOOKUP($S191:$AL191,增益!$A:$A,增益!$K:$K,0)))/200,($F$13-$I$4+VLOOKUP($R191,武学奇术!$A:$ZZ,13,FALSE)+SUM(_xlfn.XLOOKUP($S191:$AL191,增益!$A:$A,增益!$M:$M,0)))/100)</f>
        <v>-0.14</v>
      </c>
      <c r="BJ191" s="40" cm="1">
        <f t="array" ref="BJ191">$G$13+VLOOKUP($R191,武学奇术!$A:$ZZ,14,FALSE)+SUM(_xlfn.XLOOKUP($S191:$AL191,增益!$A:$A,增益!$N:$N,0))</f>
        <v>0.02</v>
      </c>
      <c r="BK191">
        <f t="shared" ref="BK191:BK198" si="102">$D$14*(1+$AX191)</f>
        <v>0</v>
      </c>
      <c r="BL191">
        <f t="shared" ref="BL191:BL198" si="103">$E$14*(1+$AX191)</f>
        <v>0</v>
      </c>
      <c r="BM191" s="40" cm="1">
        <f t="array" ref="BM191">IF($F$14-$I$4+VLOOKUP($R191,武学奇术!$A:$ZZ,15,FALSE)+SUM(_xlfn.XLOOKUP($S191:$AL191,增益!$A:$A,增益!$O:$O,0))&gt;0,($F$14-$I$4+VLOOKUP($R191,武学奇术!$A:$ZZ,15,FALSE)+SUM(_xlfn.XLOOKUP($S191:$AL191,增益!$A:$A,增益!$O:$O,0)))/200,($F$14-$I$4+VLOOKUP($R191,武学奇术!$A:$ZZ,15,FALSE)+SUM(_xlfn.XLOOKUP($S191:$AL191,增益!$A:$A,增益!$O:$O,0)))/100)</f>
        <v>-0.14</v>
      </c>
      <c r="BN191" s="40" cm="1">
        <f t="array" ref="BN191">$G$14+VLOOKUP($R191,武学奇术!$A:$ZZ,16,FALSE)+SUM(_xlfn.XLOOKUP($S191:$AL191,增益!$A:$A,增益!$P:$P,0))</f>
        <v>0.02</v>
      </c>
      <c r="BO191" s="33">
        <f>MIN(IF(VLOOKUP($R191,武学奇术!$A:$ZZ,23,FALSE)=1,100%,$B$8),100%)</f>
        <v>0.9771</v>
      </c>
      <c r="BP191" s="33" cm="1">
        <f t="array" ref="BP191">IF(VLOOKUP($R191,武学奇术!$A:$ZZ,23,FALSE)=1,100%,MIN(80%,$B$9+VLOOKUP($R191,武学奇术!$A:$ZZ,17,FALSE)+SUM(_xlfn.XLOOKUP($S191:$AL191,增益!$A:$A,增益!$Q:$Q,0)))+$B$11+SUM(_xlfn.XLOOKUP($S191:$AL191,增益!$A:$A,增益!$U:$U,0)))*IF(VLOOKUP($R191,武学奇术!$A:$ZZ,24,FALSE)=1,0,1)</f>
        <v>0.8861</v>
      </c>
      <c r="BQ191" s="33" cm="1">
        <f t="array" ref="BQ191">1+$B$13+VLOOKUP($R191,武学奇术!$A:$ZZ,18,FALSE)+SUM(_xlfn.XLOOKUP($S191:$AL191,增益!$A:$A,增益!$R:$R,0))</f>
        <v>2</v>
      </c>
      <c r="BR191" s="33" cm="1">
        <f t="array" ref="BR191">IF(VLOOKUP($R191,武学奇术!$A:$ZZ,24,FALSE)=1,100%,MIN(40%,$B$10+VLOOKUP($R191,武学奇术!$A:$ZZ,19,FALSE)+SUM(_xlfn.XLOOKUP($S191:$AL191,增益!$A:$A,增益!$S:$S,0)))+$B$12+SUM(_xlfn.XLOOKUP($S191:$AL191,增益!$A:$A,增益!$V:$V,0)))*IF(VLOOKUP($R191,武学奇术!$A:$ZZ,23,FALSE)=1,0,1)</f>
        <v>0.0913</v>
      </c>
      <c r="BS191" s="33" cm="1">
        <f t="array" ref="BS191">1+$B$14+VLOOKUP($R191,武学奇术!$A:$ZZ,20,FALSE)+SUM(_xlfn.XLOOKUP($S191:$AL191,增益!$A:$A,增益!$T:$T,0))</f>
        <v>1.35</v>
      </c>
      <c r="BT191" s="33">
        <f t="shared" ref="BT191:BT198" si="104">MIN((1-BR191)*BO191,BO191*BP191)</f>
        <v>0.86580831</v>
      </c>
      <c r="BU191" s="33">
        <f t="shared" ref="BU191:BU198" si="105">1-BR191-BT191-BV191</f>
        <v>0.02208246</v>
      </c>
      <c r="BV191" s="33">
        <f>IF(VLOOKUP($R191,武学奇术!$A:$ZZ,22,FALSE)=1,0,(1-$BO191))*(1-$BR191)</f>
        <v>0.02080923</v>
      </c>
      <c r="BW191" s="33" cm="1">
        <f t="array" ref="BW191">SUM(_xlfn.XLOOKUP($S191:$AL191,增益!$A:$A,增益!$W:$W,0))+$I$5</f>
        <v>0.11</v>
      </c>
      <c r="BX191" s="33" cm="1">
        <f t="array" ref="BX191">VLOOKUP($R191,武学奇术!$A:$ZZ,32,FALSE)+SUM(_xlfn.XLOOKUP($S191:$AL191,增益!$A:$A,增益!$X:$X,0))</f>
        <v>0</v>
      </c>
    </row>
    <row r="192" spans="1:76">
      <c r="L192" s="46">
        <f t="shared" si="95"/>
        <v>0</v>
      </c>
      <c r="M192" s="46">
        <f>((($AT192+$AU192)/2*$AN192+$AO192)*(1+$AV192)*(1+$AW192)+(($AY192+$AZ192)/2*IF($G$1="鸣金",$AP192,$AN192)+IF($G$1="鸣金",$AQ192*1.5,0))*(1+$BA192)*(1+$BB192)+(($BC192+$BD192)/2*IF($G$1="裂石",$AP192,$AN192)+IF($G$1="裂石",$AQ192*1.5,0))*(1+$BE192)*(1+$BF192)+(($BG192+$BH192)/2*IF($G$1="牵丝",$AP192,$AN192)+IF($G$1="牵丝",$AQ192*1.5,0))*(1+$BI192)*(1+$BJ192)+(($BK192+$BL192)/2*IF($G$1="破竹",$AP192,$AN192)+IF($G$1="破竹",$AQ192*1.5,0))*(1+$BM192)*(1+$BN192))*(1+$AR192)*$BQ192*$Q192*(1+IF(VLOOKUP($R192,武学奇术!$A:$ZZ,30,FALSE)="蓄力技",$B$21,0))*(1+IF(VLOOKUP($R192,武学奇术!$A:$ZZ,30,FALSE)="派生技",$B$20,0))*(1+$BW192)*(1+$BX192)</f>
        <v>0</v>
      </c>
      <c r="N192" s="46">
        <f>(($AU192*$AN192+$AO192)*(1+$AV192)*(1+$AW192)+($AZ192*IF($G$1="鸣金",$AP192,$AN192)+IF($G$1="鸣金",$AQ192*1.5,0))*(1+$BA192)*(1+$BB192)+($BD192*IF($G$1="裂石",$AP192,$AN192)+IF($G$1="裂石",$AQ192*1.5,0))*(1+$BE192)*(1+$BF192)+($BH192*IF($G$1="牵丝",$AP192,$AN192)+IF($G$1="牵丝",$AQ192*1.5,0))*(1+$BI192)*(1+$BJ192)+($BL192*IF($G$1="破竹",$AP192,$AN192)+IF($G$1="破竹",$AQ192*1.5,0))*(1+$BM192)*(1+$BN192))*(1+$AR192)*$BS192*$Q192*(1+IF(VLOOKUP($R192,武学奇术!$A:$ZZ,30,FALSE)="蓄力技",$B$21,0))*(1+IF(VLOOKUP($R192,武学奇术!$A:$ZZ,30,FALSE)="派生技",$B$20,0))*(1+$BW192)*(1+$BX192)</f>
        <v>0</v>
      </c>
      <c r="O192" s="46">
        <f>((($AT192+$AU192)/2*$AN192+$AO192)*(1+$AV192)*(1+$AW192)+(($AY192+$AZ192)/2*IF($G$1="鸣金",$AP192,$AN192)+IF($G$1="鸣金",$AQ192*1.5,0))*(1+$BA192)*(1+$BB192)+(($BC192+$BD192)/2*IF($G$1="裂石",$AP192,$AN192)+IF($G$1="裂石",$AQ192*1.5,0))*(1+$BE192)*(1+$BF192)+(($BG192+$BH192)/2*IF($G$1="牵丝",$AP192,$AN192)+IF($G$1="牵丝",$AQ192*1.5,0))*(1+$BI192)*(1+$BJ192)+(($BK192+$BL192)/2*IF($G$1="破竹",$AP192,$AN192)+IF($G$1="破竹",$AQ192*1.5,0))*(1+$BM192)*(1+$BN192))*(1+$AR192)*$Q192*(1+IF(VLOOKUP($R192,武学奇术!$A:$ZZ,30,FALSE)="蓄力技",$B$21,0))*(1+IF(VLOOKUP($R192,武学奇术!$A:$ZZ,30,FALSE)="派生技",$B$20,0))*(1+$BW192)*(1+$BX192)</f>
        <v>0</v>
      </c>
      <c r="P192" s="46">
        <f>((($AT192*$AN192+$AO192)*(1+$AV192)*(1+$AW192)+($AY192*IF($G$1="鸣金",$AP192,$AN192)+IF($G$1="鸣金",$AQ192*1.5,0))*(1+$BA192)*(1+$BB192)+($BC192*IF($G$1="裂石",$AP192,$AN192)+IF($G$1="裂石",$AQ192*1.5,0))*(1+$BE192)*(1+$BF192)+($BG192*IF($G$1="牵丝",$AP192,$AN192)+IF($G$1="牵丝",$AQ192*1.5,0))*(1+$BI192)*(1+$BJ192)+($BK192*IF($G$1="破竹",$AP192,$AN192)+IF($G$1="破竹",$AQ192*1.5,0))*(1+$BM192)*(1+$BN192))*(1+$AR192))*$Q192*(1+IF(VLOOKUP($R192,武学奇术!$A:$ZZ,30,FALSE)="蓄力技",$B$21,0))*(1+IF(VLOOKUP($R192,武学奇术!$A:$ZZ,30,FALSE)="派生技",$B$20,0))*(1+$BW192)*(1+$BX192)</f>
        <v>0</v>
      </c>
      <c r="Q192" s="47">
        <f t="shared" ref="Q192:Q194" si="106">IF($E$24="唐刀",3,0)</f>
        <v>0</v>
      </c>
      <c r="R192" s="48" t="s">
        <v>195</v>
      </c>
      <c r="S192" s="48" t="s">
        <v>99</v>
      </c>
      <c r="T192" s="48" t="s">
        <v>182</v>
      </c>
      <c r="U192" s="48" t="s">
        <v>79</v>
      </c>
      <c r="V192" s="48" t="s">
        <v>90</v>
      </c>
      <c r="W192" s="48" t="s">
        <v>141</v>
      </c>
      <c r="X192" s="48" t="s">
        <v>80</v>
      </c>
      <c r="Y192" s="48" t="s">
        <v>74</v>
      </c>
      <c r="Z192" s="48" t="s">
        <v>80</v>
      </c>
      <c r="AA192" s="48" t="s">
        <v>80</v>
      </c>
      <c r="AB192" s="48" t="s">
        <v>80</v>
      </c>
      <c r="AC192" s="48" t="s">
        <v>80</v>
      </c>
      <c r="AD192" s="48" t="s">
        <v>80</v>
      </c>
      <c r="AE192" s="48" t="s">
        <v>82</v>
      </c>
      <c r="AF192" s="48" t="s">
        <v>83</v>
      </c>
      <c r="AG192" s="48" t="s">
        <v>84</v>
      </c>
      <c r="AH192" s="48" t="s">
        <v>80</v>
      </c>
      <c r="AI192" s="48" t="s">
        <v>80</v>
      </c>
      <c r="AJ192" s="48" t="s">
        <v>80</v>
      </c>
      <c r="AK192" s="48" t="s">
        <v>80</v>
      </c>
      <c r="AL192" s="48" t="s">
        <v>85</v>
      </c>
      <c r="AM192" t="str">
        <f>VLOOKUP($R192,武学奇术!$A:$ZZ,25,FALSE)</f>
        <v>横刀</v>
      </c>
      <c r="AN192" s="33">
        <f>VLOOKUP($R192,武学奇术!$A:$ZZ,26,FALSE)</f>
        <v>3.6553</v>
      </c>
      <c r="AO192" s="34">
        <f>VLOOKUP($R192,武学奇术!$A:$ZZ,27,FALSE)*(1+IF(OR($AM192=$F$4,$AM192=$F$5),$B$22,0))</f>
        <v>1619.2</v>
      </c>
      <c r="AP192" s="33">
        <f>VLOOKUP($R192,武学奇术!$A:$ZZ,28,FALSE)</f>
        <v>5.4829</v>
      </c>
      <c r="AQ192" s="34">
        <f>VLOOKUP($R192,武学奇术!$A:$ZZ,29,FALSE)*(1+IF(OR($AM192=$F$4,$AM192=$F$5),$B$22,0))</f>
        <v>880</v>
      </c>
      <c r="AR192" s="33" cm="1">
        <f t="array" ref="AR192">$G$3+IFERROR(VLOOKUP($AM192,$F$4:$G$7,2,FALSE),0)+VLOOKUP($R192,武学奇术!$A:$ZZ,2,FALSE)+SUM(_xlfn.XLOOKUP($S192:$AL192,增益!$A:$A,增益!$B:$B,0))</f>
        <v>0.7089</v>
      </c>
      <c r="AS192" s="33" cm="1">
        <f t="array" ref="AS192">VLOOKUP($R192,武学奇术!$A:$ZZ,5,FALSE)+SUM(_xlfn.XLOOKUP($S192:$AL192,增益!$A:$A,增益!$E:$E,0))</f>
        <v>0</v>
      </c>
      <c r="AT192" cm="1">
        <f t="array" ref="AT192">$D$10*(1+$AS192)+VLOOKUP($R192,武学奇术!$A:$ZZ,3,FALSE)+SUM(_xlfn.XLOOKUP($S192:$AL192,增益!$A:$A,增益!$C:$C,0))-$I$2</f>
        <v>4094.7</v>
      </c>
      <c r="AU192" cm="1">
        <f t="array" ref="AU192">$E$10*(1+$AS192)+VLOOKUP($R192,武学奇术!$A:$ZZ,4,FALSE)+SUM(_xlfn.XLOOKUP($S192:$AL192,增益!$A:$A,增益!$D:$D,0))-$I$2</f>
        <v>4094.7</v>
      </c>
      <c r="AV192" s="40" cm="1">
        <f t="array" ref="AV192">IF($F$10-$I$3+VLOOKUP($R192,武学奇术!$A:$ZZ,6,FALSE)+SUM(_xlfn.XLOOKUP($S192:$AL192,增益!$A:$A,增益!$F:$F,0))&gt;0,($F$10-$I$3+VLOOKUP($R192,武学奇术!$A:$ZZ,6,FALSE)+SUM(_xlfn.XLOOKUP($S192:$AL192,增益!$A:$A,增益!$F:$F,0)))/200,($F$10-$I$3+VLOOKUP($R192,武学奇术!$A:$ZZ,6,FALSE)+SUM(_xlfn.XLOOKUP($S192:$AL192,增益!$A:$A,增益!$F:$F,0)))/100)</f>
        <v>0.4384</v>
      </c>
      <c r="AW192" s="40" cm="1">
        <f t="array" ref="AW192">$G$10+VLOOKUP($R192,武学奇术!$A:$ZZ,7,FALSE)+SUM(_xlfn.XLOOKUP($S192:$AL192,增益!$A:$A,增益!$G:$G,0))</f>
        <v>0.14</v>
      </c>
      <c r="AX192" s="33" cm="1">
        <f t="array" ref="AX192">VLOOKUP($R192,武学奇术!$A:$ZZ,8,FALSE)+SUM(_xlfn.XLOOKUP($S192:$AL192,增益!$A:$A,增益!$H:$H,0))</f>
        <v>0</v>
      </c>
      <c r="AY192">
        <f t="shared" si="96"/>
        <v>0</v>
      </c>
      <c r="AZ192">
        <f t="shared" si="97"/>
        <v>0</v>
      </c>
      <c r="BA192" s="40" cm="1">
        <f t="array" ref="BA192">IF($F$11-$I$4+VLOOKUP($R192,武学奇术!$A:$ZZ,9,FALSE)+SUM(_xlfn.XLOOKUP($S192:$AL192,增益!$A:$A,增益!$I:$I,0))&gt;0,($F$11-$I$4+VLOOKUP($R192,武学奇术!$A:$ZZ,9,FALSE)+SUM(_xlfn.XLOOKUP($S192:$AL192,增益!$A:$A,增益!$I:$I,0)))/200,($F$11-$I$4+VLOOKUP($R192,武学奇术!$A:$ZZ,9,FALSE)+SUM(_xlfn.XLOOKUP($S192:$AL192,增益!$A:$A,增益!$I:$I,0)))/100)</f>
        <v>-0.14</v>
      </c>
      <c r="BB192" s="40" cm="1">
        <f t="array" ref="BB192">$G$11+VLOOKUP($R192,武学奇术!$A:$ZZ,10,FALSE)+SUM(_xlfn.XLOOKUP($S192:$AL192,增益!$A:$A,增益!$J:$J,0))</f>
        <v>0.02</v>
      </c>
      <c r="BC192">
        <f t="shared" si="98"/>
        <v>640.3</v>
      </c>
      <c r="BD192">
        <f t="shared" si="99"/>
        <v>1770.1</v>
      </c>
      <c r="BE192" s="40" cm="1">
        <f t="array" ref="BE192">IF($F$12-$I$4+VLOOKUP($R192,武学奇术!$A:$ZZ,11,FALSE)+SUM(_xlfn.XLOOKUP($S192:$AL192,增益!$A:$A,增益!$K:$K,0))&gt;0,($F$12-$I$4+VLOOKUP($R192,武学奇术!$A:$ZZ,11,FALSE)+SUM(_xlfn.XLOOKUP($S192:$AL192,增益!$A:$A,增益!$K:$K,0)))/200,($F$12-$I$4+VLOOKUP($R192,武学奇术!$A:$ZZ,11,FALSE)+SUM(_xlfn.XLOOKUP($S192:$AL192,增益!$A:$A,增益!$K:$K,0)))/100)</f>
        <v>0.17</v>
      </c>
      <c r="BF192" s="40" cm="1">
        <f t="array" ref="BF192">$G$12+VLOOKUP($R192,武学奇术!$A:$ZZ,12,FALSE)+SUM(_xlfn.XLOOKUP($S192:$AL192,增益!$A:$A,增益!$L:$L,0))</f>
        <v>0.29</v>
      </c>
      <c r="BG192">
        <f t="shared" si="100"/>
        <v>0</v>
      </c>
      <c r="BH192">
        <f t="shared" si="101"/>
        <v>0</v>
      </c>
      <c r="BI192" s="40" cm="1">
        <f t="array" ref="BI192">IF($F$13-$I$4+VLOOKUP($R192,武学奇术!$A:$ZZ,13,FALSE)+SUM(_xlfn.XLOOKUP($S192:$AL192,增益!$A:$A,增益!$M:$M,0))&gt;0,($F$13-$I$4+VLOOKUP($R192,武学奇术!$A:$ZZ,13,FALSE)+SUM(_xlfn.XLOOKUP($S192:$AL192,增益!$A:$A,增益!$K:$K,0)))/200,($F$13-$I$4+VLOOKUP($R192,武学奇术!$A:$ZZ,13,FALSE)+SUM(_xlfn.XLOOKUP($S192:$AL192,增益!$A:$A,增益!$M:$M,0)))/100)</f>
        <v>-0.14</v>
      </c>
      <c r="BJ192" s="40" cm="1">
        <f t="array" ref="BJ192">$G$13+VLOOKUP($R192,武学奇术!$A:$ZZ,14,FALSE)+SUM(_xlfn.XLOOKUP($S192:$AL192,增益!$A:$A,增益!$N:$N,0))</f>
        <v>0.02</v>
      </c>
      <c r="BK192">
        <f t="shared" si="102"/>
        <v>0</v>
      </c>
      <c r="BL192">
        <f t="shared" si="103"/>
        <v>0</v>
      </c>
      <c r="BM192" s="40" cm="1">
        <f t="array" ref="BM192">IF($F$14-$I$4+VLOOKUP($R192,武学奇术!$A:$ZZ,15,FALSE)+SUM(_xlfn.XLOOKUP($S192:$AL192,增益!$A:$A,增益!$O:$O,0))&gt;0,($F$14-$I$4+VLOOKUP($R192,武学奇术!$A:$ZZ,15,FALSE)+SUM(_xlfn.XLOOKUP($S192:$AL192,增益!$A:$A,增益!$O:$O,0)))/200,($F$14-$I$4+VLOOKUP($R192,武学奇术!$A:$ZZ,15,FALSE)+SUM(_xlfn.XLOOKUP($S192:$AL192,增益!$A:$A,增益!$O:$O,0)))/100)</f>
        <v>-0.14</v>
      </c>
      <c r="BN192" s="40" cm="1">
        <f t="array" ref="BN192">$G$14+VLOOKUP($R192,武学奇术!$A:$ZZ,16,FALSE)+SUM(_xlfn.XLOOKUP($S192:$AL192,增益!$A:$A,增益!$P:$P,0))</f>
        <v>0.02</v>
      </c>
      <c r="BO192" s="33">
        <f>MIN(IF(VLOOKUP($R192,武学奇术!$A:$ZZ,23,FALSE)=1,100%,$B$8),100%)</f>
        <v>0.9771</v>
      </c>
      <c r="BP192" s="33" cm="1">
        <f t="array" ref="BP192">IF(VLOOKUP($R192,武学奇术!$A:$ZZ,23,FALSE)=1,100%,MIN(80%,$B$9+VLOOKUP($R192,武学奇术!$A:$ZZ,17,FALSE)+SUM(_xlfn.XLOOKUP($S192:$AL192,增益!$A:$A,增益!$Q:$Q,0)))+$B$11+SUM(_xlfn.XLOOKUP($S192:$AL192,增益!$A:$A,增益!$U:$U,0)))*IF(VLOOKUP($R192,武学奇术!$A:$ZZ,24,FALSE)=1,0,1)</f>
        <v>0.8861</v>
      </c>
      <c r="BQ192" s="33" cm="1">
        <f t="array" ref="BQ192">1+$B$13+VLOOKUP($R192,武学奇术!$A:$ZZ,18,FALSE)+SUM(_xlfn.XLOOKUP($S192:$AL192,增益!$A:$A,增益!$R:$R,0))</f>
        <v>2</v>
      </c>
      <c r="BR192" s="33" cm="1">
        <f t="array" ref="BR192">IF(VLOOKUP($R192,武学奇术!$A:$ZZ,24,FALSE)=1,100%,MIN(40%,$B$10+VLOOKUP($R192,武学奇术!$A:$ZZ,19,FALSE)+SUM(_xlfn.XLOOKUP($S192:$AL192,增益!$A:$A,增益!$S:$S,0)))+$B$12+SUM(_xlfn.XLOOKUP($S192:$AL192,增益!$A:$A,增益!$V:$V,0)))*IF(VLOOKUP($R192,武学奇术!$A:$ZZ,23,FALSE)=1,0,1)</f>
        <v>0.0913</v>
      </c>
      <c r="BS192" s="33" cm="1">
        <f t="array" ref="BS192">1+$B$14+VLOOKUP($R192,武学奇术!$A:$ZZ,20,FALSE)+SUM(_xlfn.XLOOKUP($S192:$AL192,增益!$A:$A,增益!$T:$T,0))</f>
        <v>1.35</v>
      </c>
      <c r="BT192" s="33">
        <f t="shared" si="104"/>
        <v>0.86580831</v>
      </c>
      <c r="BU192" s="33">
        <f t="shared" si="105"/>
        <v>0.02208246</v>
      </c>
      <c r="BV192" s="33">
        <f>IF(VLOOKUP($R192,武学奇术!$A:$ZZ,22,FALSE)=1,0,(1-$BO192))*(1-$BR192)</f>
        <v>0.02080923</v>
      </c>
      <c r="BW192" s="33" cm="1">
        <f t="array" ref="BW192">SUM(_xlfn.XLOOKUP($S192:$AL192,增益!$A:$A,增益!$W:$W,0))+$I$5</f>
        <v>0.11</v>
      </c>
      <c r="BX192" s="33" cm="1">
        <f t="array" ref="BX192">VLOOKUP($R192,武学奇术!$A:$ZZ,32,FALSE)+SUM(_xlfn.XLOOKUP($S192:$AL192,增益!$A:$A,增益!$X:$X,0))</f>
        <v>0</v>
      </c>
    </row>
    <row r="193" spans="12:76">
      <c r="L193" s="46">
        <f t="shared" si="95"/>
        <v>0</v>
      </c>
      <c r="M193" s="46">
        <f>((($AT193+$AU193)/2*$AN193+$AO193)*(1+$AV193)*(1+$AW193)+(($AY193+$AZ193)/2*IF($G$1="鸣金",$AP193,$AN193)+IF($G$1="鸣金",$AQ193*1.5,0))*(1+$BA193)*(1+$BB193)+(($BC193+$BD193)/2*IF($G$1="裂石",$AP193,$AN193)+IF($G$1="裂石",$AQ193*1.5,0))*(1+$BE193)*(1+$BF193)+(($BG193+$BH193)/2*IF($G$1="牵丝",$AP193,$AN193)+IF($G$1="牵丝",$AQ193*1.5,0))*(1+$BI193)*(1+$BJ193)+(($BK193+$BL193)/2*IF($G$1="破竹",$AP193,$AN193)+IF($G$1="破竹",$AQ193*1.5,0))*(1+$BM193)*(1+$BN193))*(1+$AR193)*$BQ193*$Q193*(1+IF(VLOOKUP($R193,武学奇术!$A:$ZZ,30,FALSE)="蓄力技",$B$21,0))*(1+IF(VLOOKUP($R193,武学奇术!$A:$ZZ,30,FALSE)="派生技",$B$20,0))*(1+$BW193)*(1+$BX193)</f>
        <v>0</v>
      </c>
      <c r="N193" s="46">
        <f>(($AU193*$AN193+$AO193)*(1+$AV193)*(1+$AW193)+($AZ193*IF($G$1="鸣金",$AP193,$AN193)+IF($G$1="鸣金",$AQ193*1.5,0))*(1+$BA193)*(1+$BB193)+($BD193*IF($G$1="裂石",$AP193,$AN193)+IF($G$1="裂石",$AQ193*1.5,0))*(1+$BE193)*(1+$BF193)+($BH193*IF($G$1="牵丝",$AP193,$AN193)+IF($G$1="牵丝",$AQ193*1.5,0))*(1+$BI193)*(1+$BJ193)+($BL193*IF($G$1="破竹",$AP193,$AN193)+IF($G$1="破竹",$AQ193*1.5,0))*(1+$BM193)*(1+$BN193))*(1+$AR193)*$BS193*$Q193*(1+IF(VLOOKUP($R193,武学奇术!$A:$ZZ,30,FALSE)="蓄力技",$B$21,0))*(1+IF(VLOOKUP($R193,武学奇术!$A:$ZZ,30,FALSE)="派生技",$B$20,0))*(1+$BW193)*(1+$BX193)</f>
        <v>0</v>
      </c>
      <c r="O193" s="46">
        <f>((($AT193+$AU193)/2*$AN193+$AO193)*(1+$AV193)*(1+$AW193)+(($AY193+$AZ193)/2*IF($G$1="鸣金",$AP193,$AN193)+IF($G$1="鸣金",$AQ193*1.5,0))*(1+$BA193)*(1+$BB193)+(($BC193+$BD193)/2*IF($G$1="裂石",$AP193,$AN193)+IF($G$1="裂石",$AQ193*1.5,0))*(1+$BE193)*(1+$BF193)+(($BG193+$BH193)/2*IF($G$1="牵丝",$AP193,$AN193)+IF($G$1="牵丝",$AQ193*1.5,0))*(1+$BI193)*(1+$BJ193)+(($BK193+$BL193)/2*IF($G$1="破竹",$AP193,$AN193)+IF($G$1="破竹",$AQ193*1.5,0))*(1+$BM193)*(1+$BN193))*(1+$AR193)*$Q193*(1+IF(VLOOKUP($R193,武学奇术!$A:$ZZ,30,FALSE)="蓄力技",$B$21,0))*(1+IF(VLOOKUP($R193,武学奇术!$A:$ZZ,30,FALSE)="派生技",$B$20,0))*(1+$BW193)*(1+$BX193)</f>
        <v>0</v>
      </c>
      <c r="P193" s="46">
        <f>((($AT193*$AN193+$AO193)*(1+$AV193)*(1+$AW193)+($AY193*IF($G$1="鸣金",$AP193,$AN193)+IF($G$1="鸣金",$AQ193*1.5,0))*(1+$BA193)*(1+$BB193)+($BC193*IF($G$1="裂石",$AP193,$AN193)+IF($G$1="裂石",$AQ193*1.5,0))*(1+$BE193)*(1+$BF193)+($BG193*IF($G$1="牵丝",$AP193,$AN193)+IF($G$1="牵丝",$AQ193*1.5,0))*(1+$BI193)*(1+$BJ193)+($BK193*IF($G$1="破竹",$AP193,$AN193)+IF($G$1="破竹",$AQ193*1.5,0))*(1+$BM193)*(1+$BN193))*(1+$AR193))*$Q193*(1+IF(VLOOKUP($R193,武学奇术!$A:$ZZ,30,FALSE)="蓄力技",$B$21,0))*(1+IF(VLOOKUP($R193,武学奇术!$A:$ZZ,30,FALSE)="派生技",$B$20,0))*(1+$BW193)*(1+$BX193)</f>
        <v>0</v>
      </c>
      <c r="Q193" s="47">
        <f t="shared" si="106"/>
        <v>0</v>
      </c>
      <c r="R193" s="48" t="s">
        <v>196</v>
      </c>
      <c r="S193" s="48" t="s">
        <v>99</v>
      </c>
      <c r="T193" s="48" t="s">
        <v>182</v>
      </c>
      <c r="U193" s="48" t="s">
        <v>79</v>
      </c>
      <c r="V193" s="48" t="s">
        <v>90</v>
      </c>
      <c r="W193" s="48" t="s">
        <v>141</v>
      </c>
      <c r="X193" s="48" t="s">
        <v>80</v>
      </c>
      <c r="Y193" s="48" t="s">
        <v>74</v>
      </c>
      <c r="Z193" s="48" t="s">
        <v>80</v>
      </c>
      <c r="AA193" s="48" t="s">
        <v>80</v>
      </c>
      <c r="AB193" s="48" t="s">
        <v>80</v>
      </c>
      <c r="AC193" s="48" t="s">
        <v>80</v>
      </c>
      <c r="AD193" s="48" t="s">
        <v>80</v>
      </c>
      <c r="AE193" s="48" t="s">
        <v>82</v>
      </c>
      <c r="AF193" s="48" t="s">
        <v>83</v>
      </c>
      <c r="AG193" s="48" t="s">
        <v>84</v>
      </c>
      <c r="AH193" s="48" t="s">
        <v>80</v>
      </c>
      <c r="AI193" s="48" t="s">
        <v>80</v>
      </c>
      <c r="AJ193" s="48" t="s">
        <v>80</v>
      </c>
      <c r="AK193" s="48" t="s">
        <v>80</v>
      </c>
      <c r="AL193" s="48" t="s">
        <v>85</v>
      </c>
      <c r="AM193" t="str">
        <f>VLOOKUP($R193,武学奇术!$A:$ZZ,25,FALSE)</f>
        <v>横刀</v>
      </c>
      <c r="AN193" s="33">
        <f>VLOOKUP($R193,武学奇术!$A:$ZZ,26,FALSE)</f>
        <v>1.47</v>
      </c>
      <c r="AO193" s="34">
        <f>VLOOKUP($R193,武学奇术!$A:$ZZ,27,FALSE)*(1+IF(OR($AM193=$F$4,$AM193=$F$5),$B$22,0))</f>
        <v>0</v>
      </c>
      <c r="AP193" s="33">
        <f>VLOOKUP($R193,武学奇术!$A:$ZZ,28,FALSE)</f>
        <v>2.205</v>
      </c>
      <c r="AQ193" s="34">
        <f>VLOOKUP($R193,武学奇术!$A:$ZZ,29,FALSE)*(1+IF(OR($AM193=$F$4,$AM193=$F$5),$B$22,0))</f>
        <v>0</v>
      </c>
      <c r="AR193" s="33" cm="1">
        <f t="array" ref="AR193">$G$3+IFERROR(VLOOKUP($AM193,$F$4:$G$7,2,FALSE),0)+VLOOKUP($R193,武学奇术!$A:$ZZ,2,FALSE)+SUM(_xlfn.XLOOKUP($S193:$AL193,增益!$A:$A,增益!$B:$B,0))</f>
        <v>0.6089</v>
      </c>
      <c r="AS193" s="33" cm="1">
        <f t="array" ref="AS193">VLOOKUP($R193,武学奇术!$A:$ZZ,5,FALSE)+SUM(_xlfn.XLOOKUP($S193:$AL193,增益!$A:$A,增益!$E:$E,0))</f>
        <v>0</v>
      </c>
      <c r="AT193" cm="1">
        <f t="array" ref="AT193">$D$10*(1+$AS193)+VLOOKUP($R193,武学奇术!$A:$ZZ,3,FALSE)+SUM(_xlfn.XLOOKUP($S193:$AL193,增益!$A:$A,增益!$C:$C,0))-$I$2</f>
        <v>4094.7</v>
      </c>
      <c r="AU193" cm="1">
        <f t="array" ref="AU193">$E$10*(1+$AS193)+VLOOKUP($R193,武学奇术!$A:$ZZ,4,FALSE)+SUM(_xlfn.XLOOKUP($S193:$AL193,增益!$A:$A,增益!$D:$D,0))-$I$2</f>
        <v>4094.7</v>
      </c>
      <c r="AV193" s="40" cm="1">
        <f t="array" ref="AV193">IF($F$10-$I$3+VLOOKUP($R193,武学奇术!$A:$ZZ,6,FALSE)+SUM(_xlfn.XLOOKUP($S193:$AL193,增益!$A:$A,增益!$F:$F,0))&gt;0,($F$10-$I$3+VLOOKUP($R193,武学奇术!$A:$ZZ,6,FALSE)+SUM(_xlfn.XLOOKUP($S193:$AL193,增益!$A:$A,增益!$F:$F,0)))/200,($F$10-$I$3+VLOOKUP($R193,武学奇术!$A:$ZZ,6,FALSE)+SUM(_xlfn.XLOOKUP($S193:$AL193,增益!$A:$A,增益!$F:$F,0)))/100)</f>
        <v>0.4384</v>
      </c>
      <c r="AW193" s="40" cm="1">
        <f t="array" ref="AW193">$G$10+VLOOKUP($R193,武学奇术!$A:$ZZ,7,FALSE)+SUM(_xlfn.XLOOKUP($S193:$AL193,增益!$A:$A,增益!$G:$G,0))</f>
        <v>0.14</v>
      </c>
      <c r="AX193" s="33" cm="1">
        <f t="array" ref="AX193">VLOOKUP($R193,武学奇术!$A:$ZZ,8,FALSE)+SUM(_xlfn.XLOOKUP($S193:$AL193,增益!$A:$A,增益!$H:$H,0))</f>
        <v>0</v>
      </c>
      <c r="AY193">
        <f t="shared" si="96"/>
        <v>0</v>
      </c>
      <c r="AZ193">
        <f t="shared" si="97"/>
        <v>0</v>
      </c>
      <c r="BA193" s="40" cm="1">
        <f t="array" ref="BA193">IF($F$11-$I$4+VLOOKUP($R193,武学奇术!$A:$ZZ,9,FALSE)+SUM(_xlfn.XLOOKUP($S193:$AL193,增益!$A:$A,增益!$I:$I,0))&gt;0,($F$11-$I$4+VLOOKUP($R193,武学奇术!$A:$ZZ,9,FALSE)+SUM(_xlfn.XLOOKUP($S193:$AL193,增益!$A:$A,增益!$I:$I,0)))/200,($F$11-$I$4+VLOOKUP($R193,武学奇术!$A:$ZZ,9,FALSE)+SUM(_xlfn.XLOOKUP($S193:$AL193,增益!$A:$A,增益!$I:$I,0)))/100)</f>
        <v>-0.14</v>
      </c>
      <c r="BB193" s="40" cm="1">
        <f t="array" ref="BB193">$G$11+VLOOKUP($R193,武学奇术!$A:$ZZ,10,FALSE)+SUM(_xlfn.XLOOKUP($S193:$AL193,增益!$A:$A,增益!$J:$J,0))</f>
        <v>0.02</v>
      </c>
      <c r="BC193">
        <f t="shared" si="98"/>
        <v>640.3</v>
      </c>
      <c r="BD193">
        <f t="shared" si="99"/>
        <v>1770.1</v>
      </c>
      <c r="BE193" s="40" cm="1">
        <f t="array" ref="BE193">IF($F$12-$I$4+VLOOKUP($R193,武学奇术!$A:$ZZ,11,FALSE)+SUM(_xlfn.XLOOKUP($S193:$AL193,增益!$A:$A,增益!$K:$K,0))&gt;0,($F$12-$I$4+VLOOKUP($R193,武学奇术!$A:$ZZ,11,FALSE)+SUM(_xlfn.XLOOKUP($S193:$AL193,增益!$A:$A,增益!$K:$K,0)))/200,($F$12-$I$4+VLOOKUP($R193,武学奇术!$A:$ZZ,11,FALSE)+SUM(_xlfn.XLOOKUP($S193:$AL193,增益!$A:$A,增益!$K:$K,0)))/100)</f>
        <v>0.17</v>
      </c>
      <c r="BF193" s="40" cm="1">
        <f t="array" ref="BF193">$G$12+VLOOKUP($R193,武学奇术!$A:$ZZ,12,FALSE)+SUM(_xlfn.XLOOKUP($S193:$AL193,增益!$A:$A,增益!$L:$L,0))</f>
        <v>0.29</v>
      </c>
      <c r="BG193">
        <f t="shared" si="100"/>
        <v>0</v>
      </c>
      <c r="BH193">
        <f t="shared" si="101"/>
        <v>0</v>
      </c>
      <c r="BI193" s="40" cm="1">
        <f t="array" ref="BI193">IF($F$13-$I$4+VLOOKUP($R193,武学奇术!$A:$ZZ,13,FALSE)+SUM(_xlfn.XLOOKUP($S193:$AL193,增益!$A:$A,增益!$M:$M,0))&gt;0,($F$13-$I$4+VLOOKUP($R193,武学奇术!$A:$ZZ,13,FALSE)+SUM(_xlfn.XLOOKUP($S193:$AL193,增益!$A:$A,增益!$K:$K,0)))/200,($F$13-$I$4+VLOOKUP($R193,武学奇术!$A:$ZZ,13,FALSE)+SUM(_xlfn.XLOOKUP($S193:$AL193,增益!$A:$A,增益!$M:$M,0)))/100)</f>
        <v>-0.14</v>
      </c>
      <c r="BJ193" s="40" cm="1">
        <f t="array" ref="BJ193">$G$13+VLOOKUP($R193,武学奇术!$A:$ZZ,14,FALSE)+SUM(_xlfn.XLOOKUP($S193:$AL193,增益!$A:$A,增益!$N:$N,0))</f>
        <v>0.02</v>
      </c>
      <c r="BK193">
        <f t="shared" si="102"/>
        <v>0</v>
      </c>
      <c r="BL193">
        <f t="shared" si="103"/>
        <v>0</v>
      </c>
      <c r="BM193" s="40" cm="1">
        <f t="array" ref="BM193">IF($F$14-$I$4+VLOOKUP($R193,武学奇术!$A:$ZZ,15,FALSE)+SUM(_xlfn.XLOOKUP($S193:$AL193,增益!$A:$A,增益!$O:$O,0))&gt;0,($F$14-$I$4+VLOOKUP($R193,武学奇术!$A:$ZZ,15,FALSE)+SUM(_xlfn.XLOOKUP($S193:$AL193,增益!$A:$A,增益!$O:$O,0)))/200,($F$14-$I$4+VLOOKUP($R193,武学奇术!$A:$ZZ,15,FALSE)+SUM(_xlfn.XLOOKUP($S193:$AL193,增益!$A:$A,增益!$O:$O,0)))/100)</f>
        <v>-0.14</v>
      </c>
      <c r="BN193" s="40" cm="1">
        <f t="array" ref="BN193">$G$14+VLOOKUP($R193,武学奇术!$A:$ZZ,16,FALSE)+SUM(_xlfn.XLOOKUP($S193:$AL193,增益!$A:$A,增益!$P:$P,0))</f>
        <v>0.02</v>
      </c>
      <c r="BO193" s="33">
        <f>MIN(IF(VLOOKUP($R193,武学奇术!$A:$ZZ,23,FALSE)=1,100%,$B$8),100%)</f>
        <v>0.9771</v>
      </c>
      <c r="BP193" s="33" cm="1">
        <f t="array" ref="BP193">IF(VLOOKUP($R193,武学奇术!$A:$ZZ,23,FALSE)=1,100%,MIN(80%,$B$9+VLOOKUP($R193,武学奇术!$A:$ZZ,17,FALSE)+SUM(_xlfn.XLOOKUP($S193:$AL193,增益!$A:$A,增益!$Q:$Q,0)))+$B$11+SUM(_xlfn.XLOOKUP($S193:$AL193,增益!$A:$A,增益!$U:$U,0)))*IF(VLOOKUP($R193,武学奇术!$A:$ZZ,24,FALSE)=1,0,1)</f>
        <v>0.8861</v>
      </c>
      <c r="BQ193" s="33" cm="1">
        <f t="array" ref="BQ193">1+$B$13+VLOOKUP($R193,武学奇术!$A:$ZZ,18,FALSE)+SUM(_xlfn.XLOOKUP($S193:$AL193,增益!$A:$A,增益!$R:$R,0))</f>
        <v>2</v>
      </c>
      <c r="BR193" s="33" cm="1">
        <f t="array" ref="BR193">IF(VLOOKUP($R193,武学奇术!$A:$ZZ,24,FALSE)=1,100%,MIN(40%,$B$10+VLOOKUP($R193,武学奇术!$A:$ZZ,19,FALSE)+SUM(_xlfn.XLOOKUP($S193:$AL193,增益!$A:$A,增益!$S:$S,0)))+$B$12+SUM(_xlfn.XLOOKUP($S193:$AL193,增益!$A:$A,增益!$V:$V,0)))*IF(VLOOKUP($R193,武学奇术!$A:$ZZ,23,FALSE)=1,0,1)</f>
        <v>0.0913</v>
      </c>
      <c r="BS193" s="33" cm="1">
        <f t="array" ref="BS193">1+$B$14+VLOOKUP($R193,武学奇术!$A:$ZZ,20,FALSE)+SUM(_xlfn.XLOOKUP($S193:$AL193,增益!$A:$A,增益!$T:$T,0))</f>
        <v>1.35</v>
      </c>
      <c r="BT193" s="33">
        <f t="shared" si="104"/>
        <v>0.86580831</v>
      </c>
      <c r="BU193" s="33">
        <f t="shared" si="105"/>
        <v>0.02208246</v>
      </c>
      <c r="BV193" s="33">
        <f>IF(VLOOKUP($R193,武学奇术!$A:$ZZ,22,FALSE)=1,0,(1-$BO193))*(1-$BR193)</f>
        <v>0.02080923</v>
      </c>
      <c r="BW193" s="33" cm="1">
        <f t="array" ref="BW193">SUM(_xlfn.XLOOKUP($S193:$AL193,增益!$A:$A,增益!$W:$W,0))+$I$5</f>
        <v>0.11</v>
      </c>
      <c r="BX193" s="33" cm="1">
        <f t="array" ref="BX193">VLOOKUP($R193,武学奇术!$A:$ZZ,32,FALSE)+SUM(_xlfn.XLOOKUP($S193:$AL193,增益!$A:$A,增益!$X:$X,0))</f>
        <v>0.4</v>
      </c>
    </row>
    <row r="194" spans="12:76">
      <c r="L194" s="46">
        <f t="shared" si="95"/>
        <v>0</v>
      </c>
      <c r="M194" s="46">
        <f>((($AT194+$AU194)/2*$AN194+$AO194)*(1+$AV194)*(1+$AW194)+(($AY194+$AZ194)/2*IF($G$1="鸣金",$AP194,$AN194)+IF($G$1="鸣金",$AQ194*1.5,0))*(1+$BA194)*(1+$BB194)+(($BC194+$BD194)/2*IF($G$1="裂石",$AP194,$AN194)+IF($G$1="裂石",$AQ194*1.5,0))*(1+$BE194)*(1+$BF194)+(($BG194+$BH194)/2*IF($G$1="牵丝",$AP194,$AN194)+IF($G$1="牵丝",$AQ194*1.5,0))*(1+$BI194)*(1+$BJ194)+(($BK194+$BL194)/2*IF($G$1="破竹",$AP194,$AN194)+IF($G$1="破竹",$AQ194*1.5,0))*(1+$BM194)*(1+$BN194))*(1+$AR194)*$BQ194*$Q194*(1+IF(VLOOKUP($R194,武学奇术!$A:$ZZ,30,FALSE)="蓄力技",$B$21,0))*(1+IF(VLOOKUP($R194,武学奇术!$A:$ZZ,30,FALSE)="派生技",$B$20,0))*(1+$BW194)*(1+$BX194)</f>
        <v>0</v>
      </c>
      <c r="N194" s="46">
        <f>(($AU194*$AN194+$AO194)*(1+$AV194)*(1+$AW194)+($AZ194*IF($G$1="鸣金",$AP194,$AN194)+IF($G$1="鸣金",$AQ194*1.5,0))*(1+$BA194)*(1+$BB194)+($BD194*IF($G$1="裂石",$AP194,$AN194)+IF($G$1="裂石",$AQ194*1.5,0))*(1+$BE194)*(1+$BF194)+($BH194*IF($G$1="牵丝",$AP194,$AN194)+IF($G$1="牵丝",$AQ194*1.5,0))*(1+$BI194)*(1+$BJ194)+($BL194*IF($G$1="破竹",$AP194,$AN194)+IF($G$1="破竹",$AQ194*1.5,0))*(1+$BM194)*(1+$BN194))*(1+$AR194)*$BS194*$Q194*(1+IF(VLOOKUP($R194,武学奇术!$A:$ZZ,30,FALSE)="蓄力技",$B$21,0))*(1+IF(VLOOKUP($R194,武学奇术!$A:$ZZ,30,FALSE)="派生技",$B$20,0))*(1+$BW194)*(1+$BX194)</f>
        <v>0</v>
      </c>
      <c r="O194" s="46">
        <f>((($AT194+$AU194)/2*$AN194+$AO194)*(1+$AV194)*(1+$AW194)+(($AY194+$AZ194)/2*IF($G$1="鸣金",$AP194,$AN194)+IF($G$1="鸣金",$AQ194*1.5,0))*(1+$BA194)*(1+$BB194)+(($BC194+$BD194)/2*IF($G$1="裂石",$AP194,$AN194)+IF($G$1="裂石",$AQ194*1.5,0))*(1+$BE194)*(1+$BF194)+(($BG194+$BH194)/2*IF($G$1="牵丝",$AP194,$AN194)+IF($G$1="牵丝",$AQ194*1.5,0))*(1+$BI194)*(1+$BJ194)+(($BK194+$BL194)/2*IF($G$1="破竹",$AP194,$AN194)+IF($G$1="破竹",$AQ194*1.5,0))*(1+$BM194)*(1+$BN194))*(1+$AR194)*$Q194*(1+IF(VLOOKUP($R194,武学奇术!$A:$ZZ,30,FALSE)="蓄力技",$B$21,0))*(1+IF(VLOOKUP($R194,武学奇术!$A:$ZZ,30,FALSE)="派生技",$B$20,0))*(1+$BW194)*(1+$BX194)</f>
        <v>0</v>
      </c>
      <c r="P194" s="46">
        <f>((($AT194*$AN194+$AO194)*(1+$AV194)*(1+$AW194)+($AY194*IF($G$1="鸣金",$AP194,$AN194)+IF($G$1="鸣金",$AQ194*1.5,0))*(1+$BA194)*(1+$BB194)+($BC194*IF($G$1="裂石",$AP194,$AN194)+IF($G$1="裂石",$AQ194*1.5,0))*(1+$BE194)*(1+$BF194)+($BG194*IF($G$1="牵丝",$AP194,$AN194)+IF($G$1="牵丝",$AQ194*1.5,0))*(1+$BI194)*(1+$BJ194)+($BK194*IF($G$1="破竹",$AP194,$AN194)+IF($G$1="破竹",$AQ194*1.5,0))*(1+$BM194)*(1+$BN194))*(1+$AR194))*$Q194*(1+IF(VLOOKUP($R194,武学奇术!$A:$ZZ,30,FALSE)="蓄力技",$B$21,0))*(1+IF(VLOOKUP($R194,武学奇术!$A:$ZZ,30,FALSE)="派生技",$B$20,0))*(1+$BW194)*(1+$BX194)</f>
        <v>0</v>
      </c>
      <c r="Q194" s="47">
        <f t="shared" si="106"/>
        <v>0</v>
      </c>
      <c r="R194" s="48" t="s">
        <v>197</v>
      </c>
      <c r="S194" s="48" t="s">
        <v>99</v>
      </c>
      <c r="T194" s="48" t="s">
        <v>182</v>
      </c>
      <c r="U194" s="48" t="s">
        <v>79</v>
      </c>
      <c r="V194" s="48" t="s">
        <v>90</v>
      </c>
      <c r="W194" s="48" t="s">
        <v>91</v>
      </c>
      <c r="X194" s="48" t="s">
        <v>80</v>
      </c>
      <c r="Y194" s="48" t="s">
        <v>80</v>
      </c>
      <c r="Z194" s="48" t="s">
        <v>80</v>
      </c>
      <c r="AA194" s="48" t="s">
        <v>80</v>
      </c>
      <c r="AB194" s="48" t="s">
        <v>80</v>
      </c>
      <c r="AC194" s="48" t="s">
        <v>80</v>
      </c>
      <c r="AD194" s="48" t="s">
        <v>80</v>
      </c>
      <c r="AE194" s="48" t="s">
        <v>82</v>
      </c>
      <c r="AF194" s="48" t="s">
        <v>83</v>
      </c>
      <c r="AG194" s="48" t="s">
        <v>84</v>
      </c>
      <c r="AH194" s="48" t="s">
        <v>80</v>
      </c>
      <c r="AI194" s="48" t="s">
        <v>80</v>
      </c>
      <c r="AJ194" s="48" t="s">
        <v>80</v>
      </c>
      <c r="AK194" s="48" t="s">
        <v>80</v>
      </c>
      <c r="AL194" s="48" t="s">
        <v>85</v>
      </c>
      <c r="AM194" t="str">
        <f>VLOOKUP($R194,武学奇术!$A:$ZZ,25,FALSE)</f>
        <v>横刀</v>
      </c>
      <c r="AN194" s="33">
        <f>VLOOKUP($R194,武学奇术!$A:$ZZ,26,FALSE)</f>
        <v>2.4495</v>
      </c>
      <c r="AO194" s="34">
        <f>VLOOKUP($R194,武学奇术!$A:$ZZ,27,FALSE)*(1+IF(OR($AM194=$F$4,$AM194=$F$5),$B$22,0))</f>
        <v>1083.2</v>
      </c>
      <c r="AP194" s="33">
        <f>VLOOKUP($R194,武学奇术!$A:$ZZ,28,FALSE)</f>
        <v>3.6743</v>
      </c>
      <c r="AQ194" s="34">
        <f>VLOOKUP($R194,武学奇术!$A:$ZZ,29,FALSE)*(1+IF(OR($AM194=$F$4,$AM194=$F$5),$B$22,0))</f>
        <v>588.8</v>
      </c>
      <c r="AR194" s="33" cm="1">
        <f t="array" ref="AR194">$G$3+IFERROR(VLOOKUP($AM194,$F$4:$G$7,2,FALSE),0)+VLOOKUP($R194,武学奇术!$A:$ZZ,2,FALSE)+SUM(_xlfn.XLOOKUP($S194:$AL194,增益!$A:$A,增益!$B:$B,0))</f>
        <v>0.5289</v>
      </c>
      <c r="AS194" s="33" cm="1">
        <f t="array" ref="AS194">VLOOKUP($R194,武学奇术!$A:$ZZ,5,FALSE)+SUM(_xlfn.XLOOKUP($S194:$AL194,增益!$A:$A,增益!$E:$E,0))</f>
        <v>0</v>
      </c>
      <c r="AT194" cm="1">
        <f t="array" ref="AT194">$D$10*(1+$AS194)+VLOOKUP($R194,武学奇术!$A:$ZZ,3,FALSE)+SUM(_xlfn.XLOOKUP($S194:$AL194,增益!$A:$A,增益!$C:$C,0))-$I$2</f>
        <v>4094.7</v>
      </c>
      <c r="AU194" cm="1">
        <f t="array" ref="AU194">$E$10*(1+$AS194)+VLOOKUP($R194,武学奇术!$A:$ZZ,4,FALSE)+SUM(_xlfn.XLOOKUP($S194:$AL194,增益!$A:$A,增益!$D:$D,0))-$I$2</f>
        <v>4094.7</v>
      </c>
      <c r="AV194" s="40" cm="1">
        <f t="array" ref="AV194">IF($F$10-$I$3+VLOOKUP($R194,武学奇术!$A:$ZZ,6,FALSE)+SUM(_xlfn.XLOOKUP($S194:$AL194,增益!$A:$A,增益!$F:$F,0))&gt;0,($F$10-$I$3+VLOOKUP($R194,武学奇术!$A:$ZZ,6,FALSE)+SUM(_xlfn.XLOOKUP($S194:$AL194,增益!$A:$A,增益!$F:$F,0)))/200,($F$10-$I$3+VLOOKUP($R194,武学奇术!$A:$ZZ,6,FALSE)+SUM(_xlfn.XLOOKUP($S194:$AL194,增益!$A:$A,增益!$F:$F,0)))/100)</f>
        <v>0.4134</v>
      </c>
      <c r="AW194" s="40" cm="1">
        <f t="array" ref="AW194">$G$10+VLOOKUP($R194,武学奇术!$A:$ZZ,7,FALSE)+SUM(_xlfn.XLOOKUP($S194:$AL194,增益!$A:$A,增益!$G:$G,0))</f>
        <v>0.14</v>
      </c>
      <c r="AX194" s="33" cm="1">
        <f t="array" ref="AX194">VLOOKUP($R194,武学奇术!$A:$ZZ,8,FALSE)+SUM(_xlfn.XLOOKUP($S194:$AL194,增益!$A:$A,增益!$H:$H,0))</f>
        <v>0</v>
      </c>
      <c r="AY194">
        <f t="shared" si="96"/>
        <v>0</v>
      </c>
      <c r="AZ194">
        <f t="shared" si="97"/>
        <v>0</v>
      </c>
      <c r="BA194" s="40" cm="1">
        <f t="array" ref="BA194">IF($F$11-$I$4+VLOOKUP($R194,武学奇术!$A:$ZZ,9,FALSE)+SUM(_xlfn.XLOOKUP($S194:$AL194,增益!$A:$A,增益!$I:$I,0))&gt;0,($F$11-$I$4+VLOOKUP($R194,武学奇术!$A:$ZZ,9,FALSE)+SUM(_xlfn.XLOOKUP($S194:$AL194,增益!$A:$A,增益!$I:$I,0)))/200,($F$11-$I$4+VLOOKUP($R194,武学奇术!$A:$ZZ,9,FALSE)+SUM(_xlfn.XLOOKUP($S194:$AL194,增益!$A:$A,增益!$I:$I,0)))/100)</f>
        <v>-0.14</v>
      </c>
      <c r="BB194" s="40" cm="1">
        <f t="array" ref="BB194">$G$11+VLOOKUP($R194,武学奇术!$A:$ZZ,10,FALSE)+SUM(_xlfn.XLOOKUP($S194:$AL194,增益!$A:$A,增益!$J:$J,0))</f>
        <v>0.02</v>
      </c>
      <c r="BC194">
        <f t="shared" si="98"/>
        <v>640.3</v>
      </c>
      <c r="BD194">
        <f t="shared" si="99"/>
        <v>1770.1</v>
      </c>
      <c r="BE194" s="40" cm="1">
        <f t="array" ref="BE194">IF($F$12-$I$4+VLOOKUP($R194,武学奇术!$A:$ZZ,11,FALSE)+SUM(_xlfn.XLOOKUP($S194:$AL194,增益!$A:$A,增益!$K:$K,0))&gt;0,($F$12-$I$4+VLOOKUP($R194,武学奇术!$A:$ZZ,11,FALSE)+SUM(_xlfn.XLOOKUP($S194:$AL194,增益!$A:$A,增益!$K:$K,0)))/200,($F$12-$I$4+VLOOKUP($R194,武学奇术!$A:$ZZ,11,FALSE)+SUM(_xlfn.XLOOKUP($S194:$AL194,增益!$A:$A,增益!$K:$K,0)))/100)</f>
        <v>0.17</v>
      </c>
      <c r="BF194" s="40" cm="1">
        <f t="array" ref="BF194">$G$12+VLOOKUP($R194,武学奇术!$A:$ZZ,12,FALSE)+SUM(_xlfn.XLOOKUP($S194:$AL194,增益!$A:$A,增益!$L:$L,0))</f>
        <v>0.29</v>
      </c>
      <c r="BG194">
        <f t="shared" si="100"/>
        <v>0</v>
      </c>
      <c r="BH194">
        <f t="shared" si="101"/>
        <v>0</v>
      </c>
      <c r="BI194" s="40" cm="1">
        <f t="array" ref="BI194">IF($F$13-$I$4+VLOOKUP($R194,武学奇术!$A:$ZZ,13,FALSE)+SUM(_xlfn.XLOOKUP($S194:$AL194,增益!$A:$A,增益!$M:$M,0))&gt;0,($F$13-$I$4+VLOOKUP($R194,武学奇术!$A:$ZZ,13,FALSE)+SUM(_xlfn.XLOOKUP($S194:$AL194,增益!$A:$A,增益!$K:$K,0)))/200,($F$13-$I$4+VLOOKUP($R194,武学奇术!$A:$ZZ,13,FALSE)+SUM(_xlfn.XLOOKUP($S194:$AL194,增益!$A:$A,增益!$M:$M,0)))/100)</f>
        <v>-0.14</v>
      </c>
      <c r="BJ194" s="40" cm="1">
        <f t="array" ref="BJ194">$G$13+VLOOKUP($R194,武学奇术!$A:$ZZ,14,FALSE)+SUM(_xlfn.XLOOKUP($S194:$AL194,增益!$A:$A,增益!$N:$N,0))</f>
        <v>0.02</v>
      </c>
      <c r="BK194">
        <f t="shared" si="102"/>
        <v>0</v>
      </c>
      <c r="BL194">
        <f t="shared" si="103"/>
        <v>0</v>
      </c>
      <c r="BM194" s="40" cm="1">
        <f t="array" ref="BM194">IF($F$14-$I$4+VLOOKUP($R194,武学奇术!$A:$ZZ,15,FALSE)+SUM(_xlfn.XLOOKUP($S194:$AL194,增益!$A:$A,增益!$O:$O,0))&gt;0,($F$14-$I$4+VLOOKUP($R194,武学奇术!$A:$ZZ,15,FALSE)+SUM(_xlfn.XLOOKUP($S194:$AL194,增益!$A:$A,增益!$O:$O,0)))/200,($F$14-$I$4+VLOOKUP($R194,武学奇术!$A:$ZZ,15,FALSE)+SUM(_xlfn.XLOOKUP($S194:$AL194,增益!$A:$A,增益!$O:$O,0)))/100)</f>
        <v>-0.14</v>
      </c>
      <c r="BN194" s="40" cm="1">
        <f t="array" ref="BN194">$G$14+VLOOKUP($R194,武学奇术!$A:$ZZ,16,FALSE)+SUM(_xlfn.XLOOKUP($S194:$AL194,增益!$A:$A,增益!$P:$P,0))</f>
        <v>0.02</v>
      </c>
      <c r="BO194" s="33">
        <f>MIN(IF(VLOOKUP($R194,武学奇术!$A:$ZZ,23,FALSE)=1,100%,$B$8),100%)</f>
        <v>0.9771</v>
      </c>
      <c r="BP194" s="33" cm="1">
        <f t="array" ref="BP194">IF(VLOOKUP($R194,武学奇术!$A:$ZZ,23,FALSE)=1,100%,MIN(80%,$B$9+VLOOKUP($R194,武学奇术!$A:$ZZ,17,FALSE)+SUM(_xlfn.XLOOKUP($S194:$AL194,增益!$A:$A,增益!$Q:$Q,0)))+$B$11+SUM(_xlfn.XLOOKUP($S194:$AL194,增益!$A:$A,增益!$U:$U,0)))*IF(VLOOKUP($R194,武学奇术!$A:$ZZ,24,FALSE)=1,0,1)</f>
        <v>0.8861</v>
      </c>
      <c r="BQ194" s="33" cm="1">
        <f t="array" ref="BQ194">1+$B$13+VLOOKUP($R194,武学奇术!$A:$ZZ,18,FALSE)+SUM(_xlfn.XLOOKUP($S194:$AL194,增益!$A:$A,增益!$R:$R,0))</f>
        <v>1.95</v>
      </c>
      <c r="BR194" s="33" cm="1">
        <f t="array" ref="BR194">IF(VLOOKUP($R194,武学奇术!$A:$ZZ,24,FALSE)=1,100%,MIN(40%,$B$10+VLOOKUP($R194,武学奇术!$A:$ZZ,19,FALSE)+SUM(_xlfn.XLOOKUP($S194:$AL194,增益!$A:$A,增益!$S:$S,0)))+$B$12+SUM(_xlfn.XLOOKUP($S194:$AL194,增益!$A:$A,增益!$V:$V,0)))*IF(VLOOKUP($R194,武学奇术!$A:$ZZ,23,FALSE)=1,0,1)</f>
        <v>0.0913</v>
      </c>
      <c r="BS194" s="33" cm="1">
        <f t="array" ref="BS194">1+$B$14+VLOOKUP($R194,武学奇术!$A:$ZZ,20,FALSE)+SUM(_xlfn.XLOOKUP($S194:$AL194,增益!$A:$A,增益!$T:$T,0))</f>
        <v>1.35</v>
      </c>
      <c r="BT194" s="33">
        <f t="shared" si="104"/>
        <v>0.86580831</v>
      </c>
      <c r="BU194" s="33">
        <f t="shared" si="105"/>
        <v>0.02208246</v>
      </c>
      <c r="BV194" s="33">
        <f>IF(VLOOKUP($R194,武学奇术!$A:$ZZ,22,FALSE)=1,0,(1-$BO194))*(1-$BR194)</f>
        <v>0.02080923</v>
      </c>
      <c r="BW194" s="33" cm="1">
        <f t="array" ref="BW194">SUM(_xlfn.XLOOKUP($S194:$AL194,增益!$A:$A,增益!$W:$W,0))+$I$5</f>
        <v>0.11</v>
      </c>
      <c r="BX194" s="33" cm="1">
        <f t="array" ref="BX194">VLOOKUP($R194,武学奇术!$A:$ZZ,32,FALSE)+SUM(_xlfn.XLOOKUP($S194:$AL194,增益!$A:$A,增益!$X:$X,0))</f>
        <v>0</v>
      </c>
    </row>
    <row r="195" spans="12:76">
      <c r="L195" s="46">
        <f t="shared" si="95"/>
        <v>0</v>
      </c>
      <c r="M195" s="46">
        <f>((($AT195+$AU195)/2*$AN195+$AO195)*(1+$AV195)*(1+$AW195)+(($AY195+$AZ195)/2*IF($G$1="鸣金",$AP195,$AN195)+IF($G$1="鸣金",$AQ195*1.5,0))*(1+$BA195)*(1+$BB195)+(($BC195+$BD195)/2*IF($G$1="裂石",$AP195,$AN195)+IF($G$1="裂石",$AQ195*1.5,0))*(1+$BE195)*(1+$BF195)+(($BG195+$BH195)/2*IF($G$1="牵丝",$AP195,$AN195)+IF($G$1="牵丝",$AQ195*1.5,0))*(1+$BI195)*(1+$BJ195)+(($BK195+$BL195)/2*IF($G$1="破竹",$AP195,$AN195)+IF($G$1="破竹",$AQ195*1.5,0))*(1+$BM195)*(1+$BN195))*(1+$AR195)*$BQ195*$Q195*(1+IF(VLOOKUP($R195,武学奇术!$A:$ZZ,30,FALSE)="蓄力技",$B$21,0))*(1+IF(VLOOKUP($R195,武学奇术!$A:$ZZ,30,FALSE)="派生技",$B$20,0))*(1+$BW195)*(1+$BX195)</f>
        <v>0</v>
      </c>
      <c r="N195" s="46">
        <f>(($AU195*$AN195+$AO195)*(1+$AV195)*(1+$AW195)+($AZ195*IF($G$1="鸣金",$AP195,$AN195)+IF($G$1="鸣金",$AQ195*1.5,0))*(1+$BA195)*(1+$BB195)+($BD195*IF($G$1="裂石",$AP195,$AN195)+IF($G$1="裂石",$AQ195*1.5,0))*(1+$BE195)*(1+$BF195)+($BH195*IF($G$1="牵丝",$AP195,$AN195)+IF($G$1="牵丝",$AQ195*1.5,0))*(1+$BI195)*(1+$BJ195)+($BL195*IF($G$1="破竹",$AP195,$AN195)+IF($G$1="破竹",$AQ195*1.5,0))*(1+$BM195)*(1+$BN195))*(1+$AR195)*$BS195*$Q195*(1+IF(VLOOKUP($R195,武学奇术!$A:$ZZ,30,FALSE)="蓄力技",$B$21,0))*(1+IF(VLOOKUP($R195,武学奇术!$A:$ZZ,30,FALSE)="派生技",$B$20,0))*(1+$BW195)*(1+$BX195)</f>
        <v>0</v>
      </c>
      <c r="O195" s="46">
        <f>((($AT195+$AU195)/2*$AN195+$AO195)*(1+$AV195)*(1+$AW195)+(($AY195+$AZ195)/2*IF($G$1="鸣金",$AP195,$AN195)+IF($G$1="鸣金",$AQ195*1.5,0))*(1+$BA195)*(1+$BB195)+(($BC195+$BD195)/2*IF($G$1="裂石",$AP195,$AN195)+IF($G$1="裂石",$AQ195*1.5,0))*(1+$BE195)*(1+$BF195)+(($BG195+$BH195)/2*IF($G$1="牵丝",$AP195,$AN195)+IF($G$1="牵丝",$AQ195*1.5,0))*(1+$BI195)*(1+$BJ195)+(($BK195+$BL195)/2*IF($G$1="破竹",$AP195,$AN195)+IF($G$1="破竹",$AQ195*1.5,0))*(1+$BM195)*(1+$BN195))*(1+$AR195)*$Q195*(1+IF(VLOOKUP($R195,武学奇术!$A:$ZZ,30,FALSE)="蓄力技",$B$21,0))*(1+IF(VLOOKUP($R195,武学奇术!$A:$ZZ,30,FALSE)="派生技",$B$20,0))*(1+$BW195)*(1+$BX195)</f>
        <v>0</v>
      </c>
      <c r="P195" s="46">
        <f>((($AT195*$AN195+$AO195)*(1+$AV195)*(1+$AW195)+($AY195*IF($G$1="鸣金",$AP195,$AN195)+IF($G$1="鸣金",$AQ195*1.5,0))*(1+$BA195)*(1+$BB195)+($BC195*IF($G$1="裂石",$AP195,$AN195)+IF($G$1="裂石",$AQ195*1.5,0))*(1+$BE195)*(1+$BF195)+($BG195*IF($G$1="牵丝",$AP195,$AN195)+IF($G$1="牵丝",$AQ195*1.5,0))*(1+$BI195)*(1+$BJ195)+($BK195*IF($G$1="破竹",$AP195,$AN195)+IF($G$1="破竹",$AQ195*1.5,0))*(1+$BM195)*(1+$BN195))*(1+$AR195))*$Q195*(1+IF(VLOOKUP($R195,武学奇术!$A:$ZZ,30,FALSE)="蓄力技",$B$21,0))*(1+IF(VLOOKUP($R195,武学奇术!$A:$ZZ,30,FALSE)="派生技",$B$20,0))*(1+$BW195)*(1+$BX195)</f>
        <v>0</v>
      </c>
      <c r="Q195" s="47">
        <f t="shared" ref="Q195:Q198" si="107">IF($E$24="唐刀",1,0)</f>
        <v>0</v>
      </c>
      <c r="R195" s="48" t="s">
        <v>106</v>
      </c>
      <c r="S195" s="48" t="s">
        <v>99</v>
      </c>
      <c r="T195" s="48" t="s">
        <v>182</v>
      </c>
      <c r="U195" s="48" t="s">
        <v>80</v>
      </c>
      <c r="V195" s="48" t="s">
        <v>90</v>
      </c>
      <c r="W195" s="48" t="s">
        <v>91</v>
      </c>
      <c r="X195" s="48" t="s">
        <v>80</v>
      </c>
      <c r="Y195" s="48" t="s">
        <v>80</v>
      </c>
      <c r="Z195" s="48" t="s">
        <v>80</v>
      </c>
      <c r="AA195" s="48" t="s">
        <v>80</v>
      </c>
      <c r="AB195" s="48" t="s">
        <v>80</v>
      </c>
      <c r="AC195" s="48" t="s">
        <v>80</v>
      </c>
      <c r="AD195" s="48" t="s">
        <v>80</v>
      </c>
      <c r="AE195" s="48" t="s">
        <v>82</v>
      </c>
      <c r="AF195" s="48" t="s">
        <v>83</v>
      </c>
      <c r="AG195" s="48" t="s">
        <v>84</v>
      </c>
      <c r="AH195" s="48" t="s">
        <v>80</v>
      </c>
      <c r="AI195" s="48" t="s">
        <v>80</v>
      </c>
      <c r="AJ195" s="48" t="s">
        <v>80</v>
      </c>
      <c r="AK195" s="48" t="s">
        <v>80</v>
      </c>
      <c r="AL195" s="48" t="s">
        <v>85</v>
      </c>
      <c r="AM195" t="str">
        <f>VLOOKUP($R195,武学奇术!$A:$ZZ,25,FALSE)</f>
        <v>群体奇术</v>
      </c>
      <c r="AN195" s="33">
        <f>VLOOKUP($R195,武学奇术!$A:$ZZ,26,FALSE)</f>
        <v>2.3774</v>
      </c>
      <c r="AO195" s="34">
        <f>VLOOKUP($R195,武学奇术!$A:$ZZ,27,FALSE)*(1+IF(OR($AM195=$F$4,$AM195=$F$5),$B$22,0))</f>
        <v>476</v>
      </c>
      <c r="AP195" s="33">
        <f>VLOOKUP($R195,武学奇术!$A:$ZZ,28,FALSE)</f>
        <v>3.5661</v>
      </c>
      <c r="AQ195" s="34">
        <f>VLOOKUP($R195,武学奇术!$A:$ZZ,29,FALSE)*(1+IF(OR($AM195=$F$4,$AM195=$F$5),$B$22,0))</f>
        <v>0</v>
      </c>
      <c r="AR195" s="33" cm="1">
        <f t="array" ref="AR195">$G$3+IFERROR(VLOOKUP($AM195,$F$4:$G$7,2,FALSE),0)+VLOOKUP($R195,武学奇术!$A:$ZZ,2,FALSE)+SUM(_xlfn.XLOOKUP($S195:$AL195,增益!$A:$A,增益!$B:$B,0))</f>
        <v>0.4442</v>
      </c>
      <c r="AS195" s="33" cm="1">
        <f t="array" ref="AS195">VLOOKUP($R195,武学奇术!$A:$ZZ,5,FALSE)+SUM(_xlfn.XLOOKUP($S195:$AL195,增益!$A:$A,增益!$E:$E,0))</f>
        <v>0</v>
      </c>
      <c r="AT195" cm="1">
        <f t="array" ref="AT195">$D$10*(1+$AS195)+VLOOKUP($R195,武学奇术!$A:$ZZ,3,FALSE)+SUM(_xlfn.XLOOKUP($S195:$AL195,增益!$A:$A,增益!$C:$C,0))-$I$2</f>
        <v>4094.7</v>
      </c>
      <c r="AU195" cm="1">
        <f t="array" ref="AU195">$E$10*(1+$AS195)+VLOOKUP($R195,武学奇术!$A:$ZZ,4,FALSE)+SUM(_xlfn.XLOOKUP($S195:$AL195,增益!$A:$A,增益!$D:$D,0))-$I$2</f>
        <v>4094.7</v>
      </c>
      <c r="AV195" s="40" cm="1">
        <f t="array" ref="AV195">IF($F$10-$I$3+VLOOKUP($R195,武学奇术!$A:$ZZ,6,FALSE)+SUM(_xlfn.XLOOKUP($S195:$AL195,增益!$A:$A,增益!$F:$F,0))&gt;0,($F$10-$I$3+VLOOKUP($R195,武学奇术!$A:$ZZ,6,FALSE)+SUM(_xlfn.XLOOKUP($S195:$AL195,增益!$A:$A,增益!$F:$F,0)))/200,($F$10-$I$3+VLOOKUP($R195,武学奇术!$A:$ZZ,6,FALSE)+SUM(_xlfn.XLOOKUP($S195:$AL195,增益!$A:$A,增益!$F:$F,0)))/100)</f>
        <v>0.4134</v>
      </c>
      <c r="AW195" s="40" cm="1">
        <f t="array" ref="AW195">$G$10+VLOOKUP($R195,武学奇术!$A:$ZZ,7,FALSE)+SUM(_xlfn.XLOOKUP($S195:$AL195,增益!$A:$A,增益!$G:$G,0))</f>
        <v>0.02</v>
      </c>
      <c r="AX195" s="33" cm="1">
        <f t="array" ref="AX195">VLOOKUP($R195,武学奇术!$A:$ZZ,8,FALSE)+SUM(_xlfn.XLOOKUP($S195:$AL195,增益!$A:$A,增益!$H:$H,0))</f>
        <v>0</v>
      </c>
      <c r="AY195">
        <f t="shared" si="96"/>
        <v>0</v>
      </c>
      <c r="AZ195">
        <f t="shared" si="97"/>
        <v>0</v>
      </c>
      <c r="BA195" s="40" cm="1">
        <f t="array" ref="BA195">IF($F$11-$I$4+VLOOKUP($R195,武学奇术!$A:$ZZ,9,FALSE)+SUM(_xlfn.XLOOKUP($S195:$AL195,增益!$A:$A,增益!$I:$I,0))&gt;0,($F$11-$I$4+VLOOKUP($R195,武学奇术!$A:$ZZ,9,FALSE)+SUM(_xlfn.XLOOKUP($S195:$AL195,增益!$A:$A,增益!$I:$I,0)))/200,($F$11-$I$4+VLOOKUP($R195,武学奇术!$A:$ZZ,9,FALSE)+SUM(_xlfn.XLOOKUP($S195:$AL195,增益!$A:$A,增益!$I:$I,0)))/100)</f>
        <v>-0.14</v>
      </c>
      <c r="BB195" s="40" cm="1">
        <f t="array" ref="BB195">$G$11+VLOOKUP($R195,武学奇术!$A:$ZZ,10,FALSE)+SUM(_xlfn.XLOOKUP($S195:$AL195,增益!$A:$A,增益!$J:$J,0))</f>
        <v>0.02</v>
      </c>
      <c r="BC195">
        <f t="shared" si="98"/>
        <v>640.3</v>
      </c>
      <c r="BD195">
        <f t="shared" si="99"/>
        <v>1770.1</v>
      </c>
      <c r="BE195" s="40" cm="1">
        <f t="array" ref="BE195">IF($F$12-$I$4+VLOOKUP($R195,武学奇术!$A:$ZZ,11,FALSE)+SUM(_xlfn.XLOOKUP($S195:$AL195,增益!$A:$A,增益!$K:$K,0))&gt;0,($F$12-$I$4+VLOOKUP($R195,武学奇术!$A:$ZZ,11,FALSE)+SUM(_xlfn.XLOOKUP($S195:$AL195,增益!$A:$A,增益!$K:$K,0)))/200,($F$12-$I$4+VLOOKUP($R195,武学奇术!$A:$ZZ,11,FALSE)+SUM(_xlfn.XLOOKUP($S195:$AL195,增益!$A:$A,增益!$K:$K,0)))/100)</f>
        <v>0.17</v>
      </c>
      <c r="BF195" s="40" cm="1">
        <f t="array" ref="BF195">$G$12+VLOOKUP($R195,武学奇术!$A:$ZZ,12,FALSE)+SUM(_xlfn.XLOOKUP($S195:$AL195,增益!$A:$A,增益!$L:$L,0))</f>
        <v>0.17</v>
      </c>
      <c r="BG195">
        <f t="shared" si="100"/>
        <v>0</v>
      </c>
      <c r="BH195">
        <f t="shared" si="101"/>
        <v>0</v>
      </c>
      <c r="BI195" s="40" cm="1">
        <f t="array" ref="BI195">IF($F$13-$I$4+VLOOKUP($R195,武学奇术!$A:$ZZ,13,FALSE)+SUM(_xlfn.XLOOKUP($S195:$AL195,增益!$A:$A,增益!$M:$M,0))&gt;0,($F$13-$I$4+VLOOKUP($R195,武学奇术!$A:$ZZ,13,FALSE)+SUM(_xlfn.XLOOKUP($S195:$AL195,增益!$A:$A,增益!$K:$K,0)))/200,($F$13-$I$4+VLOOKUP($R195,武学奇术!$A:$ZZ,13,FALSE)+SUM(_xlfn.XLOOKUP($S195:$AL195,增益!$A:$A,增益!$M:$M,0)))/100)</f>
        <v>-0.14</v>
      </c>
      <c r="BJ195" s="40" cm="1">
        <f t="array" ref="BJ195">$G$13+VLOOKUP($R195,武学奇术!$A:$ZZ,14,FALSE)+SUM(_xlfn.XLOOKUP($S195:$AL195,增益!$A:$A,增益!$N:$N,0))</f>
        <v>0.02</v>
      </c>
      <c r="BK195">
        <f t="shared" si="102"/>
        <v>0</v>
      </c>
      <c r="BL195">
        <f t="shared" si="103"/>
        <v>0</v>
      </c>
      <c r="BM195" s="40" cm="1">
        <f t="array" ref="BM195">IF($F$14-$I$4+VLOOKUP($R195,武学奇术!$A:$ZZ,15,FALSE)+SUM(_xlfn.XLOOKUP($S195:$AL195,增益!$A:$A,增益!$O:$O,0))&gt;0,($F$14-$I$4+VLOOKUP($R195,武学奇术!$A:$ZZ,15,FALSE)+SUM(_xlfn.XLOOKUP($S195:$AL195,增益!$A:$A,增益!$O:$O,0)))/200,($F$14-$I$4+VLOOKUP($R195,武学奇术!$A:$ZZ,15,FALSE)+SUM(_xlfn.XLOOKUP($S195:$AL195,增益!$A:$A,增益!$O:$O,0)))/100)</f>
        <v>-0.14</v>
      </c>
      <c r="BN195" s="40" cm="1">
        <f t="array" ref="BN195">$G$14+VLOOKUP($R195,武学奇术!$A:$ZZ,16,FALSE)+SUM(_xlfn.XLOOKUP($S195:$AL195,增益!$A:$A,增益!$P:$P,0))</f>
        <v>0.02</v>
      </c>
      <c r="BO195" s="33">
        <f>MIN(IF(VLOOKUP($R195,武学奇术!$A:$ZZ,23,FALSE)=1,100%,$B$8),100%)</f>
        <v>0.9771</v>
      </c>
      <c r="BP195" s="33" cm="1">
        <f t="array" ref="BP195">IF(VLOOKUP($R195,武学奇术!$A:$ZZ,23,FALSE)=1,100%,MIN(80%,$B$9+VLOOKUP($R195,武学奇术!$A:$ZZ,17,FALSE)+SUM(_xlfn.XLOOKUP($S195:$AL195,增益!$A:$A,增益!$Q:$Q,0)))+$B$11+SUM(_xlfn.XLOOKUP($S195:$AL195,增益!$A:$A,增益!$U:$U,0)))*IF(VLOOKUP($R195,武学奇术!$A:$ZZ,24,FALSE)=1,0,1)</f>
        <v>0.8861</v>
      </c>
      <c r="BQ195" s="33" cm="1">
        <f t="array" ref="BQ195">1+$B$13+VLOOKUP($R195,武学奇术!$A:$ZZ,18,FALSE)+SUM(_xlfn.XLOOKUP($S195:$AL195,增益!$A:$A,增益!$R:$R,0))</f>
        <v>1.95</v>
      </c>
      <c r="BR195" s="33" cm="1">
        <f t="array" ref="BR195">IF(VLOOKUP($R195,武学奇术!$A:$ZZ,24,FALSE)=1,100%,MIN(40%,$B$10+VLOOKUP($R195,武学奇术!$A:$ZZ,19,FALSE)+SUM(_xlfn.XLOOKUP($S195:$AL195,增益!$A:$A,增益!$S:$S,0)))+$B$12+SUM(_xlfn.XLOOKUP($S195:$AL195,增益!$A:$A,增益!$V:$V,0)))*IF(VLOOKUP($R195,武学奇术!$A:$ZZ,23,FALSE)=1,0,1)</f>
        <v>0.0913</v>
      </c>
      <c r="BS195" s="33" cm="1">
        <f t="array" ref="BS195">1+$B$14+VLOOKUP($R195,武学奇术!$A:$ZZ,20,FALSE)+SUM(_xlfn.XLOOKUP($S195:$AL195,增益!$A:$A,增益!$T:$T,0))</f>
        <v>1.35</v>
      </c>
      <c r="BT195" s="33">
        <f t="shared" si="104"/>
        <v>0.86580831</v>
      </c>
      <c r="BU195" s="33">
        <f t="shared" si="105"/>
        <v>0.02208246</v>
      </c>
      <c r="BV195" s="33">
        <f>IF(VLOOKUP($R195,武学奇术!$A:$ZZ,22,FALSE)=1,0,(1-$BO195))*(1-$BR195)</f>
        <v>0.02080923</v>
      </c>
      <c r="BW195" s="33" cm="1">
        <f t="array" ref="BW195">SUM(_xlfn.XLOOKUP($S195:$AL195,增益!$A:$A,增益!$W:$W,0))+$I$5</f>
        <v>0.11</v>
      </c>
      <c r="BX195" s="33" cm="1">
        <f t="array" ref="BX195">VLOOKUP($R195,武学奇术!$A:$ZZ,32,FALSE)+SUM(_xlfn.XLOOKUP($S195:$AL195,增益!$A:$A,增益!$X:$X,0))</f>
        <v>0</v>
      </c>
    </row>
    <row r="196" spans="12:76">
      <c r="L196" s="46">
        <f t="shared" si="95"/>
        <v>0</v>
      </c>
      <c r="M196" s="46">
        <f>((($AT196+$AU196)/2*$AN196+$AO196)*(1+$AV196)*(1+$AW196)+(($AY196+$AZ196)/2*IF($G$1="鸣金",$AP196,$AN196)+IF($G$1="鸣金",$AQ196*1.5,0))*(1+$BA196)*(1+$BB196)+(($BC196+$BD196)/2*IF($G$1="裂石",$AP196,$AN196)+IF($G$1="裂石",$AQ196*1.5,0))*(1+$BE196)*(1+$BF196)+(($BG196+$BH196)/2*IF($G$1="牵丝",$AP196,$AN196)+IF($G$1="牵丝",$AQ196*1.5,0))*(1+$BI196)*(1+$BJ196)+(($BK196+$BL196)/2*IF($G$1="破竹",$AP196,$AN196)+IF($G$1="破竹",$AQ196*1.5,0))*(1+$BM196)*(1+$BN196))*(1+$AR196)*$BQ196*$Q196*(1+IF(VLOOKUP($R196,武学奇术!$A:$ZZ,30,FALSE)="蓄力技",$B$21,0))*(1+IF(VLOOKUP($R196,武学奇术!$A:$ZZ,30,FALSE)="派生技",$B$20,0))*(1+$BW196)*(1+$BX196)</f>
        <v>0</v>
      </c>
      <c r="N196" s="46">
        <f>(($AU196*$AN196+$AO196)*(1+$AV196)*(1+$AW196)+($AZ196*IF($G$1="鸣金",$AP196,$AN196)+IF($G$1="鸣金",$AQ196*1.5,0))*(1+$BA196)*(1+$BB196)+($BD196*IF($G$1="裂石",$AP196,$AN196)+IF($G$1="裂石",$AQ196*1.5,0))*(1+$BE196)*(1+$BF196)+($BH196*IF($G$1="牵丝",$AP196,$AN196)+IF($G$1="牵丝",$AQ196*1.5,0))*(1+$BI196)*(1+$BJ196)+($BL196*IF($G$1="破竹",$AP196,$AN196)+IF($G$1="破竹",$AQ196*1.5,0))*(1+$BM196)*(1+$BN196))*(1+$AR196)*$BS196*$Q196*(1+IF(VLOOKUP($R196,武学奇术!$A:$ZZ,30,FALSE)="蓄力技",$B$21,0))*(1+IF(VLOOKUP($R196,武学奇术!$A:$ZZ,30,FALSE)="派生技",$B$20,0))*(1+$BW196)*(1+$BX196)</f>
        <v>0</v>
      </c>
      <c r="O196" s="46">
        <f>((($AT196+$AU196)/2*$AN196+$AO196)*(1+$AV196)*(1+$AW196)+(($AY196+$AZ196)/2*IF($G$1="鸣金",$AP196,$AN196)+IF($G$1="鸣金",$AQ196*1.5,0))*(1+$BA196)*(1+$BB196)+(($BC196+$BD196)/2*IF($G$1="裂石",$AP196,$AN196)+IF($G$1="裂石",$AQ196*1.5,0))*(1+$BE196)*(1+$BF196)+(($BG196+$BH196)/2*IF($G$1="牵丝",$AP196,$AN196)+IF($G$1="牵丝",$AQ196*1.5,0))*(1+$BI196)*(1+$BJ196)+(($BK196+$BL196)/2*IF($G$1="破竹",$AP196,$AN196)+IF($G$1="破竹",$AQ196*1.5,0))*(1+$BM196)*(1+$BN196))*(1+$AR196)*$Q196*(1+IF(VLOOKUP($R196,武学奇术!$A:$ZZ,30,FALSE)="蓄力技",$B$21,0))*(1+IF(VLOOKUP($R196,武学奇术!$A:$ZZ,30,FALSE)="派生技",$B$20,0))*(1+$BW196)*(1+$BX196)</f>
        <v>0</v>
      </c>
      <c r="P196" s="46">
        <f>((($AT196*$AN196+$AO196)*(1+$AV196)*(1+$AW196)+($AY196*IF($G$1="鸣金",$AP196,$AN196)+IF($G$1="鸣金",$AQ196*1.5,0))*(1+$BA196)*(1+$BB196)+($BC196*IF($G$1="裂石",$AP196,$AN196)+IF($G$1="裂石",$AQ196*1.5,0))*(1+$BE196)*(1+$BF196)+($BG196*IF($G$1="牵丝",$AP196,$AN196)+IF($G$1="牵丝",$AQ196*1.5,0))*(1+$BI196)*(1+$BJ196)+($BK196*IF($G$1="破竹",$AP196,$AN196)+IF($G$1="破竹",$AQ196*1.5,0))*(1+$BM196)*(1+$BN196))*(1+$AR196))*$Q196*(1+IF(VLOOKUP($R196,武学奇术!$A:$ZZ,30,FALSE)="蓄力技",$B$21,0))*(1+IF(VLOOKUP($R196,武学奇术!$A:$ZZ,30,FALSE)="派生技",$B$20,0))*(1+$BW196)*(1+$BX196)</f>
        <v>0</v>
      </c>
      <c r="Q196" s="47">
        <f>IF($E$24="唐刀",3,0)</f>
        <v>0</v>
      </c>
      <c r="R196" s="48" t="s">
        <v>106</v>
      </c>
      <c r="S196" s="48" t="s">
        <v>99</v>
      </c>
      <c r="T196" s="48" t="s">
        <v>182</v>
      </c>
      <c r="U196" s="48" t="s">
        <v>80</v>
      </c>
      <c r="V196" s="48" t="s">
        <v>80</v>
      </c>
      <c r="W196" s="48" t="s">
        <v>91</v>
      </c>
      <c r="X196" s="48" t="s">
        <v>80</v>
      </c>
      <c r="Y196" s="48" t="s">
        <v>80</v>
      </c>
      <c r="Z196" s="48" t="s">
        <v>80</v>
      </c>
      <c r="AA196" s="48" t="s">
        <v>80</v>
      </c>
      <c r="AB196" s="48" t="s">
        <v>80</v>
      </c>
      <c r="AC196" s="48" t="s">
        <v>80</v>
      </c>
      <c r="AD196" s="48" t="s">
        <v>80</v>
      </c>
      <c r="AE196" s="48" t="s">
        <v>82</v>
      </c>
      <c r="AF196" s="48" t="s">
        <v>83</v>
      </c>
      <c r="AG196" s="48" t="s">
        <v>84</v>
      </c>
      <c r="AH196" s="48" t="s">
        <v>80</v>
      </c>
      <c r="AI196" s="48" t="s">
        <v>80</v>
      </c>
      <c r="AJ196" s="48" t="s">
        <v>80</v>
      </c>
      <c r="AK196" s="48" t="s">
        <v>80</v>
      </c>
      <c r="AL196" s="48" t="s">
        <v>85</v>
      </c>
      <c r="AM196" t="str">
        <f>VLOOKUP($R196,武学奇术!$A:$ZZ,25,FALSE)</f>
        <v>群体奇术</v>
      </c>
      <c r="AN196" s="33">
        <f>VLOOKUP($R196,武学奇术!$A:$ZZ,26,FALSE)</f>
        <v>2.3774</v>
      </c>
      <c r="AO196" s="34">
        <f>VLOOKUP($R196,武学奇术!$A:$ZZ,27,FALSE)*(1+IF(OR($AM196=$F$4,$AM196=$F$5),$B$22,0))</f>
        <v>476</v>
      </c>
      <c r="AP196" s="33">
        <f>VLOOKUP($R196,武学奇术!$A:$ZZ,28,FALSE)</f>
        <v>3.5661</v>
      </c>
      <c r="AQ196" s="34">
        <f>VLOOKUP($R196,武学奇术!$A:$ZZ,29,FALSE)*(1+IF(OR($AM196=$F$4,$AM196=$F$5),$B$22,0))</f>
        <v>0</v>
      </c>
      <c r="AR196" s="33" cm="1">
        <f t="array" ref="AR196">$G$3+IFERROR(VLOOKUP($AM196,$F$4:$G$7,2,FALSE),0)+VLOOKUP($R196,武学奇术!$A:$ZZ,2,FALSE)+SUM(_xlfn.XLOOKUP($S196:$AL196,增益!$A:$A,增益!$B:$B,0))</f>
        <v>0.3642</v>
      </c>
      <c r="AS196" s="33" cm="1">
        <f t="array" ref="AS196">VLOOKUP($R196,武学奇术!$A:$ZZ,5,FALSE)+SUM(_xlfn.XLOOKUP($S196:$AL196,增益!$A:$A,增益!$E:$E,0))</f>
        <v>0</v>
      </c>
      <c r="AT196" cm="1">
        <f t="array" ref="AT196">$D$10*(1+$AS196)+VLOOKUP($R196,武学奇术!$A:$ZZ,3,FALSE)+SUM(_xlfn.XLOOKUP($S196:$AL196,增益!$A:$A,增益!$C:$C,0))-$I$2</f>
        <v>4094.7</v>
      </c>
      <c r="AU196" cm="1">
        <f t="array" ref="AU196">$E$10*(1+$AS196)+VLOOKUP($R196,武学奇术!$A:$ZZ,4,FALSE)+SUM(_xlfn.XLOOKUP($S196:$AL196,增益!$A:$A,增益!$D:$D,0))-$I$2</f>
        <v>4094.7</v>
      </c>
      <c r="AV196" s="40" cm="1">
        <f t="array" ref="AV196">IF($F$10-$I$3+VLOOKUP($R196,武学奇术!$A:$ZZ,6,FALSE)+SUM(_xlfn.XLOOKUP($S196:$AL196,增益!$A:$A,增益!$F:$F,0))&gt;0,($F$10-$I$3+VLOOKUP($R196,武学奇术!$A:$ZZ,6,FALSE)+SUM(_xlfn.XLOOKUP($S196:$AL196,增益!$A:$A,增益!$F:$F,0)))/200,($F$10-$I$3+VLOOKUP($R196,武学奇术!$A:$ZZ,6,FALSE)+SUM(_xlfn.XLOOKUP($S196:$AL196,增益!$A:$A,增益!$F:$F,0)))/100)</f>
        <v>0.4134</v>
      </c>
      <c r="AW196" s="40" cm="1">
        <f t="array" ref="AW196">$G$10+VLOOKUP($R196,武学奇术!$A:$ZZ,7,FALSE)+SUM(_xlfn.XLOOKUP($S196:$AL196,增益!$A:$A,增益!$G:$G,0))</f>
        <v>0.02</v>
      </c>
      <c r="AX196" s="33" cm="1">
        <f t="array" ref="AX196">VLOOKUP($R196,武学奇术!$A:$ZZ,8,FALSE)+SUM(_xlfn.XLOOKUP($S196:$AL196,增益!$A:$A,增益!$H:$H,0))</f>
        <v>0</v>
      </c>
      <c r="AY196">
        <f t="shared" si="96"/>
        <v>0</v>
      </c>
      <c r="AZ196">
        <f t="shared" si="97"/>
        <v>0</v>
      </c>
      <c r="BA196" s="40" cm="1">
        <f t="array" ref="BA196">IF($F$11-$I$4+VLOOKUP($R196,武学奇术!$A:$ZZ,9,FALSE)+SUM(_xlfn.XLOOKUP($S196:$AL196,增益!$A:$A,增益!$I:$I,0))&gt;0,($F$11-$I$4+VLOOKUP($R196,武学奇术!$A:$ZZ,9,FALSE)+SUM(_xlfn.XLOOKUP($S196:$AL196,增益!$A:$A,增益!$I:$I,0)))/200,($F$11-$I$4+VLOOKUP($R196,武学奇术!$A:$ZZ,9,FALSE)+SUM(_xlfn.XLOOKUP($S196:$AL196,增益!$A:$A,增益!$I:$I,0)))/100)</f>
        <v>-0.3</v>
      </c>
      <c r="BB196" s="40" cm="1">
        <f t="array" ref="BB196">$G$11+VLOOKUP($R196,武学奇术!$A:$ZZ,10,FALSE)+SUM(_xlfn.XLOOKUP($S196:$AL196,增益!$A:$A,增益!$J:$J,0))</f>
        <v>0.02</v>
      </c>
      <c r="BC196">
        <f t="shared" si="98"/>
        <v>640.3</v>
      </c>
      <c r="BD196">
        <f t="shared" si="99"/>
        <v>1770.1</v>
      </c>
      <c r="BE196" s="40" cm="1">
        <f t="array" ref="BE196">IF($F$12-$I$4+VLOOKUP($R196,武学奇术!$A:$ZZ,11,FALSE)+SUM(_xlfn.XLOOKUP($S196:$AL196,增益!$A:$A,增益!$K:$K,0))&gt;0,($F$12-$I$4+VLOOKUP($R196,武学奇术!$A:$ZZ,11,FALSE)+SUM(_xlfn.XLOOKUP($S196:$AL196,增益!$A:$A,增益!$K:$K,0)))/200,($F$12-$I$4+VLOOKUP($R196,武学奇术!$A:$ZZ,11,FALSE)+SUM(_xlfn.XLOOKUP($S196:$AL196,增益!$A:$A,增益!$K:$K,0)))/100)</f>
        <v>0.09</v>
      </c>
      <c r="BF196" s="40" cm="1">
        <f t="array" ref="BF196">$G$12+VLOOKUP($R196,武学奇术!$A:$ZZ,12,FALSE)+SUM(_xlfn.XLOOKUP($S196:$AL196,增益!$A:$A,增益!$L:$L,0))</f>
        <v>0.17</v>
      </c>
      <c r="BG196">
        <f t="shared" si="100"/>
        <v>0</v>
      </c>
      <c r="BH196">
        <f t="shared" si="101"/>
        <v>0</v>
      </c>
      <c r="BI196" s="40" cm="1">
        <f t="array" ref="BI196">IF($F$13-$I$4+VLOOKUP($R196,武学奇术!$A:$ZZ,13,FALSE)+SUM(_xlfn.XLOOKUP($S196:$AL196,增益!$A:$A,增益!$M:$M,0))&gt;0,($F$13-$I$4+VLOOKUP($R196,武学奇术!$A:$ZZ,13,FALSE)+SUM(_xlfn.XLOOKUP($S196:$AL196,增益!$A:$A,增益!$K:$K,0)))/200,($F$13-$I$4+VLOOKUP($R196,武学奇术!$A:$ZZ,13,FALSE)+SUM(_xlfn.XLOOKUP($S196:$AL196,增益!$A:$A,增益!$M:$M,0)))/100)</f>
        <v>-0.3</v>
      </c>
      <c r="BJ196" s="40" cm="1">
        <f t="array" ref="BJ196">$G$13+VLOOKUP($R196,武学奇术!$A:$ZZ,14,FALSE)+SUM(_xlfn.XLOOKUP($S196:$AL196,增益!$A:$A,增益!$N:$N,0))</f>
        <v>0.02</v>
      </c>
      <c r="BK196">
        <f t="shared" si="102"/>
        <v>0</v>
      </c>
      <c r="BL196">
        <f t="shared" si="103"/>
        <v>0</v>
      </c>
      <c r="BM196" s="40" cm="1">
        <f t="array" ref="BM196">IF($F$14-$I$4+VLOOKUP($R196,武学奇术!$A:$ZZ,15,FALSE)+SUM(_xlfn.XLOOKUP($S196:$AL196,增益!$A:$A,增益!$O:$O,0))&gt;0,($F$14-$I$4+VLOOKUP($R196,武学奇术!$A:$ZZ,15,FALSE)+SUM(_xlfn.XLOOKUP($S196:$AL196,增益!$A:$A,增益!$O:$O,0)))/200,($F$14-$I$4+VLOOKUP($R196,武学奇术!$A:$ZZ,15,FALSE)+SUM(_xlfn.XLOOKUP($S196:$AL196,增益!$A:$A,增益!$O:$O,0)))/100)</f>
        <v>-0.3</v>
      </c>
      <c r="BN196" s="40" cm="1">
        <f t="array" ref="BN196">$G$14+VLOOKUP($R196,武学奇术!$A:$ZZ,16,FALSE)+SUM(_xlfn.XLOOKUP($S196:$AL196,增益!$A:$A,增益!$P:$P,0))</f>
        <v>0.02</v>
      </c>
      <c r="BO196" s="33">
        <f>MIN(IF(VLOOKUP($R196,武学奇术!$A:$ZZ,23,FALSE)=1,100%,$B$8),100%)</f>
        <v>0.9771</v>
      </c>
      <c r="BP196" s="33" cm="1">
        <f t="array" ref="BP196">IF(VLOOKUP($R196,武学奇术!$A:$ZZ,23,FALSE)=1,100%,MIN(80%,$B$9+VLOOKUP($R196,武学奇术!$A:$ZZ,17,FALSE)+SUM(_xlfn.XLOOKUP($S196:$AL196,增益!$A:$A,增益!$Q:$Q,0)))+$B$11+SUM(_xlfn.XLOOKUP($S196:$AL196,增益!$A:$A,增益!$U:$U,0)))*IF(VLOOKUP($R196,武学奇术!$A:$ZZ,24,FALSE)=1,0,1)</f>
        <v>0.8861</v>
      </c>
      <c r="BQ196" s="33" cm="1">
        <f t="array" ref="BQ196">1+$B$13+VLOOKUP($R196,武学奇术!$A:$ZZ,18,FALSE)+SUM(_xlfn.XLOOKUP($S196:$AL196,增益!$A:$A,增益!$R:$R,0))</f>
        <v>1.95</v>
      </c>
      <c r="BR196" s="33" cm="1">
        <f t="array" ref="BR196">IF(VLOOKUP($R196,武学奇术!$A:$ZZ,24,FALSE)=1,100%,MIN(40%,$B$10+VLOOKUP($R196,武学奇术!$A:$ZZ,19,FALSE)+SUM(_xlfn.XLOOKUP($S196:$AL196,增益!$A:$A,增益!$S:$S,0)))+$B$12+SUM(_xlfn.XLOOKUP($S196:$AL196,增益!$A:$A,增益!$V:$V,0)))*IF(VLOOKUP($R196,武学奇术!$A:$ZZ,23,FALSE)=1,0,1)</f>
        <v>0.0913</v>
      </c>
      <c r="BS196" s="33" cm="1">
        <f t="array" ref="BS196">1+$B$14+VLOOKUP($R196,武学奇术!$A:$ZZ,20,FALSE)+SUM(_xlfn.XLOOKUP($S196:$AL196,增益!$A:$A,增益!$T:$T,0))</f>
        <v>1.35</v>
      </c>
      <c r="BT196" s="33">
        <f t="shared" si="104"/>
        <v>0.86580831</v>
      </c>
      <c r="BU196" s="33">
        <f t="shared" si="105"/>
        <v>0.02208246</v>
      </c>
      <c r="BV196" s="33">
        <f>IF(VLOOKUP($R196,武学奇术!$A:$ZZ,22,FALSE)=1,0,(1-$BO196))*(1-$BR196)</f>
        <v>0.02080923</v>
      </c>
      <c r="BW196" s="33" cm="1">
        <f t="array" ref="BW196">SUM(_xlfn.XLOOKUP($S196:$AL196,增益!$A:$A,增益!$W:$W,0))+$I$5</f>
        <v>0.11</v>
      </c>
      <c r="BX196" s="33" cm="1">
        <f t="array" ref="BX196">VLOOKUP($R196,武学奇术!$A:$ZZ,32,FALSE)+SUM(_xlfn.XLOOKUP($S196:$AL196,增益!$A:$A,增益!$X:$X,0))</f>
        <v>0</v>
      </c>
    </row>
    <row r="197" spans="12:76">
      <c r="L197" s="46">
        <f t="shared" si="95"/>
        <v>0</v>
      </c>
      <c r="M197" s="46">
        <f>((($AT197+$AU197)/2*$AN197+$AO197)*(1+$AV197)*(1+$AW197)+(($AY197+$AZ197)/2*IF($G$1="鸣金",$AP197,$AN197)+IF($G$1="鸣金",$AQ197*1.5,0))*(1+$BA197)*(1+$BB197)+(($BC197+$BD197)/2*IF($G$1="裂石",$AP197,$AN197)+IF($G$1="裂石",$AQ197*1.5,0))*(1+$BE197)*(1+$BF197)+(($BG197+$BH197)/2*IF($G$1="牵丝",$AP197,$AN197)+IF($G$1="牵丝",$AQ197*1.5,0))*(1+$BI197)*(1+$BJ197)+(($BK197+$BL197)/2*IF($G$1="破竹",$AP197,$AN197)+IF($G$1="破竹",$AQ197*1.5,0))*(1+$BM197)*(1+$BN197))*(1+$AR197)*$BQ197*$Q197*(1+IF(VLOOKUP($R197,武学奇术!$A:$ZZ,30,FALSE)="蓄力技",$B$21,0))*(1+IF(VLOOKUP($R197,武学奇术!$A:$ZZ,30,FALSE)="派生技",$B$20,0))*(1+$BW197)*(1+$BX197)</f>
        <v>0</v>
      </c>
      <c r="N197" s="46">
        <f>(($AU197*$AN197+$AO197)*(1+$AV197)*(1+$AW197)+($AZ197*IF($G$1="鸣金",$AP197,$AN197)+IF($G$1="鸣金",$AQ197*1.5,0))*(1+$BA197)*(1+$BB197)+($BD197*IF($G$1="裂石",$AP197,$AN197)+IF($G$1="裂石",$AQ197*1.5,0))*(1+$BE197)*(1+$BF197)+($BH197*IF($G$1="牵丝",$AP197,$AN197)+IF($G$1="牵丝",$AQ197*1.5,0))*(1+$BI197)*(1+$BJ197)+($BL197*IF($G$1="破竹",$AP197,$AN197)+IF($G$1="破竹",$AQ197*1.5,0))*(1+$BM197)*(1+$BN197))*(1+$AR197)*$BS197*$Q197*(1+IF(VLOOKUP($R197,武学奇术!$A:$ZZ,30,FALSE)="蓄力技",$B$21,0))*(1+IF(VLOOKUP($R197,武学奇术!$A:$ZZ,30,FALSE)="派生技",$B$20,0))*(1+$BW197)*(1+$BX197)</f>
        <v>0</v>
      </c>
      <c r="O197" s="46">
        <f>((($AT197+$AU197)/2*$AN197+$AO197)*(1+$AV197)*(1+$AW197)+(($AY197+$AZ197)/2*IF($G$1="鸣金",$AP197,$AN197)+IF($G$1="鸣金",$AQ197*1.5,0))*(1+$BA197)*(1+$BB197)+(($BC197+$BD197)/2*IF($G$1="裂石",$AP197,$AN197)+IF($G$1="裂石",$AQ197*1.5,0))*(1+$BE197)*(1+$BF197)+(($BG197+$BH197)/2*IF($G$1="牵丝",$AP197,$AN197)+IF($G$1="牵丝",$AQ197*1.5,0))*(1+$BI197)*(1+$BJ197)+(($BK197+$BL197)/2*IF($G$1="破竹",$AP197,$AN197)+IF($G$1="破竹",$AQ197*1.5,0))*(1+$BM197)*(1+$BN197))*(1+$AR197)*$Q197*(1+IF(VLOOKUP($R197,武学奇术!$A:$ZZ,30,FALSE)="蓄力技",$B$21,0))*(1+IF(VLOOKUP($R197,武学奇术!$A:$ZZ,30,FALSE)="派生技",$B$20,0))*(1+$BW197)*(1+$BX197)</f>
        <v>0</v>
      </c>
      <c r="P197" s="46">
        <f>((($AT197*$AN197+$AO197)*(1+$AV197)*(1+$AW197)+($AY197*IF($G$1="鸣金",$AP197,$AN197)+IF($G$1="鸣金",$AQ197*1.5,0))*(1+$BA197)*(1+$BB197)+($BC197*IF($G$1="裂石",$AP197,$AN197)+IF($G$1="裂石",$AQ197*1.5,0))*(1+$BE197)*(1+$BF197)+($BG197*IF($G$1="牵丝",$AP197,$AN197)+IF($G$1="牵丝",$AQ197*1.5,0))*(1+$BI197)*(1+$BJ197)+($BK197*IF($G$1="破竹",$AP197,$AN197)+IF($G$1="破竹",$AQ197*1.5,0))*(1+$BM197)*(1+$BN197))*(1+$AR197))*$Q197*(1+IF(VLOOKUP($R197,武学奇术!$A:$ZZ,30,FALSE)="蓄力技",$B$21,0))*(1+IF(VLOOKUP($R197,武学奇术!$A:$ZZ,30,FALSE)="派生技",$B$20,0))*(1+$BW197)*(1+$BX197)</f>
        <v>0</v>
      </c>
      <c r="Q197" s="47">
        <f t="shared" si="107"/>
        <v>0</v>
      </c>
      <c r="R197" s="48" t="s">
        <v>106</v>
      </c>
      <c r="S197" s="48" t="s">
        <v>99</v>
      </c>
      <c r="T197" s="48" t="s">
        <v>182</v>
      </c>
      <c r="U197" s="48" t="s">
        <v>79</v>
      </c>
      <c r="V197" s="48" t="s">
        <v>80</v>
      </c>
      <c r="W197" s="48" t="s">
        <v>91</v>
      </c>
      <c r="X197" s="48" t="s">
        <v>80</v>
      </c>
      <c r="Y197" s="48" t="s">
        <v>80</v>
      </c>
      <c r="Z197" s="48" t="s">
        <v>80</v>
      </c>
      <c r="AA197" s="48" t="s">
        <v>80</v>
      </c>
      <c r="AB197" s="48" t="s">
        <v>80</v>
      </c>
      <c r="AC197" s="48" t="s">
        <v>80</v>
      </c>
      <c r="AD197" s="48" t="s">
        <v>80</v>
      </c>
      <c r="AE197" s="48" t="s">
        <v>82</v>
      </c>
      <c r="AF197" s="48" t="s">
        <v>83</v>
      </c>
      <c r="AG197" s="48" t="s">
        <v>84</v>
      </c>
      <c r="AH197" s="48" t="s">
        <v>80</v>
      </c>
      <c r="AI197" s="48" t="s">
        <v>80</v>
      </c>
      <c r="AJ197" s="48" t="s">
        <v>80</v>
      </c>
      <c r="AK197" s="48" t="s">
        <v>80</v>
      </c>
      <c r="AL197" s="48" t="s">
        <v>85</v>
      </c>
      <c r="AM197" t="str">
        <f>VLOOKUP($R197,武学奇术!$A:$ZZ,25,FALSE)</f>
        <v>群体奇术</v>
      </c>
      <c r="AN197" s="33">
        <f>VLOOKUP($R197,武学奇术!$A:$ZZ,26,FALSE)</f>
        <v>2.3774</v>
      </c>
      <c r="AO197" s="34">
        <f>VLOOKUP($R197,武学奇术!$A:$ZZ,27,FALSE)*(1+IF(OR($AM197=$F$4,$AM197=$F$5),$B$22,0))</f>
        <v>476</v>
      </c>
      <c r="AP197" s="33">
        <f>VLOOKUP($R197,武学奇术!$A:$ZZ,28,FALSE)</f>
        <v>3.5661</v>
      </c>
      <c r="AQ197" s="34">
        <f>VLOOKUP($R197,武学奇术!$A:$ZZ,29,FALSE)*(1+IF(OR($AM197=$F$4,$AM197=$F$5),$B$22,0))</f>
        <v>0</v>
      </c>
      <c r="AR197" s="33" cm="1">
        <f t="array" ref="AR197">$G$3+IFERROR(VLOOKUP($AM197,$F$4:$G$7,2,FALSE),0)+VLOOKUP($R197,武学奇术!$A:$ZZ,2,FALSE)+SUM(_xlfn.XLOOKUP($S197:$AL197,增益!$A:$A,增益!$B:$B,0))</f>
        <v>0.3642</v>
      </c>
      <c r="AS197" s="33" cm="1">
        <f t="array" ref="AS197">VLOOKUP($R197,武学奇术!$A:$ZZ,5,FALSE)+SUM(_xlfn.XLOOKUP($S197:$AL197,增益!$A:$A,增益!$E:$E,0))</f>
        <v>0</v>
      </c>
      <c r="AT197" cm="1">
        <f t="array" ref="AT197">$D$10*(1+$AS197)+VLOOKUP($R197,武学奇术!$A:$ZZ,3,FALSE)+SUM(_xlfn.XLOOKUP($S197:$AL197,增益!$A:$A,增益!$C:$C,0))-$I$2</f>
        <v>4094.7</v>
      </c>
      <c r="AU197" cm="1">
        <f t="array" ref="AU197">$E$10*(1+$AS197)+VLOOKUP($R197,武学奇术!$A:$ZZ,4,FALSE)+SUM(_xlfn.XLOOKUP($S197:$AL197,增益!$A:$A,增益!$D:$D,0))-$I$2</f>
        <v>4094.7</v>
      </c>
      <c r="AV197" s="40" cm="1">
        <f t="array" ref="AV197">IF($F$10-$I$3+VLOOKUP($R197,武学奇术!$A:$ZZ,6,FALSE)+SUM(_xlfn.XLOOKUP($S197:$AL197,增益!$A:$A,增益!$F:$F,0))&gt;0,($F$10-$I$3+VLOOKUP($R197,武学奇术!$A:$ZZ,6,FALSE)+SUM(_xlfn.XLOOKUP($S197:$AL197,增益!$A:$A,增益!$F:$F,0)))/200,($F$10-$I$3+VLOOKUP($R197,武学奇术!$A:$ZZ,6,FALSE)+SUM(_xlfn.XLOOKUP($S197:$AL197,增益!$A:$A,增益!$F:$F,0)))/100)</f>
        <v>0.4134</v>
      </c>
      <c r="AW197" s="40" cm="1">
        <f t="array" ref="AW197">$G$10+VLOOKUP($R197,武学奇术!$A:$ZZ,7,FALSE)+SUM(_xlfn.XLOOKUP($S197:$AL197,增益!$A:$A,增益!$G:$G,0))</f>
        <v>0.14</v>
      </c>
      <c r="AX197" s="33" cm="1">
        <f t="array" ref="AX197">VLOOKUP($R197,武学奇术!$A:$ZZ,8,FALSE)+SUM(_xlfn.XLOOKUP($S197:$AL197,增益!$A:$A,增益!$H:$H,0))</f>
        <v>0</v>
      </c>
      <c r="AY197">
        <f t="shared" si="96"/>
        <v>0</v>
      </c>
      <c r="AZ197">
        <f t="shared" si="97"/>
        <v>0</v>
      </c>
      <c r="BA197" s="40" cm="1">
        <f t="array" ref="BA197">IF($F$11-$I$4+VLOOKUP($R197,武学奇术!$A:$ZZ,9,FALSE)+SUM(_xlfn.XLOOKUP($S197:$AL197,增益!$A:$A,增益!$I:$I,0))&gt;0,($F$11-$I$4+VLOOKUP($R197,武学奇术!$A:$ZZ,9,FALSE)+SUM(_xlfn.XLOOKUP($S197:$AL197,增益!$A:$A,增益!$I:$I,0)))/200,($F$11-$I$4+VLOOKUP($R197,武学奇术!$A:$ZZ,9,FALSE)+SUM(_xlfn.XLOOKUP($S197:$AL197,增益!$A:$A,增益!$I:$I,0)))/100)</f>
        <v>-0.3</v>
      </c>
      <c r="BB197" s="40" cm="1">
        <f t="array" ref="BB197">$G$11+VLOOKUP($R197,武学奇术!$A:$ZZ,10,FALSE)+SUM(_xlfn.XLOOKUP($S197:$AL197,增益!$A:$A,增益!$J:$J,0))</f>
        <v>0.02</v>
      </c>
      <c r="BC197">
        <f t="shared" si="98"/>
        <v>640.3</v>
      </c>
      <c r="BD197">
        <f t="shared" si="99"/>
        <v>1770.1</v>
      </c>
      <c r="BE197" s="40" cm="1">
        <f t="array" ref="BE197">IF($F$12-$I$4+VLOOKUP($R197,武学奇术!$A:$ZZ,11,FALSE)+SUM(_xlfn.XLOOKUP($S197:$AL197,增益!$A:$A,增益!$K:$K,0))&gt;0,($F$12-$I$4+VLOOKUP($R197,武学奇术!$A:$ZZ,11,FALSE)+SUM(_xlfn.XLOOKUP($S197:$AL197,增益!$A:$A,增益!$K:$K,0)))/200,($F$12-$I$4+VLOOKUP($R197,武学奇术!$A:$ZZ,11,FALSE)+SUM(_xlfn.XLOOKUP($S197:$AL197,增益!$A:$A,增益!$K:$K,0)))/100)</f>
        <v>0.09</v>
      </c>
      <c r="BF197" s="40" cm="1">
        <f t="array" ref="BF197">$G$12+VLOOKUP($R197,武学奇术!$A:$ZZ,12,FALSE)+SUM(_xlfn.XLOOKUP($S197:$AL197,增益!$A:$A,增益!$L:$L,0))</f>
        <v>0.29</v>
      </c>
      <c r="BG197">
        <f t="shared" si="100"/>
        <v>0</v>
      </c>
      <c r="BH197">
        <f t="shared" si="101"/>
        <v>0</v>
      </c>
      <c r="BI197" s="40" cm="1">
        <f t="array" ref="BI197">IF($F$13-$I$4+VLOOKUP($R197,武学奇术!$A:$ZZ,13,FALSE)+SUM(_xlfn.XLOOKUP($S197:$AL197,增益!$A:$A,增益!$M:$M,0))&gt;0,($F$13-$I$4+VLOOKUP($R197,武学奇术!$A:$ZZ,13,FALSE)+SUM(_xlfn.XLOOKUP($S197:$AL197,增益!$A:$A,增益!$K:$K,0)))/200,($F$13-$I$4+VLOOKUP($R197,武学奇术!$A:$ZZ,13,FALSE)+SUM(_xlfn.XLOOKUP($S197:$AL197,增益!$A:$A,增益!$M:$M,0)))/100)</f>
        <v>-0.3</v>
      </c>
      <c r="BJ197" s="40" cm="1">
        <f t="array" ref="BJ197">$G$13+VLOOKUP($R197,武学奇术!$A:$ZZ,14,FALSE)+SUM(_xlfn.XLOOKUP($S197:$AL197,增益!$A:$A,增益!$N:$N,0))</f>
        <v>0.02</v>
      </c>
      <c r="BK197">
        <f t="shared" si="102"/>
        <v>0</v>
      </c>
      <c r="BL197">
        <f t="shared" si="103"/>
        <v>0</v>
      </c>
      <c r="BM197" s="40" cm="1">
        <f t="array" ref="BM197">IF($F$14-$I$4+VLOOKUP($R197,武学奇术!$A:$ZZ,15,FALSE)+SUM(_xlfn.XLOOKUP($S197:$AL197,增益!$A:$A,增益!$O:$O,0))&gt;0,($F$14-$I$4+VLOOKUP($R197,武学奇术!$A:$ZZ,15,FALSE)+SUM(_xlfn.XLOOKUP($S197:$AL197,增益!$A:$A,增益!$O:$O,0)))/200,($F$14-$I$4+VLOOKUP($R197,武学奇术!$A:$ZZ,15,FALSE)+SUM(_xlfn.XLOOKUP($S197:$AL197,增益!$A:$A,增益!$O:$O,0)))/100)</f>
        <v>-0.3</v>
      </c>
      <c r="BN197" s="40" cm="1">
        <f t="array" ref="BN197">$G$14+VLOOKUP($R197,武学奇术!$A:$ZZ,16,FALSE)+SUM(_xlfn.XLOOKUP($S197:$AL197,增益!$A:$A,增益!$P:$P,0))</f>
        <v>0.02</v>
      </c>
      <c r="BO197" s="33">
        <f>MIN(IF(VLOOKUP($R197,武学奇术!$A:$ZZ,23,FALSE)=1,100%,$B$8),100%)</f>
        <v>0.9771</v>
      </c>
      <c r="BP197" s="33" cm="1">
        <f t="array" ref="BP197">IF(VLOOKUP($R197,武学奇术!$A:$ZZ,23,FALSE)=1,100%,MIN(80%,$B$9+VLOOKUP($R197,武学奇术!$A:$ZZ,17,FALSE)+SUM(_xlfn.XLOOKUP($S197:$AL197,增益!$A:$A,增益!$Q:$Q,0)))+$B$11+SUM(_xlfn.XLOOKUP($S197:$AL197,增益!$A:$A,增益!$U:$U,0)))*IF(VLOOKUP($R197,武学奇术!$A:$ZZ,24,FALSE)=1,0,1)</f>
        <v>0.8861</v>
      </c>
      <c r="BQ197" s="33" cm="1">
        <f t="array" ref="BQ197">1+$B$13+VLOOKUP($R197,武学奇术!$A:$ZZ,18,FALSE)+SUM(_xlfn.XLOOKUP($S197:$AL197,增益!$A:$A,增益!$R:$R,0))</f>
        <v>1.95</v>
      </c>
      <c r="BR197" s="33" cm="1">
        <f t="array" ref="BR197">IF(VLOOKUP($R197,武学奇术!$A:$ZZ,24,FALSE)=1,100%,MIN(40%,$B$10+VLOOKUP($R197,武学奇术!$A:$ZZ,19,FALSE)+SUM(_xlfn.XLOOKUP($S197:$AL197,增益!$A:$A,增益!$S:$S,0)))+$B$12+SUM(_xlfn.XLOOKUP($S197:$AL197,增益!$A:$A,增益!$V:$V,0)))*IF(VLOOKUP($R197,武学奇术!$A:$ZZ,23,FALSE)=1,0,1)</f>
        <v>0.0913</v>
      </c>
      <c r="BS197" s="33" cm="1">
        <f t="array" ref="BS197">1+$B$14+VLOOKUP($R197,武学奇术!$A:$ZZ,20,FALSE)+SUM(_xlfn.XLOOKUP($S197:$AL197,增益!$A:$A,增益!$T:$T,0))</f>
        <v>1.35</v>
      </c>
      <c r="BT197" s="33">
        <f t="shared" si="104"/>
        <v>0.86580831</v>
      </c>
      <c r="BU197" s="33">
        <f t="shared" si="105"/>
        <v>0.02208246</v>
      </c>
      <c r="BV197" s="33">
        <f>IF(VLOOKUP($R197,武学奇术!$A:$ZZ,22,FALSE)=1,0,(1-$BO197))*(1-$BR197)</f>
        <v>0.02080923</v>
      </c>
      <c r="BW197" s="33" cm="1">
        <f t="array" ref="BW197">SUM(_xlfn.XLOOKUP($S197:$AL197,增益!$A:$A,增益!$W:$W,0))+$I$5</f>
        <v>0.11</v>
      </c>
      <c r="BX197" s="33" cm="1">
        <f t="array" ref="BX197">VLOOKUP($R197,武学奇术!$A:$ZZ,32,FALSE)+SUM(_xlfn.XLOOKUP($S197:$AL197,增益!$A:$A,增益!$X:$X,0))</f>
        <v>0</v>
      </c>
    </row>
    <row r="198" spans="12:76">
      <c r="L198" s="46">
        <f t="shared" si="95"/>
        <v>0</v>
      </c>
      <c r="M198" s="46">
        <f>((($AT198+$AU198)/2*$AN198+$AO198)*(1+$AV198)*(1+$AW198)+(($AY198+$AZ198)/2*IF($G$1="鸣金",$AP198,$AN198)+IF($G$1="鸣金",$AQ198*1.5,0))*(1+$BA198)*(1+$BB198)+(($BC198+$BD198)/2*IF($G$1="裂石",$AP198,$AN198)+IF($G$1="裂石",$AQ198*1.5,0))*(1+$BE198)*(1+$BF198)+(($BG198+$BH198)/2*IF($G$1="牵丝",$AP198,$AN198)+IF($G$1="牵丝",$AQ198*1.5,0))*(1+$BI198)*(1+$BJ198)+(($BK198+$BL198)/2*IF($G$1="破竹",$AP198,$AN198)+IF($G$1="破竹",$AQ198*1.5,0))*(1+$BM198)*(1+$BN198))*(1+$AR198)*$BQ198*$Q198*(1+IF(VLOOKUP($R198,武学奇术!$A:$ZZ,30,FALSE)="蓄力技",$B$21,0))*(1+IF(VLOOKUP($R198,武学奇术!$A:$ZZ,30,FALSE)="派生技",$B$20,0))*(1+$BW198)*(1+$BX198)</f>
        <v>0</v>
      </c>
      <c r="N198" s="46">
        <f>(($AU198*$AN198+$AO198)*(1+$AV198)*(1+$AW198)+($AZ198*IF($G$1="鸣金",$AP198,$AN198)+IF($G$1="鸣金",$AQ198*1.5,0))*(1+$BA198)*(1+$BB198)+($BD198*IF($G$1="裂石",$AP198,$AN198)+IF($G$1="裂石",$AQ198*1.5,0))*(1+$BE198)*(1+$BF198)+($BH198*IF($G$1="牵丝",$AP198,$AN198)+IF($G$1="牵丝",$AQ198*1.5,0))*(1+$BI198)*(1+$BJ198)+($BL198*IF($G$1="破竹",$AP198,$AN198)+IF($G$1="破竹",$AQ198*1.5,0))*(1+$BM198)*(1+$BN198))*(1+$AR198)*$BS198*$Q198*(1+IF(VLOOKUP($R198,武学奇术!$A:$ZZ,30,FALSE)="蓄力技",$B$21,0))*(1+IF(VLOOKUP($R198,武学奇术!$A:$ZZ,30,FALSE)="派生技",$B$20,0))*(1+$BW198)*(1+$BX198)</f>
        <v>0</v>
      </c>
      <c r="O198" s="46">
        <f>((($AT198+$AU198)/2*$AN198+$AO198)*(1+$AV198)*(1+$AW198)+(($AY198+$AZ198)/2*IF($G$1="鸣金",$AP198,$AN198)+IF($G$1="鸣金",$AQ198*1.5,0))*(1+$BA198)*(1+$BB198)+(($BC198+$BD198)/2*IF($G$1="裂石",$AP198,$AN198)+IF($G$1="裂石",$AQ198*1.5,0))*(1+$BE198)*(1+$BF198)+(($BG198+$BH198)/2*IF($G$1="牵丝",$AP198,$AN198)+IF($G$1="牵丝",$AQ198*1.5,0))*(1+$BI198)*(1+$BJ198)+(($BK198+$BL198)/2*IF($G$1="破竹",$AP198,$AN198)+IF($G$1="破竹",$AQ198*1.5,0))*(1+$BM198)*(1+$BN198))*(1+$AR198)*$Q198*(1+IF(VLOOKUP($R198,武学奇术!$A:$ZZ,30,FALSE)="蓄力技",$B$21,0))*(1+IF(VLOOKUP($R198,武学奇术!$A:$ZZ,30,FALSE)="派生技",$B$20,0))*(1+$BW198)*(1+$BX198)</f>
        <v>0</v>
      </c>
      <c r="P198" s="46">
        <f>((($AT198*$AN198+$AO198)*(1+$AV198)*(1+$AW198)+($AY198*IF($G$1="鸣金",$AP198,$AN198)+IF($G$1="鸣金",$AQ198*1.5,0))*(1+$BA198)*(1+$BB198)+($BC198*IF($G$1="裂石",$AP198,$AN198)+IF($G$1="裂石",$AQ198*1.5,0))*(1+$BE198)*(1+$BF198)+($BG198*IF($G$1="牵丝",$AP198,$AN198)+IF($G$1="牵丝",$AQ198*1.5,0))*(1+$BI198)*(1+$BJ198)+($BK198*IF($G$1="破竹",$AP198,$AN198)+IF($G$1="破竹",$AQ198*1.5,0))*(1+$BM198)*(1+$BN198))*(1+$AR198))*$Q198*(1+IF(VLOOKUP($R198,武学奇术!$A:$ZZ,30,FALSE)="蓄力技",$B$21,0))*(1+IF(VLOOKUP($R198,武学奇术!$A:$ZZ,30,FALSE)="派生技",$B$20,0))*(1+$BW198)*(1+$BX198)</f>
        <v>0</v>
      </c>
      <c r="Q198" s="47">
        <f>IF($E$24="唐刀",0.45,0)</f>
        <v>0</v>
      </c>
      <c r="R198" s="48" t="s">
        <v>165</v>
      </c>
      <c r="S198" s="48" t="s">
        <v>99</v>
      </c>
      <c r="T198" s="48" t="s">
        <v>182</v>
      </c>
      <c r="U198" s="48" t="s">
        <v>79</v>
      </c>
      <c r="V198" s="48" t="s">
        <v>90</v>
      </c>
      <c r="W198" s="48" t="s">
        <v>91</v>
      </c>
      <c r="X198" s="48" t="s">
        <v>80</v>
      </c>
      <c r="Y198" s="48" t="s">
        <v>80</v>
      </c>
      <c r="Z198" s="48" t="s">
        <v>80</v>
      </c>
      <c r="AA198" s="48" t="s">
        <v>80</v>
      </c>
      <c r="AB198" s="48" t="s">
        <v>80</v>
      </c>
      <c r="AC198" s="48" t="s">
        <v>80</v>
      </c>
      <c r="AD198" s="48" t="s">
        <v>80</v>
      </c>
      <c r="AE198" s="48" t="s">
        <v>82</v>
      </c>
      <c r="AF198" s="48" t="s">
        <v>83</v>
      </c>
      <c r="AG198" s="48" t="s">
        <v>84</v>
      </c>
      <c r="AH198" s="48" t="s">
        <v>80</v>
      </c>
      <c r="AI198" s="48" t="s">
        <v>80</v>
      </c>
      <c r="AJ198" s="48" t="s">
        <v>80</v>
      </c>
      <c r="AK198" s="48" t="s">
        <v>80</v>
      </c>
      <c r="AL198" s="48" t="s">
        <v>85</v>
      </c>
      <c r="AM198" t="str">
        <f>VLOOKUP($R198,武学奇术!$A:$ZZ,25,FALSE)</f>
        <v>单体奇术</v>
      </c>
      <c r="AN198" s="33">
        <f>VLOOKUP($R198,武学奇术!$A:$ZZ,26,FALSE)</f>
        <v>7.1094</v>
      </c>
      <c r="AO198" s="34">
        <f>VLOOKUP($R198,武学奇术!$A:$ZZ,27,FALSE)*(1+IF(OR($AM198=$F$4,$AM198=$F$5),$B$22,0))</f>
        <v>1420</v>
      </c>
      <c r="AP198" s="33">
        <f>VLOOKUP($R198,武学奇术!$A:$ZZ,28,FALSE)</f>
        <v>10.6641</v>
      </c>
      <c r="AQ198" s="34">
        <f>VLOOKUP($R198,武学奇术!$A:$ZZ,29,FALSE)*(1+IF(OR($AM198=$F$4,$AM198=$F$5),$B$22,0))</f>
        <v>0</v>
      </c>
      <c r="AR198" s="33" cm="1">
        <f t="array" ref="AR198">$G$3+IFERROR(VLOOKUP($AM198,$F$4:$G$7,2,FALSE),0)+VLOOKUP($R198,武学奇术!$A:$ZZ,2,FALSE)+SUM(_xlfn.XLOOKUP($S198:$AL198,增益!$A:$A,增益!$B:$B,0))</f>
        <v>0.4442</v>
      </c>
      <c r="AS198" s="33" cm="1">
        <f t="array" ref="AS198">VLOOKUP($R198,武学奇术!$A:$ZZ,5,FALSE)+SUM(_xlfn.XLOOKUP($S198:$AL198,增益!$A:$A,增益!$E:$E,0))</f>
        <v>0</v>
      </c>
      <c r="AT198" cm="1">
        <f t="array" ref="AT198">$D$10*(1+$AS198)+VLOOKUP($R198,武学奇术!$A:$ZZ,3,FALSE)+SUM(_xlfn.XLOOKUP($S198:$AL198,增益!$A:$A,增益!$C:$C,0))-$I$2</f>
        <v>4094.7</v>
      </c>
      <c r="AU198" cm="1">
        <f t="array" ref="AU198">$E$10*(1+$AS198)+VLOOKUP($R198,武学奇术!$A:$ZZ,4,FALSE)+SUM(_xlfn.XLOOKUP($S198:$AL198,增益!$A:$A,增益!$D:$D,0))-$I$2</f>
        <v>4094.7</v>
      </c>
      <c r="AV198" s="40" cm="1">
        <f t="array" ref="AV198">IF($F$10-$I$3+VLOOKUP($R198,武学奇术!$A:$ZZ,6,FALSE)+SUM(_xlfn.XLOOKUP($S198:$AL198,增益!$A:$A,增益!$F:$F,0))&gt;0,($F$10-$I$3+VLOOKUP($R198,武学奇术!$A:$ZZ,6,FALSE)+SUM(_xlfn.XLOOKUP($S198:$AL198,增益!$A:$A,增益!$F:$F,0)))/200,($F$10-$I$3+VLOOKUP($R198,武学奇术!$A:$ZZ,6,FALSE)+SUM(_xlfn.XLOOKUP($S198:$AL198,增益!$A:$A,增益!$F:$F,0)))/100)</f>
        <v>0.4134</v>
      </c>
      <c r="AW198" s="40" cm="1">
        <f t="array" ref="AW198">$G$10+VLOOKUP($R198,武学奇术!$A:$ZZ,7,FALSE)+SUM(_xlfn.XLOOKUP($S198:$AL198,增益!$A:$A,增益!$G:$G,0))</f>
        <v>0.14</v>
      </c>
      <c r="AX198" s="33" cm="1">
        <f t="array" ref="AX198">VLOOKUP($R198,武学奇术!$A:$ZZ,8,FALSE)+SUM(_xlfn.XLOOKUP($S198:$AL198,增益!$A:$A,增益!$H:$H,0))</f>
        <v>0</v>
      </c>
      <c r="AY198">
        <f t="shared" si="96"/>
        <v>0</v>
      </c>
      <c r="AZ198">
        <f t="shared" si="97"/>
        <v>0</v>
      </c>
      <c r="BA198" s="40" cm="1">
        <f t="array" ref="BA198">IF($F$11-$I$4+VLOOKUP($R198,武学奇术!$A:$ZZ,9,FALSE)+SUM(_xlfn.XLOOKUP($S198:$AL198,增益!$A:$A,增益!$I:$I,0))&gt;0,($F$11-$I$4+VLOOKUP($R198,武学奇术!$A:$ZZ,9,FALSE)+SUM(_xlfn.XLOOKUP($S198:$AL198,增益!$A:$A,增益!$I:$I,0)))/200,($F$11-$I$4+VLOOKUP($R198,武学奇术!$A:$ZZ,9,FALSE)+SUM(_xlfn.XLOOKUP($S198:$AL198,增益!$A:$A,增益!$I:$I,0)))/100)</f>
        <v>-0.14</v>
      </c>
      <c r="BB198" s="40" cm="1">
        <f t="array" ref="BB198">$G$11+VLOOKUP($R198,武学奇术!$A:$ZZ,10,FALSE)+SUM(_xlfn.XLOOKUP($S198:$AL198,增益!$A:$A,增益!$J:$J,0))</f>
        <v>0.02</v>
      </c>
      <c r="BC198">
        <f t="shared" si="98"/>
        <v>640.3</v>
      </c>
      <c r="BD198">
        <f t="shared" si="99"/>
        <v>1770.1</v>
      </c>
      <c r="BE198" s="40" cm="1">
        <f t="array" ref="BE198">IF($F$12-$I$4+VLOOKUP($R198,武学奇术!$A:$ZZ,11,FALSE)+SUM(_xlfn.XLOOKUP($S198:$AL198,增益!$A:$A,增益!$K:$K,0))&gt;0,($F$12-$I$4+VLOOKUP($R198,武学奇术!$A:$ZZ,11,FALSE)+SUM(_xlfn.XLOOKUP($S198:$AL198,增益!$A:$A,增益!$K:$K,0)))/200,($F$12-$I$4+VLOOKUP($R198,武学奇术!$A:$ZZ,11,FALSE)+SUM(_xlfn.XLOOKUP($S198:$AL198,增益!$A:$A,增益!$K:$K,0)))/100)</f>
        <v>0.17</v>
      </c>
      <c r="BF198" s="40" cm="1">
        <f t="array" ref="BF198">$G$12+VLOOKUP($R198,武学奇术!$A:$ZZ,12,FALSE)+SUM(_xlfn.XLOOKUP($S198:$AL198,增益!$A:$A,增益!$L:$L,0))</f>
        <v>0.29</v>
      </c>
      <c r="BG198">
        <f t="shared" si="100"/>
        <v>0</v>
      </c>
      <c r="BH198">
        <f t="shared" si="101"/>
        <v>0</v>
      </c>
      <c r="BI198" s="40" cm="1">
        <f t="array" ref="BI198">IF($F$13-$I$4+VLOOKUP($R198,武学奇术!$A:$ZZ,13,FALSE)+SUM(_xlfn.XLOOKUP($S198:$AL198,增益!$A:$A,增益!$M:$M,0))&gt;0,($F$13-$I$4+VLOOKUP($R198,武学奇术!$A:$ZZ,13,FALSE)+SUM(_xlfn.XLOOKUP($S198:$AL198,增益!$A:$A,增益!$K:$K,0)))/200,($F$13-$I$4+VLOOKUP($R198,武学奇术!$A:$ZZ,13,FALSE)+SUM(_xlfn.XLOOKUP($S198:$AL198,增益!$A:$A,增益!$M:$M,0)))/100)</f>
        <v>-0.14</v>
      </c>
      <c r="BJ198" s="40" cm="1">
        <f t="array" ref="BJ198">$G$13+VLOOKUP($R198,武学奇术!$A:$ZZ,14,FALSE)+SUM(_xlfn.XLOOKUP($S198:$AL198,增益!$A:$A,增益!$N:$N,0))</f>
        <v>0.02</v>
      </c>
      <c r="BK198">
        <f t="shared" si="102"/>
        <v>0</v>
      </c>
      <c r="BL198">
        <f t="shared" si="103"/>
        <v>0</v>
      </c>
      <c r="BM198" s="40" cm="1">
        <f t="array" ref="BM198">IF($F$14-$I$4+VLOOKUP($R198,武学奇术!$A:$ZZ,15,FALSE)+SUM(_xlfn.XLOOKUP($S198:$AL198,增益!$A:$A,增益!$O:$O,0))&gt;0,($F$14-$I$4+VLOOKUP($R198,武学奇术!$A:$ZZ,15,FALSE)+SUM(_xlfn.XLOOKUP($S198:$AL198,增益!$A:$A,增益!$O:$O,0)))/200,($F$14-$I$4+VLOOKUP($R198,武学奇术!$A:$ZZ,15,FALSE)+SUM(_xlfn.XLOOKUP($S198:$AL198,增益!$A:$A,增益!$O:$O,0)))/100)</f>
        <v>-0.14</v>
      </c>
      <c r="BN198" s="40" cm="1">
        <f t="array" ref="BN198">$G$14+VLOOKUP($R198,武学奇术!$A:$ZZ,16,FALSE)+SUM(_xlfn.XLOOKUP($S198:$AL198,增益!$A:$A,增益!$P:$P,0))</f>
        <v>0.02</v>
      </c>
      <c r="BO198" s="33">
        <f>MIN(IF(VLOOKUP($R198,武学奇术!$A:$ZZ,23,FALSE)=1,100%,$B$8),100%)</f>
        <v>0.9771</v>
      </c>
      <c r="BP198" s="33" cm="1">
        <f t="array" ref="BP198">IF(VLOOKUP($R198,武学奇术!$A:$ZZ,23,FALSE)=1,100%,MIN(80%,$B$9+VLOOKUP($R198,武学奇术!$A:$ZZ,17,FALSE)+SUM(_xlfn.XLOOKUP($S198:$AL198,增益!$A:$A,增益!$Q:$Q,0)))+$B$11+SUM(_xlfn.XLOOKUP($S198:$AL198,增益!$A:$A,增益!$U:$U,0)))*IF(VLOOKUP($R198,武学奇术!$A:$ZZ,24,FALSE)=1,0,1)</f>
        <v>0.8861</v>
      </c>
      <c r="BQ198" s="33" cm="1">
        <f t="array" ref="BQ198">1+$B$13+VLOOKUP($R198,武学奇术!$A:$ZZ,18,FALSE)+SUM(_xlfn.XLOOKUP($S198:$AL198,增益!$A:$A,增益!$R:$R,0))</f>
        <v>1.95</v>
      </c>
      <c r="BR198" s="33" cm="1">
        <f t="array" ref="BR198">IF(VLOOKUP($R198,武学奇术!$A:$ZZ,24,FALSE)=1,100%,MIN(40%,$B$10+VLOOKUP($R198,武学奇术!$A:$ZZ,19,FALSE)+SUM(_xlfn.XLOOKUP($S198:$AL198,增益!$A:$A,增益!$S:$S,0)))+$B$12+SUM(_xlfn.XLOOKUP($S198:$AL198,增益!$A:$A,增益!$V:$V,0)))*IF(VLOOKUP($R198,武学奇术!$A:$ZZ,23,FALSE)=1,0,1)</f>
        <v>0.0913</v>
      </c>
      <c r="BS198" s="33" cm="1">
        <f t="array" ref="BS198">1+$B$14+VLOOKUP($R198,武学奇术!$A:$ZZ,20,FALSE)+SUM(_xlfn.XLOOKUP($S198:$AL198,增益!$A:$A,增益!$T:$T,0))</f>
        <v>1.35</v>
      </c>
      <c r="BT198" s="33">
        <f t="shared" si="104"/>
        <v>0.86580831</v>
      </c>
      <c r="BU198" s="33">
        <f t="shared" si="105"/>
        <v>0.02208246</v>
      </c>
      <c r="BV198" s="33">
        <f>IF(VLOOKUP($R198,武学奇术!$A:$ZZ,22,FALSE)=1,0,(1-$BO198))*(1-$BR198)</f>
        <v>0.02080923</v>
      </c>
      <c r="BW198" s="33" cm="1">
        <f t="array" ref="BW198">SUM(_xlfn.XLOOKUP($S198:$AL198,增益!$A:$A,增益!$W:$W,0))+$I$5</f>
        <v>0.11</v>
      </c>
      <c r="BX198" s="33" cm="1">
        <f t="array" ref="BX198">VLOOKUP($R198,武学奇术!$A:$ZZ,32,FALSE)+SUM(_xlfn.XLOOKUP($S198:$AL198,增益!$A:$A,增益!$X:$X,0))</f>
        <v>0</v>
      </c>
    </row>
    <row r="199" spans="12:76">
      <c r="L199" s="46">
        <f t="shared" ref="L199:L210" si="108">($M199*$BT199+$N199*$BR199+$O199*$BU199+$P199*$BV199)</f>
        <v>0</v>
      </c>
      <c r="M199" s="46">
        <f>((($AT199+$AU199)/2*$AN199+$AO199)*(1+$AV199)*(1+$AW199)+(($AY199+$AZ199)/2*IF($G$1="鸣金",$AP199,$AN199)+IF($G$1="鸣金",$AQ199*1.5,0))*(1+$BA199)*(1+$BB199)+(($BC199+$BD199)/2*IF($G$1="裂石",$AP199,$AN199)+IF($G$1="裂石",$AQ199*1.5,0))*(1+$BE199)*(1+$BF199)+(($BG199+$BH199)/2*IF($G$1="牵丝",$AP199,$AN199)+IF($G$1="牵丝",$AQ199*1.5,0))*(1+$BI199)*(1+$BJ199)+(($BK199+$BL199)/2*IF($G$1="破竹",$AP199,$AN199)+IF($G$1="破竹",$AQ199*1.5,0))*(1+$BM199)*(1+$BN199))*(1+$AR199)*$BQ199*$Q199*(1+IF(VLOOKUP($R199,武学奇术!$A:$ZZ,30,FALSE)="蓄力技",$B$21,0))*(1+IF(VLOOKUP($R199,武学奇术!$A:$ZZ,30,FALSE)="派生技",$B$20,0))*(1+$BW199)*(1+$BX199)</f>
        <v>0</v>
      </c>
      <c r="N199" s="46">
        <f>(($AU199*$AN199+$AO199)*(1+$AV199)*(1+$AW199)+($AZ199*IF($G$1="鸣金",$AP199,$AN199)+IF($G$1="鸣金",$AQ199*1.5,0))*(1+$BA199)*(1+$BB199)+($BD199*IF($G$1="裂石",$AP199,$AN199)+IF($G$1="裂石",$AQ199*1.5,0))*(1+$BE199)*(1+$BF199)+($BH199*IF($G$1="牵丝",$AP199,$AN199)+IF($G$1="牵丝",$AQ199*1.5,0))*(1+$BI199)*(1+$BJ199)+($BL199*IF($G$1="破竹",$AP199,$AN199)+IF($G$1="破竹",$AQ199*1.5,0))*(1+$BM199)*(1+$BN199))*(1+$AR199)*$BS199*$Q199*(1+IF(VLOOKUP($R199,武学奇术!$A:$ZZ,30,FALSE)="蓄力技",$B$21,0))*(1+IF(VLOOKUP($R199,武学奇术!$A:$ZZ,30,FALSE)="派生技",$B$20,0))*(1+$BW199)*(1+$BX199)</f>
        <v>0</v>
      </c>
      <c r="O199" s="46">
        <f>((($AT199+$AU199)/2*$AN199+$AO199)*(1+$AV199)*(1+$AW199)+(($AY199+$AZ199)/2*IF($G$1="鸣金",$AP199,$AN199)+IF($G$1="鸣金",$AQ199*1.5,0))*(1+$BA199)*(1+$BB199)+(($BC199+$BD199)/2*IF($G$1="裂石",$AP199,$AN199)+IF($G$1="裂石",$AQ199*1.5,0))*(1+$BE199)*(1+$BF199)+(($BG199+$BH199)/2*IF($G$1="牵丝",$AP199,$AN199)+IF($G$1="牵丝",$AQ199*1.5,0))*(1+$BI199)*(1+$BJ199)+(($BK199+$BL199)/2*IF($G$1="破竹",$AP199,$AN199)+IF($G$1="破竹",$AQ199*1.5,0))*(1+$BM199)*(1+$BN199))*(1+$AR199)*$Q199*(1+IF(VLOOKUP($R199,武学奇术!$A:$ZZ,30,FALSE)="蓄力技",$B$21,0))*(1+IF(VLOOKUP($R199,武学奇术!$A:$ZZ,30,FALSE)="派生技",$B$20,0))*(1+$BW199)*(1+$BX199)</f>
        <v>0</v>
      </c>
      <c r="P199" s="46">
        <f>((($AT199*$AN199+$AO199)*(1+$AV199)*(1+$AW199)+($AY199*IF($G$1="鸣金",$AP199,$AN199)+IF($G$1="鸣金",$AQ199*1.5,0))*(1+$BA199)*(1+$BB199)+($BC199*IF($G$1="裂石",$AP199,$AN199)+IF($G$1="裂石",$AQ199*1.5,0))*(1+$BE199)*(1+$BF199)+($BG199*IF($G$1="牵丝",$AP199,$AN199)+IF($G$1="牵丝",$AQ199*1.5,0))*(1+$BI199)*(1+$BJ199)+($BK199*IF($G$1="破竹",$AP199,$AN199)+IF($G$1="破竹",$AQ199*1.5,0))*(1+$BM199)*(1+$BN199))*(1+$AR199))*$Q199*(1+IF(VLOOKUP($R199,武学奇术!$A:$ZZ,30,FALSE)="蓄力技",$B$21,0))*(1+IF(VLOOKUP($R199,武学奇术!$A:$ZZ,30,FALSE)="派生技",$B$20,0))*(1+$BW199)*(1+$BX199)</f>
        <v>0</v>
      </c>
      <c r="Q199" s="47">
        <f t="shared" ref="Q199:Q210" si="109">IF($E$24="唐刀",1,0)</f>
        <v>0</v>
      </c>
      <c r="R199" s="48" t="s">
        <v>199</v>
      </c>
      <c r="S199" s="48" t="s">
        <v>99</v>
      </c>
      <c r="T199" s="48" t="s">
        <v>182</v>
      </c>
      <c r="U199" s="48" t="s">
        <v>79</v>
      </c>
      <c r="V199" s="48" t="s">
        <v>90</v>
      </c>
      <c r="W199" s="48" t="s">
        <v>141</v>
      </c>
      <c r="X199" s="48" t="s">
        <v>80</v>
      </c>
      <c r="Y199" s="48" t="s">
        <v>74</v>
      </c>
      <c r="Z199" s="48" t="s">
        <v>80</v>
      </c>
      <c r="AA199" s="48" t="s">
        <v>80</v>
      </c>
      <c r="AB199" s="48" t="s">
        <v>80</v>
      </c>
      <c r="AC199" s="48" t="s">
        <v>80</v>
      </c>
      <c r="AD199" s="48" t="s">
        <v>80</v>
      </c>
      <c r="AE199" s="48" t="s">
        <v>82</v>
      </c>
      <c r="AF199" s="48" t="s">
        <v>83</v>
      </c>
      <c r="AG199" s="48" t="s">
        <v>84</v>
      </c>
      <c r="AH199" s="48" t="s">
        <v>80</v>
      </c>
      <c r="AI199" s="48" t="s">
        <v>80</v>
      </c>
      <c r="AJ199" s="48" t="s">
        <v>80</v>
      </c>
      <c r="AK199" s="48" t="s">
        <v>80</v>
      </c>
      <c r="AL199" s="48" t="s">
        <v>85</v>
      </c>
      <c r="AM199" t="str">
        <f>VLOOKUP($R199,武学奇术!$A:$ZZ,25,FALSE)</f>
        <v>横刀</v>
      </c>
      <c r="AN199" s="33">
        <f>VLOOKUP($R199,武学奇术!$A:$ZZ,26,FALSE)</f>
        <v>2.8245</v>
      </c>
      <c r="AO199" s="34">
        <f>VLOOKUP($R199,武学奇术!$A:$ZZ,27,FALSE)*(1+IF(OR($AM199=$F$4,$AM199=$F$5),$B$22,0))</f>
        <v>1251.2</v>
      </c>
      <c r="AP199" s="33">
        <f>VLOOKUP($R199,武学奇术!$A:$ZZ,28,FALSE)</f>
        <v>4.236808</v>
      </c>
      <c r="AQ199" s="34">
        <f>VLOOKUP($R199,武学奇术!$A:$ZZ,29,FALSE)*(1+IF(OR($AM199=$F$4,$AM199=$F$5),$B$22,0))</f>
        <v>680</v>
      </c>
      <c r="AR199" s="33" cm="1">
        <f t="array" ref="AR199">$G$3+IFERROR(VLOOKUP($AM199,$F$4:$G$7,2,FALSE),0)+VLOOKUP($R199,武学奇术!$A:$ZZ,2,FALSE)+SUM(_xlfn.XLOOKUP($S199:$AL199,增益!$A:$A,增益!$B:$B,0))</f>
        <v>0.7089</v>
      </c>
      <c r="AS199" s="33" cm="1">
        <f t="array" ref="AS199">VLOOKUP($R199,武学奇术!$A:$ZZ,5,FALSE)+SUM(_xlfn.XLOOKUP($S199:$AL199,增益!$A:$A,增益!$E:$E,0))</f>
        <v>0</v>
      </c>
      <c r="AT199" cm="1">
        <f t="array" ref="AT199">$D$10*(1+$AS199)+VLOOKUP($R199,武学奇术!$A:$ZZ,3,FALSE)+SUM(_xlfn.XLOOKUP($S199:$AL199,增益!$A:$A,增益!$C:$C,0))-$I$2</f>
        <v>4094.7</v>
      </c>
      <c r="AU199" cm="1">
        <f t="array" ref="AU199">$E$10*(1+$AS199)+VLOOKUP($R199,武学奇术!$A:$ZZ,4,FALSE)+SUM(_xlfn.XLOOKUP($S199:$AL199,增益!$A:$A,增益!$D:$D,0))-$I$2</f>
        <v>4094.7</v>
      </c>
      <c r="AV199" s="40" cm="1">
        <f t="array" ref="AV199">IF($F$10-$I$3+VLOOKUP($R199,武学奇术!$A:$ZZ,6,FALSE)+SUM(_xlfn.XLOOKUP($S199:$AL199,增益!$A:$A,增益!$F:$F,0))&gt;0,($F$10-$I$3+VLOOKUP($R199,武学奇术!$A:$ZZ,6,FALSE)+SUM(_xlfn.XLOOKUP($S199:$AL199,增益!$A:$A,增益!$F:$F,0)))/200,($F$10-$I$3+VLOOKUP($R199,武学奇术!$A:$ZZ,6,FALSE)+SUM(_xlfn.XLOOKUP($S199:$AL199,增益!$A:$A,增益!$F:$F,0)))/100)</f>
        <v>0.4384</v>
      </c>
      <c r="AW199" s="40" cm="1">
        <f t="array" ref="AW199">$G$10+VLOOKUP($R199,武学奇术!$A:$ZZ,7,FALSE)+SUM(_xlfn.XLOOKUP($S199:$AL199,增益!$A:$A,增益!$G:$G,0))</f>
        <v>0.14</v>
      </c>
      <c r="AX199" s="33" cm="1">
        <f t="array" ref="AX199">VLOOKUP($R199,武学奇术!$A:$ZZ,8,FALSE)+SUM(_xlfn.XLOOKUP($S199:$AL199,增益!$A:$A,增益!$H:$H,0))</f>
        <v>0</v>
      </c>
      <c r="AY199">
        <f t="shared" ref="AY199:AY210" si="110">$D$11*(1+$AX199)</f>
        <v>0</v>
      </c>
      <c r="AZ199">
        <f t="shared" ref="AZ199:AZ210" si="111">$E$11*(1+$AX199)</f>
        <v>0</v>
      </c>
      <c r="BA199" s="40" cm="1">
        <f t="array" ref="BA199">IF($F$11-$I$4+VLOOKUP($R199,武学奇术!$A:$ZZ,9,FALSE)+SUM(_xlfn.XLOOKUP($S199:$AL199,增益!$A:$A,增益!$I:$I,0))&gt;0,($F$11-$I$4+VLOOKUP($R199,武学奇术!$A:$ZZ,9,FALSE)+SUM(_xlfn.XLOOKUP($S199:$AL199,增益!$A:$A,增益!$I:$I,0)))/200,($F$11-$I$4+VLOOKUP($R199,武学奇术!$A:$ZZ,9,FALSE)+SUM(_xlfn.XLOOKUP($S199:$AL199,增益!$A:$A,增益!$I:$I,0)))/100)</f>
        <v>-0.14</v>
      </c>
      <c r="BB199" s="40" cm="1">
        <f t="array" ref="BB199">$G$11+VLOOKUP($R199,武学奇术!$A:$ZZ,10,FALSE)+SUM(_xlfn.XLOOKUP($S199:$AL199,增益!$A:$A,增益!$J:$J,0))</f>
        <v>0.02</v>
      </c>
      <c r="BC199">
        <f t="shared" ref="BC199:BC210" si="112">$D$12*(1+$AX199)</f>
        <v>640.3</v>
      </c>
      <c r="BD199">
        <f t="shared" ref="BD199:BD210" si="113">$E$12*(1+$AX199)</f>
        <v>1770.1</v>
      </c>
      <c r="BE199" s="40" cm="1">
        <f t="array" ref="BE199">IF($F$12-$I$4+VLOOKUP($R199,武学奇术!$A:$ZZ,11,FALSE)+SUM(_xlfn.XLOOKUP($S199:$AL199,增益!$A:$A,增益!$K:$K,0))&gt;0,($F$12-$I$4+VLOOKUP($R199,武学奇术!$A:$ZZ,11,FALSE)+SUM(_xlfn.XLOOKUP($S199:$AL199,增益!$A:$A,增益!$K:$K,0)))/200,($F$12-$I$4+VLOOKUP($R199,武学奇术!$A:$ZZ,11,FALSE)+SUM(_xlfn.XLOOKUP($S199:$AL199,增益!$A:$A,增益!$K:$K,0)))/100)</f>
        <v>0.17</v>
      </c>
      <c r="BF199" s="40" cm="1">
        <f t="array" ref="BF199">$G$12+VLOOKUP($R199,武学奇术!$A:$ZZ,12,FALSE)+SUM(_xlfn.XLOOKUP($S199:$AL199,增益!$A:$A,增益!$L:$L,0))</f>
        <v>0.29</v>
      </c>
      <c r="BG199">
        <f t="shared" ref="BG199:BG210" si="114">$D$13*(1+$AX199)</f>
        <v>0</v>
      </c>
      <c r="BH199">
        <f t="shared" ref="BH199:BH210" si="115">$E$13*(1+$AX199)</f>
        <v>0</v>
      </c>
      <c r="BI199" s="40" cm="1">
        <f t="array" ref="BI199">IF($F$13-$I$4+VLOOKUP($R199,武学奇术!$A:$ZZ,13,FALSE)+SUM(_xlfn.XLOOKUP($S199:$AL199,增益!$A:$A,增益!$M:$M,0))&gt;0,($F$13-$I$4+VLOOKUP($R199,武学奇术!$A:$ZZ,13,FALSE)+SUM(_xlfn.XLOOKUP($S199:$AL199,增益!$A:$A,增益!$K:$K,0)))/200,($F$13-$I$4+VLOOKUP($R199,武学奇术!$A:$ZZ,13,FALSE)+SUM(_xlfn.XLOOKUP($S199:$AL199,增益!$A:$A,增益!$M:$M,0)))/100)</f>
        <v>-0.14</v>
      </c>
      <c r="BJ199" s="40" cm="1">
        <f t="array" ref="BJ199">$G$13+VLOOKUP($R199,武学奇术!$A:$ZZ,14,FALSE)+SUM(_xlfn.XLOOKUP($S199:$AL199,增益!$A:$A,增益!$N:$N,0))</f>
        <v>0.02</v>
      </c>
      <c r="BK199">
        <f t="shared" ref="BK199:BK210" si="116">$D$14*(1+$AX199)</f>
        <v>0</v>
      </c>
      <c r="BL199">
        <f t="shared" ref="BL199:BL210" si="117">$E$14*(1+$AX199)</f>
        <v>0</v>
      </c>
      <c r="BM199" s="40" cm="1">
        <f t="array" ref="BM199">IF($F$14-$I$4+VLOOKUP($R199,武学奇术!$A:$ZZ,15,FALSE)+SUM(_xlfn.XLOOKUP($S199:$AL199,增益!$A:$A,增益!$O:$O,0))&gt;0,($F$14-$I$4+VLOOKUP($R199,武学奇术!$A:$ZZ,15,FALSE)+SUM(_xlfn.XLOOKUP($S199:$AL199,增益!$A:$A,增益!$O:$O,0)))/200,($F$14-$I$4+VLOOKUP($R199,武学奇术!$A:$ZZ,15,FALSE)+SUM(_xlfn.XLOOKUP($S199:$AL199,增益!$A:$A,增益!$O:$O,0)))/100)</f>
        <v>-0.14</v>
      </c>
      <c r="BN199" s="40" cm="1">
        <f t="array" ref="BN199">$G$14+VLOOKUP($R199,武学奇术!$A:$ZZ,16,FALSE)+SUM(_xlfn.XLOOKUP($S199:$AL199,增益!$A:$A,增益!$P:$P,0))</f>
        <v>0.02</v>
      </c>
      <c r="BO199" s="33">
        <f>MIN(IF(VLOOKUP($R199,武学奇术!$A:$ZZ,23,FALSE)=1,100%,$B$8),100%)</f>
        <v>0.9771</v>
      </c>
      <c r="BP199" s="33" cm="1">
        <f t="array" ref="BP199">IF(VLOOKUP($R199,武学奇术!$A:$ZZ,23,FALSE)=1,100%,MIN(80%,$B$9+VLOOKUP($R199,武学奇术!$A:$ZZ,17,FALSE)+SUM(_xlfn.XLOOKUP($S199:$AL199,增益!$A:$A,增益!$Q:$Q,0)))+$B$11+SUM(_xlfn.XLOOKUP($S199:$AL199,增益!$A:$A,增益!$U:$U,0)))*IF(VLOOKUP($R199,武学奇术!$A:$ZZ,24,FALSE)=1,0,1)</f>
        <v>0.8861</v>
      </c>
      <c r="BQ199" s="33" cm="1">
        <f t="array" ref="BQ199">1+$B$13+VLOOKUP($R199,武学奇术!$A:$ZZ,18,FALSE)+SUM(_xlfn.XLOOKUP($S199:$AL199,增益!$A:$A,增益!$R:$R,0))</f>
        <v>2</v>
      </c>
      <c r="BR199" s="33" cm="1">
        <f t="array" ref="BR199">IF(VLOOKUP($R199,武学奇术!$A:$ZZ,24,FALSE)=1,100%,MIN(40%,$B$10+VLOOKUP($R199,武学奇术!$A:$ZZ,19,FALSE)+SUM(_xlfn.XLOOKUP($S199:$AL199,增益!$A:$A,增益!$S:$S,0)))+$B$12+SUM(_xlfn.XLOOKUP($S199:$AL199,增益!$A:$A,增益!$V:$V,0)))*IF(VLOOKUP($R199,武学奇术!$A:$ZZ,23,FALSE)=1,0,1)</f>
        <v>0.0913</v>
      </c>
      <c r="BS199" s="33" cm="1">
        <f t="array" ref="BS199">1+$B$14+VLOOKUP($R199,武学奇术!$A:$ZZ,20,FALSE)+SUM(_xlfn.XLOOKUP($S199:$AL199,增益!$A:$A,增益!$T:$T,0))</f>
        <v>1.35</v>
      </c>
      <c r="BT199" s="33">
        <f t="shared" ref="BT199:BT210" si="118">MIN((1-BR199)*BO199,BO199*BP199)</f>
        <v>0.86580831</v>
      </c>
      <c r="BU199" s="33">
        <f t="shared" ref="BU199:BU210" si="119">1-BR199-BT199-BV199</f>
        <v>0.02208246</v>
      </c>
      <c r="BV199" s="33">
        <f>IF(VLOOKUP($R199,武学奇术!$A:$ZZ,22,FALSE)=1,0,(1-$BO199))*(1-$BR199)</f>
        <v>0.02080923</v>
      </c>
      <c r="BW199" s="33" cm="1">
        <f t="array" ref="BW199">SUM(_xlfn.XLOOKUP($S199:$AL199,增益!$A:$A,增益!$W:$W,0))+$I$5</f>
        <v>0.11</v>
      </c>
      <c r="BX199" s="33" cm="1">
        <f t="array" ref="BX199">VLOOKUP($R199,武学奇术!$A:$ZZ,32,FALSE)+SUM(_xlfn.XLOOKUP($S199:$AL199,增益!$A:$A,增益!$X:$X,0))</f>
        <v>0</v>
      </c>
    </row>
    <row r="200" spans="12:76">
      <c r="L200" s="46">
        <f t="shared" si="108"/>
        <v>0</v>
      </c>
      <c r="M200" s="46">
        <f>((($AT200+$AU200)/2*$AN200+$AO200)*(1+$AV200)*(1+$AW200)+(($AY200+$AZ200)/2*IF($G$1="鸣金",$AP200,$AN200)+IF($G$1="鸣金",$AQ200*1.5,0))*(1+$BA200)*(1+$BB200)+(($BC200+$BD200)/2*IF($G$1="裂石",$AP200,$AN200)+IF($G$1="裂石",$AQ200*1.5,0))*(1+$BE200)*(1+$BF200)+(($BG200+$BH200)/2*IF($G$1="牵丝",$AP200,$AN200)+IF($G$1="牵丝",$AQ200*1.5,0))*(1+$BI200)*(1+$BJ200)+(($BK200+$BL200)/2*IF($G$1="破竹",$AP200,$AN200)+IF($G$1="破竹",$AQ200*1.5,0))*(1+$BM200)*(1+$BN200))*(1+$AR200)*$BQ200*$Q200*(1+IF(VLOOKUP($R200,武学奇术!$A:$ZZ,30,FALSE)="蓄力技",$B$21,0))*(1+IF(VLOOKUP($R200,武学奇术!$A:$ZZ,30,FALSE)="派生技",$B$20,0))*(1+$BW200)*(1+$BX200)</f>
        <v>0</v>
      </c>
      <c r="N200" s="46">
        <f>(($AU200*$AN200+$AO200)*(1+$AV200)*(1+$AW200)+($AZ200*IF($G$1="鸣金",$AP200,$AN200)+IF($G$1="鸣金",$AQ200*1.5,0))*(1+$BA200)*(1+$BB200)+($BD200*IF($G$1="裂石",$AP200,$AN200)+IF($G$1="裂石",$AQ200*1.5,0))*(1+$BE200)*(1+$BF200)+($BH200*IF($G$1="牵丝",$AP200,$AN200)+IF($G$1="牵丝",$AQ200*1.5,0))*(1+$BI200)*(1+$BJ200)+($BL200*IF($G$1="破竹",$AP200,$AN200)+IF($G$1="破竹",$AQ200*1.5,0))*(1+$BM200)*(1+$BN200))*(1+$AR200)*$BS200*$Q200*(1+IF(VLOOKUP($R200,武学奇术!$A:$ZZ,30,FALSE)="蓄力技",$B$21,0))*(1+IF(VLOOKUP($R200,武学奇术!$A:$ZZ,30,FALSE)="派生技",$B$20,0))*(1+$BW200)*(1+$BX200)</f>
        <v>0</v>
      </c>
      <c r="O200" s="46">
        <f>((($AT200+$AU200)/2*$AN200+$AO200)*(1+$AV200)*(1+$AW200)+(($AY200+$AZ200)/2*IF($G$1="鸣金",$AP200,$AN200)+IF($G$1="鸣金",$AQ200*1.5,0))*(1+$BA200)*(1+$BB200)+(($BC200+$BD200)/2*IF($G$1="裂石",$AP200,$AN200)+IF($G$1="裂石",$AQ200*1.5,0))*(1+$BE200)*(1+$BF200)+(($BG200+$BH200)/2*IF($G$1="牵丝",$AP200,$AN200)+IF($G$1="牵丝",$AQ200*1.5,0))*(1+$BI200)*(1+$BJ200)+(($BK200+$BL200)/2*IF($G$1="破竹",$AP200,$AN200)+IF($G$1="破竹",$AQ200*1.5,0))*(1+$BM200)*(1+$BN200))*(1+$AR200)*$Q200*(1+IF(VLOOKUP($R200,武学奇术!$A:$ZZ,30,FALSE)="蓄力技",$B$21,0))*(1+IF(VLOOKUP($R200,武学奇术!$A:$ZZ,30,FALSE)="派生技",$B$20,0))*(1+$BW200)*(1+$BX200)</f>
        <v>0</v>
      </c>
      <c r="P200" s="46">
        <f>((($AT200*$AN200+$AO200)*(1+$AV200)*(1+$AW200)+($AY200*IF($G$1="鸣金",$AP200,$AN200)+IF($G$1="鸣金",$AQ200*1.5,0))*(1+$BA200)*(1+$BB200)+($BC200*IF($G$1="裂石",$AP200,$AN200)+IF($G$1="裂石",$AQ200*1.5,0))*(1+$BE200)*(1+$BF200)+($BG200*IF($G$1="牵丝",$AP200,$AN200)+IF($G$1="牵丝",$AQ200*1.5,0))*(1+$BI200)*(1+$BJ200)+($BK200*IF($G$1="破竹",$AP200,$AN200)+IF($G$1="破竹",$AQ200*1.5,0))*(1+$BM200)*(1+$BN200))*(1+$AR200))*$Q200*(1+IF(VLOOKUP($R200,武学奇术!$A:$ZZ,30,FALSE)="蓄力技",$B$21,0))*(1+IF(VLOOKUP($R200,武学奇术!$A:$ZZ,30,FALSE)="派生技",$B$20,0))*(1+$BW200)*(1+$BX200)</f>
        <v>0</v>
      </c>
      <c r="Q200" s="47">
        <f t="shared" si="109"/>
        <v>0</v>
      </c>
      <c r="R200" s="48" t="s">
        <v>122</v>
      </c>
      <c r="S200" s="48" t="s">
        <v>99</v>
      </c>
      <c r="T200" s="48" t="s">
        <v>182</v>
      </c>
      <c r="U200" s="48" t="s">
        <v>79</v>
      </c>
      <c r="V200" s="48" t="s">
        <v>90</v>
      </c>
      <c r="W200" s="48" t="s">
        <v>141</v>
      </c>
      <c r="X200" s="48" t="s">
        <v>80</v>
      </c>
      <c r="Y200" s="48" t="s">
        <v>74</v>
      </c>
      <c r="Z200" s="48" t="s">
        <v>80</v>
      </c>
      <c r="AA200" s="48" t="s">
        <v>80</v>
      </c>
      <c r="AB200" s="48" t="s">
        <v>80</v>
      </c>
      <c r="AC200" s="48" t="s">
        <v>80</v>
      </c>
      <c r="AD200" s="48" t="s">
        <v>80</v>
      </c>
      <c r="AE200" s="48" t="s">
        <v>82</v>
      </c>
      <c r="AF200" s="48" t="s">
        <v>83</v>
      </c>
      <c r="AG200" s="48" t="s">
        <v>84</v>
      </c>
      <c r="AH200" s="48" t="s">
        <v>80</v>
      </c>
      <c r="AI200" s="48" t="s">
        <v>80</v>
      </c>
      <c r="AJ200" s="48" t="s">
        <v>80</v>
      </c>
      <c r="AK200" s="48" t="s">
        <v>80</v>
      </c>
      <c r="AL200" s="48" t="s">
        <v>85</v>
      </c>
      <c r="AM200" t="str">
        <f>VLOOKUP($R200,武学奇术!$A:$ZZ,25,FALSE)</f>
        <v>横刀</v>
      </c>
      <c r="AN200" s="33">
        <f>VLOOKUP($R200,武学奇术!$A:$ZZ,26,FALSE)</f>
        <v>1.47</v>
      </c>
      <c r="AO200" s="34">
        <f>VLOOKUP($R200,武学奇术!$A:$ZZ,27,FALSE)*(1+IF(OR($AM200=$F$4,$AM200=$F$5),$B$22,0))</f>
        <v>0</v>
      </c>
      <c r="AP200" s="33">
        <f>VLOOKUP($R200,武学奇术!$A:$ZZ,28,FALSE)</f>
        <v>2.205</v>
      </c>
      <c r="AQ200" s="34">
        <f>VLOOKUP($R200,武学奇术!$A:$ZZ,29,FALSE)*(1+IF(OR($AM200=$F$4,$AM200=$F$5),$B$22,0))</f>
        <v>0</v>
      </c>
      <c r="AR200" s="33" cm="1">
        <f t="array" ref="AR200">$G$3+IFERROR(VLOOKUP($AM200,$F$4:$G$7,2,FALSE),0)+VLOOKUP($R200,武学奇术!$A:$ZZ,2,FALSE)+SUM(_xlfn.XLOOKUP($S200:$AL200,增益!$A:$A,增益!$B:$B,0))</f>
        <v>0.6089</v>
      </c>
      <c r="AS200" s="33" cm="1">
        <f t="array" ref="AS200">VLOOKUP($R200,武学奇术!$A:$ZZ,5,FALSE)+SUM(_xlfn.XLOOKUP($S200:$AL200,增益!$A:$A,增益!$E:$E,0))</f>
        <v>0</v>
      </c>
      <c r="AT200" cm="1">
        <f t="array" ref="AT200">$D$10*(1+$AS200)+VLOOKUP($R200,武学奇术!$A:$ZZ,3,FALSE)+SUM(_xlfn.XLOOKUP($S200:$AL200,增益!$A:$A,增益!$C:$C,0))-$I$2</f>
        <v>4094.7</v>
      </c>
      <c r="AU200" cm="1">
        <f t="array" ref="AU200">$E$10*(1+$AS200)+VLOOKUP($R200,武学奇术!$A:$ZZ,4,FALSE)+SUM(_xlfn.XLOOKUP($S200:$AL200,增益!$A:$A,增益!$D:$D,0))-$I$2</f>
        <v>4094.7</v>
      </c>
      <c r="AV200" s="40" cm="1">
        <f t="array" ref="AV200">IF($F$10-$I$3+VLOOKUP($R200,武学奇术!$A:$ZZ,6,FALSE)+SUM(_xlfn.XLOOKUP($S200:$AL200,增益!$A:$A,增益!$F:$F,0))&gt;0,($F$10-$I$3+VLOOKUP($R200,武学奇术!$A:$ZZ,6,FALSE)+SUM(_xlfn.XLOOKUP($S200:$AL200,增益!$A:$A,增益!$F:$F,0)))/200,($F$10-$I$3+VLOOKUP($R200,武学奇术!$A:$ZZ,6,FALSE)+SUM(_xlfn.XLOOKUP($S200:$AL200,增益!$A:$A,增益!$F:$F,0)))/100)</f>
        <v>0.4384</v>
      </c>
      <c r="AW200" s="40" cm="1">
        <f t="array" ref="AW200">$G$10+VLOOKUP($R200,武学奇术!$A:$ZZ,7,FALSE)+SUM(_xlfn.XLOOKUP($S200:$AL200,增益!$A:$A,增益!$G:$G,0))</f>
        <v>0.14</v>
      </c>
      <c r="AX200" s="33" cm="1">
        <f t="array" ref="AX200">VLOOKUP($R200,武学奇术!$A:$ZZ,8,FALSE)+SUM(_xlfn.XLOOKUP($S200:$AL200,增益!$A:$A,增益!$H:$H,0))</f>
        <v>0</v>
      </c>
      <c r="AY200">
        <f t="shared" si="110"/>
        <v>0</v>
      </c>
      <c r="AZ200">
        <f t="shared" si="111"/>
        <v>0</v>
      </c>
      <c r="BA200" s="40" cm="1">
        <f t="array" ref="BA200">IF($F$11-$I$4+VLOOKUP($R200,武学奇术!$A:$ZZ,9,FALSE)+SUM(_xlfn.XLOOKUP($S200:$AL200,增益!$A:$A,增益!$I:$I,0))&gt;0,($F$11-$I$4+VLOOKUP($R200,武学奇术!$A:$ZZ,9,FALSE)+SUM(_xlfn.XLOOKUP($S200:$AL200,增益!$A:$A,增益!$I:$I,0)))/200,($F$11-$I$4+VLOOKUP($R200,武学奇术!$A:$ZZ,9,FALSE)+SUM(_xlfn.XLOOKUP($S200:$AL200,增益!$A:$A,增益!$I:$I,0)))/100)</f>
        <v>-0.14</v>
      </c>
      <c r="BB200" s="40" cm="1">
        <f t="array" ref="BB200">$G$11+VLOOKUP($R200,武学奇术!$A:$ZZ,10,FALSE)+SUM(_xlfn.XLOOKUP($S200:$AL200,增益!$A:$A,增益!$J:$J,0))</f>
        <v>0.02</v>
      </c>
      <c r="BC200">
        <f t="shared" si="112"/>
        <v>640.3</v>
      </c>
      <c r="BD200">
        <f t="shared" si="113"/>
        <v>1770.1</v>
      </c>
      <c r="BE200" s="40" cm="1">
        <f t="array" ref="BE200">IF($F$12-$I$4+VLOOKUP($R200,武学奇术!$A:$ZZ,11,FALSE)+SUM(_xlfn.XLOOKUP($S200:$AL200,增益!$A:$A,增益!$K:$K,0))&gt;0,($F$12-$I$4+VLOOKUP($R200,武学奇术!$A:$ZZ,11,FALSE)+SUM(_xlfn.XLOOKUP($S200:$AL200,增益!$A:$A,增益!$K:$K,0)))/200,($F$12-$I$4+VLOOKUP($R200,武学奇术!$A:$ZZ,11,FALSE)+SUM(_xlfn.XLOOKUP($S200:$AL200,增益!$A:$A,增益!$K:$K,0)))/100)</f>
        <v>0.17</v>
      </c>
      <c r="BF200" s="40" cm="1">
        <f t="array" ref="BF200">$G$12+VLOOKUP($R200,武学奇术!$A:$ZZ,12,FALSE)+SUM(_xlfn.XLOOKUP($S200:$AL200,增益!$A:$A,增益!$L:$L,0))</f>
        <v>0.29</v>
      </c>
      <c r="BG200">
        <f t="shared" si="114"/>
        <v>0</v>
      </c>
      <c r="BH200">
        <f t="shared" si="115"/>
        <v>0</v>
      </c>
      <c r="BI200" s="40" cm="1">
        <f t="array" ref="BI200">IF($F$13-$I$4+VLOOKUP($R200,武学奇术!$A:$ZZ,13,FALSE)+SUM(_xlfn.XLOOKUP($S200:$AL200,增益!$A:$A,增益!$M:$M,0))&gt;0,($F$13-$I$4+VLOOKUP($R200,武学奇术!$A:$ZZ,13,FALSE)+SUM(_xlfn.XLOOKUP($S200:$AL200,增益!$A:$A,增益!$K:$K,0)))/200,($F$13-$I$4+VLOOKUP($R200,武学奇术!$A:$ZZ,13,FALSE)+SUM(_xlfn.XLOOKUP($S200:$AL200,增益!$A:$A,增益!$M:$M,0)))/100)</f>
        <v>-0.14</v>
      </c>
      <c r="BJ200" s="40" cm="1">
        <f t="array" ref="BJ200">$G$13+VLOOKUP($R200,武学奇术!$A:$ZZ,14,FALSE)+SUM(_xlfn.XLOOKUP($S200:$AL200,增益!$A:$A,增益!$N:$N,0))</f>
        <v>0.02</v>
      </c>
      <c r="BK200">
        <f t="shared" si="116"/>
        <v>0</v>
      </c>
      <c r="BL200">
        <f t="shared" si="117"/>
        <v>0</v>
      </c>
      <c r="BM200" s="40" cm="1">
        <f t="array" ref="BM200">IF($F$14-$I$4+VLOOKUP($R200,武学奇术!$A:$ZZ,15,FALSE)+SUM(_xlfn.XLOOKUP($S200:$AL200,增益!$A:$A,增益!$O:$O,0))&gt;0,($F$14-$I$4+VLOOKUP($R200,武学奇术!$A:$ZZ,15,FALSE)+SUM(_xlfn.XLOOKUP($S200:$AL200,增益!$A:$A,增益!$O:$O,0)))/200,($F$14-$I$4+VLOOKUP($R200,武学奇术!$A:$ZZ,15,FALSE)+SUM(_xlfn.XLOOKUP($S200:$AL200,增益!$A:$A,增益!$O:$O,0)))/100)</f>
        <v>-0.14</v>
      </c>
      <c r="BN200" s="40" cm="1">
        <f t="array" ref="BN200">$G$14+VLOOKUP($R200,武学奇术!$A:$ZZ,16,FALSE)+SUM(_xlfn.XLOOKUP($S200:$AL200,增益!$A:$A,增益!$P:$P,0))</f>
        <v>0.02</v>
      </c>
      <c r="BO200" s="33">
        <f>MIN(IF(VLOOKUP($R200,武学奇术!$A:$ZZ,23,FALSE)=1,100%,$B$8),100%)</f>
        <v>0.9771</v>
      </c>
      <c r="BP200" s="33" cm="1">
        <f t="array" ref="BP200">IF(VLOOKUP($R200,武学奇术!$A:$ZZ,23,FALSE)=1,100%,MIN(80%,$B$9+VLOOKUP($R200,武学奇术!$A:$ZZ,17,FALSE)+SUM(_xlfn.XLOOKUP($S200:$AL200,增益!$A:$A,增益!$Q:$Q,0)))+$B$11+SUM(_xlfn.XLOOKUP($S200:$AL200,增益!$A:$A,增益!$U:$U,0)))*IF(VLOOKUP($R200,武学奇术!$A:$ZZ,24,FALSE)=1,0,1)</f>
        <v>0.8861</v>
      </c>
      <c r="BQ200" s="33" cm="1">
        <f t="array" ref="BQ200">1+$B$13+VLOOKUP($R200,武学奇术!$A:$ZZ,18,FALSE)+SUM(_xlfn.XLOOKUP($S200:$AL200,增益!$A:$A,增益!$R:$R,0))</f>
        <v>2</v>
      </c>
      <c r="BR200" s="33" cm="1">
        <f t="array" ref="BR200">IF(VLOOKUP($R200,武学奇术!$A:$ZZ,24,FALSE)=1,100%,MIN(40%,$B$10+VLOOKUP($R200,武学奇术!$A:$ZZ,19,FALSE)+SUM(_xlfn.XLOOKUP($S200:$AL200,增益!$A:$A,增益!$S:$S,0)))+$B$12+SUM(_xlfn.XLOOKUP($S200:$AL200,增益!$A:$A,增益!$V:$V,0)))*IF(VLOOKUP($R200,武学奇术!$A:$ZZ,23,FALSE)=1,0,1)</f>
        <v>0.0913</v>
      </c>
      <c r="BS200" s="33" cm="1">
        <f t="array" ref="BS200">1+$B$14+VLOOKUP($R200,武学奇术!$A:$ZZ,20,FALSE)+SUM(_xlfn.XLOOKUP($S200:$AL200,增益!$A:$A,增益!$T:$T,0))</f>
        <v>1.35</v>
      </c>
      <c r="BT200" s="33">
        <f t="shared" si="118"/>
        <v>0.86580831</v>
      </c>
      <c r="BU200" s="33">
        <f t="shared" si="119"/>
        <v>0.02208246</v>
      </c>
      <c r="BV200" s="33">
        <f>IF(VLOOKUP($R200,武学奇术!$A:$ZZ,22,FALSE)=1,0,(1-$BO200))*(1-$BR200)</f>
        <v>0.02080923</v>
      </c>
      <c r="BW200" s="33" cm="1">
        <f t="array" ref="BW200">SUM(_xlfn.XLOOKUP($S200:$AL200,增益!$A:$A,增益!$W:$W,0))+$I$5</f>
        <v>0.11</v>
      </c>
      <c r="BX200" s="33" cm="1">
        <f t="array" ref="BX200">VLOOKUP($R200,武学奇术!$A:$ZZ,32,FALSE)+SUM(_xlfn.XLOOKUP($S200:$AL200,增益!$A:$A,增益!$X:$X,0))</f>
        <v>0</v>
      </c>
    </row>
    <row r="201" spans="12:76">
      <c r="L201" s="46">
        <f t="shared" si="108"/>
        <v>0</v>
      </c>
      <c r="M201" s="46">
        <f>((($AT201+$AU201)/2*$AN201+$AO201)*(1+$AV201)*(1+$AW201)+(($AY201+$AZ201)/2*IF($G$1="鸣金",$AP201,$AN201)+IF($G$1="鸣金",$AQ201*1.5,0))*(1+$BA201)*(1+$BB201)+(($BC201+$BD201)/2*IF($G$1="裂石",$AP201,$AN201)+IF($G$1="裂石",$AQ201*1.5,0))*(1+$BE201)*(1+$BF201)+(($BG201+$BH201)/2*IF($G$1="牵丝",$AP201,$AN201)+IF($G$1="牵丝",$AQ201*1.5,0))*(1+$BI201)*(1+$BJ201)+(($BK201+$BL201)/2*IF($G$1="破竹",$AP201,$AN201)+IF($G$1="破竹",$AQ201*1.5,0))*(1+$BM201)*(1+$BN201))*(1+$AR201)*$BQ201*$Q201*(1+IF(VLOOKUP($R201,武学奇术!$A:$ZZ,30,FALSE)="蓄力技",$B$21,0))*(1+IF(VLOOKUP($R201,武学奇术!$A:$ZZ,30,FALSE)="派生技",$B$20,0))*(1+$BW201)*(1+$BX201)</f>
        <v>0</v>
      </c>
      <c r="N201" s="46">
        <f>(($AU201*$AN201+$AO201)*(1+$AV201)*(1+$AW201)+($AZ201*IF($G$1="鸣金",$AP201,$AN201)+IF($G$1="鸣金",$AQ201*1.5,0))*(1+$BA201)*(1+$BB201)+($BD201*IF($G$1="裂石",$AP201,$AN201)+IF($G$1="裂石",$AQ201*1.5,0))*(1+$BE201)*(1+$BF201)+($BH201*IF($G$1="牵丝",$AP201,$AN201)+IF($G$1="牵丝",$AQ201*1.5,0))*(1+$BI201)*(1+$BJ201)+($BL201*IF($G$1="破竹",$AP201,$AN201)+IF($G$1="破竹",$AQ201*1.5,0))*(1+$BM201)*(1+$BN201))*(1+$AR201)*$BS201*$Q201*(1+IF(VLOOKUP($R201,武学奇术!$A:$ZZ,30,FALSE)="蓄力技",$B$21,0))*(1+IF(VLOOKUP($R201,武学奇术!$A:$ZZ,30,FALSE)="派生技",$B$20,0))*(1+$BW201)*(1+$BX201)</f>
        <v>0</v>
      </c>
      <c r="O201" s="46">
        <f>((($AT201+$AU201)/2*$AN201+$AO201)*(1+$AV201)*(1+$AW201)+(($AY201+$AZ201)/2*IF($G$1="鸣金",$AP201,$AN201)+IF($G$1="鸣金",$AQ201*1.5,0))*(1+$BA201)*(1+$BB201)+(($BC201+$BD201)/2*IF($G$1="裂石",$AP201,$AN201)+IF($G$1="裂石",$AQ201*1.5,0))*(1+$BE201)*(1+$BF201)+(($BG201+$BH201)/2*IF($G$1="牵丝",$AP201,$AN201)+IF($G$1="牵丝",$AQ201*1.5,0))*(1+$BI201)*(1+$BJ201)+(($BK201+$BL201)/2*IF($G$1="破竹",$AP201,$AN201)+IF($G$1="破竹",$AQ201*1.5,0))*(1+$BM201)*(1+$BN201))*(1+$AR201)*$Q201*(1+IF(VLOOKUP($R201,武学奇术!$A:$ZZ,30,FALSE)="蓄力技",$B$21,0))*(1+IF(VLOOKUP($R201,武学奇术!$A:$ZZ,30,FALSE)="派生技",$B$20,0))*(1+$BW201)*(1+$BX201)</f>
        <v>0</v>
      </c>
      <c r="P201" s="46">
        <f>((($AT201*$AN201+$AO201)*(1+$AV201)*(1+$AW201)+($AY201*IF($G$1="鸣金",$AP201,$AN201)+IF($G$1="鸣金",$AQ201*1.5,0))*(1+$BA201)*(1+$BB201)+($BC201*IF($G$1="裂石",$AP201,$AN201)+IF($G$1="裂石",$AQ201*1.5,0))*(1+$BE201)*(1+$BF201)+($BG201*IF($G$1="牵丝",$AP201,$AN201)+IF($G$1="牵丝",$AQ201*1.5,0))*(1+$BI201)*(1+$BJ201)+($BK201*IF($G$1="破竹",$AP201,$AN201)+IF($G$1="破竹",$AQ201*1.5,0))*(1+$BM201)*(1+$BN201))*(1+$AR201))*$Q201*(1+IF(VLOOKUP($R201,武学奇术!$A:$ZZ,30,FALSE)="蓄力技",$B$21,0))*(1+IF(VLOOKUP($R201,武学奇术!$A:$ZZ,30,FALSE)="派生技",$B$20,0))*(1+$BW201)*(1+$BX201)</f>
        <v>0</v>
      </c>
      <c r="Q201" s="47">
        <f t="shared" si="109"/>
        <v>0</v>
      </c>
      <c r="R201" s="48" t="s">
        <v>197</v>
      </c>
      <c r="S201" s="48" t="s">
        <v>99</v>
      </c>
      <c r="T201" s="48" t="s">
        <v>182</v>
      </c>
      <c r="U201" s="48" t="s">
        <v>79</v>
      </c>
      <c r="V201" s="48" t="s">
        <v>90</v>
      </c>
      <c r="W201" s="48" t="s">
        <v>91</v>
      </c>
      <c r="X201" s="48" t="s">
        <v>80</v>
      </c>
      <c r="Y201" s="48" t="s">
        <v>80</v>
      </c>
      <c r="Z201" s="48" t="s">
        <v>80</v>
      </c>
      <c r="AA201" s="48" t="s">
        <v>80</v>
      </c>
      <c r="AB201" s="48" t="s">
        <v>80</v>
      </c>
      <c r="AC201" s="48" t="s">
        <v>80</v>
      </c>
      <c r="AD201" s="48" t="s">
        <v>80</v>
      </c>
      <c r="AE201" s="48" t="s">
        <v>82</v>
      </c>
      <c r="AF201" s="48" t="s">
        <v>83</v>
      </c>
      <c r="AG201" s="48" t="s">
        <v>84</v>
      </c>
      <c r="AH201" s="48" t="s">
        <v>80</v>
      </c>
      <c r="AI201" s="48" t="s">
        <v>80</v>
      </c>
      <c r="AJ201" s="48" t="s">
        <v>80</v>
      </c>
      <c r="AK201" s="48" t="s">
        <v>80</v>
      </c>
      <c r="AL201" s="48" t="s">
        <v>85</v>
      </c>
      <c r="AM201" t="str">
        <f>VLOOKUP($R201,武学奇术!$A:$ZZ,25,FALSE)</f>
        <v>横刀</v>
      </c>
      <c r="AN201" s="33">
        <f>VLOOKUP($R201,武学奇术!$A:$ZZ,26,FALSE)</f>
        <v>2.4495</v>
      </c>
      <c r="AO201" s="34">
        <f>VLOOKUP($R201,武学奇术!$A:$ZZ,27,FALSE)*(1+IF(OR($AM201=$F$4,$AM201=$F$5),$B$22,0))</f>
        <v>1083.2</v>
      </c>
      <c r="AP201" s="33">
        <f>VLOOKUP($R201,武学奇术!$A:$ZZ,28,FALSE)</f>
        <v>3.6743</v>
      </c>
      <c r="AQ201" s="34">
        <f>VLOOKUP($R201,武学奇术!$A:$ZZ,29,FALSE)*(1+IF(OR($AM201=$F$4,$AM201=$F$5),$B$22,0))</f>
        <v>588.8</v>
      </c>
      <c r="AR201" s="33" cm="1">
        <f t="array" ref="AR201">$G$3+IFERROR(VLOOKUP($AM201,$F$4:$G$7,2,FALSE),0)+VLOOKUP($R201,武学奇术!$A:$ZZ,2,FALSE)+SUM(_xlfn.XLOOKUP($S201:$AL201,增益!$A:$A,增益!$B:$B,0))</f>
        <v>0.5289</v>
      </c>
      <c r="AS201" s="33" cm="1">
        <f t="array" ref="AS201">VLOOKUP($R201,武学奇术!$A:$ZZ,5,FALSE)+SUM(_xlfn.XLOOKUP($S201:$AL201,增益!$A:$A,增益!$E:$E,0))</f>
        <v>0</v>
      </c>
      <c r="AT201" cm="1">
        <f t="array" ref="AT201">$D$10*(1+$AS201)+VLOOKUP($R201,武学奇术!$A:$ZZ,3,FALSE)+SUM(_xlfn.XLOOKUP($S201:$AL201,增益!$A:$A,增益!$C:$C,0))-$I$2</f>
        <v>4094.7</v>
      </c>
      <c r="AU201" cm="1">
        <f t="array" ref="AU201">$E$10*(1+$AS201)+VLOOKUP($R201,武学奇术!$A:$ZZ,4,FALSE)+SUM(_xlfn.XLOOKUP($S201:$AL201,增益!$A:$A,增益!$D:$D,0))-$I$2</f>
        <v>4094.7</v>
      </c>
      <c r="AV201" s="40" cm="1">
        <f t="array" ref="AV201">IF($F$10-$I$3+VLOOKUP($R201,武学奇术!$A:$ZZ,6,FALSE)+SUM(_xlfn.XLOOKUP($S201:$AL201,增益!$A:$A,增益!$F:$F,0))&gt;0,($F$10-$I$3+VLOOKUP($R201,武学奇术!$A:$ZZ,6,FALSE)+SUM(_xlfn.XLOOKUP($S201:$AL201,增益!$A:$A,增益!$F:$F,0)))/200,($F$10-$I$3+VLOOKUP($R201,武学奇术!$A:$ZZ,6,FALSE)+SUM(_xlfn.XLOOKUP($S201:$AL201,增益!$A:$A,增益!$F:$F,0)))/100)</f>
        <v>0.4134</v>
      </c>
      <c r="AW201" s="40" cm="1">
        <f t="array" ref="AW201">$G$10+VLOOKUP($R201,武学奇术!$A:$ZZ,7,FALSE)+SUM(_xlfn.XLOOKUP($S201:$AL201,增益!$A:$A,增益!$G:$G,0))</f>
        <v>0.14</v>
      </c>
      <c r="AX201" s="33" cm="1">
        <f t="array" ref="AX201">VLOOKUP($R201,武学奇术!$A:$ZZ,8,FALSE)+SUM(_xlfn.XLOOKUP($S201:$AL201,增益!$A:$A,增益!$H:$H,0))</f>
        <v>0</v>
      </c>
      <c r="AY201">
        <f t="shared" si="110"/>
        <v>0</v>
      </c>
      <c r="AZ201">
        <f t="shared" si="111"/>
        <v>0</v>
      </c>
      <c r="BA201" s="40" cm="1">
        <f t="array" ref="BA201">IF($F$11-$I$4+VLOOKUP($R201,武学奇术!$A:$ZZ,9,FALSE)+SUM(_xlfn.XLOOKUP($S201:$AL201,增益!$A:$A,增益!$I:$I,0))&gt;0,($F$11-$I$4+VLOOKUP($R201,武学奇术!$A:$ZZ,9,FALSE)+SUM(_xlfn.XLOOKUP($S201:$AL201,增益!$A:$A,增益!$I:$I,0)))/200,($F$11-$I$4+VLOOKUP($R201,武学奇术!$A:$ZZ,9,FALSE)+SUM(_xlfn.XLOOKUP($S201:$AL201,增益!$A:$A,增益!$I:$I,0)))/100)</f>
        <v>-0.14</v>
      </c>
      <c r="BB201" s="40" cm="1">
        <f t="array" ref="BB201">$G$11+VLOOKUP($R201,武学奇术!$A:$ZZ,10,FALSE)+SUM(_xlfn.XLOOKUP($S201:$AL201,增益!$A:$A,增益!$J:$J,0))</f>
        <v>0.02</v>
      </c>
      <c r="BC201">
        <f t="shared" si="112"/>
        <v>640.3</v>
      </c>
      <c r="BD201">
        <f t="shared" si="113"/>
        <v>1770.1</v>
      </c>
      <c r="BE201" s="40" cm="1">
        <f t="array" ref="BE201">IF($F$12-$I$4+VLOOKUP($R201,武学奇术!$A:$ZZ,11,FALSE)+SUM(_xlfn.XLOOKUP($S201:$AL201,增益!$A:$A,增益!$K:$K,0))&gt;0,($F$12-$I$4+VLOOKUP($R201,武学奇术!$A:$ZZ,11,FALSE)+SUM(_xlfn.XLOOKUP($S201:$AL201,增益!$A:$A,增益!$K:$K,0)))/200,($F$12-$I$4+VLOOKUP($R201,武学奇术!$A:$ZZ,11,FALSE)+SUM(_xlfn.XLOOKUP($S201:$AL201,增益!$A:$A,增益!$K:$K,0)))/100)</f>
        <v>0.17</v>
      </c>
      <c r="BF201" s="40" cm="1">
        <f t="array" ref="BF201">$G$12+VLOOKUP($R201,武学奇术!$A:$ZZ,12,FALSE)+SUM(_xlfn.XLOOKUP($S201:$AL201,增益!$A:$A,增益!$L:$L,0))</f>
        <v>0.29</v>
      </c>
      <c r="BG201">
        <f t="shared" si="114"/>
        <v>0</v>
      </c>
      <c r="BH201">
        <f t="shared" si="115"/>
        <v>0</v>
      </c>
      <c r="BI201" s="40" cm="1">
        <f t="array" ref="BI201">IF($F$13-$I$4+VLOOKUP($R201,武学奇术!$A:$ZZ,13,FALSE)+SUM(_xlfn.XLOOKUP($S201:$AL201,增益!$A:$A,增益!$M:$M,0))&gt;0,($F$13-$I$4+VLOOKUP($R201,武学奇术!$A:$ZZ,13,FALSE)+SUM(_xlfn.XLOOKUP($S201:$AL201,增益!$A:$A,增益!$K:$K,0)))/200,($F$13-$I$4+VLOOKUP($R201,武学奇术!$A:$ZZ,13,FALSE)+SUM(_xlfn.XLOOKUP($S201:$AL201,增益!$A:$A,增益!$M:$M,0)))/100)</f>
        <v>-0.14</v>
      </c>
      <c r="BJ201" s="40" cm="1">
        <f t="array" ref="BJ201">$G$13+VLOOKUP($R201,武学奇术!$A:$ZZ,14,FALSE)+SUM(_xlfn.XLOOKUP($S201:$AL201,增益!$A:$A,增益!$N:$N,0))</f>
        <v>0.02</v>
      </c>
      <c r="BK201">
        <f t="shared" si="116"/>
        <v>0</v>
      </c>
      <c r="BL201">
        <f t="shared" si="117"/>
        <v>0</v>
      </c>
      <c r="BM201" s="40" cm="1">
        <f t="array" ref="BM201">IF($F$14-$I$4+VLOOKUP($R201,武学奇术!$A:$ZZ,15,FALSE)+SUM(_xlfn.XLOOKUP($S201:$AL201,增益!$A:$A,增益!$O:$O,0))&gt;0,($F$14-$I$4+VLOOKUP($R201,武学奇术!$A:$ZZ,15,FALSE)+SUM(_xlfn.XLOOKUP($S201:$AL201,增益!$A:$A,增益!$O:$O,0)))/200,($F$14-$I$4+VLOOKUP($R201,武学奇术!$A:$ZZ,15,FALSE)+SUM(_xlfn.XLOOKUP($S201:$AL201,增益!$A:$A,增益!$O:$O,0)))/100)</f>
        <v>-0.14</v>
      </c>
      <c r="BN201" s="40" cm="1">
        <f t="array" ref="BN201">$G$14+VLOOKUP($R201,武学奇术!$A:$ZZ,16,FALSE)+SUM(_xlfn.XLOOKUP($S201:$AL201,增益!$A:$A,增益!$P:$P,0))</f>
        <v>0.02</v>
      </c>
      <c r="BO201" s="33">
        <f>MIN(IF(VLOOKUP($R201,武学奇术!$A:$ZZ,23,FALSE)=1,100%,$B$8),100%)</f>
        <v>0.9771</v>
      </c>
      <c r="BP201" s="33" cm="1">
        <f t="array" ref="BP201">IF(VLOOKUP($R201,武学奇术!$A:$ZZ,23,FALSE)=1,100%,MIN(80%,$B$9+VLOOKUP($R201,武学奇术!$A:$ZZ,17,FALSE)+SUM(_xlfn.XLOOKUP($S201:$AL201,增益!$A:$A,增益!$Q:$Q,0)))+$B$11+SUM(_xlfn.XLOOKUP($S201:$AL201,增益!$A:$A,增益!$U:$U,0)))*IF(VLOOKUP($R201,武学奇术!$A:$ZZ,24,FALSE)=1,0,1)</f>
        <v>0.8861</v>
      </c>
      <c r="BQ201" s="33" cm="1">
        <f t="array" ref="BQ201">1+$B$13+VLOOKUP($R201,武学奇术!$A:$ZZ,18,FALSE)+SUM(_xlfn.XLOOKUP($S201:$AL201,增益!$A:$A,增益!$R:$R,0))</f>
        <v>1.95</v>
      </c>
      <c r="BR201" s="33" cm="1">
        <f t="array" ref="BR201">IF(VLOOKUP($R201,武学奇术!$A:$ZZ,24,FALSE)=1,100%,MIN(40%,$B$10+VLOOKUP($R201,武学奇术!$A:$ZZ,19,FALSE)+SUM(_xlfn.XLOOKUP($S201:$AL201,增益!$A:$A,增益!$S:$S,0)))+$B$12+SUM(_xlfn.XLOOKUP($S201:$AL201,增益!$A:$A,增益!$V:$V,0)))*IF(VLOOKUP($R201,武学奇术!$A:$ZZ,23,FALSE)=1,0,1)</f>
        <v>0.0913</v>
      </c>
      <c r="BS201" s="33" cm="1">
        <f t="array" ref="BS201">1+$B$14+VLOOKUP($R201,武学奇术!$A:$ZZ,20,FALSE)+SUM(_xlfn.XLOOKUP($S201:$AL201,增益!$A:$A,增益!$T:$T,0))</f>
        <v>1.35</v>
      </c>
      <c r="BT201" s="33">
        <f t="shared" si="118"/>
        <v>0.86580831</v>
      </c>
      <c r="BU201" s="33">
        <f t="shared" si="119"/>
        <v>0.02208246</v>
      </c>
      <c r="BV201" s="33">
        <f>IF(VLOOKUP($R201,武学奇术!$A:$ZZ,22,FALSE)=1,0,(1-$BO201))*(1-$BR201)</f>
        <v>0.02080923</v>
      </c>
      <c r="BW201" s="33" cm="1">
        <f t="array" ref="BW201">SUM(_xlfn.XLOOKUP($S201:$AL201,增益!$A:$A,增益!$W:$W,0))+$I$5</f>
        <v>0.11</v>
      </c>
      <c r="BX201" s="33" cm="1">
        <f t="array" ref="BX201">VLOOKUP($R201,武学奇术!$A:$ZZ,32,FALSE)+SUM(_xlfn.XLOOKUP($S201:$AL201,增益!$A:$A,增益!$X:$X,0))</f>
        <v>0</v>
      </c>
    </row>
    <row r="202" spans="12:76">
      <c r="L202" s="46">
        <f t="shared" si="108"/>
        <v>0</v>
      </c>
      <c r="M202" s="46">
        <f>((($AT202+$AU202)/2*$AN202+$AO202)*(1+$AV202)*(1+$AW202)+(($AY202+$AZ202)/2*IF($G$1="鸣金",$AP202,$AN202)+IF($G$1="鸣金",$AQ202*1.5,0))*(1+$BA202)*(1+$BB202)+(($BC202+$BD202)/2*IF($G$1="裂石",$AP202,$AN202)+IF($G$1="裂石",$AQ202*1.5,0))*(1+$BE202)*(1+$BF202)+(($BG202+$BH202)/2*IF($G$1="牵丝",$AP202,$AN202)+IF($G$1="牵丝",$AQ202*1.5,0))*(1+$BI202)*(1+$BJ202)+(($BK202+$BL202)/2*IF($G$1="破竹",$AP202,$AN202)+IF($G$1="破竹",$AQ202*1.5,0))*(1+$BM202)*(1+$BN202))*(1+$AR202)*$BQ202*$Q202*(1+IF(VLOOKUP($R202,武学奇术!$A:$ZZ,30,FALSE)="蓄力技",$B$21,0))*(1+IF(VLOOKUP($R202,武学奇术!$A:$ZZ,30,FALSE)="派生技",$B$20,0))*(1+$BW202)*(1+$BX202)</f>
        <v>0</v>
      </c>
      <c r="N202" s="46">
        <f>(($AU202*$AN202+$AO202)*(1+$AV202)*(1+$AW202)+($AZ202*IF($G$1="鸣金",$AP202,$AN202)+IF($G$1="鸣金",$AQ202*1.5,0))*(1+$BA202)*(1+$BB202)+($BD202*IF($G$1="裂石",$AP202,$AN202)+IF($G$1="裂石",$AQ202*1.5,0))*(1+$BE202)*(1+$BF202)+($BH202*IF($G$1="牵丝",$AP202,$AN202)+IF($G$1="牵丝",$AQ202*1.5,0))*(1+$BI202)*(1+$BJ202)+($BL202*IF($G$1="破竹",$AP202,$AN202)+IF($G$1="破竹",$AQ202*1.5,0))*(1+$BM202)*(1+$BN202))*(1+$AR202)*$BS202*$Q202*(1+IF(VLOOKUP($R202,武学奇术!$A:$ZZ,30,FALSE)="蓄力技",$B$21,0))*(1+IF(VLOOKUP($R202,武学奇术!$A:$ZZ,30,FALSE)="派生技",$B$20,0))*(1+$BW202)*(1+$BX202)</f>
        <v>0</v>
      </c>
      <c r="O202" s="46">
        <f>((($AT202+$AU202)/2*$AN202+$AO202)*(1+$AV202)*(1+$AW202)+(($AY202+$AZ202)/2*IF($G$1="鸣金",$AP202,$AN202)+IF($G$1="鸣金",$AQ202*1.5,0))*(1+$BA202)*(1+$BB202)+(($BC202+$BD202)/2*IF($G$1="裂石",$AP202,$AN202)+IF($G$1="裂石",$AQ202*1.5,0))*(1+$BE202)*(1+$BF202)+(($BG202+$BH202)/2*IF($G$1="牵丝",$AP202,$AN202)+IF($G$1="牵丝",$AQ202*1.5,0))*(1+$BI202)*(1+$BJ202)+(($BK202+$BL202)/2*IF($G$1="破竹",$AP202,$AN202)+IF($G$1="破竹",$AQ202*1.5,0))*(1+$BM202)*(1+$BN202))*(1+$AR202)*$Q202*(1+IF(VLOOKUP($R202,武学奇术!$A:$ZZ,30,FALSE)="蓄力技",$B$21,0))*(1+IF(VLOOKUP($R202,武学奇术!$A:$ZZ,30,FALSE)="派生技",$B$20,0))*(1+$BW202)*(1+$BX202)</f>
        <v>0</v>
      </c>
      <c r="P202" s="46">
        <f>((($AT202*$AN202+$AO202)*(1+$AV202)*(1+$AW202)+($AY202*IF($G$1="鸣金",$AP202,$AN202)+IF($G$1="鸣金",$AQ202*1.5,0))*(1+$BA202)*(1+$BB202)+($BC202*IF($G$1="裂石",$AP202,$AN202)+IF($G$1="裂石",$AQ202*1.5,0))*(1+$BE202)*(1+$BF202)+($BG202*IF($G$1="牵丝",$AP202,$AN202)+IF($G$1="牵丝",$AQ202*1.5,0))*(1+$BI202)*(1+$BJ202)+($BK202*IF($G$1="破竹",$AP202,$AN202)+IF($G$1="破竹",$AQ202*1.5,0))*(1+$BM202)*(1+$BN202))*(1+$AR202))*$Q202*(1+IF(VLOOKUP($R202,武学奇术!$A:$ZZ,30,FALSE)="蓄力技",$B$21,0))*(1+IF(VLOOKUP($R202,武学奇术!$A:$ZZ,30,FALSE)="派生技",$B$20,0))*(1+$BW202)*(1+$BX202)</f>
        <v>0</v>
      </c>
      <c r="Q202" s="47">
        <f t="shared" si="109"/>
        <v>0</v>
      </c>
      <c r="R202" s="48" t="s">
        <v>199</v>
      </c>
      <c r="S202" s="48" t="s">
        <v>99</v>
      </c>
      <c r="T202" s="48" t="s">
        <v>182</v>
      </c>
      <c r="U202" s="48" t="s">
        <v>79</v>
      </c>
      <c r="V202" s="48" t="s">
        <v>90</v>
      </c>
      <c r="W202" s="48" t="s">
        <v>141</v>
      </c>
      <c r="X202" s="48" t="s">
        <v>80</v>
      </c>
      <c r="Y202" s="48" t="s">
        <v>74</v>
      </c>
      <c r="Z202" s="48" t="s">
        <v>80</v>
      </c>
      <c r="AA202" s="48" t="s">
        <v>80</v>
      </c>
      <c r="AB202" s="48" t="s">
        <v>80</v>
      </c>
      <c r="AC202" s="48" t="s">
        <v>80</v>
      </c>
      <c r="AD202" s="48" t="s">
        <v>80</v>
      </c>
      <c r="AE202" s="48" t="s">
        <v>82</v>
      </c>
      <c r="AF202" s="48" t="s">
        <v>83</v>
      </c>
      <c r="AG202" s="48" t="s">
        <v>84</v>
      </c>
      <c r="AH202" s="48" t="s">
        <v>80</v>
      </c>
      <c r="AI202" s="48" t="s">
        <v>80</v>
      </c>
      <c r="AJ202" s="48" t="s">
        <v>80</v>
      </c>
      <c r="AK202" s="48" t="s">
        <v>80</v>
      </c>
      <c r="AL202" s="48" t="s">
        <v>85</v>
      </c>
      <c r="AM202" t="str">
        <f>VLOOKUP($R202,武学奇术!$A:$ZZ,25,FALSE)</f>
        <v>横刀</v>
      </c>
      <c r="AN202" s="33">
        <f>VLOOKUP($R202,武学奇术!$A:$ZZ,26,FALSE)</f>
        <v>2.8245</v>
      </c>
      <c r="AO202" s="34">
        <f>VLOOKUP($R202,武学奇术!$A:$ZZ,27,FALSE)*(1+IF(OR($AM202=$F$4,$AM202=$F$5),$B$22,0))</f>
        <v>1251.2</v>
      </c>
      <c r="AP202" s="33">
        <f>VLOOKUP($R202,武学奇术!$A:$ZZ,28,FALSE)</f>
        <v>4.236808</v>
      </c>
      <c r="AQ202" s="34">
        <f>VLOOKUP($R202,武学奇术!$A:$ZZ,29,FALSE)*(1+IF(OR($AM202=$F$4,$AM202=$F$5),$B$22,0))</f>
        <v>680</v>
      </c>
      <c r="AR202" s="33" cm="1">
        <f t="array" ref="AR202">$G$3+IFERROR(VLOOKUP($AM202,$F$4:$G$7,2,FALSE),0)+VLOOKUP($R202,武学奇术!$A:$ZZ,2,FALSE)+SUM(_xlfn.XLOOKUP($S202:$AL202,增益!$A:$A,增益!$B:$B,0))</f>
        <v>0.7089</v>
      </c>
      <c r="AS202" s="33" cm="1">
        <f t="array" ref="AS202">VLOOKUP($R202,武学奇术!$A:$ZZ,5,FALSE)+SUM(_xlfn.XLOOKUP($S202:$AL202,增益!$A:$A,增益!$E:$E,0))</f>
        <v>0</v>
      </c>
      <c r="AT202" cm="1">
        <f t="array" ref="AT202">$D$10*(1+$AS202)+VLOOKUP($R202,武学奇术!$A:$ZZ,3,FALSE)+SUM(_xlfn.XLOOKUP($S202:$AL202,增益!$A:$A,增益!$C:$C,0))-$I$2</f>
        <v>4094.7</v>
      </c>
      <c r="AU202" cm="1">
        <f t="array" ref="AU202">$E$10*(1+$AS202)+VLOOKUP($R202,武学奇术!$A:$ZZ,4,FALSE)+SUM(_xlfn.XLOOKUP($S202:$AL202,增益!$A:$A,增益!$D:$D,0))-$I$2</f>
        <v>4094.7</v>
      </c>
      <c r="AV202" s="40" cm="1">
        <f t="array" ref="AV202">IF($F$10-$I$3+VLOOKUP($R202,武学奇术!$A:$ZZ,6,FALSE)+SUM(_xlfn.XLOOKUP($S202:$AL202,增益!$A:$A,增益!$F:$F,0))&gt;0,($F$10-$I$3+VLOOKUP($R202,武学奇术!$A:$ZZ,6,FALSE)+SUM(_xlfn.XLOOKUP($S202:$AL202,增益!$A:$A,增益!$F:$F,0)))/200,($F$10-$I$3+VLOOKUP($R202,武学奇术!$A:$ZZ,6,FALSE)+SUM(_xlfn.XLOOKUP($S202:$AL202,增益!$A:$A,增益!$F:$F,0)))/100)</f>
        <v>0.4384</v>
      </c>
      <c r="AW202" s="40" cm="1">
        <f t="array" ref="AW202">$G$10+VLOOKUP($R202,武学奇术!$A:$ZZ,7,FALSE)+SUM(_xlfn.XLOOKUP($S202:$AL202,增益!$A:$A,增益!$G:$G,0))</f>
        <v>0.14</v>
      </c>
      <c r="AX202" s="33" cm="1">
        <f t="array" ref="AX202">VLOOKUP($R202,武学奇术!$A:$ZZ,8,FALSE)+SUM(_xlfn.XLOOKUP($S202:$AL202,增益!$A:$A,增益!$H:$H,0))</f>
        <v>0</v>
      </c>
      <c r="AY202">
        <f t="shared" si="110"/>
        <v>0</v>
      </c>
      <c r="AZ202">
        <f t="shared" si="111"/>
        <v>0</v>
      </c>
      <c r="BA202" s="40" cm="1">
        <f t="array" ref="BA202">IF($F$11-$I$4+VLOOKUP($R202,武学奇术!$A:$ZZ,9,FALSE)+SUM(_xlfn.XLOOKUP($S202:$AL202,增益!$A:$A,增益!$I:$I,0))&gt;0,($F$11-$I$4+VLOOKUP($R202,武学奇术!$A:$ZZ,9,FALSE)+SUM(_xlfn.XLOOKUP($S202:$AL202,增益!$A:$A,增益!$I:$I,0)))/200,($F$11-$I$4+VLOOKUP($R202,武学奇术!$A:$ZZ,9,FALSE)+SUM(_xlfn.XLOOKUP($S202:$AL202,增益!$A:$A,增益!$I:$I,0)))/100)</f>
        <v>-0.14</v>
      </c>
      <c r="BB202" s="40" cm="1">
        <f t="array" ref="BB202">$G$11+VLOOKUP($R202,武学奇术!$A:$ZZ,10,FALSE)+SUM(_xlfn.XLOOKUP($S202:$AL202,增益!$A:$A,增益!$J:$J,0))</f>
        <v>0.02</v>
      </c>
      <c r="BC202">
        <f t="shared" si="112"/>
        <v>640.3</v>
      </c>
      <c r="BD202">
        <f t="shared" si="113"/>
        <v>1770.1</v>
      </c>
      <c r="BE202" s="40" cm="1">
        <f t="array" ref="BE202">IF($F$12-$I$4+VLOOKUP($R202,武学奇术!$A:$ZZ,11,FALSE)+SUM(_xlfn.XLOOKUP($S202:$AL202,增益!$A:$A,增益!$K:$K,0))&gt;0,($F$12-$I$4+VLOOKUP($R202,武学奇术!$A:$ZZ,11,FALSE)+SUM(_xlfn.XLOOKUP($S202:$AL202,增益!$A:$A,增益!$K:$K,0)))/200,($F$12-$I$4+VLOOKUP($R202,武学奇术!$A:$ZZ,11,FALSE)+SUM(_xlfn.XLOOKUP($S202:$AL202,增益!$A:$A,增益!$K:$K,0)))/100)</f>
        <v>0.17</v>
      </c>
      <c r="BF202" s="40" cm="1">
        <f t="array" ref="BF202">$G$12+VLOOKUP($R202,武学奇术!$A:$ZZ,12,FALSE)+SUM(_xlfn.XLOOKUP($S202:$AL202,增益!$A:$A,增益!$L:$L,0))</f>
        <v>0.29</v>
      </c>
      <c r="BG202">
        <f t="shared" si="114"/>
        <v>0</v>
      </c>
      <c r="BH202">
        <f t="shared" si="115"/>
        <v>0</v>
      </c>
      <c r="BI202" s="40" cm="1">
        <f t="array" ref="BI202">IF($F$13-$I$4+VLOOKUP($R202,武学奇术!$A:$ZZ,13,FALSE)+SUM(_xlfn.XLOOKUP($S202:$AL202,增益!$A:$A,增益!$M:$M,0))&gt;0,($F$13-$I$4+VLOOKUP($R202,武学奇术!$A:$ZZ,13,FALSE)+SUM(_xlfn.XLOOKUP($S202:$AL202,增益!$A:$A,增益!$K:$K,0)))/200,($F$13-$I$4+VLOOKUP($R202,武学奇术!$A:$ZZ,13,FALSE)+SUM(_xlfn.XLOOKUP($S202:$AL202,增益!$A:$A,增益!$M:$M,0)))/100)</f>
        <v>-0.14</v>
      </c>
      <c r="BJ202" s="40" cm="1">
        <f t="array" ref="BJ202">$G$13+VLOOKUP($R202,武学奇术!$A:$ZZ,14,FALSE)+SUM(_xlfn.XLOOKUP($S202:$AL202,增益!$A:$A,增益!$N:$N,0))</f>
        <v>0.02</v>
      </c>
      <c r="BK202">
        <f t="shared" si="116"/>
        <v>0</v>
      </c>
      <c r="BL202">
        <f t="shared" si="117"/>
        <v>0</v>
      </c>
      <c r="BM202" s="40" cm="1">
        <f t="array" ref="BM202">IF($F$14-$I$4+VLOOKUP($R202,武学奇术!$A:$ZZ,15,FALSE)+SUM(_xlfn.XLOOKUP($S202:$AL202,增益!$A:$A,增益!$O:$O,0))&gt;0,($F$14-$I$4+VLOOKUP($R202,武学奇术!$A:$ZZ,15,FALSE)+SUM(_xlfn.XLOOKUP($S202:$AL202,增益!$A:$A,增益!$O:$O,0)))/200,($F$14-$I$4+VLOOKUP($R202,武学奇术!$A:$ZZ,15,FALSE)+SUM(_xlfn.XLOOKUP($S202:$AL202,增益!$A:$A,增益!$O:$O,0)))/100)</f>
        <v>-0.14</v>
      </c>
      <c r="BN202" s="40" cm="1">
        <f t="array" ref="BN202">$G$14+VLOOKUP($R202,武学奇术!$A:$ZZ,16,FALSE)+SUM(_xlfn.XLOOKUP($S202:$AL202,增益!$A:$A,增益!$P:$P,0))</f>
        <v>0.02</v>
      </c>
      <c r="BO202" s="33">
        <f>MIN(IF(VLOOKUP($R202,武学奇术!$A:$ZZ,23,FALSE)=1,100%,$B$8),100%)</f>
        <v>0.9771</v>
      </c>
      <c r="BP202" s="33" cm="1">
        <f t="array" ref="BP202">IF(VLOOKUP($R202,武学奇术!$A:$ZZ,23,FALSE)=1,100%,MIN(80%,$B$9+VLOOKUP($R202,武学奇术!$A:$ZZ,17,FALSE)+SUM(_xlfn.XLOOKUP($S202:$AL202,增益!$A:$A,增益!$Q:$Q,0)))+$B$11+SUM(_xlfn.XLOOKUP($S202:$AL202,增益!$A:$A,增益!$U:$U,0)))*IF(VLOOKUP($R202,武学奇术!$A:$ZZ,24,FALSE)=1,0,1)</f>
        <v>0.8861</v>
      </c>
      <c r="BQ202" s="33" cm="1">
        <f t="array" ref="BQ202">1+$B$13+VLOOKUP($R202,武学奇术!$A:$ZZ,18,FALSE)+SUM(_xlfn.XLOOKUP($S202:$AL202,增益!$A:$A,增益!$R:$R,0))</f>
        <v>2</v>
      </c>
      <c r="BR202" s="33" cm="1">
        <f t="array" ref="BR202">IF(VLOOKUP($R202,武学奇术!$A:$ZZ,24,FALSE)=1,100%,MIN(40%,$B$10+VLOOKUP($R202,武学奇术!$A:$ZZ,19,FALSE)+SUM(_xlfn.XLOOKUP($S202:$AL202,增益!$A:$A,增益!$S:$S,0)))+$B$12+SUM(_xlfn.XLOOKUP($S202:$AL202,增益!$A:$A,增益!$V:$V,0)))*IF(VLOOKUP($R202,武学奇术!$A:$ZZ,23,FALSE)=1,0,1)</f>
        <v>0.0913</v>
      </c>
      <c r="BS202" s="33" cm="1">
        <f t="array" ref="BS202">1+$B$14+VLOOKUP($R202,武学奇术!$A:$ZZ,20,FALSE)+SUM(_xlfn.XLOOKUP($S202:$AL202,增益!$A:$A,增益!$T:$T,0))</f>
        <v>1.35</v>
      </c>
      <c r="BT202" s="33">
        <f t="shared" si="118"/>
        <v>0.86580831</v>
      </c>
      <c r="BU202" s="33">
        <f t="shared" si="119"/>
        <v>0.02208246</v>
      </c>
      <c r="BV202" s="33">
        <f>IF(VLOOKUP($R202,武学奇术!$A:$ZZ,22,FALSE)=1,0,(1-$BO202))*(1-$BR202)</f>
        <v>0.02080923</v>
      </c>
      <c r="BW202" s="33" cm="1">
        <f t="array" ref="BW202">SUM(_xlfn.XLOOKUP($S202:$AL202,增益!$A:$A,增益!$W:$W,0))+$I$5</f>
        <v>0.11</v>
      </c>
      <c r="BX202" s="33" cm="1">
        <f t="array" ref="BX202">VLOOKUP($R202,武学奇术!$A:$ZZ,32,FALSE)+SUM(_xlfn.XLOOKUP($S202:$AL202,增益!$A:$A,增益!$X:$X,0))</f>
        <v>0</v>
      </c>
    </row>
    <row r="203" spans="12:76">
      <c r="L203" s="46">
        <f t="shared" si="108"/>
        <v>0</v>
      </c>
      <c r="M203" s="46">
        <f>((($AT203+$AU203)/2*$AN203+$AO203)*(1+$AV203)*(1+$AW203)+(($AY203+$AZ203)/2*IF($G$1="鸣金",$AP203,$AN203)+IF($G$1="鸣金",$AQ203*1.5,0))*(1+$BA203)*(1+$BB203)+(($BC203+$BD203)/2*IF($G$1="裂石",$AP203,$AN203)+IF($G$1="裂石",$AQ203*1.5,0))*(1+$BE203)*(1+$BF203)+(($BG203+$BH203)/2*IF($G$1="牵丝",$AP203,$AN203)+IF($G$1="牵丝",$AQ203*1.5,0))*(1+$BI203)*(1+$BJ203)+(($BK203+$BL203)/2*IF($G$1="破竹",$AP203,$AN203)+IF($G$1="破竹",$AQ203*1.5,0))*(1+$BM203)*(1+$BN203))*(1+$AR203)*$BQ203*$Q203*(1+IF(VLOOKUP($R203,武学奇术!$A:$ZZ,30,FALSE)="蓄力技",$B$21,0))*(1+IF(VLOOKUP($R203,武学奇术!$A:$ZZ,30,FALSE)="派生技",$B$20,0))*(1+$BW203)*(1+$BX203)</f>
        <v>0</v>
      </c>
      <c r="N203" s="46">
        <f>(($AU203*$AN203+$AO203)*(1+$AV203)*(1+$AW203)+($AZ203*IF($G$1="鸣金",$AP203,$AN203)+IF($G$1="鸣金",$AQ203*1.5,0))*(1+$BA203)*(1+$BB203)+($BD203*IF($G$1="裂石",$AP203,$AN203)+IF($G$1="裂石",$AQ203*1.5,0))*(1+$BE203)*(1+$BF203)+($BH203*IF($G$1="牵丝",$AP203,$AN203)+IF($G$1="牵丝",$AQ203*1.5,0))*(1+$BI203)*(1+$BJ203)+($BL203*IF($G$1="破竹",$AP203,$AN203)+IF($G$1="破竹",$AQ203*1.5,0))*(1+$BM203)*(1+$BN203))*(1+$AR203)*$BS203*$Q203*(1+IF(VLOOKUP($R203,武学奇术!$A:$ZZ,30,FALSE)="蓄力技",$B$21,0))*(1+IF(VLOOKUP($R203,武学奇术!$A:$ZZ,30,FALSE)="派生技",$B$20,0))*(1+$BW203)*(1+$BX203)</f>
        <v>0</v>
      </c>
      <c r="O203" s="46">
        <f>((($AT203+$AU203)/2*$AN203+$AO203)*(1+$AV203)*(1+$AW203)+(($AY203+$AZ203)/2*IF($G$1="鸣金",$AP203,$AN203)+IF($G$1="鸣金",$AQ203*1.5,0))*(1+$BA203)*(1+$BB203)+(($BC203+$BD203)/2*IF($G$1="裂石",$AP203,$AN203)+IF($G$1="裂石",$AQ203*1.5,0))*(1+$BE203)*(1+$BF203)+(($BG203+$BH203)/2*IF($G$1="牵丝",$AP203,$AN203)+IF($G$1="牵丝",$AQ203*1.5,0))*(1+$BI203)*(1+$BJ203)+(($BK203+$BL203)/2*IF($G$1="破竹",$AP203,$AN203)+IF($G$1="破竹",$AQ203*1.5,0))*(1+$BM203)*(1+$BN203))*(1+$AR203)*$Q203*(1+IF(VLOOKUP($R203,武学奇术!$A:$ZZ,30,FALSE)="蓄力技",$B$21,0))*(1+IF(VLOOKUP($R203,武学奇术!$A:$ZZ,30,FALSE)="派生技",$B$20,0))*(1+$BW203)*(1+$BX203)</f>
        <v>0</v>
      </c>
      <c r="P203" s="46">
        <f>((($AT203*$AN203+$AO203)*(1+$AV203)*(1+$AW203)+($AY203*IF($G$1="鸣金",$AP203,$AN203)+IF($G$1="鸣金",$AQ203*1.5,0))*(1+$BA203)*(1+$BB203)+($BC203*IF($G$1="裂石",$AP203,$AN203)+IF($G$1="裂石",$AQ203*1.5,0))*(1+$BE203)*(1+$BF203)+($BG203*IF($G$1="牵丝",$AP203,$AN203)+IF($G$1="牵丝",$AQ203*1.5,0))*(1+$BI203)*(1+$BJ203)+($BK203*IF($G$1="破竹",$AP203,$AN203)+IF($G$1="破竹",$AQ203*1.5,0))*(1+$BM203)*(1+$BN203))*(1+$AR203))*$Q203*(1+IF(VLOOKUP($R203,武学奇术!$A:$ZZ,30,FALSE)="蓄力技",$B$21,0))*(1+IF(VLOOKUP($R203,武学奇术!$A:$ZZ,30,FALSE)="派生技",$B$20,0))*(1+$BW203)*(1+$BX203)</f>
        <v>0</v>
      </c>
      <c r="Q203" s="47">
        <f t="shared" si="109"/>
        <v>0</v>
      </c>
      <c r="R203" s="48" t="s">
        <v>122</v>
      </c>
      <c r="S203" s="48" t="s">
        <v>99</v>
      </c>
      <c r="T203" s="48" t="s">
        <v>182</v>
      </c>
      <c r="U203" s="48" t="s">
        <v>79</v>
      </c>
      <c r="V203" s="48" t="s">
        <v>90</v>
      </c>
      <c r="W203" s="48" t="s">
        <v>141</v>
      </c>
      <c r="X203" s="48" t="s">
        <v>80</v>
      </c>
      <c r="Y203" s="48" t="s">
        <v>74</v>
      </c>
      <c r="Z203" s="48" t="s">
        <v>80</v>
      </c>
      <c r="AA203" s="48" t="s">
        <v>80</v>
      </c>
      <c r="AB203" s="48" t="s">
        <v>80</v>
      </c>
      <c r="AC203" s="48" t="s">
        <v>80</v>
      </c>
      <c r="AD203" s="48" t="s">
        <v>80</v>
      </c>
      <c r="AE203" s="48" t="s">
        <v>82</v>
      </c>
      <c r="AF203" s="48" t="s">
        <v>83</v>
      </c>
      <c r="AG203" s="48" t="s">
        <v>84</v>
      </c>
      <c r="AH203" s="48" t="s">
        <v>80</v>
      </c>
      <c r="AI203" s="48" t="s">
        <v>80</v>
      </c>
      <c r="AJ203" s="48" t="s">
        <v>80</v>
      </c>
      <c r="AK203" s="48" t="s">
        <v>80</v>
      </c>
      <c r="AL203" s="48" t="s">
        <v>85</v>
      </c>
      <c r="AM203" t="str">
        <f>VLOOKUP($R203,武学奇术!$A:$ZZ,25,FALSE)</f>
        <v>横刀</v>
      </c>
      <c r="AN203" s="33">
        <f>VLOOKUP($R203,武学奇术!$A:$ZZ,26,FALSE)</f>
        <v>1.47</v>
      </c>
      <c r="AO203" s="34">
        <f>VLOOKUP($R203,武学奇术!$A:$ZZ,27,FALSE)*(1+IF(OR($AM203=$F$4,$AM203=$F$5),$B$22,0))</f>
        <v>0</v>
      </c>
      <c r="AP203" s="33">
        <f>VLOOKUP($R203,武学奇术!$A:$ZZ,28,FALSE)</f>
        <v>2.205</v>
      </c>
      <c r="AQ203" s="34">
        <f>VLOOKUP($R203,武学奇术!$A:$ZZ,29,FALSE)*(1+IF(OR($AM203=$F$4,$AM203=$F$5),$B$22,0))</f>
        <v>0</v>
      </c>
      <c r="AR203" s="33" cm="1">
        <f t="array" ref="AR203">$G$3+IFERROR(VLOOKUP($AM203,$F$4:$G$7,2,FALSE),0)+VLOOKUP($R203,武学奇术!$A:$ZZ,2,FALSE)+SUM(_xlfn.XLOOKUP($S203:$AL203,增益!$A:$A,增益!$B:$B,0))</f>
        <v>0.6089</v>
      </c>
      <c r="AS203" s="33" cm="1">
        <f t="array" ref="AS203">VLOOKUP($R203,武学奇术!$A:$ZZ,5,FALSE)+SUM(_xlfn.XLOOKUP($S203:$AL203,增益!$A:$A,增益!$E:$E,0))</f>
        <v>0</v>
      </c>
      <c r="AT203" cm="1">
        <f t="array" ref="AT203">$D$10*(1+$AS203)+VLOOKUP($R203,武学奇术!$A:$ZZ,3,FALSE)+SUM(_xlfn.XLOOKUP($S203:$AL203,增益!$A:$A,增益!$C:$C,0))-$I$2</f>
        <v>4094.7</v>
      </c>
      <c r="AU203" cm="1">
        <f t="array" ref="AU203">$E$10*(1+$AS203)+VLOOKUP($R203,武学奇术!$A:$ZZ,4,FALSE)+SUM(_xlfn.XLOOKUP($S203:$AL203,增益!$A:$A,增益!$D:$D,0))-$I$2</f>
        <v>4094.7</v>
      </c>
      <c r="AV203" s="40" cm="1">
        <f t="array" ref="AV203">IF($F$10-$I$3+VLOOKUP($R203,武学奇术!$A:$ZZ,6,FALSE)+SUM(_xlfn.XLOOKUP($S203:$AL203,增益!$A:$A,增益!$F:$F,0))&gt;0,($F$10-$I$3+VLOOKUP($R203,武学奇术!$A:$ZZ,6,FALSE)+SUM(_xlfn.XLOOKUP($S203:$AL203,增益!$A:$A,增益!$F:$F,0)))/200,($F$10-$I$3+VLOOKUP($R203,武学奇术!$A:$ZZ,6,FALSE)+SUM(_xlfn.XLOOKUP($S203:$AL203,增益!$A:$A,增益!$F:$F,0)))/100)</f>
        <v>0.4384</v>
      </c>
      <c r="AW203" s="40" cm="1">
        <f t="array" ref="AW203">$G$10+VLOOKUP($R203,武学奇术!$A:$ZZ,7,FALSE)+SUM(_xlfn.XLOOKUP($S203:$AL203,增益!$A:$A,增益!$G:$G,0))</f>
        <v>0.14</v>
      </c>
      <c r="AX203" s="33" cm="1">
        <f t="array" ref="AX203">VLOOKUP($R203,武学奇术!$A:$ZZ,8,FALSE)+SUM(_xlfn.XLOOKUP($S203:$AL203,增益!$A:$A,增益!$H:$H,0))</f>
        <v>0</v>
      </c>
      <c r="AY203">
        <f t="shared" si="110"/>
        <v>0</v>
      </c>
      <c r="AZ203">
        <f t="shared" si="111"/>
        <v>0</v>
      </c>
      <c r="BA203" s="40" cm="1">
        <f t="array" ref="BA203">IF($F$11-$I$4+VLOOKUP($R203,武学奇术!$A:$ZZ,9,FALSE)+SUM(_xlfn.XLOOKUP($S203:$AL203,增益!$A:$A,增益!$I:$I,0))&gt;0,($F$11-$I$4+VLOOKUP($R203,武学奇术!$A:$ZZ,9,FALSE)+SUM(_xlfn.XLOOKUP($S203:$AL203,增益!$A:$A,增益!$I:$I,0)))/200,($F$11-$I$4+VLOOKUP($R203,武学奇术!$A:$ZZ,9,FALSE)+SUM(_xlfn.XLOOKUP($S203:$AL203,增益!$A:$A,增益!$I:$I,0)))/100)</f>
        <v>-0.14</v>
      </c>
      <c r="BB203" s="40" cm="1">
        <f t="array" ref="BB203">$G$11+VLOOKUP($R203,武学奇术!$A:$ZZ,10,FALSE)+SUM(_xlfn.XLOOKUP($S203:$AL203,增益!$A:$A,增益!$J:$J,0))</f>
        <v>0.02</v>
      </c>
      <c r="BC203">
        <f t="shared" si="112"/>
        <v>640.3</v>
      </c>
      <c r="BD203">
        <f t="shared" si="113"/>
        <v>1770.1</v>
      </c>
      <c r="BE203" s="40" cm="1">
        <f t="array" ref="BE203">IF($F$12-$I$4+VLOOKUP($R203,武学奇术!$A:$ZZ,11,FALSE)+SUM(_xlfn.XLOOKUP($S203:$AL203,增益!$A:$A,增益!$K:$K,0))&gt;0,($F$12-$I$4+VLOOKUP($R203,武学奇术!$A:$ZZ,11,FALSE)+SUM(_xlfn.XLOOKUP($S203:$AL203,增益!$A:$A,增益!$K:$K,0)))/200,($F$12-$I$4+VLOOKUP($R203,武学奇术!$A:$ZZ,11,FALSE)+SUM(_xlfn.XLOOKUP($S203:$AL203,增益!$A:$A,增益!$K:$K,0)))/100)</f>
        <v>0.17</v>
      </c>
      <c r="BF203" s="40" cm="1">
        <f t="array" ref="BF203">$G$12+VLOOKUP($R203,武学奇术!$A:$ZZ,12,FALSE)+SUM(_xlfn.XLOOKUP($S203:$AL203,增益!$A:$A,增益!$L:$L,0))</f>
        <v>0.29</v>
      </c>
      <c r="BG203">
        <f t="shared" si="114"/>
        <v>0</v>
      </c>
      <c r="BH203">
        <f t="shared" si="115"/>
        <v>0</v>
      </c>
      <c r="BI203" s="40" cm="1">
        <f t="array" ref="BI203">IF($F$13-$I$4+VLOOKUP($R203,武学奇术!$A:$ZZ,13,FALSE)+SUM(_xlfn.XLOOKUP($S203:$AL203,增益!$A:$A,增益!$M:$M,0))&gt;0,($F$13-$I$4+VLOOKUP($R203,武学奇术!$A:$ZZ,13,FALSE)+SUM(_xlfn.XLOOKUP($S203:$AL203,增益!$A:$A,增益!$K:$K,0)))/200,($F$13-$I$4+VLOOKUP($R203,武学奇术!$A:$ZZ,13,FALSE)+SUM(_xlfn.XLOOKUP($S203:$AL203,增益!$A:$A,增益!$M:$M,0)))/100)</f>
        <v>-0.14</v>
      </c>
      <c r="BJ203" s="40" cm="1">
        <f t="array" ref="BJ203">$G$13+VLOOKUP($R203,武学奇术!$A:$ZZ,14,FALSE)+SUM(_xlfn.XLOOKUP($S203:$AL203,增益!$A:$A,增益!$N:$N,0))</f>
        <v>0.02</v>
      </c>
      <c r="BK203">
        <f t="shared" si="116"/>
        <v>0</v>
      </c>
      <c r="BL203">
        <f t="shared" si="117"/>
        <v>0</v>
      </c>
      <c r="BM203" s="40" cm="1">
        <f t="array" ref="BM203">IF($F$14-$I$4+VLOOKUP($R203,武学奇术!$A:$ZZ,15,FALSE)+SUM(_xlfn.XLOOKUP($S203:$AL203,增益!$A:$A,增益!$O:$O,0))&gt;0,($F$14-$I$4+VLOOKUP($R203,武学奇术!$A:$ZZ,15,FALSE)+SUM(_xlfn.XLOOKUP($S203:$AL203,增益!$A:$A,增益!$O:$O,0)))/200,($F$14-$I$4+VLOOKUP($R203,武学奇术!$A:$ZZ,15,FALSE)+SUM(_xlfn.XLOOKUP($S203:$AL203,增益!$A:$A,增益!$O:$O,0)))/100)</f>
        <v>-0.14</v>
      </c>
      <c r="BN203" s="40" cm="1">
        <f t="array" ref="BN203">$G$14+VLOOKUP($R203,武学奇术!$A:$ZZ,16,FALSE)+SUM(_xlfn.XLOOKUP($S203:$AL203,增益!$A:$A,增益!$P:$P,0))</f>
        <v>0.02</v>
      </c>
      <c r="BO203" s="33">
        <f>MIN(IF(VLOOKUP($R203,武学奇术!$A:$ZZ,23,FALSE)=1,100%,$B$8),100%)</f>
        <v>0.9771</v>
      </c>
      <c r="BP203" s="33" cm="1">
        <f t="array" ref="BP203">IF(VLOOKUP($R203,武学奇术!$A:$ZZ,23,FALSE)=1,100%,MIN(80%,$B$9+VLOOKUP($R203,武学奇术!$A:$ZZ,17,FALSE)+SUM(_xlfn.XLOOKUP($S203:$AL203,增益!$A:$A,增益!$Q:$Q,0)))+$B$11+SUM(_xlfn.XLOOKUP($S203:$AL203,增益!$A:$A,增益!$U:$U,0)))*IF(VLOOKUP($R203,武学奇术!$A:$ZZ,24,FALSE)=1,0,1)</f>
        <v>0.8861</v>
      </c>
      <c r="BQ203" s="33" cm="1">
        <f t="array" ref="BQ203">1+$B$13+VLOOKUP($R203,武学奇术!$A:$ZZ,18,FALSE)+SUM(_xlfn.XLOOKUP($S203:$AL203,增益!$A:$A,增益!$R:$R,0))</f>
        <v>2</v>
      </c>
      <c r="BR203" s="33" cm="1">
        <f t="array" ref="BR203">IF(VLOOKUP($R203,武学奇术!$A:$ZZ,24,FALSE)=1,100%,MIN(40%,$B$10+VLOOKUP($R203,武学奇术!$A:$ZZ,19,FALSE)+SUM(_xlfn.XLOOKUP($S203:$AL203,增益!$A:$A,增益!$S:$S,0)))+$B$12+SUM(_xlfn.XLOOKUP($S203:$AL203,增益!$A:$A,增益!$V:$V,0)))*IF(VLOOKUP($R203,武学奇术!$A:$ZZ,23,FALSE)=1,0,1)</f>
        <v>0.0913</v>
      </c>
      <c r="BS203" s="33" cm="1">
        <f t="array" ref="BS203">1+$B$14+VLOOKUP($R203,武学奇术!$A:$ZZ,20,FALSE)+SUM(_xlfn.XLOOKUP($S203:$AL203,增益!$A:$A,增益!$T:$T,0))</f>
        <v>1.35</v>
      </c>
      <c r="BT203" s="33">
        <f t="shared" si="118"/>
        <v>0.86580831</v>
      </c>
      <c r="BU203" s="33">
        <f t="shared" si="119"/>
        <v>0.02208246</v>
      </c>
      <c r="BV203" s="33">
        <f>IF(VLOOKUP($R203,武学奇术!$A:$ZZ,22,FALSE)=1,0,(1-$BO203))*(1-$BR203)</f>
        <v>0.02080923</v>
      </c>
      <c r="BW203" s="33" cm="1">
        <f t="array" ref="BW203">SUM(_xlfn.XLOOKUP($S203:$AL203,增益!$A:$A,增益!$W:$W,0))+$I$5</f>
        <v>0.11</v>
      </c>
      <c r="BX203" s="33" cm="1">
        <f t="array" ref="BX203">VLOOKUP($R203,武学奇术!$A:$ZZ,32,FALSE)+SUM(_xlfn.XLOOKUP($S203:$AL203,增益!$A:$A,增益!$X:$X,0))</f>
        <v>0</v>
      </c>
    </row>
    <row r="204" spans="12:76">
      <c r="L204" s="46">
        <f t="shared" si="108"/>
        <v>0</v>
      </c>
      <c r="M204" s="46">
        <f>((($AT204+$AU204)/2*$AN204+$AO204)*(1+$AV204)*(1+$AW204)+(($AY204+$AZ204)/2*IF($G$1="鸣金",$AP204,$AN204)+IF($G$1="鸣金",$AQ204*1.5,0))*(1+$BA204)*(1+$BB204)+(($BC204+$BD204)/2*IF($G$1="裂石",$AP204,$AN204)+IF($G$1="裂石",$AQ204*1.5,0))*(1+$BE204)*(1+$BF204)+(($BG204+$BH204)/2*IF($G$1="牵丝",$AP204,$AN204)+IF($G$1="牵丝",$AQ204*1.5,0))*(1+$BI204)*(1+$BJ204)+(($BK204+$BL204)/2*IF($G$1="破竹",$AP204,$AN204)+IF($G$1="破竹",$AQ204*1.5,0))*(1+$BM204)*(1+$BN204))*(1+$AR204)*$BQ204*$Q204*(1+IF(VLOOKUP($R204,武学奇术!$A:$ZZ,30,FALSE)="蓄力技",$B$21,0))*(1+IF(VLOOKUP($R204,武学奇术!$A:$ZZ,30,FALSE)="派生技",$B$20,0))*(1+$BW204)*(1+$BX204)</f>
        <v>0</v>
      </c>
      <c r="N204" s="46">
        <f>(($AU204*$AN204+$AO204)*(1+$AV204)*(1+$AW204)+($AZ204*IF($G$1="鸣金",$AP204,$AN204)+IF($G$1="鸣金",$AQ204*1.5,0))*(1+$BA204)*(1+$BB204)+($BD204*IF($G$1="裂石",$AP204,$AN204)+IF($G$1="裂石",$AQ204*1.5,0))*(1+$BE204)*(1+$BF204)+($BH204*IF($G$1="牵丝",$AP204,$AN204)+IF($G$1="牵丝",$AQ204*1.5,0))*(1+$BI204)*(1+$BJ204)+($BL204*IF($G$1="破竹",$AP204,$AN204)+IF($G$1="破竹",$AQ204*1.5,0))*(1+$BM204)*(1+$BN204))*(1+$AR204)*$BS204*$Q204*(1+IF(VLOOKUP($R204,武学奇术!$A:$ZZ,30,FALSE)="蓄力技",$B$21,0))*(1+IF(VLOOKUP($R204,武学奇术!$A:$ZZ,30,FALSE)="派生技",$B$20,0))*(1+$BW204)*(1+$BX204)</f>
        <v>0</v>
      </c>
      <c r="O204" s="46">
        <f>((($AT204+$AU204)/2*$AN204+$AO204)*(1+$AV204)*(1+$AW204)+(($AY204+$AZ204)/2*IF($G$1="鸣金",$AP204,$AN204)+IF($G$1="鸣金",$AQ204*1.5,0))*(1+$BA204)*(1+$BB204)+(($BC204+$BD204)/2*IF($G$1="裂石",$AP204,$AN204)+IF($G$1="裂石",$AQ204*1.5,0))*(1+$BE204)*(1+$BF204)+(($BG204+$BH204)/2*IF($G$1="牵丝",$AP204,$AN204)+IF($G$1="牵丝",$AQ204*1.5,0))*(1+$BI204)*(1+$BJ204)+(($BK204+$BL204)/2*IF($G$1="破竹",$AP204,$AN204)+IF($G$1="破竹",$AQ204*1.5,0))*(1+$BM204)*(1+$BN204))*(1+$AR204)*$Q204*(1+IF(VLOOKUP($R204,武学奇术!$A:$ZZ,30,FALSE)="蓄力技",$B$21,0))*(1+IF(VLOOKUP($R204,武学奇术!$A:$ZZ,30,FALSE)="派生技",$B$20,0))*(1+$BW204)*(1+$BX204)</f>
        <v>0</v>
      </c>
      <c r="P204" s="46">
        <f>((($AT204*$AN204+$AO204)*(1+$AV204)*(1+$AW204)+($AY204*IF($G$1="鸣金",$AP204,$AN204)+IF($G$1="鸣金",$AQ204*1.5,0))*(1+$BA204)*(1+$BB204)+($BC204*IF($G$1="裂石",$AP204,$AN204)+IF($G$1="裂石",$AQ204*1.5,0))*(1+$BE204)*(1+$BF204)+($BG204*IF($G$1="牵丝",$AP204,$AN204)+IF($G$1="牵丝",$AQ204*1.5,0))*(1+$BI204)*(1+$BJ204)+($BK204*IF($G$1="破竹",$AP204,$AN204)+IF($G$1="破竹",$AQ204*1.5,0))*(1+$BM204)*(1+$BN204))*(1+$AR204))*$Q204*(1+IF(VLOOKUP($R204,武学奇术!$A:$ZZ,30,FALSE)="蓄力技",$B$21,0))*(1+IF(VLOOKUP($R204,武学奇术!$A:$ZZ,30,FALSE)="派生技",$B$20,0))*(1+$BW204)*(1+$BX204)</f>
        <v>0</v>
      </c>
      <c r="Q204" s="47">
        <f t="shared" si="109"/>
        <v>0</v>
      </c>
      <c r="R204" s="48" t="s">
        <v>172</v>
      </c>
      <c r="S204" s="48" t="s">
        <v>99</v>
      </c>
      <c r="T204" s="48" t="s">
        <v>182</v>
      </c>
      <c r="U204" s="48" t="s">
        <v>80</v>
      </c>
      <c r="V204" s="48" t="s">
        <v>90</v>
      </c>
      <c r="W204" s="48" t="s">
        <v>141</v>
      </c>
      <c r="X204" s="48" t="s">
        <v>80</v>
      </c>
      <c r="Y204" s="48" t="s">
        <v>74</v>
      </c>
      <c r="Z204" s="48" t="s">
        <v>80</v>
      </c>
      <c r="AA204" s="48" t="s">
        <v>80</v>
      </c>
      <c r="AB204" s="48" t="s">
        <v>80</v>
      </c>
      <c r="AC204" s="48" t="s">
        <v>80</v>
      </c>
      <c r="AD204" s="48" t="s">
        <v>80</v>
      </c>
      <c r="AE204" s="48" t="s">
        <v>82</v>
      </c>
      <c r="AF204" s="48" t="s">
        <v>83</v>
      </c>
      <c r="AG204" s="48" t="s">
        <v>84</v>
      </c>
      <c r="AH204" s="48" t="s">
        <v>80</v>
      </c>
      <c r="AI204" s="48" t="s">
        <v>80</v>
      </c>
      <c r="AJ204" s="48" t="s">
        <v>80</v>
      </c>
      <c r="AK204" s="48" t="s">
        <v>80</v>
      </c>
      <c r="AL204" s="48" t="s">
        <v>85</v>
      </c>
      <c r="AM204" t="str">
        <f>VLOOKUP($R204,武学奇术!$A:$ZZ,25,FALSE)</f>
        <v>陌刀</v>
      </c>
      <c r="AN204" s="33">
        <f>VLOOKUP($R204,武学奇术!$A:$ZZ,26,FALSE)</f>
        <v>3.5256</v>
      </c>
      <c r="AO204" s="34">
        <f>VLOOKUP($R204,武学奇术!$A:$ZZ,27,FALSE)*(1+IF(OR($AM204=$F$4,$AM204=$F$5),$B$22,0))</f>
        <v>846.144</v>
      </c>
      <c r="AP204" s="33">
        <f>VLOOKUP($R204,武学奇术!$A:$ZZ,28,FALSE)</f>
        <v>5.2884</v>
      </c>
      <c r="AQ204" s="34">
        <f>VLOOKUP($R204,武学奇术!$A:$ZZ,29,FALSE)*(1+IF(OR($AM204=$F$4,$AM204=$F$5),$B$22,0))</f>
        <v>851.2</v>
      </c>
      <c r="AR204" s="33" cm="1">
        <f t="array" ref="AR204">$G$3+IFERROR(VLOOKUP($AM204,$F$4:$G$7,2,FALSE),0)+VLOOKUP($R204,武学奇术!$A:$ZZ,2,FALSE)+SUM(_xlfn.XLOOKUP($S204:$AL204,增益!$A:$A,增益!$B:$B,0))</f>
        <v>0.6943</v>
      </c>
      <c r="AS204" s="33" cm="1">
        <f t="array" ref="AS204">VLOOKUP($R204,武学奇术!$A:$ZZ,5,FALSE)+SUM(_xlfn.XLOOKUP($S204:$AL204,增益!$A:$A,增益!$E:$E,0))</f>
        <v>0</v>
      </c>
      <c r="AT204" cm="1">
        <f t="array" ref="AT204">$D$10*(1+$AS204)+VLOOKUP($R204,武学奇术!$A:$ZZ,3,FALSE)+SUM(_xlfn.XLOOKUP($S204:$AL204,增益!$A:$A,增益!$C:$C,0))-$I$2</f>
        <v>4094.7</v>
      </c>
      <c r="AU204" cm="1">
        <f t="array" ref="AU204">$E$10*(1+$AS204)+VLOOKUP($R204,武学奇术!$A:$ZZ,4,FALSE)+SUM(_xlfn.XLOOKUP($S204:$AL204,增益!$A:$A,增益!$D:$D,0))-$I$2</f>
        <v>4094.7</v>
      </c>
      <c r="AV204" s="40" cm="1">
        <f t="array" ref="AV204">IF($F$10-$I$3+VLOOKUP($R204,武学奇术!$A:$ZZ,6,FALSE)+SUM(_xlfn.XLOOKUP($S204:$AL204,增益!$A:$A,增益!$F:$F,0))&gt;0,($F$10-$I$3+VLOOKUP($R204,武学奇术!$A:$ZZ,6,FALSE)+SUM(_xlfn.XLOOKUP($S204:$AL204,增益!$A:$A,增益!$F:$F,0)))/200,($F$10-$I$3+VLOOKUP($R204,武学奇术!$A:$ZZ,6,FALSE)+SUM(_xlfn.XLOOKUP($S204:$AL204,增益!$A:$A,增益!$F:$F,0)))/100)</f>
        <v>0.4384</v>
      </c>
      <c r="AW204" s="40" cm="1">
        <f t="array" ref="AW204">$G$10+VLOOKUP($R204,武学奇术!$A:$ZZ,7,FALSE)+SUM(_xlfn.XLOOKUP($S204:$AL204,增益!$A:$A,增益!$G:$G,0))</f>
        <v>0.02</v>
      </c>
      <c r="AX204" s="33" cm="1">
        <f t="array" ref="AX204">VLOOKUP($R204,武学奇术!$A:$ZZ,8,FALSE)+SUM(_xlfn.XLOOKUP($S204:$AL204,增益!$A:$A,增益!$H:$H,0))</f>
        <v>0</v>
      </c>
      <c r="AY204">
        <f t="shared" si="110"/>
        <v>0</v>
      </c>
      <c r="AZ204">
        <f t="shared" si="111"/>
        <v>0</v>
      </c>
      <c r="BA204" s="40" cm="1">
        <f t="array" ref="BA204">IF($F$11-$I$4+VLOOKUP($R204,武学奇术!$A:$ZZ,9,FALSE)+SUM(_xlfn.XLOOKUP($S204:$AL204,增益!$A:$A,增益!$I:$I,0))&gt;0,($F$11-$I$4+VLOOKUP($R204,武学奇术!$A:$ZZ,9,FALSE)+SUM(_xlfn.XLOOKUP($S204:$AL204,增益!$A:$A,增益!$I:$I,0)))/200,($F$11-$I$4+VLOOKUP($R204,武学奇术!$A:$ZZ,9,FALSE)+SUM(_xlfn.XLOOKUP($S204:$AL204,增益!$A:$A,增益!$I:$I,0)))/100)</f>
        <v>-0.14</v>
      </c>
      <c r="BB204" s="40" cm="1">
        <f t="array" ref="BB204">$G$11+VLOOKUP($R204,武学奇术!$A:$ZZ,10,FALSE)+SUM(_xlfn.XLOOKUP($S204:$AL204,增益!$A:$A,增益!$J:$J,0))</f>
        <v>0.02</v>
      </c>
      <c r="BC204">
        <f t="shared" si="112"/>
        <v>640.3</v>
      </c>
      <c r="BD204">
        <f t="shared" si="113"/>
        <v>1770.1</v>
      </c>
      <c r="BE204" s="40" cm="1">
        <f t="array" ref="BE204">IF($F$12-$I$4+VLOOKUP($R204,武学奇术!$A:$ZZ,11,FALSE)+SUM(_xlfn.XLOOKUP($S204:$AL204,增益!$A:$A,增益!$K:$K,0))&gt;0,($F$12-$I$4+VLOOKUP($R204,武学奇术!$A:$ZZ,11,FALSE)+SUM(_xlfn.XLOOKUP($S204:$AL204,增益!$A:$A,增益!$K:$K,0)))/200,($F$12-$I$4+VLOOKUP($R204,武学奇术!$A:$ZZ,11,FALSE)+SUM(_xlfn.XLOOKUP($S204:$AL204,增益!$A:$A,增益!$K:$K,0)))/100)</f>
        <v>0.17</v>
      </c>
      <c r="BF204" s="40" cm="1">
        <f t="array" ref="BF204">$G$12+VLOOKUP($R204,武学奇术!$A:$ZZ,12,FALSE)+SUM(_xlfn.XLOOKUP($S204:$AL204,增益!$A:$A,增益!$L:$L,0))</f>
        <v>0.17</v>
      </c>
      <c r="BG204">
        <f t="shared" si="114"/>
        <v>0</v>
      </c>
      <c r="BH204">
        <f t="shared" si="115"/>
        <v>0</v>
      </c>
      <c r="BI204" s="40" cm="1">
        <f t="array" ref="BI204">IF($F$13-$I$4+VLOOKUP($R204,武学奇术!$A:$ZZ,13,FALSE)+SUM(_xlfn.XLOOKUP($S204:$AL204,增益!$A:$A,增益!$M:$M,0))&gt;0,($F$13-$I$4+VLOOKUP($R204,武学奇术!$A:$ZZ,13,FALSE)+SUM(_xlfn.XLOOKUP($S204:$AL204,增益!$A:$A,增益!$K:$K,0)))/200,($F$13-$I$4+VLOOKUP($R204,武学奇术!$A:$ZZ,13,FALSE)+SUM(_xlfn.XLOOKUP($S204:$AL204,增益!$A:$A,增益!$M:$M,0)))/100)</f>
        <v>-0.14</v>
      </c>
      <c r="BJ204" s="40" cm="1">
        <f t="array" ref="BJ204">$G$13+VLOOKUP($R204,武学奇术!$A:$ZZ,14,FALSE)+SUM(_xlfn.XLOOKUP($S204:$AL204,增益!$A:$A,增益!$N:$N,0))</f>
        <v>0.02</v>
      </c>
      <c r="BK204">
        <f t="shared" si="116"/>
        <v>0</v>
      </c>
      <c r="BL204">
        <f t="shared" si="117"/>
        <v>0</v>
      </c>
      <c r="BM204" s="40" cm="1">
        <f t="array" ref="BM204">IF($F$14-$I$4+VLOOKUP($R204,武学奇术!$A:$ZZ,15,FALSE)+SUM(_xlfn.XLOOKUP($S204:$AL204,增益!$A:$A,增益!$O:$O,0))&gt;0,($F$14-$I$4+VLOOKUP($R204,武学奇术!$A:$ZZ,15,FALSE)+SUM(_xlfn.XLOOKUP($S204:$AL204,增益!$A:$A,增益!$O:$O,0)))/200,($F$14-$I$4+VLOOKUP($R204,武学奇术!$A:$ZZ,15,FALSE)+SUM(_xlfn.XLOOKUP($S204:$AL204,增益!$A:$A,增益!$O:$O,0)))/100)</f>
        <v>-0.14</v>
      </c>
      <c r="BN204" s="40" cm="1">
        <f t="array" ref="BN204">$G$14+VLOOKUP($R204,武学奇术!$A:$ZZ,16,FALSE)+SUM(_xlfn.XLOOKUP($S204:$AL204,增益!$A:$A,增益!$P:$P,0))</f>
        <v>0.02</v>
      </c>
      <c r="BO204" s="33">
        <f>MIN(IF(VLOOKUP($R204,武学奇术!$A:$ZZ,23,FALSE)=1,100%,$B$8),100%)</f>
        <v>0.9771</v>
      </c>
      <c r="BP204" s="33" cm="1">
        <f t="array" ref="BP204">IF(VLOOKUP($R204,武学奇术!$A:$ZZ,23,FALSE)=1,100%,MIN(80%,$B$9+VLOOKUP($R204,武学奇术!$A:$ZZ,17,FALSE)+SUM(_xlfn.XLOOKUP($S204:$AL204,增益!$A:$A,增益!$Q:$Q,0)))+$B$11+SUM(_xlfn.XLOOKUP($S204:$AL204,增益!$A:$A,增益!$U:$U,0)))*IF(VLOOKUP($R204,武学奇术!$A:$ZZ,24,FALSE)=1,0,1)</f>
        <v>0.8861</v>
      </c>
      <c r="BQ204" s="33" cm="1">
        <f t="array" ref="BQ204">1+$B$13+VLOOKUP($R204,武学奇术!$A:$ZZ,18,FALSE)+SUM(_xlfn.XLOOKUP($S204:$AL204,增益!$A:$A,增益!$R:$R,0))</f>
        <v>2</v>
      </c>
      <c r="BR204" s="33" cm="1">
        <f t="array" ref="BR204">IF(VLOOKUP($R204,武学奇术!$A:$ZZ,24,FALSE)=1,100%,MIN(40%,$B$10+VLOOKUP($R204,武学奇术!$A:$ZZ,19,FALSE)+SUM(_xlfn.XLOOKUP($S204:$AL204,增益!$A:$A,增益!$S:$S,0)))+$B$12+SUM(_xlfn.XLOOKUP($S204:$AL204,增益!$A:$A,增益!$V:$V,0)))*IF(VLOOKUP($R204,武学奇术!$A:$ZZ,23,FALSE)=1,0,1)</f>
        <v>0.0913</v>
      </c>
      <c r="BS204" s="33" cm="1">
        <f t="array" ref="BS204">1+$B$14+VLOOKUP($R204,武学奇术!$A:$ZZ,20,FALSE)+SUM(_xlfn.XLOOKUP($S204:$AL204,增益!$A:$A,增益!$T:$T,0))</f>
        <v>1.35</v>
      </c>
      <c r="BT204" s="33">
        <f t="shared" si="118"/>
        <v>0.86580831</v>
      </c>
      <c r="BU204" s="33">
        <f t="shared" si="119"/>
        <v>0.02208246</v>
      </c>
      <c r="BV204" s="33">
        <f>IF(VLOOKUP($R204,武学奇术!$A:$ZZ,22,FALSE)=1,0,(1-$BO204))*(1-$BR204)</f>
        <v>0.02080923</v>
      </c>
      <c r="BW204" s="33" cm="1">
        <f t="array" ref="BW204">SUM(_xlfn.XLOOKUP($S204:$AL204,增益!$A:$A,增益!$W:$W,0))+$I$5</f>
        <v>0.11</v>
      </c>
      <c r="BX204" s="33" cm="1">
        <f t="array" ref="BX204">VLOOKUP($R204,武学奇术!$A:$ZZ,32,FALSE)+SUM(_xlfn.XLOOKUP($S204:$AL204,增益!$A:$A,增益!$X:$X,0))</f>
        <v>0</v>
      </c>
    </row>
    <row r="205" spans="12:76">
      <c r="L205" s="46">
        <f t="shared" si="108"/>
        <v>0</v>
      </c>
      <c r="M205" s="46">
        <f>((($AT205+$AU205)/2*$AN205+$AO205)*(1+$AV205)*(1+$AW205)+(($AY205+$AZ205)/2*IF($G$1="鸣金",$AP205,$AN205)+IF($G$1="鸣金",$AQ205*1.5,0))*(1+$BA205)*(1+$BB205)+(($BC205+$BD205)/2*IF($G$1="裂石",$AP205,$AN205)+IF($G$1="裂石",$AQ205*1.5,0))*(1+$BE205)*(1+$BF205)+(($BG205+$BH205)/2*IF($G$1="牵丝",$AP205,$AN205)+IF($G$1="牵丝",$AQ205*1.5,0))*(1+$BI205)*(1+$BJ205)+(($BK205+$BL205)/2*IF($G$1="破竹",$AP205,$AN205)+IF($G$1="破竹",$AQ205*1.5,0))*(1+$BM205)*(1+$BN205))*(1+$AR205)*$BQ205*$Q205*(1+IF(VLOOKUP($R205,武学奇术!$A:$ZZ,30,FALSE)="蓄力技",$B$21,0))*(1+IF(VLOOKUP($R205,武学奇术!$A:$ZZ,30,FALSE)="派生技",$B$20,0))*(1+$BW205)*(1+$BX205)</f>
        <v>0</v>
      </c>
      <c r="N205" s="46">
        <f>(($AU205*$AN205+$AO205)*(1+$AV205)*(1+$AW205)+($AZ205*IF($G$1="鸣金",$AP205,$AN205)+IF($G$1="鸣金",$AQ205*1.5,0))*(1+$BA205)*(1+$BB205)+($BD205*IF($G$1="裂石",$AP205,$AN205)+IF($G$1="裂石",$AQ205*1.5,0))*(1+$BE205)*(1+$BF205)+($BH205*IF($G$1="牵丝",$AP205,$AN205)+IF($G$1="牵丝",$AQ205*1.5,0))*(1+$BI205)*(1+$BJ205)+($BL205*IF($G$1="破竹",$AP205,$AN205)+IF($G$1="破竹",$AQ205*1.5,0))*(1+$BM205)*(1+$BN205))*(1+$AR205)*$BS205*$Q205*(1+IF(VLOOKUP($R205,武学奇术!$A:$ZZ,30,FALSE)="蓄力技",$B$21,0))*(1+IF(VLOOKUP($R205,武学奇术!$A:$ZZ,30,FALSE)="派生技",$B$20,0))*(1+$BW205)*(1+$BX205)</f>
        <v>0</v>
      </c>
      <c r="O205" s="46">
        <f>((($AT205+$AU205)/2*$AN205+$AO205)*(1+$AV205)*(1+$AW205)+(($AY205+$AZ205)/2*IF($G$1="鸣金",$AP205,$AN205)+IF($G$1="鸣金",$AQ205*1.5,0))*(1+$BA205)*(1+$BB205)+(($BC205+$BD205)/2*IF($G$1="裂石",$AP205,$AN205)+IF($G$1="裂石",$AQ205*1.5,0))*(1+$BE205)*(1+$BF205)+(($BG205+$BH205)/2*IF($G$1="牵丝",$AP205,$AN205)+IF($G$1="牵丝",$AQ205*1.5,0))*(1+$BI205)*(1+$BJ205)+(($BK205+$BL205)/2*IF($G$1="破竹",$AP205,$AN205)+IF($G$1="破竹",$AQ205*1.5,0))*(1+$BM205)*(1+$BN205))*(1+$AR205)*$Q205*(1+IF(VLOOKUP($R205,武学奇术!$A:$ZZ,30,FALSE)="蓄力技",$B$21,0))*(1+IF(VLOOKUP($R205,武学奇术!$A:$ZZ,30,FALSE)="派生技",$B$20,0))*(1+$BW205)*(1+$BX205)</f>
        <v>0</v>
      </c>
      <c r="P205" s="46">
        <f>((($AT205*$AN205+$AO205)*(1+$AV205)*(1+$AW205)+($AY205*IF($G$1="鸣金",$AP205,$AN205)+IF($G$1="鸣金",$AQ205*1.5,0))*(1+$BA205)*(1+$BB205)+($BC205*IF($G$1="裂石",$AP205,$AN205)+IF($G$1="裂石",$AQ205*1.5,0))*(1+$BE205)*(1+$BF205)+($BG205*IF($G$1="牵丝",$AP205,$AN205)+IF($G$1="牵丝",$AQ205*1.5,0))*(1+$BI205)*(1+$BJ205)+($BK205*IF($G$1="破竹",$AP205,$AN205)+IF($G$1="破竹",$AQ205*1.5,0))*(1+$BM205)*(1+$BN205))*(1+$AR205))*$Q205*(1+IF(VLOOKUP($R205,武学奇术!$A:$ZZ,30,FALSE)="蓄力技",$B$21,0))*(1+IF(VLOOKUP($R205,武学奇术!$A:$ZZ,30,FALSE)="派生技",$B$20,0))*(1+$BW205)*(1+$BX205)</f>
        <v>0</v>
      </c>
      <c r="Q205" s="47">
        <f t="shared" si="109"/>
        <v>0</v>
      </c>
      <c r="R205" s="48" t="s">
        <v>173</v>
      </c>
      <c r="S205" s="48" t="s">
        <v>99</v>
      </c>
      <c r="T205" s="48" t="s">
        <v>182</v>
      </c>
      <c r="U205" s="48" t="s">
        <v>80</v>
      </c>
      <c r="V205" s="48" t="s">
        <v>90</v>
      </c>
      <c r="W205" s="48" t="s">
        <v>141</v>
      </c>
      <c r="X205" s="48" t="s">
        <v>80</v>
      </c>
      <c r="Y205" s="48" t="s">
        <v>74</v>
      </c>
      <c r="Z205" s="48" t="s">
        <v>80</v>
      </c>
      <c r="AA205" s="48" t="s">
        <v>80</v>
      </c>
      <c r="AB205" s="48" t="s">
        <v>80</v>
      </c>
      <c r="AC205" s="48" t="s">
        <v>80</v>
      </c>
      <c r="AD205" s="48" t="s">
        <v>80</v>
      </c>
      <c r="AE205" s="48" t="s">
        <v>82</v>
      </c>
      <c r="AF205" s="48" t="s">
        <v>83</v>
      </c>
      <c r="AG205" s="48" t="s">
        <v>84</v>
      </c>
      <c r="AH205" s="48" t="s">
        <v>80</v>
      </c>
      <c r="AI205" s="48" t="s">
        <v>80</v>
      </c>
      <c r="AJ205" s="48" t="s">
        <v>80</v>
      </c>
      <c r="AK205" s="48" t="s">
        <v>80</v>
      </c>
      <c r="AL205" s="48" t="s">
        <v>85</v>
      </c>
      <c r="AM205" t="str">
        <f>VLOOKUP($R205,武学奇术!$A:$ZZ,25,FALSE)</f>
        <v>陌刀</v>
      </c>
      <c r="AN205" s="33">
        <f>VLOOKUP($R205,武学奇术!$A:$ZZ,26,FALSE)</f>
        <v>1.05</v>
      </c>
      <c r="AO205" s="34">
        <f>VLOOKUP($R205,武学奇术!$A:$ZZ,27,FALSE)*(1+IF(OR($AM205=$F$4,$AM205=$F$5),$B$22,0))</f>
        <v>0</v>
      </c>
      <c r="AP205" s="33">
        <f>VLOOKUP($R205,武学奇术!$A:$ZZ,28,FALSE)</f>
        <v>1.575</v>
      </c>
      <c r="AQ205" s="34">
        <f>VLOOKUP($R205,武学奇术!$A:$ZZ,29,FALSE)*(1+IF(OR($AM205=$F$4,$AM205=$F$5),$B$22,0))</f>
        <v>0</v>
      </c>
      <c r="AR205" s="33" cm="1">
        <f t="array" ref="AR205">$G$3+IFERROR(VLOOKUP($AM205,$F$4:$G$7,2,FALSE),0)+VLOOKUP($R205,武学奇术!$A:$ZZ,2,FALSE)+SUM(_xlfn.XLOOKUP($S205:$AL205,增益!$A:$A,增益!$B:$B,0))</f>
        <v>0.6943</v>
      </c>
      <c r="AS205" s="33" cm="1">
        <f t="array" ref="AS205">VLOOKUP($R205,武学奇术!$A:$ZZ,5,FALSE)+SUM(_xlfn.XLOOKUP($S205:$AL205,增益!$A:$A,增益!$E:$E,0))</f>
        <v>0</v>
      </c>
      <c r="AT205" cm="1">
        <f t="array" ref="AT205">$D$10*(1+$AS205)+VLOOKUP($R205,武学奇术!$A:$ZZ,3,FALSE)+SUM(_xlfn.XLOOKUP($S205:$AL205,增益!$A:$A,增益!$C:$C,0))-$I$2</f>
        <v>4094.7</v>
      </c>
      <c r="AU205" cm="1">
        <f t="array" ref="AU205">$E$10*(1+$AS205)+VLOOKUP($R205,武学奇术!$A:$ZZ,4,FALSE)+SUM(_xlfn.XLOOKUP($S205:$AL205,增益!$A:$A,增益!$D:$D,0))-$I$2</f>
        <v>4094.7</v>
      </c>
      <c r="AV205" s="40" cm="1">
        <f t="array" ref="AV205">IF($F$10-$I$3+VLOOKUP($R205,武学奇术!$A:$ZZ,6,FALSE)+SUM(_xlfn.XLOOKUP($S205:$AL205,增益!$A:$A,增益!$F:$F,0))&gt;0,($F$10-$I$3+VLOOKUP($R205,武学奇术!$A:$ZZ,6,FALSE)+SUM(_xlfn.XLOOKUP($S205:$AL205,增益!$A:$A,增益!$F:$F,0)))/200,($F$10-$I$3+VLOOKUP($R205,武学奇术!$A:$ZZ,6,FALSE)+SUM(_xlfn.XLOOKUP($S205:$AL205,增益!$A:$A,增益!$F:$F,0)))/100)</f>
        <v>0.4384</v>
      </c>
      <c r="AW205" s="40" cm="1">
        <f t="array" ref="AW205">$G$10+VLOOKUP($R205,武学奇术!$A:$ZZ,7,FALSE)+SUM(_xlfn.XLOOKUP($S205:$AL205,增益!$A:$A,增益!$G:$G,0))</f>
        <v>0.02</v>
      </c>
      <c r="AX205" s="33" cm="1">
        <f t="array" ref="AX205">VLOOKUP($R205,武学奇术!$A:$ZZ,8,FALSE)+SUM(_xlfn.XLOOKUP($S205:$AL205,增益!$A:$A,增益!$H:$H,0))</f>
        <v>0</v>
      </c>
      <c r="AY205">
        <f t="shared" si="110"/>
        <v>0</v>
      </c>
      <c r="AZ205">
        <f t="shared" si="111"/>
        <v>0</v>
      </c>
      <c r="BA205" s="40" cm="1">
        <f t="array" ref="BA205">IF($F$11-$I$4+VLOOKUP($R205,武学奇术!$A:$ZZ,9,FALSE)+SUM(_xlfn.XLOOKUP($S205:$AL205,增益!$A:$A,增益!$I:$I,0))&gt;0,($F$11-$I$4+VLOOKUP($R205,武学奇术!$A:$ZZ,9,FALSE)+SUM(_xlfn.XLOOKUP($S205:$AL205,增益!$A:$A,增益!$I:$I,0)))/200,($F$11-$I$4+VLOOKUP($R205,武学奇术!$A:$ZZ,9,FALSE)+SUM(_xlfn.XLOOKUP($S205:$AL205,增益!$A:$A,增益!$I:$I,0)))/100)</f>
        <v>-0.14</v>
      </c>
      <c r="BB205" s="40" cm="1">
        <f t="array" ref="BB205">$G$11+VLOOKUP($R205,武学奇术!$A:$ZZ,10,FALSE)+SUM(_xlfn.XLOOKUP($S205:$AL205,增益!$A:$A,增益!$J:$J,0))</f>
        <v>0.02</v>
      </c>
      <c r="BC205">
        <f t="shared" si="112"/>
        <v>640.3</v>
      </c>
      <c r="BD205">
        <f t="shared" si="113"/>
        <v>1770.1</v>
      </c>
      <c r="BE205" s="40" cm="1">
        <f t="array" ref="BE205">IF($F$12-$I$4+VLOOKUP($R205,武学奇术!$A:$ZZ,11,FALSE)+SUM(_xlfn.XLOOKUP($S205:$AL205,增益!$A:$A,增益!$K:$K,0))&gt;0,($F$12-$I$4+VLOOKUP($R205,武学奇术!$A:$ZZ,11,FALSE)+SUM(_xlfn.XLOOKUP($S205:$AL205,增益!$A:$A,增益!$K:$K,0)))/200,($F$12-$I$4+VLOOKUP($R205,武学奇术!$A:$ZZ,11,FALSE)+SUM(_xlfn.XLOOKUP($S205:$AL205,增益!$A:$A,增益!$K:$K,0)))/100)</f>
        <v>0.17</v>
      </c>
      <c r="BF205" s="40" cm="1">
        <f t="array" ref="BF205">$G$12+VLOOKUP($R205,武学奇术!$A:$ZZ,12,FALSE)+SUM(_xlfn.XLOOKUP($S205:$AL205,增益!$A:$A,增益!$L:$L,0))</f>
        <v>0.17</v>
      </c>
      <c r="BG205">
        <f t="shared" si="114"/>
        <v>0</v>
      </c>
      <c r="BH205">
        <f t="shared" si="115"/>
        <v>0</v>
      </c>
      <c r="BI205" s="40" cm="1">
        <f t="array" ref="BI205">IF($F$13-$I$4+VLOOKUP($R205,武学奇术!$A:$ZZ,13,FALSE)+SUM(_xlfn.XLOOKUP($S205:$AL205,增益!$A:$A,增益!$M:$M,0))&gt;0,($F$13-$I$4+VLOOKUP($R205,武学奇术!$A:$ZZ,13,FALSE)+SUM(_xlfn.XLOOKUP($S205:$AL205,增益!$A:$A,增益!$K:$K,0)))/200,($F$13-$I$4+VLOOKUP($R205,武学奇术!$A:$ZZ,13,FALSE)+SUM(_xlfn.XLOOKUP($S205:$AL205,增益!$A:$A,增益!$M:$M,0)))/100)</f>
        <v>-0.14</v>
      </c>
      <c r="BJ205" s="40" cm="1">
        <f t="array" ref="BJ205">$G$13+VLOOKUP($R205,武学奇术!$A:$ZZ,14,FALSE)+SUM(_xlfn.XLOOKUP($S205:$AL205,增益!$A:$A,增益!$N:$N,0))</f>
        <v>0.02</v>
      </c>
      <c r="BK205">
        <f t="shared" si="116"/>
        <v>0</v>
      </c>
      <c r="BL205">
        <f t="shared" si="117"/>
        <v>0</v>
      </c>
      <c r="BM205" s="40" cm="1">
        <f t="array" ref="BM205">IF($F$14-$I$4+VLOOKUP($R205,武学奇术!$A:$ZZ,15,FALSE)+SUM(_xlfn.XLOOKUP($S205:$AL205,增益!$A:$A,增益!$O:$O,0))&gt;0,($F$14-$I$4+VLOOKUP($R205,武学奇术!$A:$ZZ,15,FALSE)+SUM(_xlfn.XLOOKUP($S205:$AL205,增益!$A:$A,增益!$O:$O,0)))/200,($F$14-$I$4+VLOOKUP($R205,武学奇术!$A:$ZZ,15,FALSE)+SUM(_xlfn.XLOOKUP($S205:$AL205,增益!$A:$A,增益!$O:$O,0)))/100)</f>
        <v>-0.14</v>
      </c>
      <c r="BN205" s="40" cm="1">
        <f t="array" ref="BN205">$G$14+VLOOKUP($R205,武学奇术!$A:$ZZ,16,FALSE)+SUM(_xlfn.XLOOKUP($S205:$AL205,增益!$A:$A,增益!$P:$P,0))</f>
        <v>0.02</v>
      </c>
      <c r="BO205" s="33">
        <f>MIN(IF(VLOOKUP($R205,武学奇术!$A:$ZZ,23,FALSE)=1,100%,$B$8),100%)</f>
        <v>0.9771</v>
      </c>
      <c r="BP205" s="33" cm="1">
        <f t="array" ref="BP205">IF(VLOOKUP($R205,武学奇术!$A:$ZZ,23,FALSE)=1,100%,MIN(80%,$B$9+VLOOKUP($R205,武学奇术!$A:$ZZ,17,FALSE)+SUM(_xlfn.XLOOKUP($S205:$AL205,增益!$A:$A,增益!$Q:$Q,0)))+$B$11+SUM(_xlfn.XLOOKUP($S205:$AL205,增益!$A:$A,增益!$U:$U,0)))*IF(VLOOKUP($R205,武学奇术!$A:$ZZ,24,FALSE)=1,0,1)</f>
        <v>0.8861</v>
      </c>
      <c r="BQ205" s="33" cm="1">
        <f t="array" ref="BQ205">1+$B$13+VLOOKUP($R205,武学奇术!$A:$ZZ,18,FALSE)+SUM(_xlfn.XLOOKUP($S205:$AL205,增益!$A:$A,增益!$R:$R,0))</f>
        <v>2</v>
      </c>
      <c r="BR205" s="33" cm="1">
        <f t="array" ref="BR205">IF(VLOOKUP($R205,武学奇术!$A:$ZZ,24,FALSE)=1,100%,MIN(40%,$B$10+VLOOKUP($R205,武学奇术!$A:$ZZ,19,FALSE)+SUM(_xlfn.XLOOKUP($S205:$AL205,增益!$A:$A,增益!$S:$S,0)))+$B$12+SUM(_xlfn.XLOOKUP($S205:$AL205,增益!$A:$A,增益!$V:$V,0)))*IF(VLOOKUP($R205,武学奇术!$A:$ZZ,23,FALSE)=1,0,1)</f>
        <v>0.0913</v>
      </c>
      <c r="BS205" s="33" cm="1">
        <f t="array" ref="BS205">1+$B$14+VLOOKUP($R205,武学奇术!$A:$ZZ,20,FALSE)+SUM(_xlfn.XLOOKUP($S205:$AL205,增益!$A:$A,增益!$T:$T,0))</f>
        <v>1.35</v>
      </c>
      <c r="BT205" s="33">
        <f t="shared" si="118"/>
        <v>0.86580831</v>
      </c>
      <c r="BU205" s="33">
        <f t="shared" si="119"/>
        <v>0.02208246</v>
      </c>
      <c r="BV205" s="33">
        <f>IF(VLOOKUP($R205,武学奇术!$A:$ZZ,22,FALSE)=1,0,(1-$BO205))*(1-$BR205)</f>
        <v>0.02080923</v>
      </c>
      <c r="BW205" s="33" cm="1">
        <f t="array" ref="BW205">SUM(_xlfn.XLOOKUP($S205:$AL205,增益!$A:$A,增益!$W:$W,0))+$I$5</f>
        <v>0.11</v>
      </c>
      <c r="BX205" s="33" cm="1">
        <f t="array" ref="BX205">VLOOKUP($R205,武学奇术!$A:$ZZ,32,FALSE)+SUM(_xlfn.XLOOKUP($S205:$AL205,增益!$A:$A,增益!$X:$X,0))</f>
        <v>0</v>
      </c>
    </row>
    <row r="206" spans="12:76">
      <c r="L206" s="46">
        <f t="shared" si="108"/>
        <v>0</v>
      </c>
      <c r="M206" s="46">
        <f>((($AT206+$AU206)/2*$AN206+$AO206)*(1+$AV206)*(1+$AW206)+(($AY206+$AZ206)/2*IF($G$1="鸣金",$AP206,$AN206)+IF($G$1="鸣金",$AQ206*1.5,0))*(1+$BA206)*(1+$BB206)+(($BC206+$BD206)/2*IF($G$1="裂石",$AP206,$AN206)+IF($G$1="裂石",$AQ206*1.5,0))*(1+$BE206)*(1+$BF206)+(($BG206+$BH206)/2*IF($G$1="牵丝",$AP206,$AN206)+IF($G$1="牵丝",$AQ206*1.5,0))*(1+$BI206)*(1+$BJ206)+(($BK206+$BL206)/2*IF($G$1="破竹",$AP206,$AN206)+IF($G$1="破竹",$AQ206*1.5,0))*(1+$BM206)*(1+$BN206))*(1+$AR206)*$BQ206*$Q206*(1+IF(VLOOKUP($R206,武学奇术!$A:$ZZ,30,FALSE)="蓄力技",$B$21,0))*(1+IF(VLOOKUP($R206,武学奇术!$A:$ZZ,30,FALSE)="派生技",$B$20,0))*(1+$BW206)*(1+$BX206)</f>
        <v>0</v>
      </c>
      <c r="N206" s="46">
        <f>(($AU206*$AN206+$AO206)*(1+$AV206)*(1+$AW206)+($AZ206*IF($G$1="鸣金",$AP206,$AN206)+IF($G$1="鸣金",$AQ206*1.5,0))*(1+$BA206)*(1+$BB206)+($BD206*IF($G$1="裂石",$AP206,$AN206)+IF($G$1="裂石",$AQ206*1.5,0))*(1+$BE206)*(1+$BF206)+($BH206*IF($G$1="牵丝",$AP206,$AN206)+IF($G$1="牵丝",$AQ206*1.5,0))*(1+$BI206)*(1+$BJ206)+($BL206*IF($G$1="破竹",$AP206,$AN206)+IF($G$1="破竹",$AQ206*1.5,0))*(1+$BM206)*(1+$BN206))*(1+$AR206)*$BS206*$Q206*(1+IF(VLOOKUP($R206,武学奇术!$A:$ZZ,30,FALSE)="蓄力技",$B$21,0))*(1+IF(VLOOKUP($R206,武学奇术!$A:$ZZ,30,FALSE)="派生技",$B$20,0))*(1+$BW206)*(1+$BX206)</f>
        <v>0</v>
      </c>
      <c r="O206" s="46">
        <f>((($AT206+$AU206)/2*$AN206+$AO206)*(1+$AV206)*(1+$AW206)+(($AY206+$AZ206)/2*IF($G$1="鸣金",$AP206,$AN206)+IF($G$1="鸣金",$AQ206*1.5,0))*(1+$BA206)*(1+$BB206)+(($BC206+$BD206)/2*IF($G$1="裂石",$AP206,$AN206)+IF($G$1="裂石",$AQ206*1.5,0))*(1+$BE206)*(1+$BF206)+(($BG206+$BH206)/2*IF($G$1="牵丝",$AP206,$AN206)+IF($G$1="牵丝",$AQ206*1.5,0))*(1+$BI206)*(1+$BJ206)+(($BK206+$BL206)/2*IF($G$1="破竹",$AP206,$AN206)+IF($G$1="破竹",$AQ206*1.5,0))*(1+$BM206)*(1+$BN206))*(1+$AR206)*$Q206*(1+IF(VLOOKUP($R206,武学奇术!$A:$ZZ,30,FALSE)="蓄力技",$B$21,0))*(1+IF(VLOOKUP($R206,武学奇术!$A:$ZZ,30,FALSE)="派生技",$B$20,0))*(1+$BW206)*(1+$BX206)</f>
        <v>0</v>
      </c>
      <c r="P206" s="46">
        <f>((($AT206*$AN206+$AO206)*(1+$AV206)*(1+$AW206)+($AY206*IF($G$1="鸣金",$AP206,$AN206)+IF($G$1="鸣金",$AQ206*1.5,0))*(1+$BA206)*(1+$BB206)+($BC206*IF($G$1="裂石",$AP206,$AN206)+IF($G$1="裂石",$AQ206*1.5,0))*(1+$BE206)*(1+$BF206)+($BG206*IF($G$1="牵丝",$AP206,$AN206)+IF($G$1="牵丝",$AQ206*1.5,0))*(1+$BI206)*(1+$BJ206)+($BK206*IF($G$1="破竹",$AP206,$AN206)+IF($G$1="破竹",$AQ206*1.5,0))*(1+$BM206)*(1+$BN206))*(1+$AR206))*$Q206*(1+IF(VLOOKUP($R206,武学奇术!$A:$ZZ,30,FALSE)="蓄力技",$B$21,0))*(1+IF(VLOOKUP($R206,武学奇术!$A:$ZZ,30,FALSE)="派生技",$B$20,0))*(1+$BW206)*(1+$BX206)</f>
        <v>0</v>
      </c>
      <c r="Q206" s="47">
        <f t="shared" si="109"/>
        <v>0</v>
      </c>
      <c r="R206" s="48" t="s">
        <v>200</v>
      </c>
      <c r="S206" s="48" t="s">
        <v>99</v>
      </c>
      <c r="T206" s="48" t="s">
        <v>182</v>
      </c>
      <c r="U206" s="48" t="s">
        <v>80</v>
      </c>
      <c r="V206" s="48" t="s">
        <v>80</v>
      </c>
      <c r="W206" s="48" t="s">
        <v>91</v>
      </c>
      <c r="X206" s="48" t="s">
        <v>80</v>
      </c>
      <c r="Y206" s="48" t="s">
        <v>80</v>
      </c>
      <c r="Z206" s="48" t="s">
        <v>80</v>
      </c>
      <c r="AA206" s="48" t="s">
        <v>80</v>
      </c>
      <c r="AB206" s="48" t="s">
        <v>80</v>
      </c>
      <c r="AC206" s="48" t="s">
        <v>80</v>
      </c>
      <c r="AD206" s="48" t="s">
        <v>80</v>
      </c>
      <c r="AE206" s="48" t="s">
        <v>82</v>
      </c>
      <c r="AF206" s="48" t="s">
        <v>83</v>
      </c>
      <c r="AG206" s="48" t="s">
        <v>84</v>
      </c>
      <c r="AH206" s="48" t="s">
        <v>80</v>
      </c>
      <c r="AI206" s="48" t="s">
        <v>80</v>
      </c>
      <c r="AJ206" s="48" t="s">
        <v>80</v>
      </c>
      <c r="AK206" s="48" t="s">
        <v>80</v>
      </c>
      <c r="AL206" s="48" t="s">
        <v>85</v>
      </c>
      <c r="AM206" t="str">
        <f>VLOOKUP($R206,武学奇术!$A:$ZZ,25,FALSE)</f>
        <v>横刀</v>
      </c>
      <c r="AN206" s="33">
        <f>VLOOKUP($R206,武学奇术!$A:$ZZ,26,FALSE)</f>
        <v>0.6486</v>
      </c>
      <c r="AO206" s="34">
        <f>VLOOKUP($R206,武学奇术!$A:$ZZ,27,FALSE)*(1+IF(OR($AM206=$F$4,$AM206=$F$5),$B$22,0))</f>
        <v>288</v>
      </c>
      <c r="AP206" s="33">
        <f>VLOOKUP($R206,武学奇术!$A:$ZZ,28,FALSE)</f>
        <v>0.9729</v>
      </c>
      <c r="AQ206" s="34">
        <f>VLOOKUP($R206,武学奇术!$A:$ZZ,29,FALSE)*(1+IF(OR($AM206=$F$4,$AM206=$F$5),$B$22,0))</f>
        <v>156.8</v>
      </c>
      <c r="AR206" s="33" cm="1">
        <f t="array" ref="AR206">$G$3+IFERROR(VLOOKUP($AM206,$F$4:$G$7,2,FALSE),0)+VLOOKUP($R206,武学奇术!$A:$ZZ,2,FALSE)+SUM(_xlfn.XLOOKUP($S206:$AL206,增益!$A:$A,增益!$B:$B,0))</f>
        <v>0.4489</v>
      </c>
      <c r="AS206" s="33" cm="1">
        <f t="array" ref="AS206">VLOOKUP($R206,武学奇术!$A:$ZZ,5,FALSE)+SUM(_xlfn.XLOOKUP($S206:$AL206,增益!$A:$A,增益!$E:$E,0))</f>
        <v>0</v>
      </c>
      <c r="AT206" cm="1">
        <f t="array" ref="AT206">$D$10*(1+$AS206)+VLOOKUP($R206,武学奇术!$A:$ZZ,3,FALSE)+SUM(_xlfn.XLOOKUP($S206:$AL206,增益!$A:$A,增益!$C:$C,0))-$I$2</f>
        <v>4094.7</v>
      </c>
      <c r="AU206" cm="1">
        <f t="array" ref="AU206">$E$10*(1+$AS206)+VLOOKUP($R206,武学奇术!$A:$ZZ,4,FALSE)+SUM(_xlfn.XLOOKUP($S206:$AL206,增益!$A:$A,增益!$D:$D,0))-$I$2</f>
        <v>4094.7</v>
      </c>
      <c r="AV206" s="40" cm="1">
        <f t="array" ref="AV206">IF($F$10-$I$3+VLOOKUP($R206,武学奇术!$A:$ZZ,6,FALSE)+SUM(_xlfn.XLOOKUP($S206:$AL206,增益!$A:$A,增益!$F:$F,0))&gt;0,($F$10-$I$3+VLOOKUP($R206,武学奇术!$A:$ZZ,6,FALSE)+SUM(_xlfn.XLOOKUP($S206:$AL206,增益!$A:$A,增益!$F:$F,0)))/200,($F$10-$I$3+VLOOKUP($R206,武学奇术!$A:$ZZ,6,FALSE)+SUM(_xlfn.XLOOKUP($S206:$AL206,增益!$A:$A,增益!$F:$F,0)))/100)</f>
        <v>0.4134</v>
      </c>
      <c r="AW206" s="40" cm="1">
        <f t="array" ref="AW206">$G$10+VLOOKUP($R206,武学奇术!$A:$ZZ,7,FALSE)+SUM(_xlfn.XLOOKUP($S206:$AL206,增益!$A:$A,增益!$G:$G,0))</f>
        <v>0.02</v>
      </c>
      <c r="AX206" s="33" cm="1">
        <f t="array" ref="AX206">VLOOKUP($R206,武学奇术!$A:$ZZ,8,FALSE)+SUM(_xlfn.XLOOKUP($S206:$AL206,增益!$A:$A,增益!$H:$H,0))</f>
        <v>0</v>
      </c>
      <c r="AY206">
        <f t="shared" si="110"/>
        <v>0</v>
      </c>
      <c r="AZ206">
        <f t="shared" si="111"/>
        <v>0</v>
      </c>
      <c r="BA206" s="40" cm="1">
        <f t="array" ref="BA206">IF($F$11-$I$4+VLOOKUP($R206,武学奇术!$A:$ZZ,9,FALSE)+SUM(_xlfn.XLOOKUP($S206:$AL206,增益!$A:$A,增益!$I:$I,0))&gt;0,($F$11-$I$4+VLOOKUP($R206,武学奇术!$A:$ZZ,9,FALSE)+SUM(_xlfn.XLOOKUP($S206:$AL206,增益!$A:$A,增益!$I:$I,0)))/200,($F$11-$I$4+VLOOKUP($R206,武学奇术!$A:$ZZ,9,FALSE)+SUM(_xlfn.XLOOKUP($S206:$AL206,增益!$A:$A,增益!$I:$I,0)))/100)</f>
        <v>-0.3</v>
      </c>
      <c r="BB206" s="40" cm="1">
        <f t="array" ref="BB206">$G$11+VLOOKUP($R206,武学奇术!$A:$ZZ,10,FALSE)+SUM(_xlfn.XLOOKUP($S206:$AL206,增益!$A:$A,增益!$J:$J,0))</f>
        <v>0.02</v>
      </c>
      <c r="BC206">
        <f t="shared" si="112"/>
        <v>640.3</v>
      </c>
      <c r="BD206">
        <f t="shared" si="113"/>
        <v>1770.1</v>
      </c>
      <c r="BE206" s="40" cm="1">
        <f t="array" ref="BE206">IF($F$12-$I$4+VLOOKUP($R206,武学奇术!$A:$ZZ,11,FALSE)+SUM(_xlfn.XLOOKUP($S206:$AL206,增益!$A:$A,增益!$K:$K,0))&gt;0,($F$12-$I$4+VLOOKUP($R206,武学奇术!$A:$ZZ,11,FALSE)+SUM(_xlfn.XLOOKUP($S206:$AL206,增益!$A:$A,增益!$K:$K,0)))/200,($F$12-$I$4+VLOOKUP($R206,武学奇术!$A:$ZZ,11,FALSE)+SUM(_xlfn.XLOOKUP($S206:$AL206,增益!$A:$A,增益!$K:$K,0)))/100)</f>
        <v>0.09</v>
      </c>
      <c r="BF206" s="40" cm="1">
        <f t="array" ref="BF206">$G$12+VLOOKUP($R206,武学奇术!$A:$ZZ,12,FALSE)+SUM(_xlfn.XLOOKUP($S206:$AL206,增益!$A:$A,增益!$L:$L,0))</f>
        <v>0.17</v>
      </c>
      <c r="BG206">
        <f t="shared" si="114"/>
        <v>0</v>
      </c>
      <c r="BH206">
        <f t="shared" si="115"/>
        <v>0</v>
      </c>
      <c r="BI206" s="40" cm="1">
        <f t="array" ref="BI206">IF($F$13-$I$4+VLOOKUP($R206,武学奇术!$A:$ZZ,13,FALSE)+SUM(_xlfn.XLOOKUP($S206:$AL206,增益!$A:$A,增益!$M:$M,0))&gt;0,($F$13-$I$4+VLOOKUP($R206,武学奇术!$A:$ZZ,13,FALSE)+SUM(_xlfn.XLOOKUP($S206:$AL206,增益!$A:$A,增益!$K:$K,0)))/200,($F$13-$I$4+VLOOKUP($R206,武学奇术!$A:$ZZ,13,FALSE)+SUM(_xlfn.XLOOKUP($S206:$AL206,增益!$A:$A,增益!$M:$M,0)))/100)</f>
        <v>-0.3</v>
      </c>
      <c r="BJ206" s="40" cm="1">
        <f t="array" ref="BJ206">$G$13+VLOOKUP($R206,武学奇术!$A:$ZZ,14,FALSE)+SUM(_xlfn.XLOOKUP($S206:$AL206,增益!$A:$A,增益!$N:$N,0))</f>
        <v>0.02</v>
      </c>
      <c r="BK206">
        <f t="shared" si="116"/>
        <v>0</v>
      </c>
      <c r="BL206">
        <f t="shared" si="117"/>
        <v>0</v>
      </c>
      <c r="BM206" s="40" cm="1">
        <f t="array" ref="BM206">IF($F$14-$I$4+VLOOKUP($R206,武学奇术!$A:$ZZ,15,FALSE)+SUM(_xlfn.XLOOKUP($S206:$AL206,增益!$A:$A,增益!$O:$O,0))&gt;0,($F$14-$I$4+VLOOKUP($R206,武学奇术!$A:$ZZ,15,FALSE)+SUM(_xlfn.XLOOKUP($S206:$AL206,增益!$A:$A,增益!$O:$O,0)))/200,($F$14-$I$4+VLOOKUP($R206,武学奇术!$A:$ZZ,15,FALSE)+SUM(_xlfn.XLOOKUP($S206:$AL206,增益!$A:$A,增益!$O:$O,0)))/100)</f>
        <v>-0.3</v>
      </c>
      <c r="BN206" s="40" cm="1">
        <f t="array" ref="BN206">$G$14+VLOOKUP($R206,武学奇术!$A:$ZZ,16,FALSE)+SUM(_xlfn.XLOOKUP($S206:$AL206,增益!$A:$A,增益!$P:$P,0))</f>
        <v>0.02</v>
      </c>
      <c r="BO206" s="33">
        <f>MIN(IF(VLOOKUP($R206,武学奇术!$A:$ZZ,23,FALSE)=1,100%,$B$8),100%)</f>
        <v>0.9771</v>
      </c>
      <c r="BP206" s="33" cm="1">
        <f t="array" ref="BP206">IF(VLOOKUP($R206,武学奇术!$A:$ZZ,23,FALSE)=1,100%,MIN(80%,$B$9+VLOOKUP($R206,武学奇术!$A:$ZZ,17,FALSE)+SUM(_xlfn.XLOOKUP($S206:$AL206,增益!$A:$A,增益!$Q:$Q,0)))+$B$11+SUM(_xlfn.XLOOKUP($S206:$AL206,增益!$A:$A,增益!$U:$U,0)))*IF(VLOOKUP($R206,武学奇术!$A:$ZZ,24,FALSE)=1,0,1)</f>
        <v>0.8861</v>
      </c>
      <c r="BQ206" s="33" cm="1">
        <f t="array" ref="BQ206">1+$B$13+VLOOKUP($R206,武学奇术!$A:$ZZ,18,FALSE)+SUM(_xlfn.XLOOKUP($S206:$AL206,增益!$A:$A,增益!$R:$R,0))</f>
        <v>1.95</v>
      </c>
      <c r="BR206" s="33" cm="1">
        <f t="array" ref="BR206">IF(VLOOKUP($R206,武学奇术!$A:$ZZ,24,FALSE)=1,100%,MIN(40%,$B$10+VLOOKUP($R206,武学奇术!$A:$ZZ,19,FALSE)+SUM(_xlfn.XLOOKUP($S206:$AL206,增益!$A:$A,增益!$S:$S,0)))+$B$12+SUM(_xlfn.XLOOKUP($S206:$AL206,增益!$A:$A,增益!$V:$V,0)))*IF(VLOOKUP($R206,武学奇术!$A:$ZZ,23,FALSE)=1,0,1)</f>
        <v>0.0913</v>
      </c>
      <c r="BS206" s="33" cm="1">
        <f t="array" ref="BS206">1+$B$14+VLOOKUP($R206,武学奇术!$A:$ZZ,20,FALSE)+SUM(_xlfn.XLOOKUP($S206:$AL206,增益!$A:$A,增益!$T:$T,0))</f>
        <v>1.35</v>
      </c>
      <c r="BT206" s="33">
        <f t="shared" si="118"/>
        <v>0.86580831</v>
      </c>
      <c r="BU206" s="33">
        <f t="shared" si="119"/>
        <v>0.02208246</v>
      </c>
      <c r="BV206" s="33">
        <f>IF(VLOOKUP($R206,武学奇术!$A:$ZZ,22,FALSE)=1,0,(1-$BO206))*(1-$BR206)</f>
        <v>0.02080923</v>
      </c>
      <c r="BW206" s="33" cm="1">
        <f t="array" ref="BW206">SUM(_xlfn.XLOOKUP($S206:$AL206,增益!$A:$A,增益!$W:$W,0))+$I$5</f>
        <v>0.11</v>
      </c>
      <c r="BX206" s="33" cm="1">
        <f t="array" ref="BX206">VLOOKUP($R206,武学奇术!$A:$ZZ,32,FALSE)+SUM(_xlfn.XLOOKUP($S206:$AL206,增益!$A:$A,增益!$X:$X,0))</f>
        <v>0</v>
      </c>
    </row>
    <row r="207" spans="12:76">
      <c r="L207" s="46">
        <f t="shared" si="108"/>
        <v>0</v>
      </c>
      <c r="M207" s="46">
        <f>((($AT207+$AU207)/2*$AN207+$AO207)*(1+$AV207)*(1+$AW207)+(($AY207+$AZ207)/2*IF($G$1="鸣金",$AP207,$AN207)+IF($G$1="鸣金",$AQ207*1.5,0))*(1+$BA207)*(1+$BB207)+(($BC207+$BD207)/2*IF($G$1="裂石",$AP207,$AN207)+IF($G$1="裂石",$AQ207*1.5,0))*(1+$BE207)*(1+$BF207)+(($BG207+$BH207)/2*IF($G$1="牵丝",$AP207,$AN207)+IF($G$1="牵丝",$AQ207*1.5,0))*(1+$BI207)*(1+$BJ207)+(($BK207+$BL207)/2*IF($G$1="破竹",$AP207,$AN207)+IF($G$1="破竹",$AQ207*1.5,0))*(1+$BM207)*(1+$BN207))*(1+$AR207)*$BQ207*$Q207*(1+IF(VLOOKUP($R207,武学奇术!$A:$ZZ,30,FALSE)="蓄力技",$B$21,0))*(1+IF(VLOOKUP($R207,武学奇术!$A:$ZZ,30,FALSE)="派生技",$B$20,0))*(1+$BW207)*(1+$BX207)</f>
        <v>0</v>
      </c>
      <c r="N207" s="46">
        <f>(($AU207*$AN207+$AO207)*(1+$AV207)*(1+$AW207)+($AZ207*IF($G$1="鸣金",$AP207,$AN207)+IF($G$1="鸣金",$AQ207*1.5,0))*(1+$BA207)*(1+$BB207)+($BD207*IF($G$1="裂石",$AP207,$AN207)+IF($G$1="裂石",$AQ207*1.5,0))*(1+$BE207)*(1+$BF207)+($BH207*IF($G$1="牵丝",$AP207,$AN207)+IF($G$1="牵丝",$AQ207*1.5,0))*(1+$BI207)*(1+$BJ207)+($BL207*IF($G$1="破竹",$AP207,$AN207)+IF($G$1="破竹",$AQ207*1.5,0))*(1+$BM207)*(1+$BN207))*(1+$AR207)*$BS207*$Q207*(1+IF(VLOOKUP($R207,武学奇术!$A:$ZZ,30,FALSE)="蓄力技",$B$21,0))*(1+IF(VLOOKUP($R207,武学奇术!$A:$ZZ,30,FALSE)="派生技",$B$20,0))*(1+$BW207)*(1+$BX207)</f>
        <v>0</v>
      </c>
      <c r="O207" s="46">
        <f>((($AT207+$AU207)/2*$AN207+$AO207)*(1+$AV207)*(1+$AW207)+(($AY207+$AZ207)/2*IF($G$1="鸣金",$AP207,$AN207)+IF($G$1="鸣金",$AQ207*1.5,0))*(1+$BA207)*(1+$BB207)+(($BC207+$BD207)/2*IF($G$1="裂石",$AP207,$AN207)+IF($G$1="裂石",$AQ207*1.5,0))*(1+$BE207)*(1+$BF207)+(($BG207+$BH207)/2*IF($G$1="牵丝",$AP207,$AN207)+IF($G$1="牵丝",$AQ207*1.5,0))*(1+$BI207)*(1+$BJ207)+(($BK207+$BL207)/2*IF($G$1="破竹",$AP207,$AN207)+IF($G$1="破竹",$AQ207*1.5,0))*(1+$BM207)*(1+$BN207))*(1+$AR207)*$Q207*(1+IF(VLOOKUP($R207,武学奇术!$A:$ZZ,30,FALSE)="蓄力技",$B$21,0))*(1+IF(VLOOKUP($R207,武学奇术!$A:$ZZ,30,FALSE)="派生技",$B$20,0))*(1+$BW207)*(1+$BX207)</f>
        <v>0</v>
      </c>
      <c r="P207" s="46">
        <f>((($AT207*$AN207+$AO207)*(1+$AV207)*(1+$AW207)+($AY207*IF($G$1="鸣金",$AP207,$AN207)+IF($G$1="鸣金",$AQ207*1.5,0))*(1+$BA207)*(1+$BB207)+($BC207*IF($G$1="裂石",$AP207,$AN207)+IF($G$1="裂石",$AQ207*1.5,0))*(1+$BE207)*(1+$BF207)+($BG207*IF($G$1="牵丝",$AP207,$AN207)+IF($G$1="牵丝",$AQ207*1.5,0))*(1+$BI207)*(1+$BJ207)+($BK207*IF($G$1="破竹",$AP207,$AN207)+IF($G$1="破竹",$AQ207*1.5,0))*(1+$BM207)*(1+$BN207))*(1+$AR207))*$Q207*(1+IF(VLOOKUP($R207,武学奇术!$A:$ZZ,30,FALSE)="蓄力技",$B$21,0))*(1+IF(VLOOKUP($R207,武学奇术!$A:$ZZ,30,FALSE)="派生技",$B$20,0))*(1+$BW207)*(1+$BX207)</f>
        <v>0</v>
      </c>
      <c r="Q207" s="47">
        <f t="shared" si="109"/>
        <v>0</v>
      </c>
      <c r="R207" s="48" t="s">
        <v>175</v>
      </c>
      <c r="S207" s="48" t="s">
        <v>99</v>
      </c>
      <c r="T207" s="48" t="s">
        <v>182</v>
      </c>
      <c r="U207" s="48" t="s">
        <v>80</v>
      </c>
      <c r="V207" s="48" t="s">
        <v>80</v>
      </c>
      <c r="W207" s="48" t="s">
        <v>91</v>
      </c>
      <c r="X207" s="48" t="s">
        <v>80</v>
      </c>
      <c r="Y207" s="48" t="s">
        <v>80</v>
      </c>
      <c r="Z207" s="48" t="s">
        <v>80</v>
      </c>
      <c r="AA207" s="48" t="s">
        <v>80</v>
      </c>
      <c r="AB207" s="48" t="s">
        <v>80</v>
      </c>
      <c r="AC207" s="48" t="s">
        <v>80</v>
      </c>
      <c r="AD207" s="48" t="s">
        <v>80</v>
      </c>
      <c r="AE207" s="48" t="s">
        <v>82</v>
      </c>
      <c r="AF207" s="48" t="s">
        <v>83</v>
      </c>
      <c r="AG207" s="48" t="s">
        <v>84</v>
      </c>
      <c r="AH207" s="48" t="s">
        <v>80</v>
      </c>
      <c r="AI207" s="48" t="s">
        <v>80</v>
      </c>
      <c r="AJ207" s="48" t="s">
        <v>80</v>
      </c>
      <c r="AK207" s="48" t="s">
        <v>80</v>
      </c>
      <c r="AL207" s="48" t="s">
        <v>85</v>
      </c>
      <c r="AM207" t="str">
        <f>VLOOKUP($R207,武学奇术!$A:$ZZ,25,FALSE)</f>
        <v>横刀</v>
      </c>
      <c r="AN207" s="33">
        <f>VLOOKUP($R207,武学奇术!$A:$ZZ,26,FALSE)</f>
        <v>1.2338</v>
      </c>
      <c r="AO207" s="34">
        <f>VLOOKUP($R207,武学奇术!$A:$ZZ,27,FALSE)*(1+IF(OR($AM207=$F$4,$AM207=$F$5),$B$22,0))</f>
        <v>547.2</v>
      </c>
      <c r="AP207" s="33">
        <f>VLOOKUP($R207,武学奇术!$A:$ZZ,28,FALSE)</f>
        <v>1.8507</v>
      </c>
      <c r="AQ207" s="34">
        <f>VLOOKUP($R207,武学奇术!$A:$ZZ,29,FALSE)*(1+IF(OR($AM207=$F$4,$AM207=$F$5),$B$22,0))</f>
        <v>297.6</v>
      </c>
      <c r="AR207" s="33" cm="1">
        <f t="array" ref="AR207">$G$3+IFERROR(VLOOKUP($AM207,$F$4:$G$7,2,FALSE),0)+VLOOKUP($R207,武学奇术!$A:$ZZ,2,FALSE)+SUM(_xlfn.XLOOKUP($S207:$AL207,增益!$A:$A,增益!$B:$B,0))</f>
        <v>0.4489</v>
      </c>
      <c r="AS207" s="33" cm="1">
        <f t="array" ref="AS207">VLOOKUP($R207,武学奇术!$A:$ZZ,5,FALSE)+SUM(_xlfn.XLOOKUP($S207:$AL207,增益!$A:$A,增益!$E:$E,0))</f>
        <v>0</v>
      </c>
      <c r="AT207" cm="1">
        <f t="array" ref="AT207">$D$10*(1+$AS207)+VLOOKUP($R207,武学奇术!$A:$ZZ,3,FALSE)+SUM(_xlfn.XLOOKUP($S207:$AL207,增益!$A:$A,增益!$C:$C,0))-$I$2</f>
        <v>4094.7</v>
      </c>
      <c r="AU207" cm="1">
        <f t="array" ref="AU207">$E$10*(1+$AS207)+VLOOKUP($R207,武学奇术!$A:$ZZ,4,FALSE)+SUM(_xlfn.XLOOKUP($S207:$AL207,增益!$A:$A,增益!$D:$D,0))-$I$2</f>
        <v>4094.7</v>
      </c>
      <c r="AV207" s="40" cm="1">
        <f t="array" ref="AV207">IF($F$10-$I$3+VLOOKUP($R207,武学奇术!$A:$ZZ,6,FALSE)+SUM(_xlfn.XLOOKUP($S207:$AL207,增益!$A:$A,增益!$F:$F,0))&gt;0,($F$10-$I$3+VLOOKUP($R207,武学奇术!$A:$ZZ,6,FALSE)+SUM(_xlfn.XLOOKUP($S207:$AL207,增益!$A:$A,增益!$F:$F,0)))/200,($F$10-$I$3+VLOOKUP($R207,武学奇术!$A:$ZZ,6,FALSE)+SUM(_xlfn.XLOOKUP($S207:$AL207,增益!$A:$A,增益!$F:$F,0)))/100)</f>
        <v>0.4134</v>
      </c>
      <c r="AW207" s="40" cm="1">
        <f t="array" ref="AW207">$G$10+VLOOKUP($R207,武学奇术!$A:$ZZ,7,FALSE)+SUM(_xlfn.XLOOKUP($S207:$AL207,增益!$A:$A,增益!$G:$G,0))</f>
        <v>0.02</v>
      </c>
      <c r="AX207" s="33" cm="1">
        <f t="array" ref="AX207">VLOOKUP($R207,武学奇术!$A:$ZZ,8,FALSE)+SUM(_xlfn.XLOOKUP($S207:$AL207,增益!$A:$A,增益!$H:$H,0))</f>
        <v>0</v>
      </c>
      <c r="AY207">
        <f t="shared" si="110"/>
        <v>0</v>
      </c>
      <c r="AZ207">
        <f t="shared" si="111"/>
        <v>0</v>
      </c>
      <c r="BA207" s="40" cm="1">
        <f t="array" ref="BA207">IF($F$11-$I$4+VLOOKUP($R207,武学奇术!$A:$ZZ,9,FALSE)+SUM(_xlfn.XLOOKUP($S207:$AL207,增益!$A:$A,增益!$I:$I,0))&gt;0,($F$11-$I$4+VLOOKUP($R207,武学奇术!$A:$ZZ,9,FALSE)+SUM(_xlfn.XLOOKUP($S207:$AL207,增益!$A:$A,增益!$I:$I,0)))/200,($F$11-$I$4+VLOOKUP($R207,武学奇术!$A:$ZZ,9,FALSE)+SUM(_xlfn.XLOOKUP($S207:$AL207,增益!$A:$A,增益!$I:$I,0)))/100)</f>
        <v>-0.3</v>
      </c>
      <c r="BB207" s="40" cm="1">
        <f t="array" ref="BB207">$G$11+VLOOKUP($R207,武学奇术!$A:$ZZ,10,FALSE)+SUM(_xlfn.XLOOKUP($S207:$AL207,增益!$A:$A,增益!$J:$J,0))</f>
        <v>0.02</v>
      </c>
      <c r="BC207">
        <f t="shared" si="112"/>
        <v>640.3</v>
      </c>
      <c r="BD207">
        <f t="shared" si="113"/>
        <v>1770.1</v>
      </c>
      <c r="BE207" s="40" cm="1">
        <f t="array" ref="BE207">IF($F$12-$I$4+VLOOKUP($R207,武学奇术!$A:$ZZ,11,FALSE)+SUM(_xlfn.XLOOKUP($S207:$AL207,增益!$A:$A,增益!$K:$K,0))&gt;0,($F$12-$I$4+VLOOKUP($R207,武学奇术!$A:$ZZ,11,FALSE)+SUM(_xlfn.XLOOKUP($S207:$AL207,增益!$A:$A,增益!$K:$K,0)))/200,($F$12-$I$4+VLOOKUP($R207,武学奇术!$A:$ZZ,11,FALSE)+SUM(_xlfn.XLOOKUP($S207:$AL207,增益!$A:$A,增益!$K:$K,0)))/100)</f>
        <v>0.09</v>
      </c>
      <c r="BF207" s="40" cm="1">
        <f t="array" ref="BF207">$G$12+VLOOKUP($R207,武学奇术!$A:$ZZ,12,FALSE)+SUM(_xlfn.XLOOKUP($S207:$AL207,增益!$A:$A,增益!$L:$L,0))</f>
        <v>0.17</v>
      </c>
      <c r="BG207">
        <f t="shared" si="114"/>
        <v>0</v>
      </c>
      <c r="BH207">
        <f t="shared" si="115"/>
        <v>0</v>
      </c>
      <c r="BI207" s="40" cm="1">
        <f t="array" ref="BI207">IF($F$13-$I$4+VLOOKUP($R207,武学奇术!$A:$ZZ,13,FALSE)+SUM(_xlfn.XLOOKUP($S207:$AL207,增益!$A:$A,增益!$M:$M,0))&gt;0,($F$13-$I$4+VLOOKUP($R207,武学奇术!$A:$ZZ,13,FALSE)+SUM(_xlfn.XLOOKUP($S207:$AL207,增益!$A:$A,增益!$K:$K,0)))/200,($F$13-$I$4+VLOOKUP($R207,武学奇术!$A:$ZZ,13,FALSE)+SUM(_xlfn.XLOOKUP($S207:$AL207,增益!$A:$A,增益!$M:$M,0)))/100)</f>
        <v>-0.3</v>
      </c>
      <c r="BJ207" s="40" cm="1">
        <f t="array" ref="BJ207">$G$13+VLOOKUP($R207,武学奇术!$A:$ZZ,14,FALSE)+SUM(_xlfn.XLOOKUP($S207:$AL207,增益!$A:$A,增益!$N:$N,0))</f>
        <v>0.02</v>
      </c>
      <c r="BK207">
        <f t="shared" si="116"/>
        <v>0</v>
      </c>
      <c r="BL207">
        <f t="shared" si="117"/>
        <v>0</v>
      </c>
      <c r="BM207" s="40" cm="1">
        <f t="array" ref="BM207">IF($F$14-$I$4+VLOOKUP($R207,武学奇术!$A:$ZZ,15,FALSE)+SUM(_xlfn.XLOOKUP($S207:$AL207,增益!$A:$A,增益!$O:$O,0))&gt;0,($F$14-$I$4+VLOOKUP($R207,武学奇术!$A:$ZZ,15,FALSE)+SUM(_xlfn.XLOOKUP($S207:$AL207,增益!$A:$A,增益!$O:$O,0)))/200,($F$14-$I$4+VLOOKUP($R207,武学奇术!$A:$ZZ,15,FALSE)+SUM(_xlfn.XLOOKUP($S207:$AL207,增益!$A:$A,增益!$O:$O,0)))/100)</f>
        <v>-0.3</v>
      </c>
      <c r="BN207" s="40" cm="1">
        <f t="array" ref="BN207">$G$14+VLOOKUP($R207,武学奇术!$A:$ZZ,16,FALSE)+SUM(_xlfn.XLOOKUP($S207:$AL207,增益!$A:$A,增益!$P:$P,0))</f>
        <v>0.02</v>
      </c>
      <c r="BO207" s="33">
        <f>MIN(IF(VLOOKUP($R207,武学奇术!$A:$ZZ,23,FALSE)=1,100%,$B$8),100%)</f>
        <v>0.9771</v>
      </c>
      <c r="BP207" s="33" cm="1">
        <f t="array" ref="BP207">IF(VLOOKUP($R207,武学奇术!$A:$ZZ,23,FALSE)=1,100%,MIN(80%,$B$9+VLOOKUP($R207,武学奇术!$A:$ZZ,17,FALSE)+SUM(_xlfn.XLOOKUP($S207:$AL207,增益!$A:$A,增益!$Q:$Q,0)))+$B$11+SUM(_xlfn.XLOOKUP($S207:$AL207,增益!$A:$A,增益!$U:$U,0)))*IF(VLOOKUP($R207,武学奇术!$A:$ZZ,24,FALSE)=1,0,1)</f>
        <v>0.8861</v>
      </c>
      <c r="BQ207" s="33" cm="1">
        <f t="array" ref="BQ207">1+$B$13+VLOOKUP($R207,武学奇术!$A:$ZZ,18,FALSE)+SUM(_xlfn.XLOOKUP($S207:$AL207,增益!$A:$A,增益!$R:$R,0))</f>
        <v>1.95</v>
      </c>
      <c r="BR207" s="33" cm="1">
        <f t="array" ref="BR207">IF(VLOOKUP($R207,武学奇术!$A:$ZZ,24,FALSE)=1,100%,MIN(40%,$B$10+VLOOKUP($R207,武学奇术!$A:$ZZ,19,FALSE)+SUM(_xlfn.XLOOKUP($S207:$AL207,增益!$A:$A,增益!$S:$S,0)))+$B$12+SUM(_xlfn.XLOOKUP($S207:$AL207,增益!$A:$A,增益!$V:$V,0)))*IF(VLOOKUP($R207,武学奇术!$A:$ZZ,23,FALSE)=1,0,1)</f>
        <v>0.0913</v>
      </c>
      <c r="BS207" s="33" cm="1">
        <f t="array" ref="BS207">1+$B$14+VLOOKUP($R207,武学奇术!$A:$ZZ,20,FALSE)+SUM(_xlfn.XLOOKUP($S207:$AL207,增益!$A:$A,增益!$T:$T,0))</f>
        <v>1.35</v>
      </c>
      <c r="BT207" s="33">
        <f t="shared" si="118"/>
        <v>0.86580831</v>
      </c>
      <c r="BU207" s="33">
        <f t="shared" si="119"/>
        <v>0.02208246</v>
      </c>
      <c r="BV207" s="33">
        <f>IF(VLOOKUP($R207,武学奇术!$A:$ZZ,22,FALSE)=1,0,(1-$BO207))*(1-$BR207)</f>
        <v>0.02080923</v>
      </c>
      <c r="BW207" s="33" cm="1">
        <f t="array" ref="BW207">SUM(_xlfn.XLOOKUP($S207:$AL207,增益!$A:$A,增益!$W:$W,0))+$I$5</f>
        <v>0.11</v>
      </c>
      <c r="BX207" s="33" cm="1">
        <f t="array" ref="BX207">VLOOKUP($R207,武学奇术!$A:$ZZ,32,FALSE)+SUM(_xlfn.XLOOKUP($S207:$AL207,增益!$A:$A,增益!$X:$X,0))</f>
        <v>0</v>
      </c>
    </row>
    <row r="208" spans="12:76">
      <c r="L208" s="46">
        <f t="shared" si="108"/>
        <v>0</v>
      </c>
      <c r="M208" s="46">
        <f>((($AT208+$AU208)/2*$AN208+$AO208)*(1+$AV208)*(1+$AW208)+(($AY208+$AZ208)/2*IF($G$1="鸣金",$AP208,$AN208)+IF($G$1="鸣金",$AQ208*1.5,0))*(1+$BA208)*(1+$BB208)+(($BC208+$BD208)/2*IF($G$1="裂石",$AP208,$AN208)+IF($G$1="裂石",$AQ208*1.5,0))*(1+$BE208)*(1+$BF208)+(($BG208+$BH208)/2*IF($G$1="牵丝",$AP208,$AN208)+IF($G$1="牵丝",$AQ208*1.5,0))*(1+$BI208)*(1+$BJ208)+(($BK208+$BL208)/2*IF($G$1="破竹",$AP208,$AN208)+IF($G$1="破竹",$AQ208*1.5,0))*(1+$BM208)*(1+$BN208))*(1+$AR208)*$BQ208*$Q208*(1+IF(VLOOKUP($R208,武学奇术!$A:$ZZ,30,FALSE)="蓄力技",$B$21,0))*(1+IF(VLOOKUP($R208,武学奇术!$A:$ZZ,30,FALSE)="派生技",$B$20,0))*(1+$BW208)*(1+$BX208)</f>
        <v>0</v>
      </c>
      <c r="N208" s="46">
        <f>(($AU208*$AN208+$AO208)*(1+$AV208)*(1+$AW208)+($AZ208*IF($G$1="鸣金",$AP208,$AN208)+IF($G$1="鸣金",$AQ208*1.5,0))*(1+$BA208)*(1+$BB208)+($BD208*IF($G$1="裂石",$AP208,$AN208)+IF($G$1="裂石",$AQ208*1.5,0))*(1+$BE208)*(1+$BF208)+($BH208*IF($G$1="牵丝",$AP208,$AN208)+IF($G$1="牵丝",$AQ208*1.5,0))*(1+$BI208)*(1+$BJ208)+($BL208*IF($G$1="破竹",$AP208,$AN208)+IF($G$1="破竹",$AQ208*1.5,0))*(1+$BM208)*(1+$BN208))*(1+$AR208)*$BS208*$Q208*(1+IF(VLOOKUP($R208,武学奇术!$A:$ZZ,30,FALSE)="蓄力技",$B$21,0))*(1+IF(VLOOKUP($R208,武学奇术!$A:$ZZ,30,FALSE)="派生技",$B$20,0))*(1+$BW208)*(1+$BX208)</f>
        <v>0</v>
      </c>
      <c r="O208" s="46">
        <f>((($AT208+$AU208)/2*$AN208+$AO208)*(1+$AV208)*(1+$AW208)+(($AY208+$AZ208)/2*IF($G$1="鸣金",$AP208,$AN208)+IF($G$1="鸣金",$AQ208*1.5,0))*(1+$BA208)*(1+$BB208)+(($BC208+$BD208)/2*IF($G$1="裂石",$AP208,$AN208)+IF($G$1="裂石",$AQ208*1.5,0))*(1+$BE208)*(1+$BF208)+(($BG208+$BH208)/2*IF($G$1="牵丝",$AP208,$AN208)+IF($G$1="牵丝",$AQ208*1.5,0))*(1+$BI208)*(1+$BJ208)+(($BK208+$BL208)/2*IF($G$1="破竹",$AP208,$AN208)+IF($G$1="破竹",$AQ208*1.5,0))*(1+$BM208)*(1+$BN208))*(1+$AR208)*$Q208*(1+IF(VLOOKUP($R208,武学奇术!$A:$ZZ,30,FALSE)="蓄力技",$B$21,0))*(1+IF(VLOOKUP($R208,武学奇术!$A:$ZZ,30,FALSE)="派生技",$B$20,0))*(1+$BW208)*(1+$BX208)</f>
        <v>0</v>
      </c>
      <c r="P208" s="46">
        <f>((($AT208*$AN208+$AO208)*(1+$AV208)*(1+$AW208)+($AY208*IF($G$1="鸣金",$AP208,$AN208)+IF($G$1="鸣金",$AQ208*1.5,0))*(1+$BA208)*(1+$BB208)+($BC208*IF($G$1="裂石",$AP208,$AN208)+IF($G$1="裂石",$AQ208*1.5,0))*(1+$BE208)*(1+$BF208)+($BG208*IF($G$1="牵丝",$AP208,$AN208)+IF($G$1="牵丝",$AQ208*1.5,0))*(1+$BI208)*(1+$BJ208)+($BK208*IF($G$1="破竹",$AP208,$AN208)+IF($G$1="破竹",$AQ208*1.5,0))*(1+$BM208)*(1+$BN208))*(1+$AR208))*$Q208*(1+IF(VLOOKUP($R208,武学奇术!$A:$ZZ,30,FALSE)="蓄力技",$B$21,0))*(1+IF(VLOOKUP($R208,武学奇术!$A:$ZZ,30,FALSE)="派生技",$B$20,0))*(1+$BW208)*(1+$BX208)</f>
        <v>0</v>
      </c>
      <c r="Q208" s="47">
        <f t="shared" si="109"/>
        <v>0</v>
      </c>
      <c r="R208" s="48" t="s">
        <v>116</v>
      </c>
      <c r="S208" s="48" t="s">
        <v>99</v>
      </c>
      <c r="T208" s="48" t="s">
        <v>182</v>
      </c>
      <c r="U208" s="48" t="s">
        <v>80</v>
      </c>
      <c r="V208" s="48" t="s">
        <v>80</v>
      </c>
      <c r="W208" s="48" t="s">
        <v>91</v>
      </c>
      <c r="X208" s="48" t="s">
        <v>80</v>
      </c>
      <c r="Y208" s="48" t="s">
        <v>80</v>
      </c>
      <c r="Z208" s="48" t="s">
        <v>80</v>
      </c>
      <c r="AA208" s="48" t="s">
        <v>80</v>
      </c>
      <c r="AB208" s="48" t="s">
        <v>80</v>
      </c>
      <c r="AC208" s="48" t="s">
        <v>80</v>
      </c>
      <c r="AD208" s="48" t="s">
        <v>80</v>
      </c>
      <c r="AE208" s="48" t="s">
        <v>82</v>
      </c>
      <c r="AF208" s="48" t="s">
        <v>83</v>
      </c>
      <c r="AG208" s="48" t="s">
        <v>84</v>
      </c>
      <c r="AH208" s="48" t="s">
        <v>80</v>
      </c>
      <c r="AI208" s="48" t="s">
        <v>80</v>
      </c>
      <c r="AJ208" s="48" t="s">
        <v>80</v>
      </c>
      <c r="AK208" s="48" t="s">
        <v>80</v>
      </c>
      <c r="AL208" s="48" t="s">
        <v>85</v>
      </c>
      <c r="AM208" t="str">
        <f>VLOOKUP($R208,武学奇术!$A:$ZZ,25,FALSE)</f>
        <v>横刀</v>
      </c>
      <c r="AN208" s="33">
        <f>VLOOKUP($R208,武学奇术!$A:$ZZ,26,FALSE)</f>
        <v>3.7797</v>
      </c>
      <c r="AO208" s="34">
        <f>VLOOKUP($R208,武学奇术!$A:$ZZ,27,FALSE)*(1+IF(OR($AM208=$F$4,$AM208=$F$5),$B$22,0))</f>
        <v>1672</v>
      </c>
      <c r="AP208" s="33">
        <f>VLOOKUP($R208,武学奇术!$A:$ZZ,28,FALSE)</f>
        <v>5.6696</v>
      </c>
      <c r="AQ208" s="34">
        <f>VLOOKUP($R208,武学奇术!$A:$ZZ,29,FALSE)*(1+IF(OR($AM208=$F$4,$AM208=$F$5),$B$22,0))</f>
        <v>912</v>
      </c>
      <c r="AR208" s="33" cm="1">
        <f t="array" ref="AR208">$G$3+IFERROR(VLOOKUP($AM208,$F$4:$G$7,2,FALSE),0)+VLOOKUP($R208,武学奇术!$A:$ZZ,2,FALSE)+SUM(_xlfn.XLOOKUP($S208:$AL208,增益!$A:$A,增益!$B:$B,0))</f>
        <v>0.4489</v>
      </c>
      <c r="AS208" s="33" cm="1">
        <f t="array" ref="AS208">VLOOKUP($R208,武学奇术!$A:$ZZ,5,FALSE)+SUM(_xlfn.XLOOKUP($S208:$AL208,增益!$A:$A,增益!$E:$E,0))</f>
        <v>0</v>
      </c>
      <c r="AT208" cm="1">
        <f t="array" ref="AT208">$D$10*(1+$AS208)+VLOOKUP($R208,武学奇术!$A:$ZZ,3,FALSE)+SUM(_xlfn.XLOOKUP($S208:$AL208,增益!$A:$A,增益!$C:$C,0))-$I$2</f>
        <v>4094.7</v>
      </c>
      <c r="AU208" cm="1">
        <f t="array" ref="AU208">$E$10*(1+$AS208)+VLOOKUP($R208,武学奇术!$A:$ZZ,4,FALSE)+SUM(_xlfn.XLOOKUP($S208:$AL208,增益!$A:$A,增益!$D:$D,0))-$I$2</f>
        <v>4094.7</v>
      </c>
      <c r="AV208" s="40" cm="1">
        <f t="array" ref="AV208">IF($F$10-$I$3+VLOOKUP($R208,武学奇术!$A:$ZZ,6,FALSE)+SUM(_xlfn.XLOOKUP($S208:$AL208,增益!$A:$A,增益!$F:$F,0))&gt;0,($F$10-$I$3+VLOOKUP($R208,武学奇术!$A:$ZZ,6,FALSE)+SUM(_xlfn.XLOOKUP($S208:$AL208,增益!$A:$A,增益!$F:$F,0)))/200,($F$10-$I$3+VLOOKUP($R208,武学奇术!$A:$ZZ,6,FALSE)+SUM(_xlfn.XLOOKUP($S208:$AL208,增益!$A:$A,增益!$F:$F,0)))/100)</f>
        <v>0.4134</v>
      </c>
      <c r="AW208" s="40" cm="1">
        <f t="array" ref="AW208">$G$10+VLOOKUP($R208,武学奇术!$A:$ZZ,7,FALSE)+SUM(_xlfn.XLOOKUP($S208:$AL208,增益!$A:$A,增益!$G:$G,0))</f>
        <v>0.02</v>
      </c>
      <c r="AX208" s="33" cm="1">
        <f t="array" ref="AX208">VLOOKUP($R208,武学奇术!$A:$ZZ,8,FALSE)+SUM(_xlfn.XLOOKUP($S208:$AL208,增益!$A:$A,增益!$H:$H,0))</f>
        <v>0</v>
      </c>
      <c r="AY208">
        <f t="shared" si="110"/>
        <v>0</v>
      </c>
      <c r="AZ208">
        <f t="shared" si="111"/>
        <v>0</v>
      </c>
      <c r="BA208" s="40" cm="1">
        <f t="array" ref="BA208">IF($F$11-$I$4+VLOOKUP($R208,武学奇术!$A:$ZZ,9,FALSE)+SUM(_xlfn.XLOOKUP($S208:$AL208,增益!$A:$A,增益!$I:$I,0))&gt;0,($F$11-$I$4+VLOOKUP($R208,武学奇术!$A:$ZZ,9,FALSE)+SUM(_xlfn.XLOOKUP($S208:$AL208,增益!$A:$A,增益!$I:$I,0)))/200,($F$11-$I$4+VLOOKUP($R208,武学奇术!$A:$ZZ,9,FALSE)+SUM(_xlfn.XLOOKUP($S208:$AL208,增益!$A:$A,增益!$I:$I,0)))/100)</f>
        <v>-0.3</v>
      </c>
      <c r="BB208" s="40" cm="1">
        <f t="array" ref="BB208">$G$11+VLOOKUP($R208,武学奇术!$A:$ZZ,10,FALSE)+SUM(_xlfn.XLOOKUP($S208:$AL208,增益!$A:$A,增益!$J:$J,0))</f>
        <v>0.02</v>
      </c>
      <c r="BC208">
        <f t="shared" si="112"/>
        <v>640.3</v>
      </c>
      <c r="BD208">
        <f t="shared" si="113"/>
        <v>1770.1</v>
      </c>
      <c r="BE208" s="40" cm="1">
        <f t="array" ref="BE208">IF($F$12-$I$4+VLOOKUP($R208,武学奇术!$A:$ZZ,11,FALSE)+SUM(_xlfn.XLOOKUP($S208:$AL208,增益!$A:$A,增益!$K:$K,0))&gt;0,($F$12-$I$4+VLOOKUP($R208,武学奇术!$A:$ZZ,11,FALSE)+SUM(_xlfn.XLOOKUP($S208:$AL208,增益!$A:$A,增益!$K:$K,0)))/200,($F$12-$I$4+VLOOKUP($R208,武学奇术!$A:$ZZ,11,FALSE)+SUM(_xlfn.XLOOKUP($S208:$AL208,增益!$A:$A,增益!$K:$K,0)))/100)</f>
        <v>0.09</v>
      </c>
      <c r="BF208" s="40" cm="1">
        <f t="array" ref="BF208">$G$12+VLOOKUP($R208,武学奇术!$A:$ZZ,12,FALSE)+SUM(_xlfn.XLOOKUP($S208:$AL208,增益!$A:$A,增益!$L:$L,0))</f>
        <v>0.17</v>
      </c>
      <c r="BG208">
        <f t="shared" si="114"/>
        <v>0</v>
      </c>
      <c r="BH208">
        <f t="shared" si="115"/>
        <v>0</v>
      </c>
      <c r="BI208" s="40" cm="1">
        <f t="array" ref="BI208">IF($F$13-$I$4+VLOOKUP($R208,武学奇术!$A:$ZZ,13,FALSE)+SUM(_xlfn.XLOOKUP($S208:$AL208,增益!$A:$A,增益!$M:$M,0))&gt;0,($F$13-$I$4+VLOOKUP($R208,武学奇术!$A:$ZZ,13,FALSE)+SUM(_xlfn.XLOOKUP($S208:$AL208,增益!$A:$A,增益!$K:$K,0)))/200,($F$13-$I$4+VLOOKUP($R208,武学奇术!$A:$ZZ,13,FALSE)+SUM(_xlfn.XLOOKUP($S208:$AL208,增益!$A:$A,增益!$M:$M,0)))/100)</f>
        <v>-0.3</v>
      </c>
      <c r="BJ208" s="40" cm="1">
        <f t="array" ref="BJ208">$G$13+VLOOKUP($R208,武学奇术!$A:$ZZ,14,FALSE)+SUM(_xlfn.XLOOKUP($S208:$AL208,增益!$A:$A,增益!$N:$N,0))</f>
        <v>0.02</v>
      </c>
      <c r="BK208">
        <f t="shared" si="116"/>
        <v>0</v>
      </c>
      <c r="BL208">
        <f t="shared" si="117"/>
        <v>0</v>
      </c>
      <c r="BM208" s="40" cm="1">
        <f t="array" ref="BM208">IF($F$14-$I$4+VLOOKUP($R208,武学奇术!$A:$ZZ,15,FALSE)+SUM(_xlfn.XLOOKUP($S208:$AL208,增益!$A:$A,增益!$O:$O,0))&gt;0,($F$14-$I$4+VLOOKUP($R208,武学奇术!$A:$ZZ,15,FALSE)+SUM(_xlfn.XLOOKUP($S208:$AL208,增益!$A:$A,增益!$O:$O,0)))/200,($F$14-$I$4+VLOOKUP($R208,武学奇术!$A:$ZZ,15,FALSE)+SUM(_xlfn.XLOOKUP($S208:$AL208,增益!$A:$A,增益!$O:$O,0)))/100)</f>
        <v>-0.3</v>
      </c>
      <c r="BN208" s="40" cm="1">
        <f t="array" ref="BN208">$G$14+VLOOKUP($R208,武学奇术!$A:$ZZ,16,FALSE)+SUM(_xlfn.XLOOKUP($S208:$AL208,增益!$A:$A,增益!$P:$P,0))</f>
        <v>0.02</v>
      </c>
      <c r="BO208" s="33">
        <f>MIN(IF(VLOOKUP($R208,武学奇术!$A:$ZZ,23,FALSE)=1,100%,$B$8),100%)</f>
        <v>0.9771</v>
      </c>
      <c r="BP208" s="33" cm="1">
        <f t="array" ref="BP208">IF(VLOOKUP($R208,武学奇术!$A:$ZZ,23,FALSE)=1,100%,MIN(80%,$B$9+VLOOKUP($R208,武学奇术!$A:$ZZ,17,FALSE)+SUM(_xlfn.XLOOKUP($S208:$AL208,增益!$A:$A,增益!$Q:$Q,0)))+$B$11+SUM(_xlfn.XLOOKUP($S208:$AL208,增益!$A:$A,增益!$U:$U,0)))*IF(VLOOKUP($R208,武学奇术!$A:$ZZ,24,FALSE)=1,0,1)</f>
        <v>0.8861</v>
      </c>
      <c r="BQ208" s="33" cm="1">
        <f t="array" ref="BQ208">1+$B$13+VLOOKUP($R208,武学奇术!$A:$ZZ,18,FALSE)+SUM(_xlfn.XLOOKUP($S208:$AL208,增益!$A:$A,增益!$R:$R,0))</f>
        <v>1.95</v>
      </c>
      <c r="BR208" s="33" cm="1">
        <f t="array" ref="BR208">IF(VLOOKUP($R208,武学奇术!$A:$ZZ,24,FALSE)=1,100%,MIN(40%,$B$10+VLOOKUP($R208,武学奇术!$A:$ZZ,19,FALSE)+SUM(_xlfn.XLOOKUP($S208:$AL208,增益!$A:$A,增益!$S:$S,0)))+$B$12+SUM(_xlfn.XLOOKUP($S208:$AL208,增益!$A:$A,增益!$V:$V,0)))*IF(VLOOKUP($R208,武学奇术!$A:$ZZ,23,FALSE)=1,0,1)</f>
        <v>0.0913</v>
      </c>
      <c r="BS208" s="33" cm="1">
        <f t="array" ref="BS208">1+$B$14+VLOOKUP($R208,武学奇术!$A:$ZZ,20,FALSE)+SUM(_xlfn.XLOOKUP($S208:$AL208,增益!$A:$A,增益!$T:$T,0))</f>
        <v>1.35</v>
      </c>
      <c r="BT208" s="33">
        <f t="shared" si="118"/>
        <v>0.86580831</v>
      </c>
      <c r="BU208" s="33">
        <f t="shared" si="119"/>
        <v>0.02208246</v>
      </c>
      <c r="BV208" s="33">
        <f>IF(VLOOKUP($R208,武学奇术!$A:$ZZ,22,FALSE)=1,0,(1-$BO208))*(1-$BR208)</f>
        <v>0.02080923</v>
      </c>
      <c r="BW208" s="33" cm="1">
        <f t="array" ref="BW208">SUM(_xlfn.XLOOKUP($S208:$AL208,增益!$A:$A,增益!$W:$W,0))+$I$5</f>
        <v>0.11</v>
      </c>
      <c r="BX208" s="33" cm="1">
        <f t="array" ref="BX208">VLOOKUP($R208,武学奇术!$A:$ZZ,32,FALSE)+SUM(_xlfn.XLOOKUP($S208:$AL208,增益!$A:$A,增益!$X:$X,0))</f>
        <v>0</v>
      </c>
    </row>
    <row r="209" spans="12:76">
      <c r="L209" s="46">
        <f t="shared" si="108"/>
        <v>0</v>
      </c>
      <c r="M209" s="46">
        <f>((($AT209+$AU209)/2*$AN209+$AO209)*(1+$AV209)*(1+$AW209)+(($AY209+$AZ209)/2*IF($G$1="鸣金",$AP209,$AN209)+IF($G$1="鸣金",$AQ209*1.5,0))*(1+$BA209)*(1+$BB209)+(($BC209+$BD209)/2*IF($G$1="裂石",$AP209,$AN209)+IF($G$1="裂石",$AQ209*1.5,0))*(1+$BE209)*(1+$BF209)+(($BG209+$BH209)/2*IF($G$1="牵丝",$AP209,$AN209)+IF($G$1="牵丝",$AQ209*1.5,0))*(1+$BI209)*(1+$BJ209)+(($BK209+$BL209)/2*IF($G$1="破竹",$AP209,$AN209)+IF($G$1="破竹",$AQ209*1.5,0))*(1+$BM209)*(1+$BN209))*(1+$AR209)*$BQ209*$Q209*(1+IF(VLOOKUP($R209,武学奇术!$A:$ZZ,30,FALSE)="蓄力技",$B$21,0))*(1+IF(VLOOKUP($R209,武学奇术!$A:$ZZ,30,FALSE)="派生技",$B$20,0))*(1+$BW209)*(1+$BX209)</f>
        <v>0</v>
      </c>
      <c r="N209" s="46">
        <f>(($AU209*$AN209+$AO209)*(1+$AV209)*(1+$AW209)+($AZ209*IF($G$1="鸣金",$AP209,$AN209)+IF($G$1="鸣金",$AQ209*1.5,0))*(1+$BA209)*(1+$BB209)+($BD209*IF($G$1="裂石",$AP209,$AN209)+IF($G$1="裂石",$AQ209*1.5,0))*(1+$BE209)*(1+$BF209)+($BH209*IF($G$1="牵丝",$AP209,$AN209)+IF($G$1="牵丝",$AQ209*1.5,0))*(1+$BI209)*(1+$BJ209)+($BL209*IF($G$1="破竹",$AP209,$AN209)+IF($G$1="破竹",$AQ209*1.5,0))*(1+$BM209)*(1+$BN209))*(1+$AR209)*$BS209*$Q209*(1+IF(VLOOKUP($R209,武学奇术!$A:$ZZ,30,FALSE)="蓄力技",$B$21,0))*(1+IF(VLOOKUP($R209,武学奇术!$A:$ZZ,30,FALSE)="派生技",$B$20,0))*(1+$BW209)*(1+$BX209)</f>
        <v>0</v>
      </c>
      <c r="O209" s="46">
        <f>((($AT209+$AU209)/2*$AN209+$AO209)*(1+$AV209)*(1+$AW209)+(($AY209+$AZ209)/2*IF($G$1="鸣金",$AP209,$AN209)+IF($G$1="鸣金",$AQ209*1.5,0))*(1+$BA209)*(1+$BB209)+(($BC209+$BD209)/2*IF($G$1="裂石",$AP209,$AN209)+IF($G$1="裂石",$AQ209*1.5,0))*(1+$BE209)*(1+$BF209)+(($BG209+$BH209)/2*IF($G$1="牵丝",$AP209,$AN209)+IF($G$1="牵丝",$AQ209*1.5,0))*(1+$BI209)*(1+$BJ209)+(($BK209+$BL209)/2*IF($G$1="破竹",$AP209,$AN209)+IF($G$1="破竹",$AQ209*1.5,0))*(1+$BM209)*(1+$BN209))*(1+$AR209)*$Q209*(1+IF(VLOOKUP($R209,武学奇术!$A:$ZZ,30,FALSE)="蓄力技",$B$21,0))*(1+IF(VLOOKUP($R209,武学奇术!$A:$ZZ,30,FALSE)="派生技",$B$20,0))*(1+$BW209)*(1+$BX209)</f>
        <v>0</v>
      </c>
      <c r="P209" s="46">
        <f>((($AT209*$AN209+$AO209)*(1+$AV209)*(1+$AW209)+($AY209*IF($G$1="鸣金",$AP209,$AN209)+IF($G$1="鸣金",$AQ209*1.5,0))*(1+$BA209)*(1+$BB209)+($BC209*IF($G$1="裂石",$AP209,$AN209)+IF($G$1="裂石",$AQ209*1.5,0))*(1+$BE209)*(1+$BF209)+($BG209*IF($G$1="牵丝",$AP209,$AN209)+IF($G$1="牵丝",$AQ209*1.5,0))*(1+$BI209)*(1+$BJ209)+($BK209*IF($G$1="破竹",$AP209,$AN209)+IF($G$1="破竹",$AQ209*1.5,0))*(1+$BM209)*(1+$BN209))*(1+$AR209))*$Q209*(1+IF(VLOOKUP($R209,武学奇术!$A:$ZZ,30,FALSE)="蓄力技",$B$21,0))*(1+IF(VLOOKUP($R209,武学奇术!$A:$ZZ,30,FALSE)="派生技",$B$20,0))*(1+$BW209)*(1+$BX209)</f>
        <v>0</v>
      </c>
      <c r="Q209" s="47">
        <f t="shared" si="109"/>
        <v>0</v>
      </c>
      <c r="R209" s="48" t="s">
        <v>195</v>
      </c>
      <c r="S209" s="48" t="s">
        <v>99</v>
      </c>
      <c r="T209" s="48" t="s">
        <v>182</v>
      </c>
      <c r="U209" s="48" t="s">
        <v>79</v>
      </c>
      <c r="V209" s="48" t="s">
        <v>80</v>
      </c>
      <c r="W209" s="48" t="s">
        <v>141</v>
      </c>
      <c r="X209" s="48" t="s">
        <v>80</v>
      </c>
      <c r="Y209" s="48" t="s">
        <v>74</v>
      </c>
      <c r="Z209" s="48" t="s">
        <v>80</v>
      </c>
      <c r="AA209" s="48" t="s">
        <v>80</v>
      </c>
      <c r="AB209" s="48" t="s">
        <v>80</v>
      </c>
      <c r="AC209" s="48" t="s">
        <v>80</v>
      </c>
      <c r="AD209" s="48" t="s">
        <v>80</v>
      </c>
      <c r="AE209" s="48" t="s">
        <v>82</v>
      </c>
      <c r="AF209" s="48" t="s">
        <v>83</v>
      </c>
      <c r="AG209" s="48" t="s">
        <v>84</v>
      </c>
      <c r="AH209" s="48" t="s">
        <v>80</v>
      </c>
      <c r="AI209" s="48" t="s">
        <v>80</v>
      </c>
      <c r="AJ209" s="48" t="s">
        <v>80</v>
      </c>
      <c r="AK209" s="48" t="s">
        <v>80</v>
      </c>
      <c r="AL209" s="48" t="s">
        <v>85</v>
      </c>
      <c r="AM209" t="str">
        <f>VLOOKUP($R209,武学奇术!$A:$ZZ,25,FALSE)</f>
        <v>横刀</v>
      </c>
      <c r="AN209" s="33">
        <f>VLOOKUP($R209,武学奇术!$A:$ZZ,26,FALSE)</f>
        <v>3.6553</v>
      </c>
      <c r="AO209" s="34">
        <f>VLOOKUP($R209,武学奇术!$A:$ZZ,27,FALSE)*(1+IF(OR($AM209=$F$4,$AM209=$F$5),$B$22,0))</f>
        <v>1619.2</v>
      </c>
      <c r="AP209" s="33">
        <f>VLOOKUP($R209,武学奇术!$A:$ZZ,28,FALSE)</f>
        <v>5.4829</v>
      </c>
      <c r="AQ209" s="34">
        <f>VLOOKUP($R209,武学奇术!$A:$ZZ,29,FALSE)*(1+IF(OR($AM209=$F$4,$AM209=$F$5),$B$22,0))</f>
        <v>880</v>
      </c>
      <c r="AR209" s="33" cm="1">
        <f t="array" ref="AR209">$G$3+IFERROR(VLOOKUP($AM209,$F$4:$G$7,2,FALSE),0)+VLOOKUP($R209,武学奇术!$A:$ZZ,2,FALSE)+SUM(_xlfn.XLOOKUP($S209:$AL209,增益!$A:$A,增益!$B:$B,0))</f>
        <v>0.6289</v>
      </c>
      <c r="AS209" s="33" cm="1">
        <f t="array" ref="AS209">VLOOKUP($R209,武学奇术!$A:$ZZ,5,FALSE)+SUM(_xlfn.XLOOKUP($S209:$AL209,增益!$A:$A,增益!$E:$E,0))</f>
        <v>0</v>
      </c>
      <c r="AT209" cm="1">
        <f t="array" ref="AT209">$D$10*(1+$AS209)+VLOOKUP($R209,武学奇术!$A:$ZZ,3,FALSE)+SUM(_xlfn.XLOOKUP($S209:$AL209,增益!$A:$A,增益!$C:$C,0))-$I$2</f>
        <v>4094.7</v>
      </c>
      <c r="AU209" cm="1">
        <f t="array" ref="AU209">$E$10*(1+$AS209)+VLOOKUP($R209,武学奇术!$A:$ZZ,4,FALSE)+SUM(_xlfn.XLOOKUP($S209:$AL209,增益!$A:$A,增益!$D:$D,0))-$I$2</f>
        <v>4094.7</v>
      </c>
      <c r="AV209" s="40" cm="1">
        <f t="array" ref="AV209">IF($F$10-$I$3+VLOOKUP($R209,武学奇术!$A:$ZZ,6,FALSE)+SUM(_xlfn.XLOOKUP($S209:$AL209,增益!$A:$A,增益!$F:$F,0))&gt;0,($F$10-$I$3+VLOOKUP($R209,武学奇术!$A:$ZZ,6,FALSE)+SUM(_xlfn.XLOOKUP($S209:$AL209,增益!$A:$A,增益!$F:$F,0)))/200,($F$10-$I$3+VLOOKUP($R209,武学奇术!$A:$ZZ,6,FALSE)+SUM(_xlfn.XLOOKUP($S209:$AL209,增益!$A:$A,增益!$F:$F,0)))/100)</f>
        <v>0.4384</v>
      </c>
      <c r="AW209" s="40" cm="1">
        <f t="array" ref="AW209">$G$10+VLOOKUP($R209,武学奇术!$A:$ZZ,7,FALSE)+SUM(_xlfn.XLOOKUP($S209:$AL209,增益!$A:$A,增益!$G:$G,0))</f>
        <v>0.14</v>
      </c>
      <c r="AX209" s="33" cm="1">
        <f t="array" ref="AX209">VLOOKUP($R209,武学奇术!$A:$ZZ,8,FALSE)+SUM(_xlfn.XLOOKUP($S209:$AL209,增益!$A:$A,增益!$H:$H,0))</f>
        <v>0</v>
      </c>
      <c r="AY209">
        <f t="shared" si="110"/>
        <v>0</v>
      </c>
      <c r="AZ209">
        <f t="shared" si="111"/>
        <v>0</v>
      </c>
      <c r="BA209" s="40" cm="1">
        <f t="array" ref="BA209">IF($F$11-$I$4+VLOOKUP($R209,武学奇术!$A:$ZZ,9,FALSE)+SUM(_xlfn.XLOOKUP($S209:$AL209,增益!$A:$A,增益!$I:$I,0))&gt;0,($F$11-$I$4+VLOOKUP($R209,武学奇术!$A:$ZZ,9,FALSE)+SUM(_xlfn.XLOOKUP($S209:$AL209,增益!$A:$A,增益!$I:$I,0)))/200,($F$11-$I$4+VLOOKUP($R209,武学奇术!$A:$ZZ,9,FALSE)+SUM(_xlfn.XLOOKUP($S209:$AL209,增益!$A:$A,增益!$I:$I,0)))/100)</f>
        <v>-0.3</v>
      </c>
      <c r="BB209" s="40" cm="1">
        <f t="array" ref="BB209">$G$11+VLOOKUP($R209,武学奇术!$A:$ZZ,10,FALSE)+SUM(_xlfn.XLOOKUP($S209:$AL209,增益!$A:$A,增益!$J:$J,0))</f>
        <v>0.02</v>
      </c>
      <c r="BC209">
        <f t="shared" si="112"/>
        <v>640.3</v>
      </c>
      <c r="BD209">
        <f t="shared" si="113"/>
        <v>1770.1</v>
      </c>
      <c r="BE209" s="40" cm="1">
        <f t="array" ref="BE209">IF($F$12-$I$4+VLOOKUP($R209,武学奇术!$A:$ZZ,11,FALSE)+SUM(_xlfn.XLOOKUP($S209:$AL209,增益!$A:$A,增益!$K:$K,0))&gt;0,($F$12-$I$4+VLOOKUP($R209,武学奇术!$A:$ZZ,11,FALSE)+SUM(_xlfn.XLOOKUP($S209:$AL209,增益!$A:$A,增益!$K:$K,0)))/200,($F$12-$I$4+VLOOKUP($R209,武学奇术!$A:$ZZ,11,FALSE)+SUM(_xlfn.XLOOKUP($S209:$AL209,增益!$A:$A,增益!$K:$K,0)))/100)</f>
        <v>0.09</v>
      </c>
      <c r="BF209" s="40" cm="1">
        <f t="array" ref="BF209">$G$12+VLOOKUP($R209,武学奇术!$A:$ZZ,12,FALSE)+SUM(_xlfn.XLOOKUP($S209:$AL209,增益!$A:$A,增益!$L:$L,0))</f>
        <v>0.29</v>
      </c>
      <c r="BG209">
        <f t="shared" si="114"/>
        <v>0</v>
      </c>
      <c r="BH209">
        <f t="shared" si="115"/>
        <v>0</v>
      </c>
      <c r="BI209" s="40" cm="1">
        <f t="array" ref="BI209">IF($F$13-$I$4+VLOOKUP($R209,武学奇术!$A:$ZZ,13,FALSE)+SUM(_xlfn.XLOOKUP($S209:$AL209,增益!$A:$A,增益!$M:$M,0))&gt;0,($F$13-$I$4+VLOOKUP($R209,武学奇术!$A:$ZZ,13,FALSE)+SUM(_xlfn.XLOOKUP($S209:$AL209,增益!$A:$A,增益!$K:$K,0)))/200,($F$13-$I$4+VLOOKUP($R209,武学奇术!$A:$ZZ,13,FALSE)+SUM(_xlfn.XLOOKUP($S209:$AL209,增益!$A:$A,增益!$M:$M,0)))/100)</f>
        <v>-0.3</v>
      </c>
      <c r="BJ209" s="40" cm="1">
        <f t="array" ref="BJ209">$G$13+VLOOKUP($R209,武学奇术!$A:$ZZ,14,FALSE)+SUM(_xlfn.XLOOKUP($S209:$AL209,增益!$A:$A,增益!$N:$N,0))</f>
        <v>0.02</v>
      </c>
      <c r="BK209">
        <f t="shared" si="116"/>
        <v>0</v>
      </c>
      <c r="BL209">
        <f t="shared" si="117"/>
        <v>0</v>
      </c>
      <c r="BM209" s="40" cm="1">
        <f t="array" ref="BM209">IF($F$14-$I$4+VLOOKUP($R209,武学奇术!$A:$ZZ,15,FALSE)+SUM(_xlfn.XLOOKUP($S209:$AL209,增益!$A:$A,增益!$O:$O,0))&gt;0,($F$14-$I$4+VLOOKUP($R209,武学奇术!$A:$ZZ,15,FALSE)+SUM(_xlfn.XLOOKUP($S209:$AL209,增益!$A:$A,增益!$O:$O,0)))/200,($F$14-$I$4+VLOOKUP($R209,武学奇术!$A:$ZZ,15,FALSE)+SUM(_xlfn.XLOOKUP($S209:$AL209,增益!$A:$A,增益!$O:$O,0)))/100)</f>
        <v>-0.3</v>
      </c>
      <c r="BN209" s="40" cm="1">
        <f t="array" ref="BN209">$G$14+VLOOKUP($R209,武学奇术!$A:$ZZ,16,FALSE)+SUM(_xlfn.XLOOKUP($S209:$AL209,增益!$A:$A,增益!$P:$P,0))</f>
        <v>0.02</v>
      </c>
      <c r="BO209" s="33">
        <f>MIN(IF(VLOOKUP($R209,武学奇术!$A:$ZZ,23,FALSE)=1,100%,$B$8),100%)</f>
        <v>0.9771</v>
      </c>
      <c r="BP209" s="33" cm="1">
        <f t="array" ref="BP209">IF(VLOOKUP($R209,武学奇术!$A:$ZZ,23,FALSE)=1,100%,MIN(80%,$B$9+VLOOKUP($R209,武学奇术!$A:$ZZ,17,FALSE)+SUM(_xlfn.XLOOKUP($S209:$AL209,增益!$A:$A,增益!$Q:$Q,0)))+$B$11+SUM(_xlfn.XLOOKUP($S209:$AL209,增益!$A:$A,增益!$U:$U,0)))*IF(VLOOKUP($R209,武学奇术!$A:$ZZ,24,FALSE)=1,0,1)</f>
        <v>0.8861</v>
      </c>
      <c r="BQ209" s="33" cm="1">
        <f t="array" ref="BQ209">1+$B$13+VLOOKUP($R209,武学奇术!$A:$ZZ,18,FALSE)+SUM(_xlfn.XLOOKUP($S209:$AL209,增益!$A:$A,增益!$R:$R,0))</f>
        <v>2</v>
      </c>
      <c r="BR209" s="33" cm="1">
        <f t="array" ref="BR209">IF(VLOOKUP($R209,武学奇术!$A:$ZZ,24,FALSE)=1,100%,MIN(40%,$B$10+VLOOKUP($R209,武学奇术!$A:$ZZ,19,FALSE)+SUM(_xlfn.XLOOKUP($S209:$AL209,增益!$A:$A,增益!$S:$S,0)))+$B$12+SUM(_xlfn.XLOOKUP($S209:$AL209,增益!$A:$A,增益!$V:$V,0)))*IF(VLOOKUP($R209,武学奇术!$A:$ZZ,23,FALSE)=1,0,1)</f>
        <v>0.0913</v>
      </c>
      <c r="BS209" s="33" cm="1">
        <f t="array" ref="BS209">1+$B$14+VLOOKUP($R209,武学奇术!$A:$ZZ,20,FALSE)+SUM(_xlfn.XLOOKUP($S209:$AL209,增益!$A:$A,增益!$T:$T,0))</f>
        <v>1.35</v>
      </c>
      <c r="BT209" s="33">
        <f t="shared" si="118"/>
        <v>0.86580831</v>
      </c>
      <c r="BU209" s="33">
        <f t="shared" si="119"/>
        <v>0.02208246</v>
      </c>
      <c r="BV209" s="33">
        <f>IF(VLOOKUP($R209,武学奇术!$A:$ZZ,22,FALSE)=1,0,(1-$BO209))*(1-$BR209)</f>
        <v>0.02080923</v>
      </c>
      <c r="BW209" s="33" cm="1">
        <f t="array" ref="BW209">SUM(_xlfn.XLOOKUP($S209:$AL209,增益!$A:$A,增益!$W:$W,0))+$I$5</f>
        <v>0.11</v>
      </c>
      <c r="BX209" s="33" cm="1">
        <f t="array" ref="BX209">VLOOKUP($R209,武学奇术!$A:$ZZ,32,FALSE)+SUM(_xlfn.XLOOKUP($S209:$AL209,增益!$A:$A,增益!$X:$X,0))</f>
        <v>0</v>
      </c>
    </row>
    <row r="210" spans="12:76">
      <c r="L210" s="46">
        <f t="shared" si="108"/>
        <v>0</v>
      </c>
      <c r="M210" s="46">
        <f>((($AT210+$AU210)/2*$AN210+$AO210)*(1+$AV210)*(1+$AW210)+(($AY210+$AZ210)/2*IF($G$1="鸣金",$AP210,$AN210)+IF($G$1="鸣金",$AQ210*1.5,0))*(1+$BA210)*(1+$BB210)+(($BC210+$BD210)/2*IF($G$1="裂石",$AP210,$AN210)+IF($G$1="裂石",$AQ210*1.5,0))*(1+$BE210)*(1+$BF210)+(($BG210+$BH210)/2*IF($G$1="牵丝",$AP210,$AN210)+IF($G$1="牵丝",$AQ210*1.5,0))*(1+$BI210)*(1+$BJ210)+(($BK210+$BL210)/2*IF($G$1="破竹",$AP210,$AN210)+IF($G$1="破竹",$AQ210*1.5,0))*(1+$BM210)*(1+$BN210))*(1+$AR210)*$BQ210*$Q210*(1+IF(VLOOKUP($R210,武学奇术!$A:$ZZ,30,FALSE)="蓄力技",$B$21,0))*(1+IF(VLOOKUP($R210,武学奇术!$A:$ZZ,30,FALSE)="派生技",$B$20,0))*(1+$BW210)*(1+$BX210)</f>
        <v>0</v>
      </c>
      <c r="N210" s="46">
        <f>(($AU210*$AN210+$AO210)*(1+$AV210)*(1+$AW210)+($AZ210*IF($G$1="鸣金",$AP210,$AN210)+IF($G$1="鸣金",$AQ210*1.5,0))*(1+$BA210)*(1+$BB210)+($BD210*IF($G$1="裂石",$AP210,$AN210)+IF($G$1="裂石",$AQ210*1.5,0))*(1+$BE210)*(1+$BF210)+($BH210*IF($G$1="牵丝",$AP210,$AN210)+IF($G$1="牵丝",$AQ210*1.5,0))*(1+$BI210)*(1+$BJ210)+($BL210*IF($G$1="破竹",$AP210,$AN210)+IF($G$1="破竹",$AQ210*1.5,0))*(1+$BM210)*(1+$BN210))*(1+$AR210)*$BS210*$Q210*(1+IF(VLOOKUP($R210,武学奇术!$A:$ZZ,30,FALSE)="蓄力技",$B$21,0))*(1+IF(VLOOKUP($R210,武学奇术!$A:$ZZ,30,FALSE)="派生技",$B$20,0))*(1+$BW210)*(1+$BX210)</f>
        <v>0</v>
      </c>
      <c r="O210" s="46">
        <f>((($AT210+$AU210)/2*$AN210+$AO210)*(1+$AV210)*(1+$AW210)+(($AY210+$AZ210)/2*IF($G$1="鸣金",$AP210,$AN210)+IF($G$1="鸣金",$AQ210*1.5,0))*(1+$BA210)*(1+$BB210)+(($BC210+$BD210)/2*IF($G$1="裂石",$AP210,$AN210)+IF($G$1="裂石",$AQ210*1.5,0))*(1+$BE210)*(1+$BF210)+(($BG210+$BH210)/2*IF($G$1="牵丝",$AP210,$AN210)+IF($G$1="牵丝",$AQ210*1.5,0))*(1+$BI210)*(1+$BJ210)+(($BK210+$BL210)/2*IF($G$1="破竹",$AP210,$AN210)+IF($G$1="破竹",$AQ210*1.5,0))*(1+$BM210)*(1+$BN210))*(1+$AR210)*$Q210*(1+IF(VLOOKUP($R210,武学奇术!$A:$ZZ,30,FALSE)="蓄力技",$B$21,0))*(1+IF(VLOOKUP($R210,武学奇术!$A:$ZZ,30,FALSE)="派生技",$B$20,0))*(1+$BW210)*(1+$BX210)</f>
        <v>0</v>
      </c>
      <c r="P210" s="46">
        <f>((($AT210*$AN210+$AO210)*(1+$AV210)*(1+$AW210)+($AY210*IF($G$1="鸣金",$AP210,$AN210)+IF($G$1="鸣金",$AQ210*1.5,0))*(1+$BA210)*(1+$BB210)+($BC210*IF($G$1="裂石",$AP210,$AN210)+IF($G$1="裂石",$AQ210*1.5,0))*(1+$BE210)*(1+$BF210)+($BG210*IF($G$1="牵丝",$AP210,$AN210)+IF($G$1="牵丝",$AQ210*1.5,0))*(1+$BI210)*(1+$BJ210)+($BK210*IF($G$1="破竹",$AP210,$AN210)+IF($G$1="破竹",$AQ210*1.5,0))*(1+$BM210)*(1+$BN210))*(1+$AR210))*$Q210*(1+IF(VLOOKUP($R210,武学奇术!$A:$ZZ,30,FALSE)="蓄力技",$B$21,0))*(1+IF(VLOOKUP($R210,武学奇术!$A:$ZZ,30,FALSE)="派生技",$B$20,0))*(1+$BW210)*(1+$BX210)</f>
        <v>0</v>
      </c>
      <c r="Q210" s="47">
        <f t="shared" si="109"/>
        <v>0</v>
      </c>
      <c r="R210" s="48" t="s">
        <v>196</v>
      </c>
      <c r="S210" s="48" t="s">
        <v>99</v>
      </c>
      <c r="T210" s="48" t="s">
        <v>182</v>
      </c>
      <c r="U210" s="48" t="s">
        <v>79</v>
      </c>
      <c r="V210" s="48" t="s">
        <v>80</v>
      </c>
      <c r="W210" s="48" t="s">
        <v>141</v>
      </c>
      <c r="X210" s="48" t="s">
        <v>80</v>
      </c>
      <c r="Y210" s="48" t="s">
        <v>74</v>
      </c>
      <c r="Z210" s="48" t="s">
        <v>80</v>
      </c>
      <c r="AA210" s="48" t="s">
        <v>80</v>
      </c>
      <c r="AB210" s="48" t="s">
        <v>80</v>
      </c>
      <c r="AC210" s="48" t="s">
        <v>80</v>
      </c>
      <c r="AD210" s="48" t="s">
        <v>80</v>
      </c>
      <c r="AE210" s="48" t="s">
        <v>82</v>
      </c>
      <c r="AF210" s="48" t="s">
        <v>83</v>
      </c>
      <c r="AG210" s="48" t="s">
        <v>84</v>
      </c>
      <c r="AH210" s="48" t="s">
        <v>80</v>
      </c>
      <c r="AI210" s="48" t="s">
        <v>80</v>
      </c>
      <c r="AJ210" s="48" t="s">
        <v>80</v>
      </c>
      <c r="AK210" s="48" t="s">
        <v>80</v>
      </c>
      <c r="AL210" s="48" t="s">
        <v>85</v>
      </c>
      <c r="AM210" t="str">
        <f>VLOOKUP($R210,武学奇术!$A:$ZZ,25,FALSE)</f>
        <v>横刀</v>
      </c>
      <c r="AN210" s="33">
        <f>VLOOKUP($R210,武学奇术!$A:$ZZ,26,FALSE)</f>
        <v>1.47</v>
      </c>
      <c r="AO210" s="34">
        <f>VLOOKUP($R210,武学奇术!$A:$ZZ,27,FALSE)*(1+IF(OR($AM210=$F$4,$AM210=$F$5),$B$22,0))</f>
        <v>0</v>
      </c>
      <c r="AP210" s="33">
        <f>VLOOKUP($R210,武学奇术!$A:$ZZ,28,FALSE)</f>
        <v>2.205</v>
      </c>
      <c r="AQ210" s="34">
        <f>VLOOKUP($R210,武学奇术!$A:$ZZ,29,FALSE)*(1+IF(OR($AM210=$F$4,$AM210=$F$5),$B$22,0))</f>
        <v>0</v>
      </c>
      <c r="AR210" s="33" cm="1">
        <f t="array" ref="AR210">$G$3+IFERROR(VLOOKUP($AM210,$F$4:$G$7,2,FALSE),0)+VLOOKUP($R210,武学奇术!$A:$ZZ,2,FALSE)+SUM(_xlfn.XLOOKUP($S210:$AL210,增益!$A:$A,增益!$B:$B,0))</f>
        <v>0.5289</v>
      </c>
      <c r="AS210" s="33" cm="1">
        <f t="array" ref="AS210">VLOOKUP($R210,武学奇术!$A:$ZZ,5,FALSE)+SUM(_xlfn.XLOOKUP($S210:$AL210,增益!$A:$A,增益!$E:$E,0))</f>
        <v>0</v>
      </c>
      <c r="AT210" cm="1">
        <f t="array" ref="AT210">$D$10*(1+$AS210)+VLOOKUP($R210,武学奇术!$A:$ZZ,3,FALSE)+SUM(_xlfn.XLOOKUP($S210:$AL210,增益!$A:$A,增益!$C:$C,0))-$I$2</f>
        <v>4094.7</v>
      </c>
      <c r="AU210" cm="1">
        <f t="array" ref="AU210">$E$10*(1+$AS210)+VLOOKUP($R210,武学奇术!$A:$ZZ,4,FALSE)+SUM(_xlfn.XLOOKUP($S210:$AL210,增益!$A:$A,增益!$D:$D,0))-$I$2</f>
        <v>4094.7</v>
      </c>
      <c r="AV210" s="40" cm="1">
        <f t="array" ref="AV210">IF($F$10-$I$3+VLOOKUP($R210,武学奇术!$A:$ZZ,6,FALSE)+SUM(_xlfn.XLOOKUP($S210:$AL210,增益!$A:$A,增益!$F:$F,0))&gt;0,($F$10-$I$3+VLOOKUP($R210,武学奇术!$A:$ZZ,6,FALSE)+SUM(_xlfn.XLOOKUP($S210:$AL210,增益!$A:$A,增益!$F:$F,0)))/200,($F$10-$I$3+VLOOKUP($R210,武学奇术!$A:$ZZ,6,FALSE)+SUM(_xlfn.XLOOKUP($S210:$AL210,增益!$A:$A,增益!$F:$F,0)))/100)</f>
        <v>0.4384</v>
      </c>
      <c r="AW210" s="40" cm="1">
        <f t="array" ref="AW210">$G$10+VLOOKUP($R210,武学奇术!$A:$ZZ,7,FALSE)+SUM(_xlfn.XLOOKUP($S210:$AL210,增益!$A:$A,增益!$G:$G,0))</f>
        <v>0.14</v>
      </c>
      <c r="AX210" s="33" cm="1">
        <f t="array" ref="AX210">VLOOKUP($R210,武学奇术!$A:$ZZ,8,FALSE)+SUM(_xlfn.XLOOKUP($S210:$AL210,增益!$A:$A,增益!$H:$H,0))</f>
        <v>0</v>
      </c>
      <c r="AY210">
        <f t="shared" si="110"/>
        <v>0</v>
      </c>
      <c r="AZ210">
        <f t="shared" si="111"/>
        <v>0</v>
      </c>
      <c r="BA210" s="40" cm="1">
        <f t="array" ref="BA210">IF($F$11-$I$4+VLOOKUP($R210,武学奇术!$A:$ZZ,9,FALSE)+SUM(_xlfn.XLOOKUP($S210:$AL210,增益!$A:$A,增益!$I:$I,0))&gt;0,($F$11-$I$4+VLOOKUP($R210,武学奇术!$A:$ZZ,9,FALSE)+SUM(_xlfn.XLOOKUP($S210:$AL210,增益!$A:$A,增益!$I:$I,0)))/200,($F$11-$I$4+VLOOKUP($R210,武学奇术!$A:$ZZ,9,FALSE)+SUM(_xlfn.XLOOKUP($S210:$AL210,增益!$A:$A,增益!$I:$I,0)))/100)</f>
        <v>-0.3</v>
      </c>
      <c r="BB210" s="40" cm="1">
        <f t="array" ref="BB210">$G$11+VLOOKUP($R210,武学奇术!$A:$ZZ,10,FALSE)+SUM(_xlfn.XLOOKUP($S210:$AL210,增益!$A:$A,增益!$J:$J,0))</f>
        <v>0.02</v>
      </c>
      <c r="BC210">
        <f t="shared" si="112"/>
        <v>640.3</v>
      </c>
      <c r="BD210">
        <f t="shared" si="113"/>
        <v>1770.1</v>
      </c>
      <c r="BE210" s="40" cm="1">
        <f t="array" ref="BE210">IF($F$12-$I$4+VLOOKUP($R210,武学奇术!$A:$ZZ,11,FALSE)+SUM(_xlfn.XLOOKUP($S210:$AL210,增益!$A:$A,增益!$K:$K,0))&gt;0,($F$12-$I$4+VLOOKUP($R210,武学奇术!$A:$ZZ,11,FALSE)+SUM(_xlfn.XLOOKUP($S210:$AL210,增益!$A:$A,增益!$K:$K,0)))/200,($F$12-$I$4+VLOOKUP($R210,武学奇术!$A:$ZZ,11,FALSE)+SUM(_xlfn.XLOOKUP($S210:$AL210,增益!$A:$A,增益!$K:$K,0)))/100)</f>
        <v>0.09</v>
      </c>
      <c r="BF210" s="40" cm="1">
        <f t="array" ref="BF210">$G$12+VLOOKUP($R210,武学奇术!$A:$ZZ,12,FALSE)+SUM(_xlfn.XLOOKUP($S210:$AL210,增益!$A:$A,增益!$L:$L,0))</f>
        <v>0.29</v>
      </c>
      <c r="BG210">
        <f t="shared" si="114"/>
        <v>0</v>
      </c>
      <c r="BH210">
        <f t="shared" si="115"/>
        <v>0</v>
      </c>
      <c r="BI210" s="40" cm="1">
        <f t="array" ref="BI210">IF($F$13-$I$4+VLOOKUP($R210,武学奇术!$A:$ZZ,13,FALSE)+SUM(_xlfn.XLOOKUP($S210:$AL210,增益!$A:$A,增益!$M:$M,0))&gt;0,($F$13-$I$4+VLOOKUP($R210,武学奇术!$A:$ZZ,13,FALSE)+SUM(_xlfn.XLOOKUP($S210:$AL210,增益!$A:$A,增益!$K:$K,0)))/200,($F$13-$I$4+VLOOKUP($R210,武学奇术!$A:$ZZ,13,FALSE)+SUM(_xlfn.XLOOKUP($S210:$AL210,增益!$A:$A,增益!$M:$M,0)))/100)</f>
        <v>-0.3</v>
      </c>
      <c r="BJ210" s="40" cm="1">
        <f t="array" ref="BJ210">$G$13+VLOOKUP($R210,武学奇术!$A:$ZZ,14,FALSE)+SUM(_xlfn.XLOOKUP($S210:$AL210,增益!$A:$A,增益!$N:$N,0))</f>
        <v>0.02</v>
      </c>
      <c r="BK210">
        <f t="shared" si="116"/>
        <v>0</v>
      </c>
      <c r="BL210">
        <f t="shared" si="117"/>
        <v>0</v>
      </c>
      <c r="BM210" s="40" cm="1">
        <f t="array" ref="BM210">IF($F$14-$I$4+VLOOKUP($R210,武学奇术!$A:$ZZ,15,FALSE)+SUM(_xlfn.XLOOKUP($S210:$AL210,增益!$A:$A,增益!$O:$O,0))&gt;0,($F$14-$I$4+VLOOKUP($R210,武学奇术!$A:$ZZ,15,FALSE)+SUM(_xlfn.XLOOKUP($S210:$AL210,增益!$A:$A,增益!$O:$O,0)))/200,($F$14-$I$4+VLOOKUP($R210,武学奇术!$A:$ZZ,15,FALSE)+SUM(_xlfn.XLOOKUP($S210:$AL210,增益!$A:$A,增益!$O:$O,0)))/100)</f>
        <v>-0.3</v>
      </c>
      <c r="BN210" s="40" cm="1">
        <f t="array" ref="BN210">$G$14+VLOOKUP($R210,武学奇术!$A:$ZZ,16,FALSE)+SUM(_xlfn.XLOOKUP($S210:$AL210,增益!$A:$A,增益!$P:$P,0))</f>
        <v>0.02</v>
      </c>
      <c r="BO210" s="33">
        <f>MIN(IF(VLOOKUP($R210,武学奇术!$A:$ZZ,23,FALSE)=1,100%,$B$8),100%)</f>
        <v>0.9771</v>
      </c>
      <c r="BP210" s="33" cm="1">
        <f t="array" ref="BP210">IF(VLOOKUP($R210,武学奇术!$A:$ZZ,23,FALSE)=1,100%,MIN(80%,$B$9+VLOOKUP($R210,武学奇术!$A:$ZZ,17,FALSE)+SUM(_xlfn.XLOOKUP($S210:$AL210,增益!$A:$A,增益!$Q:$Q,0)))+$B$11+SUM(_xlfn.XLOOKUP($S210:$AL210,增益!$A:$A,增益!$U:$U,0)))*IF(VLOOKUP($R210,武学奇术!$A:$ZZ,24,FALSE)=1,0,1)</f>
        <v>0.8861</v>
      </c>
      <c r="BQ210" s="33" cm="1">
        <f t="array" ref="BQ210">1+$B$13+VLOOKUP($R210,武学奇术!$A:$ZZ,18,FALSE)+SUM(_xlfn.XLOOKUP($S210:$AL210,增益!$A:$A,增益!$R:$R,0))</f>
        <v>2</v>
      </c>
      <c r="BR210" s="33" cm="1">
        <f t="array" ref="BR210">IF(VLOOKUP($R210,武学奇术!$A:$ZZ,24,FALSE)=1,100%,MIN(40%,$B$10+VLOOKUP($R210,武学奇术!$A:$ZZ,19,FALSE)+SUM(_xlfn.XLOOKUP($S210:$AL210,增益!$A:$A,增益!$S:$S,0)))+$B$12+SUM(_xlfn.XLOOKUP($S210:$AL210,增益!$A:$A,增益!$V:$V,0)))*IF(VLOOKUP($R210,武学奇术!$A:$ZZ,23,FALSE)=1,0,1)</f>
        <v>0.0913</v>
      </c>
      <c r="BS210" s="33" cm="1">
        <f t="array" ref="BS210">1+$B$14+VLOOKUP($R210,武学奇术!$A:$ZZ,20,FALSE)+SUM(_xlfn.XLOOKUP($S210:$AL210,增益!$A:$A,增益!$T:$T,0))</f>
        <v>1.35</v>
      </c>
      <c r="BT210" s="33">
        <f t="shared" si="118"/>
        <v>0.86580831</v>
      </c>
      <c r="BU210" s="33">
        <f t="shared" si="119"/>
        <v>0.02208246</v>
      </c>
      <c r="BV210" s="33">
        <f>IF(VLOOKUP($R210,武学奇术!$A:$ZZ,22,FALSE)=1,0,(1-$BO210))*(1-$BR210)</f>
        <v>0.02080923</v>
      </c>
      <c r="BW210" s="33" cm="1">
        <f t="array" ref="BW210">SUM(_xlfn.XLOOKUP($S210:$AL210,增益!$A:$A,增益!$W:$W,0))+$I$5</f>
        <v>0.11</v>
      </c>
      <c r="BX210" s="33" cm="1">
        <f t="array" ref="BX210">VLOOKUP($R210,武学奇术!$A:$ZZ,32,FALSE)+SUM(_xlfn.XLOOKUP($S210:$AL210,增益!$A:$A,增益!$X:$X,0))</f>
        <v>0.4</v>
      </c>
    </row>
    <row r="211" spans="12:76">
      <c r="L211" s="46">
        <f t="shared" ref="L211:L220" si="120">($M211*$BT211+$N211*$BR211+$O211*$BU211+$P211*$BV211)</f>
        <v>0</v>
      </c>
      <c r="M211" s="46">
        <f>((($AT211+$AU211)/2*$AN211+$AO211)*(1+$AV211)*(1+$AW211)+(($AY211+$AZ211)/2*IF($G$1="鸣金",$AP211,$AN211)+IF($G$1="鸣金",$AQ211*1.5,0))*(1+$BA211)*(1+$BB211)+(($BC211+$BD211)/2*IF($G$1="裂石",$AP211,$AN211)+IF($G$1="裂石",$AQ211*1.5,0))*(1+$BE211)*(1+$BF211)+(($BG211+$BH211)/2*IF($G$1="牵丝",$AP211,$AN211)+IF($G$1="牵丝",$AQ211*1.5,0))*(1+$BI211)*(1+$BJ211)+(($BK211+$BL211)/2*IF($G$1="破竹",$AP211,$AN211)+IF($G$1="破竹",$AQ211*1.5,0))*(1+$BM211)*(1+$BN211))*(1+$AR211)*$BQ211*$Q211*(1+IF(VLOOKUP($R211,武学奇术!$A:$ZZ,30,FALSE)="蓄力技",$B$21,0))*(1+IF(VLOOKUP($R211,武学奇术!$A:$ZZ,30,FALSE)="派生技",$B$20,0))*(1+$BW211)*(1+$BX211)</f>
        <v>0</v>
      </c>
      <c r="N211" s="46">
        <f>(($AU211*$AN211+$AO211)*(1+$AV211)*(1+$AW211)+($AZ211*IF($G$1="鸣金",$AP211,$AN211)+IF($G$1="鸣金",$AQ211*1.5,0))*(1+$BA211)*(1+$BB211)+($BD211*IF($G$1="裂石",$AP211,$AN211)+IF($G$1="裂石",$AQ211*1.5,0))*(1+$BE211)*(1+$BF211)+($BH211*IF($G$1="牵丝",$AP211,$AN211)+IF($G$1="牵丝",$AQ211*1.5,0))*(1+$BI211)*(1+$BJ211)+($BL211*IF($G$1="破竹",$AP211,$AN211)+IF($G$1="破竹",$AQ211*1.5,0))*(1+$BM211)*(1+$BN211))*(1+$AR211)*$BS211*$Q211*(1+IF(VLOOKUP($R211,武学奇术!$A:$ZZ,30,FALSE)="蓄力技",$B$21,0))*(1+IF(VLOOKUP($R211,武学奇术!$A:$ZZ,30,FALSE)="派生技",$B$20,0))*(1+$BW211)*(1+$BX211)</f>
        <v>0</v>
      </c>
      <c r="O211" s="46">
        <f>((($AT211+$AU211)/2*$AN211+$AO211)*(1+$AV211)*(1+$AW211)+(($AY211+$AZ211)/2*IF($G$1="鸣金",$AP211,$AN211)+IF($G$1="鸣金",$AQ211*1.5,0))*(1+$BA211)*(1+$BB211)+(($BC211+$BD211)/2*IF($G$1="裂石",$AP211,$AN211)+IF($G$1="裂石",$AQ211*1.5,0))*(1+$BE211)*(1+$BF211)+(($BG211+$BH211)/2*IF($G$1="牵丝",$AP211,$AN211)+IF($G$1="牵丝",$AQ211*1.5,0))*(1+$BI211)*(1+$BJ211)+(($BK211+$BL211)/2*IF($G$1="破竹",$AP211,$AN211)+IF($G$1="破竹",$AQ211*1.5,0))*(1+$BM211)*(1+$BN211))*(1+$AR211)*$Q211*(1+IF(VLOOKUP($R211,武学奇术!$A:$ZZ,30,FALSE)="蓄力技",$B$21,0))*(1+IF(VLOOKUP($R211,武学奇术!$A:$ZZ,30,FALSE)="派生技",$B$20,0))*(1+$BW211)*(1+$BX211)</f>
        <v>0</v>
      </c>
      <c r="P211" s="46">
        <f>((($AT211*$AN211+$AO211)*(1+$AV211)*(1+$AW211)+($AY211*IF($G$1="鸣金",$AP211,$AN211)+IF($G$1="鸣金",$AQ211*1.5,0))*(1+$BA211)*(1+$BB211)+($BC211*IF($G$1="裂石",$AP211,$AN211)+IF($G$1="裂石",$AQ211*1.5,0))*(1+$BE211)*(1+$BF211)+($BG211*IF($G$1="牵丝",$AP211,$AN211)+IF($G$1="牵丝",$AQ211*1.5,0))*(1+$BI211)*(1+$BJ211)+($BK211*IF($G$1="破竹",$AP211,$AN211)+IF($G$1="破竹",$AQ211*1.5,0))*(1+$BM211)*(1+$BN211))*(1+$AR211))*$Q211*(1+IF(VLOOKUP($R211,武学奇术!$A:$ZZ,30,FALSE)="蓄力技",$B$21,0))*(1+IF(VLOOKUP($R211,武学奇术!$A:$ZZ,30,FALSE)="派生技",$B$20,0))*(1+$BW211)*(1+$BX211)</f>
        <v>0</v>
      </c>
      <c r="Q211" s="47">
        <f t="shared" ref="Q211:Q220" si="121">IF($E$24="唐刀",1,0)</f>
        <v>0</v>
      </c>
      <c r="R211" s="48" t="s">
        <v>197</v>
      </c>
      <c r="S211" s="48" t="s">
        <v>99</v>
      </c>
      <c r="T211" s="48" t="s">
        <v>182</v>
      </c>
      <c r="U211" s="48" t="s">
        <v>79</v>
      </c>
      <c r="V211" s="48" t="s">
        <v>80</v>
      </c>
      <c r="W211" s="48" t="s">
        <v>91</v>
      </c>
      <c r="X211" s="48" t="s">
        <v>80</v>
      </c>
      <c r="Y211" s="48" t="s">
        <v>80</v>
      </c>
      <c r="Z211" s="48" t="s">
        <v>80</v>
      </c>
      <c r="AA211" s="48" t="s">
        <v>80</v>
      </c>
      <c r="AB211" s="48" t="s">
        <v>80</v>
      </c>
      <c r="AC211" s="48" t="s">
        <v>80</v>
      </c>
      <c r="AD211" s="48" t="s">
        <v>80</v>
      </c>
      <c r="AE211" s="48" t="s">
        <v>82</v>
      </c>
      <c r="AF211" s="48" t="s">
        <v>83</v>
      </c>
      <c r="AG211" s="48" t="s">
        <v>84</v>
      </c>
      <c r="AH211" s="48" t="s">
        <v>80</v>
      </c>
      <c r="AI211" s="48" t="s">
        <v>80</v>
      </c>
      <c r="AJ211" s="48" t="s">
        <v>80</v>
      </c>
      <c r="AK211" s="48" t="s">
        <v>80</v>
      </c>
      <c r="AL211" s="48" t="s">
        <v>85</v>
      </c>
      <c r="AM211" t="str">
        <f>VLOOKUP($R211,武学奇术!$A:$ZZ,25,FALSE)</f>
        <v>横刀</v>
      </c>
      <c r="AN211" s="33">
        <f>VLOOKUP($R211,武学奇术!$A:$ZZ,26,FALSE)</f>
        <v>2.4495</v>
      </c>
      <c r="AO211" s="34">
        <f>VLOOKUP($R211,武学奇术!$A:$ZZ,27,FALSE)*(1+IF(OR($AM211=$F$4,$AM211=$F$5),$B$22,0))</f>
        <v>1083.2</v>
      </c>
      <c r="AP211" s="33">
        <f>VLOOKUP($R211,武学奇术!$A:$ZZ,28,FALSE)</f>
        <v>3.6743</v>
      </c>
      <c r="AQ211" s="34">
        <f>VLOOKUP($R211,武学奇术!$A:$ZZ,29,FALSE)*(1+IF(OR($AM211=$F$4,$AM211=$F$5),$B$22,0))</f>
        <v>588.8</v>
      </c>
      <c r="AR211" s="33" cm="1">
        <f t="array" ref="AR211">$G$3+IFERROR(VLOOKUP($AM211,$F$4:$G$7,2,FALSE),0)+VLOOKUP($R211,武学奇术!$A:$ZZ,2,FALSE)+SUM(_xlfn.XLOOKUP($S211:$AL211,增益!$A:$A,增益!$B:$B,0))</f>
        <v>0.4489</v>
      </c>
      <c r="AS211" s="33" cm="1">
        <f t="array" ref="AS211">VLOOKUP($R211,武学奇术!$A:$ZZ,5,FALSE)+SUM(_xlfn.XLOOKUP($S211:$AL211,增益!$A:$A,增益!$E:$E,0))</f>
        <v>0</v>
      </c>
      <c r="AT211" cm="1">
        <f t="array" ref="AT211">$D$10*(1+$AS211)+VLOOKUP($R211,武学奇术!$A:$ZZ,3,FALSE)+SUM(_xlfn.XLOOKUP($S211:$AL211,增益!$A:$A,增益!$C:$C,0))-$I$2</f>
        <v>4094.7</v>
      </c>
      <c r="AU211" cm="1">
        <f t="array" ref="AU211">$E$10*(1+$AS211)+VLOOKUP($R211,武学奇术!$A:$ZZ,4,FALSE)+SUM(_xlfn.XLOOKUP($S211:$AL211,增益!$A:$A,增益!$D:$D,0))-$I$2</f>
        <v>4094.7</v>
      </c>
      <c r="AV211" s="40" cm="1">
        <f t="array" ref="AV211">IF($F$10-$I$3+VLOOKUP($R211,武学奇术!$A:$ZZ,6,FALSE)+SUM(_xlfn.XLOOKUP($S211:$AL211,增益!$A:$A,增益!$F:$F,0))&gt;0,($F$10-$I$3+VLOOKUP($R211,武学奇术!$A:$ZZ,6,FALSE)+SUM(_xlfn.XLOOKUP($S211:$AL211,增益!$A:$A,增益!$F:$F,0)))/200,($F$10-$I$3+VLOOKUP($R211,武学奇术!$A:$ZZ,6,FALSE)+SUM(_xlfn.XLOOKUP($S211:$AL211,增益!$A:$A,增益!$F:$F,0)))/100)</f>
        <v>0.4134</v>
      </c>
      <c r="AW211" s="40" cm="1">
        <f t="array" ref="AW211">$G$10+VLOOKUP($R211,武学奇术!$A:$ZZ,7,FALSE)+SUM(_xlfn.XLOOKUP($S211:$AL211,增益!$A:$A,增益!$G:$G,0))</f>
        <v>0.14</v>
      </c>
      <c r="AX211" s="33" cm="1">
        <f t="array" ref="AX211">VLOOKUP($R211,武学奇术!$A:$ZZ,8,FALSE)+SUM(_xlfn.XLOOKUP($S211:$AL211,增益!$A:$A,增益!$H:$H,0))</f>
        <v>0</v>
      </c>
      <c r="AY211">
        <f t="shared" ref="AY211:AY220" si="122">$D$11*(1+$AX211)</f>
        <v>0</v>
      </c>
      <c r="AZ211">
        <f t="shared" ref="AZ211:AZ220" si="123">$E$11*(1+$AX211)</f>
        <v>0</v>
      </c>
      <c r="BA211" s="40" cm="1">
        <f t="array" ref="BA211">IF($F$11-$I$4+VLOOKUP($R211,武学奇术!$A:$ZZ,9,FALSE)+SUM(_xlfn.XLOOKUP($S211:$AL211,增益!$A:$A,增益!$I:$I,0))&gt;0,($F$11-$I$4+VLOOKUP($R211,武学奇术!$A:$ZZ,9,FALSE)+SUM(_xlfn.XLOOKUP($S211:$AL211,增益!$A:$A,增益!$I:$I,0)))/200,($F$11-$I$4+VLOOKUP($R211,武学奇术!$A:$ZZ,9,FALSE)+SUM(_xlfn.XLOOKUP($S211:$AL211,增益!$A:$A,增益!$I:$I,0)))/100)</f>
        <v>-0.3</v>
      </c>
      <c r="BB211" s="40" cm="1">
        <f t="array" ref="BB211">$G$11+VLOOKUP($R211,武学奇术!$A:$ZZ,10,FALSE)+SUM(_xlfn.XLOOKUP($S211:$AL211,增益!$A:$A,增益!$J:$J,0))</f>
        <v>0.02</v>
      </c>
      <c r="BC211">
        <f t="shared" ref="BC211:BC220" si="124">$D$12*(1+$AX211)</f>
        <v>640.3</v>
      </c>
      <c r="BD211">
        <f t="shared" ref="BD211:BD220" si="125">$E$12*(1+$AX211)</f>
        <v>1770.1</v>
      </c>
      <c r="BE211" s="40" cm="1">
        <f t="array" ref="BE211">IF($F$12-$I$4+VLOOKUP($R211,武学奇术!$A:$ZZ,11,FALSE)+SUM(_xlfn.XLOOKUP($S211:$AL211,增益!$A:$A,增益!$K:$K,0))&gt;0,($F$12-$I$4+VLOOKUP($R211,武学奇术!$A:$ZZ,11,FALSE)+SUM(_xlfn.XLOOKUP($S211:$AL211,增益!$A:$A,增益!$K:$K,0)))/200,($F$12-$I$4+VLOOKUP($R211,武学奇术!$A:$ZZ,11,FALSE)+SUM(_xlfn.XLOOKUP($S211:$AL211,增益!$A:$A,增益!$K:$K,0)))/100)</f>
        <v>0.09</v>
      </c>
      <c r="BF211" s="40" cm="1">
        <f t="array" ref="BF211">$G$12+VLOOKUP($R211,武学奇术!$A:$ZZ,12,FALSE)+SUM(_xlfn.XLOOKUP($S211:$AL211,增益!$A:$A,增益!$L:$L,0))</f>
        <v>0.29</v>
      </c>
      <c r="BG211">
        <f t="shared" ref="BG211:BG220" si="126">$D$13*(1+$AX211)</f>
        <v>0</v>
      </c>
      <c r="BH211">
        <f t="shared" ref="BH211:BH220" si="127">$E$13*(1+$AX211)</f>
        <v>0</v>
      </c>
      <c r="BI211" s="40" cm="1">
        <f t="array" ref="BI211">IF($F$13-$I$4+VLOOKUP($R211,武学奇术!$A:$ZZ,13,FALSE)+SUM(_xlfn.XLOOKUP($S211:$AL211,增益!$A:$A,增益!$M:$M,0))&gt;0,($F$13-$I$4+VLOOKUP($R211,武学奇术!$A:$ZZ,13,FALSE)+SUM(_xlfn.XLOOKUP($S211:$AL211,增益!$A:$A,增益!$K:$K,0)))/200,($F$13-$I$4+VLOOKUP($R211,武学奇术!$A:$ZZ,13,FALSE)+SUM(_xlfn.XLOOKUP($S211:$AL211,增益!$A:$A,增益!$M:$M,0)))/100)</f>
        <v>-0.3</v>
      </c>
      <c r="BJ211" s="40" cm="1">
        <f t="array" ref="BJ211">$G$13+VLOOKUP($R211,武学奇术!$A:$ZZ,14,FALSE)+SUM(_xlfn.XLOOKUP($S211:$AL211,增益!$A:$A,增益!$N:$N,0))</f>
        <v>0.02</v>
      </c>
      <c r="BK211">
        <f t="shared" ref="BK211:BK220" si="128">$D$14*(1+$AX211)</f>
        <v>0</v>
      </c>
      <c r="BL211">
        <f t="shared" ref="BL211:BL220" si="129">$E$14*(1+$AX211)</f>
        <v>0</v>
      </c>
      <c r="BM211" s="40" cm="1">
        <f t="array" ref="BM211">IF($F$14-$I$4+VLOOKUP($R211,武学奇术!$A:$ZZ,15,FALSE)+SUM(_xlfn.XLOOKUP($S211:$AL211,增益!$A:$A,增益!$O:$O,0))&gt;0,($F$14-$I$4+VLOOKUP($R211,武学奇术!$A:$ZZ,15,FALSE)+SUM(_xlfn.XLOOKUP($S211:$AL211,增益!$A:$A,增益!$O:$O,0)))/200,($F$14-$I$4+VLOOKUP($R211,武学奇术!$A:$ZZ,15,FALSE)+SUM(_xlfn.XLOOKUP($S211:$AL211,增益!$A:$A,增益!$O:$O,0)))/100)</f>
        <v>-0.3</v>
      </c>
      <c r="BN211" s="40" cm="1">
        <f t="array" ref="BN211">$G$14+VLOOKUP($R211,武学奇术!$A:$ZZ,16,FALSE)+SUM(_xlfn.XLOOKUP($S211:$AL211,增益!$A:$A,增益!$P:$P,0))</f>
        <v>0.02</v>
      </c>
      <c r="BO211" s="33">
        <f>MIN(IF(VLOOKUP($R211,武学奇术!$A:$ZZ,23,FALSE)=1,100%,$B$8),100%)</f>
        <v>0.9771</v>
      </c>
      <c r="BP211" s="33" cm="1">
        <f t="array" ref="BP211">IF(VLOOKUP($R211,武学奇术!$A:$ZZ,23,FALSE)=1,100%,MIN(80%,$B$9+VLOOKUP($R211,武学奇术!$A:$ZZ,17,FALSE)+SUM(_xlfn.XLOOKUP($S211:$AL211,增益!$A:$A,增益!$Q:$Q,0)))+$B$11+SUM(_xlfn.XLOOKUP($S211:$AL211,增益!$A:$A,增益!$U:$U,0)))*IF(VLOOKUP($R211,武学奇术!$A:$ZZ,24,FALSE)=1,0,1)</f>
        <v>0.8861</v>
      </c>
      <c r="BQ211" s="33" cm="1">
        <f t="array" ref="BQ211">1+$B$13+VLOOKUP($R211,武学奇术!$A:$ZZ,18,FALSE)+SUM(_xlfn.XLOOKUP($S211:$AL211,增益!$A:$A,增益!$R:$R,0))</f>
        <v>1.95</v>
      </c>
      <c r="BR211" s="33" cm="1">
        <f t="array" ref="BR211">IF(VLOOKUP($R211,武学奇术!$A:$ZZ,24,FALSE)=1,100%,MIN(40%,$B$10+VLOOKUP($R211,武学奇术!$A:$ZZ,19,FALSE)+SUM(_xlfn.XLOOKUP($S211:$AL211,增益!$A:$A,增益!$S:$S,0)))+$B$12+SUM(_xlfn.XLOOKUP($S211:$AL211,增益!$A:$A,增益!$V:$V,0)))*IF(VLOOKUP($R211,武学奇术!$A:$ZZ,23,FALSE)=1,0,1)</f>
        <v>0.0913</v>
      </c>
      <c r="BS211" s="33" cm="1">
        <f t="array" ref="BS211">1+$B$14+VLOOKUP($R211,武学奇术!$A:$ZZ,20,FALSE)+SUM(_xlfn.XLOOKUP($S211:$AL211,增益!$A:$A,增益!$T:$T,0))</f>
        <v>1.35</v>
      </c>
      <c r="BT211" s="33">
        <f t="shared" ref="BT211:BT220" si="130">MIN((1-BR211)*BO211,BO211*BP211)</f>
        <v>0.86580831</v>
      </c>
      <c r="BU211" s="33">
        <f t="shared" ref="BU211:BU220" si="131">1-BR211-BT211-BV211</f>
        <v>0.02208246</v>
      </c>
      <c r="BV211" s="33">
        <f>IF(VLOOKUP($R211,武学奇术!$A:$ZZ,22,FALSE)=1,0,(1-$BO211))*(1-$BR211)</f>
        <v>0.02080923</v>
      </c>
      <c r="BW211" s="33" cm="1">
        <f t="array" ref="BW211">SUM(_xlfn.XLOOKUP($S211:$AL211,增益!$A:$A,增益!$W:$W,0))+$I$5</f>
        <v>0.11</v>
      </c>
      <c r="BX211" s="33" cm="1">
        <f t="array" ref="BX211">VLOOKUP($R211,武学奇术!$A:$ZZ,32,FALSE)+SUM(_xlfn.XLOOKUP($S211:$AL211,增益!$A:$A,增益!$X:$X,0))</f>
        <v>0</v>
      </c>
    </row>
    <row r="212" spans="12:76">
      <c r="L212" s="46">
        <f t="shared" si="120"/>
        <v>0</v>
      </c>
      <c r="M212" s="46">
        <f>((($AT212+$AU212)/2*$AN212+$AO212)*(1+$AV212)*(1+$AW212)+(($AY212+$AZ212)/2*IF($G$1="鸣金",$AP212,$AN212)+IF($G$1="鸣金",$AQ212*1.5,0))*(1+$BA212)*(1+$BB212)+(($BC212+$BD212)/2*IF($G$1="裂石",$AP212,$AN212)+IF($G$1="裂石",$AQ212*1.5,0))*(1+$BE212)*(1+$BF212)+(($BG212+$BH212)/2*IF($G$1="牵丝",$AP212,$AN212)+IF($G$1="牵丝",$AQ212*1.5,0))*(1+$BI212)*(1+$BJ212)+(($BK212+$BL212)/2*IF($G$1="破竹",$AP212,$AN212)+IF($G$1="破竹",$AQ212*1.5,0))*(1+$BM212)*(1+$BN212))*(1+$AR212)*$BQ212*$Q212*(1+IF(VLOOKUP($R212,武学奇术!$A:$ZZ,30,FALSE)="蓄力技",$B$21,0))*(1+IF(VLOOKUP($R212,武学奇术!$A:$ZZ,30,FALSE)="派生技",$B$20,0))*(1+$BW212)*(1+$BX212)</f>
        <v>0</v>
      </c>
      <c r="N212" s="46">
        <f>(($AU212*$AN212+$AO212)*(1+$AV212)*(1+$AW212)+($AZ212*IF($G$1="鸣金",$AP212,$AN212)+IF($G$1="鸣金",$AQ212*1.5,0))*(1+$BA212)*(1+$BB212)+($BD212*IF($G$1="裂石",$AP212,$AN212)+IF($G$1="裂石",$AQ212*1.5,0))*(1+$BE212)*(1+$BF212)+($BH212*IF($G$1="牵丝",$AP212,$AN212)+IF($G$1="牵丝",$AQ212*1.5,0))*(1+$BI212)*(1+$BJ212)+($BL212*IF($G$1="破竹",$AP212,$AN212)+IF($G$1="破竹",$AQ212*1.5,0))*(1+$BM212)*(1+$BN212))*(1+$AR212)*$BS212*$Q212*(1+IF(VLOOKUP($R212,武学奇术!$A:$ZZ,30,FALSE)="蓄力技",$B$21,0))*(1+IF(VLOOKUP($R212,武学奇术!$A:$ZZ,30,FALSE)="派生技",$B$20,0))*(1+$BW212)*(1+$BX212)</f>
        <v>0</v>
      </c>
      <c r="O212" s="46">
        <f>((($AT212+$AU212)/2*$AN212+$AO212)*(1+$AV212)*(1+$AW212)+(($AY212+$AZ212)/2*IF($G$1="鸣金",$AP212,$AN212)+IF($G$1="鸣金",$AQ212*1.5,0))*(1+$BA212)*(1+$BB212)+(($BC212+$BD212)/2*IF($G$1="裂石",$AP212,$AN212)+IF($G$1="裂石",$AQ212*1.5,0))*(1+$BE212)*(1+$BF212)+(($BG212+$BH212)/2*IF($G$1="牵丝",$AP212,$AN212)+IF($G$1="牵丝",$AQ212*1.5,0))*(1+$BI212)*(1+$BJ212)+(($BK212+$BL212)/2*IF($G$1="破竹",$AP212,$AN212)+IF($G$1="破竹",$AQ212*1.5,0))*(1+$BM212)*(1+$BN212))*(1+$AR212)*$Q212*(1+IF(VLOOKUP($R212,武学奇术!$A:$ZZ,30,FALSE)="蓄力技",$B$21,0))*(1+IF(VLOOKUP($R212,武学奇术!$A:$ZZ,30,FALSE)="派生技",$B$20,0))*(1+$BW212)*(1+$BX212)</f>
        <v>0</v>
      </c>
      <c r="P212" s="46">
        <f>((($AT212*$AN212+$AO212)*(1+$AV212)*(1+$AW212)+($AY212*IF($G$1="鸣金",$AP212,$AN212)+IF($G$1="鸣金",$AQ212*1.5,0))*(1+$BA212)*(1+$BB212)+($BC212*IF($G$1="裂石",$AP212,$AN212)+IF($G$1="裂石",$AQ212*1.5,0))*(1+$BE212)*(1+$BF212)+($BG212*IF($G$1="牵丝",$AP212,$AN212)+IF($G$1="牵丝",$AQ212*1.5,0))*(1+$BI212)*(1+$BJ212)+($BK212*IF($G$1="破竹",$AP212,$AN212)+IF($G$1="破竹",$AQ212*1.5,0))*(1+$BM212)*(1+$BN212))*(1+$AR212))*$Q212*(1+IF(VLOOKUP($R212,武学奇术!$A:$ZZ,30,FALSE)="蓄力技",$B$21,0))*(1+IF(VLOOKUP($R212,武学奇术!$A:$ZZ,30,FALSE)="派生技",$B$20,0))*(1+$BW212)*(1+$BX212)</f>
        <v>0</v>
      </c>
      <c r="Q212" s="47">
        <f t="shared" si="121"/>
        <v>0</v>
      </c>
      <c r="R212" s="48" t="s">
        <v>119</v>
      </c>
      <c r="S212" s="48" t="s">
        <v>99</v>
      </c>
      <c r="T212" s="48" t="s">
        <v>182</v>
      </c>
      <c r="U212" s="48" t="s">
        <v>79</v>
      </c>
      <c r="V212" s="48" t="s">
        <v>80</v>
      </c>
      <c r="W212" s="48" t="s">
        <v>141</v>
      </c>
      <c r="X212" s="48" t="s">
        <v>80</v>
      </c>
      <c r="Y212" s="48" t="s">
        <v>74</v>
      </c>
      <c r="Z212" s="48" t="s">
        <v>80</v>
      </c>
      <c r="AA212" s="48" t="s">
        <v>183</v>
      </c>
      <c r="AB212" s="48" t="s">
        <v>184</v>
      </c>
      <c r="AC212" s="48" t="s">
        <v>80</v>
      </c>
      <c r="AD212" s="48" t="s">
        <v>80</v>
      </c>
      <c r="AE212" s="48" t="s">
        <v>82</v>
      </c>
      <c r="AF212" s="48" t="s">
        <v>83</v>
      </c>
      <c r="AG212" s="48" t="s">
        <v>84</v>
      </c>
      <c r="AH212" s="48" t="s">
        <v>80</v>
      </c>
      <c r="AI212" s="48" t="s">
        <v>80</v>
      </c>
      <c r="AJ212" s="48" t="s">
        <v>80</v>
      </c>
      <c r="AK212" s="48" t="s">
        <v>80</v>
      </c>
      <c r="AL212" s="48" t="s">
        <v>85</v>
      </c>
      <c r="AM212" t="str">
        <f>VLOOKUP($R212,武学奇术!$A:$ZZ,25,FALSE)</f>
        <v>横刀</v>
      </c>
      <c r="AN212" s="33">
        <f>VLOOKUP($R212,武学奇术!$A:$ZZ,26,FALSE)</f>
        <v>2.1324</v>
      </c>
      <c r="AO212" s="34">
        <f>VLOOKUP($R212,武学奇术!$A:$ZZ,27,FALSE)*(1+IF(OR($AM212=$F$4,$AM212=$F$5),$B$22,0))</f>
        <v>944</v>
      </c>
      <c r="AP212" s="33">
        <f>VLOOKUP($R212,武学奇术!$A:$ZZ,28,FALSE)</f>
        <v>3.1986</v>
      </c>
      <c r="AQ212" s="34">
        <f>VLOOKUP($R212,武学奇术!$A:$ZZ,29,FALSE)*(1+IF(OR($AM212=$F$4,$AM212=$F$5),$B$22,0))</f>
        <v>515.2</v>
      </c>
      <c r="AR212" s="33" cm="1">
        <f t="array" ref="AR212">$G$3+IFERROR(VLOOKUP($AM212,$F$4:$G$7,2,FALSE),0)+VLOOKUP($R212,武学奇术!$A:$ZZ,2,FALSE)+SUM(_xlfn.XLOOKUP($S212:$AL212,增益!$A:$A,增益!$B:$B,0))</f>
        <v>0.5289</v>
      </c>
      <c r="AS212" s="33" cm="1">
        <f t="array" ref="AS212">VLOOKUP($R212,武学奇术!$A:$ZZ,5,FALSE)+SUM(_xlfn.XLOOKUP($S212:$AL212,增益!$A:$A,增益!$E:$E,0))</f>
        <v>0</v>
      </c>
      <c r="AT212" cm="1">
        <f t="array" ref="AT212">$D$10*(1+$AS212)+VLOOKUP($R212,武学奇术!$A:$ZZ,3,FALSE)+SUM(_xlfn.XLOOKUP($S212:$AL212,增益!$A:$A,增益!$C:$C,0))-$I$2</f>
        <v>4094.7</v>
      </c>
      <c r="AU212" cm="1">
        <f t="array" ref="AU212">$E$10*(1+$AS212)+VLOOKUP($R212,武学奇术!$A:$ZZ,4,FALSE)+SUM(_xlfn.XLOOKUP($S212:$AL212,增益!$A:$A,增益!$D:$D,0))-$I$2</f>
        <v>4094.7</v>
      </c>
      <c r="AV212" s="40" cm="1">
        <f t="array" ref="AV212">IF($F$10-$I$3+VLOOKUP($R212,武学奇术!$A:$ZZ,6,FALSE)+SUM(_xlfn.XLOOKUP($S212:$AL212,增益!$A:$A,增益!$F:$F,0))&gt;0,($F$10-$I$3+VLOOKUP($R212,武学奇术!$A:$ZZ,6,FALSE)+SUM(_xlfn.XLOOKUP($S212:$AL212,增益!$A:$A,增益!$F:$F,0)))/200,($F$10-$I$3+VLOOKUP($R212,武学奇术!$A:$ZZ,6,FALSE)+SUM(_xlfn.XLOOKUP($S212:$AL212,增益!$A:$A,增益!$F:$F,0)))/100)</f>
        <v>0.4384</v>
      </c>
      <c r="AW212" s="40" cm="1">
        <f t="array" ref="AW212">$G$10+VLOOKUP($R212,武学奇术!$A:$ZZ,7,FALSE)+SUM(_xlfn.XLOOKUP($S212:$AL212,增益!$A:$A,增益!$G:$G,0))</f>
        <v>0.14</v>
      </c>
      <c r="AX212" s="33" cm="1">
        <f t="array" ref="AX212">VLOOKUP($R212,武学奇术!$A:$ZZ,8,FALSE)+SUM(_xlfn.XLOOKUP($S212:$AL212,增益!$A:$A,增益!$H:$H,0))</f>
        <v>0</v>
      </c>
      <c r="AY212">
        <f t="shared" si="122"/>
        <v>0</v>
      </c>
      <c r="AZ212">
        <f t="shared" si="123"/>
        <v>0</v>
      </c>
      <c r="BA212" s="40" cm="1">
        <f t="array" ref="BA212">IF($F$11-$I$4+VLOOKUP($R212,武学奇术!$A:$ZZ,9,FALSE)+SUM(_xlfn.XLOOKUP($S212:$AL212,增益!$A:$A,增益!$I:$I,0))&gt;0,($F$11-$I$4+VLOOKUP($R212,武学奇术!$A:$ZZ,9,FALSE)+SUM(_xlfn.XLOOKUP($S212:$AL212,增益!$A:$A,增益!$I:$I,0)))/200,($F$11-$I$4+VLOOKUP($R212,武学奇术!$A:$ZZ,9,FALSE)+SUM(_xlfn.XLOOKUP($S212:$AL212,增益!$A:$A,增益!$I:$I,0)))/100)</f>
        <v>-0.3</v>
      </c>
      <c r="BB212" s="40" cm="1">
        <f t="array" ref="BB212">$G$11+VLOOKUP($R212,武学奇术!$A:$ZZ,10,FALSE)+SUM(_xlfn.XLOOKUP($S212:$AL212,增益!$A:$A,增益!$J:$J,0))</f>
        <v>0.12</v>
      </c>
      <c r="BC212">
        <f t="shared" si="124"/>
        <v>640.3</v>
      </c>
      <c r="BD212">
        <f t="shared" si="125"/>
        <v>1770.1</v>
      </c>
      <c r="BE212" s="40" cm="1">
        <f t="array" ref="BE212">IF($F$12-$I$4+VLOOKUP($R212,武学奇术!$A:$ZZ,11,FALSE)+SUM(_xlfn.XLOOKUP($S212:$AL212,增益!$A:$A,增益!$K:$K,0))&gt;0,($F$12-$I$4+VLOOKUP($R212,武学奇术!$A:$ZZ,11,FALSE)+SUM(_xlfn.XLOOKUP($S212:$AL212,增益!$A:$A,增益!$K:$K,0)))/200,($F$12-$I$4+VLOOKUP($R212,武学奇术!$A:$ZZ,11,FALSE)+SUM(_xlfn.XLOOKUP($S212:$AL212,增益!$A:$A,增益!$K:$K,0)))/100)</f>
        <v>0.09</v>
      </c>
      <c r="BF212" s="40" cm="1">
        <f t="array" ref="BF212">$G$12+VLOOKUP($R212,武学奇术!$A:$ZZ,12,FALSE)+SUM(_xlfn.XLOOKUP($S212:$AL212,增益!$A:$A,增益!$L:$L,0))</f>
        <v>0.29</v>
      </c>
      <c r="BG212">
        <f t="shared" si="126"/>
        <v>0</v>
      </c>
      <c r="BH212">
        <f t="shared" si="127"/>
        <v>0</v>
      </c>
      <c r="BI212" s="40" cm="1">
        <f t="array" ref="BI212">IF($F$13-$I$4+VLOOKUP($R212,武学奇术!$A:$ZZ,13,FALSE)+SUM(_xlfn.XLOOKUP($S212:$AL212,增益!$A:$A,增益!$M:$M,0))&gt;0,($F$13-$I$4+VLOOKUP($R212,武学奇术!$A:$ZZ,13,FALSE)+SUM(_xlfn.XLOOKUP($S212:$AL212,增益!$A:$A,增益!$K:$K,0)))/200,($F$13-$I$4+VLOOKUP($R212,武学奇术!$A:$ZZ,13,FALSE)+SUM(_xlfn.XLOOKUP($S212:$AL212,增益!$A:$A,增益!$M:$M,0)))/100)</f>
        <v>-0.3</v>
      </c>
      <c r="BJ212" s="40" cm="1">
        <f t="array" ref="BJ212">$G$13+VLOOKUP($R212,武学奇术!$A:$ZZ,14,FALSE)+SUM(_xlfn.XLOOKUP($S212:$AL212,增益!$A:$A,增益!$N:$N,0))</f>
        <v>0.02</v>
      </c>
      <c r="BK212">
        <f t="shared" si="128"/>
        <v>0</v>
      </c>
      <c r="BL212">
        <f t="shared" si="129"/>
        <v>0</v>
      </c>
      <c r="BM212" s="40" cm="1">
        <f t="array" ref="BM212">IF($F$14-$I$4+VLOOKUP($R212,武学奇术!$A:$ZZ,15,FALSE)+SUM(_xlfn.XLOOKUP($S212:$AL212,增益!$A:$A,增益!$O:$O,0))&gt;0,($F$14-$I$4+VLOOKUP($R212,武学奇术!$A:$ZZ,15,FALSE)+SUM(_xlfn.XLOOKUP($S212:$AL212,增益!$A:$A,增益!$O:$O,0)))/200,($F$14-$I$4+VLOOKUP($R212,武学奇术!$A:$ZZ,15,FALSE)+SUM(_xlfn.XLOOKUP($S212:$AL212,增益!$A:$A,增益!$O:$O,0)))/100)</f>
        <v>-0.3</v>
      </c>
      <c r="BN212" s="40" cm="1">
        <f t="array" ref="BN212">$G$14+VLOOKUP($R212,武学奇术!$A:$ZZ,16,FALSE)+SUM(_xlfn.XLOOKUP($S212:$AL212,增益!$A:$A,增益!$P:$P,0))</f>
        <v>0.02</v>
      </c>
      <c r="BO212" s="33">
        <f>MIN(IF(VLOOKUP($R212,武学奇术!$A:$ZZ,23,FALSE)=1,100%,$B$8),100%)</f>
        <v>0.9771</v>
      </c>
      <c r="BP212" s="33" cm="1">
        <f t="array" ref="BP212">IF(VLOOKUP($R212,武学奇术!$A:$ZZ,23,FALSE)=1,100%,MIN(80%,$B$9+VLOOKUP($R212,武学奇术!$A:$ZZ,17,FALSE)+SUM(_xlfn.XLOOKUP($S212:$AL212,增益!$A:$A,增益!$Q:$Q,0)))+$B$11+SUM(_xlfn.XLOOKUP($S212:$AL212,增益!$A:$A,增益!$U:$U,0)))*IF(VLOOKUP($R212,武学奇术!$A:$ZZ,24,FALSE)=1,0,1)</f>
        <v>0.8861</v>
      </c>
      <c r="BQ212" s="33" cm="1">
        <f t="array" ref="BQ212">1+$B$13+VLOOKUP($R212,武学奇术!$A:$ZZ,18,FALSE)+SUM(_xlfn.XLOOKUP($S212:$AL212,增益!$A:$A,增益!$R:$R,0))</f>
        <v>2</v>
      </c>
      <c r="BR212" s="33" cm="1">
        <f t="array" ref="BR212">IF(VLOOKUP($R212,武学奇术!$A:$ZZ,24,FALSE)=1,100%,MIN(40%,$B$10+VLOOKUP($R212,武学奇术!$A:$ZZ,19,FALSE)+SUM(_xlfn.XLOOKUP($S212:$AL212,增益!$A:$A,增益!$S:$S,0)))+$B$12+SUM(_xlfn.XLOOKUP($S212:$AL212,增益!$A:$A,增益!$V:$V,0)))*IF(VLOOKUP($R212,武学奇术!$A:$ZZ,23,FALSE)=1,0,1)</f>
        <v>0.0913</v>
      </c>
      <c r="BS212" s="33" cm="1">
        <f t="array" ref="BS212">1+$B$14+VLOOKUP($R212,武学奇术!$A:$ZZ,20,FALSE)+SUM(_xlfn.XLOOKUP($S212:$AL212,增益!$A:$A,增益!$T:$T,0))</f>
        <v>1.35</v>
      </c>
      <c r="BT212" s="33">
        <f t="shared" si="130"/>
        <v>0.86580831</v>
      </c>
      <c r="BU212" s="33">
        <f t="shared" si="131"/>
        <v>0.02208246</v>
      </c>
      <c r="BV212" s="33">
        <f>IF(VLOOKUP($R212,武学奇术!$A:$ZZ,22,FALSE)=1,0,(1-$BO212))*(1-$BR212)</f>
        <v>0.02080923</v>
      </c>
      <c r="BW212" s="33" cm="1">
        <f t="array" ref="BW212">SUM(_xlfn.XLOOKUP($S212:$AL212,增益!$A:$A,增益!$W:$W,0))+$I$5</f>
        <v>0.31</v>
      </c>
      <c r="BX212" s="33" cm="1">
        <f t="array" ref="BX212">VLOOKUP($R212,武学奇术!$A:$ZZ,32,FALSE)+SUM(_xlfn.XLOOKUP($S212:$AL212,增益!$A:$A,增益!$X:$X,0))</f>
        <v>0</v>
      </c>
    </row>
    <row r="213" spans="12:76">
      <c r="L213" s="46">
        <f t="shared" si="120"/>
        <v>0</v>
      </c>
      <c r="M213" s="46">
        <f>((($AT213+$AU213)/2*$AN213+$AO213)*(1+$AV213)*(1+$AW213)+(($AY213+$AZ213)/2*IF($G$1="鸣金",$AP213,$AN213)+IF($G$1="鸣金",$AQ213*1.5,0))*(1+$BA213)*(1+$BB213)+(($BC213+$BD213)/2*IF($G$1="裂石",$AP213,$AN213)+IF($G$1="裂石",$AQ213*1.5,0))*(1+$BE213)*(1+$BF213)+(($BG213+$BH213)/2*IF($G$1="牵丝",$AP213,$AN213)+IF($G$1="牵丝",$AQ213*1.5,0))*(1+$BI213)*(1+$BJ213)+(($BK213+$BL213)/2*IF($G$1="破竹",$AP213,$AN213)+IF($G$1="破竹",$AQ213*1.5,0))*(1+$BM213)*(1+$BN213))*(1+$AR213)*$BQ213*$Q213*(1+IF(VLOOKUP($R213,武学奇术!$A:$ZZ,30,FALSE)="蓄力技",$B$21,0))*(1+IF(VLOOKUP($R213,武学奇术!$A:$ZZ,30,FALSE)="派生技",$B$20,0))*(1+$BW213)*(1+$BX213)</f>
        <v>0</v>
      </c>
      <c r="N213" s="46">
        <f>(($AU213*$AN213+$AO213)*(1+$AV213)*(1+$AW213)+($AZ213*IF($G$1="鸣金",$AP213,$AN213)+IF($G$1="鸣金",$AQ213*1.5,0))*(1+$BA213)*(1+$BB213)+($BD213*IF($G$1="裂石",$AP213,$AN213)+IF($G$1="裂石",$AQ213*1.5,0))*(1+$BE213)*(1+$BF213)+($BH213*IF($G$1="牵丝",$AP213,$AN213)+IF($G$1="牵丝",$AQ213*1.5,0))*(1+$BI213)*(1+$BJ213)+($BL213*IF($G$1="破竹",$AP213,$AN213)+IF($G$1="破竹",$AQ213*1.5,0))*(1+$BM213)*(1+$BN213))*(1+$AR213)*$BS213*$Q213*(1+IF(VLOOKUP($R213,武学奇术!$A:$ZZ,30,FALSE)="蓄力技",$B$21,0))*(1+IF(VLOOKUP($R213,武学奇术!$A:$ZZ,30,FALSE)="派生技",$B$20,0))*(1+$BW213)*(1+$BX213)</f>
        <v>0</v>
      </c>
      <c r="O213" s="46">
        <f>((($AT213+$AU213)/2*$AN213+$AO213)*(1+$AV213)*(1+$AW213)+(($AY213+$AZ213)/2*IF($G$1="鸣金",$AP213,$AN213)+IF($G$1="鸣金",$AQ213*1.5,0))*(1+$BA213)*(1+$BB213)+(($BC213+$BD213)/2*IF($G$1="裂石",$AP213,$AN213)+IF($G$1="裂石",$AQ213*1.5,0))*(1+$BE213)*(1+$BF213)+(($BG213+$BH213)/2*IF($G$1="牵丝",$AP213,$AN213)+IF($G$1="牵丝",$AQ213*1.5,0))*(1+$BI213)*(1+$BJ213)+(($BK213+$BL213)/2*IF($G$1="破竹",$AP213,$AN213)+IF($G$1="破竹",$AQ213*1.5,0))*(1+$BM213)*(1+$BN213))*(1+$AR213)*$Q213*(1+IF(VLOOKUP($R213,武学奇术!$A:$ZZ,30,FALSE)="蓄力技",$B$21,0))*(1+IF(VLOOKUP($R213,武学奇术!$A:$ZZ,30,FALSE)="派生技",$B$20,0))*(1+$BW213)*(1+$BX213)</f>
        <v>0</v>
      </c>
      <c r="P213" s="46">
        <f>((($AT213*$AN213+$AO213)*(1+$AV213)*(1+$AW213)+($AY213*IF($G$1="鸣金",$AP213,$AN213)+IF($G$1="鸣金",$AQ213*1.5,0))*(1+$BA213)*(1+$BB213)+($BC213*IF($G$1="裂石",$AP213,$AN213)+IF($G$1="裂石",$AQ213*1.5,0))*(1+$BE213)*(1+$BF213)+($BG213*IF($G$1="牵丝",$AP213,$AN213)+IF($G$1="牵丝",$AQ213*1.5,0))*(1+$BI213)*(1+$BJ213)+($BK213*IF($G$1="破竹",$AP213,$AN213)+IF($G$1="破竹",$AQ213*1.5,0))*(1+$BM213)*(1+$BN213))*(1+$AR213))*$Q213*(1+IF(VLOOKUP($R213,武学奇术!$A:$ZZ,30,FALSE)="蓄力技",$B$21,0))*(1+IF(VLOOKUP($R213,武学奇术!$A:$ZZ,30,FALSE)="派生技",$B$20,0))*(1+$BW213)*(1+$BX213)</f>
        <v>0</v>
      </c>
      <c r="Q213" s="47">
        <f t="shared" si="121"/>
        <v>0</v>
      </c>
      <c r="R213" s="48" t="s">
        <v>122</v>
      </c>
      <c r="S213" s="48" t="s">
        <v>99</v>
      </c>
      <c r="T213" s="48" t="s">
        <v>182</v>
      </c>
      <c r="U213" s="48" t="s">
        <v>79</v>
      </c>
      <c r="V213" s="48" t="s">
        <v>90</v>
      </c>
      <c r="W213" s="48" t="s">
        <v>141</v>
      </c>
      <c r="X213" s="48" t="s">
        <v>80</v>
      </c>
      <c r="Y213" s="48" t="s">
        <v>74</v>
      </c>
      <c r="Z213" s="48" t="s">
        <v>80</v>
      </c>
      <c r="AA213" s="48" t="s">
        <v>183</v>
      </c>
      <c r="AB213" s="48" t="s">
        <v>184</v>
      </c>
      <c r="AC213" s="48" t="s">
        <v>80</v>
      </c>
      <c r="AD213" s="48" t="s">
        <v>80</v>
      </c>
      <c r="AE213" s="48" t="s">
        <v>82</v>
      </c>
      <c r="AF213" s="48" t="s">
        <v>83</v>
      </c>
      <c r="AG213" s="48" t="s">
        <v>84</v>
      </c>
      <c r="AH213" s="48" t="s">
        <v>80</v>
      </c>
      <c r="AI213" s="48" t="s">
        <v>80</v>
      </c>
      <c r="AJ213" s="48" t="s">
        <v>80</v>
      </c>
      <c r="AK213" s="48" t="s">
        <v>80</v>
      </c>
      <c r="AL213" s="48" t="s">
        <v>85</v>
      </c>
      <c r="AM213" t="str">
        <f>VLOOKUP($R213,武学奇术!$A:$ZZ,25,FALSE)</f>
        <v>横刀</v>
      </c>
      <c r="AN213" s="33">
        <f>VLOOKUP($R213,武学奇术!$A:$ZZ,26,FALSE)</f>
        <v>1.47</v>
      </c>
      <c r="AO213" s="34">
        <f>VLOOKUP($R213,武学奇术!$A:$ZZ,27,FALSE)*(1+IF(OR($AM213=$F$4,$AM213=$F$5),$B$22,0))</f>
        <v>0</v>
      </c>
      <c r="AP213" s="33">
        <f>VLOOKUP($R213,武学奇术!$A:$ZZ,28,FALSE)</f>
        <v>2.205</v>
      </c>
      <c r="AQ213" s="34">
        <f>VLOOKUP($R213,武学奇术!$A:$ZZ,29,FALSE)*(1+IF(OR($AM213=$F$4,$AM213=$F$5),$B$22,0))</f>
        <v>0</v>
      </c>
      <c r="AR213" s="33" cm="1">
        <f t="array" ref="AR213">$G$3+IFERROR(VLOOKUP($AM213,$F$4:$G$7,2,FALSE),0)+VLOOKUP($R213,武学奇术!$A:$ZZ,2,FALSE)+SUM(_xlfn.XLOOKUP($S213:$AL213,增益!$A:$A,增益!$B:$B,0))</f>
        <v>0.6089</v>
      </c>
      <c r="AS213" s="33" cm="1">
        <f t="array" ref="AS213">VLOOKUP($R213,武学奇术!$A:$ZZ,5,FALSE)+SUM(_xlfn.XLOOKUP($S213:$AL213,增益!$A:$A,增益!$E:$E,0))</f>
        <v>0</v>
      </c>
      <c r="AT213" cm="1">
        <f t="array" ref="AT213">$D$10*(1+$AS213)+VLOOKUP($R213,武学奇术!$A:$ZZ,3,FALSE)+SUM(_xlfn.XLOOKUP($S213:$AL213,增益!$A:$A,增益!$C:$C,0))-$I$2</f>
        <v>4094.7</v>
      </c>
      <c r="AU213" cm="1">
        <f t="array" ref="AU213">$E$10*(1+$AS213)+VLOOKUP($R213,武学奇术!$A:$ZZ,4,FALSE)+SUM(_xlfn.XLOOKUP($S213:$AL213,增益!$A:$A,增益!$D:$D,0))-$I$2</f>
        <v>4094.7</v>
      </c>
      <c r="AV213" s="40" cm="1">
        <f t="array" ref="AV213">IF($F$10-$I$3+VLOOKUP($R213,武学奇术!$A:$ZZ,6,FALSE)+SUM(_xlfn.XLOOKUP($S213:$AL213,增益!$A:$A,增益!$F:$F,0))&gt;0,($F$10-$I$3+VLOOKUP($R213,武学奇术!$A:$ZZ,6,FALSE)+SUM(_xlfn.XLOOKUP($S213:$AL213,增益!$A:$A,增益!$F:$F,0)))/200,($F$10-$I$3+VLOOKUP($R213,武学奇术!$A:$ZZ,6,FALSE)+SUM(_xlfn.XLOOKUP($S213:$AL213,增益!$A:$A,增益!$F:$F,0)))/100)</f>
        <v>0.4384</v>
      </c>
      <c r="AW213" s="40" cm="1">
        <f t="array" ref="AW213">$G$10+VLOOKUP($R213,武学奇术!$A:$ZZ,7,FALSE)+SUM(_xlfn.XLOOKUP($S213:$AL213,增益!$A:$A,增益!$G:$G,0))</f>
        <v>0.14</v>
      </c>
      <c r="AX213" s="33" cm="1">
        <f t="array" ref="AX213">VLOOKUP($R213,武学奇术!$A:$ZZ,8,FALSE)+SUM(_xlfn.XLOOKUP($S213:$AL213,增益!$A:$A,增益!$H:$H,0))</f>
        <v>0</v>
      </c>
      <c r="AY213">
        <f t="shared" si="122"/>
        <v>0</v>
      </c>
      <c r="AZ213">
        <f t="shared" si="123"/>
        <v>0</v>
      </c>
      <c r="BA213" s="40" cm="1">
        <f t="array" ref="BA213">IF($F$11-$I$4+VLOOKUP($R213,武学奇术!$A:$ZZ,9,FALSE)+SUM(_xlfn.XLOOKUP($S213:$AL213,增益!$A:$A,增益!$I:$I,0))&gt;0,($F$11-$I$4+VLOOKUP($R213,武学奇术!$A:$ZZ,9,FALSE)+SUM(_xlfn.XLOOKUP($S213:$AL213,增益!$A:$A,增益!$I:$I,0)))/200,($F$11-$I$4+VLOOKUP($R213,武学奇术!$A:$ZZ,9,FALSE)+SUM(_xlfn.XLOOKUP($S213:$AL213,增益!$A:$A,增益!$I:$I,0)))/100)</f>
        <v>-0.14</v>
      </c>
      <c r="BB213" s="40" cm="1">
        <f t="array" ref="BB213">$G$11+VLOOKUP($R213,武学奇术!$A:$ZZ,10,FALSE)+SUM(_xlfn.XLOOKUP($S213:$AL213,增益!$A:$A,增益!$J:$J,0))</f>
        <v>0.12</v>
      </c>
      <c r="BC213">
        <f t="shared" si="124"/>
        <v>640.3</v>
      </c>
      <c r="BD213">
        <f t="shared" si="125"/>
        <v>1770.1</v>
      </c>
      <c r="BE213" s="40" cm="1">
        <f t="array" ref="BE213">IF($F$12-$I$4+VLOOKUP($R213,武学奇术!$A:$ZZ,11,FALSE)+SUM(_xlfn.XLOOKUP($S213:$AL213,增益!$A:$A,增益!$K:$K,0))&gt;0,($F$12-$I$4+VLOOKUP($R213,武学奇术!$A:$ZZ,11,FALSE)+SUM(_xlfn.XLOOKUP($S213:$AL213,增益!$A:$A,增益!$K:$K,0)))/200,($F$12-$I$4+VLOOKUP($R213,武学奇术!$A:$ZZ,11,FALSE)+SUM(_xlfn.XLOOKUP($S213:$AL213,增益!$A:$A,增益!$K:$K,0)))/100)</f>
        <v>0.17</v>
      </c>
      <c r="BF213" s="40" cm="1">
        <f t="array" ref="BF213">$G$12+VLOOKUP($R213,武学奇术!$A:$ZZ,12,FALSE)+SUM(_xlfn.XLOOKUP($S213:$AL213,增益!$A:$A,增益!$L:$L,0))</f>
        <v>0.29</v>
      </c>
      <c r="BG213">
        <f t="shared" si="126"/>
        <v>0</v>
      </c>
      <c r="BH213">
        <f t="shared" si="127"/>
        <v>0</v>
      </c>
      <c r="BI213" s="40" cm="1">
        <f t="array" ref="BI213">IF($F$13-$I$4+VLOOKUP($R213,武学奇术!$A:$ZZ,13,FALSE)+SUM(_xlfn.XLOOKUP($S213:$AL213,增益!$A:$A,增益!$M:$M,0))&gt;0,($F$13-$I$4+VLOOKUP($R213,武学奇术!$A:$ZZ,13,FALSE)+SUM(_xlfn.XLOOKUP($S213:$AL213,增益!$A:$A,增益!$K:$K,0)))/200,($F$13-$I$4+VLOOKUP($R213,武学奇术!$A:$ZZ,13,FALSE)+SUM(_xlfn.XLOOKUP($S213:$AL213,增益!$A:$A,增益!$M:$M,0)))/100)</f>
        <v>-0.14</v>
      </c>
      <c r="BJ213" s="40" cm="1">
        <f t="array" ref="BJ213">$G$13+VLOOKUP($R213,武学奇术!$A:$ZZ,14,FALSE)+SUM(_xlfn.XLOOKUP($S213:$AL213,增益!$A:$A,增益!$N:$N,0))</f>
        <v>0.02</v>
      </c>
      <c r="BK213">
        <f t="shared" si="128"/>
        <v>0</v>
      </c>
      <c r="BL213">
        <f t="shared" si="129"/>
        <v>0</v>
      </c>
      <c r="BM213" s="40" cm="1">
        <f t="array" ref="BM213">IF($F$14-$I$4+VLOOKUP($R213,武学奇术!$A:$ZZ,15,FALSE)+SUM(_xlfn.XLOOKUP($S213:$AL213,增益!$A:$A,增益!$O:$O,0))&gt;0,($F$14-$I$4+VLOOKUP($R213,武学奇术!$A:$ZZ,15,FALSE)+SUM(_xlfn.XLOOKUP($S213:$AL213,增益!$A:$A,增益!$O:$O,0)))/200,($F$14-$I$4+VLOOKUP($R213,武学奇术!$A:$ZZ,15,FALSE)+SUM(_xlfn.XLOOKUP($S213:$AL213,增益!$A:$A,增益!$O:$O,0)))/100)</f>
        <v>-0.14</v>
      </c>
      <c r="BN213" s="40" cm="1">
        <f t="array" ref="BN213">$G$14+VLOOKUP($R213,武学奇术!$A:$ZZ,16,FALSE)+SUM(_xlfn.XLOOKUP($S213:$AL213,增益!$A:$A,增益!$P:$P,0))</f>
        <v>0.02</v>
      </c>
      <c r="BO213" s="33">
        <f>MIN(IF(VLOOKUP($R213,武学奇术!$A:$ZZ,23,FALSE)=1,100%,$B$8),100%)</f>
        <v>0.9771</v>
      </c>
      <c r="BP213" s="33" cm="1">
        <f t="array" ref="BP213">IF(VLOOKUP($R213,武学奇术!$A:$ZZ,23,FALSE)=1,100%,MIN(80%,$B$9+VLOOKUP($R213,武学奇术!$A:$ZZ,17,FALSE)+SUM(_xlfn.XLOOKUP($S213:$AL213,增益!$A:$A,增益!$Q:$Q,0)))+$B$11+SUM(_xlfn.XLOOKUP($S213:$AL213,增益!$A:$A,增益!$U:$U,0)))*IF(VLOOKUP($R213,武学奇术!$A:$ZZ,24,FALSE)=1,0,1)</f>
        <v>0.8861</v>
      </c>
      <c r="BQ213" s="33" cm="1">
        <f t="array" ref="BQ213">1+$B$13+VLOOKUP($R213,武学奇术!$A:$ZZ,18,FALSE)+SUM(_xlfn.XLOOKUP($S213:$AL213,增益!$A:$A,增益!$R:$R,0))</f>
        <v>2</v>
      </c>
      <c r="BR213" s="33" cm="1">
        <f t="array" ref="BR213">IF(VLOOKUP($R213,武学奇术!$A:$ZZ,24,FALSE)=1,100%,MIN(40%,$B$10+VLOOKUP($R213,武学奇术!$A:$ZZ,19,FALSE)+SUM(_xlfn.XLOOKUP($S213:$AL213,增益!$A:$A,增益!$S:$S,0)))+$B$12+SUM(_xlfn.XLOOKUP($S213:$AL213,增益!$A:$A,增益!$V:$V,0)))*IF(VLOOKUP($R213,武学奇术!$A:$ZZ,23,FALSE)=1,0,1)</f>
        <v>0.0913</v>
      </c>
      <c r="BS213" s="33" cm="1">
        <f t="array" ref="BS213">1+$B$14+VLOOKUP($R213,武学奇术!$A:$ZZ,20,FALSE)+SUM(_xlfn.XLOOKUP($S213:$AL213,增益!$A:$A,增益!$T:$T,0))</f>
        <v>1.35</v>
      </c>
      <c r="BT213" s="33">
        <f t="shared" si="130"/>
        <v>0.86580831</v>
      </c>
      <c r="BU213" s="33">
        <f t="shared" si="131"/>
        <v>0.02208246</v>
      </c>
      <c r="BV213" s="33">
        <f>IF(VLOOKUP($R213,武学奇术!$A:$ZZ,22,FALSE)=1,0,(1-$BO213))*(1-$BR213)</f>
        <v>0.02080923</v>
      </c>
      <c r="BW213" s="33" cm="1">
        <f t="array" ref="BW213">SUM(_xlfn.XLOOKUP($S213:$AL213,增益!$A:$A,增益!$W:$W,0))+$I$5</f>
        <v>0.31</v>
      </c>
      <c r="BX213" s="33" cm="1">
        <f t="array" ref="BX213">VLOOKUP($R213,武学奇术!$A:$ZZ,32,FALSE)+SUM(_xlfn.XLOOKUP($S213:$AL213,增益!$A:$A,增益!$X:$X,0))</f>
        <v>0</v>
      </c>
    </row>
    <row r="214" spans="12:76">
      <c r="L214" s="46">
        <f t="shared" si="120"/>
        <v>0</v>
      </c>
      <c r="M214" s="46">
        <f>((($AT214+$AU214)/2*$AN214+$AO214)*(1+$AV214)*(1+$AW214)+(($AY214+$AZ214)/2*IF($G$1="鸣金",$AP214,$AN214)+IF($G$1="鸣金",$AQ214*1.5,0))*(1+$BA214)*(1+$BB214)+(($BC214+$BD214)/2*IF($G$1="裂石",$AP214,$AN214)+IF($G$1="裂石",$AQ214*1.5,0))*(1+$BE214)*(1+$BF214)+(($BG214+$BH214)/2*IF($G$1="牵丝",$AP214,$AN214)+IF($G$1="牵丝",$AQ214*1.5,0))*(1+$BI214)*(1+$BJ214)+(($BK214+$BL214)/2*IF($G$1="破竹",$AP214,$AN214)+IF($G$1="破竹",$AQ214*1.5,0))*(1+$BM214)*(1+$BN214))*(1+$AR214)*$BQ214*$Q214*(1+IF(VLOOKUP($R214,武学奇术!$A:$ZZ,30,FALSE)="蓄力技",$B$21,0))*(1+IF(VLOOKUP($R214,武学奇术!$A:$ZZ,30,FALSE)="派生技",$B$20,0))*(1+$BW214)*(1+$BX214)</f>
        <v>0</v>
      </c>
      <c r="N214" s="46">
        <f>(($AU214*$AN214+$AO214)*(1+$AV214)*(1+$AW214)+($AZ214*IF($G$1="鸣金",$AP214,$AN214)+IF($G$1="鸣金",$AQ214*1.5,0))*(1+$BA214)*(1+$BB214)+($BD214*IF($G$1="裂石",$AP214,$AN214)+IF($G$1="裂石",$AQ214*1.5,0))*(1+$BE214)*(1+$BF214)+($BH214*IF($G$1="牵丝",$AP214,$AN214)+IF($G$1="牵丝",$AQ214*1.5,0))*(1+$BI214)*(1+$BJ214)+($BL214*IF($G$1="破竹",$AP214,$AN214)+IF($G$1="破竹",$AQ214*1.5,0))*(1+$BM214)*(1+$BN214))*(1+$AR214)*$BS214*$Q214*(1+IF(VLOOKUP($R214,武学奇术!$A:$ZZ,30,FALSE)="蓄力技",$B$21,0))*(1+IF(VLOOKUP($R214,武学奇术!$A:$ZZ,30,FALSE)="派生技",$B$20,0))*(1+$BW214)*(1+$BX214)</f>
        <v>0</v>
      </c>
      <c r="O214" s="46">
        <f>((($AT214+$AU214)/2*$AN214+$AO214)*(1+$AV214)*(1+$AW214)+(($AY214+$AZ214)/2*IF($G$1="鸣金",$AP214,$AN214)+IF($G$1="鸣金",$AQ214*1.5,0))*(1+$BA214)*(1+$BB214)+(($BC214+$BD214)/2*IF($G$1="裂石",$AP214,$AN214)+IF($G$1="裂石",$AQ214*1.5,0))*(1+$BE214)*(1+$BF214)+(($BG214+$BH214)/2*IF($G$1="牵丝",$AP214,$AN214)+IF($G$1="牵丝",$AQ214*1.5,0))*(1+$BI214)*(1+$BJ214)+(($BK214+$BL214)/2*IF($G$1="破竹",$AP214,$AN214)+IF($G$1="破竹",$AQ214*1.5,0))*(1+$BM214)*(1+$BN214))*(1+$AR214)*$Q214*(1+IF(VLOOKUP($R214,武学奇术!$A:$ZZ,30,FALSE)="蓄力技",$B$21,0))*(1+IF(VLOOKUP($R214,武学奇术!$A:$ZZ,30,FALSE)="派生技",$B$20,0))*(1+$BW214)*(1+$BX214)</f>
        <v>0</v>
      </c>
      <c r="P214" s="46">
        <f>((($AT214*$AN214+$AO214)*(1+$AV214)*(1+$AW214)+($AY214*IF($G$1="鸣金",$AP214,$AN214)+IF($G$1="鸣金",$AQ214*1.5,0))*(1+$BA214)*(1+$BB214)+($BC214*IF($G$1="裂石",$AP214,$AN214)+IF($G$1="裂石",$AQ214*1.5,0))*(1+$BE214)*(1+$BF214)+($BG214*IF($G$1="牵丝",$AP214,$AN214)+IF($G$1="牵丝",$AQ214*1.5,0))*(1+$BI214)*(1+$BJ214)+($BK214*IF($G$1="破竹",$AP214,$AN214)+IF($G$1="破竹",$AQ214*1.5,0))*(1+$BM214)*(1+$BN214))*(1+$AR214))*$Q214*(1+IF(VLOOKUP($R214,武学奇术!$A:$ZZ,30,FALSE)="蓄力技",$B$21,0))*(1+IF(VLOOKUP($R214,武学奇术!$A:$ZZ,30,FALSE)="派生技",$B$20,0))*(1+$BW214)*(1+$BX214)</f>
        <v>0</v>
      </c>
      <c r="Q214" s="47">
        <f t="shared" ref="Q214:Q216" si="132">IF($E$24="唐刀",5,0)</f>
        <v>0</v>
      </c>
      <c r="R214" s="48" t="s">
        <v>195</v>
      </c>
      <c r="S214" s="48" t="s">
        <v>99</v>
      </c>
      <c r="T214" s="48" t="s">
        <v>182</v>
      </c>
      <c r="U214" s="48" t="s">
        <v>79</v>
      </c>
      <c r="V214" s="48" t="s">
        <v>90</v>
      </c>
      <c r="W214" s="48" t="s">
        <v>141</v>
      </c>
      <c r="X214" s="48" t="s">
        <v>80</v>
      </c>
      <c r="Y214" s="48" t="s">
        <v>74</v>
      </c>
      <c r="Z214" s="48" t="s">
        <v>80</v>
      </c>
      <c r="AA214" s="48" t="s">
        <v>183</v>
      </c>
      <c r="AB214" s="48" t="s">
        <v>184</v>
      </c>
      <c r="AC214" s="48" t="s">
        <v>193</v>
      </c>
      <c r="AD214" s="48" t="s">
        <v>80</v>
      </c>
      <c r="AE214" s="48" t="s">
        <v>82</v>
      </c>
      <c r="AF214" s="48" t="s">
        <v>83</v>
      </c>
      <c r="AG214" s="48" t="s">
        <v>84</v>
      </c>
      <c r="AH214" s="48" t="s">
        <v>80</v>
      </c>
      <c r="AI214" s="48" t="s">
        <v>80</v>
      </c>
      <c r="AJ214" s="48" t="s">
        <v>80</v>
      </c>
      <c r="AK214" s="48" t="s">
        <v>80</v>
      </c>
      <c r="AL214" s="48" t="s">
        <v>85</v>
      </c>
      <c r="AM214" t="str">
        <f>VLOOKUP($R214,武学奇术!$A:$ZZ,25,FALSE)</f>
        <v>横刀</v>
      </c>
      <c r="AN214" s="33">
        <f>VLOOKUP($R214,武学奇术!$A:$ZZ,26,FALSE)</f>
        <v>3.6553</v>
      </c>
      <c r="AO214" s="34">
        <f>VLOOKUP($R214,武学奇术!$A:$ZZ,27,FALSE)*(1+IF(OR($AM214=$F$4,$AM214=$F$5),$B$22,0))</f>
        <v>1619.2</v>
      </c>
      <c r="AP214" s="33">
        <f>VLOOKUP($R214,武学奇术!$A:$ZZ,28,FALSE)</f>
        <v>5.4829</v>
      </c>
      <c r="AQ214" s="34">
        <f>VLOOKUP($R214,武学奇术!$A:$ZZ,29,FALSE)*(1+IF(OR($AM214=$F$4,$AM214=$F$5),$B$22,0))</f>
        <v>880</v>
      </c>
      <c r="AR214" s="33" cm="1">
        <f t="array" ref="AR214">$G$3+IFERROR(VLOOKUP($AM214,$F$4:$G$7,2,FALSE),0)+VLOOKUP($R214,武学奇术!$A:$ZZ,2,FALSE)+SUM(_xlfn.XLOOKUP($S214:$AL214,增益!$A:$A,增益!$B:$B,0))</f>
        <v>0.7089</v>
      </c>
      <c r="AS214" s="33" cm="1">
        <f t="array" ref="AS214">VLOOKUP($R214,武学奇术!$A:$ZZ,5,FALSE)+SUM(_xlfn.XLOOKUP($S214:$AL214,增益!$A:$A,增益!$E:$E,0))</f>
        <v>0</v>
      </c>
      <c r="AT214" cm="1">
        <f t="array" ref="AT214">$D$10*(1+$AS214)+VLOOKUP($R214,武学奇术!$A:$ZZ,3,FALSE)+SUM(_xlfn.XLOOKUP($S214:$AL214,增益!$A:$A,增益!$C:$C,0))-$I$2</f>
        <v>4094.7</v>
      </c>
      <c r="AU214" cm="1">
        <f t="array" ref="AU214">$E$10*(1+$AS214)+VLOOKUP($R214,武学奇术!$A:$ZZ,4,FALSE)+SUM(_xlfn.XLOOKUP($S214:$AL214,增益!$A:$A,增益!$D:$D,0))-$I$2</f>
        <v>4094.7</v>
      </c>
      <c r="AV214" s="40" cm="1">
        <f t="array" ref="AV214">IF($F$10-$I$3+VLOOKUP($R214,武学奇术!$A:$ZZ,6,FALSE)+SUM(_xlfn.XLOOKUP($S214:$AL214,增益!$A:$A,增益!$F:$F,0))&gt;0,($F$10-$I$3+VLOOKUP($R214,武学奇术!$A:$ZZ,6,FALSE)+SUM(_xlfn.XLOOKUP($S214:$AL214,增益!$A:$A,增益!$F:$F,0)))/200,($F$10-$I$3+VLOOKUP($R214,武学奇术!$A:$ZZ,6,FALSE)+SUM(_xlfn.XLOOKUP($S214:$AL214,增益!$A:$A,增益!$F:$F,0)))/100)</f>
        <v>0.4384</v>
      </c>
      <c r="AW214" s="40" cm="1">
        <f t="array" ref="AW214">$G$10+VLOOKUP($R214,武学奇术!$A:$ZZ,7,FALSE)+SUM(_xlfn.XLOOKUP($S214:$AL214,增益!$A:$A,增益!$G:$G,0))</f>
        <v>0.14</v>
      </c>
      <c r="AX214" s="33" cm="1">
        <f t="array" ref="AX214">VLOOKUP($R214,武学奇术!$A:$ZZ,8,FALSE)+SUM(_xlfn.XLOOKUP($S214:$AL214,增益!$A:$A,增益!$H:$H,0))</f>
        <v>0</v>
      </c>
      <c r="AY214">
        <f t="shared" si="122"/>
        <v>0</v>
      </c>
      <c r="AZ214">
        <f t="shared" si="123"/>
        <v>0</v>
      </c>
      <c r="BA214" s="40" cm="1">
        <f t="array" ref="BA214">IF($F$11-$I$4+VLOOKUP($R214,武学奇术!$A:$ZZ,9,FALSE)+SUM(_xlfn.XLOOKUP($S214:$AL214,增益!$A:$A,增益!$I:$I,0))&gt;0,($F$11-$I$4+VLOOKUP($R214,武学奇术!$A:$ZZ,9,FALSE)+SUM(_xlfn.XLOOKUP($S214:$AL214,增益!$A:$A,增益!$I:$I,0)))/200,($F$11-$I$4+VLOOKUP($R214,武学奇术!$A:$ZZ,9,FALSE)+SUM(_xlfn.XLOOKUP($S214:$AL214,增益!$A:$A,增益!$I:$I,0)))/100)</f>
        <v>-0.14</v>
      </c>
      <c r="BB214" s="40" cm="1">
        <f t="array" ref="BB214">$G$11+VLOOKUP($R214,武学奇术!$A:$ZZ,10,FALSE)+SUM(_xlfn.XLOOKUP($S214:$AL214,增益!$A:$A,增益!$J:$J,0))</f>
        <v>0.12</v>
      </c>
      <c r="BC214">
        <f t="shared" si="124"/>
        <v>640.3</v>
      </c>
      <c r="BD214">
        <f t="shared" si="125"/>
        <v>1770.1</v>
      </c>
      <c r="BE214" s="40" cm="1">
        <f t="array" ref="BE214">IF($F$12-$I$4+VLOOKUP($R214,武学奇术!$A:$ZZ,11,FALSE)+SUM(_xlfn.XLOOKUP($S214:$AL214,增益!$A:$A,增益!$K:$K,0))&gt;0,($F$12-$I$4+VLOOKUP($R214,武学奇术!$A:$ZZ,11,FALSE)+SUM(_xlfn.XLOOKUP($S214:$AL214,增益!$A:$A,增益!$K:$K,0)))/200,($F$12-$I$4+VLOOKUP($R214,武学奇术!$A:$ZZ,11,FALSE)+SUM(_xlfn.XLOOKUP($S214:$AL214,增益!$A:$A,增益!$K:$K,0)))/100)</f>
        <v>0.17</v>
      </c>
      <c r="BF214" s="40" cm="1">
        <f t="array" ref="BF214">$G$12+VLOOKUP($R214,武学奇术!$A:$ZZ,12,FALSE)+SUM(_xlfn.XLOOKUP($S214:$AL214,增益!$A:$A,增益!$L:$L,0))</f>
        <v>0.29</v>
      </c>
      <c r="BG214">
        <f t="shared" si="126"/>
        <v>0</v>
      </c>
      <c r="BH214">
        <f t="shared" si="127"/>
        <v>0</v>
      </c>
      <c r="BI214" s="40" cm="1">
        <f t="array" ref="BI214">IF($F$13-$I$4+VLOOKUP($R214,武学奇术!$A:$ZZ,13,FALSE)+SUM(_xlfn.XLOOKUP($S214:$AL214,增益!$A:$A,增益!$M:$M,0))&gt;0,($F$13-$I$4+VLOOKUP($R214,武学奇术!$A:$ZZ,13,FALSE)+SUM(_xlfn.XLOOKUP($S214:$AL214,增益!$A:$A,增益!$K:$K,0)))/200,($F$13-$I$4+VLOOKUP($R214,武学奇术!$A:$ZZ,13,FALSE)+SUM(_xlfn.XLOOKUP($S214:$AL214,增益!$A:$A,增益!$M:$M,0)))/100)</f>
        <v>-0.14</v>
      </c>
      <c r="BJ214" s="40" cm="1">
        <f t="array" ref="BJ214">$G$13+VLOOKUP($R214,武学奇术!$A:$ZZ,14,FALSE)+SUM(_xlfn.XLOOKUP($S214:$AL214,增益!$A:$A,增益!$N:$N,0))</f>
        <v>0.02</v>
      </c>
      <c r="BK214">
        <f t="shared" si="128"/>
        <v>0</v>
      </c>
      <c r="BL214">
        <f t="shared" si="129"/>
        <v>0</v>
      </c>
      <c r="BM214" s="40" cm="1">
        <f t="array" ref="BM214">IF($F$14-$I$4+VLOOKUP($R214,武学奇术!$A:$ZZ,15,FALSE)+SUM(_xlfn.XLOOKUP($S214:$AL214,增益!$A:$A,增益!$O:$O,0))&gt;0,($F$14-$I$4+VLOOKUP($R214,武学奇术!$A:$ZZ,15,FALSE)+SUM(_xlfn.XLOOKUP($S214:$AL214,增益!$A:$A,增益!$O:$O,0)))/200,($F$14-$I$4+VLOOKUP($R214,武学奇术!$A:$ZZ,15,FALSE)+SUM(_xlfn.XLOOKUP($S214:$AL214,增益!$A:$A,增益!$O:$O,0)))/100)</f>
        <v>-0.14</v>
      </c>
      <c r="BN214" s="40" cm="1">
        <f t="array" ref="BN214">$G$14+VLOOKUP($R214,武学奇术!$A:$ZZ,16,FALSE)+SUM(_xlfn.XLOOKUP($S214:$AL214,增益!$A:$A,增益!$P:$P,0))</f>
        <v>0.02</v>
      </c>
      <c r="BO214" s="33">
        <f>MIN(IF(VLOOKUP($R214,武学奇术!$A:$ZZ,23,FALSE)=1,100%,$B$8),100%)</f>
        <v>0.9771</v>
      </c>
      <c r="BP214" s="33" cm="1">
        <f t="array" ref="BP214">IF(VLOOKUP($R214,武学奇术!$A:$ZZ,23,FALSE)=1,100%,MIN(80%,$B$9+VLOOKUP($R214,武学奇术!$A:$ZZ,17,FALSE)+SUM(_xlfn.XLOOKUP($S214:$AL214,增益!$A:$A,增益!$Q:$Q,0)))+$B$11+SUM(_xlfn.XLOOKUP($S214:$AL214,增益!$A:$A,增益!$U:$U,0)))*IF(VLOOKUP($R214,武学奇术!$A:$ZZ,24,FALSE)=1,0,1)</f>
        <v>0.8861</v>
      </c>
      <c r="BQ214" s="33" cm="1">
        <f t="array" ref="BQ214">1+$B$13+VLOOKUP($R214,武学奇术!$A:$ZZ,18,FALSE)+SUM(_xlfn.XLOOKUP($S214:$AL214,增益!$A:$A,增益!$R:$R,0))</f>
        <v>2</v>
      </c>
      <c r="BR214" s="33" cm="1">
        <f t="array" ref="BR214">IF(VLOOKUP($R214,武学奇术!$A:$ZZ,24,FALSE)=1,100%,MIN(40%,$B$10+VLOOKUP($R214,武学奇术!$A:$ZZ,19,FALSE)+SUM(_xlfn.XLOOKUP($S214:$AL214,增益!$A:$A,增益!$S:$S,0)))+$B$12+SUM(_xlfn.XLOOKUP($S214:$AL214,增益!$A:$A,增益!$V:$V,0)))*IF(VLOOKUP($R214,武学奇术!$A:$ZZ,23,FALSE)=1,0,1)</f>
        <v>0.0913</v>
      </c>
      <c r="BS214" s="33" cm="1">
        <f t="array" ref="BS214">1+$B$14+VLOOKUP($R214,武学奇术!$A:$ZZ,20,FALSE)+SUM(_xlfn.XLOOKUP($S214:$AL214,增益!$A:$A,增益!$T:$T,0))</f>
        <v>1.35</v>
      </c>
      <c r="BT214" s="33">
        <f t="shared" si="130"/>
        <v>0.86580831</v>
      </c>
      <c r="BU214" s="33">
        <f t="shared" si="131"/>
        <v>0.02208246</v>
      </c>
      <c r="BV214" s="33">
        <f>IF(VLOOKUP($R214,武学奇术!$A:$ZZ,22,FALSE)=1,0,(1-$BO214))*(1-$BR214)</f>
        <v>0.02080923</v>
      </c>
      <c r="BW214" s="33" cm="1">
        <f t="array" ref="BW214">SUM(_xlfn.XLOOKUP($S214:$AL214,增益!$A:$A,增益!$W:$W,0))+$I$5</f>
        <v>0.31</v>
      </c>
      <c r="BX214" s="33" cm="1">
        <f t="array" ref="BX214">VLOOKUP($R214,武学奇术!$A:$ZZ,32,FALSE)+SUM(_xlfn.XLOOKUP($S214:$AL214,增益!$A:$A,增益!$X:$X,0))</f>
        <v>0</v>
      </c>
    </row>
    <row r="215" spans="12:76">
      <c r="L215" s="46">
        <f t="shared" si="120"/>
        <v>0</v>
      </c>
      <c r="M215" s="46">
        <f>((($AT215+$AU215)/2*$AN215+$AO215)*(1+$AV215)*(1+$AW215)+(($AY215+$AZ215)/2*IF($G$1="鸣金",$AP215,$AN215)+IF($G$1="鸣金",$AQ215*1.5,0))*(1+$BA215)*(1+$BB215)+(($BC215+$BD215)/2*IF($G$1="裂石",$AP215,$AN215)+IF($G$1="裂石",$AQ215*1.5,0))*(1+$BE215)*(1+$BF215)+(($BG215+$BH215)/2*IF($G$1="牵丝",$AP215,$AN215)+IF($G$1="牵丝",$AQ215*1.5,0))*(1+$BI215)*(1+$BJ215)+(($BK215+$BL215)/2*IF($G$1="破竹",$AP215,$AN215)+IF($G$1="破竹",$AQ215*1.5,0))*(1+$BM215)*(1+$BN215))*(1+$AR215)*$BQ215*$Q215*(1+IF(VLOOKUP($R215,武学奇术!$A:$ZZ,30,FALSE)="蓄力技",$B$21,0))*(1+IF(VLOOKUP($R215,武学奇术!$A:$ZZ,30,FALSE)="派生技",$B$20,0))*(1+$BW215)*(1+$BX215)</f>
        <v>0</v>
      </c>
      <c r="N215" s="46">
        <f>(($AU215*$AN215+$AO215)*(1+$AV215)*(1+$AW215)+($AZ215*IF($G$1="鸣金",$AP215,$AN215)+IF($G$1="鸣金",$AQ215*1.5,0))*(1+$BA215)*(1+$BB215)+($BD215*IF($G$1="裂石",$AP215,$AN215)+IF($G$1="裂石",$AQ215*1.5,0))*(1+$BE215)*(1+$BF215)+($BH215*IF($G$1="牵丝",$AP215,$AN215)+IF($G$1="牵丝",$AQ215*1.5,0))*(1+$BI215)*(1+$BJ215)+($BL215*IF($G$1="破竹",$AP215,$AN215)+IF($G$1="破竹",$AQ215*1.5,0))*(1+$BM215)*(1+$BN215))*(1+$AR215)*$BS215*$Q215*(1+IF(VLOOKUP($R215,武学奇术!$A:$ZZ,30,FALSE)="蓄力技",$B$21,0))*(1+IF(VLOOKUP($R215,武学奇术!$A:$ZZ,30,FALSE)="派生技",$B$20,0))*(1+$BW215)*(1+$BX215)</f>
        <v>0</v>
      </c>
      <c r="O215" s="46">
        <f>((($AT215+$AU215)/2*$AN215+$AO215)*(1+$AV215)*(1+$AW215)+(($AY215+$AZ215)/2*IF($G$1="鸣金",$AP215,$AN215)+IF($G$1="鸣金",$AQ215*1.5,0))*(1+$BA215)*(1+$BB215)+(($BC215+$BD215)/2*IF($G$1="裂石",$AP215,$AN215)+IF($G$1="裂石",$AQ215*1.5,0))*(1+$BE215)*(1+$BF215)+(($BG215+$BH215)/2*IF($G$1="牵丝",$AP215,$AN215)+IF($G$1="牵丝",$AQ215*1.5,0))*(1+$BI215)*(1+$BJ215)+(($BK215+$BL215)/2*IF($G$1="破竹",$AP215,$AN215)+IF($G$1="破竹",$AQ215*1.5,0))*(1+$BM215)*(1+$BN215))*(1+$AR215)*$Q215*(1+IF(VLOOKUP($R215,武学奇术!$A:$ZZ,30,FALSE)="蓄力技",$B$21,0))*(1+IF(VLOOKUP($R215,武学奇术!$A:$ZZ,30,FALSE)="派生技",$B$20,0))*(1+$BW215)*(1+$BX215)</f>
        <v>0</v>
      </c>
      <c r="P215" s="46">
        <f>((($AT215*$AN215+$AO215)*(1+$AV215)*(1+$AW215)+($AY215*IF($G$1="鸣金",$AP215,$AN215)+IF($G$1="鸣金",$AQ215*1.5,0))*(1+$BA215)*(1+$BB215)+($BC215*IF($G$1="裂石",$AP215,$AN215)+IF($G$1="裂石",$AQ215*1.5,0))*(1+$BE215)*(1+$BF215)+($BG215*IF($G$1="牵丝",$AP215,$AN215)+IF($G$1="牵丝",$AQ215*1.5,0))*(1+$BI215)*(1+$BJ215)+($BK215*IF($G$1="破竹",$AP215,$AN215)+IF($G$1="破竹",$AQ215*1.5,0))*(1+$BM215)*(1+$BN215))*(1+$AR215))*$Q215*(1+IF(VLOOKUP($R215,武学奇术!$A:$ZZ,30,FALSE)="蓄力技",$B$21,0))*(1+IF(VLOOKUP($R215,武学奇术!$A:$ZZ,30,FALSE)="派生技",$B$20,0))*(1+$BW215)*(1+$BX215)</f>
        <v>0</v>
      </c>
      <c r="Q215" s="47">
        <f t="shared" si="132"/>
        <v>0</v>
      </c>
      <c r="R215" s="48" t="s">
        <v>196</v>
      </c>
      <c r="S215" s="48" t="s">
        <v>99</v>
      </c>
      <c r="T215" s="48" t="s">
        <v>182</v>
      </c>
      <c r="U215" s="48" t="s">
        <v>79</v>
      </c>
      <c r="V215" s="48" t="s">
        <v>90</v>
      </c>
      <c r="W215" s="48" t="s">
        <v>141</v>
      </c>
      <c r="X215" s="48" t="s">
        <v>80</v>
      </c>
      <c r="Y215" s="48" t="s">
        <v>74</v>
      </c>
      <c r="Z215" s="48" t="s">
        <v>80</v>
      </c>
      <c r="AA215" s="48" t="s">
        <v>183</v>
      </c>
      <c r="AB215" s="48" t="s">
        <v>184</v>
      </c>
      <c r="AC215" s="48" t="s">
        <v>193</v>
      </c>
      <c r="AD215" s="48" t="s">
        <v>80</v>
      </c>
      <c r="AE215" s="48" t="s">
        <v>82</v>
      </c>
      <c r="AF215" s="48" t="s">
        <v>83</v>
      </c>
      <c r="AG215" s="48" t="s">
        <v>84</v>
      </c>
      <c r="AH215" s="48" t="s">
        <v>80</v>
      </c>
      <c r="AI215" s="48" t="s">
        <v>80</v>
      </c>
      <c r="AJ215" s="48" t="s">
        <v>80</v>
      </c>
      <c r="AK215" s="48" t="s">
        <v>80</v>
      </c>
      <c r="AL215" s="48" t="s">
        <v>85</v>
      </c>
      <c r="AM215" t="str">
        <f>VLOOKUP($R215,武学奇术!$A:$ZZ,25,FALSE)</f>
        <v>横刀</v>
      </c>
      <c r="AN215" s="33">
        <f>VLOOKUP($R215,武学奇术!$A:$ZZ,26,FALSE)</f>
        <v>1.47</v>
      </c>
      <c r="AO215" s="34">
        <f>VLOOKUP($R215,武学奇术!$A:$ZZ,27,FALSE)*(1+IF(OR($AM215=$F$4,$AM215=$F$5),$B$22,0))</f>
        <v>0</v>
      </c>
      <c r="AP215" s="33">
        <f>VLOOKUP($R215,武学奇术!$A:$ZZ,28,FALSE)</f>
        <v>2.205</v>
      </c>
      <c r="AQ215" s="34">
        <f>VLOOKUP($R215,武学奇术!$A:$ZZ,29,FALSE)*(1+IF(OR($AM215=$F$4,$AM215=$F$5),$B$22,0))</f>
        <v>0</v>
      </c>
      <c r="AR215" s="33" cm="1">
        <f t="array" ref="AR215">$G$3+IFERROR(VLOOKUP($AM215,$F$4:$G$7,2,FALSE),0)+VLOOKUP($R215,武学奇术!$A:$ZZ,2,FALSE)+SUM(_xlfn.XLOOKUP($S215:$AL215,增益!$A:$A,增益!$B:$B,0))</f>
        <v>0.6089</v>
      </c>
      <c r="AS215" s="33" cm="1">
        <f t="array" ref="AS215">VLOOKUP($R215,武学奇术!$A:$ZZ,5,FALSE)+SUM(_xlfn.XLOOKUP($S215:$AL215,增益!$A:$A,增益!$E:$E,0))</f>
        <v>0</v>
      </c>
      <c r="AT215" cm="1">
        <f t="array" ref="AT215">$D$10*(1+$AS215)+VLOOKUP($R215,武学奇术!$A:$ZZ,3,FALSE)+SUM(_xlfn.XLOOKUP($S215:$AL215,增益!$A:$A,增益!$C:$C,0))-$I$2</f>
        <v>4094.7</v>
      </c>
      <c r="AU215" cm="1">
        <f t="array" ref="AU215">$E$10*(1+$AS215)+VLOOKUP($R215,武学奇术!$A:$ZZ,4,FALSE)+SUM(_xlfn.XLOOKUP($S215:$AL215,增益!$A:$A,增益!$D:$D,0))-$I$2</f>
        <v>4094.7</v>
      </c>
      <c r="AV215" s="40" cm="1">
        <f t="array" ref="AV215">IF($F$10-$I$3+VLOOKUP($R215,武学奇术!$A:$ZZ,6,FALSE)+SUM(_xlfn.XLOOKUP($S215:$AL215,增益!$A:$A,增益!$F:$F,0))&gt;0,($F$10-$I$3+VLOOKUP($R215,武学奇术!$A:$ZZ,6,FALSE)+SUM(_xlfn.XLOOKUP($S215:$AL215,增益!$A:$A,增益!$F:$F,0)))/200,($F$10-$I$3+VLOOKUP($R215,武学奇术!$A:$ZZ,6,FALSE)+SUM(_xlfn.XLOOKUP($S215:$AL215,增益!$A:$A,增益!$F:$F,0)))/100)</f>
        <v>0.4384</v>
      </c>
      <c r="AW215" s="40" cm="1">
        <f t="array" ref="AW215">$G$10+VLOOKUP($R215,武学奇术!$A:$ZZ,7,FALSE)+SUM(_xlfn.XLOOKUP($S215:$AL215,增益!$A:$A,增益!$G:$G,0))</f>
        <v>0.14</v>
      </c>
      <c r="AX215" s="33" cm="1">
        <f t="array" ref="AX215">VLOOKUP($R215,武学奇术!$A:$ZZ,8,FALSE)+SUM(_xlfn.XLOOKUP($S215:$AL215,增益!$A:$A,增益!$H:$H,0))</f>
        <v>0</v>
      </c>
      <c r="AY215">
        <f t="shared" si="122"/>
        <v>0</v>
      </c>
      <c r="AZ215">
        <f t="shared" si="123"/>
        <v>0</v>
      </c>
      <c r="BA215" s="40" cm="1">
        <f t="array" ref="BA215">IF($F$11-$I$4+VLOOKUP($R215,武学奇术!$A:$ZZ,9,FALSE)+SUM(_xlfn.XLOOKUP($S215:$AL215,增益!$A:$A,增益!$I:$I,0))&gt;0,($F$11-$I$4+VLOOKUP($R215,武学奇术!$A:$ZZ,9,FALSE)+SUM(_xlfn.XLOOKUP($S215:$AL215,增益!$A:$A,增益!$I:$I,0)))/200,($F$11-$I$4+VLOOKUP($R215,武学奇术!$A:$ZZ,9,FALSE)+SUM(_xlfn.XLOOKUP($S215:$AL215,增益!$A:$A,增益!$I:$I,0)))/100)</f>
        <v>-0.14</v>
      </c>
      <c r="BB215" s="40" cm="1">
        <f t="array" ref="BB215">$G$11+VLOOKUP($R215,武学奇术!$A:$ZZ,10,FALSE)+SUM(_xlfn.XLOOKUP($S215:$AL215,增益!$A:$A,增益!$J:$J,0))</f>
        <v>0.12</v>
      </c>
      <c r="BC215">
        <f t="shared" si="124"/>
        <v>640.3</v>
      </c>
      <c r="BD215">
        <f t="shared" si="125"/>
        <v>1770.1</v>
      </c>
      <c r="BE215" s="40" cm="1">
        <f t="array" ref="BE215">IF($F$12-$I$4+VLOOKUP($R215,武学奇术!$A:$ZZ,11,FALSE)+SUM(_xlfn.XLOOKUP($S215:$AL215,增益!$A:$A,增益!$K:$K,0))&gt;0,($F$12-$I$4+VLOOKUP($R215,武学奇术!$A:$ZZ,11,FALSE)+SUM(_xlfn.XLOOKUP($S215:$AL215,增益!$A:$A,增益!$K:$K,0)))/200,($F$12-$I$4+VLOOKUP($R215,武学奇术!$A:$ZZ,11,FALSE)+SUM(_xlfn.XLOOKUP($S215:$AL215,增益!$A:$A,增益!$K:$K,0)))/100)</f>
        <v>0.17</v>
      </c>
      <c r="BF215" s="40" cm="1">
        <f t="array" ref="BF215">$G$12+VLOOKUP($R215,武学奇术!$A:$ZZ,12,FALSE)+SUM(_xlfn.XLOOKUP($S215:$AL215,增益!$A:$A,增益!$L:$L,0))</f>
        <v>0.29</v>
      </c>
      <c r="BG215">
        <f t="shared" si="126"/>
        <v>0</v>
      </c>
      <c r="BH215">
        <f t="shared" si="127"/>
        <v>0</v>
      </c>
      <c r="BI215" s="40" cm="1">
        <f t="array" ref="BI215">IF($F$13-$I$4+VLOOKUP($R215,武学奇术!$A:$ZZ,13,FALSE)+SUM(_xlfn.XLOOKUP($S215:$AL215,增益!$A:$A,增益!$M:$M,0))&gt;0,($F$13-$I$4+VLOOKUP($R215,武学奇术!$A:$ZZ,13,FALSE)+SUM(_xlfn.XLOOKUP($S215:$AL215,增益!$A:$A,增益!$K:$K,0)))/200,($F$13-$I$4+VLOOKUP($R215,武学奇术!$A:$ZZ,13,FALSE)+SUM(_xlfn.XLOOKUP($S215:$AL215,增益!$A:$A,增益!$M:$M,0)))/100)</f>
        <v>-0.14</v>
      </c>
      <c r="BJ215" s="40" cm="1">
        <f t="array" ref="BJ215">$G$13+VLOOKUP($R215,武学奇术!$A:$ZZ,14,FALSE)+SUM(_xlfn.XLOOKUP($S215:$AL215,增益!$A:$A,增益!$N:$N,0))</f>
        <v>0.02</v>
      </c>
      <c r="BK215">
        <f t="shared" si="128"/>
        <v>0</v>
      </c>
      <c r="BL215">
        <f t="shared" si="129"/>
        <v>0</v>
      </c>
      <c r="BM215" s="40" cm="1">
        <f t="array" ref="BM215">IF($F$14-$I$4+VLOOKUP($R215,武学奇术!$A:$ZZ,15,FALSE)+SUM(_xlfn.XLOOKUP($S215:$AL215,增益!$A:$A,增益!$O:$O,0))&gt;0,($F$14-$I$4+VLOOKUP($R215,武学奇术!$A:$ZZ,15,FALSE)+SUM(_xlfn.XLOOKUP($S215:$AL215,增益!$A:$A,增益!$O:$O,0)))/200,($F$14-$I$4+VLOOKUP($R215,武学奇术!$A:$ZZ,15,FALSE)+SUM(_xlfn.XLOOKUP($S215:$AL215,增益!$A:$A,增益!$O:$O,0)))/100)</f>
        <v>-0.14</v>
      </c>
      <c r="BN215" s="40" cm="1">
        <f t="array" ref="BN215">$G$14+VLOOKUP($R215,武学奇术!$A:$ZZ,16,FALSE)+SUM(_xlfn.XLOOKUP($S215:$AL215,增益!$A:$A,增益!$P:$P,0))</f>
        <v>0.02</v>
      </c>
      <c r="BO215" s="33">
        <f>MIN(IF(VLOOKUP($R215,武学奇术!$A:$ZZ,23,FALSE)=1,100%,$B$8),100%)</f>
        <v>0.9771</v>
      </c>
      <c r="BP215" s="33" cm="1">
        <f t="array" ref="BP215">IF(VLOOKUP($R215,武学奇术!$A:$ZZ,23,FALSE)=1,100%,MIN(80%,$B$9+VLOOKUP($R215,武学奇术!$A:$ZZ,17,FALSE)+SUM(_xlfn.XLOOKUP($S215:$AL215,增益!$A:$A,增益!$Q:$Q,0)))+$B$11+SUM(_xlfn.XLOOKUP($S215:$AL215,增益!$A:$A,增益!$U:$U,0)))*IF(VLOOKUP($R215,武学奇术!$A:$ZZ,24,FALSE)=1,0,1)</f>
        <v>0.8861</v>
      </c>
      <c r="BQ215" s="33" cm="1">
        <f t="array" ref="BQ215">1+$B$13+VLOOKUP($R215,武学奇术!$A:$ZZ,18,FALSE)+SUM(_xlfn.XLOOKUP($S215:$AL215,增益!$A:$A,增益!$R:$R,0))</f>
        <v>2</v>
      </c>
      <c r="BR215" s="33" cm="1">
        <f t="array" ref="BR215">IF(VLOOKUP($R215,武学奇术!$A:$ZZ,24,FALSE)=1,100%,MIN(40%,$B$10+VLOOKUP($R215,武学奇术!$A:$ZZ,19,FALSE)+SUM(_xlfn.XLOOKUP($S215:$AL215,增益!$A:$A,增益!$S:$S,0)))+$B$12+SUM(_xlfn.XLOOKUP($S215:$AL215,增益!$A:$A,增益!$V:$V,0)))*IF(VLOOKUP($R215,武学奇术!$A:$ZZ,23,FALSE)=1,0,1)</f>
        <v>0.0913</v>
      </c>
      <c r="BS215" s="33" cm="1">
        <f t="array" ref="BS215">1+$B$14+VLOOKUP($R215,武学奇术!$A:$ZZ,20,FALSE)+SUM(_xlfn.XLOOKUP($S215:$AL215,增益!$A:$A,增益!$T:$T,0))</f>
        <v>1.35</v>
      </c>
      <c r="BT215" s="33">
        <f t="shared" si="130"/>
        <v>0.86580831</v>
      </c>
      <c r="BU215" s="33">
        <f t="shared" si="131"/>
        <v>0.02208246</v>
      </c>
      <c r="BV215" s="33">
        <f>IF(VLOOKUP($R215,武学奇术!$A:$ZZ,22,FALSE)=1,0,(1-$BO215))*(1-$BR215)</f>
        <v>0.02080923</v>
      </c>
      <c r="BW215" s="33" cm="1">
        <f t="array" ref="BW215">SUM(_xlfn.XLOOKUP($S215:$AL215,增益!$A:$A,增益!$W:$W,0))+$I$5</f>
        <v>0.31</v>
      </c>
      <c r="BX215" s="33" cm="1">
        <f t="array" ref="BX215">VLOOKUP($R215,武学奇术!$A:$ZZ,32,FALSE)+SUM(_xlfn.XLOOKUP($S215:$AL215,增益!$A:$A,增益!$X:$X,0))</f>
        <v>0.4</v>
      </c>
    </row>
    <row r="216" spans="12:76">
      <c r="L216" s="46">
        <f t="shared" si="120"/>
        <v>0</v>
      </c>
      <c r="M216" s="46">
        <f>((($AT216+$AU216)/2*$AN216+$AO216)*(1+$AV216)*(1+$AW216)+(($AY216+$AZ216)/2*IF($G$1="鸣金",$AP216,$AN216)+IF($G$1="鸣金",$AQ216*1.5,0))*(1+$BA216)*(1+$BB216)+(($BC216+$BD216)/2*IF($G$1="裂石",$AP216,$AN216)+IF($G$1="裂石",$AQ216*1.5,0))*(1+$BE216)*(1+$BF216)+(($BG216+$BH216)/2*IF($G$1="牵丝",$AP216,$AN216)+IF($G$1="牵丝",$AQ216*1.5,0))*(1+$BI216)*(1+$BJ216)+(($BK216+$BL216)/2*IF($G$1="破竹",$AP216,$AN216)+IF($G$1="破竹",$AQ216*1.5,0))*(1+$BM216)*(1+$BN216))*(1+$AR216)*$BQ216*$Q216*(1+IF(VLOOKUP($R216,武学奇术!$A:$ZZ,30,FALSE)="蓄力技",$B$21,0))*(1+IF(VLOOKUP($R216,武学奇术!$A:$ZZ,30,FALSE)="派生技",$B$20,0))*(1+$BW216)*(1+$BX216)</f>
        <v>0</v>
      </c>
      <c r="N216" s="46">
        <f>(($AU216*$AN216+$AO216)*(1+$AV216)*(1+$AW216)+($AZ216*IF($G$1="鸣金",$AP216,$AN216)+IF($G$1="鸣金",$AQ216*1.5,0))*(1+$BA216)*(1+$BB216)+($BD216*IF($G$1="裂石",$AP216,$AN216)+IF($G$1="裂石",$AQ216*1.5,0))*(1+$BE216)*(1+$BF216)+($BH216*IF($G$1="牵丝",$AP216,$AN216)+IF($G$1="牵丝",$AQ216*1.5,0))*(1+$BI216)*(1+$BJ216)+($BL216*IF($G$1="破竹",$AP216,$AN216)+IF($G$1="破竹",$AQ216*1.5,0))*(1+$BM216)*(1+$BN216))*(1+$AR216)*$BS216*$Q216*(1+IF(VLOOKUP($R216,武学奇术!$A:$ZZ,30,FALSE)="蓄力技",$B$21,0))*(1+IF(VLOOKUP($R216,武学奇术!$A:$ZZ,30,FALSE)="派生技",$B$20,0))*(1+$BW216)*(1+$BX216)</f>
        <v>0</v>
      </c>
      <c r="O216" s="46">
        <f>((($AT216+$AU216)/2*$AN216+$AO216)*(1+$AV216)*(1+$AW216)+(($AY216+$AZ216)/2*IF($G$1="鸣金",$AP216,$AN216)+IF($G$1="鸣金",$AQ216*1.5,0))*(1+$BA216)*(1+$BB216)+(($BC216+$BD216)/2*IF($G$1="裂石",$AP216,$AN216)+IF($G$1="裂石",$AQ216*1.5,0))*(1+$BE216)*(1+$BF216)+(($BG216+$BH216)/2*IF($G$1="牵丝",$AP216,$AN216)+IF($G$1="牵丝",$AQ216*1.5,0))*(1+$BI216)*(1+$BJ216)+(($BK216+$BL216)/2*IF($G$1="破竹",$AP216,$AN216)+IF($G$1="破竹",$AQ216*1.5,0))*(1+$BM216)*(1+$BN216))*(1+$AR216)*$Q216*(1+IF(VLOOKUP($R216,武学奇术!$A:$ZZ,30,FALSE)="蓄力技",$B$21,0))*(1+IF(VLOOKUP($R216,武学奇术!$A:$ZZ,30,FALSE)="派生技",$B$20,0))*(1+$BW216)*(1+$BX216)</f>
        <v>0</v>
      </c>
      <c r="P216" s="46">
        <f>((($AT216*$AN216+$AO216)*(1+$AV216)*(1+$AW216)+($AY216*IF($G$1="鸣金",$AP216,$AN216)+IF($G$1="鸣金",$AQ216*1.5,0))*(1+$BA216)*(1+$BB216)+($BC216*IF($G$1="裂石",$AP216,$AN216)+IF($G$1="裂石",$AQ216*1.5,0))*(1+$BE216)*(1+$BF216)+($BG216*IF($G$1="牵丝",$AP216,$AN216)+IF($G$1="牵丝",$AQ216*1.5,0))*(1+$BI216)*(1+$BJ216)+($BK216*IF($G$1="破竹",$AP216,$AN216)+IF($G$1="破竹",$AQ216*1.5,0))*(1+$BM216)*(1+$BN216))*(1+$AR216))*$Q216*(1+IF(VLOOKUP($R216,武学奇术!$A:$ZZ,30,FALSE)="蓄力技",$B$21,0))*(1+IF(VLOOKUP($R216,武学奇术!$A:$ZZ,30,FALSE)="派生技",$B$20,0))*(1+$BW216)*(1+$BX216)</f>
        <v>0</v>
      </c>
      <c r="Q216" s="47">
        <f>IF($E$24="唐刀",4,0)</f>
        <v>0</v>
      </c>
      <c r="R216" s="48" t="s">
        <v>197</v>
      </c>
      <c r="S216" s="48" t="s">
        <v>99</v>
      </c>
      <c r="T216" s="48" t="s">
        <v>182</v>
      </c>
      <c r="U216" s="48" t="s">
        <v>79</v>
      </c>
      <c r="V216" s="48" t="s">
        <v>90</v>
      </c>
      <c r="W216" s="48" t="s">
        <v>91</v>
      </c>
      <c r="X216" s="48" t="s">
        <v>80</v>
      </c>
      <c r="Y216" s="48" t="s">
        <v>80</v>
      </c>
      <c r="Z216" s="48" t="s">
        <v>80</v>
      </c>
      <c r="AA216" s="48" t="s">
        <v>183</v>
      </c>
      <c r="AB216" s="48" t="s">
        <v>184</v>
      </c>
      <c r="AC216" s="48" t="s">
        <v>193</v>
      </c>
      <c r="AD216" s="48" t="s">
        <v>80</v>
      </c>
      <c r="AE216" s="48" t="s">
        <v>82</v>
      </c>
      <c r="AF216" s="48" t="s">
        <v>83</v>
      </c>
      <c r="AG216" s="48" t="s">
        <v>84</v>
      </c>
      <c r="AH216" s="48" t="s">
        <v>80</v>
      </c>
      <c r="AI216" s="48" t="s">
        <v>80</v>
      </c>
      <c r="AJ216" s="48" t="s">
        <v>80</v>
      </c>
      <c r="AK216" s="48" t="s">
        <v>80</v>
      </c>
      <c r="AL216" s="48" t="s">
        <v>85</v>
      </c>
      <c r="AM216" t="str">
        <f>VLOOKUP($R216,武学奇术!$A:$ZZ,25,FALSE)</f>
        <v>横刀</v>
      </c>
      <c r="AN216" s="33">
        <f>VLOOKUP($R216,武学奇术!$A:$ZZ,26,FALSE)</f>
        <v>2.4495</v>
      </c>
      <c r="AO216" s="34">
        <f>VLOOKUP($R216,武学奇术!$A:$ZZ,27,FALSE)*(1+IF(OR($AM216=$F$4,$AM216=$F$5),$B$22,0))</f>
        <v>1083.2</v>
      </c>
      <c r="AP216" s="33">
        <f>VLOOKUP($R216,武学奇术!$A:$ZZ,28,FALSE)</f>
        <v>3.6743</v>
      </c>
      <c r="AQ216" s="34">
        <f>VLOOKUP($R216,武学奇术!$A:$ZZ,29,FALSE)*(1+IF(OR($AM216=$F$4,$AM216=$F$5),$B$22,0))</f>
        <v>588.8</v>
      </c>
      <c r="AR216" s="33" cm="1">
        <f t="array" ref="AR216">$G$3+IFERROR(VLOOKUP($AM216,$F$4:$G$7,2,FALSE),0)+VLOOKUP($R216,武学奇术!$A:$ZZ,2,FALSE)+SUM(_xlfn.XLOOKUP($S216:$AL216,增益!$A:$A,增益!$B:$B,0))</f>
        <v>0.5289</v>
      </c>
      <c r="AS216" s="33" cm="1">
        <f t="array" ref="AS216">VLOOKUP($R216,武学奇术!$A:$ZZ,5,FALSE)+SUM(_xlfn.XLOOKUP($S216:$AL216,增益!$A:$A,增益!$E:$E,0))</f>
        <v>0</v>
      </c>
      <c r="AT216" cm="1">
        <f t="array" ref="AT216">$D$10*(1+$AS216)+VLOOKUP($R216,武学奇术!$A:$ZZ,3,FALSE)+SUM(_xlfn.XLOOKUP($S216:$AL216,增益!$A:$A,增益!$C:$C,0))-$I$2</f>
        <v>4094.7</v>
      </c>
      <c r="AU216" cm="1">
        <f t="array" ref="AU216">$E$10*(1+$AS216)+VLOOKUP($R216,武学奇术!$A:$ZZ,4,FALSE)+SUM(_xlfn.XLOOKUP($S216:$AL216,增益!$A:$A,增益!$D:$D,0))-$I$2</f>
        <v>4094.7</v>
      </c>
      <c r="AV216" s="40" cm="1">
        <f t="array" ref="AV216">IF($F$10-$I$3+VLOOKUP($R216,武学奇术!$A:$ZZ,6,FALSE)+SUM(_xlfn.XLOOKUP($S216:$AL216,增益!$A:$A,增益!$F:$F,0))&gt;0,($F$10-$I$3+VLOOKUP($R216,武学奇术!$A:$ZZ,6,FALSE)+SUM(_xlfn.XLOOKUP($S216:$AL216,增益!$A:$A,增益!$F:$F,0)))/200,($F$10-$I$3+VLOOKUP($R216,武学奇术!$A:$ZZ,6,FALSE)+SUM(_xlfn.XLOOKUP($S216:$AL216,增益!$A:$A,增益!$F:$F,0)))/100)</f>
        <v>0.4134</v>
      </c>
      <c r="AW216" s="40" cm="1">
        <f t="array" ref="AW216">$G$10+VLOOKUP($R216,武学奇术!$A:$ZZ,7,FALSE)+SUM(_xlfn.XLOOKUP($S216:$AL216,增益!$A:$A,增益!$G:$G,0))</f>
        <v>0.14</v>
      </c>
      <c r="AX216" s="33" cm="1">
        <f t="array" ref="AX216">VLOOKUP($R216,武学奇术!$A:$ZZ,8,FALSE)+SUM(_xlfn.XLOOKUP($S216:$AL216,增益!$A:$A,增益!$H:$H,0))</f>
        <v>0</v>
      </c>
      <c r="AY216">
        <f t="shared" si="122"/>
        <v>0</v>
      </c>
      <c r="AZ216">
        <f t="shared" si="123"/>
        <v>0</v>
      </c>
      <c r="BA216" s="40" cm="1">
        <f t="array" ref="BA216">IF($F$11-$I$4+VLOOKUP($R216,武学奇术!$A:$ZZ,9,FALSE)+SUM(_xlfn.XLOOKUP($S216:$AL216,增益!$A:$A,增益!$I:$I,0))&gt;0,($F$11-$I$4+VLOOKUP($R216,武学奇术!$A:$ZZ,9,FALSE)+SUM(_xlfn.XLOOKUP($S216:$AL216,增益!$A:$A,增益!$I:$I,0)))/200,($F$11-$I$4+VLOOKUP($R216,武学奇术!$A:$ZZ,9,FALSE)+SUM(_xlfn.XLOOKUP($S216:$AL216,增益!$A:$A,增益!$I:$I,0)))/100)</f>
        <v>-0.14</v>
      </c>
      <c r="BB216" s="40" cm="1">
        <f t="array" ref="BB216">$G$11+VLOOKUP($R216,武学奇术!$A:$ZZ,10,FALSE)+SUM(_xlfn.XLOOKUP($S216:$AL216,增益!$A:$A,增益!$J:$J,0))</f>
        <v>0.12</v>
      </c>
      <c r="BC216">
        <f t="shared" si="124"/>
        <v>640.3</v>
      </c>
      <c r="BD216">
        <f t="shared" si="125"/>
        <v>1770.1</v>
      </c>
      <c r="BE216" s="40" cm="1">
        <f t="array" ref="BE216">IF($F$12-$I$4+VLOOKUP($R216,武学奇术!$A:$ZZ,11,FALSE)+SUM(_xlfn.XLOOKUP($S216:$AL216,增益!$A:$A,增益!$K:$K,0))&gt;0,($F$12-$I$4+VLOOKUP($R216,武学奇术!$A:$ZZ,11,FALSE)+SUM(_xlfn.XLOOKUP($S216:$AL216,增益!$A:$A,增益!$K:$K,0)))/200,($F$12-$I$4+VLOOKUP($R216,武学奇术!$A:$ZZ,11,FALSE)+SUM(_xlfn.XLOOKUP($S216:$AL216,增益!$A:$A,增益!$K:$K,0)))/100)</f>
        <v>0.17</v>
      </c>
      <c r="BF216" s="40" cm="1">
        <f t="array" ref="BF216">$G$12+VLOOKUP($R216,武学奇术!$A:$ZZ,12,FALSE)+SUM(_xlfn.XLOOKUP($S216:$AL216,增益!$A:$A,增益!$L:$L,0))</f>
        <v>0.29</v>
      </c>
      <c r="BG216">
        <f t="shared" si="126"/>
        <v>0</v>
      </c>
      <c r="BH216">
        <f t="shared" si="127"/>
        <v>0</v>
      </c>
      <c r="BI216" s="40" cm="1">
        <f t="array" ref="BI216">IF($F$13-$I$4+VLOOKUP($R216,武学奇术!$A:$ZZ,13,FALSE)+SUM(_xlfn.XLOOKUP($S216:$AL216,增益!$A:$A,增益!$M:$M,0))&gt;0,($F$13-$I$4+VLOOKUP($R216,武学奇术!$A:$ZZ,13,FALSE)+SUM(_xlfn.XLOOKUP($S216:$AL216,增益!$A:$A,增益!$K:$K,0)))/200,($F$13-$I$4+VLOOKUP($R216,武学奇术!$A:$ZZ,13,FALSE)+SUM(_xlfn.XLOOKUP($S216:$AL216,增益!$A:$A,增益!$M:$M,0)))/100)</f>
        <v>-0.14</v>
      </c>
      <c r="BJ216" s="40" cm="1">
        <f t="array" ref="BJ216">$G$13+VLOOKUP($R216,武学奇术!$A:$ZZ,14,FALSE)+SUM(_xlfn.XLOOKUP($S216:$AL216,增益!$A:$A,增益!$N:$N,0))</f>
        <v>0.02</v>
      </c>
      <c r="BK216">
        <f t="shared" si="128"/>
        <v>0</v>
      </c>
      <c r="BL216">
        <f t="shared" si="129"/>
        <v>0</v>
      </c>
      <c r="BM216" s="40" cm="1">
        <f t="array" ref="BM216">IF($F$14-$I$4+VLOOKUP($R216,武学奇术!$A:$ZZ,15,FALSE)+SUM(_xlfn.XLOOKUP($S216:$AL216,增益!$A:$A,增益!$O:$O,0))&gt;0,($F$14-$I$4+VLOOKUP($R216,武学奇术!$A:$ZZ,15,FALSE)+SUM(_xlfn.XLOOKUP($S216:$AL216,增益!$A:$A,增益!$O:$O,0)))/200,($F$14-$I$4+VLOOKUP($R216,武学奇术!$A:$ZZ,15,FALSE)+SUM(_xlfn.XLOOKUP($S216:$AL216,增益!$A:$A,增益!$O:$O,0)))/100)</f>
        <v>-0.14</v>
      </c>
      <c r="BN216" s="40" cm="1">
        <f t="array" ref="BN216">$G$14+VLOOKUP($R216,武学奇术!$A:$ZZ,16,FALSE)+SUM(_xlfn.XLOOKUP($S216:$AL216,增益!$A:$A,增益!$P:$P,0))</f>
        <v>0.02</v>
      </c>
      <c r="BO216" s="33">
        <f>MIN(IF(VLOOKUP($R216,武学奇术!$A:$ZZ,23,FALSE)=1,100%,$B$8),100%)</f>
        <v>0.9771</v>
      </c>
      <c r="BP216" s="33" cm="1">
        <f t="array" ref="BP216">IF(VLOOKUP($R216,武学奇术!$A:$ZZ,23,FALSE)=1,100%,MIN(80%,$B$9+VLOOKUP($R216,武学奇术!$A:$ZZ,17,FALSE)+SUM(_xlfn.XLOOKUP($S216:$AL216,增益!$A:$A,增益!$Q:$Q,0)))+$B$11+SUM(_xlfn.XLOOKUP($S216:$AL216,增益!$A:$A,增益!$U:$U,0)))*IF(VLOOKUP($R216,武学奇术!$A:$ZZ,24,FALSE)=1,0,1)</f>
        <v>0.8861</v>
      </c>
      <c r="BQ216" s="33" cm="1">
        <f t="array" ref="BQ216">1+$B$13+VLOOKUP($R216,武学奇术!$A:$ZZ,18,FALSE)+SUM(_xlfn.XLOOKUP($S216:$AL216,增益!$A:$A,增益!$R:$R,0))</f>
        <v>1.95</v>
      </c>
      <c r="BR216" s="33" cm="1">
        <f t="array" ref="BR216">IF(VLOOKUP($R216,武学奇术!$A:$ZZ,24,FALSE)=1,100%,MIN(40%,$B$10+VLOOKUP($R216,武学奇术!$A:$ZZ,19,FALSE)+SUM(_xlfn.XLOOKUP($S216:$AL216,增益!$A:$A,增益!$S:$S,0)))+$B$12+SUM(_xlfn.XLOOKUP($S216:$AL216,增益!$A:$A,增益!$V:$V,0)))*IF(VLOOKUP($R216,武学奇术!$A:$ZZ,23,FALSE)=1,0,1)</f>
        <v>0.0913</v>
      </c>
      <c r="BS216" s="33" cm="1">
        <f t="array" ref="BS216">1+$B$14+VLOOKUP($R216,武学奇术!$A:$ZZ,20,FALSE)+SUM(_xlfn.XLOOKUP($S216:$AL216,增益!$A:$A,增益!$T:$T,0))</f>
        <v>1.35</v>
      </c>
      <c r="BT216" s="33">
        <f t="shared" si="130"/>
        <v>0.86580831</v>
      </c>
      <c r="BU216" s="33">
        <f t="shared" si="131"/>
        <v>0.02208246</v>
      </c>
      <c r="BV216" s="33">
        <f>IF(VLOOKUP($R216,武学奇术!$A:$ZZ,22,FALSE)=1,0,(1-$BO216))*(1-$BR216)</f>
        <v>0.02080923</v>
      </c>
      <c r="BW216" s="33" cm="1">
        <f t="array" ref="BW216">SUM(_xlfn.XLOOKUP($S216:$AL216,增益!$A:$A,增益!$W:$W,0))+$I$5</f>
        <v>0.31</v>
      </c>
      <c r="BX216" s="33" cm="1">
        <f t="array" ref="BX216">VLOOKUP($R216,武学奇术!$A:$ZZ,32,FALSE)+SUM(_xlfn.XLOOKUP($S216:$AL216,增益!$A:$A,增益!$X:$X,0))</f>
        <v>0</v>
      </c>
    </row>
    <row r="217" spans="12:76">
      <c r="L217" s="46">
        <f t="shared" si="120"/>
        <v>0</v>
      </c>
      <c r="M217" s="46">
        <f>((($AT217+$AU217)/2*$AN217+$AO217)*(1+$AV217)*(1+$AW217)+(($AY217+$AZ217)/2*IF($G$1="鸣金",$AP217,$AN217)+IF($G$1="鸣金",$AQ217*1.5,0))*(1+$BA217)*(1+$BB217)+(($BC217+$BD217)/2*IF($G$1="裂石",$AP217,$AN217)+IF($G$1="裂石",$AQ217*1.5,0))*(1+$BE217)*(1+$BF217)+(($BG217+$BH217)/2*IF($G$1="牵丝",$AP217,$AN217)+IF($G$1="牵丝",$AQ217*1.5,0))*(1+$BI217)*(1+$BJ217)+(($BK217+$BL217)/2*IF($G$1="破竹",$AP217,$AN217)+IF($G$1="破竹",$AQ217*1.5,0))*(1+$BM217)*(1+$BN217))*(1+$AR217)*$BQ217*$Q217*(1+IF(VLOOKUP($R217,武学奇术!$A:$ZZ,30,FALSE)="蓄力技",$B$21,0))*(1+IF(VLOOKUP($R217,武学奇术!$A:$ZZ,30,FALSE)="派生技",$B$20,0))*(1+$BW217)*(1+$BX217)</f>
        <v>0</v>
      </c>
      <c r="N217" s="46">
        <f>(($AU217*$AN217+$AO217)*(1+$AV217)*(1+$AW217)+($AZ217*IF($G$1="鸣金",$AP217,$AN217)+IF($G$1="鸣金",$AQ217*1.5,0))*(1+$BA217)*(1+$BB217)+($BD217*IF($G$1="裂石",$AP217,$AN217)+IF($G$1="裂石",$AQ217*1.5,0))*(1+$BE217)*(1+$BF217)+($BH217*IF($G$1="牵丝",$AP217,$AN217)+IF($G$1="牵丝",$AQ217*1.5,0))*(1+$BI217)*(1+$BJ217)+($BL217*IF($G$1="破竹",$AP217,$AN217)+IF($G$1="破竹",$AQ217*1.5,0))*(1+$BM217)*(1+$BN217))*(1+$AR217)*$BS217*$Q217*(1+IF(VLOOKUP($R217,武学奇术!$A:$ZZ,30,FALSE)="蓄力技",$B$21,0))*(1+IF(VLOOKUP($R217,武学奇术!$A:$ZZ,30,FALSE)="派生技",$B$20,0))*(1+$BW217)*(1+$BX217)</f>
        <v>0</v>
      </c>
      <c r="O217" s="46">
        <f>((($AT217+$AU217)/2*$AN217+$AO217)*(1+$AV217)*(1+$AW217)+(($AY217+$AZ217)/2*IF($G$1="鸣金",$AP217,$AN217)+IF($G$1="鸣金",$AQ217*1.5,0))*(1+$BA217)*(1+$BB217)+(($BC217+$BD217)/2*IF($G$1="裂石",$AP217,$AN217)+IF($G$1="裂石",$AQ217*1.5,0))*(1+$BE217)*(1+$BF217)+(($BG217+$BH217)/2*IF($G$1="牵丝",$AP217,$AN217)+IF($G$1="牵丝",$AQ217*1.5,0))*(1+$BI217)*(1+$BJ217)+(($BK217+$BL217)/2*IF($G$1="破竹",$AP217,$AN217)+IF($G$1="破竹",$AQ217*1.5,0))*(1+$BM217)*(1+$BN217))*(1+$AR217)*$Q217*(1+IF(VLOOKUP($R217,武学奇术!$A:$ZZ,30,FALSE)="蓄力技",$B$21,0))*(1+IF(VLOOKUP($R217,武学奇术!$A:$ZZ,30,FALSE)="派生技",$B$20,0))*(1+$BW217)*(1+$BX217)</f>
        <v>0</v>
      </c>
      <c r="P217" s="46">
        <f>((($AT217*$AN217+$AO217)*(1+$AV217)*(1+$AW217)+($AY217*IF($G$1="鸣金",$AP217,$AN217)+IF($G$1="鸣金",$AQ217*1.5,0))*(1+$BA217)*(1+$BB217)+($BC217*IF($G$1="裂石",$AP217,$AN217)+IF($G$1="裂石",$AQ217*1.5,0))*(1+$BE217)*(1+$BF217)+($BG217*IF($G$1="牵丝",$AP217,$AN217)+IF($G$1="牵丝",$AQ217*1.5,0))*(1+$BI217)*(1+$BJ217)+($BK217*IF($G$1="破竹",$AP217,$AN217)+IF($G$1="破竹",$AQ217*1.5,0))*(1+$BM217)*(1+$BN217))*(1+$AR217))*$Q217*(1+IF(VLOOKUP($R217,武学奇术!$A:$ZZ,30,FALSE)="蓄力技",$B$21,0))*(1+IF(VLOOKUP($R217,武学奇术!$A:$ZZ,30,FALSE)="派生技",$B$20,0))*(1+$BW217)*(1+$BX217)</f>
        <v>0</v>
      </c>
      <c r="Q217" s="47">
        <f t="shared" si="121"/>
        <v>0</v>
      </c>
      <c r="R217" s="48" t="s">
        <v>197</v>
      </c>
      <c r="S217" s="48" t="s">
        <v>99</v>
      </c>
      <c r="T217" s="48" t="s">
        <v>182</v>
      </c>
      <c r="U217" s="48" t="s">
        <v>79</v>
      </c>
      <c r="V217" s="48" t="s">
        <v>90</v>
      </c>
      <c r="W217" s="48" t="s">
        <v>91</v>
      </c>
      <c r="X217" s="48" t="s">
        <v>80</v>
      </c>
      <c r="Y217" s="48" t="s">
        <v>80</v>
      </c>
      <c r="Z217" s="48" t="s">
        <v>80</v>
      </c>
      <c r="AA217" s="48" t="s">
        <v>80</v>
      </c>
      <c r="AB217" s="48" t="s">
        <v>80</v>
      </c>
      <c r="AC217" s="48" t="s">
        <v>193</v>
      </c>
      <c r="AD217" s="48" t="s">
        <v>80</v>
      </c>
      <c r="AE217" s="48" t="s">
        <v>82</v>
      </c>
      <c r="AF217" s="48" t="s">
        <v>83</v>
      </c>
      <c r="AG217" s="48" t="s">
        <v>84</v>
      </c>
      <c r="AH217" s="48" t="s">
        <v>80</v>
      </c>
      <c r="AI217" s="48" t="s">
        <v>80</v>
      </c>
      <c r="AJ217" s="48" t="s">
        <v>80</v>
      </c>
      <c r="AK217" s="48" t="s">
        <v>80</v>
      </c>
      <c r="AL217" s="48" t="s">
        <v>85</v>
      </c>
      <c r="AM217" t="str">
        <f>VLOOKUP($R217,武学奇术!$A:$ZZ,25,FALSE)</f>
        <v>横刀</v>
      </c>
      <c r="AN217" s="33">
        <f>VLOOKUP($R217,武学奇术!$A:$ZZ,26,FALSE)</f>
        <v>2.4495</v>
      </c>
      <c r="AO217" s="34">
        <f>VLOOKUP($R217,武学奇术!$A:$ZZ,27,FALSE)*(1+IF(OR($AM217=$F$4,$AM217=$F$5),$B$22,0))</f>
        <v>1083.2</v>
      </c>
      <c r="AP217" s="33">
        <f>VLOOKUP($R217,武学奇术!$A:$ZZ,28,FALSE)</f>
        <v>3.6743</v>
      </c>
      <c r="AQ217" s="34">
        <f>VLOOKUP($R217,武学奇术!$A:$ZZ,29,FALSE)*(1+IF(OR($AM217=$F$4,$AM217=$F$5),$B$22,0))</f>
        <v>588.8</v>
      </c>
      <c r="AR217" s="33" cm="1">
        <f t="array" ref="AR217">$G$3+IFERROR(VLOOKUP($AM217,$F$4:$G$7,2,FALSE),0)+VLOOKUP($R217,武学奇术!$A:$ZZ,2,FALSE)+SUM(_xlfn.XLOOKUP($S217:$AL217,增益!$A:$A,增益!$B:$B,0))</f>
        <v>0.5289</v>
      </c>
      <c r="AS217" s="33" cm="1">
        <f t="array" ref="AS217">VLOOKUP($R217,武学奇术!$A:$ZZ,5,FALSE)+SUM(_xlfn.XLOOKUP($S217:$AL217,增益!$A:$A,增益!$E:$E,0))</f>
        <v>0</v>
      </c>
      <c r="AT217" cm="1">
        <f t="array" ref="AT217">$D$10*(1+$AS217)+VLOOKUP($R217,武学奇术!$A:$ZZ,3,FALSE)+SUM(_xlfn.XLOOKUP($S217:$AL217,增益!$A:$A,增益!$C:$C,0))-$I$2</f>
        <v>4094.7</v>
      </c>
      <c r="AU217" cm="1">
        <f t="array" ref="AU217">$E$10*(1+$AS217)+VLOOKUP($R217,武学奇术!$A:$ZZ,4,FALSE)+SUM(_xlfn.XLOOKUP($S217:$AL217,增益!$A:$A,增益!$D:$D,0))-$I$2</f>
        <v>4094.7</v>
      </c>
      <c r="AV217" s="40" cm="1">
        <f t="array" ref="AV217">IF($F$10-$I$3+VLOOKUP($R217,武学奇术!$A:$ZZ,6,FALSE)+SUM(_xlfn.XLOOKUP($S217:$AL217,增益!$A:$A,增益!$F:$F,0))&gt;0,($F$10-$I$3+VLOOKUP($R217,武学奇术!$A:$ZZ,6,FALSE)+SUM(_xlfn.XLOOKUP($S217:$AL217,增益!$A:$A,增益!$F:$F,0)))/200,($F$10-$I$3+VLOOKUP($R217,武学奇术!$A:$ZZ,6,FALSE)+SUM(_xlfn.XLOOKUP($S217:$AL217,增益!$A:$A,增益!$F:$F,0)))/100)</f>
        <v>0.4134</v>
      </c>
      <c r="AW217" s="40" cm="1">
        <f t="array" ref="AW217">$G$10+VLOOKUP($R217,武学奇术!$A:$ZZ,7,FALSE)+SUM(_xlfn.XLOOKUP($S217:$AL217,增益!$A:$A,增益!$G:$G,0))</f>
        <v>0.14</v>
      </c>
      <c r="AX217" s="33" cm="1">
        <f t="array" ref="AX217">VLOOKUP($R217,武学奇术!$A:$ZZ,8,FALSE)+SUM(_xlfn.XLOOKUP($S217:$AL217,增益!$A:$A,增益!$H:$H,0))</f>
        <v>0</v>
      </c>
      <c r="AY217">
        <f t="shared" si="122"/>
        <v>0</v>
      </c>
      <c r="AZ217">
        <f t="shared" si="123"/>
        <v>0</v>
      </c>
      <c r="BA217" s="40" cm="1">
        <f t="array" ref="BA217">IF($F$11-$I$4+VLOOKUP($R217,武学奇术!$A:$ZZ,9,FALSE)+SUM(_xlfn.XLOOKUP($S217:$AL217,增益!$A:$A,增益!$I:$I,0))&gt;0,($F$11-$I$4+VLOOKUP($R217,武学奇术!$A:$ZZ,9,FALSE)+SUM(_xlfn.XLOOKUP($S217:$AL217,增益!$A:$A,增益!$I:$I,0)))/200,($F$11-$I$4+VLOOKUP($R217,武学奇术!$A:$ZZ,9,FALSE)+SUM(_xlfn.XLOOKUP($S217:$AL217,增益!$A:$A,增益!$I:$I,0)))/100)</f>
        <v>-0.14</v>
      </c>
      <c r="BB217" s="40" cm="1">
        <f t="array" ref="BB217">$G$11+VLOOKUP($R217,武学奇术!$A:$ZZ,10,FALSE)+SUM(_xlfn.XLOOKUP($S217:$AL217,增益!$A:$A,增益!$J:$J,0))</f>
        <v>0.02</v>
      </c>
      <c r="BC217">
        <f t="shared" si="124"/>
        <v>640.3</v>
      </c>
      <c r="BD217">
        <f t="shared" si="125"/>
        <v>1770.1</v>
      </c>
      <c r="BE217" s="40" cm="1">
        <f t="array" ref="BE217">IF($F$12-$I$4+VLOOKUP($R217,武学奇术!$A:$ZZ,11,FALSE)+SUM(_xlfn.XLOOKUP($S217:$AL217,增益!$A:$A,增益!$K:$K,0))&gt;0,($F$12-$I$4+VLOOKUP($R217,武学奇术!$A:$ZZ,11,FALSE)+SUM(_xlfn.XLOOKUP($S217:$AL217,增益!$A:$A,增益!$K:$K,0)))/200,($F$12-$I$4+VLOOKUP($R217,武学奇术!$A:$ZZ,11,FALSE)+SUM(_xlfn.XLOOKUP($S217:$AL217,增益!$A:$A,增益!$K:$K,0)))/100)</f>
        <v>0.17</v>
      </c>
      <c r="BF217" s="40" cm="1">
        <f t="array" ref="BF217">$G$12+VLOOKUP($R217,武学奇术!$A:$ZZ,12,FALSE)+SUM(_xlfn.XLOOKUP($S217:$AL217,增益!$A:$A,增益!$L:$L,0))</f>
        <v>0.29</v>
      </c>
      <c r="BG217">
        <f t="shared" si="126"/>
        <v>0</v>
      </c>
      <c r="BH217">
        <f t="shared" si="127"/>
        <v>0</v>
      </c>
      <c r="BI217" s="40" cm="1">
        <f t="array" ref="BI217">IF($F$13-$I$4+VLOOKUP($R217,武学奇术!$A:$ZZ,13,FALSE)+SUM(_xlfn.XLOOKUP($S217:$AL217,增益!$A:$A,增益!$M:$M,0))&gt;0,($F$13-$I$4+VLOOKUP($R217,武学奇术!$A:$ZZ,13,FALSE)+SUM(_xlfn.XLOOKUP($S217:$AL217,增益!$A:$A,增益!$K:$K,0)))/200,($F$13-$I$4+VLOOKUP($R217,武学奇术!$A:$ZZ,13,FALSE)+SUM(_xlfn.XLOOKUP($S217:$AL217,增益!$A:$A,增益!$M:$M,0)))/100)</f>
        <v>-0.14</v>
      </c>
      <c r="BJ217" s="40" cm="1">
        <f t="array" ref="BJ217">$G$13+VLOOKUP($R217,武学奇术!$A:$ZZ,14,FALSE)+SUM(_xlfn.XLOOKUP($S217:$AL217,增益!$A:$A,增益!$N:$N,0))</f>
        <v>0.02</v>
      </c>
      <c r="BK217">
        <f t="shared" si="128"/>
        <v>0</v>
      </c>
      <c r="BL217">
        <f t="shared" si="129"/>
        <v>0</v>
      </c>
      <c r="BM217" s="40" cm="1">
        <f t="array" ref="BM217">IF($F$14-$I$4+VLOOKUP($R217,武学奇术!$A:$ZZ,15,FALSE)+SUM(_xlfn.XLOOKUP($S217:$AL217,增益!$A:$A,增益!$O:$O,0))&gt;0,($F$14-$I$4+VLOOKUP($R217,武学奇术!$A:$ZZ,15,FALSE)+SUM(_xlfn.XLOOKUP($S217:$AL217,增益!$A:$A,增益!$O:$O,0)))/200,($F$14-$I$4+VLOOKUP($R217,武学奇术!$A:$ZZ,15,FALSE)+SUM(_xlfn.XLOOKUP($S217:$AL217,增益!$A:$A,增益!$O:$O,0)))/100)</f>
        <v>-0.14</v>
      </c>
      <c r="BN217" s="40" cm="1">
        <f t="array" ref="BN217">$G$14+VLOOKUP($R217,武学奇术!$A:$ZZ,16,FALSE)+SUM(_xlfn.XLOOKUP($S217:$AL217,增益!$A:$A,增益!$P:$P,0))</f>
        <v>0.02</v>
      </c>
      <c r="BO217" s="33">
        <f>MIN(IF(VLOOKUP($R217,武学奇术!$A:$ZZ,23,FALSE)=1,100%,$B$8),100%)</f>
        <v>0.9771</v>
      </c>
      <c r="BP217" s="33" cm="1">
        <f t="array" ref="BP217">IF(VLOOKUP($R217,武学奇术!$A:$ZZ,23,FALSE)=1,100%,MIN(80%,$B$9+VLOOKUP($R217,武学奇术!$A:$ZZ,17,FALSE)+SUM(_xlfn.XLOOKUP($S217:$AL217,增益!$A:$A,增益!$Q:$Q,0)))+$B$11+SUM(_xlfn.XLOOKUP($S217:$AL217,增益!$A:$A,增益!$U:$U,0)))*IF(VLOOKUP($R217,武学奇术!$A:$ZZ,24,FALSE)=1,0,1)</f>
        <v>0.8861</v>
      </c>
      <c r="BQ217" s="33" cm="1">
        <f t="array" ref="BQ217">1+$B$13+VLOOKUP($R217,武学奇术!$A:$ZZ,18,FALSE)+SUM(_xlfn.XLOOKUP($S217:$AL217,增益!$A:$A,增益!$R:$R,0))</f>
        <v>1.95</v>
      </c>
      <c r="BR217" s="33" cm="1">
        <f t="array" ref="BR217">IF(VLOOKUP($R217,武学奇术!$A:$ZZ,24,FALSE)=1,100%,MIN(40%,$B$10+VLOOKUP($R217,武学奇术!$A:$ZZ,19,FALSE)+SUM(_xlfn.XLOOKUP($S217:$AL217,增益!$A:$A,增益!$S:$S,0)))+$B$12+SUM(_xlfn.XLOOKUP($S217:$AL217,增益!$A:$A,增益!$V:$V,0)))*IF(VLOOKUP($R217,武学奇术!$A:$ZZ,23,FALSE)=1,0,1)</f>
        <v>0.0913</v>
      </c>
      <c r="BS217" s="33" cm="1">
        <f t="array" ref="BS217">1+$B$14+VLOOKUP($R217,武学奇术!$A:$ZZ,20,FALSE)+SUM(_xlfn.XLOOKUP($S217:$AL217,增益!$A:$A,增益!$T:$T,0))</f>
        <v>1.35</v>
      </c>
      <c r="BT217" s="33">
        <f t="shared" si="130"/>
        <v>0.86580831</v>
      </c>
      <c r="BU217" s="33">
        <f t="shared" si="131"/>
        <v>0.02208246</v>
      </c>
      <c r="BV217" s="33">
        <f>IF(VLOOKUP($R217,武学奇术!$A:$ZZ,22,FALSE)=1,0,(1-$BO217))*(1-$BR217)</f>
        <v>0.02080923</v>
      </c>
      <c r="BW217" s="33" cm="1">
        <f t="array" ref="BW217">SUM(_xlfn.XLOOKUP($S217:$AL217,增益!$A:$A,增益!$W:$W,0))+$I$5</f>
        <v>0.11</v>
      </c>
      <c r="BX217" s="33" cm="1">
        <f t="array" ref="BX217">VLOOKUP($R217,武学奇术!$A:$ZZ,32,FALSE)+SUM(_xlfn.XLOOKUP($S217:$AL217,增益!$A:$A,增益!$X:$X,0))</f>
        <v>0</v>
      </c>
    </row>
    <row r="218" spans="12:76">
      <c r="L218" s="46">
        <f t="shared" si="120"/>
        <v>0</v>
      </c>
      <c r="M218" s="46">
        <f>((($AT218+$AU218)/2*$AN218+$AO218)*(1+$AV218)*(1+$AW218)+(($AY218+$AZ218)/2*IF($G$1="鸣金",$AP218,$AN218)+IF($G$1="鸣金",$AQ218*1.5,0))*(1+$BA218)*(1+$BB218)+(($BC218+$BD218)/2*IF($G$1="裂石",$AP218,$AN218)+IF($G$1="裂石",$AQ218*1.5,0))*(1+$BE218)*(1+$BF218)+(($BG218+$BH218)/2*IF($G$1="牵丝",$AP218,$AN218)+IF($G$1="牵丝",$AQ218*1.5,0))*(1+$BI218)*(1+$BJ218)+(($BK218+$BL218)/2*IF($G$1="破竹",$AP218,$AN218)+IF($G$1="破竹",$AQ218*1.5,0))*(1+$BM218)*(1+$BN218))*(1+$AR218)*$BQ218*$Q218*(1+IF(VLOOKUP($R218,武学奇术!$A:$ZZ,30,FALSE)="蓄力技",$B$21,0))*(1+IF(VLOOKUP($R218,武学奇术!$A:$ZZ,30,FALSE)="派生技",$B$20,0))*(1+$BW218)*(1+$BX218)</f>
        <v>0</v>
      </c>
      <c r="N218" s="46">
        <f>(($AU218*$AN218+$AO218)*(1+$AV218)*(1+$AW218)+($AZ218*IF($G$1="鸣金",$AP218,$AN218)+IF($G$1="鸣金",$AQ218*1.5,0))*(1+$BA218)*(1+$BB218)+($BD218*IF($G$1="裂石",$AP218,$AN218)+IF($G$1="裂石",$AQ218*1.5,0))*(1+$BE218)*(1+$BF218)+($BH218*IF($G$1="牵丝",$AP218,$AN218)+IF($G$1="牵丝",$AQ218*1.5,0))*(1+$BI218)*(1+$BJ218)+($BL218*IF($G$1="破竹",$AP218,$AN218)+IF($G$1="破竹",$AQ218*1.5,0))*(1+$BM218)*(1+$BN218))*(1+$AR218)*$BS218*$Q218*(1+IF(VLOOKUP($R218,武学奇术!$A:$ZZ,30,FALSE)="蓄力技",$B$21,0))*(1+IF(VLOOKUP($R218,武学奇术!$A:$ZZ,30,FALSE)="派生技",$B$20,0))*(1+$BW218)*(1+$BX218)</f>
        <v>0</v>
      </c>
      <c r="O218" s="46">
        <f>((($AT218+$AU218)/2*$AN218+$AO218)*(1+$AV218)*(1+$AW218)+(($AY218+$AZ218)/2*IF($G$1="鸣金",$AP218,$AN218)+IF($G$1="鸣金",$AQ218*1.5,0))*(1+$BA218)*(1+$BB218)+(($BC218+$BD218)/2*IF($G$1="裂石",$AP218,$AN218)+IF($G$1="裂石",$AQ218*1.5,0))*(1+$BE218)*(1+$BF218)+(($BG218+$BH218)/2*IF($G$1="牵丝",$AP218,$AN218)+IF($G$1="牵丝",$AQ218*1.5,0))*(1+$BI218)*(1+$BJ218)+(($BK218+$BL218)/2*IF($G$1="破竹",$AP218,$AN218)+IF($G$1="破竹",$AQ218*1.5,0))*(1+$BM218)*(1+$BN218))*(1+$AR218)*$Q218*(1+IF(VLOOKUP($R218,武学奇术!$A:$ZZ,30,FALSE)="蓄力技",$B$21,0))*(1+IF(VLOOKUP($R218,武学奇术!$A:$ZZ,30,FALSE)="派生技",$B$20,0))*(1+$BW218)*(1+$BX218)</f>
        <v>0</v>
      </c>
      <c r="P218" s="46">
        <f>((($AT218*$AN218+$AO218)*(1+$AV218)*(1+$AW218)+($AY218*IF($G$1="鸣金",$AP218,$AN218)+IF($G$1="鸣金",$AQ218*1.5,0))*(1+$BA218)*(1+$BB218)+($BC218*IF($G$1="裂石",$AP218,$AN218)+IF($G$1="裂石",$AQ218*1.5,0))*(1+$BE218)*(1+$BF218)+($BG218*IF($G$1="牵丝",$AP218,$AN218)+IF($G$1="牵丝",$AQ218*1.5,0))*(1+$BI218)*(1+$BJ218)+($BK218*IF($G$1="破竹",$AP218,$AN218)+IF($G$1="破竹",$AQ218*1.5,0))*(1+$BM218)*(1+$BN218))*(1+$AR218))*$Q218*(1+IF(VLOOKUP($R218,武学奇术!$A:$ZZ,30,FALSE)="蓄力技",$B$21,0))*(1+IF(VLOOKUP($R218,武学奇术!$A:$ZZ,30,FALSE)="派生技",$B$20,0))*(1+$BW218)*(1+$BX218)</f>
        <v>0</v>
      </c>
      <c r="Q218" s="47">
        <f t="shared" si="121"/>
        <v>0</v>
      </c>
      <c r="R218" s="48" t="s">
        <v>199</v>
      </c>
      <c r="S218" s="48" t="s">
        <v>99</v>
      </c>
      <c r="T218" s="48" t="s">
        <v>182</v>
      </c>
      <c r="U218" s="48" t="s">
        <v>79</v>
      </c>
      <c r="V218" s="48" t="s">
        <v>90</v>
      </c>
      <c r="W218" s="48" t="s">
        <v>141</v>
      </c>
      <c r="X218" s="48" t="s">
        <v>80</v>
      </c>
      <c r="Y218" s="48" t="s">
        <v>74</v>
      </c>
      <c r="Z218" s="48" t="s">
        <v>80</v>
      </c>
      <c r="AA218" s="48" t="s">
        <v>80</v>
      </c>
      <c r="AB218" s="48" t="s">
        <v>80</v>
      </c>
      <c r="AC218" s="48" t="s">
        <v>193</v>
      </c>
      <c r="AD218" s="48" t="s">
        <v>80</v>
      </c>
      <c r="AE218" s="48" t="s">
        <v>82</v>
      </c>
      <c r="AF218" s="48" t="s">
        <v>83</v>
      </c>
      <c r="AG218" s="48" t="s">
        <v>84</v>
      </c>
      <c r="AH218" s="48" t="s">
        <v>80</v>
      </c>
      <c r="AI218" s="48" t="s">
        <v>80</v>
      </c>
      <c r="AJ218" s="48" t="s">
        <v>80</v>
      </c>
      <c r="AK218" s="48" t="s">
        <v>80</v>
      </c>
      <c r="AL218" s="48" t="s">
        <v>85</v>
      </c>
      <c r="AM218" t="str">
        <f>VLOOKUP($R218,武学奇术!$A:$ZZ,25,FALSE)</f>
        <v>横刀</v>
      </c>
      <c r="AN218" s="33">
        <f>VLOOKUP($R218,武学奇术!$A:$ZZ,26,FALSE)</f>
        <v>2.8245</v>
      </c>
      <c r="AO218" s="34">
        <f>VLOOKUP($R218,武学奇术!$A:$ZZ,27,FALSE)*(1+IF(OR($AM218=$F$4,$AM218=$F$5),$B$22,0))</f>
        <v>1251.2</v>
      </c>
      <c r="AP218" s="33">
        <f>VLOOKUP($R218,武学奇术!$A:$ZZ,28,FALSE)</f>
        <v>4.236808</v>
      </c>
      <c r="AQ218" s="34">
        <f>VLOOKUP($R218,武学奇术!$A:$ZZ,29,FALSE)*(1+IF(OR($AM218=$F$4,$AM218=$F$5),$B$22,0))</f>
        <v>680</v>
      </c>
      <c r="AR218" s="33" cm="1">
        <f t="array" ref="AR218">$G$3+IFERROR(VLOOKUP($AM218,$F$4:$G$7,2,FALSE),0)+VLOOKUP($R218,武学奇术!$A:$ZZ,2,FALSE)+SUM(_xlfn.XLOOKUP($S218:$AL218,增益!$A:$A,增益!$B:$B,0))</f>
        <v>0.7089</v>
      </c>
      <c r="AS218" s="33" cm="1">
        <f t="array" ref="AS218">VLOOKUP($R218,武学奇术!$A:$ZZ,5,FALSE)+SUM(_xlfn.XLOOKUP($S218:$AL218,增益!$A:$A,增益!$E:$E,0))</f>
        <v>0</v>
      </c>
      <c r="AT218" cm="1">
        <f t="array" ref="AT218">$D$10*(1+$AS218)+VLOOKUP($R218,武学奇术!$A:$ZZ,3,FALSE)+SUM(_xlfn.XLOOKUP($S218:$AL218,增益!$A:$A,增益!$C:$C,0))-$I$2</f>
        <v>4094.7</v>
      </c>
      <c r="AU218" cm="1">
        <f t="array" ref="AU218">$E$10*(1+$AS218)+VLOOKUP($R218,武学奇术!$A:$ZZ,4,FALSE)+SUM(_xlfn.XLOOKUP($S218:$AL218,增益!$A:$A,增益!$D:$D,0))-$I$2</f>
        <v>4094.7</v>
      </c>
      <c r="AV218" s="40" cm="1">
        <f t="array" ref="AV218">IF($F$10-$I$3+VLOOKUP($R218,武学奇术!$A:$ZZ,6,FALSE)+SUM(_xlfn.XLOOKUP($S218:$AL218,增益!$A:$A,增益!$F:$F,0))&gt;0,($F$10-$I$3+VLOOKUP($R218,武学奇术!$A:$ZZ,6,FALSE)+SUM(_xlfn.XLOOKUP($S218:$AL218,增益!$A:$A,增益!$F:$F,0)))/200,($F$10-$I$3+VLOOKUP($R218,武学奇术!$A:$ZZ,6,FALSE)+SUM(_xlfn.XLOOKUP($S218:$AL218,增益!$A:$A,增益!$F:$F,0)))/100)</f>
        <v>0.4384</v>
      </c>
      <c r="AW218" s="40" cm="1">
        <f t="array" ref="AW218">$G$10+VLOOKUP($R218,武学奇术!$A:$ZZ,7,FALSE)+SUM(_xlfn.XLOOKUP($S218:$AL218,增益!$A:$A,增益!$G:$G,0))</f>
        <v>0.14</v>
      </c>
      <c r="AX218" s="33" cm="1">
        <f t="array" ref="AX218">VLOOKUP($R218,武学奇术!$A:$ZZ,8,FALSE)+SUM(_xlfn.XLOOKUP($S218:$AL218,增益!$A:$A,增益!$H:$H,0))</f>
        <v>0</v>
      </c>
      <c r="AY218">
        <f t="shared" si="122"/>
        <v>0</v>
      </c>
      <c r="AZ218">
        <f t="shared" si="123"/>
        <v>0</v>
      </c>
      <c r="BA218" s="40" cm="1">
        <f t="array" ref="BA218">IF($F$11-$I$4+VLOOKUP($R218,武学奇术!$A:$ZZ,9,FALSE)+SUM(_xlfn.XLOOKUP($S218:$AL218,增益!$A:$A,增益!$I:$I,0))&gt;0,($F$11-$I$4+VLOOKUP($R218,武学奇术!$A:$ZZ,9,FALSE)+SUM(_xlfn.XLOOKUP($S218:$AL218,增益!$A:$A,增益!$I:$I,0)))/200,($F$11-$I$4+VLOOKUP($R218,武学奇术!$A:$ZZ,9,FALSE)+SUM(_xlfn.XLOOKUP($S218:$AL218,增益!$A:$A,增益!$I:$I,0)))/100)</f>
        <v>-0.14</v>
      </c>
      <c r="BB218" s="40" cm="1">
        <f t="array" ref="BB218">$G$11+VLOOKUP($R218,武学奇术!$A:$ZZ,10,FALSE)+SUM(_xlfn.XLOOKUP($S218:$AL218,增益!$A:$A,增益!$J:$J,0))</f>
        <v>0.02</v>
      </c>
      <c r="BC218">
        <f t="shared" si="124"/>
        <v>640.3</v>
      </c>
      <c r="BD218">
        <f t="shared" si="125"/>
        <v>1770.1</v>
      </c>
      <c r="BE218" s="40" cm="1">
        <f t="array" ref="BE218">IF($F$12-$I$4+VLOOKUP($R218,武学奇术!$A:$ZZ,11,FALSE)+SUM(_xlfn.XLOOKUP($S218:$AL218,增益!$A:$A,增益!$K:$K,0))&gt;0,($F$12-$I$4+VLOOKUP($R218,武学奇术!$A:$ZZ,11,FALSE)+SUM(_xlfn.XLOOKUP($S218:$AL218,增益!$A:$A,增益!$K:$K,0)))/200,($F$12-$I$4+VLOOKUP($R218,武学奇术!$A:$ZZ,11,FALSE)+SUM(_xlfn.XLOOKUP($S218:$AL218,增益!$A:$A,增益!$K:$K,0)))/100)</f>
        <v>0.17</v>
      </c>
      <c r="BF218" s="40" cm="1">
        <f t="array" ref="BF218">$G$12+VLOOKUP($R218,武学奇术!$A:$ZZ,12,FALSE)+SUM(_xlfn.XLOOKUP($S218:$AL218,增益!$A:$A,增益!$L:$L,0))</f>
        <v>0.29</v>
      </c>
      <c r="BG218">
        <f t="shared" si="126"/>
        <v>0</v>
      </c>
      <c r="BH218">
        <f t="shared" si="127"/>
        <v>0</v>
      </c>
      <c r="BI218" s="40" cm="1">
        <f t="array" ref="BI218">IF($F$13-$I$4+VLOOKUP($R218,武学奇术!$A:$ZZ,13,FALSE)+SUM(_xlfn.XLOOKUP($S218:$AL218,增益!$A:$A,增益!$M:$M,0))&gt;0,($F$13-$I$4+VLOOKUP($R218,武学奇术!$A:$ZZ,13,FALSE)+SUM(_xlfn.XLOOKUP($S218:$AL218,增益!$A:$A,增益!$K:$K,0)))/200,($F$13-$I$4+VLOOKUP($R218,武学奇术!$A:$ZZ,13,FALSE)+SUM(_xlfn.XLOOKUP($S218:$AL218,增益!$A:$A,增益!$M:$M,0)))/100)</f>
        <v>-0.14</v>
      </c>
      <c r="BJ218" s="40" cm="1">
        <f t="array" ref="BJ218">$G$13+VLOOKUP($R218,武学奇术!$A:$ZZ,14,FALSE)+SUM(_xlfn.XLOOKUP($S218:$AL218,增益!$A:$A,增益!$N:$N,0))</f>
        <v>0.02</v>
      </c>
      <c r="BK218">
        <f t="shared" si="128"/>
        <v>0</v>
      </c>
      <c r="BL218">
        <f t="shared" si="129"/>
        <v>0</v>
      </c>
      <c r="BM218" s="40" cm="1">
        <f t="array" ref="BM218">IF($F$14-$I$4+VLOOKUP($R218,武学奇术!$A:$ZZ,15,FALSE)+SUM(_xlfn.XLOOKUP($S218:$AL218,增益!$A:$A,增益!$O:$O,0))&gt;0,($F$14-$I$4+VLOOKUP($R218,武学奇术!$A:$ZZ,15,FALSE)+SUM(_xlfn.XLOOKUP($S218:$AL218,增益!$A:$A,增益!$O:$O,0)))/200,($F$14-$I$4+VLOOKUP($R218,武学奇术!$A:$ZZ,15,FALSE)+SUM(_xlfn.XLOOKUP($S218:$AL218,增益!$A:$A,增益!$O:$O,0)))/100)</f>
        <v>-0.14</v>
      </c>
      <c r="BN218" s="40" cm="1">
        <f t="array" ref="BN218">$G$14+VLOOKUP($R218,武学奇术!$A:$ZZ,16,FALSE)+SUM(_xlfn.XLOOKUP($S218:$AL218,增益!$A:$A,增益!$P:$P,0))</f>
        <v>0.02</v>
      </c>
      <c r="BO218" s="33">
        <f>MIN(IF(VLOOKUP($R218,武学奇术!$A:$ZZ,23,FALSE)=1,100%,$B$8),100%)</f>
        <v>0.9771</v>
      </c>
      <c r="BP218" s="33" cm="1">
        <f t="array" ref="BP218">IF(VLOOKUP($R218,武学奇术!$A:$ZZ,23,FALSE)=1,100%,MIN(80%,$B$9+VLOOKUP($R218,武学奇术!$A:$ZZ,17,FALSE)+SUM(_xlfn.XLOOKUP($S218:$AL218,增益!$A:$A,增益!$Q:$Q,0)))+$B$11+SUM(_xlfn.XLOOKUP($S218:$AL218,增益!$A:$A,增益!$U:$U,0)))*IF(VLOOKUP($R218,武学奇术!$A:$ZZ,24,FALSE)=1,0,1)</f>
        <v>0.8861</v>
      </c>
      <c r="BQ218" s="33" cm="1">
        <f t="array" ref="BQ218">1+$B$13+VLOOKUP($R218,武学奇术!$A:$ZZ,18,FALSE)+SUM(_xlfn.XLOOKUP($S218:$AL218,增益!$A:$A,增益!$R:$R,0))</f>
        <v>2</v>
      </c>
      <c r="BR218" s="33" cm="1">
        <f t="array" ref="BR218">IF(VLOOKUP($R218,武学奇术!$A:$ZZ,24,FALSE)=1,100%,MIN(40%,$B$10+VLOOKUP($R218,武学奇术!$A:$ZZ,19,FALSE)+SUM(_xlfn.XLOOKUP($S218:$AL218,增益!$A:$A,增益!$S:$S,0)))+$B$12+SUM(_xlfn.XLOOKUP($S218:$AL218,增益!$A:$A,增益!$V:$V,0)))*IF(VLOOKUP($R218,武学奇术!$A:$ZZ,23,FALSE)=1,0,1)</f>
        <v>0.0913</v>
      </c>
      <c r="BS218" s="33" cm="1">
        <f t="array" ref="BS218">1+$B$14+VLOOKUP($R218,武学奇术!$A:$ZZ,20,FALSE)+SUM(_xlfn.XLOOKUP($S218:$AL218,增益!$A:$A,增益!$T:$T,0))</f>
        <v>1.35</v>
      </c>
      <c r="BT218" s="33">
        <f t="shared" si="130"/>
        <v>0.86580831</v>
      </c>
      <c r="BU218" s="33">
        <f t="shared" si="131"/>
        <v>0.02208246</v>
      </c>
      <c r="BV218" s="33">
        <f>IF(VLOOKUP($R218,武学奇术!$A:$ZZ,22,FALSE)=1,0,(1-$BO218))*(1-$BR218)</f>
        <v>0.02080923</v>
      </c>
      <c r="BW218" s="33" cm="1">
        <f t="array" ref="BW218">SUM(_xlfn.XLOOKUP($S218:$AL218,增益!$A:$A,增益!$W:$W,0))+$I$5</f>
        <v>0.11</v>
      </c>
      <c r="BX218" s="33" cm="1">
        <f t="array" ref="BX218">VLOOKUP($R218,武学奇术!$A:$ZZ,32,FALSE)+SUM(_xlfn.XLOOKUP($S218:$AL218,增益!$A:$A,增益!$X:$X,0))</f>
        <v>0</v>
      </c>
    </row>
    <row r="219" spans="12:76">
      <c r="L219" s="46">
        <f t="shared" si="120"/>
        <v>0</v>
      </c>
      <c r="M219" s="46">
        <f>((($AT219+$AU219)/2*$AN219+$AO219)*(1+$AV219)*(1+$AW219)+(($AY219+$AZ219)/2*IF($G$1="鸣金",$AP219,$AN219)+IF($G$1="鸣金",$AQ219*1.5,0))*(1+$BA219)*(1+$BB219)+(($BC219+$BD219)/2*IF($G$1="裂石",$AP219,$AN219)+IF($G$1="裂石",$AQ219*1.5,0))*(1+$BE219)*(1+$BF219)+(($BG219+$BH219)/2*IF($G$1="牵丝",$AP219,$AN219)+IF($G$1="牵丝",$AQ219*1.5,0))*(1+$BI219)*(1+$BJ219)+(($BK219+$BL219)/2*IF($G$1="破竹",$AP219,$AN219)+IF($G$1="破竹",$AQ219*1.5,0))*(1+$BM219)*(1+$BN219))*(1+$AR219)*$BQ219*$Q219*(1+IF(VLOOKUP($R219,武学奇术!$A:$ZZ,30,FALSE)="蓄力技",$B$21,0))*(1+IF(VLOOKUP($R219,武学奇术!$A:$ZZ,30,FALSE)="派生技",$B$20,0))*(1+$BW219)*(1+$BX219)</f>
        <v>0</v>
      </c>
      <c r="N219" s="46">
        <f>(($AU219*$AN219+$AO219)*(1+$AV219)*(1+$AW219)+($AZ219*IF($G$1="鸣金",$AP219,$AN219)+IF($G$1="鸣金",$AQ219*1.5,0))*(1+$BA219)*(1+$BB219)+($BD219*IF($G$1="裂石",$AP219,$AN219)+IF($G$1="裂石",$AQ219*1.5,0))*(1+$BE219)*(1+$BF219)+($BH219*IF($G$1="牵丝",$AP219,$AN219)+IF($G$1="牵丝",$AQ219*1.5,0))*(1+$BI219)*(1+$BJ219)+($BL219*IF($G$1="破竹",$AP219,$AN219)+IF($G$1="破竹",$AQ219*1.5,0))*(1+$BM219)*(1+$BN219))*(1+$AR219)*$BS219*$Q219*(1+IF(VLOOKUP($R219,武学奇术!$A:$ZZ,30,FALSE)="蓄力技",$B$21,0))*(1+IF(VLOOKUP($R219,武学奇术!$A:$ZZ,30,FALSE)="派生技",$B$20,0))*(1+$BW219)*(1+$BX219)</f>
        <v>0</v>
      </c>
      <c r="O219" s="46">
        <f>((($AT219+$AU219)/2*$AN219+$AO219)*(1+$AV219)*(1+$AW219)+(($AY219+$AZ219)/2*IF($G$1="鸣金",$AP219,$AN219)+IF($G$1="鸣金",$AQ219*1.5,0))*(1+$BA219)*(1+$BB219)+(($BC219+$BD219)/2*IF($G$1="裂石",$AP219,$AN219)+IF($G$1="裂石",$AQ219*1.5,0))*(1+$BE219)*(1+$BF219)+(($BG219+$BH219)/2*IF($G$1="牵丝",$AP219,$AN219)+IF($G$1="牵丝",$AQ219*1.5,0))*(1+$BI219)*(1+$BJ219)+(($BK219+$BL219)/2*IF($G$1="破竹",$AP219,$AN219)+IF($G$1="破竹",$AQ219*1.5,0))*(1+$BM219)*(1+$BN219))*(1+$AR219)*$Q219*(1+IF(VLOOKUP($R219,武学奇术!$A:$ZZ,30,FALSE)="蓄力技",$B$21,0))*(1+IF(VLOOKUP($R219,武学奇术!$A:$ZZ,30,FALSE)="派生技",$B$20,0))*(1+$BW219)*(1+$BX219)</f>
        <v>0</v>
      </c>
      <c r="P219" s="46">
        <f>((($AT219*$AN219+$AO219)*(1+$AV219)*(1+$AW219)+($AY219*IF($G$1="鸣金",$AP219,$AN219)+IF($G$1="鸣金",$AQ219*1.5,0))*(1+$BA219)*(1+$BB219)+($BC219*IF($G$1="裂石",$AP219,$AN219)+IF($G$1="裂石",$AQ219*1.5,0))*(1+$BE219)*(1+$BF219)+($BG219*IF($G$1="牵丝",$AP219,$AN219)+IF($G$1="牵丝",$AQ219*1.5,0))*(1+$BI219)*(1+$BJ219)+($BK219*IF($G$1="破竹",$AP219,$AN219)+IF($G$1="破竹",$AQ219*1.5,0))*(1+$BM219)*(1+$BN219))*(1+$AR219))*$Q219*(1+IF(VLOOKUP($R219,武学奇术!$A:$ZZ,30,FALSE)="蓄力技",$B$21,0))*(1+IF(VLOOKUP($R219,武学奇术!$A:$ZZ,30,FALSE)="派生技",$B$20,0))*(1+$BW219)*(1+$BX219)</f>
        <v>0</v>
      </c>
      <c r="Q219" s="47">
        <f t="shared" si="121"/>
        <v>0</v>
      </c>
      <c r="R219" s="48" t="s">
        <v>122</v>
      </c>
      <c r="S219" s="48" t="s">
        <v>99</v>
      </c>
      <c r="T219" s="48" t="s">
        <v>182</v>
      </c>
      <c r="U219" s="48" t="s">
        <v>79</v>
      </c>
      <c r="V219" s="48" t="s">
        <v>90</v>
      </c>
      <c r="W219" s="48" t="s">
        <v>141</v>
      </c>
      <c r="X219" s="48" t="s">
        <v>80</v>
      </c>
      <c r="Y219" s="48" t="s">
        <v>74</v>
      </c>
      <c r="Z219" s="48" t="s">
        <v>80</v>
      </c>
      <c r="AA219" s="48" t="s">
        <v>80</v>
      </c>
      <c r="AB219" s="48" t="s">
        <v>80</v>
      </c>
      <c r="AC219" s="48" t="s">
        <v>193</v>
      </c>
      <c r="AD219" s="48" t="s">
        <v>80</v>
      </c>
      <c r="AE219" s="48" t="s">
        <v>82</v>
      </c>
      <c r="AF219" s="48" t="s">
        <v>83</v>
      </c>
      <c r="AG219" s="48" t="s">
        <v>84</v>
      </c>
      <c r="AH219" s="48" t="s">
        <v>80</v>
      </c>
      <c r="AI219" s="48" t="s">
        <v>80</v>
      </c>
      <c r="AJ219" s="48" t="s">
        <v>80</v>
      </c>
      <c r="AK219" s="48" t="s">
        <v>80</v>
      </c>
      <c r="AL219" s="48" t="s">
        <v>85</v>
      </c>
      <c r="AM219" t="str">
        <f>VLOOKUP($R219,武学奇术!$A:$ZZ,25,FALSE)</f>
        <v>横刀</v>
      </c>
      <c r="AN219" s="33">
        <f>VLOOKUP($R219,武学奇术!$A:$ZZ,26,FALSE)</f>
        <v>1.47</v>
      </c>
      <c r="AO219" s="34">
        <f>VLOOKUP($R219,武学奇术!$A:$ZZ,27,FALSE)*(1+IF(OR($AM219=$F$4,$AM219=$F$5),$B$22,0))</f>
        <v>0</v>
      </c>
      <c r="AP219" s="33">
        <f>VLOOKUP($R219,武学奇术!$A:$ZZ,28,FALSE)</f>
        <v>2.205</v>
      </c>
      <c r="AQ219" s="34">
        <f>VLOOKUP($R219,武学奇术!$A:$ZZ,29,FALSE)*(1+IF(OR($AM219=$F$4,$AM219=$F$5),$B$22,0))</f>
        <v>0</v>
      </c>
      <c r="AR219" s="33" cm="1">
        <f t="array" ref="AR219">$G$3+IFERROR(VLOOKUP($AM219,$F$4:$G$7,2,FALSE),0)+VLOOKUP($R219,武学奇术!$A:$ZZ,2,FALSE)+SUM(_xlfn.XLOOKUP($S219:$AL219,增益!$A:$A,增益!$B:$B,0))</f>
        <v>0.6089</v>
      </c>
      <c r="AS219" s="33" cm="1">
        <f t="array" ref="AS219">VLOOKUP($R219,武学奇术!$A:$ZZ,5,FALSE)+SUM(_xlfn.XLOOKUP($S219:$AL219,增益!$A:$A,增益!$E:$E,0))</f>
        <v>0</v>
      </c>
      <c r="AT219" cm="1">
        <f t="array" ref="AT219">$D$10*(1+$AS219)+VLOOKUP($R219,武学奇术!$A:$ZZ,3,FALSE)+SUM(_xlfn.XLOOKUP($S219:$AL219,增益!$A:$A,增益!$C:$C,0))-$I$2</f>
        <v>4094.7</v>
      </c>
      <c r="AU219" cm="1">
        <f t="array" ref="AU219">$E$10*(1+$AS219)+VLOOKUP($R219,武学奇术!$A:$ZZ,4,FALSE)+SUM(_xlfn.XLOOKUP($S219:$AL219,增益!$A:$A,增益!$D:$D,0))-$I$2</f>
        <v>4094.7</v>
      </c>
      <c r="AV219" s="40" cm="1">
        <f t="array" ref="AV219">IF($F$10-$I$3+VLOOKUP($R219,武学奇术!$A:$ZZ,6,FALSE)+SUM(_xlfn.XLOOKUP($S219:$AL219,增益!$A:$A,增益!$F:$F,0))&gt;0,($F$10-$I$3+VLOOKUP($R219,武学奇术!$A:$ZZ,6,FALSE)+SUM(_xlfn.XLOOKUP($S219:$AL219,增益!$A:$A,增益!$F:$F,0)))/200,($F$10-$I$3+VLOOKUP($R219,武学奇术!$A:$ZZ,6,FALSE)+SUM(_xlfn.XLOOKUP($S219:$AL219,增益!$A:$A,增益!$F:$F,0)))/100)</f>
        <v>0.4384</v>
      </c>
      <c r="AW219" s="40" cm="1">
        <f t="array" ref="AW219">$G$10+VLOOKUP($R219,武学奇术!$A:$ZZ,7,FALSE)+SUM(_xlfn.XLOOKUP($S219:$AL219,增益!$A:$A,增益!$G:$G,0))</f>
        <v>0.14</v>
      </c>
      <c r="AX219" s="33" cm="1">
        <f t="array" ref="AX219">VLOOKUP($R219,武学奇术!$A:$ZZ,8,FALSE)+SUM(_xlfn.XLOOKUP($S219:$AL219,增益!$A:$A,增益!$H:$H,0))</f>
        <v>0</v>
      </c>
      <c r="AY219">
        <f t="shared" si="122"/>
        <v>0</v>
      </c>
      <c r="AZ219">
        <f t="shared" si="123"/>
        <v>0</v>
      </c>
      <c r="BA219" s="40" cm="1">
        <f t="array" ref="BA219">IF($F$11-$I$4+VLOOKUP($R219,武学奇术!$A:$ZZ,9,FALSE)+SUM(_xlfn.XLOOKUP($S219:$AL219,增益!$A:$A,增益!$I:$I,0))&gt;0,($F$11-$I$4+VLOOKUP($R219,武学奇术!$A:$ZZ,9,FALSE)+SUM(_xlfn.XLOOKUP($S219:$AL219,增益!$A:$A,增益!$I:$I,0)))/200,($F$11-$I$4+VLOOKUP($R219,武学奇术!$A:$ZZ,9,FALSE)+SUM(_xlfn.XLOOKUP($S219:$AL219,增益!$A:$A,增益!$I:$I,0)))/100)</f>
        <v>-0.14</v>
      </c>
      <c r="BB219" s="40" cm="1">
        <f t="array" ref="BB219">$G$11+VLOOKUP($R219,武学奇术!$A:$ZZ,10,FALSE)+SUM(_xlfn.XLOOKUP($S219:$AL219,增益!$A:$A,增益!$J:$J,0))</f>
        <v>0.02</v>
      </c>
      <c r="BC219">
        <f t="shared" si="124"/>
        <v>640.3</v>
      </c>
      <c r="BD219">
        <f t="shared" si="125"/>
        <v>1770.1</v>
      </c>
      <c r="BE219" s="40" cm="1">
        <f t="array" ref="BE219">IF($F$12-$I$4+VLOOKUP($R219,武学奇术!$A:$ZZ,11,FALSE)+SUM(_xlfn.XLOOKUP($S219:$AL219,增益!$A:$A,增益!$K:$K,0))&gt;0,($F$12-$I$4+VLOOKUP($R219,武学奇术!$A:$ZZ,11,FALSE)+SUM(_xlfn.XLOOKUP($S219:$AL219,增益!$A:$A,增益!$K:$K,0)))/200,($F$12-$I$4+VLOOKUP($R219,武学奇术!$A:$ZZ,11,FALSE)+SUM(_xlfn.XLOOKUP($S219:$AL219,增益!$A:$A,增益!$K:$K,0)))/100)</f>
        <v>0.17</v>
      </c>
      <c r="BF219" s="40" cm="1">
        <f t="array" ref="BF219">$G$12+VLOOKUP($R219,武学奇术!$A:$ZZ,12,FALSE)+SUM(_xlfn.XLOOKUP($S219:$AL219,增益!$A:$A,增益!$L:$L,0))</f>
        <v>0.29</v>
      </c>
      <c r="BG219">
        <f t="shared" si="126"/>
        <v>0</v>
      </c>
      <c r="BH219">
        <f t="shared" si="127"/>
        <v>0</v>
      </c>
      <c r="BI219" s="40" cm="1">
        <f t="array" ref="BI219">IF($F$13-$I$4+VLOOKUP($R219,武学奇术!$A:$ZZ,13,FALSE)+SUM(_xlfn.XLOOKUP($S219:$AL219,增益!$A:$A,增益!$M:$M,0))&gt;0,($F$13-$I$4+VLOOKUP($R219,武学奇术!$A:$ZZ,13,FALSE)+SUM(_xlfn.XLOOKUP($S219:$AL219,增益!$A:$A,增益!$K:$K,0)))/200,($F$13-$I$4+VLOOKUP($R219,武学奇术!$A:$ZZ,13,FALSE)+SUM(_xlfn.XLOOKUP($S219:$AL219,增益!$A:$A,增益!$M:$M,0)))/100)</f>
        <v>-0.14</v>
      </c>
      <c r="BJ219" s="40" cm="1">
        <f t="array" ref="BJ219">$G$13+VLOOKUP($R219,武学奇术!$A:$ZZ,14,FALSE)+SUM(_xlfn.XLOOKUP($S219:$AL219,增益!$A:$A,增益!$N:$N,0))</f>
        <v>0.02</v>
      </c>
      <c r="BK219">
        <f t="shared" si="128"/>
        <v>0</v>
      </c>
      <c r="BL219">
        <f t="shared" si="129"/>
        <v>0</v>
      </c>
      <c r="BM219" s="40" cm="1">
        <f t="array" ref="BM219">IF($F$14-$I$4+VLOOKUP($R219,武学奇术!$A:$ZZ,15,FALSE)+SUM(_xlfn.XLOOKUP($S219:$AL219,增益!$A:$A,增益!$O:$O,0))&gt;0,($F$14-$I$4+VLOOKUP($R219,武学奇术!$A:$ZZ,15,FALSE)+SUM(_xlfn.XLOOKUP($S219:$AL219,增益!$A:$A,增益!$O:$O,0)))/200,($F$14-$I$4+VLOOKUP($R219,武学奇术!$A:$ZZ,15,FALSE)+SUM(_xlfn.XLOOKUP($S219:$AL219,增益!$A:$A,增益!$O:$O,0)))/100)</f>
        <v>-0.14</v>
      </c>
      <c r="BN219" s="40" cm="1">
        <f t="array" ref="BN219">$G$14+VLOOKUP($R219,武学奇术!$A:$ZZ,16,FALSE)+SUM(_xlfn.XLOOKUP($S219:$AL219,增益!$A:$A,增益!$P:$P,0))</f>
        <v>0.02</v>
      </c>
      <c r="BO219" s="33">
        <f>MIN(IF(VLOOKUP($R219,武学奇术!$A:$ZZ,23,FALSE)=1,100%,$B$8),100%)</f>
        <v>0.9771</v>
      </c>
      <c r="BP219" s="33" cm="1">
        <f t="array" ref="BP219">IF(VLOOKUP($R219,武学奇术!$A:$ZZ,23,FALSE)=1,100%,MIN(80%,$B$9+VLOOKUP($R219,武学奇术!$A:$ZZ,17,FALSE)+SUM(_xlfn.XLOOKUP($S219:$AL219,增益!$A:$A,增益!$Q:$Q,0)))+$B$11+SUM(_xlfn.XLOOKUP($S219:$AL219,增益!$A:$A,增益!$U:$U,0)))*IF(VLOOKUP($R219,武学奇术!$A:$ZZ,24,FALSE)=1,0,1)</f>
        <v>0.8861</v>
      </c>
      <c r="BQ219" s="33" cm="1">
        <f t="array" ref="BQ219">1+$B$13+VLOOKUP($R219,武学奇术!$A:$ZZ,18,FALSE)+SUM(_xlfn.XLOOKUP($S219:$AL219,增益!$A:$A,增益!$R:$R,0))</f>
        <v>2</v>
      </c>
      <c r="BR219" s="33" cm="1">
        <f t="array" ref="BR219">IF(VLOOKUP($R219,武学奇术!$A:$ZZ,24,FALSE)=1,100%,MIN(40%,$B$10+VLOOKUP($R219,武学奇术!$A:$ZZ,19,FALSE)+SUM(_xlfn.XLOOKUP($S219:$AL219,增益!$A:$A,增益!$S:$S,0)))+$B$12+SUM(_xlfn.XLOOKUP($S219:$AL219,增益!$A:$A,增益!$V:$V,0)))*IF(VLOOKUP($R219,武学奇术!$A:$ZZ,23,FALSE)=1,0,1)</f>
        <v>0.0913</v>
      </c>
      <c r="BS219" s="33" cm="1">
        <f t="array" ref="BS219">1+$B$14+VLOOKUP($R219,武学奇术!$A:$ZZ,20,FALSE)+SUM(_xlfn.XLOOKUP($S219:$AL219,增益!$A:$A,增益!$T:$T,0))</f>
        <v>1.35</v>
      </c>
      <c r="BT219" s="33">
        <f t="shared" si="130"/>
        <v>0.86580831</v>
      </c>
      <c r="BU219" s="33">
        <f t="shared" si="131"/>
        <v>0.02208246</v>
      </c>
      <c r="BV219" s="33">
        <f>IF(VLOOKUP($R219,武学奇术!$A:$ZZ,22,FALSE)=1,0,(1-$BO219))*(1-$BR219)</f>
        <v>0.02080923</v>
      </c>
      <c r="BW219" s="33" cm="1">
        <f t="array" ref="BW219">SUM(_xlfn.XLOOKUP($S219:$AL219,增益!$A:$A,增益!$W:$W,0))+$I$5</f>
        <v>0.11</v>
      </c>
      <c r="BX219" s="33" cm="1">
        <f t="array" ref="BX219">VLOOKUP($R219,武学奇术!$A:$ZZ,32,FALSE)+SUM(_xlfn.XLOOKUP($S219:$AL219,增益!$A:$A,增益!$X:$X,0))</f>
        <v>0</v>
      </c>
    </row>
    <row r="220" spans="12:76">
      <c r="L220" s="46">
        <f t="shared" si="120"/>
        <v>0</v>
      </c>
      <c r="M220" s="46">
        <f>((($AT220+$AU220)/2*$AN220+$AO220)*(1+$AV220)*(1+$AW220)+(($AY220+$AZ220)/2*IF($G$1="鸣金",$AP220,$AN220)+IF($G$1="鸣金",$AQ220*1.5,0))*(1+$BA220)*(1+$BB220)+(($BC220+$BD220)/2*IF($G$1="裂石",$AP220,$AN220)+IF($G$1="裂石",$AQ220*1.5,0))*(1+$BE220)*(1+$BF220)+(($BG220+$BH220)/2*IF($G$1="牵丝",$AP220,$AN220)+IF($G$1="牵丝",$AQ220*1.5,0))*(1+$BI220)*(1+$BJ220)+(($BK220+$BL220)/2*IF($G$1="破竹",$AP220,$AN220)+IF($G$1="破竹",$AQ220*1.5,0))*(1+$BM220)*(1+$BN220))*(1+$AR220)*$BQ220*$Q220*(1+IF(VLOOKUP($R220,武学奇术!$A:$ZZ,30,FALSE)="蓄力技",$B$21,0))*(1+IF(VLOOKUP($R220,武学奇术!$A:$ZZ,30,FALSE)="派生技",$B$20,0))*(1+$BW220)*(1+$BX220)</f>
        <v>0</v>
      </c>
      <c r="N220" s="46">
        <f>(($AU220*$AN220+$AO220)*(1+$AV220)*(1+$AW220)+($AZ220*IF($G$1="鸣金",$AP220,$AN220)+IF($G$1="鸣金",$AQ220*1.5,0))*(1+$BA220)*(1+$BB220)+($BD220*IF($G$1="裂石",$AP220,$AN220)+IF($G$1="裂石",$AQ220*1.5,0))*(1+$BE220)*(1+$BF220)+($BH220*IF($G$1="牵丝",$AP220,$AN220)+IF($G$1="牵丝",$AQ220*1.5,0))*(1+$BI220)*(1+$BJ220)+($BL220*IF($G$1="破竹",$AP220,$AN220)+IF($G$1="破竹",$AQ220*1.5,0))*(1+$BM220)*(1+$BN220))*(1+$AR220)*$BS220*$Q220*(1+IF(VLOOKUP($R220,武学奇术!$A:$ZZ,30,FALSE)="蓄力技",$B$21,0))*(1+IF(VLOOKUP($R220,武学奇术!$A:$ZZ,30,FALSE)="派生技",$B$20,0))*(1+$BW220)*(1+$BX220)</f>
        <v>0</v>
      </c>
      <c r="O220" s="46">
        <f>((($AT220+$AU220)/2*$AN220+$AO220)*(1+$AV220)*(1+$AW220)+(($AY220+$AZ220)/2*IF($G$1="鸣金",$AP220,$AN220)+IF($G$1="鸣金",$AQ220*1.5,0))*(1+$BA220)*(1+$BB220)+(($BC220+$BD220)/2*IF($G$1="裂石",$AP220,$AN220)+IF($G$1="裂石",$AQ220*1.5,0))*(1+$BE220)*(1+$BF220)+(($BG220+$BH220)/2*IF($G$1="牵丝",$AP220,$AN220)+IF($G$1="牵丝",$AQ220*1.5,0))*(1+$BI220)*(1+$BJ220)+(($BK220+$BL220)/2*IF($G$1="破竹",$AP220,$AN220)+IF($G$1="破竹",$AQ220*1.5,0))*(1+$BM220)*(1+$BN220))*(1+$AR220)*$Q220*(1+IF(VLOOKUP($R220,武学奇术!$A:$ZZ,30,FALSE)="蓄力技",$B$21,0))*(1+IF(VLOOKUP($R220,武学奇术!$A:$ZZ,30,FALSE)="派生技",$B$20,0))*(1+$BW220)*(1+$BX220)</f>
        <v>0</v>
      </c>
      <c r="P220" s="46">
        <f>((($AT220*$AN220+$AO220)*(1+$AV220)*(1+$AW220)+($AY220*IF($G$1="鸣金",$AP220,$AN220)+IF($G$1="鸣金",$AQ220*1.5,0))*(1+$BA220)*(1+$BB220)+($BC220*IF($G$1="裂石",$AP220,$AN220)+IF($G$1="裂石",$AQ220*1.5,0))*(1+$BE220)*(1+$BF220)+($BG220*IF($G$1="牵丝",$AP220,$AN220)+IF($G$1="牵丝",$AQ220*1.5,0))*(1+$BI220)*(1+$BJ220)+($BK220*IF($G$1="破竹",$AP220,$AN220)+IF($G$1="破竹",$AQ220*1.5,0))*(1+$BM220)*(1+$BN220))*(1+$AR220))*$Q220*(1+IF(VLOOKUP($R220,武学奇术!$A:$ZZ,30,FALSE)="蓄力技",$B$21,0))*(1+IF(VLOOKUP($R220,武学奇术!$A:$ZZ,30,FALSE)="派生技",$B$20,0))*(1+$BW220)*(1+$BX220)</f>
        <v>0</v>
      </c>
      <c r="Q220" s="47">
        <f t="shared" si="121"/>
        <v>0</v>
      </c>
      <c r="R220" s="48" t="s">
        <v>202</v>
      </c>
      <c r="S220" s="48" t="s">
        <v>99</v>
      </c>
      <c r="T220" s="48" t="s">
        <v>182</v>
      </c>
      <c r="U220" s="48" t="s">
        <v>79</v>
      </c>
      <c r="V220" s="48" t="s">
        <v>90</v>
      </c>
      <c r="W220" s="48" t="s">
        <v>91</v>
      </c>
      <c r="X220" s="48" t="s">
        <v>80</v>
      </c>
      <c r="Y220" s="48" t="s">
        <v>80</v>
      </c>
      <c r="Z220" s="48" t="s">
        <v>80</v>
      </c>
      <c r="AA220" s="48" t="s">
        <v>80</v>
      </c>
      <c r="AB220" s="48" t="s">
        <v>80</v>
      </c>
      <c r="AC220" s="48" t="s">
        <v>193</v>
      </c>
      <c r="AD220" s="48" t="s">
        <v>80</v>
      </c>
      <c r="AE220" s="48" t="s">
        <v>82</v>
      </c>
      <c r="AF220" s="48" t="s">
        <v>83</v>
      </c>
      <c r="AG220" s="48" t="s">
        <v>84</v>
      </c>
      <c r="AH220" s="48" t="s">
        <v>80</v>
      </c>
      <c r="AI220" s="48" t="s">
        <v>80</v>
      </c>
      <c r="AJ220" s="48" t="s">
        <v>80</v>
      </c>
      <c r="AK220" s="48" t="s">
        <v>80</v>
      </c>
      <c r="AL220" s="48" t="s">
        <v>85</v>
      </c>
      <c r="AM220" t="str">
        <f>VLOOKUP($R220,武学奇术!$A:$ZZ,25,FALSE)</f>
        <v>群体奇术</v>
      </c>
      <c r="AN220" s="33">
        <f>VLOOKUP($R220,武学奇术!$A:$ZZ,26,FALSE)</f>
        <v>10.31616</v>
      </c>
      <c r="AO220" s="34">
        <f>VLOOKUP($R220,武学奇术!$A:$ZZ,27,FALSE)*(1+IF(OR($AM220=$F$4,$AM220=$F$5),$B$22,0))</f>
        <v>2069.55</v>
      </c>
      <c r="AP220" s="33">
        <f>VLOOKUP($R220,武学奇术!$A:$ZZ,28,FALSE)</f>
        <v>15.47424</v>
      </c>
      <c r="AQ220" s="34">
        <f>VLOOKUP($R220,武学奇术!$A:$ZZ,29,FALSE)*(1+IF(OR($AM220=$F$4,$AM220=$F$5),$B$22,0))</f>
        <v>0</v>
      </c>
      <c r="AR220" s="33" cm="1">
        <f t="array" ref="AR220">$G$3+IFERROR(VLOOKUP($AM220,$F$4:$G$7,2,FALSE),0)+VLOOKUP($R220,武学奇术!$A:$ZZ,2,FALSE)+SUM(_xlfn.XLOOKUP($S220:$AL220,增益!$A:$A,增益!$B:$B,0))</f>
        <v>0.4442</v>
      </c>
      <c r="AS220" s="33" cm="1">
        <f t="array" ref="AS220">VLOOKUP($R220,武学奇术!$A:$ZZ,5,FALSE)+SUM(_xlfn.XLOOKUP($S220:$AL220,增益!$A:$A,增益!$E:$E,0))</f>
        <v>0</v>
      </c>
      <c r="AT220" cm="1">
        <f t="array" ref="AT220">$D$10*(1+$AS220)+VLOOKUP($R220,武学奇术!$A:$ZZ,3,FALSE)+SUM(_xlfn.XLOOKUP($S220:$AL220,增益!$A:$A,增益!$C:$C,0))-$I$2</f>
        <v>4094.7</v>
      </c>
      <c r="AU220" cm="1">
        <f t="array" ref="AU220">$E$10*(1+$AS220)+VLOOKUP($R220,武学奇术!$A:$ZZ,4,FALSE)+SUM(_xlfn.XLOOKUP($S220:$AL220,增益!$A:$A,增益!$D:$D,0))-$I$2</f>
        <v>4094.7</v>
      </c>
      <c r="AV220" s="40" cm="1">
        <f t="array" ref="AV220">IF($F$10-$I$3+VLOOKUP($R220,武学奇术!$A:$ZZ,6,FALSE)+SUM(_xlfn.XLOOKUP($S220:$AL220,增益!$A:$A,增益!$F:$F,0))&gt;0,($F$10-$I$3+VLOOKUP($R220,武学奇术!$A:$ZZ,6,FALSE)+SUM(_xlfn.XLOOKUP($S220:$AL220,增益!$A:$A,增益!$F:$F,0)))/200,($F$10-$I$3+VLOOKUP($R220,武学奇术!$A:$ZZ,6,FALSE)+SUM(_xlfn.XLOOKUP($S220:$AL220,增益!$A:$A,增益!$F:$F,0)))/100)</f>
        <v>0.4134</v>
      </c>
      <c r="AW220" s="40" cm="1">
        <f t="array" ref="AW220">$G$10+VLOOKUP($R220,武学奇术!$A:$ZZ,7,FALSE)+SUM(_xlfn.XLOOKUP($S220:$AL220,增益!$A:$A,增益!$G:$G,0))</f>
        <v>0.14</v>
      </c>
      <c r="AX220" s="33" cm="1">
        <f t="array" ref="AX220">VLOOKUP($R220,武学奇术!$A:$ZZ,8,FALSE)+SUM(_xlfn.XLOOKUP($S220:$AL220,增益!$A:$A,增益!$H:$H,0))</f>
        <v>0</v>
      </c>
      <c r="AY220">
        <f t="shared" si="122"/>
        <v>0</v>
      </c>
      <c r="AZ220">
        <f t="shared" si="123"/>
        <v>0</v>
      </c>
      <c r="BA220" s="40" cm="1">
        <f t="array" ref="BA220">IF($F$11-$I$4+VLOOKUP($R220,武学奇术!$A:$ZZ,9,FALSE)+SUM(_xlfn.XLOOKUP($S220:$AL220,增益!$A:$A,增益!$I:$I,0))&gt;0,($F$11-$I$4+VLOOKUP($R220,武学奇术!$A:$ZZ,9,FALSE)+SUM(_xlfn.XLOOKUP($S220:$AL220,增益!$A:$A,增益!$I:$I,0)))/200,($F$11-$I$4+VLOOKUP($R220,武学奇术!$A:$ZZ,9,FALSE)+SUM(_xlfn.XLOOKUP($S220:$AL220,增益!$A:$A,增益!$I:$I,0)))/100)</f>
        <v>-0.14</v>
      </c>
      <c r="BB220" s="40" cm="1">
        <f t="array" ref="BB220">$G$11+VLOOKUP($R220,武学奇术!$A:$ZZ,10,FALSE)+SUM(_xlfn.XLOOKUP($S220:$AL220,增益!$A:$A,增益!$J:$J,0))</f>
        <v>0.02</v>
      </c>
      <c r="BC220">
        <f t="shared" si="124"/>
        <v>640.3</v>
      </c>
      <c r="BD220">
        <f t="shared" si="125"/>
        <v>1770.1</v>
      </c>
      <c r="BE220" s="40" cm="1">
        <f t="array" ref="BE220">IF($F$12-$I$4+VLOOKUP($R220,武学奇术!$A:$ZZ,11,FALSE)+SUM(_xlfn.XLOOKUP($S220:$AL220,增益!$A:$A,增益!$K:$K,0))&gt;0,($F$12-$I$4+VLOOKUP($R220,武学奇术!$A:$ZZ,11,FALSE)+SUM(_xlfn.XLOOKUP($S220:$AL220,增益!$A:$A,增益!$K:$K,0)))/200,($F$12-$I$4+VLOOKUP($R220,武学奇术!$A:$ZZ,11,FALSE)+SUM(_xlfn.XLOOKUP($S220:$AL220,增益!$A:$A,增益!$K:$K,0)))/100)</f>
        <v>0.17</v>
      </c>
      <c r="BF220" s="40" cm="1">
        <f t="array" ref="BF220">$G$12+VLOOKUP($R220,武学奇术!$A:$ZZ,12,FALSE)+SUM(_xlfn.XLOOKUP($S220:$AL220,增益!$A:$A,增益!$L:$L,0))</f>
        <v>0.29</v>
      </c>
      <c r="BG220">
        <f t="shared" si="126"/>
        <v>0</v>
      </c>
      <c r="BH220">
        <f t="shared" si="127"/>
        <v>0</v>
      </c>
      <c r="BI220" s="40" cm="1">
        <f t="array" ref="BI220">IF($F$13-$I$4+VLOOKUP($R220,武学奇术!$A:$ZZ,13,FALSE)+SUM(_xlfn.XLOOKUP($S220:$AL220,增益!$A:$A,增益!$M:$M,0))&gt;0,($F$13-$I$4+VLOOKUP($R220,武学奇术!$A:$ZZ,13,FALSE)+SUM(_xlfn.XLOOKUP($S220:$AL220,增益!$A:$A,增益!$K:$K,0)))/200,($F$13-$I$4+VLOOKUP($R220,武学奇术!$A:$ZZ,13,FALSE)+SUM(_xlfn.XLOOKUP($S220:$AL220,增益!$A:$A,增益!$M:$M,0)))/100)</f>
        <v>-0.14</v>
      </c>
      <c r="BJ220" s="40" cm="1">
        <f t="array" ref="BJ220">$G$13+VLOOKUP($R220,武学奇术!$A:$ZZ,14,FALSE)+SUM(_xlfn.XLOOKUP($S220:$AL220,增益!$A:$A,增益!$N:$N,0))</f>
        <v>0.02</v>
      </c>
      <c r="BK220">
        <f t="shared" si="128"/>
        <v>0</v>
      </c>
      <c r="BL220">
        <f t="shared" si="129"/>
        <v>0</v>
      </c>
      <c r="BM220" s="40" cm="1">
        <f t="array" ref="BM220">IF($F$14-$I$4+VLOOKUP($R220,武学奇术!$A:$ZZ,15,FALSE)+SUM(_xlfn.XLOOKUP($S220:$AL220,增益!$A:$A,增益!$O:$O,0))&gt;0,($F$14-$I$4+VLOOKUP($R220,武学奇术!$A:$ZZ,15,FALSE)+SUM(_xlfn.XLOOKUP($S220:$AL220,增益!$A:$A,增益!$O:$O,0)))/200,($F$14-$I$4+VLOOKUP($R220,武学奇术!$A:$ZZ,15,FALSE)+SUM(_xlfn.XLOOKUP($S220:$AL220,增益!$A:$A,增益!$O:$O,0)))/100)</f>
        <v>-0.14</v>
      </c>
      <c r="BN220" s="40" cm="1">
        <f t="array" ref="BN220">$G$14+VLOOKUP($R220,武学奇术!$A:$ZZ,16,FALSE)+SUM(_xlfn.XLOOKUP($S220:$AL220,增益!$A:$A,增益!$P:$P,0))</f>
        <v>0.02</v>
      </c>
      <c r="BO220" s="33">
        <f>MIN(IF(VLOOKUP($R220,武学奇术!$A:$ZZ,23,FALSE)=1,100%,$B$8),100%)</f>
        <v>0.9771</v>
      </c>
      <c r="BP220" s="33" cm="1">
        <f t="array" ref="BP220">IF(VLOOKUP($R220,武学奇术!$A:$ZZ,23,FALSE)=1,100%,MIN(80%,$B$9+VLOOKUP($R220,武学奇术!$A:$ZZ,17,FALSE)+SUM(_xlfn.XLOOKUP($S220:$AL220,增益!$A:$A,增益!$Q:$Q,0)))+$B$11+SUM(_xlfn.XLOOKUP($S220:$AL220,增益!$A:$A,增益!$U:$U,0)))*IF(VLOOKUP($R220,武学奇术!$A:$ZZ,24,FALSE)=1,0,1)</f>
        <v>0.8861</v>
      </c>
      <c r="BQ220" s="33" cm="1">
        <f t="array" ref="BQ220">1+$B$13+VLOOKUP($R220,武学奇术!$A:$ZZ,18,FALSE)+SUM(_xlfn.XLOOKUP($S220:$AL220,增益!$A:$A,增益!$R:$R,0))</f>
        <v>1.95</v>
      </c>
      <c r="BR220" s="33" cm="1">
        <f t="array" ref="BR220">IF(VLOOKUP($R220,武学奇术!$A:$ZZ,24,FALSE)=1,100%,MIN(40%,$B$10+VLOOKUP($R220,武学奇术!$A:$ZZ,19,FALSE)+SUM(_xlfn.XLOOKUP($S220:$AL220,增益!$A:$A,增益!$S:$S,0)))+$B$12+SUM(_xlfn.XLOOKUP($S220:$AL220,增益!$A:$A,增益!$V:$V,0)))*IF(VLOOKUP($R220,武学奇术!$A:$ZZ,23,FALSE)=1,0,1)</f>
        <v>0.0913</v>
      </c>
      <c r="BS220" s="33" cm="1">
        <f t="array" ref="BS220">1+$B$14+VLOOKUP($R220,武学奇术!$A:$ZZ,20,FALSE)+SUM(_xlfn.XLOOKUP($S220:$AL220,增益!$A:$A,增益!$T:$T,0))</f>
        <v>1.35</v>
      </c>
      <c r="BT220" s="33">
        <f t="shared" si="130"/>
        <v>0.86580831</v>
      </c>
      <c r="BU220" s="33">
        <f t="shared" si="131"/>
        <v>0.02208246</v>
      </c>
      <c r="BV220" s="33">
        <f>IF(VLOOKUP($R220,武学奇术!$A:$ZZ,22,FALSE)=1,0,(1-$BO220))*(1-$BR220)</f>
        <v>0.02080923</v>
      </c>
      <c r="BW220" s="33" cm="1">
        <f t="array" ref="BW220">SUM(_xlfn.XLOOKUP($S220:$AL220,增益!$A:$A,增益!$W:$W,0))+$I$5</f>
        <v>0.11</v>
      </c>
      <c r="BX220" s="33" cm="1">
        <f t="array" ref="BX220">VLOOKUP($R220,武学奇术!$A:$ZZ,32,FALSE)+SUM(_xlfn.XLOOKUP($S220:$AL220,增益!$A:$A,增益!$X:$X,0))</f>
        <v>0</v>
      </c>
    </row>
    <row r="221" spans="12:76">
      <c r="L221" s="46">
        <f t="shared" ref="L221:L231" si="133">($M221*$BT221+$N221*$BR221+$O221*$BU221+$P221*$BV221)</f>
        <v>0</v>
      </c>
      <c r="M221" s="46">
        <f>((($AT221+$AU221)/2*$AN221+$AO221)*(1+$AV221)*(1+$AW221)+(($AY221+$AZ221)/2*IF($G$1="鸣金",$AP221,$AN221)+IF($G$1="鸣金",$AQ221*1.5,0))*(1+$BA221)*(1+$BB221)+(($BC221+$BD221)/2*IF($G$1="裂石",$AP221,$AN221)+IF($G$1="裂石",$AQ221*1.5,0))*(1+$BE221)*(1+$BF221)+(($BG221+$BH221)/2*IF($G$1="牵丝",$AP221,$AN221)+IF($G$1="牵丝",$AQ221*1.5,0))*(1+$BI221)*(1+$BJ221)+(($BK221+$BL221)/2*IF($G$1="破竹",$AP221,$AN221)+IF($G$1="破竹",$AQ221*1.5,0))*(1+$BM221)*(1+$BN221))*(1+$AR221)*$BQ221*$Q221*(1+IF(VLOOKUP($R221,武学奇术!$A:$ZZ,30,FALSE)="蓄力技",$B$21,0))*(1+IF(VLOOKUP($R221,武学奇术!$A:$ZZ,30,FALSE)="派生技",$B$20,0))*(1+$BW221)*(1+$BX221)</f>
        <v>0</v>
      </c>
      <c r="N221" s="46">
        <f>(($AU221*$AN221+$AO221)*(1+$AV221)*(1+$AW221)+($AZ221*IF($G$1="鸣金",$AP221,$AN221)+IF($G$1="鸣金",$AQ221*1.5,0))*(1+$BA221)*(1+$BB221)+($BD221*IF($G$1="裂石",$AP221,$AN221)+IF($G$1="裂石",$AQ221*1.5,0))*(1+$BE221)*(1+$BF221)+($BH221*IF($G$1="牵丝",$AP221,$AN221)+IF($G$1="牵丝",$AQ221*1.5,0))*(1+$BI221)*(1+$BJ221)+($BL221*IF($G$1="破竹",$AP221,$AN221)+IF($G$1="破竹",$AQ221*1.5,0))*(1+$BM221)*(1+$BN221))*(1+$AR221)*$BS221*$Q221*(1+IF(VLOOKUP($R221,武学奇术!$A:$ZZ,30,FALSE)="蓄力技",$B$21,0))*(1+IF(VLOOKUP($R221,武学奇术!$A:$ZZ,30,FALSE)="派生技",$B$20,0))*(1+$BW221)*(1+$BX221)</f>
        <v>0</v>
      </c>
      <c r="O221" s="46">
        <f>((($AT221+$AU221)/2*$AN221+$AO221)*(1+$AV221)*(1+$AW221)+(($AY221+$AZ221)/2*IF($G$1="鸣金",$AP221,$AN221)+IF($G$1="鸣金",$AQ221*1.5,0))*(1+$BA221)*(1+$BB221)+(($BC221+$BD221)/2*IF($G$1="裂石",$AP221,$AN221)+IF($G$1="裂石",$AQ221*1.5,0))*(1+$BE221)*(1+$BF221)+(($BG221+$BH221)/2*IF($G$1="牵丝",$AP221,$AN221)+IF($G$1="牵丝",$AQ221*1.5,0))*(1+$BI221)*(1+$BJ221)+(($BK221+$BL221)/2*IF($G$1="破竹",$AP221,$AN221)+IF($G$1="破竹",$AQ221*1.5,0))*(1+$BM221)*(1+$BN221))*(1+$AR221)*$Q221*(1+IF(VLOOKUP($R221,武学奇术!$A:$ZZ,30,FALSE)="蓄力技",$B$21,0))*(1+IF(VLOOKUP($R221,武学奇术!$A:$ZZ,30,FALSE)="派生技",$B$20,0))*(1+$BW221)*(1+$BX221)</f>
        <v>0</v>
      </c>
      <c r="P221" s="46">
        <f>((($AT221*$AN221+$AO221)*(1+$AV221)*(1+$AW221)+($AY221*IF($G$1="鸣金",$AP221,$AN221)+IF($G$1="鸣金",$AQ221*1.5,0))*(1+$BA221)*(1+$BB221)+($BC221*IF($G$1="裂石",$AP221,$AN221)+IF($G$1="裂石",$AQ221*1.5,0))*(1+$BE221)*(1+$BF221)+($BG221*IF($G$1="牵丝",$AP221,$AN221)+IF($G$1="牵丝",$AQ221*1.5,0))*(1+$BI221)*(1+$BJ221)+($BK221*IF($G$1="破竹",$AP221,$AN221)+IF($G$1="破竹",$AQ221*1.5,0))*(1+$BM221)*(1+$BN221))*(1+$AR221))*$Q221*(1+IF(VLOOKUP($R221,武学奇术!$A:$ZZ,30,FALSE)="蓄力技",$B$21,0))*(1+IF(VLOOKUP($R221,武学奇术!$A:$ZZ,30,FALSE)="派生技",$B$20,0))*(1+$BW221)*(1+$BX221)</f>
        <v>0</v>
      </c>
      <c r="Q221" s="47">
        <f t="shared" ref="Q221:Q231" si="134">IF($E$24="唐刀",1,0)</f>
        <v>0</v>
      </c>
      <c r="R221" s="48" t="s">
        <v>172</v>
      </c>
      <c r="S221" s="48" t="s">
        <v>99</v>
      </c>
      <c r="T221" s="48" t="s">
        <v>182</v>
      </c>
      <c r="U221" s="48" t="s">
        <v>79</v>
      </c>
      <c r="V221" s="48" t="s">
        <v>90</v>
      </c>
      <c r="W221" s="48" t="s">
        <v>141</v>
      </c>
      <c r="X221" s="48" t="s">
        <v>80</v>
      </c>
      <c r="Y221" s="48" t="s">
        <v>74</v>
      </c>
      <c r="Z221" s="48" t="s">
        <v>80</v>
      </c>
      <c r="AA221" s="48" t="s">
        <v>80</v>
      </c>
      <c r="AB221" s="48" t="s">
        <v>80</v>
      </c>
      <c r="AC221" s="48" t="s">
        <v>193</v>
      </c>
      <c r="AD221" s="48" t="s">
        <v>80</v>
      </c>
      <c r="AE221" s="48" t="s">
        <v>82</v>
      </c>
      <c r="AF221" s="48" t="s">
        <v>83</v>
      </c>
      <c r="AG221" s="48" t="s">
        <v>84</v>
      </c>
      <c r="AH221" s="48" t="s">
        <v>80</v>
      </c>
      <c r="AI221" s="48" t="s">
        <v>80</v>
      </c>
      <c r="AJ221" s="48" t="s">
        <v>80</v>
      </c>
      <c r="AK221" s="48" t="s">
        <v>80</v>
      </c>
      <c r="AL221" s="48" t="s">
        <v>85</v>
      </c>
      <c r="AM221" t="str">
        <f>VLOOKUP($R221,武学奇术!$A:$ZZ,25,FALSE)</f>
        <v>陌刀</v>
      </c>
      <c r="AN221" s="33">
        <f>VLOOKUP($R221,武学奇术!$A:$ZZ,26,FALSE)</f>
        <v>3.5256</v>
      </c>
      <c r="AO221" s="34">
        <f>VLOOKUP($R221,武学奇术!$A:$ZZ,27,FALSE)*(1+IF(OR($AM221=$F$4,$AM221=$F$5),$B$22,0))</f>
        <v>846.144</v>
      </c>
      <c r="AP221" s="33">
        <f>VLOOKUP($R221,武学奇术!$A:$ZZ,28,FALSE)</f>
        <v>5.2884</v>
      </c>
      <c r="AQ221" s="34">
        <f>VLOOKUP($R221,武学奇术!$A:$ZZ,29,FALSE)*(1+IF(OR($AM221=$F$4,$AM221=$F$5),$B$22,0))</f>
        <v>851.2</v>
      </c>
      <c r="AR221" s="33" cm="1">
        <f t="array" ref="AR221">$G$3+IFERROR(VLOOKUP($AM221,$F$4:$G$7,2,FALSE),0)+VLOOKUP($R221,武学奇术!$A:$ZZ,2,FALSE)+SUM(_xlfn.XLOOKUP($S221:$AL221,增益!$A:$A,增益!$B:$B,0))</f>
        <v>0.6943</v>
      </c>
      <c r="AS221" s="33" cm="1">
        <f t="array" ref="AS221">VLOOKUP($R221,武学奇术!$A:$ZZ,5,FALSE)+SUM(_xlfn.XLOOKUP($S221:$AL221,增益!$A:$A,增益!$E:$E,0))</f>
        <v>0</v>
      </c>
      <c r="AT221" cm="1">
        <f t="array" ref="AT221">$D$10*(1+$AS221)+VLOOKUP($R221,武学奇术!$A:$ZZ,3,FALSE)+SUM(_xlfn.XLOOKUP($S221:$AL221,增益!$A:$A,增益!$C:$C,0))-$I$2</f>
        <v>4094.7</v>
      </c>
      <c r="AU221" cm="1">
        <f t="array" ref="AU221">$E$10*(1+$AS221)+VLOOKUP($R221,武学奇术!$A:$ZZ,4,FALSE)+SUM(_xlfn.XLOOKUP($S221:$AL221,增益!$A:$A,增益!$D:$D,0))-$I$2</f>
        <v>4094.7</v>
      </c>
      <c r="AV221" s="40" cm="1">
        <f t="array" ref="AV221">IF($F$10-$I$3+VLOOKUP($R221,武学奇术!$A:$ZZ,6,FALSE)+SUM(_xlfn.XLOOKUP($S221:$AL221,增益!$A:$A,增益!$F:$F,0))&gt;0,($F$10-$I$3+VLOOKUP($R221,武学奇术!$A:$ZZ,6,FALSE)+SUM(_xlfn.XLOOKUP($S221:$AL221,增益!$A:$A,增益!$F:$F,0)))/200,($F$10-$I$3+VLOOKUP($R221,武学奇术!$A:$ZZ,6,FALSE)+SUM(_xlfn.XLOOKUP($S221:$AL221,增益!$A:$A,增益!$F:$F,0)))/100)</f>
        <v>0.4384</v>
      </c>
      <c r="AW221" s="40" cm="1">
        <f t="array" ref="AW221">$G$10+VLOOKUP($R221,武学奇术!$A:$ZZ,7,FALSE)+SUM(_xlfn.XLOOKUP($S221:$AL221,增益!$A:$A,增益!$G:$G,0))</f>
        <v>0.14</v>
      </c>
      <c r="AX221" s="33" cm="1">
        <f t="array" ref="AX221">VLOOKUP($R221,武学奇术!$A:$ZZ,8,FALSE)+SUM(_xlfn.XLOOKUP($S221:$AL221,增益!$A:$A,增益!$H:$H,0))</f>
        <v>0</v>
      </c>
      <c r="AY221">
        <f t="shared" ref="AY221:AY231" si="135">$D$11*(1+$AX221)</f>
        <v>0</v>
      </c>
      <c r="AZ221">
        <f t="shared" ref="AZ221:AZ231" si="136">$E$11*(1+$AX221)</f>
        <v>0</v>
      </c>
      <c r="BA221" s="40" cm="1">
        <f t="array" ref="BA221">IF($F$11-$I$4+VLOOKUP($R221,武学奇术!$A:$ZZ,9,FALSE)+SUM(_xlfn.XLOOKUP($S221:$AL221,增益!$A:$A,增益!$I:$I,0))&gt;0,($F$11-$I$4+VLOOKUP($R221,武学奇术!$A:$ZZ,9,FALSE)+SUM(_xlfn.XLOOKUP($S221:$AL221,增益!$A:$A,增益!$I:$I,0)))/200,($F$11-$I$4+VLOOKUP($R221,武学奇术!$A:$ZZ,9,FALSE)+SUM(_xlfn.XLOOKUP($S221:$AL221,增益!$A:$A,增益!$I:$I,0)))/100)</f>
        <v>-0.14</v>
      </c>
      <c r="BB221" s="40" cm="1">
        <f t="array" ref="BB221">$G$11+VLOOKUP($R221,武学奇术!$A:$ZZ,10,FALSE)+SUM(_xlfn.XLOOKUP($S221:$AL221,增益!$A:$A,增益!$J:$J,0))</f>
        <v>0.02</v>
      </c>
      <c r="BC221">
        <f t="shared" ref="BC221:BC231" si="137">$D$12*(1+$AX221)</f>
        <v>640.3</v>
      </c>
      <c r="BD221">
        <f t="shared" ref="BD221:BD231" si="138">$E$12*(1+$AX221)</f>
        <v>1770.1</v>
      </c>
      <c r="BE221" s="40" cm="1">
        <f t="array" ref="BE221">IF($F$12-$I$4+VLOOKUP($R221,武学奇术!$A:$ZZ,11,FALSE)+SUM(_xlfn.XLOOKUP($S221:$AL221,增益!$A:$A,增益!$K:$K,0))&gt;0,($F$12-$I$4+VLOOKUP($R221,武学奇术!$A:$ZZ,11,FALSE)+SUM(_xlfn.XLOOKUP($S221:$AL221,增益!$A:$A,增益!$K:$K,0)))/200,($F$12-$I$4+VLOOKUP($R221,武学奇术!$A:$ZZ,11,FALSE)+SUM(_xlfn.XLOOKUP($S221:$AL221,增益!$A:$A,增益!$K:$K,0)))/100)</f>
        <v>0.17</v>
      </c>
      <c r="BF221" s="40" cm="1">
        <f t="array" ref="BF221">$G$12+VLOOKUP($R221,武学奇术!$A:$ZZ,12,FALSE)+SUM(_xlfn.XLOOKUP($S221:$AL221,增益!$A:$A,增益!$L:$L,0))</f>
        <v>0.29</v>
      </c>
      <c r="BG221">
        <f t="shared" ref="BG221:BG231" si="139">$D$13*(1+$AX221)</f>
        <v>0</v>
      </c>
      <c r="BH221">
        <f t="shared" ref="BH221:BH231" si="140">$E$13*(1+$AX221)</f>
        <v>0</v>
      </c>
      <c r="BI221" s="40" cm="1">
        <f t="array" ref="BI221">IF($F$13-$I$4+VLOOKUP($R221,武学奇术!$A:$ZZ,13,FALSE)+SUM(_xlfn.XLOOKUP($S221:$AL221,增益!$A:$A,增益!$M:$M,0))&gt;0,($F$13-$I$4+VLOOKUP($R221,武学奇术!$A:$ZZ,13,FALSE)+SUM(_xlfn.XLOOKUP($S221:$AL221,增益!$A:$A,增益!$K:$K,0)))/200,($F$13-$I$4+VLOOKUP($R221,武学奇术!$A:$ZZ,13,FALSE)+SUM(_xlfn.XLOOKUP($S221:$AL221,增益!$A:$A,增益!$M:$M,0)))/100)</f>
        <v>-0.14</v>
      </c>
      <c r="BJ221" s="40" cm="1">
        <f t="array" ref="BJ221">$G$13+VLOOKUP($R221,武学奇术!$A:$ZZ,14,FALSE)+SUM(_xlfn.XLOOKUP($S221:$AL221,增益!$A:$A,增益!$N:$N,0))</f>
        <v>0.02</v>
      </c>
      <c r="BK221">
        <f t="shared" ref="BK221:BK231" si="141">$D$14*(1+$AX221)</f>
        <v>0</v>
      </c>
      <c r="BL221">
        <f t="shared" ref="BL221:BL231" si="142">$E$14*(1+$AX221)</f>
        <v>0</v>
      </c>
      <c r="BM221" s="40" cm="1">
        <f t="array" ref="BM221">IF($F$14-$I$4+VLOOKUP($R221,武学奇术!$A:$ZZ,15,FALSE)+SUM(_xlfn.XLOOKUP($S221:$AL221,增益!$A:$A,增益!$O:$O,0))&gt;0,($F$14-$I$4+VLOOKUP($R221,武学奇术!$A:$ZZ,15,FALSE)+SUM(_xlfn.XLOOKUP($S221:$AL221,增益!$A:$A,增益!$O:$O,0)))/200,($F$14-$I$4+VLOOKUP($R221,武学奇术!$A:$ZZ,15,FALSE)+SUM(_xlfn.XLOOKUP($S221:$AL221,增益!$A:$A,增益!$O:$O,0)))/100)</f>
        <v>-0.14</v>
      </c>
      <c r="BN221" s="40" cm="1">
        <f t="array" ref="BN221">$G$14+VLOOKUP($R221,武学奇术!$A:$ZZ,16,FALSE)+SUM(_xlfn.XLOOKUP($S221:$AL221,增益!$A:$A,增益!$P:$P,0))</f>
        <v>0.02</v>
      </c>
      <c r="BO221" s="33">
        <f>MIN(IF(VLOOKUP($R221,武学奇术!$A:$ZZ,23,FALSE)=1,100%,$B$8),100%)</f>
        <v>0.9771</v>
      </c>
      <c r="BP221" s="33" cm="1">
        <f t="array" ref="BP221">IF(VLOOKUP($R221,武学奇术!$A:$ZZ,23,FALSE)=1,100%,MIN(80%,$B$9+VLOOKUP($R221,武学奇术!$A:$ZZ,17,FALSE)+SUM(_xlfn.XLOOKUP($S221:$AL221,增益!$A:$A,增益!$Q:$Q,0)))+$B$11+SUM(_xlfn.XLOOKUP($S221:$AL221,增益!$A:$A,增益!$U:$U,0)))*IF(VLOOKUP($R221,武学奇术!$A:$ZZ,24,FALSE)=1,0,1)</f>
        <v>0.8861</v>
      </c>
      <c r="BQ221" s="33" cm="1">
        <f t="array" ref="BQ221">1+$B$13+VLOOKUP($R221,武学奇术!$A:$ZZ,18,FALSE)+SUM(_xlfn.XLOOKUP($S221:$AL221,增益!$A:$A,增益!$R:$R,0))</f>
        <v>2</v>
      </c>
      <c r="BR221" s="33" cm="1">
        <f t="array" ref="BR221">IF(VLOOKUP($R221,武学奇术!$A:$ZZ,24,FALSE)=1,100%,MIN(40%,$B$10+VLOOKUP($R221,武学奇术!$A:$ZZ,19,FALSE)+SUM(_xlfn.XLOOKUP($S221:$AL221,增益!$A:$A,增益!$S:$S,0)))+$B$12+SUM(_xlfn.XLOOKUP($S221:$AL221,增益!$A:$A,增益!$V:$V,0)))*IF(VLOOKUP($R221,武学奇术!$A:$ZZ,23,FALSE)=1,0,1)</f>
        <v>0.0913</v>
      </c>
      <c r="BS221" s="33" cm="1">
        <f t="array" ref="BS221">1+$B$14+VLOOKUP($R221,武学奇术!$A:$ZZ,20,FALSE)+SUM(_xlfn.XLOOKUP($S221:$AL221,增益!$A:$A,增益!$T:$T,0))</f>
        <v>1.35</v>
      </c>
      <c r="BT221" s="33">
        <f t="shared" ref="BT221:BT231" si="143">MIN((1-BR221)*BO221,BO221*BP221)</f>
        <v>0.86580831</v>
      </c>
      <c r="BU221" s="33">
        <f t="shared" ref="BU221:BU231" si="144">1-BR221-BT221-BV221</f>
        <v>0.02208246</v>
      </c>
      <c r="BV221" s="33">
        <f>IF(VLOOKUP($R221,武学奇术!$A:$ZZ,22,FALSE)=1,0,(1-$BO221))*(1-$BR221)</f>
        <v>0.02080923</v>
      </c>
      <c r="BW221" s="33" cm="1">
        <f t="array" ref="BW221">SUM(_xlfn.XLOOKUP($S221:$AL221,增益!$A:$A,增益!$W:$W,0))+$I$5</f>
        <v>0.11</v>
      </c>
      <c r="BX221" s="33" cm="1">
        <f t="array" ref="BX221">VLOOKUP($R221,武学奇术!$A:$ZZ,32,FALSE)+SUM(_xlfn.XLOOKUP($S221:$AL221,增益!$A:$A,增益!$X:$X,0))</f>
        <v>0</v>
      </c>
    </row>
    <row r="222" spans="12:76">
      <c r="L222" s="46">
        <f t="shared" si="133"/>
        <v>0</v>
      </c>
      <c r="M222" s="46">
        <f>((($AT222+$AU222)/2*$AN222+$AO222)*(1+$AV222)*(1+$AW222)+(($AY222+$AZ222)/2*IF($G$1="鸣金",$AP222,$AN222)+IF($G$1="鸣金",$AQ222*1.5,0))*(1+$BA222)*(1+$BB222)+(($BC222+$BD222)/2*IF($G$1="裂石",$AP222,$AN222)+IF($G$1="裂石",$AQ222*1.5,0))*(1+$BE222)*(1+$BF222)+(($BG222+$BH222)/2*IF($G$1="牵丝",$AP222,$AN222)+IF($G$1="牵丝",$AQ222*1.5,0))*(1+$BI222)*(1+$BJ222)+(($BK222+$BL222)/2*IF($G$1="破竹",$AP222,$AN222)+IF($G$1="破竹",$AQ222*1.5,0))*(1+$BM222)*(1+$BN222))*(1+$AR222)*$BQ222*$Q222*(1+IF(VLOOKUP($R222,武学奇术!$A:$ZZ,30,FALSE)="蓄力技",$B$21,0))*(1+IF(VLOOKUP($R222,武学奇术!$A:$ZZ,30,FALSE)="派生技",$B$20,0))*(1+$BW222)*(1+$BX222)</f>
        <v>0</v>
      </c>
      <c r="N222" s="46">
        <f>(($AU222*$AN222+$AO222)*(1+$AV222)*(1+$AW222)+($AZ222*IF($G$1="鸣金",$AP222,$AN222)+IF($G$1="鸣金",$AQ222*1.5,0))*(1+$BA222)*(1+$BB222)+($BD222*IF($G$1="裂石",$AP222,$AN222)+IF($G$1="裂石",$AQ222*1.5,0))*(1+$BE222)*(1+$BF222)+($BH222*IF($G$1="牵丝",$AP222,$AN222)+IF($G$1="牵丝",$AQ222*1.5,0))*(1+$BI222)*(1+$BJ222)+($BL222*IF($G$1="破竹",$AP222,$AN222)+IF($G$1="破竹",$AQ222*1.5,0))*(1+$BM222)*(1+$BN222))*(1+$AR222)*$BS222*$Q222*(1+IF(VLOOKUP($R222,武学奇术!$A:$ZZ,30,FALSE)="蓄力技",$B$21,0))*(1+IF(VLOOKUP($R222,武学奇术!$A:$ZZ,30,FALSE)="派生技",$B$20,0))*(1+$BW222)*(1+$BX222)</f>
        <v>0</v>
      </c>
      <c r="O222" s="46">
        <f>((($AT222+$AU222)/2*$AN222+$AO222)*(1+$AV222)*(1+$AW222)+(($AY222+$AZ222)/2*IF($G$1="鸣金",$AP222,$AN222)+IF($G$1="鸣金",$AQ222*1.5,0))*(1+$BA222)*(1+$BB222)+(($BC222+$BD222)/2*IF($G$1="裂石",$AP222,$AN222)+IF($G$1="裂石",$AQ222*1.5,0))*(1+$BE222)*(1+$BF222)+(($BG222+$BH222)/2*IF($G$1="牵丝",$AP222,$AN222)+IF($G$1="牵丝",$AQ222*1.5,0))*(1+$BI222)*(1+$BJ222)+(($BK222+$BL222)/2*IF($G$1="破竹",$AP222,$AN222)+IF($G$1="破竹",$AQ222*1.5,0))*(1+$BM222)*(1+$BN222))*(1+$AR222)*$Q222*(1+IF(VLOOKUP($R222,武学奇术!$A:$ZZ,30,FALSE)="蓄力技",$B$21,0))*(1+IF(VLOOKUP($R222,武学奇术!$A:$ZZ,30,FALSE)="派生技",$B$20,0))*(1+$BW222)*(1+$BX222)</f>
        <v>0</v>
      </c>
      <c r="P222" s="46">
        <f>((($AT222*$AN222+$AO222)*(1+$AV222)*(1+$AW222)+($AY222*IF($G$1="鸣金",$AP222,$AN222)+IF($G$1="鸣金",$AQ222*1.5,0))*(1+$BA222)*(1+$BB222)+($BC222*IF($G$1="裂石",$AP222,$AN222)+IF($G$1="裂石",$AQ222*1.5,0))*(1+$BE222)*(1+$BF222)+($BG222*IF($G$1="牵丝",$AP222,$AN222)+IF($G$1="牵丝",$AQ222*1.5,0))*(1+$BI222)*(1+$BJ222)+($BK222*IF($G$1="破竹",$AP222,$AN222)+IF($G$1="破竹",$AQ222*1.5,0))*(1+$BM222)*(1+$BN222))*(1+$AR222))*$Q222*(1+IF(VLOOKUP($R222,武学奇术!$A:$ZZ,30,FALSE)="蓄力技",$B$21,0))*(1+IF(VLOOKUP($R222,武学奇术!$A:$ZZ,30,FALSE)="派生技",$B$20,0))*(1+$BW222)*(1+$BX222)</f>
        <v>0</v>
      </c>
      <c r="Q222" s="47">
        <f t="shared" si="134"/>
        <v>0</v>
      </c>
      <c r="R222" s="48" t="s">
        <v>173</v>
      </c>
      <c r="S222" s="48" t="s">
        <v>99</v>
      </c>
      <c r="T222" s="48" t="s">
        <v>182</v>
      </c>
      <c r="U222" s="48" t="s">
        <v>79</v>
      </c>
      <c r="V222" s="48" t="s">
        <v>90</v>
      </c>
      <c r="W222" s="48" t="s">
        <v>141</v>
      </c>
      <c r="X222" s="48" t="s">
        <v>80</v>
      </c>
      <c r="Y222" s="48" t="s">
        <v>74</v>
      </c>
      <c r="Z222" s="48" t="s">
        <v>80</v>
      </c>
      <c r="AA222" s="48" t="s">
        <v>80</v>
      </c>
      <c r="AB222" s="48" t="s">
        <v>80</v>
      </c>
      <c r="AC222" s="48" t="s">
        <v>193</v>
      </c>
      <c r="AD222" s="48" t="s">
        <v>80</v>
      </c>
      <c r="AE222" s="48" t="s">
        <v>82</v>
      </c>
      <c r="AF222" s="48" t="s">
        <v>83</v>
      </c>
      <c r="AG222" s="48" t="s">
        <v>84</v>
      </c>
      <c r="AH222" s="48" t="s">
        <v>80</v>
      </c>
      <c r="AI222" s="48" t="s">
        <v>80</v>
      </c>
      <c r="AJ222" s="48" t="s">
        <v>80</v>
      </c>
      <c r="AK222" s="48" t="s">
        <v>80</v>
      </c>
      <c r="AL222" s="48" t="s">
        <v>85</v>
      </c>
      <c r="AM222" t="str">
        <f>VLOOKUP($R222,武学奇术!$A:$ZZ,25,FALSE)</f>
        <v>陌刀</v>
      </c>
      <c r="AN222" s="33">
        <f>VLOOKUP($R222,武学奇术!$A:$ZZ,26,FALSE)</f>
        <v>1.05</v>
      </c>
      <c r="AO222" s="34">
        <f>VLOOKUP($R222,武学奇术!$A:$ZZ,27,FALSE)*(1+IF(OR($AM222=$F$4,$AM222=$F$5),$B$22,0))</f>
        <v>0</v>
      </c>
      <c r="AP222" s="33">
        <f>VLOOKUP($R222,武学奇术!$A:$ZZ,28,FALSE)</f>
        <v>1.575</v>
      </c>
      <c r="AQ222" s="34">
        <f>VLOOKUP($R222,武学奇术!$A:$ZZ,29,FALSE)*(1+IF(OR($AM222=$F$4,$AM222=$F$5),$B$22,0))</f>
        <v>0</v>
      </c>
      <c r="AR222" s="33" cm="1">
        <f t="array" ref="AR222">$G$3+IFERROR(VLOOKUP($AM222,$F$4:$G$7,2,FALSE),0)+VLOOKUP($R222,武学奇术!$A:$ZZ,2,FALSE)+SUM(_xlfn.XLOOKUP($S222:$AL222,增益!$A:$A,增益!$B:$B,0))</f>
        <v>0.6943</v>
      </c>
      <c r="AS222" s="33" cm="1">
        <f t="array" ref="AS222">VLOOKUP($R222,武学奇术!$A:$ZZ,5,FALSE)+SUM(_xlfn.XLOOKUP($S222:$AL222,增益!$A:$A,增益!$E:$E,0))</f>
        <v>0</v>
      </c>
      <c r="AT222" cm="1">
        <f t="array" ref="AT222">$D$10*(1+$AS222)+VLOOKUP($R222,武学奇术!$A:$ZZ,3,FALSE)+SUM(_xlfn.XLOOKUP($S222:$AL222,增益!$A:$A,增益!$C:$C,0))-$I$2</f>
        <v>4094.7</v>
      </c>
      <c r="AU222" cm="1">
        <f t="array" ref="AU222">$E$10*(1+$AS222)+VLOOKUP($R222,武学奇术!$A:$ZZ,4,FALSE)+SUM(_xlfn.XLOOKUP($S222:$AL222,增益!$A:$A,增益!$D:$D,0))-$I$2</f>
        <v>4094.7</v>
      </c>
      <c r="AV222" s="40" cm="1">
        <f t="array" ref="AV222">IF($F$10-$I$3+VLOOKUP($R222,武学奇术!$A:$ZZ,6,FALSE)+SUM(_xlfn.XLOOKUP($S222:$AL222,增益!$A:$A,增益!$F:$F,0))&gt;0,($F$10-$I$3+VLOOKUP($R222,武学奇术!$A:$ZZ,6,FALSE)+SUM(_xlfn.XLOOKUP($S222:$AL222,增益!$A:$A,增益!$F:$F,0)))/200,($F$10-$I$3+VLOOKUP($R222,武学奇术!$A:$ZZ,6,FALSE)+SUM(_xlfn.XLOOKUP($S222:$AL222,增益!$A:$A,增益!$F:$F,0)))/100)</f>
        <v>0.4384</v>
      </c>
      <c r="AW222" s="40" cm="1">
        <f t="array" ref="AW222">$G$10+VLOOKUP($R222,武学奇术!$A:$ZZ,7,FALSE)+SUM(_xlfn.XLOOKUP($S222:$AL222,增益!$A:$A,增益!$G:$G,0))</f>
        <v>0.14</v>
      </c>
      <c r="AX222" s="33" cm="1">
        <f t="array" ref="AX222">VLOOKUP($R222,武学奇术!$A:$ZZ,8,FALSE)+SUM(_xlfn.XLOOKUP($S222:$AL222,增益!$A:$A,增益!$H:$H,0))</f>
        <v>0</v>
      </c>
      <c r="AY222">
        <f t="shared" si="135"/>
        <v>0</v>
      </c>
      <c r="AZ222">
        <f t="shared" si="136"/>
        <v>0</v>
      </c>
      <c r="BA222" s="40" cm="1">
        <f t="array" ref="BA222">IF($F$11-$I$4+VLOOKUP($R222,武学奇术!$A:$ZZ,9,FALSE)+SUM(_xlfn.XLOOKUP($S222:$AL222,增益!$A:$A,增益!$I:$I,0))&gt;0,($F$11-$I$4+VLOOKUP($R222,武学奇术!$A:$ZZ,9,FALSE)+SUM(_xlfn.XLOOKUP($S222:$AL222,增益!$A:$A,增益!$I:$I,0)))/200,($F$11-$I$4+VLOOKUP($R222,武学奇术!$A:$ZZ,9,FALSE)+SUM(_xlfn.XLOOKUP($S222:$AL222,增益!$A:$A,增益!$I:$I,0)))/100)</f>
        <v>-0.14</v>
      </c>
      <c r="BB222" s="40" cm="1">
        <f t="array" ref="BB222">$G$11+VLOOKUP($R222,武学奇术!$A:$ZZ,10,FALSE)+SUM(_xlfn.XLOOKUP($S222:$AL222,增益!$A:$A,增益!$J:$J,0))</f>
        <v>0.02</v>
      </c>
      <c r="BC222">
        <f t="shared" si="137"/>
        <v>640.3</v>
      </c>
      <c r="BD222">
        <f t="shared" si="138"/>
        <v>1770.1</v>
      </c>
      <c r="BE222" s="40" cm="1">
        <f t="array" ref="BE222">IF($F$12-$I$4+VLOOKUP($R222,武学奇术!$A:$ZZ,11,FALSE)+SUM(_xlfn.XLOOKUP($S222:$AL222,增益!$A:$A,增益!$K:$K,0))&gt;0,($F$12-$I$4+VLOOKUP($R222,武学奇术!$A:$ZZ,11,FALSE)+SUM(_xlfn.XLOOKUP($S222:$AL222,增益!$A:$A,增益!$K:$K,0)))/200,($F$12-$I$4+VLOOKUP($R222,武学奇术!$A:$ZZ,11,FALSE)+SUM(_xlfn.XLOOKUP($S222:$AL222,增益!$A:$A,增益!$K:$K,0)))/100)</f>
        <v>0.17</v>
      </c>
      <c r="BF222" s="40" cm="1">
        <f t="array" ref="BF222">$G$12+VLOOKUP($R222,武学奇术!$A:$ZZ,12,FALSE)+SUM(_xlfn.XLOOKUP($S222:$AL222,增益!$A:$A,增益!$L:$L,0))</f>
        <v>0.29</v>
      </c>
      <c r="BG222">
        <f t="shared" si="139"/>
        <v>0</v>
      </c>
      <c r="BH222">
        <f t="shared" si="140"/>
        <v>0</v>
      </c>
      <c r="BI222" s="40" cm="1">
        <f t="array" ref="BI222">IF($F$13-$I$4+VLOOKUP($R222,武学奇术!$A:$ZZ,13,FALSE)+SUM(_xlfn.XLOOKUP($S222:$AL222,增益!$A:$A,增益!$M:$M,0))&gt;0,($F$13-$I$4+VLOOKUP($R222,武学奇术!$A:$ZZ,13,FALSE)+SUM(_xlfn.XLOOKUP($S222:$AL222,增益!$A:$A,增益!$K:$K,0)))/200,($F$13-$I$4+VLOOKUP($R222,武学奇术!$A:$ZZ,13,FALSE)+SUM(_xlfn.XLOOKUP($S222:$AL222,增益!$A:$A,增益!$M:$M,0)))/100)</f>
        <v>-0.14</v>
      </c>
      <c r="BJ222" s="40" cm="1">
        <f t="array" ref="BJ222">$G$13+VLOOKUP($R222,武学奇术!$A:$ZZ,14,FALSE)+SUM(_xlfn.XLOOKUP($S222:$AL222,增益!$A:$A,增益!$N:$N,0))</f>
        <v>0.02</v>
      </c>
      <c r="BK222">
        <f t="shared" si="141"/>
        <v>0</v>
      </c>
      <c r="BL222">
        <f t="shared" si="142"/>
        <v>0</v>
      </c>
      <c r="BM222" s="40" cm="1">
        <f t="array" ref="BM222">IF($F$14-$I$4+VLOOKUP($R222,武学奇术!$A:$ZZ,15,FALSE)+SUM(_xlfn.XLOOKUP($S222:$AL222,增益!$A:$A,增益!$O:$O,0))&gt;0,($F$14-$I$4+VLOOKUP($R222,武学奇术!$A:$ZZ,15,FALSE)+SUM(_xlfn.XLOOKUP($S222:$AL222,增益!$A:$A,增益!$O:$O,0)))/200,($F$14-$I$4+VLOOKUP($R222,武学奇术!$A:$ZZ,15,FALSE)+SUM(_xlfn.XLOOKUP($S222:$AL222,增益!$A:$A,增益!$O:$O,0)))/100)</f>
        <v>-0.14</v>
      </c>
      <c r="BN222" s="40" cm="1">
        <f t="array" ref="BN222">$G$14+VLOOKUP($R222,武学奇术!$A:$ZZ,16,FALSE)+SUM(_xlfn.XLOOKUP($S222:$AL222,增益!$A:$A,增益!$P:$P,0))</f>
        <v>0.02</v>
      </c>
      <c r="BO222" s="33">
        <f>MIN(IF(VLOOKUP($R222,武学奇术!$A:$ZZ,23,FALSE)=1,100%,$B$8),100%)</f>
        <v>0.9771</v>
      </c>
      <c r="BP222" s="33" cm="1">
        <f t="array" ref="BP222">IF(VLOOKUP($R222,武学奇术!$A:$ZZ,23,FALSE)=1,100%,MIN(80%,$B$9+VLOOKUP($R222,武学奇术!$A:$ZZ,17,FALSE)+SUM(_xlfn.XLOOKUP($S222:$AL222,增益!$A:$A,增益!$Q:$Q,0)))+$B$11+SUM(_xlfn.XLOOKUP($S222:$AL222,增益!$A:$A,增益!$U:$U,0)))*IF(VLOOKUP($R222,武学奇术!$A:$ZZ,24,FALSE)=1,0,1)</f>
        <v>0.8861</v>
      </c>
      <c r="BQ222" s="33" cm="1">
        <f t="array" ref="BQ222">1+$B$13+VLOOKUP($R222,武学奇术!$A:$ZZ,18,FALSE)+SUM(_xlfn.XLOOKUP($S222:$AL222,增益!$A:$A,增益!$R:$R,0))</f>
        <v>2</v>
      </c>
      <c r="BR222" s="33" cm="1">
        <f t="array" ref="BR222">IF(VLOOKUP($R222,武学奇术!$A:$ZZ,24,FALSE)=1,100%,MIN(40%,$B$10+VLOOKUP($R222,武学奇术!$A:$ZZ,19,FALSE)+SUM(_xlfn.XLOOKUP($S222:$AL222,增益!$A:$A,增益!$S:$S,0)))+$B$12+SUM(_xlfn.XLOOKUP($S222:$AL222,增益!$A:$A,增益!$V:$V,0)))*IF(VLOOKUP($R222,武学奇术!$A:$ZZ,23,FALSE)=1,0,1)</f>
        <v>0.0913</v>
      </c>
      <c r="BS222" s="33" cm="1">
        <f t="array" ref="BS222">1+$B$14+VLOOKUP($R222,武学奇术!$A:$ZZ,20,FALSE)+SUM(_xlfn.XLOOKUP($S222:$AL222,增益!$A:$A,增益!$T:$T,0))</f>
        <v>1.35</v>
      </c>
      <c r="BT222" s="33">
        <f t="shared" si="143"/>
        <v>0.86580831</v>
      </c>
      <c r="BU222" s="33">
        <f t="shared" si="144"/>
        <v>0.02208246</v>
      </c>
      <c r="BV222" s="33">
        <f>IF(VLOOKUP($R222,武学奇术!$A:$ZZ,22,FALSE)=1,0,(1-$BO222))*(1-$BR222)</f>
        <v>0.02080923</v>
      </c>
      <c r="BW222" s="33" cm="1">
        <f t="array" ref="BW222">SUM(_xlfn.XLOOKUP($S222:$AL222,增益!$A:$A,增益!$W:$W,0))+$I$5</f>
        <v>0.11</v>
      </c>
      <c r="BX222" s="33" cm="1">
        <f t="array" ref="BX222">VLOOKUP($R222,武学奇术!$A:$ZZ,32,FALSE)+SUM(_xlfn.XLOOKUP($S222:$AL222,增益!$A:$A,增益!$X:$X,0))</f>
        <v>0</v>
      </c>
    </row>
    <row r="223" spans="12:76">
      <c r="L223" s="46">
        <f t="shared" si="133"/>
        <v>0</v>
      </c>
      <c r="M223" s="46">
        <f>((($AT223+$AU223)/2*$AN223+$AO223)*(1+$AV223)*(1+$AW223)+(($AY223+$AZ223)/2*IF($G$1="鸣金",$AP223,$AN223)+IF($G$1="鸣金",$AQ223*1.5,0))*(1+$BA223)*(1+$BB223)+(($BC223+$BD223)/2*IF($G$1="裂石",$AP223,$AN223)+IF($G$1="裂石",$AQ223*1.5,0))*(1+$BE223)*(1+$BF223)+(($BG223+$BH223)/2*IF($G$1="牵丝",$AP223,$AN223)+IF($G$1="牵丝",$AQ223*1.5,0))*(1+$BI223)*(1+$BJ223)+(($BK223+$BL223)/2*IF($G$1="破竹",$AP223,$AN223)+IF($G$1="破竹",$AQ223*1.5,0))*(1+$BM223)*(1+$BN223))*(1+$AR223)*$BQ223*$Q223*(1+IF(VLOOKUP($R223,武学奇术!$A:$ZZ,30,FALSE)="蓄力技",$B$21,0))*(1+IF(VLOOKUP($R223,武学奇术!$A:$ZZ,30,FALSE)="派生技",$B$20,0))*(1+$BW223)*(1+$BX223)</f>
        <v>0</v>
      </c>
      <c r="N223" s="46">
        <f>(($AU223*$AN223+$AO223)*(1+$AV223)*(1+$AW223)+($AZ223*IF($G$1="鸣金",$AP223,$AN223)+IF($G$1="鸣金",$AQ223*1.5,0))*(1+$BA223)*(1+$BB223)+($BD223*IF($G$1="裂石",$AP223,$AN223)+IF($G$1="裂石",$AQ223*1.5,0))*(1+$BE223)*(1+$BF223)+($BH223*IF($G$1="牵丝",$AP223,$AN223)+IF($G$1="牵丝",$AQ223*1.5,0))*(1+$BI223)*(1+$BJ223)+($BL223*IF($G$1="破竹",$AP223,$AN223)+IF($G$1="破竹",$AQ223*1.5,0))*(1+$BM223)*(1+$BN223))*(1+$AR223)*$BS223*$Q223*(1+IF(VLOOKUP($R223,武学奇术!$A:$ZZ,30,FALSE)="蓄力技",$B$21,0))*(1+IF(VLOOKUP($R223,武学奇术!$A:$ZZ,30,FALSE)="派生技",$B$20,0))*(1+$BW223)*(1+$BX223)</f>
        <v>0</v>
      </c>
      <c r="O223" s="46">
        <f>((($AT223+$AU223)/2*$AN223+$AO223)*(1+$AV223)*(1+$AW223)+(($AY223+$AZ223)/2*IF($G$1="鸣金",$AP223,$AN223)+IF($G$1="鸣金",$AQ223*1.5,0))*(1+$BA223)*(1+$BB223)+(($BC223+$BD223)/2*IF($G$1="裂石",$AP223,$AN223)+IF($G$1="裂石",$AQ223*1.5,0))*(1+$BE223)*(1+$BF223)+(($BG223+$BH223)/2*IF($G$1="牵丝",$AP223,$AN223)+IF($G$1="牵丝",$AQ223*1.5,0))*(1+$BI223)*(1+$BJ223)+(($BK223+$BL223)/2*IF($G$1="破竹",$AP223,$AN223)+IF($G$1="破竹",$AQ223*1.5,0))*(1+$BM223)*(1+$BN223))*(1+$AR223)*$Q223*(1+IF(VLOOKUP($R223,武学奇术!$A:$ZZ,30,FALSE)="蓄力技",$B$21,0))*(1+IF(VLOOKUP($R223,武学奇术!$A:$ZZ,30,FALSE)="派生技",$B$20,0))*(1+$BW223)*(1+$BX223)</f>
        <v>0</v>
      </c>
      <c r="P223" s="46">
        <f>((($AT223*$AN223+$AO223)*(1+$AV223)*(1+$AW223)+($AY223*IF($G$1="鸣金",$AP223,$AN223)+IF($G$1="鸣金",$AQ223*1.5,0))*(1+$BA223)*(1+$BB223)+($BC223*IF($G$1="裂石",$AP223,$AN223)+IF($G$1="裂石",$AQ223*1.5,0))*(1+$BE223)*(1+$BF223)+($BG223*IF($G$1="牵丝",$AP223,$AN223)+IF($G$1="牵丝",$AQ223*1.5,0))*(1+$BI223)*(1+$BJ223)+($BK223*IF($G$1="破竹",$AP223,$AN223)+IF($G$1="破竹",$AQ223*1.5,0))*(1+$BM223)*(1+$BN223))*(1+$AR223))*$Q223*(1+IF(VLOOKUP($R223,武学奇术!$A:$ZZ,30,FALSE)="蓄力技",$B$21,0))*(1+IF(VLOOKUP($R223,武学奇术!$A:$ZZ,30,FALSE)="派生技",$B$20,0))*(1+$BW223)*(1+$BX223)</f>
        <v>0</v>
      </c>
      <c r="Q223" s="47">
        <f t="shared" si="134"/>
        <v>0</v>
      </c>
      <c r="R223" s="48" t="s">
        <v>200</v>
      </c>
      <c r="S223" s="48" t="s">
        <v>99</v>
      </c>
      <c r="T223" s="48" t="s">
        <v>182</v>
      </c>
      <c r="U223" s="48" t="s">
        <v>79</v>
      </c>
      <c r="V223" s="48" t="s">
        <v>90</v>
      </c>
      <c r="W223" s="48" t="s">
        <v>91</v>
      </c>
      <c r="X223" s="48" t="s">
        <v>80</v>
      </c>
      <c r="Y223" s="48" t="s">
        <v>80</v>
      </c>
      <c r="Z223" s="48" t="s">
        <v>80</v>
      </c>
      <c r="AA223" s="48" t="s">
        <v>80</v>
      </c>
      <c r="AB223" s="48" t="s">
        <v>80</v>
      </c>
      <c r="AC223" s="48" t="s">
        <v>80</v>
      </c>
      <c r="AD223" s="48" t="s">
        <v>80</v>
      </c>
      <c r="AE223" s="48" t="s">
        <v>82</v>
      </c>
      <c r="AF223" s="48" t="s">
        <v>83</v>
      </c>
      <c r="AG223" s="48" t="s">
        <v>84</v>
      </c>
      <c r="AH223" s="48" t="s">
        <v>80</v>
      </c>
      <c r="AI223" s="48" t="s">
        <v>80</v>
      </c>
      <c r="AJ223" s="48" t="s">
        <v>80</v>
      </c>
      <c r="AK223" s="48" t="s">
        <v>80</v>
      </c>
      <c r="AL223" s="48" t="s">
        <v>85</v>
      </c>
      <c r="AM223" t="str">
        <f>VLOOKUP($R223,武学奇术!$A:$ZZ,25,FALSE)</f>
        <v>横刀</v>
      </c>
      <c r="AN223" s="33">
        <f>VLOOKUP($R223,武学奇术!$A:$ZZ,26,FALSE)</f>
        <v>0.6486</v>
      </c>
      <c r="AO223" s="34">
        <f>VLOOKUP($R223,武学奇术!$A:$ZZ,27,FALSE)*(1+IF(OR($AM223=$F$4,$AM223=$F$5),$B$22,0))</f>
        <v>288</v>
      </c>
      <c r="AP223" s="33">
        <f>VLOOKUP($R223,武学奇术!$A:$ZZ,28,FALSE)</f>
        <v>0.9729</v>
      </c>
      <c r="AQ223" s="34">
        <f>VLOOKUP($R223,武学奇术!$A:$ZZ,29,FALSE)*(1+IF(OR($AM223=$F$4,$AM223=$F$5),$B$22,0))</f>
        <v>156.8</v>
      </c>
      <c r="AR223" s="33" cm="1">
        <f t="array" ref="AR223">$G$3+IFERROR(VLOOKUP($AM223,$F$4:$G$7,2,FALSE),0)+VLOOKUP($R223,武学奇术!$A:$ZZ,2,FALSE)+SUM(_xlfn.XLOOKUP($S223:$AL223,增益!$A:$A,增益!$B:$B,0))</f>
        <v>0.5289</v>
      </c>
      <c r="AS223" s="33" cm="1">
        <f t="array" ref="AS223">VLOOKUP($R223,武学奇术!$A:$ZZ,5,FALSE)+SUM(_xlfn.XLOOKUP($S223:$AL223,增益!$A:$A,增益!$E:$E,0))</f>
        <v>0</v>
      </c>
      <c r="AT223" cm="1">
        <f t="array" ref="AT223">$D$10*(1+$AS223)+VLOOKUP($R223,武学奇术!$A:$ZZ,3,FALSE)+SUM(_xlfn.XLOOKUP($S223:$AL223,增益!$A:$A,增益!$C:$C,0))-$I$2</f>
        <v>4094.7</v>
      </c>
      <c r="AU223" cm="1">
        <f t="array" ref="AU223">$E$10*(1+$AS223)+VLOOKUP($R223,武学奇术!$A:$ZZ,4,FALSE)+SUM(_xlfn.XLOOKUP($S223:$AL223,增益!$A:$A,增益!$D:$D,0))-$I$2</f>
        <v>4094.7</v>
      </c>
      <c r="AV223" s="40" cm="1">
        <f t="array" ref="AV223">IF($F$10-$I$3+VLOOKUP($R223,武学奇术!$A:$ZZ,6,FALSE)+SUM(_xlfn.XLOOKUP($S223:$AL223,增益!$A:$A,增益!$F:$F,0))&gt;0,($F$10-$I$3+VLOOKUP($R223,武学奇术!$A:$ZZ,6,FALSE)+SUM(_xlfn.XLOOKUP($S223:$AL223,增益!$A:$A,增益!$F:$F,0)))/200,($F$10-$I$3+VLOOKUP($R223,武学奇术!$A:$ZZ,6,FALSE)+SUM(_xlfn.XLOOKUP($S223:$AL223,增益!$A:$A,增益!$F:$F,0)))/100)</f>
        <v>0.4134</v>
      </c>
      <c r="AW223" s="40" cm="1">
        <f t="array" ref="AW223">$G$10+VLOOKUP($R223,武学奇术!$A:$ZZ,7,FALSE)+SUM(_xlfn.XLOOKUP($S223:$AL223,增益!$A:$A,增益!$G:$G,0))</f>
        <v>0.14</v>
      </c>
      <c r="AX223" s="33" cm="1">
        <f t="array" ref="AX223">VLOOKUP($R223,武学奇术!$A:$ZZ,8,FALSE)+SUM(_xlfn.XLOOKUP($S223:$AL223,增益!$A:$A,增益!$H:$H,0))</f>
        <v>0</v>
      </c>
      <c r="AY223">
        <f t="shared" si="135"/>
        <v>0</v>
      </c>
      <c r="AZ223">
        <f t="shared" si="136"/>
        <v>0</v>
      </c>
      <c r="BA223" s="40" cm="1">
        <f t="array" ref="BA223">IF($F$11-$I$4+VLOOKUP($R223,武学奇术!$A:$ZZ,9,FALSE)+SUM(_xlfn.XLOOKUP($S223:$AL223,增益!$A:$A,增益!$I:$I,0))&gt;0,($F$11-$I$4+VLOOKUP($R223,武学奇术!$A:$ZZ,9,FALSE)+SUM(_xlfn.XLOOKUP($S223:$AL223,增益!$A:$A,增益!$I:$I,0)))/200,($F$11-$I$4+VLOOKUP($R223,武学奇术!$A:$ZZ,9,FALSE)+SUM(_xlfn.XLOOKUP($S223:$AL223,增益!$A:$A,增益!$I:$I,0)))/100)</f>
        <v>-0.14</v>
      </c>
      <c r="BB223" s="40" cm="1">
        <f t="array" ref="BB223">$G$11+VLOOKUP($R223,武学奇术!$A:$ZZ,10,FALSE)+SUM(_xlfn.XLOOKUP($S223:$AL223,增益!$A:$A,增益!$J:$J,0))</f>
        <v>0.02</v>
      </c>
      <c r="BC223">
        <f t="shared" si="137"/>
        <v>640.3</v>
      </c>
      <c r="BD223">
        <f t="shared" si="138"/>
        <v>1770.1</v>
      </c>
      <c r="BE223" s="40" cm="1">
        <f t="array" ref="BE223">IF($F$12-$I$4+VLOOKUP($R223,武学奇术!$A:$ZZ,11,FALSE)+SUM(_xlfn.XLOOKUP($S223:$AL223,增益!$A:$A,增益!$K:$K,0))&gt;0,($F$12-$I$4+VLOOKUP($R223,武学奇术!$A:$ZZ,11,FALSE)+SUM(_xlfn.XLOOKUP($S223:$AL223,增益!$A:$A,增益!$K:$K,0)))/200,($F$12-$I$4+VLOOKUP($R223,武学奇术!$A:$ZZ,11,FALSE)+SUM(_xlfn.XLOOKUP($S223:$AL223,增益!$A:$A,增益!$K:$K,0)))/100)</f>
        <v>0.17</v>
      </c>
      <c r="BF223" s="40" cm="1">
        <f t="array" ref="BF223">$G$12+VLOOKUP($R223,武学奇术!$A:$ZZ,12,FALSE)+SUM(_xlfn.XLOOKUP($S223:$AL223,增益!$A:$A,增益!$L:$L,0))</f>
        <v>0.29</v>
      </c>
      <c r="BG223">
        <f t="shared" si="139"/>
        <v>0</v>
      </c>
      <c r="BH223">
        <f t="shared" si="140"/>
        <v>0</v>
      </c>
      <c r="BI223" s="40" cm="1">
        <f t="array" ref="BI223">IF($F$13-$I$4+VLOOKUP($R223,武学奇术!$A:$ZZ,13,FALSE)+SUM(_xlfn.XLOOKUP($S223:$AL223,增益!$A:$A,增益!$M:$M,0))&gt;0,($F$13-$I$4+VLOOKUP($R223,武学奇术!$A:$ZZ,13,FALSE)+SUM(_xlfn.XLOOKUP($S223:$AL223,增益!$A:$A,增益!$K:$K,0)))/200,($F$13-$I$4+VLOOKUP($R223,武学奇术!$A:$ZZ,13,FALSE)+SUM(_xlfn.XLOOKUP($S223:$AL223,增益!$A:$A,增益!$M:$M,0)))/100)</f>
        <v>-0.14</v>
      </c>
      <c r="BJ223" s="40" cm="1">
        <f t="array" ref="BJ223">$G$13+VLOOKUP($R223,武学奇术!$A:$ZZ,14,FALSE)+SUM(_xlfn.XLOOKUP($S223:$AL223,增益!$A:$A,增益!$N:$N,0))</f>
        <v>0.02</v>
      </c>
      <c r="BK223">
        <f t="shared" si="141"/>
        <v>0</v>
      </c>
      <c r="BL223">
        <f t="shared" si="142"/>
        <v>0</v>
      </c>
      <c r="BM223" s="40" cm="1">
        <f t="array" ref="BM223">IF($F$14-$I$4+VLOOKUP($R223,武学奇术!$A:$ZZ,15,FALSE)+SUM(_xlfn.XLOOKUP($S223:$AL223,增益!$A:$A,增益!$O:$O,0))&gt;0,($F$14-$I$4+VLOOKUP($R223,武学奇术!$A:$ZZ,15,FALSE)+SUM(_xlfn.XLOOKUP($S223:$AL223,增益!$A:$A,增益!$O:$O,0)))/200,($F$14-$I$4+VLOOKUP($R223,武学奇术!$A:$ZZ,15,FALSE)+SUM(_xlfn.XLOOKUP($S223:$AL223,增益!$A:$A,增益!$O:$O,0)))/100)</f>
        <v>-0.14</v>
      </c>
      <c r="BN223" s="40" cm="1">
        <f t="array" ref="BN223">$G$14+VLOOKUP($R223,武学奇术!$A:$ZZ,16,FALSE)+SUM(_xlfn.XLOOKUP($S223:$AL223,增益!$A:$A,增益!$P:$P,0))</f>
        <v>0.02</v>
      </c>
      <c r="BO223" s="33">
        <f>MIN(IF(VLOOKUP($R223,武学奇术!$A:$ZZ,23,FALSE)=1,100%,$B$8),100%)</f>
        <v>0.9771</v>
      </c>
      <c r="BP223" s="33" cm="1">
        <f t="array" ref="BP223">IF(VLOOKUP($R223,武学奇术!$A:$ZZ,23,FALSE)=1,100%,MIN(80%,$B$9+VLOOKUP($R223,武学奇术!$A:$ZZ,17,FALSE)+SUM(_xlfn.XLOOKUP($S223:$AL223,增益!$A:$A,增益!$Q:$Q,0)))+$B$11+SUM(_xlfn.XLOOKUP($S223:$AL223,增益!$A:$A,增益!$U:$U,0)))*IF(VLOOKUP($R223,武学奇术!$A:$ZZ,24,FALSE)=1,0,1)</f>
        <v>0.8861</v>
      </c>
      <c r="BQ223" s="33" cm="1">
        <f t="array" ref="BQ223">1+$B$13+VLOOKUP($R223,武学奇术!$A:$ZZ,18,FALSE)+SUM(_xlfn.XLOOKUP($S223:$AL223,增益!$A:$A,增益!$R:$R,0))</f>
        <v>1.95</v>
      </c>
      <c r="BR223" s="33" cm="1">
        <f t="array" ref="BR223">IF(VLOOKUP($R223,武学奇术!$A:$ZZ,24,FALSE)=1,100%,MIN(40%,$B$10+VLOOKUP($R223,武学奇术!$A:$ZZ,19,FALSE)+SUM(_xlfn.XLOOKUP($S223:$AL223,增益!$A:$A,增益!$S:$S,0)))+$B$12+SUM(_xlfn.XLOOKUP($S223:$AL223,增益!$A:$A,增益!$V:$V,0)))*IF(VLOOKUP($R223,武学奇术!$A:$ZZ,23,FALSE)=1,0,1)</f>
        <v>0.0913</v>
      </c>
      <c r="BS223" s="33" cm="1">
        <f t="array" ref="BS223">1+$B$14+VLOOKUP($R223,武学奇术!$A:$ZZ,20,FALSE)+SUM(_xlfn.XLOOKUP($S223:$AL223,增益!$A:$A,增益!$T:$T,0))</f>
        <v>1.35</v>
      </c>
      <c r="BT223" s="33">
        <f t="shared" si="143"/>
        <v>0.86580831</v>
      </c>
      <c r="BU223" s="33">
        <f t="shared" si="144"/>
        <v>0.02208246</v>
      </c>
      <c r="BV223" s="33">
        <f>IF(VLOOKUP($R223,武学奇术!$A:$ZZ,22,FALSE)=1,0,(1-$BO223))*(1-$BR223)</f>
        <v>0.02080923</v>
      </c>
      <c r="BW223" s="33" cm="1">
        <f t="array" ref="BW223">SUM(_xlfn.XLOOKUP($S223:$AL223,增益!$A:$A,增益!$W:$W,0))+$I$5</f>
        <v>0.11</v>
      </c>
      <c r="BX223" s="33" cm="1">
        <f t="array" ref="BX223">VLOOKUP($R223,武学奇术!$A:$ZZ,32,FALSE)+SUM(_xlfn.XLOOKUP($S223:$AL223,增益!$A:$A,增益!$X:$X,0))</f>
        <v>0</v>
      </c>
    </row>
    <row r="224" spans="12:76">
      <c r="L224" s="46">
        <f t="shared" si="133"/>
        <v>0</v>
      </c>
      <c r="M224" s="46">
        <f>((($AT224+$AU224)/2*$AN224+$AO224)*(1+$AV224)*(1+$AW224)+(($AY224+$AZ224)/2*IF($G$1="鸣金",$AP224,$AN224)+IF($G$1="鸣金",$AQ224*1.5,0))*(1+$BA224)*(1+$BB224)+(($BC224+$BD224)/2*IF($G$1="裂石",$AP224,$AN224)+IF($G$1="裂石",$AQ224*1.5,0))*(1+$BE224)*(1+$BF224)+(($BG224+$BH224)/2*IF($G$1="牵丝",$AP224,$AN224)+IF($G$1="牵丝",$AQ224*1.5,0))*(1+$BI224)*(1+$BJ224)+(($BK224+$BL224)/2*IF($G$1="破竹",$AP224,$AN224)+IF($G$1="破竹",$AQ224*1.5,0))*(1+$BM224)*(1+$BN224))*(1+$AR224)*$BQ224*$Q224*(1+IF(VLOOKUP($R224,武学奇术!$A:$ZZ,30,FALSE)="蓄力技",$B$21,0))*(1+IF(VLOOKUP($R224,武学奇术!$A:$ZZ,30,FALSE)="派生技",$B$20,0))*(1+$BW224)*(1+$BX224)</f>
        <v>0</v>
      </c>
      <c r="N224" s="46">
        <f>(($AU224*$AN224+$AO224)*(1+$AV224)*(1+$AW224)+($AZ224*IF($G$1="鸣金",$AP224,$AN224)+IF($G$1="鸣金",$AQ224*1.5,0))*(1+$BA224)*(1+$BB224)+($BD224*IF($G$1="裂石",$AP224,$AN224)+IF($G$1="裂石",$AQ224*1.5,0))*(1+$BE224)*(1+$BF224)+($BH224*IF($G$1="牵丝",$AP224,$AN224)+IF($G$1="牵丝",$AQ224*1.5,0))*(1+$BI224)*(1+$BJ224)+($BL224*IF($G$1="破竹",$AP224,$AN224)+IF($G$1="破竹",$AQ224*1.5,0))*(1+$BM224)*(1+$BN224))*(1+$AR224)*$BS224*$Q224*(1+IF(VLOOKUP($R224,武学奇术!$A:$ZZ,30,FALSE)="蓄力技",$B$21,0))*(1+IF(VLOOKUP($R224,武学奇术!$A:$ZZ,30,FALSE)="派生技",$B$20,0))*(1+$BW224)*(1+$BX224)</f>
        <v>0</v>
      </c>
      <c r="O224" s="46">
        <f>((($AT224+$AU224)/2*$AN224+$AO224)*(1+$AV224)*(1+$AW224)+(($AY224+$AZ224)/2*IF($G$1="鸣金",$AP224,$AN224)+IF($G$1="鸣金",$AQ224*1.5,0))*(1+$BA224)*(1+$BB224)+(($BC224+$BD224)/2*IF($G$1="裂石",$AP224,$AN224)+IF($G$1="裂石",$AQ224*1.5,0))*(1+$BE224)*(1+$BF224)+(($BG224+$BH224)/2*IF($G$1="牵丝",$AP224,$AN224)+IF($G$1="牵丝",$AQ224*1.5,0))*(1+$BI224)*(1+$BJ224)+(($BK224+$BL224)/2*IF($G$1="破竹",$AP224,$AN224)+IF($G$1="破竹",$AQ224*1.5,0))*(1+$BM224)*(1+$BN224))*(1+$AR224)*$Q224*(1+IF(VLOOKUP($R224,武学奇术!$A:$ZZ,30,FALSE)="蓄力技",$B$21,0))*(1+IF(VLOOKUP($R224,武学奇术!$A:$ZZ,30,FALSE)="派生技",$B$20,0))*(1+$BW224)*(1+$BX224)</f>
        <v>0</v>
      </c>
      <c r="P224" s="46">
        <f>((($AT224*$AN224+$AO224)*(1+$AV224)*(1+$AW224)+($AY224*IF($G$1="鸣金",$AP224,$AN224)+IF($G$1="鸣金",$AQ224*1.5,0))*(1+$BA224)*(1+$BB224)+($BC224*IF($G$1="裂石",$AP224,$AN224)+IF($G$1="裂石",$AQ224*1.5,0))*(1+$BE224)*(1+$BF224)+($BG224*IF($G$1="牵丝",$AP224,$AN224)+IF($G$1="牵丝",$AQ224*1.5,0))*(1+$BI224)*(1+$BJ224)+($BK224*IF($G$1="破竹",$AP224,$AN224)+IF($G$1="破竹",$AQ224*1.5,0))*(1+$BM224)*(1+$BN224))*(1+$AR224))*$Q224*(1+IF(VLOOKUP($R224,武学奇术!$A:$ZZ,30,FALSE)="蓄力技",$B$21,0))*(1+IF(VLOOKUP($R224,武学奇术!$A:$ZZ,30,FALSE)="派生技",$B$20,0))*(1+$BW224)*(1+$BX224)</f>
        <v>0</v>
      </c>
      <c r="Q224" s="47">
        <f t="shared" si="134"/>
        <v>0</v>
      </c>
      <c r="R224" s="48" t="s">
        <v>200</v>
      </c>
      <c r="S224" s="48" t="s">
        <v>99</v>
      </c>
      <c r="T224" s="48" t="s">
        <v>182</v>
      </c>
      <c r="U224" s="48" t="s">
        <v>79</v>
      </c>
      <c r="V224" s="48" t="s">
        <v>90</v>
      </c>
      <c r="W224" s="48" t="s">
        <v>91</v>
      </c>
      <c r="X224" s="48" t="s">
        <v>80</v>
      </c>
      <c r="Y224" s="48" t="s">
        <v>80</v>
      </c>
      <c r="Z224" s="48" t="s">
        <v>80</v>
      </c>
      <c r="AA224" s="48" t="s">
        <v>80</v>
      </c>
      <c r="AB224" s="48" t="s">
        <v>80</v>
      </c>
      <c r="AC224" s="48" t="s">
        <v>80</v>
      </c>
      <c r="AD224" s="48" t="s">
        <v>80</v>
      </c>
      <c r="AE224" s="48" t="s">
        <v>82</v>
      </c>
      <c r="AF224" s="48" t="s">
        <v>83</v>
      </c>
      <c r="AG224" s="48" t="s">
        <v>84</v>
      </c>
      <c r="AH224" s="48" t="s">
        <v>80</v>
      </c>
      <c r="AI224" s="48" t="s">
        <v>80</v>
      </c>
      <c r="AJ224" s="48" t="s">
        <v>80</v>
      </c>
      <c r="AK224" s="48" t="s">
        <v>80</v>
      </c>
      <c r="AL224" s="48" t="s">
        <v>85</v>
      </c>
      <c r="AM224" t="str">
        <f>VLOOKUP($R224,武学奇术!$A:$ZZ,25,FALSE)</f>
        <v>横刀</v>
      </c>
      <c r="AN224" s="33">
        <f>VLOOKUP($R224,武学奇术!$A:$ZZ,26,FALSE)</f>
        <v>0.6486</v>
      </c>
      <c r="AO224" s="34">
        <f>VLOOKUP($R224,武学奇术!$A:$ZZ,27,FALSE)*(1+IF(OR($AM224=$F$4,$AM224=$F$5),$B$22,0))</f>
        <v>288</v>
      </c>
      <c r="AP224" s="33">
        <f>VLOOKUP($R224,武学奇术!$A:$ZZ,28,FALSE)</f>
        <v>0.9729</v>
      </c>
      <c r="AQ224" s="34">
        <f>VLOOKUP($R224,武学奇术!$A:$ZZ,29,FALSE)*(1+IF(OR($AM224=$F$4,$AM224=$F$5),$B$22,0))</f>
        <v>156.8</v>
      </c>
      <c r="AR224" s="33" cm="1">
        <f t="array" ref="AR224">$G$3+IFERROR(VLOOKUP($AM224,$F$4:$G$7,2,FALSE),0)+VLOOKUP($R224,武学奇术!$A:$ZZ,2,FALSE)+SUM(_xlfn.XLOOKUP($S224:$AL224,增益!$A:$A,增益!$B:$B,0))</f>
        <v>0.5289</v>
      </c>
      <c r="AS224" s="33" cm="1">
        <f t="array" ref="AS224">VLOOKUP($R224,武学奇术!$A:$ZZ,5,FALSE)+SUM(_xlfn.XLOOKUP($S224:$AL224,增益!$A:$A,增益!$E:$E,0))</f>
        <v>0</v>
      </c>
      <c r="AT224" cm="1">
        <f t="array" ref="AT224">$D$10*(1+$AS224)+VLOOKUP($R224,武学奇术!$A:$ZZ,3,FALSE)+SUM(_xlfn.XLOOKUP($S224:$AL224,增益!$A:$A,增益!$C:$C,0))-$I$2</f>
        <v>4094.7</v>
      </c>
      <c r="AU224" cm="1">
        <f t="array" ref="AU224">$E$10*(1+$AS224)+VLOOKUP($R224,武学奇术!$A:$ZZ,4,FALSE)+SUM(_xlfn.XLOOKUP($S224:$AL224,增益!$A:$A,增益!$D:$D,0))-$I$2</f>
        <v>4094.7</v>
      </c>
      <c r="AV224" s="40" cm="1">
        <f t="array" ref="AV224">IF($F$10-$I$3+VLOOKUP($R224,武学奇术!$A:$ZZ,6,FALSE)+SUM(_xlfn.XLOOKUP($S224:$AL224,增益!$A:$A,增益!$F:$F,0))&gt;0,($F$10-$I$3+VLOOKUP($R224,武学奇术!$A:$ZZ,6,FALSE)+SUM(_xlfn.XLOOKUP($S224:$AL224,增益!$A:$A,增益!$F:$F,0)))/200,($F$10-$I$3+VLOOKUP($R224,武学奇术!$A:$ZZ,6,FALSE)+SUM(_xlfn.XLOOKUP($S224:$AL224,增益!$A:$A,增益!$F:$F,0)))/100)</f>
        <v>0.4134</v>
      </c>
      <c r="AW224" s="40" cm="1">
        <f t="array" ref="AW224">$G$10+VLOOKUP($R224,武学奇术!$A:$ZZ,7,FALSE)+SUM(_xlfn.XLOOKUP($S224:$AL224,增益!$A:$A,增益!$G:$G,0))</f>
        <v>0.14</v>
      </c>
      <c r="AX224" s="33" cm="1">
        <f t="array" ref="AX224">VLOOKUP($R224,武学奇术!$A:$ZZ,8,FALSE)+SUM(_xlfn.XLOOKUP($S224:$AL224,增益!$A:$A,增益!$H:$H,0))</f>
        <v>0</v>
      </c>
      <c r="AY224">
        <f t="shared" si="135"/>
        <v>0</v>
      </c>
      <c r="AZ224">
        <f t="shared" si="136"/>
        <v>0</v>
      </c>
      <c r="BA224" s="40" cm="1">
        <f t="array" ref="BA224">IF($F$11-$I$4+VLOOKUP($R224,武学奇术!$A:$ZZ,9,FALSE)+SUM(_xlfn.XLOOKUP($S224:$AL224,增益!$A:$A,增益!$I:$I,0))&gt;0,($F$11-$I$4+VLOOKUP($R224,武学奇术!$A:$ZZ,9,FALSE)+SUM(_xlfn.XLOOKUP($S224:$AL224,增益!$A:$A,增益!$I:$I,0)))/200,($F$11-$I$4+VLOOKUP($R224,武学奇术!$A:$ZZ,9,FALSE)+SUM(_xlfn.XLOOKUP($S224:$AL224,增益!$A:$A,增益!$I:$I,0)))/100)</f>
        <v>-0.14</v>
      </c>
      <c r="BB224" s="40" cm="1">
        <f t="array" ref="BB224">$G$11+VLOOKUP($R224,武学奇术!$A:$ZZ,10,FALSE)+SUM(_xlfn.XLOOKUP($S224:$AL224,增益!$A:$A,增益!$J:$J,0))</f>
        <v>0.02</v>
      </c>
      <c r="BC224">
        <f t="shared" si="137"/>
        <v>640.3</v>
      </c>
      <c r="BD224">
        <f t="shared" si="138"/>
        <v>1770.1</v>
      </c>
      <c r="BE224" s="40" cm="1">
        <f t="array" ref="BE224">IF($F$12-$I$4+VLOOKUP($R224,武学奇术!$A:$ZZ,11,FALSE)+SUM(_xlfn.XLOOKUP($S224:$AL224,增益!$A:$A,增益!$K:$K,0))&gt;0,($F$12-$I$4+VLOOKUP($R224,武学奇术!$A:$ZZ,11,FALSE)+SUM(_xlfn.XLOOKUP($S224:$AL224,增益!$A:$A,增益!$K:$K,0)))/200,($F$12-$I$4+VLOOKUP($R224,武学奇术!$A:$ZZ,11,FALSE)+SUM(_xlfn.XLOOKUP($S224:$AL224,增益!$A:$A,增益!$K:$K,0)))/100)</f>
        <v>0.17</v>
      </c>
      <c r="BF224" s="40" cm="1">
        <f t="array" ref="BF224">$G$12+VLOOKUP($R224,武学奇术!$A:$ZZ,12,FALSE)+SUM(_xlfn.XLOOKUP($S224:$AL224,增益!$A:$A,增益!$L:$L,0))</f>
        <v>0.29</v>
      </c>
      <c r="BG224">
        <f t="shared" si="139"/>
        <v>0</v>
      </c>
      <c r="BH224">
        <f t="shared" si="140"/>
        <v>0</v>
      </c>
      <c r="BI224" s="40" cm="1">
        <f t="array" ref="BI224">IF($F$13-$I$4+VLOOKUP($R224,武学奇术!$A:$ZZ,13,FALSE)+SUM(_xlfn.XLOOKUP($S224:$AL224,增益!$A:$A,增益!$M:$M,0))&gt;0,($F$13-$I$4+VLOOKUP($R224,武学奇术!$A:$ZZ,13,FALSE)+SUM(_xlfn.XLOOKUP($S224:$AL224,增益!$A:$A,增益!$K:$K,0)))/200,($F$13-$I$4+VLOOKUP($R224,武学奇术!$A:$ZZ,13,FALSE)+SUM(_xlfn.XLOOKUP($S224:$AL224,增益!$A:$A,增益!$M:$M,0)))/100)</f>
        <v>-0.14</v>
      </c>
      <c r="BJ224" s="40" cm="1">
        <f t="array" ref="BJ224">$G$13+VLOOKUP($R224,武学奇术!$A:$ZZ,14,FALSE)+SUM(_xlfn.XLOOKUP($S224:$AL224,增益!$A:$A,增益!$N:$N,0))</f>
        <v>0.02</v>
      </c>
      <c r="BK224">
        <f t="shared" si="141"/>
        <v>0</v>
      </c>
      <c r="BL224">
        <f t="shared" si="142"/>
        <v>0</v>
      </c>
      <c r="BM224" s="40" cm="1">
        <f t="array" ref="BM224">IF($F$14-$I$4+VLOOKUP($R224,武学奇术!$A:$ZZ,15,FALSE)+SUM(_xlfn.XLOOKUP($S224:$AL224,增益!$A:$A,增益!$O:$O,0))&gt;0,($F$14-$I$4+VLOOKUP($R224,武学奇术!$A:$ZZ,15,FALSE)+SUM(_xlfn.XLOOKUP($S224:$AL224,增益!$A:$A,增益!$O:$O,0)))/200,($F$14-$I$4+VLOOKUP($R224,武学奇术!$A:$ZZ,15,FALSE)+SUM(_xlfn.XLOOKUP($S224:$AL224,增益!$A:$A,增益!$O:$O,0)))/100)</f>
        <v>-0.14</v>
      </c>
      <c r="BN224" s="40" cm="1">
        <f t="array" ref="BN224">$G$14+VLOOKUP($R224,武学奇术!$A:$ZZ,16,FALSE)+SUM(_xlfn.XLOOKUP($S224:$AL224,增益!$A:$A,增益!$P:$P,0))</f>
        <v>0.02</v>
      </c>
      <c r="BO224" s="33">
        <f>MIN(IF(VLOOKUP($R224,武学奇术!$A:$ZZ,23,FALSE)=1,100%,$B$8),100%)</f>
        <v>0.9771</v>
      </c>
      <c r="BP224" s="33" cm="1">
        <f t="array" ref="BP224">IF(VLOOKUP($R224,武学奇术!$A:$ZZ,23,FALSE)=1,100%,MIN(80%,$B$9+VLOOKUP($R224,武学奇术!$A:$ZZ,17,FALSE)+SUM(_xlfn.XLOOKUP($S224:$AL224,增益!$A:$A,增益!$Q:$Q,0)))+$B$11+SUM(_xlfn.XLOOKUP($S224:$AL224,增益!$A:$A,增益!$U:$U,0)))*IF(VLOOKUP($R224,武学奇术!$A:$ZZ,24,FALSE)=1,0,1)</f>
        <v>0.8861</v>
      </c>
      <c r="BQ224" s="33" cm="1">
        <f t="array" ref="BQ224">1+$B$13+VLOOKUP($R224,武学奇术!$A:$ZZ,18,FALSE)+SUM(_xlfn.XLOOKUP($S224:$AL224,增益!$A:$A,增益!$R:$R,0))</f>
        <v>1.95</v>
      </c>
      <c r="BR224" s="33" cm="1">
        <f t="array" ref="BR224">IF(VLOOKUP($R224,武学奇术!$A:$ZZ,24,FALSE)=1,100%,MIN(40%,$B$10+VLOOKUP($R224,武学奇术!$A:$ZZ,19,FALSE)+SUM(_xlfn.XLOOKUP($S224:$AL224,增益!$A:$A,增益!$S:$S,0)))+$B$12+SUM(_xlfn.XLOOKUP($S224:$AL224,增益!$A:$A,增益!$V:$V,0)))*IF(VLOOKUP($R224,武学奇术!$A:$ZZ,23,FALSE)=1,0,1)</f>
        <v>0.0913</v>
      </c>
      <c r="BS224" s="33" cm="1">
        <f t="array" ref="BS224">1+$B$14+VLOOKUP($R224,武学奇术!$A:$ZZ,20,FALSE)+SUM(_xlfn.XLOOKUP($S224:$AL224,增益!$A:$A,增益!$T:$T,0))</f>
        <v>1.35</v>
      </c>
      <c r="BT224" s="33">
        <f t="shared" si="143"/>
        <v>0.86580831</v>
      </c>
      <c r="BU224" s="33">
        <f t="shared" si="144"/>
        <v>0.02208246</v>
      </c>
      <c r="BV224" s="33">
        <f>IF(VLOOKUP($R224,武学奇术!$A:$ZZ,22,FALSE)=1,0,(1-$BO224))*(1-$BR224)</f>
        <v>0.02080923</v>
      </c>
      <c r="BW224" s="33" cm="1">
        <f t="array" ref="BW224">SUM(_xlfn.XLOOKUP($S224:$AL224,增益!$A:$A,增益!$W:$W,0))+$I$5</f>
        <v>0.11</v>
      </c>
      <c r="BX224" s="33" cm="1">
        <f t="array" ref="BX224">VLOOKUP($R224,武学奇术!$A:$ZZ,32,FALSE)+SUM(_xlfn.XLOOKUP($S224:$AL224,增益!$A:$A,增益!$X:$X,0))</f>
        <v>0</v>
      </c>
    </row>
    <row r="225" spans="12:76">
      <c r="L225" s="46">
        <f t="shared" si="133"/>
        <v>0</v>
      </c>
      <c r="M225" s="46">
        <f>((($AT225+$AU225)/2*$AN225+$AO225)*(1+$AV225)*(1+$AW225)+(($AY225+$AZ225)/2*IF($G$1="鸣金",$AP225,$AN225)+IF($G$1="鸣金",$AQ225*1.5,0))*(1+$BA225)*(1+$BB225)+(($BC225+$BD225)/2*IF($G$1="裂石",$AP225,$AN225)+IF($G$1="裂石",$AQ225*1.5,0))*(1+$BE225)*(1+$BF225)+(($BG225+$BH225)/2*IF($G$1="牵丝",$AP225,$AN225)+IF($G$1="牵丝",$AQ225*1.5,0))*(1+$BI225)*(1+$BJ225)+(($BK225+$BL225)/2*IF($G$1="破竹",$AP225,$AN225)+IF($G$1="破竹",$AQ225*1.5,0))*(1+$BM225)*(1+$BN225))*(1+$AR225)*$BQ225*$Q225*(1+IF(VLOOKUP($R225,武学奇术!$A:$ZZ,30,FALSE)="蓄力技",$B$21,0))*(1+IF(VLOOKUP($R225,武学奇术!$A:$ZZ,30,FALSE)="派生技",$B$20,0))*(1+$BW225)*(1+$BX225)</f>
        <v>0</v>
      </c>
      <c r="N225" s="46">
        <f>(($AU225*$AN225+$AO225)*(1+$AV225)*(1+$AW225)+($AZ225*IF($G$1="鸣金",$AP225,$AN225)+IF($G$1="鸣金",$AQ225*1.5,0))*(1+$BA225)*(1+$BB225)+($BD225*IF($G$1="裂石",$AP225,$AN225)+IF($G$1="裂石",$AQ225*1.5,0))*(1+$BE225)*(1+$BF225)+($BH225*IF($G$1="牵丝",$AP225,$AN225)+IF($G$1="牵丝",$AQ225*1.5,0))*(1+$BI225)*(1+$BJ225)+($BL225*IF($G$1="破竹",$AP225,$AN225)+IF($G$1="破竹",$AQ225*1.5,0))*(1+$BM225)*(1+$BN225))*(1+$AR225)*$BS225*$Q225*(1+IF(VLOOKUP($R225,武学奇术!$A:$ZZ,30,FALSE)="蓄力技",$B$21,0))*(1+IF(VLOOKUP($R225,武学奇术!$A:$ZZ,30,FALSE)="派生技",$B$20,0))*(1+$BW225)*(1+$BX225)</f>
        <v>0</v>
      </c>
      <c r="O225" s="46">
        <f>((($AT225+$AU225)/2*$AN225+$AO225)*(1+$AV225)*(1+$AW225)+(($AY225+$AZ225)/2*IF($G$1="鸣金",$AP225,$AN225)+IF($G$1="鸣金",$AQ225*1.5,0))*(1+$BA225)*(1+$BB225)+(($BC225+$BD225)/2*IF($G$1="裂石",$AP225,$AN225)+IF($G$1="裂石",$AQ225*1.5,0))*(1+$BE225)*(1+$BF225)+(($BG225+$BH225)/2*IF($G$1="牵丝",$AP225,$AN225)+IF($G$1="牵丝",$AQ225*1.5,0))*(1+$BI225)*(1+$BJ225)+(($BK225+$BL225)/2*IF($G$1="破竹",$AP225,$AN225)+IF($G$1="破竹",$AQ225*1.5,0))*(1+$BM225)*(1+$BN225))*(1+$AR225)*$Q225*(1+IF(VLOOKUP($R225,武学奇术!$A:$ZZ,30,FALSE)="蓄力技",$B$21,0))*(1+IF(VLOOKUP($R225,武学奇术!$A:$ZZ,30,FALSE)="派生技",$B$20,0))*(1+$BW225)*(1+$BX225)</f>
        <v>0</v>
      </c>
      <c r="P225" s="46">
        <f>((($AT225*$AN225+$AO225)*(1+$AV225)*(1+$AW225)+($AY225*IF($G$1="鸣金",$AP225,$AN225)+IF($G$1="鸣金",$AQ225*1.5,0))*(1+$BA225)*(1+$BB225)+($BC225*IF($G$1="裂石",$AP225,$AN225)+IF($G$1="裂石",$AQ225*1.5,0))*(1+$BE225)*(1+$BF225)+($BG225*IF($G$1="牵丝",$AP225,$AN225)+IF($G$1="牵丝",$AQ225*1.5,0))*(1+$BI225)*(1+$BJ225)+($BK225*IF($G$1="破竹",$AP225,$AN225)+IF($G$1="破竹",$AQ225*1.5,0))*(1+$BM225)*(1+$BN225))*(1+$AR225))*$Q225*(1+IF(VLOOKUP($R225,武学奇术!$A:$ZZ,30,FALSE)="蓄力技",$B$21,0))*(1+IF(VLOOKUP($R225,武学奇术!$A:$ZZ,30,FALSE)="派生技",$B$20,0))*(1+$BW225)*(1+$BX225)</f>
        <v>0</v>
      </c>
      <c r="Q225" s="47">
        <f t="shared" si="134"/>
        <v>0</v>
      </c>
      <c r="R225" s="48" t="s">
        <v>175</v>
      </c>
      <c r="S225" s="48" t="s">
        <v>99</v>
      </c>
      <c r="T225" s="48" t="s">
        <v>182</v>
      </c>
      <c r="U225" s="48" t="s">
        <v>79</v>
      </c>
      <c r="V225" s="48" t="s">
        <v>90</v>
      </c>
      <c r="W225" s="48" t="s">
        <v>91</v>
      </c>
      <c r="X225" s="48" t="s">
        <v>80</v>
      </c>
      <c r="Y225" s="48" t="s">
        <v>80</v>
      </c>
      <c r="Z225" s="48" t="s">
        <v>80</v>
      </c>
      <c r="AA225" s="48" t="s">
        <v>80</v>
      </c>
      <c r="AB225" s="48" t="s">
        <v>80</v>
      </c>
      <c r="AC225" s="48" t="s">
        <v>80</v>
      </c>
      <c r="AD225" s="48" t="s">
        <v>80</v>
      </c>
      <c r="AE225" s="48" t="s">
        <v>82</v>
      </c>
      <c r="AF225" s="48" t="s">
        <v>83</v>
      </c>
      <c r="AG225" s="48" t="s">
        <v>84</v>
      </c>
      <c r="AH225" s="48" t="s">
        <v>80</v>
      </c>
      <c r="AI225" s="48" t="s">
        <v>80</v>
      </c>
      <c r="AJ225" s="48" t="s">
        <v>80</v>
      </c>
      <c r="AK225" s="48" t="s">
        <v>80</v>
      </c>
      <c r="AL225" s="48" t="s">
        <v>85</v>
      </c>
      <c r="AM225" t="str">
        <f>VLOOKUP($R225,武学奇术!$A:$ZZ,25,FALSE)</f>
        <v>横刀</v>
      </c>
      <c r="AN225" s="33">
        <f>VLOOKUP($R225,武学奇术!$A:$ZZ,26,FALSE)</f>
        <v>1.2338</v>
      </c>
      <c r="AO225" s="34">
        <f>VLOOKUP($R225,武学奇术!$A:$ZZ,27,FALSE)*(1+IF(OR($AM225=$F$4,$AM225=$F$5),$B$22,0))</f>
        <v>547.2</v>
      </c>
      <c r="AP225" s="33">
        <f>VLOOKUP($R225,武学奇术!$A:$ZZ,28,FALSE)</f>
        <v>1.8507</v>
      </c>
      <c r="AQ225" s="34">
        <f>VLOOKUP($R225,武学奇术!$A:$ZZ,29,FALSE)*(1+IF(OR($AM225=$F$4,$AM225=$F$5),$B$22,0))</f>
        <v>297.6</v>
      </c>
      <c r="AR225" s="33" cm="1">
        <f t="array" ref="AR225">$G$3+IFERROR(VLOOKUP($AM225,$F$4:$G$7,2,FALSE),0)+VLOOKUP($R225,武学奇术!$A:$ZZ,2,FALSE)+SUM(_xlfn.XLOOKUP($S225:$AL225,增益!$A:$A,增益!$B:$B,0))</f>
        <v>0.5289</v>
      </c>
      <c r="AS225" s="33" cm="1">
        <f t="array" ref="AS225">VLOOKUP($R225,武学奇术!$A:$ZZ,5,FALSE)+SUM(_xlfn.XLOOKUP($S225:$AL225,增益!$A:$A,增益!$E:$E,0))</f>
        <v>0</v>
      </c>
      <c r="AT225" cm="1">
        <f t="array" ref="AT225">$D$10*(1+$AS225)+VLOOKUP($R225,武学奇术!$A:$ZZ,3,FALSE)+SUM(_xlfn.XLOOKUP($S225:$AL225,增益!$A:$A,增益!$C:$C,0))-$I$2</f>
        <v>4094.7</v>
      </c>
      <c r="AU225" cm="1">
        <f t="array" ref="AU225">$E$10*(1+$AS225)+VLOOKUP($R225,武学奇术!$A:$ZZ,4,FALSE)+SUM(_xlfn.XLOOKUP($S225:$AL225,增益!$A:$A,增益!$D:$D,0))-$I$2</f>
        <v>4094.7</v>
      </c>
      <c r="AV225" s="40" cm="1">
        <f t="array" ref="AV225">IF($F$10-$I$3+VLOOKUP($R225,武学奇术!$A:$ZZ,6,FALSE)+SUM(_xlfn.XLOOKUP($S225:$AL225,增益!$A:$A,增益!$F:$F,0))&gt;0,($F$10-$I$3+VLOOKUP($R225,武学奇术!$A:$ZZ,6,FALSE)+SUM(_xlfn.XLOOKUP($S225:$AL225,增益!$A:$A,增益!$F:$F,0)))/200,($F$10-$I$3+VLOOKUP($R225,武学奇术!$A:$ZZ,6,FALSE)+SUM(_xlfn.XLOOKUP($S225:$AL225,增益!$A:$A,增益!$F:$F,0)))/100)</f>
        <v>0.4134</v>
      </c>
      <c r="AW225" s="40" cm="1">
        <f t="array" ref="AW225">$G$10+VLOOKUP($R225,武学奇术!$A:$ZZ,7,FALSE)+SUM(_xlfn.XLOOKUP($S225:$AL225,增益!$A:$A,增益!$G:$G,0))</f>
        <v>0.14</v>
      </c>
      <c r="AX225" s="33" cm="1">
        <f t="array" ref="AX225">VLOOKUP($R225,武学奇术!$A:$ZZ,8,FALSE)+SUM(_xlfn.XLOOKUP($S225:$AL225,增益!$A:$A,增益!$H:$H,0))</f>
        <v>0</v>
      </c>
      <c r="AY225">
        <f t="shared" si="135"/>
        <v>0</v>
      </c>
      <c r="AZ225">
        <f t="shared" si="136"/>
        <v>0</v>
      </c>
      <c r="BA225" s="40" cm="1">
        <f t="array" ref="BA225">IF($F$11-$I$4+VLOOKUP($R225,武学奇术!$A:$ZZ,9,FALSE)+SUM(_xlfn.XLOOKUP($S225:$AL225,增益!$A:$A,增益!$I:$I,0))&gt;0,($F$11-$I$4+VLOOKUP($R225,武学奇术!$A:$ZZ,9,FALSE)+SUM(_xlfn.XLOOKUP($S225:$AL225,增益!$A:$A,增益!$I:$I,0)))/200,($F$11-$I$4+VLOOKUP($R225,武学奇术!$A:$ZZ,9,FALSE)+SUM(_xlfn.XLOOKUP($S225:$AL225,增益!$A:$A,增益!$I:$I,0)))/100)</f>
        <v>-0.14</v>
      </c>
      <c r="BB225" s="40" cm="1">
        <f t="array" ref="BB225">$G$11+VLOOKUP($R225,武学奇术!$A:$ZZ,10,FALSE)+SUM(_xlfn.XLOOKUP($S225:$AL225,增益!$A:$A,增益!$J:$J,0))</f>
        <v>0.02</v>
      </c>
      <c r="BC225">
        <f t="shared" si="137"/>
        <v>640.3</v>
      </c>
      <c r="BD225">
        <f t="shared" si="138"/>
        <v>1770.1</v>
      </c>
      <c r="BE225" s="40" cm="1">
        <f t="array" ref="BE225">IF($F$12-$I$4+VLOOKUP($R225,武学奇术!$A:$ZZ,11,FALSE)+SUM(_xlfn.XLOOKUP($S225:$AL225,增益!$A:$A,增益!$K:$K,0))&gt;0,($F$12-$I$4+VLOOKUP($R225,武学奇术!$A:$ZZ,11,FALSE)+SUM(_xlfn.XLOOKUP($S225:$AL225,增益!$A:$A,增益!$K:$K,0)))/200,($F$12-$I$4+VLOOKUP($R225,武学奇术!$A:$ZZ,11,FALSE)+SUM(_xlfn.XLOOKUP($S225:$AL225,增益!$A:$A,增益!$K:$K,0)))/100)</f>
        <v>0.17</v>
      </c>
      <c r="BF225" s="40" cm="1">
        <f t="array" ref="BF225">$G$12+VLOOKUP($R225,武学奇术!$A:$ZZ,12,FALSE)+SUM(_xlfn.XLOOKUP($S225:$AL225,增益!$A:$A,增益!$L:$L,0))</f>
        <v>0.29</v>
      </c>
      <c r="BG225">
        <f t="shared" si="139"/>
        <v>0</v>
      </c>
      <c r="BH225">
        <f t="shared" si="140"/>
        <v>0</v>
      </c>
      <c r="BI225" s="40" cm="1">
        <f t="array" ref="BI225">IF($F$13-$I$4+VLOOKUP($R225,武学奇术!$A:$ZZ,13,FALSE)+SUM(_xlfn.XLOOKUP($S225:$AL225,增益!$A:$A,增益!$M:$M,0))&gt;0,($F$13-$I$4+VLOOKUP($R225,武学奇术!$A:$ZZ,13,FALSE)+SUM(_xlfn.XLOOKUP($S225:$AL225,增益!$A:$A,增益!$K:$K,0)))/200,($F$13-$I$4+VLOOKUP($R225,武学奇术!$A:$ZZ,13,FALSE)+SUM(_xlfn.XLOOKUP($S225:$AL225,增益!$A:$A,增益!$M:$M,0)))/100)</f>
        <v>-0.14</v>
      </c>
      <c r="BJ225" s="40" cm="1">
        <f t="array" ref="BJ225">$G$13+VLOOKUP($R225,武学奇术!$A:$ZZ,14,FALSE)+SUM(_xlfn.XLOOKUP($S225:$AL225,增益!$A:$A,增益!$N:$N,0))</f>
        <v>0.02</v>
      </c>
      <c r="BK225">
        <f t="shared" si="141"/>
        <v>0</v>
      </c>
      <c r="BL225">
        <f t="shared" si="142"/>
        <v>0</v>
      </c>
      <c r="BM225" s="40" cm="1">
        <f t="array" ref="BM225">IF($F$14-$I$4+VLOOKUP($R225,武学奇术!$A:$ZZ,15,FALSE)+SUM(_xlfn.XLOOKUP($S225:$AL225,增益!$A:$A,增益!$O:$O,0))&gt;0,($F$14-$I$4+VLOOKUP($R225,武学奇术!$A:$ZZ,15,FALSE)+SUM(_xlfn.XLOOKUP($S225:$AL225,增益!$A:$A,增益!$O:$O,0)))/200,($F$14-$I$4+VLOOKUP($R225,武学奇术!$A:$ZZ,15,FALSE)+SUM(_xlfn.XLOOKUP($S225:$AL225,增益!$A:$A,增益!$O:$O,0)))/100)</f>
        <v>-0.14</v>
      </c>
      <c r="BN225" s="40" cm="1">
        <f t="array" ref="BN225">$G$14+VLOOKUP($R225,武学奇术!$A:$ZZ,16,FALSE)+SUM(_xlfn.XLOOKUP($S225:$AL225,增益!$A:$A,增益!$P:$P,0))</f>
        <v>0.02</v>
      </c>
      <c r="BO225" s="33">
        <f>MIN(IF(VLOOKUP($R225,武学奇术!$A:$ZZ,23,FALSE)=1,100%,$B$8),100%)</f>
        <v>0.9771</v>
      </c>
      <c r="BP225" s="33" cm="1">
        <f t="array" ref="BP225">IF(VLOOKUP($R225,武学奇术!$A:$ZZ,23,FALSE)=1,100%,MIN(80%,$B$9+VLOOKUP($R225,武学奇术!$A:$ZZ,17,FALSE)+SUM(_xlfn.XLOOKUP($S225:$AL225,增益!$A:$A,增益!$Q:$Q,0)))+$B$11+SUM(_xlfn.XLOOKUP($S225:$AL225,增益!$A:$A,增益!$U:$U,0)))*IF(VLOOKUP($R225,武学奇术!$A:$ZZ,24,FALSE)=1,0,1)</f>
        <v>0.8861</v>
      </c>
      <c r="BQ225" s="33" cm="1">
        <f t="array" ref="BQ225">1+$B$13+VLOOKUP($R225,武学奇术!$A:$ZZ,18,FALSE)+SUM(_xlfn.XLOOKUP($S225:$AL225,增益!$A:$A,增益!$R:$R,0))</f>
        <v>1.95</v>
      </c>
      <c r="BR225" s="33" cm="1">
        <f t="array" ref="BR225">IF(VLOOKUP($R225,武学奇术!$A:$ZZ,24,FALSE)=1,100%,MIN(40%,$B$10+VLOOKUP($R225,武学奇术!$A:$ZZ,19,FALSE)+SUM(_xlfn.XLOOKUP($S225:$AL225,增益!$A:$A,增益!$S:$S,0)))+$B$12+SUM(_xlfn.XLOOKUP($S225:$AL225,增益!$A:$A,增益!$V:$V,0)))*IF(VLOOKUP($R225,武学奇术!$A:$ZZ,23,FALSE)=1,0,1)</f>
        <v>0.0913</v>
      </c>
      <c r="BS225" s="33" cm="1">
        <f t="array" ref="BS225">1+$B$14+VLOOKUP($R225,武学奇术!$A:$ZZ,20,FALSE)+SUM(_xlfn.XLOOKUP($S225:$AL225,增益!$A:$A,增益!$T:$T,0))</f>
        <v>1.35</v>
      </c>
      <c r="BT225" s="33">
        <f t="shared" si="143"/>
        <v>0.86580831</v>
      </c>
      <c r="BU225" s="33">
        <f t="shared" si="144"/>
        <v>0.02208246</v>
      </c>
      <c r="BV225" s="33">
        <f>IF(VLOOKUP($R225,武学奇术!$A:$ZZ,22,FALSE)=1,0,(1-$BO225))*(1-$BR225)</f>
        <v>0.02080923</v>
      </c>
      <c r="BW225" s="33" cm="1">
        <f t="array" ref="BW225">SUM(_xlfn.XLOOKUP($S225:$AL225,增益!$A:$A,增益!$W:$W,0))+$I$5</f>
        <v>0.11</v>
      </c>
      <c r="BX225" s="33" cm="1">
        <f t="array" ref="BX225">VLOOKUP($R225,武学奇术!$A:$ZZ,32,FALSE)+SUM(_xlfn.XLOOKUP($S225:$AL225,增益!$A:$A,增益!$X:$X,0))</f>
        <v>0</v>
      </c>
    </row>
    <row r="226" spans="12:76">
      <c r="L226" s="46">
        <f t="shared" si="133"/>
        <v>0</v>
      </c>
      <c r="M226" s="46">
        <f>((($AT226+$AU226)/2*$AN226+$AO226)*(1+$AV226)*(1+$AW226)+(($AY226+$AZ226)/2*IF($G$1="鸣金",$AP226,$AN226)+IF($G$1="鸣金",$AQ226*1.5,0))*(1+$BA226)*(1+$BB226)+(($BC226+$BD226)/2*IF($G$1="裂石",$AP226,$AN226)+IF($G$1="裂石",$AQ226*1.5,0))*(1+$BE226)*(1+$BF226)+(($BG226+$BH226)/2*IF($G$1="牵丝",$AP226,$AN226)+IF($G$1="牵丝",$AQ226*1.5,0))*(1+$BI226)*(1+$BJ226)+(($BK226+$BL226)/2*IF($G$1="破竹",$AP226,$AN226)+IF($G$1="破竹",$AQ226*1.5,0))*(1+$BM226)*(1+$BN226))*(1+$AR226)*$BQ226*$Q226*(1+IF(VLOOKUP($R226,武学奇术!$A:$ZZ,30,FALSE)="蓄力技",$B$21,0))*(1+IF(VLOOKUP($R226,武学奇术!$A:$ZZ,30,FALSE)="派生技",$B$20,0))*(1+$BW226)*(1+$BX226)</f>
        <v>0</v>
      </c>
      <c r="N226" s="46">
        <f>(($AU226*$AN226+$AO226)*(1+$AV226)*(1+$AW226)+($AZ226*IF($G$1="鸣金",$AP226,$AN226)+IF($G$1="鸣金",$AQ226*1.5,0))*(1+$BA226)*(1+$BB226)+($BD226*IF($G$1="裂石",$AP226,$AN226)+IF($G$1="裂石",$AQ226*1.5,0))*(1+$BE226)*(1+$BF226)+($BH226*IF($G$1="牵丝",$AP226,$AN226)+IF($G$1="牵丝",$AQ226*1.5,0))*(1+$BI226)*(1+$BJ226)+($BL226*IF($G$1="破竹",$AP226,$AN226)+IF($G$1="破竹",$AQ226*1.5,0))*(1+$BM226)*(1+$BN226))*(1+$AR226)*$BS226*$Q226*(1+IF(VLOOKUP($R226,武学奇术!$A:$ZZ,30,FALSE)="蓄力技",$B$21,0))*(1+IF(VLOOKUP($R226,武学奇术!$A:$ZZ,30,FALSE)="派生技",$B$20,0))*(1+$BW226)*(1+$BX226)</f>
        <v>0</v>
      </c>
      <c r="O226" s="46">
        <f>((($AT226+$AU226)/2*$AN226+$AO226)*(1+$AV226)*(1+$AW226)+(($AY226+$AZ226)/2*IF($G$1="鸣金",$AP226,$AN226)+IF($G$1="鸣金",$AQ226*1.5,0))*(1+$BA226)*(1+$BB226)+(($BC226+$BD226)/2*IF($G$1="裂石",$AP226,$AN226)+IF($G$1="裂石",$AQ226*1.5,0))*(1+$BE226)*(1+$BF226)+(($BG226+$BH226)/2*IF($G$1="牵丝",$AP226,$AN226)+IF($G$1="牵丝",$AQ226*1.5,0))*(1+$BI226)*(1+$BJ226)+(($BK226+$BL226)/2*IF($G$1="破竹",$AP226,$AN226)+IF($G$1="破竹",$AQ226*1.5,0))*(1+$BM226)*(1+$BN226))*(1+$AR226)*$Q226*(1+IF(VLOOKUP($R226,武学奇术!$A:$ZZ,30,FALSE)="蓄力技",$B$21,0))*(1+IF(VLOOKUP($R226,武学奇术!$A:$ZZ,30,FALSE)="派生技",$B$20,0))*(1+$BW226)*(1+$BX226)</f>
        <v>0</v>
      </c>
      <c r="P226" s="46">
        <f>((($AT226*$AN226+$AO226)*(1+$AV226)*(1+$AW226)+($AY226*IF($G$1="鸣金",$AP226,$AN226)+IF($G$1="鸣金",$AQ226*1.5,0))*(1+$BA226)*(1+$BB226)+($BC226*IF($G$1="裂石",$AP226,$AN226)+IF($G$1="裂石",$AQ226*1.5,0))*(1+$BE226)*(1+$BF226)+($BG226*IF($G$1="牵丝",$AP226,$AN226)+IF($G$1="牵丝",$AQ226*1.5,0))*(1+$BI226)*(1+$BJ226)+($BK226*IF($G$1="破竹",$AP226,$AN226)+IF($G$1="破竹",$AQ226*1.5,0))*(1+$BM226)*(1+$BN226))*(1+$AR226))*$Q226*(1+IF(VLOOKUP($R226,武学奇术!$A:$ZZ,30,FALSE)="蓄力技",$B$21,0))*(1+IF(VLOOKUP($R226,武学奇术!$A:$ZZ,30,FALSE)="派生技",$B$20,0))*(1+$BW226)*(1+$BX226)</f>
        <v>0</v>
      </c>
      <c r="Q226" s="47">
        <f t="shared" si="134"/>
        <v>0</v>
      </c>
      <c r="R226" s="48" t="s">
        <v>116</v>
      </c>
      <c r="S226" s="48" t="s">
        <v>99</v>
      </c>
      <c r="T226" s="48" t="s">
        <v>182</v>
      </c>
      <c r="U226" s="48" t="s">
        <v>79</v>
      </c>
      <c r="V226" s="48" t="s">
        <v>80</v>
      </c>
      <c r="W226" s="48" t="s">
        <v>91</v>
      </c>
      <c r="X226" s="48" t="s">
        <v>80</v>
      </c>
      <c r="Y226" s="48" t="s">
        <v>80</v>
      </c>
      <c r="Z226" s="48" t="s">
        <v>80</v>
      </c>
      <c r="AA226" s="48" t="s">
        <v>80</v>
      </c>
      <c r="AB226" s="48" t="s">
        <v>80</v>
      </c>
      <c r="AC226" s="48" t="s">
        <v>80</v>
      </c>
      <c r="AD226" s="48" t="s">
        <v>80</v>
      </c>
      <c r="AE226" s="48" t="s">
        <v>82</v>
      </c>
      <c r="AF226" s="48" t="s">
        <v>83</v>
      </c>
      <c r="AG226" s="48" t="s">
        <v>84</v>
      </c>
      <c r="AH226" s="48" t="s">
        <v>80</v>
      </c>
      <c r="AI226" s="48" t="s">
        <v>80</v>
      </c>
      <c r="AJ226" s="48" t="s">
        <v>80</v>
      </c>
      <c r="AK226" s="48" t="s">
        <v>80</v>
      </c>
      <c r="AL226" s="48" t="s">
        <v>85</v>
      </c>
      <c r="AM226" t="str">
        <f>VLOOKUP($R226,武学奇术!$A:$ZZ,25,FALSE)</f>
        <v>横刀</v>
      </c>
      <c r="AN226" s="33">
        <f>VLOOKUP($R226,武学奇术!$A:$ZZ,26,FALSE)</f>
        <v>3.7797</v>
      </c>
      <c r="AO226" s="34">
        <f>VLOOKUP($R226,武学奇术!$A:$ZZ,27,FALSE)*(1+IF(OR($AM226=$F$4,$AM226=$F$5),$B$22,0))</f>
        <v>1672</v>
      </c>
      <c r="AP226" s="33">
        <f>VLOOKUP($R226,武学奇术!$A:$ZZ,28,FALSE)</f>
        <v>5.6696</v>
      </c>
      <c r="AQ226" s="34">
        <f>VLOOKUP($R226,武学奇术!$A:$ZZ,29,FALSE)*(1+IF(OR($AM226=$F$4,$AM226=$F$5),$B$22,0))</f>
        <v>912</v>
      </c>
      <c r="AR226" s="33" cm="1">
        <f t="array" ref="AR226">$G$3+IFERROR(VLOOKUP($AM226,$F$4:$G$7,2,FALSE),0)+VLOOKUP($R226,武学奇术!$A:$ZZ,2,FALSE)+SUM(_xlfn.XLOOKUP($S226:$AL226,增益!$A:$A,增益!$B:$B,0))</f>
        <v>0.4489</v>
      </c>
      <c r="AS226" s="33" cm="1">
        <f t="array" ref="AS226">VLOOKUP($R226,武学奇术!$A:$ZZ,5,FALSE)+SUM(_xlfn.XLOOKUP($S226:$AL226,增益!$A:$A,增益!$E:$E,0))</f>
        <v>0</v>
      </c>
      <c r="AT226" cm="1">
        <f t="array" ref="AT226">$D$10*(1+$AS226)+VLOOKUP($R226,武学奇术!$A:$ZZ,3,FALSE)+SUM(_xlfn.XLOOKUP($S226:$AL226,增益!$A:$A,增益!$C:$C,0))-$I$2</f>
        <v>4094.7</v>
      </c>
      <c r="AU226" cm="1">
        <f t="array" ref="AU226">$E$10*(1+$AS226)+VLOOKUP($R226,武学奇术!$A:$ZZ,4,FALSE)+SUM(_xlfn.XLOOKUP($S226:$AL226,增益!$A:$A,增益!$D:$D,0))-$I$2</f>
        <v>4094.7</v>
      </c>
      <c r="AV226" s="40" cm="1">
        <f t="array" ref="AV226">IF($F$10-$I$3+VLOOKUP($R226,武学奇术!$A:$ZZ,6,FALSE)+SUM(_xlfn.XLOOKUP($S226:$AL226,增益!$A:$A,增益!$F:$F,0))&gt;0,($F$10-$I$3+VLOOKUP($R226,武学奇术!$A:$ZZ,6,FALSE)+SUM(_xlfn.XLOOKUP($S226:$AL226,增益!$A:$A,增益!$F:$F,0)))/200,($F$10-$I$3+VLOOKUP($R226,武学奇术!$A:$ZZ,6,FALSE)+SUM(_xlfn.XLOOKUP($S226:$AL226,增益!$A:$A,增益!$F:$F,0)))/100)</f>
        <v>0.4134</v>
      </c>
      <c r="AW226" s="40" cm="1">
        <f t="array" ref="AW226">$G$10+VLOOKUP($R226,武学奇术!$A:$ZZ,7,FALSE)+SUM(_xlfn.XLOOKUP($S226:$AL226,增益!$A:$A,增益!$G:$G,0))</f>
        <v>0.14</v>
      </c>
      <c r="AX226" s="33" cm="1">
        <f t="array" ref="AX226">VLOOKUP($R226,武学奇术!$A:$ZZ,8,FALSE)+SUM(_xlfn.XLOOKUP($S226:$AL226,增益!$A:$A,增益!$H:$H,0))</f>
        <v>0</v>
      </c>
      <c r="AY226">
        <f t="shared" si="135"/>
        <v>0</v>
      </c>
      <c r="AZ226">
        <f t="shared" si="136"/>
        <v>0</v>
      </c>
      <c r="BA226" s="40" cm="1">
        <f t="array" ref="BA226">IF($F$11-$I$4+VLOOKUP($R226,武学奇术!$A:$ZZ,9,FALSE)+SUM(_xlfn.XLOOKUP($S226:$AL226,增益!$A:$A,增益!$I:$I,0))&gt;0,($F$11-$I$4+VLOOKUP($R226,武学奇术!$A:$ZZ,9,FALSE)+SUM(_xlfn.XLOOKUP($S226:$AL226,增益!$A:$A,增益!$I:$I,0)))/200,($F$11-$I$4+VLOOKUP($R226,武学奇术!$A:$ZZ,9,FALSE)+SUM(_xlfn.XLOOKUP($S226:$AL226,增益!$A:$A,增益!$I:$I,0)))/100)</f>
        <v>-0.3</v>
      </c>
      <c r="BB226" s="40" cm="1">
        <f t="array" ref="BB226">$G$11+VLOOKUP($R226,武学奇术!$A:$ZZ,10,FALSE)+SUM(_xlfn.XLOOKUP($S226:$AL226,增益!$A:$A,增益!$J:$J,0))</f>
        <v>0.02</v>
      </c>
      <c r="BC226">
        <f t="shared" si="137"/>
        <v>640.3</v>
      </c>
      <c r="BD226">
        <f t="shared" si="138"/>
        <v>1770.1</v>
      </c>
      <c r="BE226" s="40" cm="1">
        <f t="array" ref="BE226">IF($F$12-$I$4+VLOOKUP($R226,武学奇术!$A:$ZZ,11,FALSE)+SUM(_xlfn.XLOOKUP($S226:$AL226,增益!$A:$A,增益!$K:$K,0))&gt;0,($F$12-$I$4+VLOOKUP($R226,武学奇术!$A:$ZZ,11,FALSE)+SUM(_xlfn.XLOOKUP($S226:$AL226,增益!$A:$A,增益!$K:$K,0)))/200,($F$12-$I$4+VLOOKUP($R226,武学奇术!$A:$ZZ,11,FALSE)+SUM(_xlfn.XLOOKUP($S226:$AL226,增益!$A:$A,增益!$K:$K,0)))/100)</f>
        <v>0.09</v>
      </c>
      <c r="BF226" s="40" cm="1">
        <f t="array" ref="BF226">$G$12+VLOOKUP($R226,武学奇术!$A:$ZZ,12,FALSE)+SUM(_xlfn.XLOOKUP($S226:$AL226,增益!$A:$A,增益!$L:$L,0))</f>
        <v>0.29</v>
      </c>
      <c r="BG226">
        <f t="shared" si="139"/>
        <v>0</v>
      </c>
      <c r="BH226">
        <f t="shared" si="140"/>
        <v>0</v>
      </c>
      <c r="BI226" s="40" cm="1">
        <f t="array" ref="BI226">IF($F$13-$I$4+VLOOKUP($R226,武学奇术!$A:$ZZ,13,FALSE)+SUM(_xlfn.XLOOKUP($S226:$AL226,增益!$A:$A,增益!$M:$M,0))&gt;0,($F$13-$I$4+VLOOKUP($R226,武学奇术!$A:$ZZ,13,FALSE)+SUM(_xlfn.XLOOKUP($S226:$AL226,增益!$A:$A,增益!$K:$K,0)))/200,($F$13-$I$4+VLOOKUP($R226,武学奇术!$A:$ZZ,13,FALSE)+SUM(_xlfn.XLOOKUP($S226:$AL226,增益!$A:$A,增益!$M:$M,0)))/100)</f>
        <v>-0.3</v>
      </c>
      <c r="BJ226" s="40" cm="1">
        <f t="array" ref="BJ226">$G$13+VLOOKUP($R226,武学奇术!$A:$ZZ,14,FALSE)+SUM(_xlfn.XLOOKUP($S226:$AL226,增益!$A:$A,增益!$N:$N,0))</f>
        <v>0.02</v>
      </c>
      <c r="BK226">
        <f t="shared" si="141"/>
        <v>0</v>
      </c>
      <c r="BL226">
        <f t="shared" si="142"/>
        <v>0</v>
      </c>
      <c r="BM226" s="40" cm="1">
        <f t="array" ref="BM226">IF($F$14-$I$4+VLOOKUP($R226,武学奇术!$A:$ZZ,15,FALSE)+SUM(_xlfn.XLOOKUP($S226:$AL226,增益!$A:$A,增益!$O:$O,0))&gt;0,($F$14-$I$4+VLOOKUP($R226,武学奇术!$A:$ZZ,15,FALSE)+SUM(_xlfn.XLOOKUP($S226:$AL226,增益!$A:$A,增益!$O:$O,0)))/200,($F$14-$I$4+VLOOKUP($R226,武学奇术!$A:$ZZ,15,FALSE)+SUM(_xlfn.XLOOKUP($S226:$AL226,增益!$A:$A,增益!$O:$O,0)))/100)</f>
        <v>-0.3</v>
      </c>
      <c r="BN226" s="40" cm="1">
        <f t="array" ref="BN226">$G$14+VLOOKUP($R226,武学奇术!$A:$ZZ,16,FALSE)+SUM(_xlfn.XLOOKUP($S226:$AL226,增益!$A:$A,增益!$P:$P,0))</f>
        <v>0.02</v>
      </c>
      <c r="BO226" s="33">
        <f>MIN(IF(VLOOKUP($R226,武学奇术!$A:$ZZ,23,FALSE)=1,100%,$B$8),100%)</f>
        <v>0.9771</v>
      </c>
      <c r="BP226" s="33" cm="1">
        <f t="array" ref="BP226">IF(VLOOKUP($R226,武学奇术!$A:$ZZ,23,FALSE)=1,100%,MIN(80%,$B$9+VLOOKUP($R226,武学奇术!$A:$ZZ,17,FALSE)+SUM(_xlfn.XLOOKUP($S226:$AL226,增益!$A:$A,增益!$Q:$Q,0)))+$B$11+SUM(_xlfn.XLOOKUP($S226:$AL226,增益!$A:$A,增益!$U:$U,0)))*IF(VLOOKUP($R226,武学奇术!$A:$ZZ,24,FALSE)=1,0,1)</f>
        <v>0.8861</v>
      </c>
      <c r="BQ226" s="33" cm="1">
        <f t="array" ref="BQ226">1+$B$13+VLOOKUP($R226,武学奇术!$A:$ZZ,18,FALSE)+SUM(_xlfn.XLOOKUP($S226:$AL226,增益!$A:$A,增益!$R:$R,0))</f>
        <v>1.95</v>
      </c>
      <c r="BR226" s="33" cm="1">
        <f t="array" ref="BR226">IF(VLOOKUP($R226,武学奇术!$A:$ZZ,24,FALSE)=1,100%,MIN(40%,$B$10+VLOOKUP($R226,武学奇术!$A:$ZZ,19,FALSE)+SUM(_xlfn.XLOOKUP($S226:$AL226,增益!$A:$A,增益!$S:$S,0)))+$B$12+SUM(_xlfn.XLOOKUP($S226:$AL226,增益!$A:$A,增益!$V:$V,0)))*IF(VLOOKUP($R226,武学奇术!$A:$ZZ,23,FALSE)=1,0,1)</f>
        <v>0.0913</v>
      </c>
      <c r="BS226" s="33" cm="1">
        <f t="array" ref="BS226">1+$B$14+VLOOKUP($R226,武学奇术!$A:$ZZ,20,FALSE)+SUM(_xlfn.XLOOKUP($S226:$AL226,增益!$A:$A,增益!$T:$T,0))</f>
        <v>1.35</v>
      </c>
      <c r="BT226" s="33">
        <f t="shared" si="143"/>
        <v>0.86580831</v>
      </c>
      <c r="BU226" s="33">
        <f t="shared" si="144"/>
        <v>0.02208246</v>
      </c>
      <c r="BV226" s="33">
        <f>IF(VLOOKUP($R226,武学奇术!$A:$ZZ,22,FALSE)=1,0,(1-$BO226))*(1-$BR226)</f>
        <v>0.02080923</v>
      </c>
      <c r="BW226" s="33" cm="1">
        <f t="array" ref="BW226">SUM(_xlfn.XLOOKUP($S226:$AL226,增益!$A:$A,增益!$W:$W,0))+$I$5</f>
        <v>0.11</v>
      </c>
      <c r="BX226" s="33" cm="1">
        <f t="array" ref="BX226">VLOOKUP($R226,武学奇术!$A:$ZZ,32,FALSE)+SUM(_xlfn.XLOOKUP($S226:$AL226,增益!$A:$A,增益!$X:$X,0))</f>
        <v>0</v>
      </c>
    </row>
    <row r="227" spans="12:76">
      <c r="L227" s="46">
        <f t="shared" si="133"/>
        <v>0</v>
      </c>
      <c r="M227" s="46">
        <f>((($AT227+$AU227)/2*$AN227+$AO227)*(1+$AV227)*(1+$AW227)+(($AY227+$AZ227)/2*IF($G$1="鸣金",$AP227,$AN227)+IF($G$1="鸣金",$AQ227*1.5,0))*(1+$BA227)*(1+$BB227)+(($BC227+$BD227)/2*IF($G$1="裂石",$AP227,$AN227)+IF($G$1="裂石",$AQ227*1.5,0))*(1+$BE227)*(1+$BF227)+(($BG227+$BH227)/2*IF($G$1="牵丝",$AP227,$AN227)+IF($G$1="牵丝",$AQ227*1.5,0))*(1+$BI227)*(1+$BJ227)+(($BK227+$BL227)/2*IF($G$1="破竹",$AP227,$AN227)+IF($G$1="破竹",$AQ227*1.5,0))*(1+$BM227)*(1+$BN227))*(1+$AR227)*$BQ227*$Q227*(1+IF(VLOOKUP($R227,武学奇术!$A:$ZZ,30,FALSE)="蓄力技",$B$21,0))*(1+IF(VLOOKUP($R227,武学奇术!$A:$ZZ,30,FALSE)="派生技",$B$20,0))*(1+$BW227)*(1+$BX227)</f>
        <v>0</v>
      </c>
      <c r="N227" s="46">
        <f>(($AU227*$AN227+$AO227)*(1+$AV227)*(1+$AW227)+($AZ227*IF($G$1="鸣金",$AP227,$AN227)+IF($G$1="鸣金",$AQ227*1.5,0))*(1+$BA227)*(1+$BB227)+($BD227*IF($G$1="裂石",$AP227,$AN227)+IF($G$1="裂石",$AQ227*1.5,0))*(1+$BE227)*(1+$BF227)+($BH227*IF($G$1="牵丝",$AP227,$AN227)+IF($G$1="牵丝",$AQ227*1.5,0))*(1+$BI227)*(1+$BJ227)+($BL227*IF($G$1="破竹",$AP227,$AN227)+IF($G$1="破竹",$AQ227*1.5,0))*(1+$BM227)*(1+$BN227))*(1+$AR227)*$BS227*$Q227*(1+IF(VLOOKUP($R227,武学奇术!$A:$ZZ,30,FALSE)="蓄力技",$B$21,0))*(1+IF(VLOOKUP($R227,武学奇术!$A:$ZZ,30,FALSE)="派生技",$B$20,0))*(1+$BW227)*(1+$BX227)</f>
        <v>0</v>
      </c>
      <c r="O227" s="46">
        <f>((($AT227+$AU227)/2*$AN227+$AO227)*(1+$AV227)*(1+$AW227)+(($AY227+$AZ227)/2*IF($G$1="鸣金",$AP227,$AN227)+IF($G$1="鸣金",$AQ227*1.5,0))*(1+$BA227)*(1+$BB227)+(($BC227+$BD227)/2*IF($G$1="裂石",$AP227,$AN227)+IF($G$1="裂石",$AQ227*1.5,0))*(1+$BE227)*(1+$BF227)+(($BG227+$BH227)/2*IF($G$1="牵丝",$AP227,$AN227)+IF($G$1="牵丝",$AQ227*1.5,0))*(1+$BI227)*(1+$BJ227)+(($BK227+$BL227)/2*IF($G$1="破竹",$AP227,$AN227)+IF($G$1="破竹",$AQ227*1.5,0))*(1+$BM227)*(1+$BN227))*(1+$AR227)*$Q227*(1+IF(VLOOKUP($R227,武学奇术!$A:$ZZ,30,FALSE)="蓄力技",$B$21,0))*(1+IF(VLOOKUP($R227,武学奇术!$A:$ZZ,30,FALSE)="派生技",$B$20,0))*(1+$BW227)*(1+$BX227)</f>
        <v>0</v>
      </c>
      <c r="P227" s="46">
        <f>((($AT227*$AN227+$AO227)*(1+$AV227)*(1+$AW227)+($AY227*IF($G$1="鸣金",$AP227,$AN227)+IF($G$1="鸣金",$AQ227*1.5,0))*(1+$BA227)*(1+$BB227)+($BC227*IF($G$1="裂石",$AP227,$AN227)+IF($G$1="裂石",$AQ227*1.5,0))*(1+$BE227)*(1+$BF227)+($BG227*IF($G$1="牵丝",$AP227,$AN227)+IF($G$1="牵丝",$AQ227*1.5,0))*(1+$BI227)*(1+$BJ227)+($BK227*IF($G$1="破竹",$AP227,$AN227)+IF($G$1="破竹",$AQ227*1.5,0))*(1+$BM227)*(1+$BN227))*(1+$AR227))*$Q227*(1+IF(VLOOKUP($R227,武学奇术!$A:$ZZ,30,FALSE)="蓄力技",$B$21,0))*(1+IF(VLOOKUP($R227,武学奇术!$A:$ZZ,30,FALSE)="派生技",$B$20,0))*(1+$BW227)*(1+$BX227)</f>
        <v>0</v>
      </c>
      <c r="Q227" s="47">
        <f t="shared" si="134"/>
        <v>0</v>
      </c>
      <c r="R227" s="48" t="s">
        <v>195</v>
      </c>
      <c r="S227" s="48" t="s">
        <v>99</v>
      </c>
      <c r="T227" s="48" t="s">
        <v>182</v>
      </c>
      <c r="U227" s="48" t="s">
        <v>79</v>
      </c>
      <c r="V227" s="48" t="s">
        <v>80</v>
      </c>
      <c r="W227" s="48" t="s">
        <v>141</v>
      </c>
      <c r="X227" s="48" t="s">
        <v>80</v>
      </c>
      <c r="Y227" s="48" t="s">
        <v>74</v>
      </c>
      <c r="Z227" s="48" t="s">
        <v>80</v>
      </c>
      <c r="AA227" s="48" t="s">
        <v>80</v>
      </c>
      <c r="AB227" s="48" t="s">
        <v>80</v>
      </c>
      <c r="AC227" s="48" t="s">
        <v>80</v>
      </c>
      <c r="AD227" s="48" t="s">
        <v>80</v>
      </c>
      <c r="AE227" s="48" t="s">
        <v>82</v>
      </c>
      <c r="AF227" s="48" t="s">
        <v>83</v>
      </c>
      <c r="AG227" s="48" t="s">
        <v>84</v>
      </c>
      <c r="AH227" s="48" t="s">
        <v>80</v>
      </c>
      <c r="AI227" s="48" t="s">
        <v>80</v>
      </c>
      <c r="AJ227" s="48" t="s">
        <v>80</v>
      </c>
      <c r="AK227" s="48" t="s">
        <v>80</v>
      </c>
      <c r="AL227" s="48" t="s">
        <v>85</v>
      </c>
      <c r="AM227" t="str">
        <f>VLOOKUP($R227,武学奇术!$A:$ZZ,25,FALSE)</f>
        <v>横刀</v>
      </c>
      <c r="AN227" s="33">
        <f>VLOOKUP($R227,武学奇术!$A:$ZZ,26,FALSE)</f>
        <v>3.6553</v>
      </c>
      <c r="AO227" s="34">
        <f>VLOOKUP($R227,武学奇术!$A:$ZZ,27,FALSE)*(1+IF(OR($AM227=$F$4,$AM227=$F$5),$B$22,0))</f>
        <v>1619.2</v>
      </c>
      <c r="AP227" s="33">
        <f>VLOOKUP($R227,武学奇术!$A:$ZZ,28,FALSE)</f>
        <v>5.4829</v>
      </c>
      <c r="AQ227" s="34">
        <f>VLOOKUP($R227,武学奇术!$A:$ZZ,29,FALSE)*(1+IF(OR($AM227=$F$4,$AM227=$F$5),$B$22,0))</f>
        <v>880</v>
      </c>
      <c r="AR227" s="33" cm="1">
        <f t="array" ref="AR227">$G$3+IFERROR(VLOOKUP($AM227,$F$4:$G$7,2,FALSE),0)+VLOOKUP($R227,武学奇术!$A:$ZZ,2,FALSE)+SUM(_xlfn.XLOOKUP($S227:$AL227,增益!$A:$A,增益!$B:$B,0))</f>
        <v>0.6289</v>
      </c>
      <c r="AS227" s="33" cm="1">
        <f t="array" ref="AS227">VLOOKUP($R227,武学奇术!$A:$ZZ,5,FALSE)+SUM(_xlfn.XLOOKUP($S227:$AL227,增益!$A:$A,增益!$E:$E,0))</f>
        <v>0</v>
      </c>
      <c r="AT227" cm="1">
        <f t="array" ref="AT227">$D$10*(1+$AS227)+VLOOKUP($R227,武学奇术!$A:$ZZ,3,FALSE)+SUM(_xlfn.XLOOKUP($S227:$AL227,增益!$A:$A,增益!$C:$C,0))-$I$2</f>
        <v>4094.7</v>
      </c>
      <c r="AU227" cm="1">
        <f t="array" ref="AU227">$E$10*(1+$AS227)+VLOOKUP($R227,武学奇术!$A:$ZZ,4,FALSE)+SUM(_xlfn.XLOOKUP($S227:$AL227,增益!$A:$A,增益!$D:$D,0))-$I$2</f>
        <v>4094.7</v>
      </c>
      <c r="AV227" s="40" cm="1">
        <f t="array" ref="AV227">IF($F$10-$I$3+VLOOKUP($R227,武学奇术!$A:$ZZ,6,FALSE)+SUM(_xlfn.XLOOKUP($S227:$AL227,增益!$A:$A,增益!$F:$F,0))&gt;0,($F$10-$I$3+VLOOKUP($R227,武学奇术!$A:$ZZ,6,FALSE)+SUM(_xlfn.XLOOKUP($S227:$AL227,增益!$A:$A,增益!$F:$F,0)))/200,($F$10-$I$3+VLOOKUP($R227,武学奇术!$A:$ZZ,6,FALSE)+SUM(_xlfn.XLOOKUP($S227:$AL227,增益!$A:$A,增益!$F:$F,0)))/100)</f>
        <v>0.4384</v>
      </c>
      <c r="AW227" s="40" cm="1">
        <f t="array" ref="AW227">$G$10+VLOOKUP($R227,武学奇术!$A:$ZZ,7,FALSE)+SUM(_xlfn.XLOOKUP($S227:$AL227,增益!$A:$A,增益!$G:$G,0))</f>
        <v>0.14</v>
      </c>
      <c r="AX227" s="33" cm="1">
        <f t="array" ref="AX227">VLOOKUP($R227,武学奇术!$A:$ZZ,8,FALSE)+SUM(_xlfn.XLOOKUP($S227:$AL227,增益!$A:$A,增益!$H:$H,0))</f>
        <v>0</v>
      </c>
      <c r="AY227">
        <f t="shared" si="135"/>
        <v>0</v>
      </c>
      <c r="AZ227">
        <f t="shared" si="136"/>
        <v>0</v>
      </c>
      <c r="BA227" s="40" cm="1">
        <f t="array" ref="BA227">IF($F$11-$I$4+VLOOKUP($R227,武学奇术!$A:$ZZ,9,FALSE)+SUM(_xlfn.XLOOKUP($S227:$AL227,增益!$A:$A,增益!$I:$I,0))&gt;0,($F$11-$I$4+VLOOKUP($R227,武学奇术!$A:$ZZ,9,FALSE)+SUM(_xlfn.XLOOKUP($S227:$AL227,增益!$A:$A,增益!$I:$I,0)))/200,($F$11-$I$4+VLOOKUP($R227,武学奇术!$A:$ZZ,9,FALSE)+SUM(_xlfn.XLOOKUP($S227:$AL227,增益!$A:$A,增益!$I:$I,0)))/100)</f>
        <v>-0.3</v>
      </c>
      <c r="BB227" s="40" cm="1">
        <f t="array" ref="BB227">$G$11+VLOOKUP($R227,武学奇术!$A:$ZZ,10,FALSE)+SUM(_xlfn.XLOOKUP($S227:$AL227,增益!$A:$A,增益!$J:$J,0))</f>
        <v>0.02</v>
      </c>
      <c r="BC227">
        <f t="shared" si="137"/>
        <v>640.3</v>
      </c>
      <c r="BD227">
        <f t="shared" si="138"/>
        <v>1770.1</v>
      </c>
      <c r="BE227" s="40" cm="1">
        <f t="array" ref="BE227">IF($F$12-$I$4+VLOOKUP($R227,武学奇术!$A:$ZZ,11,FALSE)+SUM(_xlfn.XLOOKUP($S227:$AL227,增益!$A:$A,增益!$K:$K,0))&gt;0,($F$12-$I$4+VLOOKUP($R227,武学奇术!$A:$ZZ,11,FALSE)+SUM(_xlfn.XLOOKUP($S227:$AL227,增益!$A:$A,增益!$K:$K,0)))/200,($F$12-$I$4+VLOOKUP($R227,武学奇术!$A:$ZZ,11,FALSE)+SUM(_xlfn.XLOOKUP($S227:$AL227,增益!$A:$A,增益!$K:$K,0)))/100)</f>
        <v>0.09</v>
      </c>
      <c r="BF227" s="40" cm="1">
        <f t="array" ref="BF227">$G$12+VLOOKUP($R227,武学奇术!$A:$ZZ,12,FALSE)+SUM(_xlfn.XLOOKUP($S227:$AL227,增益!$A:$A,增益!$L:$L,0))</f>
        <v>0.29</v>
      </c>
      <c r="BG227">
        <f t="shared" si="139"/>
        <v>0</v>
      </c>
      <c r="BH227">
        <f t="shared" si="140"/>
        <v>0</v>
      </c>
      <c r="BI227" s="40" cm="1">
        <f t="array" ref="BI227">IF($F$13-$I$4+VLOOKUP($R227,武学奇术!$A:$ZZ,13,FALSE)+SUM(_xlfn.XLOOKUP($S227:$AL227,增益!$A:$A,增益!$M:$M,0))&gt;0,($F$13-$I$4+VLOOKUP($R227,武学奇术!$A:$ZZ,13,FALSE)+SUM(_xlfn.XLOOKUP($S227:$AL227,增益!$A:$A,增益!$K:$K,0)))/200,($F$13-$I$4+VLOOKUP($R227,武学奇术!$A:$ZZ,13,FALSE)+SUM(_xlfn.XLOOKUP($S227:$AL227,增益!$A:$A,增益!$M:$M,0)))/100)</f>
        <v>-0.3</v>
      </c>
      <c r="BJ227" s="40" cm="1">
        <f t="array" ref="BJ227">$G$13+VLOOKUP($R227,武学奇术!$A:$ZZ,14,FALSE)+SUM(_xlfn.XLOOKUP($S227:$AL227,增益!$A:$A,增益!$N:$N,0))</f>
        <v>0.02</v>
      </c>
      <c r="BK227">
        <f t="shared" si="141"/>
        <v>0</v>
      </c>
      <c r="BL227">
        <f t="shared" si="142"/>
        <v>0</v>
      </c>
      <c r="BM227" s="40" cm="1">
        <f t="array" ref="BM227">IF($F$14-$I$4+VLOOKUP($R227,武学奇术!$A:$ZZ,15,FALSE)+SUM(_xlfn.XLOOKUP($S227:$AL227,增益!$A:$A,增益!$O:$O,0))&gt;0,($F$14-$I$4+VLOOKUP($R227,武学奇术!$A:$ZZ,15,FALSE)+SUM(_xlfn.XLOOKUP($S227:$AL227,增益!$A:$A,增益!$O:$O,0)))/200,($F$14-$I$4+VLOOKUP($R227,武学奇术!$A:$ZZ,15,FALSE)+SUM(_xlfn.XLOOKUP($S227:$AL227,增益!$A:$A,增益!$O:$O,0)))/100)</f>
        <v>-0.3</v>
      </c>
      <c r="BN227" s="40" cm="1">
        <f t="array" ref="BN227">$G$14+VLOOKUP($R227,武学奇术!$A:$ZZ,16,FALSE)+SUM(_xlfn.XLOOKUP($S227:$AL227,增益!$A:$A,增益!$P:$P,0))</f>
        <v>0.02</v>
      </c>
      <c r="BO227" s="33">
        <f>MIN(IF(VLOOKUP($R227,武学奇术!$A:$ZZ,23,FALSE)=1,100%,$B$8),100%)</f>
        <v>0.9771</v>
      </c>
      <c r="BP227" s="33" cm="1">
        <f t="array" ref="BP227">IF(VLOOKUP($R227,武学奇术!$A:$ZZ,23,FALSE)=1,100%,MIN(80%,$B$9+VLOOKUP($R227,武学奇术!$A:$ZZ,17,FALSE)+SUM(_xlfn.XLOOKUP($S227:$AL227,增益!$A:$A,增益!$Q:$Q,0)))+$B$11+SUM(_xlfn.XLOOKUP($S227:$AL227,增益!$A:$A,增益!$U:$U,0)))*IF(VLOOKUP($R227,武学奇术!$A:$ZZ,24,FALSE)=1,0,1)</f>
        <v>0.8861</v>
      </c>
      <c r="BQ227" s="33" cm="1">
        <f t="array" ref="BQ227">1+$B$13+VLOOKUP($R227,武学奇术!$A:$ZZ,18,FALSE)+SUM(_xlfn.XLOOKUP($S227:$AL227,增益!$A:$A,增益!$R:$R,0))</f>
        <v>2</v>
      </c>
      <c r="BR227" s="33" cm="1">
        <f t="array" ref="BR227">IF(VLOOKUP($R227,武学奇术!$A:$ZZ,24,FALSE)=1,100%,MIN(40%,$B$10+VLOOKUP($R227,武学奇术!$A:$ZZ,19,FALSE)+SUM(_xlfn.XLOOKUP($S227:$AL227,增益!$A:$A,增益!$S:$S,0)))+$B$12+SUM(_xlfn.XLOOKUP($S227:$AL227,增益!$A:$A,增益!$V:$V,0)))*IF(VLOOKUP($R227,武学奇术!$A:$ZZ,23,FALSE)=1,0,1)</f>
        <v>0.0913</v>
      </c>
      <c r="BS227" s="33" cm="1">
        <f t="array" ref="BS227">1+$B$14+VLOOKUP($R227,武学奇术!$A:$ZZ,20,FALSE)+SUM(_xlfn.XLOOKUP($S227:$AL227,增益!$A:$A,增益!$T:$T,0))</f>
        <v>1.35</v>
      </c>
      <c r="BT227" s="33">
        <f t="shared" si="143"/>
        <v>0.86580831</v>
      </c>
      <c r="BU227" s="33">
        <f t="shared" si="144"/>
        <v>0.02208246</v>
      </c>
      <c r="BV227" s="33">
        <f>IF(VLOOKUP($R227,武学奇术!$A:$ZZ,22,FALSE)=1,0,(1-$BO227))*(1-$BR227)</f>
        <v>0.02080923</v>
      </c>
      <c r="BW227" s="33" cm="1">
        <f t="array" ref="BW227">SUM(_xlfn.XLOOKUP($S227:$AL227,增益!$A:$A,增益!$W:$W,0))+$I$5</f>
        <v>0.11</v>
      </c>
      <c r="BX227" s="33" cm="1">
        <f t="array" ref="BX227">VLOOKUP($R227,武学奇术!$A:$ZZ,32,FALSE)+SUM(_xlfn.XLOOKUP($S227:$AL227,增益!$A:$A,增益!$X:$X,0))</f>
        <v>0</v>
      </c>
    </row>
    <row r="228" spans="12:76">
      <c r="L228" s="46">
        <f t="shared" si="133"/>
        <v>0</v>
      </c>
      <c r="M228" s="46">
        <f>((($AT228+$AU228)/2*$AN228+$AO228)*(1+$AV228)*(1+$AW228)+(($AY228+$AZ228)/2*IF($G$1="鸣金",$AP228,$AN228)+IF($G$1="鸣金",$AQ228*1.5,0))*(1+$BA228)*(1+$BB228)+(($BC228+$BD228)/2*IF($G$1="裂石",$AP228,$AN228)+IF($G$1="裂石",$AQ228*1.5,0))*(1+$BE228)*(1+$BF228)+(($BG228+$BH228)/2*IF($G$1="牵丝",$AP228,$AN228)+IF($G$1="牵丝",$AQ228*1.5,0))*(1+$BI228)*(1+$BJ228)+(($BK228+$BL228)/2*IF($G$1="破竹",$AP228,$AN228)+IF($G$1="破竹",$AQ228*1.5,0))*(1+$BM228)*(1+$BN228))*(1+$AR228)*$BQ228*$Q228*(1+IF(VLOOKUP($R228,武学奇术!$A:$ZZ,30,FALSE)="蓄力技",$B$21,0))*(1+IF(VLOOKUP($R228,武学奇术!$A:$ZZ,30,FALSE)="派生技",$B$20,0))*(1+$BW228)*(1+$BX228)</f>
        <v>0</v>
      </c>
      <c r="N228" s="46">
        <f>(($AU228*$AN228+$AO228)*(1+$AV228)*(1+$AW228)+($AZ228*IF($G$1="鸣金",$AP228,$AN228)+IF($G$1="鸣金",$AQ228*1.5,0))*(1+$BA228)*(1+$BB228)+($BD228*IF($G$1="裂石",$AP228,$AN228)+IF($G$1="裂石",$AQ228*1.5,0))*(1+$BE228)*(1+$BF228)+($BH228*IF($G$1="牵丝",$AP228,$AN228)+IF($G$1="牵丝",$AQ228*1.5,0))*(1+$BI228)*(1+$BJ228)+($BL228*IF($G$1="破竹",$AP228,$AN228)+IF($G$1="破竹",$AQ228*1.5,0))*(1+$BM228)*(1+$BN228))*(1+$AR228)*$BS228*$Q228*(1+IF(VLOOKUP($R228,武学奇术!$A:$ZZ,30,FALSE)="蓄力技",$B$21,0))*(1+IF(VLOOKUP($R228,武学奇术!$A:$ZZ,30,FALSE)="派生技",$B$20,0))*(1+$BW228)*(1+$BX228)</f>
        <v>0</v>
      </c>
      <c r="O228" s="46">
        <f>((($AT228+$AU228)/2*$AN228+$AO228)*(1+$AV228)*(1+$AW228)+(($AY228+$AZ228)/2*IF($G$1="鸣金",$AP228,$AN228)+IF($G$1="鸣金",$AQ228*1.5,0))*(1+$BA228)*(1+$BB228)+(($BC228+$BD228)/2*IF($G$1="裂石",$AP228,$AN228)+IF($G$1="裂石",$AQ228*1.5,0))*(1+$BE228)*(1+$BF228)+(($BG228+$BH228)/2*IF($G$1="牵丝",$AP228,$AN228)+IF($G$1="牵丝",$AQ228*1.5,0))*(1+$BI228)*(1+$BJ228)+(($BK228+$BL228)/2*IF($G$1="破竹",$AP228,$AN228)+IF($G$1="破竹",$AQ228*1.5,0))*(1+$BM228)*(1+$BN228))*(1+$AR228)*$Q228*(1+IF(VLOOKUP($R228,武学奇术!$A:$ZZ,30,FALSE)="蓄力技",$B$21,0))*(1+IF(VLOOKUP($R228,武学奇术!$A:$ZZ,30,FALSE)="派生技",$B$20,0))*(1+$BW228)*(1+$BX228)</f>
        <v>0</v>
      </c>
      <c r="P228" s="46">
        <f>((($AT228*$AN228+$AO228)*(1+$AV228)*(1+$AW228)+($AY228*IF($G$1="鸣金",$AP228,$AN228)+IF($G$1="鸣金",$AQ228*1.5,0))*(1+$BA228)*(1+$BB228)+($BC228*IF($G$1="裂石",$AP228,$AN228)+IF($G$1="裂石",$AQ228*1.5,0))*(1+$BE228)*(1+$BF228)+($BG228*IF($G$1="牵丝",$AP228,$AN228)+IF($G$1="牵丝",$AQ228*1.5,0))*(1+$BI228)*(1+$BJ228)+($BK228*IF($G$1="破竹",$AP228,$AN228)+IF($G$1="破竹",$AQ228*1.5,0))*(1+$BM228)*(1+$BN228))*(1+$AR228))*$Q228*(1+IF(VLOOKUP($R228,武学奇术!$A:$ZZ,30,FALSE)="蓄力技",$B$21,0))*(1+IF(VLOOKUP($R228,武学奇术!$A:$ZZ,30,FALSE)="派生技",$B$20,0))*(1+$BW228)*(1+$BX228)</f>
        <v>0</v>
      </c>
      <c r="Q228" s="47">
        <f t="shared" si="134"/>
        <v>0</v>
      </c>
      <c r="R228" s="48" t="s">
        <v>196</v>
      </c>
      <c r="S228" s="48" t="s">
        <v>99</v>
      </c>
      <c r="T228" s="48" t="s">
        <v>182</v>
      </c>
      <c r="U228" s="48" t="s">
        <v>79</v>
      </c>
      <c r="V228" s="48" t="s">
        <v>80</v>
      </c>
      <c r="W228" s="48" t="s">
        <v>141</v>
      </c>
      <c r="X228" s="48" t="s">
        <v>80</v>
      </c>
      <c r="Y228" s="48" t="s">
        <v>74</v>
      </c>
      <c r="Z228" s="48" t="s">
        <v>80</v>
      </c>
      <c r="AA228" s="48" t="s">
        <v>80</v>
      </c>
      <c r="AB228" s="48" t="s">
        <v>80</v>
      </c>
      <c r="AC228" s="48" t="s">
        <v>80</v>
      </c>
      <c r="AD228" s="48" t="s">
        <v>80</v>
      </c>
      <c r="AE228" s="48" t="s">
        <v>82</v>
      </c>
      <c r="AF228" s="48" t="s">
        <v>83</v>
      </c>
      <c r="AG228" s="48" t="s">
        <v>84</v>
      </c>
      <c r="AH228" s="48" t="s">
        <v>80</v>
      </c>
      <c r="AI228" s="48" t="s">
        <v>80</v>
      </c>
      <c r="AJ228" s="48" t="s">
        <v>80</v>
      </c>
      <c r="AK228" s="48" t="s">
        <v>80</v>
      </c>
      <c r="AL228" s="48" t="s">
        <v>85</v>
      </c>
      <c r="AM228" t="str">
        <f>VLOOKUP($R228,武学奇术!$A:$ZZ,25,FALSE)</f>
        <v>横刀</v>
      </c>
      <c r="AN228" s="33">
        <f>VLOOKUP($R228,武学奇术!$A:$ZZ,26,FALSE)</f>
        <v>1.47</v>
      </c>
      <c r="AO228" s="34">
        <f>VLOOKUP($R228,武学奇术!$A:$ZZ,27,FALSE)*(1+IF(OR($AM228=$F$4,$AM228=$F$5),$B$22,0))</f>
        <v>0</v>
      </c>
      <c r="AP228" s="33">
        <f>VLOOKUP($R228,武学奇术!$A:$ZZ,28,FALSE)</f>
        <v>2.205</v>
      </c>
      <c r="AQ228" s="34">
        <f>VLOOKUP($R228,武学奇术!$A:$ZZ,29,FALSE)*(1+IF(OR($AM228=$F$4,$AM228=$F$5),$B$22,0))</f>
        <v>0</v>
      </c>
      <c r="AR228" s="33" cm="1">
        <f t="array" ref="AR228">$G$3+IFERROR(VLOOKUP($AM228,$F$4:$G$7,2,FALSE),0)+VLOOKUP($R228,武学奇术!$A:$ZZ,2,FALSE)+SUM(_xlfn.XLOOKUP($S228:$AL228,增益!$A:$A,增益!$B:$B,0))</f>
        <v>0.5289</v>
      </c>
      <c r="AS228" s="33" cm="1">
        <f t="array" ref="AS228">VLOOKUP($R228,武学奇术!$A:$ZZ,5,FALSE)+SUM(_xlfn.XLOOKUP($S228:$AL228,增益!$A:$A,增益!$E:$E,0))</f>
        <v>0</v>
      </c>
      <c r="AT228" cm="1">
        <f t="array" ref="AT228">$D$10*(1+$AS228)+VLOOKUP($R228,武学奇术!$A:$ZZ,3,FALSE)+SUM(_xlfn.XLOOKUP($S228:$AL228,增益!$A:$A,增益!$C:$C,0))-$I$2</f>
        <v>4094.7</v>
      </c>
      <c r="AU228" cm="1">
        <f t="array" ref="AU228">$E$10*(1+$AS228)+VLOOKUP($R228,武学奇术!$A:$ZZ,4,FALSE)+SUM(_xlfn.XLOOKUP($S228:$AL228,增益!$A:$A,增益!$D:$D,0))-$I$2</f>
        <v>4094.7</v>
      </c>
      <c r="AV228" s="40" cm="1">
        <f t="array" ref="AV228">IF($F$10-$I$3+VLOOKUP($R228,武学奇术!$A:$ZZ,6,FALSE)+SUM(_xlfn.XLOOKUP($S228:$AL228,增益!$A:$A,增益!$F:$F,0))&gt;0,($F$10-$I$3+VLOOKUP($R228,武学奇术!$A:$ZZ,6,FALSE)+SUM(_xlfn.XLOOKUP($S228:$AL228,增益!$A:$A,增益!$F:$F,0)))/200,($F$10-$I$3+VLOOKUP($R228,武学奇术!$A:$ZZ,6,FALSE)+SUM(_xlfn.XLOOKUP($S228:$AL228,增益!$A:$A,增益!$F:$F,0)))/100)</f>
        <v>0.4384</v>
      </c>
      <c r="AW228" s="40" cm="1">
        <f t="array" ref="AW228">$G$10+VLOOKUP($R228,武学奇术!$A:$ZZ,7,FALSE)+SUM(_xlfn.XLOOKUP($S228:$AL228,增益!$A:$A,增益!$G:$G,0))</f>
        <v>0.14</v>
      </c>
      <c r="AX228" s="33" cm="1">
        <f t="array" ref="AX228">VLOOKUP($R228,武学奇术!$A:$ZZ,8,FALSE)+SUM(_xlfn.XLOOKUP($S228:$AL228,增益!$A:$A,增益!$H:$H,0))</f>
        <v>0</v>
      </c>
      <c r="AY228">
        <f t="shared" si="135"/>
        <v>0</v>
      </c>
      <c r="AZ228">
        <f t="shared" si="136"/>
        <v>0</v>
      </c>
      <c r="BA228" s="40" cm="1">
        <f t="array" ref="BA228">IF($F$11-$I$4+VLOOKUP($R228,武学奇术!$A:$ZZ,9,FALSE)+SUM(_xlfn.XLOOKUP($S228:$AL228,增益!$A:$A,增益!$I:$I,0))&gt;0,($F$11-$I$4+VLOOKUP($R228,武学奇术!$A:$ZZ,9,FALSE)+SUM(_xlfn.XLOOKUP($S228:$AL228,增益!$A:$A,增益!$I:$I,0)))/200,($F$11-$I$4+VLOOKUP($R228,武学奇术!$A:$ZZ,9,FALSE)+SUM(_xlfn.XLOOKUP($S228:$AL228,增益!$A:$A,增益!$I:$I,0)))/100)</f>
        <v>-0.3</v>
      </c>
      <c r="BB228" s="40" cm="1">
        <f t="array" ref="BB228">$G$11+VLOOKUP($R228,武学奇术!$A:$ZZ,10,FALSE)+SUM(_xlfn.XLOOKUP($S228:$AL228,增益!$A:$A,增益!$J:$J,0))</f>
        <v>0.02</v>
      </c>
      <c r="BC228">
        <f t="shared" si="137"/>
        <v>640.3</v>
      </c>
      <c r="BD228">
        <f t="shared" si="138"/>
        <v>1770.1</v>
      </c>
      <c r="BE228" s="40" cm="1">
        <f t="array" ref="BE228">IF($F$12-$I$4+VLOOKUP($R228,武学奇术!$A:$ZZ,11,FALSE)+SUM(_xlfn.XLOOKUP($S228:$AL228,增益!$A:$A,增益!$K:$K,0))&gt;0,($F$12-$I$4+VLOOKUP($R228,武学奇术!$A:$ZZ,11,FALSE)+SUM(_xlfn.XLOOKUP($S228:$AL228,增益!$A:$A,增益!$K:$K,0)))/200,($F$12-$I$4+VLOOKUP($R228,武学奇术!$A:$ZZ,11,FALSE)+SUM(_xlfn.XLOOKUP($S228:$AL228,增益!$A:$A,增益!$K:$K,0)))/100)</f>
        <v>0.09</v>
      </c>
      <c r="BF228" s="40" cm="1">
        <f t="array" ref="BF228">$G$12+VLOOKUP($R228,武学奇术!$A:$ZZ,12,FALSE)+SUM(_xlfn.XLOOKUP($S228:$AL228,增益!$A:$A,增益!$L:$L,0))</f>
        <v>0.29</v>
      </c>
      <c r="BG228">
        <f t="shared" si="139"/>
        <v>0</v>
      </c>
      <c r="BH228">
        <f t="shared" si="140"/>
        <v>0</v>
      </c>
      <c r="BI228" s="40" cm="1">
        <f t="array" ref="BI228">IF($F$13-$I$4+VLOOKUP($R228,武学奇术!$A:$ZZ,13,FALSE)+SUM(_xlfn.XLOOKUP($S228:$AL228,增益!$A:$A,增益!$M:$M,0))&gt;0,($F$13-$I$4+VLOOKUP($R228,武学奇术!$A:$ZZ,13,FALSE)+SUM(_xlfn.XLOOKUP($S228:$AL228,增益!$A:$A,增益!$K:$K,0)))/200,($F$13-$I$4+VLOOKUP($R228,武学奇术!$A:$ZZ,13,FALSE)+SUM(_xlfn.XLOOKUP($S228:$AL228,增益!$A:$A,增益!$M:$M,0)))/100)</f>
        <v>-0.3</v>
      </c>
      <c r="BJ228" s="40" cm="1">
        <f t="array" ref="BJ228">$G$13+VLOOKUP($R228,武学奇术!$A:$ZZ,14,FALSE)+SUM(_xlfn.XLOOKUP($S228:$AL228,增益!$A:$A,增益!$N:$N,0))</f>
        <v>0.02</v>
      </c>
      <c r="BK228">
        <f t="shared" si="141"/>
        <v>0</v>
      </c>
      <c r="BL228">
        <f t="shared" si="142"/>
        <v>0</v>
      </c>
      <c r="BM228" s="40" cm="1">
        <f t="array" ref="BM228">IF($F$14-$I$4+VLOOKUP($R228,武学奇术!$A:$ZZ,15,FALSE)+SUM(_xlfn.XLOOKUP($S228:$AL228,增益!$A:$A,增益!$O:$O,0))&gt;0,($F$14-$I$4+VLOOKUP($R228,武学奇术!$A:$ZZ,15,FALSE)+SUM(_xlfn.XLOOKUP($S228:$AL228,增益!$A:$A,增益!$O:$O,0)))/200,($F$14-$I$4+VLOOKUP($R228,武学奇术!$A:$ZZ,15,FALSE)+SUM(_xlfn.XLOOKUP($S228:$AL228,增益!$A:$A,增益!$O:$O,0)))/100)</f>
        <v>-0.3</v>
      </c>
      <c r="BN228" s="40" cm="1">
        <f t="array" ref="BN228">$G$14+VLOOKUP($R228,武学奇术!$A:$ZZ,16,FALSE)+SUM(_xlfn.XLOOKUP($S228:$AL228,增益!$A:$A,增益!$P:$P,0))</f>
        <v>0.02</v>
      </c>
      <c r="BO228" s="33">
        <f>MIN(IF(VLOOKUP($R228,武学奇术!$A:$ZZ,23,FALSE)=1,100%,$B$8),100%)</f>
        <v>0.9771</v>
      </c>
      <c r="BP228" s="33" cm="1">
        <f t="array" ref="BP228">IF(VLOOKUP($R228,武学奇术!$A:$ZZ,23,FALSE)=1,100%,MIN(80%,$B$9+VLOOKUP($R228,武学奇术!$A:$ZZ,17,FALSE)+SUM(_xlfn.XLOOKUP($S228:$AL228,增益!$A:$A,增益!$Q:$Q,0)))+$B$11+SUM(_xlfn.XLOOKUP($S228:$AL228,增益!$A:$A,增益!$U:$U,0)))*IF(VLOOKUP($R228,武学奇术!$A:$ZZ,24,FALSE)=1,0,1)</f>
        <v>0.8861</v>
      </c>
      <c r="BQ228" s="33" cm="1">
        <f t="array" ref="BQ228">1+$B$13+VLOOKUP($R228,武学奇术!$A:$ZZ,18,FALSE)+SUM(_xlfn.XLOOKUP($S228:$AL228,增益!$A:$A,增益!$R:$R,0))</f>
        <v>2</v>
      </c>
      <c r="BR228" s="33" cm="1">
        <f t="array" ref="BR228">IF(VLOOKUP($R228,武学奇术!$A:$ZZ,24,FALSE)=1,100%,MIN(40%,$B$10+VLOOKUP($R228,武学奇术!$A:$ZZ,19,FALSE)+SUM(_xlfn.XLOOKUP($S228:$AL228,增益!$A:$A,增益!$S:$S,0)))+$B$12+SUM(_xlfn.XLOOKUP($S228:$AL228,增益!$A:$A,增益!$V:$V,0)))*IF(VLOOKUP($R228,武学奇术!$A:$ZZ,23,FALSE)=1,0,1)</f>
        <v>0.0913</v>
      </c>
      <c r="BS228" s="33" cm="1">
        <f t="array" ref="BS228">1+$B$14+VLOOKUP($R228,武学奇术!$A:$ZZ,20,FALSE)+SUM(_xlfn.XLOOKUP($S228:$AL228,增益!$A:$A,增益!$T:$T,0))</f>
        <v>1.35</v>
      </c>
      <c r="BT228" s="33">
        <f t="shared" si="143"/>
        <v>0.86580831</v>
      </c>
      <c r="BU228" s="33">
        <f t="shared" si="144"/>
        <v>0.02208246</v>
      </c>
      <c r="BV228" s="33">
        <f>IF(VLOOKUP($R228,武学奇术!$A:$ZZ,22,FALSE)=1,0,(1-$BO228))*(1-$BR228)</f>
        <v>0.02080923</v>
      </c>
      <c r="BW228" s="33" cm="1">
        <f t="array" ref="BW228">SUM(_xlfn.XLOOKUP($S228:$AL228,增益!$A:$A,增益!$W:$W,0))+$I$5</f>
        <v>0.11</v>
      </c>
      <c r="BX228" s="33" cm="1">
        <f t="array" ref="BX228">VLOOKUP($R228,武学奇术!$A:$ZZ,32,FALSE)+SUM(_xlfn.XLOOKUP($S228:$AL228,增益!$A:$A,增益!$X:$X,0))</f>
        <v>0.4</v>
      </c>
    </row>
    <row r="229" spans="12:76">
      <c r="L229" s="46">
        <f t="shared" si="133"/>
        <v>0</v>
      </c>
      <c r="M229" s="46">
        <f>((($AT229+$AU229)/2*$AN229+$AO229)*(1+$AV229)*(1+$AW229)+(($AY229+$AZ229)/2*IF($G$1="鸣金",$AP229,$AN229)+IF($G$1="鸣金",$AQ229*1.5,0))*(1+$BA229)*(1+$BB229)+(($BC229+$BD229)/2*IF($G$1="裂石",$AP229,$AN229)+IF($G$1="裂石",$AQ229*1.5,0))*(1+$BE229)*(1+$BF229)+(($BG229+$BH229)/2*IF($G$1="牵丝",$AP229,$AN229)+IF($G$1="牵丝",$AQ229*1.5,0))*(1+$BI229)*(1+$BJ229)+(($BK229+$BL229)/2*IF($G$1="破竹",$AP229,$AN229)+IF($G$1="破竹",$AQ229*1.5,0))*(1+$BM229)*(1+$BN229))*(1+$AR229)*$BQ229*$Q229*(1+IF(VLOOKUP($R229,武学奇术!$A:$ZZ,30,FALSE)="蓄力技",$B$21,0))*(1+IF(VLOOKUP($R229,武学奇术!$A:$ZZ,30,FALSE)="派生技",$B$20,0))*(1+$BW229)*(1+$BX229)</f>
        <v>0</v>
      </c>
      <c r="N229" s="46">
        <f>(($AU229*$AN229+$AO229)*(1+$AV229)*(1+$AW229)+($AZ229*IF($G$1="鸣金",$AP229,$AN229)+IF($G$1="鸣金",$AQ229*1.5,0))*(1+$BA229)*(1+$BB229)+($BD229*IF($G$1="裂石",$AP229,$AN229)+IF($G$1="裂石",$AQ229*1.5,0))*(1+$BE229)*(1+$BF229)+($BH229*IF($G$1="牵丝",$AP229,$AN229)+IF($G$1="牵丝",$AQ229*1.5,0))*(1+$BI229)*(1+$BJ229)+($BL229*IF($G$1="破竹",$AP229,$AN229)+IF($G$1="破竹",$AQ229*1.5,0))*(1+$BM229)*(1+$BN229))*(1+$AR229)*$BS229*$Q229*(1+IF(VLOOKUP($R229,武学奇术!$A:$ZZ,30,FALSE)="蓄力技",$B$21,0))*(1+IF(VLOOKUP($R229,武学奇术!$A:$ZZ,30,FALSE)="派生技",$B$20,0))*(1+$BW229)*(1+$BX229)</f>
        <v>0</v>
      </c>
      <c r="O229" s="46">
        <f>((($AT229+$AU229)/2*$AN229+$AO229)*(1+$AV229)*(1+$AW229)+(($AY229+$AZ229)/2*IF($G$1="鸣金",$AP229,$AN229)+IF($G$1="鸣金",$AQ229*1.5,0))*(1+$BA229)*(1+$BB229)+(($BC229+$BD229)/2*IF($G$1="裂石",$AP229,$AN229)+IF($G$1="裂石",$AQ229*1.5,0))*(1+$BE229)*(1+$BF229)+(($BG229+$BH229)/2*IF($G$1="牵丝",$AP229,$AN229)+IF($G$1="牵丝",$AQ229*1.5,0))*(1+$BI229)*(1+$BJ229)+(($BK229+$BL229)/2*IF($G$1="破竹",$AP229,$AN229)+IF($G$1="破竹",$AQ229*1.5,0))*(1+$BM229)*(1+$BN229))*(1+$AR229)*$Q229*(1+IF(VLOOKUP($R229,武学奇术!$A:$ZZ,30,FALSE)="蓄力技",$B$21,0))*(1+IF(VLOOKUP($R229,武学奇术!$A:$ZZ,30,FALSE)="派生技",$B$20,0))*(1+$BW229)*(1+$BX229)</f>
        <v>0</v>
      </c>
      <c r="P229" s="46">
        <f>((($AT229*$AN229+$AO229)*(1+$AV229)*(1+$AW229)+($AY229*IF($G$1="鸣金",$AP229,$AN229)+IF($G$1="鸣金",$AQ229*1.5,0))*(1+$BA229)*(1+$BB229)+($BC229*IF($G$1="裂石",$AP229,$AN229)+IF($G$1="裂石",$AQ229*1.5,0))*(1+$BE229)*(1+$BF229)+($BG229*IF($G$1="牵丝",$AP229,$AN229)+IF($G$1="牵丝",$AQ229*1.5,0))*(1+$BI229)*(1+$BJ229)+($BK229*IF($G$1="破竹",$AP229,$AN229)+IF($G$1="破竹",$AQ229*1.5,0))*(1+$BM229)*(1+$BN229))*(1+$AR229))*$Q229*(1+IF(VLOOKUP($R229,武学奇术!$A:$ZZ,30,FALSE)="蓄力技",$B$21,0))*(1+IF(VLOOKUP($R229,武学奇术!$A:$ZZ,30,FALSE)="派生技",$B$20,0))*(1+$BW229)*(1+$BX229)</f>
        <v>0</v>
      </c>
      <c r="Q229" s="47">
        <f t="shared" si="134"/>
        <v>0</v>
      </c>
      <c r="R229" s="48" t="s">
        <v>197</v>
      </c>
      <c r="S229" s="48" t="s">
        <v>99</v>
      </c>
      <c r="T229" s="48" t="s">
        <v>182</v>
      </c>
      <c r="U229" s="48" t="s">
        <v>79</v>
      </c>
      <c r="V229" s="48" t="s">
        <v>80</v>
      </c>
      <c r="W229" s="48" t="s">
        <v>91</v>
      </c>
      <c r="X229" s="48" t="s">
        <v>80</v>
      </c>
      <c r="Y229" s="48" t="s">
        <v>80</v>
      </c>
      <c r="Z229" s="48" t="s">
        <v>80</v>
      </c>
      <c r="AA229" s="48" t="s">
        <v>80</v>
      </c>
      <c r="AB229" s="48" t="s">
        <v>80</v>
      </c>
      <c r="AC229" s="48" t="s">
        <v>80</v>
      </c>
      <c r="AD229" s="48" t="s">
        <v>80</v>
      </c>
      <c r="AE229" s="48" t="s">
        <v>82</v>
      </c>
      <c r="AF229" s="48" t="s">
        <v>83</v>
      </c>
      <c r="AG229" s="48" t="s">
        <v>84</v>
      </c>
      <c r="AH229" s="48" t="s">
        <v>80</v>
      </c>
      <c r="AI229" s="48" t="s">
        <v>80</v>
      </c>
      <c r="AJ229" s="48" t="s">
        <v>80</v>
      </c>
      <c r="AK229" s="48" t="s">
        <v>80</v>
      </c>
      <c r="AL229" s="48" t="s">
        <v>85</v>
      </c>
      <c r="AM229" t="str">
        <f>VLOOKUP($R229,武学奇术!$A:$ZZ,25,FALSE)</f>
        <v>横刀</v>
      </c>
      <c r="AN229" s="33">
        <f>VLOOKUP($R229,武学奇术!$A:$ZZ,26,FALSE)</f>
        <v>2.4495</v>
      </c>
      <c r="AO229" s="34">
        <f>VLOOKUP($R229,武学奇术!$A:$ZZ,27,FALSE)*(1+IF(OR($AM229=$F$4,$AM229=$F$5),$B$22,0))</f>
        <v>1083.2</v>
      </c>
      <c r="AP229" s="33">
        <f>VLOOKUP($R229,武学奇术!$A:$ZZ,28,FALSE)</f>
        <v>3.6743</v>
      </c>
      <c r="AQ229" s="34">
        <f>VLOOKUP($R229,武学奇术!$A:$ZZ,29,FALSE)*(1+IF(OR($AM229=$F$4,$AM229=$F$5),$B$22,0))</f>
        <v>588.8</v>
      </c>
      <c r="AR229" s="33" cm="1">
        <f t="array" ref="AR229">$G$3+IFERROR(VLOOKUP($AM229,$F$4:$G$7,2,FALSE),0)+VLOOKUP($R229,武学奇术!$A:$ZZ,2,FALSE)+SUM(_xlfn.XLOOKUP($S229:$AL229,增益!$A:$A,增益!$B:$B,0))</f>
        <v>0.4489</v>
      </c>
      <c r="AS229" s="33" cm="1">
        <f t="array" ref="AS229">VLOOKUP($R229,武学奇术!$A:$ZZ,5,FALSE)+SUM(_xlfn.XLOOKUP($S229:$AL229,增益!$A:$A,增益!$E:$E,0))</f>
        <v>0</v>
      </c>
      <c r="AT229" cm="1">
        <f t="array" ref="AT229">$D$10*(1+$AS229)+VLOOKUP($R229,武学奇术!$A:$ZZ,3,FALSE)+SUM(_xlfn.XLOOKUP($S229:$AL229,增益!$A:$A,增益!$C:$C,0))-$I$2</f>
        <v>4094.7</v>
      </c>
      <c r="AU229" cm="1">
        <f t="array" ref="AU229">$E$10*(1+$AS229)+VLOOKUP($R229,武学奇术!$A:$ZZ,4,FALSE)+SUM(_xlfn.XLOOKUP($S229:$AL229,增益!$A:$A,增益!$D:$D,0))-$I$2</f>
        <v>4094.7</v>
      </c>
      <c r="AV229" s="40" cm="1">
        <f t="array" ref="AV229">IF($F$10-$I$3+VLOOKUP($R229,武学奇术!$A:$ZZ,6,FALSE)+SUM(_xlfn.XLOOKUP($S229:$AL229,增益!$A:$A,增益!$F:$F,0))&gt;0,($F$10-$I$3+VLOOKUP($R229,武学奇术!$A:$ZZ,6,FALSE)+SUM(_xlfn.XLOOKUP($S229:$AL229,增益!$A:$A,增益!$F:$F,0)))/200,($F$10-$I$3+VLOOKUP($R229,武学奇术!$A:$ZZ,6,FALSE)+SUM(_xlfn.XLOOKUP($S229:$AL229,增益!$A:$A,增益!$F:$F,0)))/100)</f>
        <v>0.4134</v>
      </c>
      <c r="AW229" s="40" cm="1">
        <f t="array" ref="AW229">$G$10+VLOOKUP($R229,武学奇术!$A:$ZZ,7,FALSE)+SUM(_xlfn.XLOOKUP($S229:$AL229,增益!$A:$A,增益!$G:$G,0))</f>
        <v>0.14</v>
      </c>
      <c r="AX229" s="33" cm="1">
        <f t="array" ref="AX229">VLOOKUP($R229,武学奇术!$A:$ZZ,8,FALSE)+SUM(_xlfn.XLOOKUP($S229:$AL229,增益!$A:$A,增益!$H:$H,0))</f>
        <v>0</v>
      </c>
      <c r="AY229">
        <f t="shared" si="135"/>
        <v>0</v>
      </c>
      <c r="AZ229">
        <f t="shared" si="136"/>
        <v>0</v>
      </c>
      <c r="BA229" s="40" cm="1">
        <f t="array" ref="BA229">IF($F$11-$I$4+VLOOKUP($R229,武学奇术!$A:$ZZ,9,FALSE)+SUM(_xlfn.XLOOKUP($S229:$AL229,增益!$A:$A,增益!$I:$I,0))&gt;0,($F$11-$I$4+VLOOKUP($R229,武学奇术!$A:$ZZ,9,FALSE)+SUM(_xlfn.XLOOKUP($S229:$AL229,增益!$A:$A,增益!$I:$I,0)))/200,($F$11-$I$4+VLOOKUP($R229,武学奇术!$A:$ZZ,9,FALSE)+SUM(_xlfn.XLOOKUP($S229:$AL229,增益!$A:$A,增益!$I:$I,0)))/100)</f>
        <v>-0.3</v>
      </c>
      <c r="BB229" s="40" cm="1">
        <f t="array" ref="BB229">$G$11+VLOOKUP($R229,武学奇术!$A:$ZZ,10,FALSE)+SUM(_xlfn.XLOOKUP($S229:$AL229,增益!$A:$A,增益!$J:$J,0))</f>
        <v>0.02</v>
      </c>
      <c r="BC229">
        <f t="shared" si="137"/>
        <v>640.3</v>
      </c>
      <c r="BD229">
        <f t="shared" si="138"/>
        <v>1770.1</v>
      </c>
      <c r="BE229" s="40" cm="1">
        <f t="array" ref="BE229">IF($F$12-$I$4+VLOOKUP($R229,武学奇术!$A:$ZZ,11,FALSE)+SUM(_xlfn.XLOOKUP($S229:$AL229,增益!$A:$A,增益!$K:$K,0))&gt;0,($F$12-$I$4+VLOOKUP($R229,武学奇术!$A:$ZZ,11,FALSE)+SUM(_xlfn.XLOOKUP($S229:$AL229,增益!$A:$A,增益!$K:$K,0)))/200,($F$12-$I$4+VLOOKUP($R229,武学奇术!$A:$ZZ,11,FALSE)+SUM(_xlfn.XLOOKUP($S229:$AL229,增益!$A:$A,增益!$K:$K,0)))/100)</f>
        <v>0.09</v>
      </c>
      <c r="BF229" s="40" cm="1">
        <f t="array" ref="BF229">$G$12+VLOOKUP($R229,武学奇术!$A:$ZZ,12,FALSE)+SUM(_xlfn.XLOOKUP($S229:$AL229,增益!$A:$A,增益!$L:$L,0))</f>
        <v>0.29</v>
      </c>
      <c r="BG229">
        <f t="shared" si="139"/>
        <v>0</v>
      </c>
      <c r="BH229">
        <f t="shared" si="140"/>
        <v>0</v>
      </c>
      <c r="BI229" s="40" cm="1">
        <f t="array" ref="BI229">IF($F$13-$I$4+VLOOKUP($R229,武学奇术!$A:$ZZ,13,FALSE)+SUM(_xlfn.XLOOKUP($S229:$AL229,增益!$A:$A,增益!$M:$M,0))&gt;0,($F$13-$I$4+VLOOKUP($R229,武学奇术!$A:$ZZ,13,FALSE)+SUM(_xlfn.XLOOKUP($S229:$AL229,增益!$A:$A,增益!$K:$K,0)))/200,($F$13-$I$4+VLOOKUP($R229,武学奇术!$A:$ZZ,13,FALSE)+SUM(_xlfn.XLOOKUP($S229:$AL229,增益!$A:$A,增益!$M:$M,0)))/100)</f>
        <v>-0.3</v>
      </c>
      <c r="BJ229" s="40" cm="1">
        <f t="array" ref="BJ229">$G$13+VLOOKUP($R229,武学奇术!$A:$ZZ,14,FALSE)+SUM(_xlfn.XLOOKUP($S229:$AL229,增益!$A:$A,增益!$N:$N,0))</f>
        <v>0.02</v>
      </c>
      <c r="BK229">
        <f t="shared" si="141"/>
        <v>0</v>
      </c>
      <c r="BL229">
        <f t="shared" si="142"/>
        <v>0</v>
      </c>
      <c r="BM229" s="40" cm="1">
        <f t="array" ref="BM229">IF($F$14-$I$4+VLOOKUP($R229,武学奇术!$A:$ZZ,15,FALSE)+SUM(_xlfn.XLOOKUP($S229:$AL229,增益!$A:$A,增益!$O:$O,0))&gt;0,($F$14-$I$4+VLOOKUP($R229,武学奇术!$A:$ZZ,15,FALSE)+SUM(_xlfn.XLOOKUP($S229:$AL229,增益!$A:$A,增益!$O:$O,0)))/200,($F$14-$I$4+VLOOKUP($R229,武学奇术!$A:$ZZ,15,FALSE)+SUM(_xlfn.XLOOKUP($S229:$AL229,增益!$A:$A,增益!$O:$O,0)))/100)</f>
        <v>-0.3</v>
      </c>
      <c r="BN229" s="40" cm="1">
        <f t="array" ref="BN229">$G$14+VLOOKUP($R229,武学奇术!$A:$ZZ,16,FALSE)+SUM(_xlfn.XLOOKUP($S229:$AL229,增益!$A:$A,增益!$P:$P,0))</f>
        <v>0.02</v>
      </c>
      <c r="BO229" s="33">
        <f>MIN(IF(VLOOKUP($R229,武学奇术!$A:$ZZ,23,FALSE)=1,100%,$B$8),100%)</f>
        <v>0.9771</v>
      </c>
      <c r="BP229" s="33" cm="1">
        <f t="array" ref="BP229">IF(VLOOKUP($R229,武学奇术!$A:$ZZ,23,FALSE)=1,100%,MIN(80%,$B$9+VLOOKUP($R229,武学奇术!$A:$ZZ,17,FALSE)+SUM(_xlfn.XLOOKUP($S229:$AL229,增益!$A:$A,增益!$Q:$Q,0)))+$B$11+SUM(_xlfn.XLOOKUP($S229:$AL229,增益!$A:$A,增益!$U:$U,0)))*IF(VLOOKUP($R229,武学奇术!$A:$ZZ,24,FALSE)=1,0,1)</f>
        <v>0.8861</v>
      </c>
      <c r="BQ229" s="33" cm="1">
        <f t="array" ref="BQ229">1+$B$13+VLOOKUP($R229,武学奇术!$A:$ZZ,18,FALSE)+SUM(_xlfn.XLOOKUP($S229:$AL229,增益!$A:$A,增益!$R:$R,0))</f>
        <v>1.95</v>
      </c>
      <c r="BR229" s="33" cm="1">
        <f t="array" ref="BR229">IF(VLOOKUP($R229,武学奇术!$A:$ZZ,24,FALSE)=1,100%,MIN(40%,$B$10+VLOOKUP($R229,武学奇术!$A:$ZZ,19,FALSE)+SUM(_xlfn.XLOOKUP($S229:$AL229,增益!$A:$A,增益!$S:$S,0)))+$B$12+SUM(_xlfn.XLOOKUP($S229:$AL229,增益!$A:$A,增益!$V:$V,0)))*IF(VLOOKUP($R229,武学奇术!$A:$ZZ,23,FALSE)=1,0,1)</f>
        <v>0.0913</v>
      </c>
      <c r="BS229" s="33" cm="1">
        <f t="array" ref="BS229">1+$B$14+VLOOKUP($R229,武学奇术!$A:$ZZ,20,FALSE)+SUM(_xlfn.XLOOKUP($S229:$AL229,增益!$A:$A,增益!$T:$T,0))</f>
        <v>1.35</v>
      </c>
      <c r="BT229" s="33">
        <f t="shared" si="143"/>
        <v>0.86580831</v>
      </c>
      <c r="BU229" s="33">
        <f t="shared" si="144"/>
        <v>0.02208246</v>
      </c>
      <c r="BV229" s="33">
        <f>IF(VLOOKUP($R229,武学奇术!$A:$ZZ,22,FALSE)=1,0,(1-$BO229))*(1-$BR229)</f>
        <v>0.02080923</v>
      </c>
      <c r="BW229" s="33" cm="1">
        <f t="array" ref="BW229">SUM(_xlfn.XLOOKUP($S229:$AL229,增益!$A:$A,增益!$W:$W,0))+$I$5</f>
        <v>0.11</v>
      </c>
      <c r="BX229" s="33" cm="1">
        <f t="array" ref="BX229">VLOOKUP($R229,武学奇术!$A:$ZZ,32,FALSE)+SUM(_xlfn.XLOOKUP($S229:$AL229,增益!$A:$A,增益!$X:$X,0))</f>
        <v>0</v>
      </c>
    </row>
    <row r="230" spans="12:76">
      <c r="L230" s="46">
        <f t="shared" si="133"/>
        <v>0</v>
      </c>
      <c r="M230" s="46">
        <f>((($AT230+$AU230)/2*$AN230+$AO230)*(1+$AV230)*(1+$AW230)+(($AY230+$AZ230)/2*IF($G$1="鸣金",$AP230,$AN230)+IF($G$1="鸣金",$AQ230*1.5,0))*(1+$BA230)*(1+$BB230)+(($BC230+$BD230)/2*IF($G$1="裂石",$AP230,$AN230)+IF($G$1="裂石",$AQ230*1.5,0))*(1+$BE230)*(1+$BF230)+(($BG230+$BH230)/2*IF($G$1="牵丝",$AP230,$AN230)+IF($G$1="牵丝",$AQ230*1.5,0))*(1+$BI230)*(1+$BJ230)+(($BK230+$BL230)/2*IF($G$1="破竹",$AP230,$AN230)+IF($G$1="破竹",$AQ230*1.5,0))*(1+$BM230)*(1+$BN230))*(1+$AR230)*$BQ230*$Q230*(1+IF(VLOOKUP($R230,武学奇术!$A:$ZZ,30,FALSE)="蓄力技",$B$21,0))*(1+IF(VLOOKUP($R230,武学奇术!$A:$ZZ,30,FALSE)="派生技",$B$20,0))*(1+$BW230)*(1+$BX230)</f>
        <v>0</v>
      </c>
      <c r="N230" s="46">
        <f>(($AU230*$AN230+$AO230)*(1+$AV230)*(1+$AW230)+($AZ230*IF($G$1="鸣金",$AP230,$AN230)+IF($G$1="鸣金",$AQ230*1.5,0))*(1+$BA230)*(1+$BB230)+($BD230*IF($G$1="裂石",$AP230,$AN230)+IF($G$1="裂石",$AQ230*1.5,0))*(1+$BE230)*(1+$BF230)+($BH230*IF($G$1="牵丝",$AP230,$AN230)+IF($G$1="牵丝",$AQ230*1.5,0))*(1+$BI230)*(1+$BJ230)+($BL230*IF($G$1="破竹",$AP230,$AN230)+IF($G$1="破竹",$AQ230*1.5,0))*(1+$BM230)*(1+$BN230))*(1+$AR230)*$BS230*$Q230*(1+IF(VLOOKUP($R230,武学奇术!$A:$ZZ,30,FALSE)="蓄力技",$B$21,0))*(1+IF(VLOOKUP($R230,武学奇术!$A:$ZZ,30,FALSE)="派生技",$B$20,0))*(1+$BW230)*(1+$BX230)</f>
        <v>0</v>
      </c>
      <c r="O230" s="46">
        <f>((($AT230+$AU230)/2*$AN230+$AO230)*(1+$AV230)*(1+$AW230)+(($AY230+$AZ230)/2*IF($G$1="鸣金",$AP230,$AN230)+IF($G$1="鸣金",$AQ230*1.5,0))*(1+$BA230)*(1+$BB230)+(($BC230+$BD230)/2*IF($G$1="裂石",$AP230,$AN230)+IF($G$1="裂石",$AQ230*1.5,0))*(1+$BE230)*(1+$BF230)+(($BG230+$BH230)/2*IF($G$1="牵丝",$AP230,$AN230)+IF($G$1="牵丝",$AQ230*1.5,0))*(1+$BI230)*(1+$BJ230)+(($BK230+$BL230)/2*IF($G$1="破竹",$AP230,$AN230)+IF($G$1="破竹",$AQ230*1.5,0))*(1+$BM230)*(1+$BN230))*(1+$AR230)*$Q230*(1+IF(VLOOKUP($R230,武学奇术!$A:$ZZ,30,FALSE)="蓄力技",$B$21,0))*(1+IF(VLOOKUP($R230,武学奇术!$A:$ZZ,30,FALSE)="派生技",$B$20,0))*(1+$BW230)*(1+$BX230)</f>
        <v>0</v>
      </c>
      <c r="P230" s="46">
        <f>((($AT230*$AN230+$AO230)*(1+$AV230)*(1+$AW230)+($AY230*IF($G$1="鸣金",$AP230,$AN230)+IF($G$1="鸣金",$AQ230*1.5,0))*(1+$BA230)*(1+$BB230)+($BC230*IF($G$1="裂石",$AP230,$AN230)+IF($G$1="裂石",$AQ230*1.5,0))*(1+$BE230)*(1+$BF230)+($BG230*IF($G$1="牵丝",$AP230,$AN230)+IF($G$1="牵丝",$AQ230*1.5,0))*(1+$BI230)*(1+$BJ230)+($BK230*IF($G$1="破竹",$AP230,$AN230)+IF($G$1="破竹",$AQ230*1.5,0))*(1+$BM230)*(1+$BN230))*(1+$AR230))*$Q230*(1+IF(VLOOKUP($R230,武学奇术!$A:$ZZ,30,FALSE)="蓄力技",$B$21,0))*(1+IF(VLOOKUP($R230,武学奇术!$A:$ZZ,30,FALSE)="派生技",$B$20,0))*(1+$BW230)*(1+$BX230)</f>
        <v>0</v>
      </c>
      <c r="Q230" s="47">
        <f t="shared" si="134"/>
        <v>0</v>
      </c>
      <c r="R230" s="48" t="s">
        <v>119</v>
      </c>
      <c r="S230" s="48" t="s">
        <v>99</v>
      </c>
      <c r="T230" s="48" t="s">
        <v>182</v>
      </c>
      <c r="U230" s="48" t="s">
        <v>79</v>
      </c>
      <c r="V230" s="48" t="s">
        <v>80</v>
      </c>
      <c r="W230" s="48" t="s">
        <v>141</v>
      </c>
      <c r="X230" s="48" t="s">
        <v>80</v>
      </c>
      <c r="Y230" s="48" t="s">
        <v>74</v>
      </c>
      <c r="Z230" s="48" t="s">
        <v>80</v>
      </c>
      <c r="AA230" s="48" t="s">
        <v>80</v>
      </c>
      <c r="AB230" s="48" t="s">
        <v>80</v>
      </c>
      <c r="AC230" s="48" t="s">
        <v>80</v>
      </c>
      <c r="AD230" s="48" t="s">
        <v>80</v>
      </c>
      <c r="AE230" s="48" t="s">
        <v>82</v>
      </c>
      <c r="AF230" s="48" t="s">
        <v>83</v>
      </c>
      <c r="AG230" s="48" t="s">
        <v>84</v>
      </c>
      <c r="AH230" s="48" t="s">
        <v>80</v>
      </c>
      <c r="AI230" s="48" t="s">
        <v>80</v>
      </c>
      <c r="AJ230" s="48" t="s">
        <v>80</v>
      </c>
      <c r="AK230" s="48" t="s">
        <v>80</v>
      </c>
      <c r="AL230" s="48" t="s">
        <v>85</v>
      </c>
      <c r="AM230" t="str">
        <f>VLOOKUP($R230,武学奇术!$A:$ZZ,25,FALSE)</f>
        <v>横刀</v>
      </c>
      <c r="AN230" s="33">
        <f>VLOOKUP($R230,武学奇术!$A:$ZZ,26,FALSE)</f>
        <v>2.1324</v>
      </c>
      <c r="AO230" s="34">
        <f>VLOOKUP($R230,武学奇术!$A:$ZZ,27,FALSE)*(1+IF(OR($AM230=$F$4,$AM230=$F$5),$B$22,0))</f>
        <v>944</v>
      </c>
      <c r="AP230" s="33">
        <f>VLOOKUP($R230,武学奇术!$A:$ZZ,28,FALSE)</f>
        <v>3.1986</v>
      </c>
      <c r="AQ230" s="34">
        <f>VLOOKUP($R230,武学奇术!$A:$ZZ,29,FALSE)*(1+IF(OR($AM230=$F$4,$AM230=$F$5),$B$22,0))</f>
        <v>515.2</v>
      </c>
      <c r="AR230" s="33" cm="1">
        <f t="array" ref="AR230">$G$3+IFERROR(VLOOKUP($AM230,$F$4:$G$7,2,FALSE),0)+VLOOKUP($R230,武学奇术!$A:$ZZ,2,FALSE)+SUM(_xlfn.XLOOKUP($S230:$AL230,增益!$A:$A,增益!$B:$B,0))</f>
        <v>0.5289</v>
      </c>
      <c r="AS230" s="33" cm="1">
        <f t="array" ref="AS230">VLOOKUP($R230,武学奇术!$A:$ZZ,5,FALSE)+SUM(_xlfn.XLOOKUP($S230:$AL230,增益!$A:$A,增益!$E:$E,0))</f>
        <v>0</v>
      </c>
      <c r="AT230" cm="1">
        <f t="array" ref="AT230">$D$10*(1+$AS230)+VLOOKUP($R230,武学奇术!$A:$ZZ,3,FALSE)+SUM(_xlfn.XLOOKUP($S230:$AL230,增益!$A:$A,增益!$C:$C,0))-$I$2</f>
        <v>4094.7</v>
      </c>
      <c r="AU230" cm="1">
        <f t="array" ref="AU230">$E$10*(1+$AS230)+VLOOKUP($R230,武学奇术!$A:$ZZ,4,FALSE)+SUM(_xlfn.XLOOKUP($S230:$AL230,增益!$A:$A,增益!$D:$D,0))-$I$2</f>
        <v>4094.7</v>
      </c>
      <c r="AV230" s="40" cm="1">
        <f t="array" ref="AV230">IF($F$10-$I$3+VLOOKUP($R230,武学奇术!$A:$ZZ,6,FALSE)+SUM(_xlfn.XLOOKUP($S230:$AL230,增益!$A:$A,增益!$F:$F,0))&gt;0,($F$10-$I$3+VLOOKUP($R230,武学奇术!$A:$ZZ,6,FALSE)+SUM(_xlfn.XLOOKUP($S230:$AL230,增益!$A:$A,增益!$F:$F,0)))/200,($F$10-$I$3+VLOOKUP($R230,武学奇术!$A:$ZZ,6,FALSE)+SUM(_xlfn.XLOOKUP($S230:$AL230,增益!$A:$A,增益!$F:$F,0)))/100)</f>
        <v>0.4384</v>
      </c>
      <c r="AW230" s="40" cm="1">
        <f t="array" ref="AW230">$G$10+VLOOKUP($R230,武学奇术!$A:$ZZ,7,FALSE)+SUM(_xlfn.XLOOKUP($S230:$AL230,增益!$A:$A,增益!$G:$G,0))</f>
        <v>0.14</v>
      </c>
      <c r="AX230" s="33" cm="1">
        <f t="array" ref="AX230">VLOOKUP($R230,武学奇术!$A:$ZZ,8,FALSE)+SUM(_xlfn.XLOOKUP($S230:$AL230,增益!$A:$A,增益!$H:$H,0))</f>
        <v>0</v>
      </c>
      <c r="AY230">
        <f t="shared" si="135"/>
        <v>0</v>
      </c>
      <c r="AZ230">
        <f t="shared" si="136"/>
        <v>0</v>
      </c>
      <c r="BA230" s="40" cm="1">
        <f t="array" ref="BA230">IF($F$11-$I$4+VLOOKUP($R230,武学奇术!$A:$ZZ,9,FALSE)+SUM(_xlfn.XLOOKUP($S230:$AL230,增益!$A:$A,增益!$I:$I,0))&gt;0,($F$11-$I$4+VLOOKUP($R230,武学奇术!$A:$ZZ,9,FALSE)+SUM(_xlfn.XLOOKUP($S230:$AL230,增益!$A:$A,增益!$I:$I,0)))/200,($F$11-$I$4+VLOOKUP($R230,武学奇术!$A:$ZZ,9,FALSE)+SUM(_xlfn.XLOOKUP($S230:$AL230,增益!$A:$A,增益!$I:$I,0)))/100)</f>
        <v>-0.3</v>
      </c>
      <c r="BB230" s="40" cm="1">
        <f t="array" ref="BB230">$G$11+VLOOKUP($R230,武学奇术!$A:$ZZ,10,FALSE)+SUM(_xlfn.XLOOKUP($S230:$AL230,增益!$A:$A,增益!$J:$J,0))</f>
        <v>0.02</v>
      </c>
      <c r="BC230">
        <f t="shared" si="137"/>
        <v>640.3</v>
      </c>
      <c r="BD230">
        <f t="shared" si="138"/>
        <v>1770.1</v>
      </c>
      <c r="BE230" s="40" cm="1">
        <f t="array" ref="BE230">IF($F$12-$I$4+VLOOKUP($R230,武学奇术!$A:$ZZ,11,FALSE)+SUM(_xlfn.XLOOKUP($S230:$AL230,增益!$A:$A,增益!$K:$K,0))&gt;0,($F$12-$I$4+VLOOKUP($R230,武学奇术!$A:$ZZ,11,FALSE)+SUM(_xlfn.XLOOKUP($S230:$AL230,增益!$A:$A,增益!$K:$K,0)))/200,($F$12-$I$4+VLOOKUP($R230,武学奇术!$A:$ZZ,11,FALSE)+SUM(_xlfn.XLOOKUP($S230:$AL230,增益!$A:$A,增益!$K:$K,0)))/100)</f>
        <v>0.09</v>
      </c>
      <c r="BF230" s="40" cm="1">
        <f t="array" ref="BF230">$G$12+VLOOKUP($R230,武学奇术!$A:$ZZ,12,FALSE)+SUM(_xlfn.XLOOKUP($S230:$AL230,增益!$A:$A,增益!$L:$L,0))</f>
        <v>0.29</v>
      </c>
      <c r="BG230">
        <f t="shared" si="139"/>
        <v>0</v>
      </c>
      <c r="BH230">
        <f t="shared" si="140"/>
        <v>0</v>
      </c>
      <c r="BI230" s="40" cm="1">
        <f t="array" ref="BI230">IF($F$13-$I$4+VLOOKUP($R230,武学奇术!$A:$ZZ,13,FALSE)+SUM(_xlfn.XLOOKUP($S230:$AL230,增益!$A:$A,增益!$M:$M,0))&gt;0,($F$13-$I$4+VLOOKUP($R230,武学奇术!$A:$ZZ,13,FALSE)+SUM(_xlfn.XLOOKUP($S230:$AL230,增益!$A:$A,增益!$K:$K,0)))/200,($F$13-$I$4+VLOOKUP($R230,武学奇术!$A:$ZZ,13,FALSE)+SUM(_xlfn.XLOOKUP($S230:$AL230,增益!$A:$A,增益!$M:$M,0)))/100)</f>
        <v>-0.3</v>
      </c>
      <c r="BJ230" s="40" cm="1">
        <f t="array" ref="BJ230">$G$13+VLOOKUP($R230,武学奇术!$A:$ZZ,14,FALSE)+SUM(_xlfn.XLOOKUP($S230:$AL230,增益!$A:$A,增益!$N:$N,0))</f>
        <v>0.02</v>
      </c>
      <c r="BK230">
        <f t="shared" si="141"/>
        <v>0</v>
      </c>
      <c r="BL230">
        <f t="shared" si="142"/>
        <v>0</v>
      </c>
      <c r="BM230" s="40" cm="1">
        <f t="array" ref="BM230">IF($F$14-$I$4+VLOOKUP($R230,武学奇术!$A:$ZZ,15,FALSE)+SUM(_xlfn.XLOOKUP($S230:$AL230,增益!$A:$A,增益!$O:$O,0))&gt;0,($F$14-$I$4+VLOOKUP($R230,武学奇术!$A:$ZZ,15,FALSE)+SUM(_xlfn.XLOOKUP($S230:$AL230,增益!$A:$A,增益!$O:$O,0)))/200,($F$14-$I$4+VLOOKUP($R230,武学奇术!$A:$ZZ,15,FALSE)+SUM(_xlfn.XLOOKUP($S230:$AL230,增益!$A:$A,增益!$O:$O,0)))/100)</f>
        <v>-0.3</v>
      </c>
      <c r="BN230" s="40" cm="1">
        <f t="array" ref="BN230">$G$14+VLOOKUP($R230,武学奇术!$A:$ZZ,16,FALSE)+SUM(_xlfn.XLOOKUP($S230:$AL230,增益!$A:$A,增益!$P:$P,0))</f>
        <v>0.02</v>
      </c>
      <c r="BO230" s="33">
        <f>MIN(IF(VLOOKUP($R230,武学奇术!$A:$ZZ,23,FALSE)=1,100%,$B$8),100%)</f>
        <v>0.9771</v>
      </c>
      <c r="BP230" s="33" cm="1">
        <f t="array" ref="BP230">IF(VLOOKUP($R230,武学奇术!$A:$ZZ,23,FALSE)=1,100%,MIN(80%,$B$9+VLOOKUP($R230,武学奇术!$A:$ZZ,17,FALSE)+SUM(_xlfn.XLOOKUP($S230:$AL230,增益!$A:$A,增益!$Q:$Q,0)))+$B$11+SUM(_xlfn.XLOOKUP($S230:$AL230,增益!$A:$A,增益!$U:$U,0)))*IF(VLOOKUP($R230,武学奇术!$A:$ZZ,24,FALSE)=1,0,1)</f>
        <v>0.8861</v>
      </c>
      <c r="BQ230" s="33" cm="1">
        <f t="array" ref="BQ230">1+$B$13+VLOOKUP($R230,武学奇术!$A:$ZZ,18,FALSE)+SUM(_xlfn.XLOOKUP($S230:$AL230,增益!$A:$A,增益!$R:$R,0))</f>
        <v>2</v>
      </c>
      <c r="BR230" s="33" cm="1">
        <f t="array" ref="BR230">IF(VLOOKUP($R230,武学奇术!$A:$ZZ,24,FALSE)=1,100%,MIN(40%,$B$10+VLOOKUP($R230,武学奇术!$A:$ZZ,19,FALSE)+SUM(_xlfn.XLOOKUP($S230:$AL230,增益!$A:$A,增益!$S:$S,0)))+$B$12+SUM(_xlfn.XLOOKUP($S230:$AL230,增益!$A:$A,增益!$V:$V,0)))*IF(VLOOKUP($R230,武学奇术!$A:$ZZ,23,FALSE)=1,0,1)</f>
        <v>0.0913</v>
      </c>
      <c r="BS230" s="33" cm="1">
        <f t="array" ref="BS230">1+$B$14+VLOOKUP($R230,武学奇术!$A:$ZZ,20,FALSE)+SUM(_xlfn.XLOOKUP($S230:$AL230,增益!$A:$A,增益!$T:$T,0))</f>
        <v>1.35</v>
      </c>
      <c r="BT230" s="33">
        <f t="shared" si="143"/>
        <v>0.86580831</v>
      </c>
      <c r="BU230" s="33">
        <f t="shared" si="144"/>
        <v>0.02208246</v>
      </c>
      <c r="BV230" s="33">
        <f>IF(VLOOKUP($R230,武学奇术!$A:$ZZ,22,FALSE)=1,0,(1-$BO230))*(1-$BR230)</f>
        <v>0.02080923</v>
      </c>
      <c r="BW230" s="33" cm="1">
        <f t="array" ref="BW230">SUM(_xlfn.XLOOKUP($S230:$AL230,增益!$A:$A,增益!$W:$W,0))+$I$5</f>
        <v>0.11</v>
      </c>
      <c r="BX230" s="33" cm="1">
        <f t="array" ref="BX230">VLOOKUP($R230,武学奇术!$A:$ZZ,32,FALSE)+SUM(_xlfn.XLOOKUP($S230:$AL230,增益!$A:$A,增益!$X:$X,0))</f>
        <v>0</v>
      </c>
    </row>
    <row r="231" spans="12:76">
      <c r="L231" s="46">
        <f t="shared" si="133"/>
        <v>0</v>
      </c>
      <c r="M231" s="46">
        <f>((($AT231+$AU231)/2*$AN231+$AO231)*(1+$AV231)*(1+$AW231)+(($AY231+$AZ231)/2*IF($G$1="鸣金",$AP231,$AN231)+IF($G$1="鸣金",$AQ231*1.5,0))*(1+$BA231)*(1+$BB231)+(($BC231+$BD231)/2*IF($G$1="裂石",$AP231,$AN231)+IF($G$1="裂石",$AQ231*1.5,0))*(1+$BE231)*(1+$BF231)+(($BG231+$BH231)/2*IF($G$1="牵丝",$AP231,$AN231)+IF($G$1="牵丝",$AQ231*1.5,0))*(1+$BI231)*(1+$BJ231)+(($BK231+$BL231)/2*IF($G$1="破竹",$AP231,$AN231)+IF($G$1="破竹",$AQ231*1.5,0))*(1+$BM231)*(1+$BN231))*(1+$AR231)*$BQ231*$Q231*(1+IF(VLOOKUP($R231,武学奇术!$A:$ZZ,30,FALSE)="蓄力技",$B$21,0))*(1+IF(VLOOKUP($R231,武学奇术!$A:$ZZ,30,FALSE)="派生技",$B$20,0))*(1+$BW231)*(1+$BX231)</f>
        <v>0</v>
      </c>
      <c r="N231" s="46">
        <f>(($AU231*$AN231+$AO231)*(1+$AV231)*(1+$AW231)+($AZ231*IF($G$1="鸣金",$AP231,$AN231)+IF($G$1="鸣金",$AQ231*1.5,0))*(1+$BA231)*(1+$BB231)+($BD231*IF($G$1="裂石",$AP231,$AN231)+IF($G$1="裂石",$AQ231*1.5,0))*(1+$BE231)*(1+$BF231)+($BH231*IF($G$1="牵丝",$AP231,$AN231)+IF($G$1="牵丝",$AQ231*1.5,0))*(1+$BI231)*(1+$BJ231)+($BL231*IF($G$1="破竹",$AP231,$AN231)+IF($G$1="破竹",$AQ231*1.5,0))*(1+$BM231)*(1+$BN231))*(1+$AR231)*$BS231*$Q231*(1+IF(VLOOKUP($R231,武学奇术!$A:$ZZ,30,FALSE)="蓄力技",$B$21,0))*(1+IF(VLOOKUP($R231,武学奇术!$A:$ZZ,30,FALSE)="派生技",$B$20,0))*(1+$BW231)*(1+$BX231)</f>
        <v>0</v>
      </c>
      <c r="O231" s="46">
        <f>((($AT231+$AU231)/2*$AN231+$AO231)*(1+$AV231)*(1+$AW231)+(($AY231+$AZ231)/2*IF($G$1="鸣金",$AP231,$AN231)+IF($G$1="鸣金",$AQ231*1.5,0))*(1+$BA231)*(1+$BB231)+(($BC231+$BD231)/2*IF($G$1="裂石",$AP231,$AN231)+IF($G$1="裂石",$AQ231*1.5,0))*(1+$BE231)*(1+$BF231)+(($BG231+$BH231)/2*IF($G$1="牵丝",$AP231,$AN231)+IF($G$1="牵丝",$AQ231*1.5,0))*(1+$BI231)*(1+$BJ231)+(($BK231+$BL231)/2*IF($G$1="破竹",$AP231,$AN231)+IF($G$1="破竹",$AQ231*1.5,0))*(1+$BM231)*(1+$BN231))*(1+$AR231)*$Q231*(1+IF(VLOOKUP($R231,武学奇术!$A:$ZZ,30,FALSE)="蓄力技",$B$21,0))*(1+IF(VLOOKUP($R231,武学奇术!$A:$ZZ,30,FALSE)="派生技",$B$20,0))*(1+$BW231)*(1+$BX231)</f>
        <v>0</v>
      </c>
      <c r="P231" s="46">
        <f>((($AT231*$AN231+$AO231)*(1+$AV231)*(1+$AW231)+($AY231*IF($G$1="鸣金",$AP231,$AN231)+IF($G$1="鸣金",$AQ231*1.5,0))*(1+$BA231)*(1+$BB231)+($BC231*IF($G$1="裂石",$AP231,$AN231)+IF($G$1="裂石",$AQ231*1.5,0))*(1+$BE231)*(1+$BF231)+($BG231*IF($G$1="牵丝",$AP231,$AN231)+IF($G$1="牵丝",$AQ231*1.5,0))*(1+$BI231)*(1+$BJ231)+($BK231*IF($G$1="破竹",$AP231,$AN231)+IF($G$1="破竹",$AQ231*1.5,0))*(1+$BM231)*(1+$BN231))*(1+$AR231))*$Q231*(1+IF(VLOOKUP($R231,武学奇术!$A:$ZZ,30,FALSE)="蓄力技",$B$21,0))*(1+IF(VLOOKUP($R231,武学奇术!$A:$ZZ,30,FALSE)="派生技",$B$20,0))*(1+$BW231)*(1+$BX231)</f>
        <v>0</v>
      </c>
      <c r="Q231" s="47">
        <f t="shared" si="134"/>
        <v>0</v>
      </c>
      <c r="R231" s="48" t="s">
        <v>122</v>
      </c>
      <c r="S231" s="48" t="s">
        <v>99</v>
      </c>
      <c r="T231" s="48" t="s">
        <v>182</v>
      </c>
      <c r="U231" s="48" t="s">
        <v>79</v>
      </c>
      <c r="V231" s="48" t="s">
        <v>90</v>
      </c>
      <c r="W231" s="48" t="s">
        <v>141</v>
      </c>
      <c r="X231" s="48" t="s">
        <v>80</v>
      </c>
      <c r="Y231" s="48" t="s">
        <v>74</v>
      </c>
      <c r="Z231" s="48" t="s">
        <v>80</v>
      </c>
      <c r="AA231" s="48" t="s">
        <v>80</v>
      </c>
      <c r="AB231" s="48" t="s">
        <v>80</v>
      </c>
      <c r="AC231" s="48" t="s">
        <v>80</v>
      </c>
      <c r="AD231" s="48" t="s">
        <v>80</v>
      </c>
      <c r="AE231" s="48" t="s">
        <v>82</v>
      </c>
      <c r="AF231" s="48" t="s">
        <v>83</v>
      </c>
      <c r="AG231" s="48" t="s">
        <v>84</v>
      </c>
      <c r="AH231" s="48" t="s">
        <v>80</v>
      </c>
      <c r="AI231" s="48" t="s">
        <v>80</v>
      </c>
      <c r="AJ231" s="48" t="s">
        <v>80</v>
      </c>
      <c r="AK231" s="48" t="s">
        <v>80</v>
      </c>
      <c r="AL231" s="48" t="s">
        <v>85</v>
      </c>
      <c r="AM231" t="str">
        <f>VLOOKUP($R231,武学奇术!$A:$ZZ,25,FALSE)</f>
        <v>横刀</v>
      </c>
      <c r="AN231" s="33">
        <f>VLOOKUP($R231,武学奇术!$A:$ZZ,26,FALSE)</f>
        <v>1.47</v>
      </c>
      <c r="AO231" s="34">
        <f>VLOOKUP($R231,武学奇术!$A:$ZZ,27,FALSE)*(1+IF(OR($AM231=$F$4,$AM231=$F$5),$B$22,0))</f>
        <v>0</v>
      </c>
      <c r="AP231" s="33">
        <f>VLOOKUP($R231,武学奇术!$A:$ZZ,28,FALSE)</f>
        <v>2.205</v>
      </c>
      <c r="AQ231" s="34">
        <f>VLOOKUP($R231,武学奇术!$A:$ZZ,29,FALSE)*(1+IF(OR($AM231=$F$4,$AM231=$F$5),$B$22,0))</f>
        <v>0</v>
      </c>
      <c r="AR231" s="33" cm="1">
        <f t="array" ref="AR231">$G$3+IFERROR(VLOOKUP($AM231,$F$4:$G$7,2,FALSE),0)+VLOOKUP($R231,武学奇术!$A:$ZZ,2,FALSE)+SUM(_xlfn.XLOOKUP($S231:$AL231,增益!$A:$A,增益!$B:$B,0))</f>
        <v>0.6089</v>
      </c>
      <c r="AS231" s="33" cm="1">
        <f t="array" ref="AS231">VLOOKUP($R231,武学奇术!$A:$ZZ,5,FALSE)+SUM(_xlfn.XLOOKUP($S231:$AL231,增益!$A:$A,增益!$E:$E,0))</f>
        <v>0</v>
      </c>
      <c r="AT231" cm="1">
        <f t="array" ref="AT231">$D$10*(1+$AS231)+VLOOKUP($R231,武学奇术!$A:$ZZ,3,FALSE)+SUM(_xlfn.XLOOKUP($S231:$AL231,增益!$A:$A,增益!$C:$C,0))-$I$2</f>
        <v>4094.7</v>
      </c>
      <c r="AU231" cm="1">
        <f t="array" ref="AU231">$E$10*(1+$AS231)+VLOOKUP($R231,武学奇术!$A:$ZZ,4,FALSE)+SUM(_xlfn.XLOOKUP($S231:$AL231,增益!$A:$A,增益!$D:$D,0))-$I$2</f>
        <v>4094.7</v>
      </c>
      <c r="AV231" s="40" cm="1">
        <f t="array" ref="AV231">IF($F$10-$I$3+VLOOKUP($R231,武学奇术!$A:$ZZ,6,FALSE)+SUM(_xlfn.XLOOKUP($S231:$AL231,增益!$A:$A,增益!$F:$F,0))&gt;0,($F$10-$I$3+VLOOKUP($R231,武学奇术!$A:$ZZ,6,FALSE)+SUM(_xlfn.XLOOKUP($S231:$AL231,增益!$A:$A,增益!$F:$F,0)))/200,($F$10-$I$3+VLOOKUP($R231,武学奇术!$A:$ZZ,6,FALSE)+SUM(_xlfn.XLOOKUP($S231:$AL231,增益!$A:$A,增益!$F:$F,0)))/100)</f>
        <v>0.4384</v>
      </c>
      <c r="AW231" s="40" cm="1">
        <f t="array" ref="AW231">$G$10+VLOOKUP($R231,武学奇术!$A:$ZZ,7,FALSE)+SUM(_xlfn.XLOOKUP($S231:$AL231,增益!$A:$A,增益!$G:$G,0))</f>
        <v>0.14</v>
      </c>
      <c r="AX231" s="33" cm="1">
        <f t="array" ref="AX231">VLOOKUP($R231,武学奇术!$A:$ZZ,8,FALSE)+SUM(_xlfn.XLOOKUP($S231:$AL231,增益!$A:$A,增益!$H:$H,0))</f>
        <v>0</v>
      </c>
      <c r="AY231">
        <f t="shared" si="135"/>
        <v>0</v>
      </c>
      <c r="AZ231">
        <f t="shared" si="136"/>
        <v>0</v>
      </c>
      <c r="BA231" s="40" cm="1">
        <f t="array" ref="BA231">IF($F$11-$I$4+VLOOKUP($R231,武学奇术!$A:$ZZ,9,FALSE)+SUM(_xlfn.XLOOKUP($S231:$AL231,增益!$A:$A,增益!$I:$I,0))&gt;0,($F$11-$I$4+VLOOKUP($R231,武学奇术!$A:$ZZ,9,FALSE)+SUM(_xlfn.XLOOKUP($S231:$AL231,增益!$A:$A,增益!$I:$I,0)))/200,($F$11-$I$4+VLOOKUP($R231,武学奇术!$A:$ZZ,9,FALSE)+SUM(_xlfn.XLOOKUP($S231:$AL231,增益!$A:$A,增益!$I:$I,0)))/100)</f>
        <v>-0.14</v>
      </c>
      <c r="BB231" s="40" cm="1">
        <f t="array" ref="BB231">$G$11+VLOOKUP($R231,武学奇术!$A:$ZZ,10,FALSE)+SUM(_xlfn.XLOOKUP($S231:$AL231,增益!$A:$A,增益!$J:$J,0))</f>
        <v>0.02</v>
      </c>
      <c r="BC231">
        <f t="shared" si="137"/>
        <v>640.3</v>
      </c>
      <c r="BD231">
        <f t="shared" si="138"/>
        <v>1770.1</v>
      </c>
      <c r="BE231" s="40" cm="1">
        <f t="array" ref="BE231">IF($F$12-$I$4+VLOOKUP($R231,武学奇术!$A:$ZZ,11,FALSE)+SUM(_xlfn.XLOOKUP($S231:$AL231,增益!$A:$A,增益!$K:$K,0))&gt;0,($F$12-$I$4+VLOOKUP($R231,武学奇术!$A:$ZZ,11,FALSE)+SUM(_xlfn.XLOOKUP($S231:$AL231,增益!$A:$A,增益!$K:$K,0)))/200,($F$12-$I$4+VLOOKUP($R231,武学奇术!$A:$ZZ,11,FALSE)+SUM(_xlfn.XLOOKUP($S231:$AL231,增益!$A:$A,增益!$K:$K,0)))/100)</f>
        <v>0.17</v>
      </c>
      <c r="BF231" s="40" cm="1">
        <f t="array" ref="BF231">$G$12+VLOOKUP($R231,武学奇术!$A:$ZZ,12,FALSE)+SUM(_xlfn.XLOOKUP($S231:$AL231,增益!$A:$A,增益!$L:$L,0))</f>
        <v>0.29</v>
      </c>
      <c r="BG231">
        <f t="shared" si="139"/>
        <v>0</v>
      </c>
      <c r="BH231">
        <f t="shared" si="140"/>
        <v>0</v>
      </c>
      <c r="BI231" s="40" cm="1">
        <f t="array" ref="BI231">IF($F$13-$I$4+VLOOKUP($R231,武学奇术!$A:$ZZ,13,FALSE)+SUM(_xlfn.XLOOKUP($S231:$AL231,增益!$A:$A,增益!$M:$M,0))&gt;0,($F$13-$I$4+VLOOKUP($R231,武学奇术!$A:$ZZ,13,FALSE)+SUM(_xlfn.XLOOKUP($S231:$AL231,增益!$A:$A,增益!$K:$K,0)))/200,($F$13-$I$4+VLOOKUP($R231,武学奇术!$A:$ZZ,13,FALSE)+SUM(_xlfn.XLOOKUP($S231:$AL231,增益!$A:$A,增益!$M:$M,0)))/100)</f>
        <v>-0.14</v>
      </c>
      <c r="BJ231" s="40" cm="1">
        <f t="array" ref="BJ231">$G$13+VLOOKUP($R231,武学奇术!$A:$ZZ,14,FALSE)+SUM(_xlfn.XLOOKUP($S231:$AL231,增益!$A:$A,增益!$N:$N,0))</f>
        <v>0.02</v>
      </c>
      <c r="BK231">
        <f t="shared" si="141"/>
        <v>0</v>
      </c>
      <c r="BL231">
        <f t="shared" si="142"/>
        <v>0</v>
      </c>
      <c r="BM231" s="40" cm="1">
        <f t="array" ref="BM231">IF($F$14-$I$4+VLOOKUP($R231,武学奇术!$A:$ZZ,15,FALSE)+SUM(_xlfn.XLOOKUP($S231:$AL231,增益!$A:$A,增益!$O:$O,0))&gt;0,($F$14-$I$4+VLOOKUP($R231,武学奇术!$A:$ZZ,15,FALSE)+SUM(_xlfn.XLOOKUP($S231:$AL231,增益!$A:$A,增益!$O:$O,0)))/200,($F$14-$I$4+VLOOKUP($R231,武学奇术!$A:$ZZ,15,FALSE)+SUM(_xlfn.XLOOKUP($S231:$AL231,增益!$A:$A,增益!$O:$O,0)))/100)</f>
        <v>-0.14</v>
      </c>
      <c r="BN231" s="40" cm="1">
        <f t="array" ref="BN231">$G$14+VLOOKUP($R231,武学奇术!$A:$ZZ,16,FALSE)+SUM(_xlfn.XLOOKUP($S231:$AL231,增益!$A:$A,增益!$P:$P,0))</f>
        <v>0.02</v>
      </c>
      <c r="BO231" s="33">
        <f>MIN(IF(VLOOKUP($R231,武学奇术!$A:$ZZ,23,FALSE)=1,100%,$B$8),100%)</f>
        <v>0.9771</v>
      </c>
      <c r="BP231" s="33" cm="1">
        <f t="array" ref="BP231">IF(VLOOKUP($R231,武学奇术!$A:$ZZ,23,FALSE)=1,100%,MIN(80%,$B$9+VLOOKUP($R231,武学奇术!$A:$ZZ,17,FALSE)+SUM(_xlfn.XLOOKUP($S231:$AL231,增益!$A:$A,增益!$Q:$Q,0)))+$B$11+SUM(_xlfn.XLOOKUP($S231:$AL231,增益!$A:$A,增益!$U:$U,0)))*IF(VLOOKUP($R231,武学奇术!$A:$ZZ,24,FALSE)=1,0,1)</f>
        <v>0.8861</v>
      </c>
      <c r="BQ231" s="33" cm="1">
        <f t="array" ref="BQ231">1+$B$13+VLOOKUP($R231,武学奇术!$A:$ZZ,18,FALSE)+SUM(_xlfn.XLOOKUP($S231:$AL231,增益!$A:$A,增益!$R:$R,0))</f>
        <v>2</v>
      </c>
      <c r="BR231" s="33" cm="1">
        <f t="array" ref="BR231">IF(VLOOKUP($R231,武学奇术!$A:$ZZ,24,FALSE)=1,100%,MIN(40%,$B$10+VLOOKUP($R231,武学奇术!$A:$ZZ,19,FALSE)+SUM(_xlfn.XLOOKUP($S231:$AL231,增益!$A:$A,增益!$S:$S,0)))+$B$12+SUM(_xlfn.XLOOKUP($S231:$AL231,增益!$A:$A,增益!$V:$V,0)))*IF(VLOOKUP($R231,武学奇术!$A:$ZZ,23,FALSE)=1,0,1)</f>
        <v>0.0913</v>
      </c>
      <c r="BS231" s="33" cm="1">
        <f t="array" ref="BS231">1+$B$14+VLOOKUP($R231,武学奇术!$A:$ZZ,20,FALSE)+SUM(_xlfn.XLOOKUP($S231:$AL231,增益!$A:$A,增益!$T:$T,0))</f>
        <v>1.35</v>
      </c>
      <c r="BT231" s="33">
        <f t="shared" si="143"/>
        <v>0.86580831</v>
      </c>
      <c r="BU231" s="33">
        <f t="shared" si="144"/>
        <v>0.02208246</v>
      </c>
      <c r="BV231" s="33">
        <f>IF(VLOOKUP($R231,武学奇术!$A:$ZZ,22,FALSE)=1,0,(1-$BO231))*(1-$BR231)</f>
        <v>0.02080923</v>
      </c>
      <c r="BW231" s="33" cm="1">
        <f t="array" ref="BW231">SUM(_xlfn.XLOOKUP($S231:$AL231,增益!$A:$A,增益!$W:$W,0))+$I$5</f>
        <v>0.11</v>
      </c>
      <c r="BX231" s="33" cm="1">
        <f t="array" ref="BX231">VLOOKUP($R231,武学奇术!$A:$ZZ,32,FALSE)+SUM(_xlfn.XLOOKUP($S231:$AL231,增益!$A:$A,增益!$X:$X,0))</f>
        <v>0</v>
      </c>
    </row>
    <row r="232" spans="12:76">
      <c r="L232" s="46">
        <f>($M232*$BT232+$N232*$BR232+$O232*$BU232+$P232*$BV232)</f>
        <v>0</v>
      </c>
      <c r="M232" s="46">
        <f>((($AT232+$AU232)/2*$AN232+$AO232)*(1+$AV232)*(1+$AW232)+(($AY232+$AZ232)/2*IF($G$1="鸣金",$AP232,$AN232)+IF($G$1="鸣金",$AQ232*1.5,0))*(1+$BA232)*(1+$BB232)+(($BC232+$BD232)/2*IF($G$1="裂石",$AP232,$AN232)+IF($G$1="裂石",$AQ232*1.5,0))*(1+$BE232)*(1+$BF232)+(($BG232+$BH232)/2*IF($G$1="牵丝",$AP232,$AN232)+IF($G$1="牵丝",$AQ232*1.5,0))*(1+$BI232)*(1+$BJ232)+(($BK232+$BL232)/2*IF($G$1="破竹",$AP232,$AN232)+IF($G$1="破竹",$AQ232*1.5,0))*(1+$BM232)*(1+$BN232))*(1+$AR232)*$BQ232*$Q232*(1+IF(VLOOKUP($R232,武学奇术!$A:$ZZ,30,FALSE)="蓄力技",$B$21,0))*(1+IF(VLOOKUP($R232,武学奇术!$A:$ZZ,30,FALSE)="派生技",$B$20,0))*(1+$BW232)*(1+$BX232)</f>
        <v>0</v>
      </c>
      <c r="N232" s="46">
        <f>(($AU232*$AN232+$AO232)*(1+$AV232)*(1+$AW232)+($AZ232*IF($G$1="鸣金",$AP232,$AN232)+IF($G$1="鸣金",$AQ232*1.5,0))*(1+$BA232)*(1+$BB232)+($BD232*IF($G$1="裂石",$AP232,$AN232)+IF($G$1="裂石",$AQ232*1.5,0))*(1+$BE232)*(1+$BF232)+($BH232*IF($G$1="牵丝",$AP232,$AN232)+IF($G$1="牵丝",$AQ232*1.5,0))*(1+$BI232)*(1+$BJ232)+($BL232*IF($G$1="破竹",$AP232,$AN232)+IF($G$1="破竹",$AQ232*1.5,0))*(1+$BM232)*(1+$BN232))*(1+$AR232)*$BS232*$Q232*(1+IF(VLOOKUP($R232,武学奇术!$A:$ZZ,30,FALSE)="蓄力技",$B$21,0))*(1+IF(VLOOKUP($R232,武学奇术!$A:$ZZ,30,FALSE)="派生技",$B$20,0))*(1+$BW232)*(1+$BX232)</f>
        <v>0</v>
      </c>
      <c r="O232" s="46">
        <f>((($AT232+$AU232)/2*$AN232+$AO232)*(1+$AV232)*(1+$AW232)+(($AY232+$AZ232)/2*IF($G$1="鸣金",$AP232,$AN232)+IF($G$1="鸣金",$AQ232*1.5,0))*(1+$BA232)*(1+$BB232)+(($BC232+$BD232)/2*IF($G$1="裂石",$AP232,$AN232)+IF($G$1="裂石",$AQ232*1.5,0))*(1+$BE232)*(1+$BF232)+(($BG232+$BH232)/2*IF($G$1="牵丝",$AP232,$AN232)+IF($G$1="牵丝",$AQ232*1.5,0))*(1+$BI232)*(1+$BJ232)+(($BK232+$BL232)/2*IF($G$1="破竹",$AP232,$AN232)+IF($G$1="破竹",$AQ232*1.5,0))*(1+$BM232)*(1+$BN232))*(1+$AR232)*$Q232*(1+IF(VLOOKUP($R232,武学奇术!$A:$ZZ,30,FALSE)="蓄力技",$B$21,0))*(1+IF(VLOOKUP($R232,武学奇术!$A:$ZZ,30,FALSE)="派生技",$B$20,0))*(1+$BW232)*(1+$BX232)</f>
        <v>0</v>
      </c>
      <c r="P232" s="46">
        <f>((($AT232*$AN232+$AO232)*(1+$AV232)*(1+$AW232)+($AY232*IF($G$1="鸣金",$AP232,$AN232)+IF($G$1="鸣金",$AQ232*1.5,0))*(1+$BA232)*(1+$BB232)+($BC232*IF($G$1="裂石",$AP232,$AN232)+IF($G$1="裂石",$AQ232*1.5,0))*(1+$BE232)*(1+$BF232)+($BG232*IF($G$1="牵丝",$AP232,$AN232)+IF($G$1="牵丝",$AQ232*1.5,0))*(1+$BI232)*(1+$BJ232)+($BK232*IF($G$1="破竹",$AP232,$AN232)+IF($G$1="破竹",$AQ232*1.5,0))*(1+$BM232)*(1+$BN232))*(1+$AR232))*$Q232*(1+IF(VLOOKUP($R232,武学奇术!$A:$ZZ,30,FALSE)="蓄力技",$B$21,0))*(1+IF(VLOOKUP($R232,武学奇术!$A:$ZZ,30,FALSE)="派生技",$B$20,0))*(1+$BW232)*(1+$BX232)</f>
        <v>0</v>
      </c>
      <c r="Q232" s="47">
        <f>IF($E$24="唐刀",1,0)</f>
        <v>0</v>
      </c>
      <c r="R232" s="48" t="s">
        <v>195</v>
      </c>
      <c r="S232" s="48" t="s">
        <v>99</v>
      </c>
      <c r="T232" s="48" t="s">
        <v>182</v>
      </c>
      <c r="U232" s="48" t="s">
        <v>79</v>
      </c>
      <c r="V232" s="48" t="s">
        <v>90</v>
      </c>
      <c r="W232" s="48" t="s">
        <v>141</v>
      </c>
      <c r="X232" s="48" t="s">
        <v>80</v>
      </c>
      <c r="Y232" s="48" t="s">
        <v>74</v>
      </c>
      <c r="Z232" s="48" t="s">
        <v>80</v>
      </c>
      <c r="AA232" s="48" t="s">
        <v>80</v>
      </c>
      <c r="AB232" s="48" t="s">
        <v>80</v>
      </c>
      <c r="AC232" s="48" t="s">
        <v>80</v>
      </c>
      <c r="AD232" s="48" t="s">
        <v>80</v>
      </c>
      <c r="AE232" s="48" t="s">
        <v>82</v>
      </c>
      <c r="AF232" s="48" t="s">
        <v>83</v>
      </c>
      <c r="AG232" s="48" t="s">
        <v>84</v>
      </c>
      <c r="AH232" s="48" t="s">
        <v>80</v>
      </c>
      <c r="AI232" s="48" t="s">
        <v>80</v>
      </c>
      <c r="AJ232" s="48" t="s">
        <v>80</v>
      </c>
      <c r="AK232" s="48" t="s">
        <v>80</v>
      </c>
      <c r="AL232" s="48" t="s">
        <v>85</v>
      </c>
      <c r="AM232" t="str">
        <f>VLOOKUP($R232,武学奇术!$A:$ZZ,25,FALSE)</f>
        <v>横刀</v>
      </c>
      <c r="AN232" s="33">
        <f>VLOOKUP($R232,武学奇术!$A:$ZZ,26,FALSE)</f>
        <v>3.6553</v>
      </c>
      <c r="AO232" s="34">
        <f>VLOOKUP($R232,武学奇术!$A:$ZZ,27,FALSE)*(1+IF(OR($AM232=$F$4,$AM232=$F$5),$B$22,0))</f>
        <v>1619.2</v>
      </c>
      <c r="AP232" s="33">
        <f>VLOOKUP($R232,武学奇术!$A:$ZZ,28,FALSE)</f>
        <v>5.4829</v>
      </c>
      <c r="AQ232" s="34">
        <f>VLOOKUP($R232,武学奇术!$A:$ZZ,29,FALSE)*(1+IF(OR($AM232=$F$4,$AM232=$F$5),$B$22,0))</f>
        <v>880</v>
      </c>
      <c r="AR232" s="33" cm="1">
        <f t="array" ref="AR232">$G$3+IFERROR(VLOOKUP($AM232,$F$4:$G$7,2,FALSE),0)+VLOOKUP($R232,武学奇术!$A:$ZZ,2,FALSE)+SUM(_xlfn.XLOOKUP($S232:$AL232,增益!$A:$A,增益!$B:$B,0))</f>
        <v>0.7089</v>
      </c>
      <c r="AS232" s="33" cm="1">
        <f t="array" ref="AS232">VLOOKUP($R232,武学奇术!$A:$ZZ,5,FALSE)+SUM(_xlfn.XLOOKUP($S232:$AL232,增益!$A:$A,增益!$E:$E,0))</f>
        <v>0</v>
      </c>
      <c r="AT232" cm="1">
        <f t="array" ref="AT232">$D$10*(1+$AS232)+VLOOKUP($R232,武学奇术!$A:$ZZ,3,FALSE)+SUM(_xlfn.XLOOKUP($S232:$AL232,增益!$A:$A,增益!$C:$C,0))-$I$2</f>
        <v>4094.7</v>
      </c>
      <c r="AU232" cm="1">
        <f t="array" ref="AU232">$E$10*(1+$AS232)+VLOOKUP($R232,武学奇术!$A:$ZZ,4,FALSE)+SUM(_xlfn.XLOOKUP($S232:$AL232,增益!$A:$A,增益!$D:$D,0))-$I$2</f>
        <v>4094.7</v>
      </c>
      <c r="AV232" s="40" cm="1">
        <f t="array" ref="AV232">IF($F$10-$I$3+VLOOKUP($R232,武学奇术!$A:$ZZ,6,FALSE)+SUM(_xlfn.XLOOKUP($S232:$AL232,增益!$A:$A,增益!$F:$F,0))&gt;0,($F$10-$I$3+VLOOKUP($R232,武学奇术!$A:$ZZ,6,FALSE)+SUM(_xlfn.XLOOKUP($S232:$AL232,增益!$A:$A,增益!$F:$F,0)))/200,($F$10-$I$3+VLOOKUP($R232,武学奇术!$A:$ZZ,6,FALSE)+SUM(_xlfn.XLOOKUP($S232:$AL232,增益!$A:$A,增益!$F:$F,0)))/100)</f>
        <v>0.4384</v>
      </c>
      <c r="AW232" s="40" cm="1">
        <f t="array" ref="AW232">$G$10+VLOOKUP($R232,武学奇术!$A:$ZZ,7,FALSE)+SUM(_xlfn.XLOOKUP($S232:$AL232,增益!$A:$A,增益!$G:$G,0))</f>
        <v>0.14</v>
      </c>
      <c r="AX232" s="33" cm="1">
        <f t="array" ref="AX232">VLOOKUP($R232,武学奇术!$A:$ZZ,8,FALSE)+SUM(_xlfn.XLOOKUP($S232:$AL232,增益!$A:$A,增益!$H:$H,0))</f>
        <v>0</v>
      </c>
      <c r="AY232">
        <f>$D$11*(1+$AX232)</f>
        <v>0</v>
      </c>
      <c r="AZ232">
        <f>$E$11*(1+$AX232)</f>
        <v>0</v>
      </c>
      <c r="BA232" s="40" cm="1">
        <f t="array" ref="BA232">IF($F$11-$I$4+VLOOKUP($R232,武学奇术!$A:$ZZ,9,FALSE)+SUM(_xlfn.XLOOKUP($S232:$AL232,增益!$A:$A,增益!$I:$I,0))&gt;0,($F$11-$I$4+VLOOKUP($R232,武学奇术!$A:$ZZ,9,FALSE)+SUM(_xlfn.XLOOKUP($S232:$AL232,增益!$A:$A,增益!$I:$I,0)))/200,($F$11-$I$4+VLOOKUP($R232,武学奇术!$A:$ZZ,9,FALSE)+SUM(_xlfn.XLOOKUP($S232:$AL232,增益!$A:$A,增益!$I:$I,0)))/100)</f>
        <v>-0.14</v>
      </c>
      <c r="BB232" s="40" cm="1">
        <f t="array" ref="BB232">$G$11+VLOOKUP($R232,武学奇术!$A:$ZZ,10,FALSE)+SUM(_xlfn.XLOOKUP($S232:$AL232,增益!$A:$A,增益!$J:$J,0))</f>
        <v>0.02</v>
      </c>
      <c r="BC232">
        <f>$D$12*(1+$AX232)</f>
        <v>640.3</v>
      </c>
      <c r="BD232">
        <f>$E$12*(1+$AX232)</f>
        <v>1770.1</v>
      </c>
      <c r="BE232" s="40" cm="1">
        <f t="array" ref="BE232">IF($F$12-$I$4+VLOOKUP($R232,武学奇术!$A:$ZZ,11,FALSE)+SUM(_xlfn.XLOOKUP($S232:$AL232,增益!$A:$A,增益!$K:$K,0))&gt;0,($F$12-$I$4+VLOOKUP($R232,武学奇术!$A:$ZZ,11,FALSE)+SUM(_xlfn.XLOOKUP($S232:$AL232,增益!$A:$A,增益!$K:$K,0)))/200,($F$12-$I$4+VLOOKUP($R232,武学奇术!$A:$ZZ,11,FALSE)+SUM(_xlfn.XLOOKUP($S232:$AL232,增益!$A:$A,增益!$K:$K,0)))/100)</f>
        <v>0.17</v>
      </c>
      <c r="BF232" s="40" cm="1">
        <f t="array" ref="BF232">$G$12+VLOOKUP($R232,武学奇术!$A:$ZZ,12,FALSE)+SUM(_xlfn.XLOOKUP($S232:$AL232,增益!$A:$A,增益!$L:$L,0))</f>
        <v>0.29</v>
      </c>
      <c r="BG232">
        <f>$D$13*(1+$AX232)</f>
        <v>0</v>
      </c>
      <c r="BH232">
        <f>$E$13*(1+$AX232)</f>
        <v>0</v>
      </c>
      <c r="BI232" s="40" cm="1">
        <f t="array" ref="BI232">IF($F$13-$I$4+VLOOKUP($R232,武学奇术!$A:$ZZ,13,FALSE)+SUM(_xlfn.XLOOKUP($S232:$AL232,增益!$A:$A,增益!$M:$M,0))&gt;0,($F$13-$I$4+VLOOKUP($R232,武学奇术!$A:$ZZ,13,FALSE)+SUM(_xlfn.XLOOKUP($S232:$AL232,增益!$A:$A,增益!$K:$K,0)))/200,($F$13-$I$4+VLOOKUP($R232,武学奇术!$A:$ZZ,13,FALSE)+SUM(_xlfn.XLOOKUP($S232:$AL232,增益!$A:$A,增益!$M:$M,0)))/100)</f>
        <v>-0.14</v>
      </c>
      <c r="BJ232" s="40" cm="1">
        <f t="array" ref="BJ232">$G$13+VLOOKUP($R232,武学奇术!$A:$ZZ,14,FALSE)+SUM(_xlfn.XLOOKUP($S232:$AL232,增益!$A:$A,增益!$N:$N,0))</f>
        <v>0.02</v>
      </c>
      <c r="BK232">
        <f>$D$14*(1+$AX232)</f>
        <v>0</v>
      </c>
      <c r="BL232">
        <f>$E$14*(1+$AX232)</f>
        <v>0</v>
      </c>
      <c r="BM232" s="40" cm="1">
        <f t="array" ref="BM232">IF($F$14-$I$4+VLOOKUP($R232,武学奇术!$A:$ZZ,15,FALSE)+SUM(_xlfn.XLOOKUP($S232:$AL232,增益!$A:$A,增益!$O:$O,0))&gt;0,($F$14-$I$4+VLOOKUP($R232,武学奇术!$A:$ZZ,15,FALSE)+SUM(_xlfn.XLOOKUP($S232:$AL232,增益!$A:$A,增益!$O:$O,0)))/200,($F$14-$I$4+VLOOKUP($R232,武学奇术!$A:$ZZ,15,FALSE)+SUM(_xlfn.XLOOKUP($S232:$AL232,增益!$A:$A,增益!$O:$O,0)))/100)</f>
        <v>-0.14</v>
      </c>
      <c r="BN232" s="40" cm="1">
        <f t="array" ref="BN232">$G$14+VLOOKUP($R232,武学奇术!$A:$ZZ,16,FALSE)+SUM(_xlfn.XLOOKUP($S232:$AL232,增益!$A:$A,增益!$P:$P,0))</f>
        <v>0.02</v>
      </c>
      <c r="BO232" s="33">
        <f>MIN(IF(VLOOKUP($R232,武学奇术!$A:$ZZ,23,FALSE)=1,100%,$B$8),100%)</f>
        <v>0.9771</v>
      </c>
      <c r="BP232" s="33" cm="1">
        <f t="array" ref="BP232">IF(VLOOKUP($R232,武学奇术!$A:$ZZ,23,FALSE)=1,100%,MIN(80%,$B$9+VLOOKUP($R232,武学奇术!$A:$ZZ,17,FALSE)+SUM(_xlfn.XLOOKUP($S232:$AL232,增益!$A:$A,增益!$Q:$Q,0)))+$B$11+SUM(_xlfn.XLOOKUP($S232:$AL232,增益!$A:$A,增益!$U:$U,0)))*IF(VLOOKUP($R232,武学奇术!$A:$ZZ,24,FALSE)=1,0,1)</f>
        <v>0.8861</v>
      </c>
      <c r="BQ232" s="33" cm="1">
        <f t="array" ref="BQ232">1+$B$13+VLOOKUP($R232,武学奇术!$A:$ZZ,18,FALSE)+SUM(_xlfn.XLOOKUP($S232:$AL232,增益!$A:$A,增益!$R:$R,0))</f>
        <v>2</v>
      </c>
      <c r="BR232" s="33" cm="1">
        <f t="array" ref="BR232">IF(VLOOKUP($R232,武学奇术!$A:$ZZ,24,FALSE)=1,100%,MIN(40%,$B$10+VLOOKUP($R232,武学奇术!$A:$ZZ,19,FALSE)+SUM(_xlfn.XLOOKUP($S232:$AL232,增益!$A:$A,增益!$S:$S,0)))+$B$12+SUM(_xlfn.XLOOKUP($S232:$AL232,增益!$A:$A,增益!$V:$V,0)))*IF(VLOOKUP($R232,武学奇术!$A:$ZZ,23,FALSE)=1,0,1)</f>
        <v>0.0913</v>
      </c>
      <c r="BS232" s="33" cm="1">
        <f t="array" ref="BS232">1+$B$14+VLOOKUP($R232,武学奇术!$A:$ZZ,20,FALSE)+SUM(_xlfn.XLOOKUP($S232:$AL232,增益!$A:$A,增益!$T:$T,0))</f>
        <v>1.35</v>
      </c>
      <c r="BT232" s="33">
        <f>MIN((1-BR232)*BO232,BO232*BP232)</f>
        <v>0.86580831</v>
      </c>
      <c r="BU232" s="33">
        <f>1-BR232-BT232-BV232</f>
        <v>0.02208246</v>
      </c>
      <c r="BV232" s="33">
        <f>IF(VLOOKUP($R232,武学奇术!$A:$ZZ,22,FALSE)=1,0,(1-$BO232))*(1-$BR232)</f>
        <v>0.02080923</v>
      </c>
      <c r="BW232" s="33" cm="1">
        <f t="array" ref="BW232">SUM(_xlfn.XLOOKUP($S232:$AL232,增益!$A:$A,增益!$W:$W,0))+$I$5</f>
        <v>0.11</v>
      </c>
      <c r="BX232" s="33" cm="1">
        <f t="array" ref="BX232">VLOOKUP($R232,武学奇术!$A:$ZZ,32,FALSE)+SUM(_xlfn.XLOOKUP($S232:$AL232,增益!$A:$A,增益!$X:$X,0))</f>
        <v>0</v>
      </c>
    </row>
    <row r="233" spans="12:76">
      <c r="L233" s="46">
        <f>($M233*$BT233+$N233*$BR233+$O233*$BU233+$P233*$BV233)</f>
        <v>0</v>
      </c>
      <c r="M233" s="46">
        <f>((($AT233+$AU233)/2*$AN233+$AO233)*(1+$AV233)*(1+$AW233)+(($AY233+$AZ233)/2*IF($G$1="鸣金",$AP233,$AN233)+IF($G$1="鸣金",$AQ233*1.5,0))*(1+$BA233)*(1+$BB233)+(($BC233+$BD233)/2*IF($G$1="裂石",$AP233,$AN233)+IF($G$1="裂石",$AQ233*1.5,0))*(1+$BE233)*(1+$BF233)+(($BG233+$BH233)/2*IF($G$1="牵丝",$AP233,$AN233)+IF($G$1="牵丝",$AQ233*1.5,0))*(1+$BI233)*(1+$BJ233)+(($BK233+$BL233)/2*IF($G$1="破竹",$AP233,$AN233)+IF($G$1="破竹",$AQ233*1.5,0))*(1+$BM233)*(1+$BN233))*(1+$AR233)*$BQ233*$Q233*(1+IF(VLOOKUP($R233,武学奇术!$A:$ZZ,30,FALSE)="蓄力技",$B$21,0))*(1+IF(VLOOKUP($R233,武学奇术!$A:$ZZ,30,FALSE)="派生技",$B$20,0))*(1+$BW233)*(1+$BX233)</f>
        <v>0</v>
      </c>
      <c r="N233" s="46">
        <f>(($AU233*$AN233+$AO233)*(1+$AV233)*(1+$AW233)+($AZ233*IF($G$1="鸣金",$AP233,$AN233)+IF($G$1="鸣金",$AQ233*1.5,0))*(1+$BA233)*(1+$BB233)+($BD233*IF($G$1="裂石",$AP233,$AN233)+IF($G$1="裂石",$AQ233*1.5,0))*(1+$BE233)*(1+$BF233)+($BH233*IF($G$1="牵丝",$AP233,$AN233)+IF($G$1="牵丝",$AQ233*1.5,0))*(1+$BI233)*(1+$BJ233)+($BL233*IF($G$1="破竹",$AP233,$AN233)+IF($G$1="破竹",$AQ233*1.5,0))*(1+$BM233)*(1+$BN233))*(1+$AR233)*$BS233*$Q233*(1+IF(VLOOKUP($R233,武学奇术!$A:$ZZ,30,FALSE)="蓄力技",$B$21,0))*(1+IF(VLOOKUP($R233,武学奇术!$A:$ZZ,30,FALSE)="派生技",$B$20,0))*(1+$BW233)*(1+$BX233)</f>
        <v>0</v>
      </c>
      <c r="O233" s="46">
        <f>((($AT233+$AU233)/2*$AN233+$AO233)*(1+$AV233)*(1+$AW233)+(($AY233+$AZ233)/2*IF($G$1="鸣金",$AP233,$AN233)+IF($G$1="鸣金",$AQ233*1.5,0))*(1+$BA233)*(1+$BB233)+(($BC233+$BD233)/2*IF($G$1="裂石",$AP233,$AN233)+IF($G$1="裂石",$AQ233*1.5,0))*(1+$BE233)*(1+$BF233)+(($BG233+$BH233)/2*IF($G$1="牵丝",$AP233,$AN233)+IF($G$1="牵丝",$AQ233*1.5,0))*(1+$BI233)*(1+$BJ233)+(($BK233+$BL233)/2*IF($G$1="破竹",$AP233,$AN233)+IF($G$1="破竹",$AQ233*1.5,0))*(1+$BM233)*(1+$BN233))*(1+$AR233)*$Q233*(1+IF(VLOOKUP($R233,武学奇术!$A:$ZZ,30,FALSE)="蓄力技",$B$21,0))*(1+IF(VLOOKUP($R233,武学奇术!$A:$ZZ,30,FALSE)="派生技",$B$20,0))*(1+$BW233)*(1+$BX233)</f>
        <v>0</v>
      </c>
      <c r="P233" s="46">
        <f>((($AT233*$AN233+$AO233)*(1+$AV233)*(1+$AW233)+($AY233*IF($G$1="鸣金",$AP233,$AN233)+IF($G$1="鸣金",$AQ233*1.5,0))*(1+$BA233)*(1+$BB233)+($BC233*IF($G$1="裂石",$AP233,$AN233)+IF($G$1="裂石",$AQ233*1.5,0))*(1+$BE233)*(1+$BF233)+($BG233*IF($G$1="牵丝",$AP233,$AN233)+IF($G$1="牵丝",$AQ233*1.5,0))*(1+$BI233)*(1+$BJ233)+($BK233*IF($G$1="破竹",$AP233,$AN233)+IF($G$1="破竹",$AQ233*1.5,0))*(1+$BM233)*(1+$BN233))*(1+$AR233))*$Q233*(1+IF(VLOOKUP($R233,武学奇术!$A:$ZZ,30,FALSE)="蓄力技",$B$21,0))*(1+IF(VLOOKUP($R233,武学奇术!$A:$ZZ,30,FALSE)="派生技",$B$20,0))*(1+$BW233)*(1+$BX233)</f>
        <v>0</v>
      </c>
      <c r="Q233" s="47">
        <f>IF($E$24="唐刀",1,0)</f>
        <v>0</v>
      </c>
      <c r="R233" s="48" t="s">
        <v>196</v>
      </c>
      <c r="S233" s="48" t="s">
        <v>99</v>
      </c>
      <c r="T233" s="48" t="s">
        <v>182</v>
      </c>
      <c r="U233" s="48" t="s">
        <v>79</v>
      </c>
      <c r="V233" s="48" t="s">
        <v>90</v>
      </c>
      <c r="W233" s="48" t="s">
        <v>141</v>
      </c>
      <c r="X233" s="48" t="s">
        <v>80</v>
      </c>
      <c r="Y233" s="48" t="s">
        <v>74</v>
      </c>
      <c r="Z233" s="48" t="s">
        <v>80</v>
      </c>
      <c r="AA233" s="48" t="s">
        <v>80</v>
      </c>
      <c r="AB233" s="48" t="s">
        <v>80</v>
      </c>
      <c r="AC233" s="48" t="s">
        <v>80</v>
      </c>
      <c r="AD233" s="48" t="s">
        <v>80</v>
      </c>
      <c r="AE233" s="48" t="s">
        <v>82</v>
      </c>
      <c r="AF233" s="48" t="s">
        <v>83</v>
      </c>
      <c r="AG233" s="48" t="s">
        <v>84</v>
      </c>
      <c r="AH233" s="48" t="s">
        <v>80</v>
      </c>
      <c r="AI233" s="48" t="s">
        <v>80</v>
      </c>
      <c r="AJ233" s="48" t="s">
        <v>80</v>
      </c>
      <c r="AK233" s="48" t="s">
        <v>80</v>
      </c>
      <c r="AL233" s="48" t="s">
        <v>85</v>
      </c>
      <c r="AM233" t="str">
        <f>VLOOKUP($R233,武学奇术!$A:$ZZ,25,FALSE)</f>
        <v>横刀</v>
      </c>
      <c r="AN233" s="33">
        <f>VLOOKUP($R233,武学奇术!$A:$ZZ,26,FALSE)</f>
        <v>1.47</v>
      </c>
      <c r="AO233" s="34">
        <f>VLOOKUP($R233,武学奇术!$A:$ZZ,27,FALSE)*(1+IF(OR($AM233=$F$4,$AM233=$F$5),$B$22,0))</f>
        <v>0</v>
      </c>
      <c r="AP233" s="33">
        <f>VLOOKUP($R233,武学奇术!$A:$ZZ,28,FALSE)</f>
        <v>2.205</v>
      </c>
      <c r="AQ233" s="34">
        <f>VLOOKUP($R233,武学奇术!$A:$ZZ,29,FALSE)*(1+IF(OR($AM233=$F$4,$AM233=$F$5),$B$22,0))</f>
        <v>0</v>
      </c>
      <c r="AR233" s="33" cm="1">
        <f t="array" ref="AR233">$G$3+IFERROR(VLOOKUP($AM233,$F$4:$G$7,2,FALSE),0)+VLOOKUP($R233,武学奇术!$A:$ZZ,2,FALSE)+SUM(_xlfn.XLOOKUP($S233:$AL233,增益!$A:$A,增益!$B:$B,0))</f>
        <v>0.6089</v>
      </c>
      <c r="AS233" s="33" cm="1">
        <f t="array" ref="AS233">VLOOKUP($R233,武学奇术!$A:$ZZ,5,FALSE)+SUM(_xlfn.XLOOKUP($S233:$AL233,增益!$A:$A,增益!$E:$E,0))</f>
        <v>0</v>
      </c>
      <c r="AT233" cm="1">
        <f t="array" ref="AT233">$D$10*(1+$AS233)+VLOOKUP($R233,武学奇术!$A:$ZZ,3,FALSE)+SUM(_xlfn.XLOOKUP($S233:$AL233,增益!$A:$A,增益!$C:$C,0))-$I$2</f>
        <v>4094.7</v>
      </c>
      <c r="AU233" cm="1">
        <f t="array" ref="AU233">$E$10*(1+$AS233)+VLOOKUP($R233,武学奇术!$A:$ZZ,4,FALSE)+SUM(_xlfn.XLOOKUP($S233:$AL233,增益!$A:$A,增益!$D:$D,0))-$I$2</f>
        <v>4094.7</v>
      </c>
      <c r="AV233" s="40" cm="1">
        <f t="array" ref="AV233">IF($F$10-$I$3+VLOOKUP($R233,武学奇术!$A:$ZZ,6,FALSE)+SUM(_xlfn.XLOOKUP($S233:$AL233,增益!$A:$A,增益!$F:$F,0))&gt;0,($F$10-$I$3+VLOOKUP($R233,武学奇术!$A:$ZZ,6,FALSE)+SUM(_xlfn.XLOOKUP($S233:$AL233,增益!$A:$A,增益!$F:$F,0)))/200,($F$10-$I$3+VLOOKUP($R233,武学奇术!$A:$ZZ,6,FALSE)+SUM(_xlfn.XLOOKUP($S233:$AL233,增益!$A:$A,增益!$F:$F,0)))/100)</f>
        <v>0.4384</v>
      </c>
      <c r="AW233" s="40" cm="1">
        <f t="array" ref="AW233">$G$10+VLOOKUP($R233,武学奇术!$A:$ZZ,7,FALSE)+SUM(_xlfn.XLOOKUP($S233:$AL233,增益!$A:$A,增益!$G:$G,0))</f>
        <v>0.14</v>
      </c>
      <c r="AX233" s="33" cm="1">
        <f t="array" ref="AX233">VLOOKUP($R233,武学奇术!$A:$ZZ,8,FALSE)+SUM(_xlfn.XLOOKUP($S233:$AL233,增益!$A:$A,增益!$H:$H,0))</f>
        <v>0</v>
      </c>
      <c r="AY233">
        <f>$D$11*(1+$AX233)</f>
        <v>0</v>
      </c>
      <c r="AZ233">
        <f>$E$11*(1+$AX233)</f>
        <v>0</v>
      </c>
      <c r="BA233" s="40" cm="1">
        <f t="array" ref="BA233">IF($F$11-$I$4+VLOOKUP($R233,武学奇术!$A:$ZZ,9,FALSE)+SUM(_xlfn.XLOOKUP($S233:$AL233,增益!$A:$A,增益!$I:$I,0))&gt;0,($F$11-$I$4+VLOOKUP($R233,武学奇术!$A:$ZZ,9,FALSE)+SUM(_xlfn.XLOOKUP($S233:$AL233,增益!$A:$A,增益!$I:$I,0)))/200,($F$11-$I$4+VLOOKUP($R233,武学奇术!$A:$ZZ,9,FALSE)+SUM(_xlfn.XLOOKUP($S233:$AL233,增益!$A:$A,增益!$I:$I,0)))/100)</f>
        <v>-0.14</v>
      </c>
      <c r="BB233" s="40" cm="1">
        <f t="array" ref="BB233">$G$11+VLOOKUP($R233,武学奇术!$A:$ZZ,10,FALSE)+SUM(_xlfn.XLOOKUP($S233:$AL233,增益!$A:$A,增益!$J:$J,0))</f>
        <v>0.02</v>
      </c>
      <c r="BC233">
        <f>$D$12*(1+$AX233)</f>
        <v>640.3</v>
      </c>
      <c r="BD233">
        <f>$E$12*(1+$AX233)</f>
        <v>1770.1</v>
      </c>
      <c r="BE233" s="40" cm="1">
        <f t="array" ref="BE233">IF($F$12-$I$4+VLOOKUP($R233,武学奇术!$A:$ZZ,11,FALSE)+SUM(_xlfn.XLOOKUP($S233:$AL233,增益!$A:$A,增益!$K:$K,0))&gt;0,($F$12-$I$4+VLOOKUP($R233,武学奇术!$A:$ZZ,11,FALSE)+SUM(_xlfn.XLOOKUP($S233:$AL233,增益!$A:$A,增益!$K:$K,0)))/200,($F$12-$I$4+VLOOKUP($R233,武学奇术!$A:$ZZ,11,FALSE)+SUM(_xlfn.XLOOKUP($S233:$AL233,增益!$A:$A,增益!$K:$K,0)))/100)</f>
        <v>0.17</v>
      </c>
      <c r="BF233" s="40" cm="1">
        <f t="array" ref="BF233">$G$12+VLOOKUP($R233,武学奇术!$A:$ZZ,12,FALSE)+SUM(_xlfn.XLOOKUP($S233:$AL233,增益!$A:$A,增益!$L:$L,0))</f>
        <v>0.29</v>
      </c>
      <c r="BG233">
        <f>$D$13*(1+$AX233)</f>
        <v>0</v>
      </c>
      <c r="BH233">
        <f>$E$13*(1+$AX233)</f>
        <v>0</v>
      </c>
      <c r="BI233" s="40" cm="1">
        <f t="array" ref="BI233">IF($F$13-$I$4+VLOOKUP($R233,武学奇术!$A:$ZZ,13,FALSE)+SUM(_xlfn.XLOOKUP($S233:$AL233,增益!$A:$A,增益!$M:$M,0))&gt;0,($F$13-$I$4+VLOOKUP($R233,武学奇术!$A:$ZZ,13,FALSE)+SUM(_xlfn.XLOOKUP($S233:$AL233,增益!$A:$A,增益!$K:$K,0)))/200,($F$13-$I$4+VLOOKUP($R233,武学奇术!$A:$ZZ,13,FALSE)+SUM(_xlfn.XLOOKUP($S233:$AL233,增益!$A:$A,增益!$M:$M,0)))/100)</f>
        <v>-0.14</v>
      </c>
      <c r="BJ233" s="40" cm="1">
        <f t="array" ref="BJ233">$G$13+VLOOKUP($R233,武学奇术!$A:$ZZ,14,FALSE)+SUM(_xlfn.XLOOKUP($S233:$AL233,增益!$A:$A,增益!$N:$N,0))</f>
        <v>0.02</v>
      </c>
      <c r="BK233">
        <f>$D$14*(1+$AX233)</f>
        <v>0</v>
      </c>
      <c r="BL233">
        <f>$E$14*(1+$AX233)</f>
        <v>0</v>
      </c>
      <c r="BM233" s="40" cm="1">
        <f t="array" ref="BM233">IF($F$14-$I$4+VLOOKUP($R233,武学奇术!$A:$ZZ,15,FALSE)+SUM(_xlfn.XLOOKUP($S233:$AL233,增益!$A:$A,增益!$O:$O,0))&gt;0,($F$14-$I$4+VLOOKUP($R233,武学奇术!$A:$ZZ,15,FALSE)+SUM(_xlfn.XLOOKUP($S233:$AL233,增益!$A:$A,增益!$O:$O,0)))/200,($F$14-$I$4+VLOOKUP($R233,武学奇术!$A:$ZZ,15,FALSE)+SUM(_xlfn.XLOOKUP($S233:$AL233,增益!$A:$A,增益!$O:$O,0)))/100)</f>
        <v>-0.14</v>
      </c>
      <c r="BN233" s="40" cm="1">
        <f t="array" ref="BN233">$G$14+VLOOKUP($R233,武学奇术!$A:$ZZ,16,FALSE)+SUM(_xlfn.XLOOKUP($S233:$AL233,增益!$A:$A,增益!$P:$P,0))</f>
        <v>0.02</v>
      </c>
      <c r="BO233" s="33">
        <f>MIN(IF(VLOOKUP($R233,武学奇术!$A:$ZZ,23,FALSE)=1,100%,$B$8),100%)</f>
        <v>0.9771</v>
      </c>
      <c r="BP233" s="33" cm="1">
        <f t="array" ref="BP233">IF(VLOOKUP($R233,武学奇术!$A:$ZZ,23,FALSE)=1,100%,MIN(80%,$B$9+VLOOKUP($R233,武学奇术!$A:$ZZ,17,FALSE)+SUM(_xlfn.XLOOKUP($S233:$AL233,增益!$A:$A,增益!$Q:$Q,0)))+$B$11+SUM(_xlfn.XLOOKUP($S233:$AL233,增益!$A:$A,增益!$U:$U,0)))*IF(VLOOKUP($R233,武学奇术!$A:$ZZ,24,FALSE)=1,0,1)</f>
        <v>0.8861</v>
      </c>
      <c r="BQ233" s="33" cm="1">
        <f t="array" ref="BQ233">1+$B$13+VLOOKUP($R233,武学奇术!$A:$ZZ,18,FALSE)+SUM(_xlfn.XLOOKUP($S233:$AL233,增益!$A:$A,增益!$R:$R,0))</f>
        <v>2</v>
      </c>
      <c r="BR233" s="33" cm="1">
        <f t="array" ref="BR233">IF(VLOOKUP($R233,武学奇术!$A:$ZZ,24,FALSE)=1,100%,MIN(40%,$B$10+VLOOKUP($R233,武学奇术!$A:$ZZ,19,FALSE)+SUM(_xlfn.XLOOKUP($S233:$AL233,增益!$A:$A,增益!$S:$S,0)))+$B$12+SUM(_xlfn.XLOOKUP($S233:$AL233,增益!$A:$A,增益!$V:$V,0)))*IF(VLOOKUP($R233,武学奇术!$A:$ZZ,23,FALSE)=1,0,1)</f>
        <v>0.0913</v>
      </c>
      <c r="BS233" s="33" cm="1">
        <f t="array" ref="BS233">1+$B$14+VLOOKUP($R233,武学奇术!$A:$ZZ,20,FALSE)+SUM(_xlfn.XLOOKUP($S233:$AL233,增益!$A:$A,增益!$T:$T,0))</f>
        <v>1.35</v>
      </c>
      <c r="BT233" s="33">
        <f>MIN((1-BR233)*BO233,BO233*BP233)</f>
        <v>0.86580831</v>
      </c>
      <c r="BU233" s="33">
        <f>1-BR233-BT233-BV233</f>
        <v>0.02208246</v>
      </c>
      <c r="BV233" s="33">
        <f>IF(VLOOKUP($R233,武学奇术!$A:$ZZ,22,FALSE)=1,0,(1-$BO233))*(1-$BR233)</f>
        <v>0.02080923</v>
      </c>
      <c r="BW233" s="33" cm="1">
        <f t="array" ref="BW233">SUM(_xlfn.XLOOKUP($S233:$AL233,增益!$A:$A,增益!$W:$W,0))+$I$5</f>
        <v>0.11</v>
      </c>
      <c r="BX233" s="33" cm="1">
        <f t="array" ref="BX233">VLOOKUP($R233,武学奇术!$A:$ZZ,32,FALSE)+SUM(_xlfn.XLOOKUP($S233:$AL233,增益!$A:$A,增益!$X:$X,0))</f>
        <v>0.4</v>
      </c>
    </row>
    <row r="234" spans="12:76">
      <c r="L234" s="46">
        <f>($M234*$BT234+$N234*$BR234+$O234*$BU234+$P234*$BV234)</f>
        <v>0</v>
      </c>
      <c r="M234" s="46">
        <f>((($AT234+$AU234)/2*$AN234+$AO234)*(1+$AV234)*(1+$AW234)+(($AY234+$AZ234)/2*IF($G$1="鸣金",$AP234,$AN234)+IF($G$1="鸣金",$AQ234*1.5,0))*(1+$BA234)*(1+$BB234)+(($BC234+$BD234)/2*IF($G$1="裂石",$AP234,$AN234)+IF($G$1="裂石",$AQ234*1.5,0))*(1+$BE234)*(1+$BF234)+(($BG234+$BH234)/2*IF($G$1="牵丝",$AP234,$AN234)+IF($G$1="牵丝",$AQ234*1.5,0))*(1+$BI234)*(1+$BJ234)+(($BK234+$BL234)/2*IF($G$1="破竹",$AP234,$AN234)+IF($G$1="破竹",$AQ234*1.5,0))*(1+$BM234)*(1+$BN234))*(1+$AR234)*$BQ234*$Q234*(1+IF(VLOOKUP($R234,武学奇术!$A:$ZZ,30,FALSE)="蓄力技",$B$21,0))*(1+IF(VLOOKUP($R234,武学奇术!$A:$ZZ,30,FALSE)="派生技",$B$20,0))*(1+$BW234)*(1+$BX234)</f>
        <v>0</v>
      </c>
      <c r="N234" s="46">
        <f>(($AU234*$AN234+$AO234)*(1+$AV234)*(1+$AW234)+($AZ234*IF($G$1="鸣金",$AP234,$AN234)+IF($G$1="鸣金",$AQ234*1.5,0))*(1+$BA234)*(1+$BB234)+($BD234*IF($G$1="裂石",$AP234,$AN234)+IF($G$1="裂石",$AQ234*1.5,0))*(1+$BE234)*(1+$BF234)+($BH234*IF($G$1="牵丝",$AP234,$AN234)+IF($G$1="牵丝",$AQ234*1.5,0))*(1+$BI234)*(1+$BJ234)+($BL234*IF($G$1="破竹",$AP234,$AN234)+IF($G$1="破竹",$AQ234*1.5,0))*(1+$BM234)*(1+$BN234))*(1+$AR234)*$BS234*$Q234*(1+IF(VLOOKUP($R234,武学奇术!$A:$ZZ,30,FALSE)="蓄力技",$B$21,0))*(1+IF(VLOOKUP($R234,武学奇术!$A:$ZZ,30,FALSE)="派生技",$B$20,0))*(1+$BW234)*(1+$BX234)</f>
        <v>0</v>
      </c>
      <c r="O234" s="46">
        <f>((($AT234+$AU234)/2*$AN234+$AO234)*(1+$AV234)*(1+$AW234)+(($AY234+$AZ234)/2*IF($G$1="鸣金",$AP234,$AN234)+IF($G$1="鸣金",$AQ234*1.5,0))*(1+$BA234)*(1+$BB234)+(($BC234+$BD234)/2*IF($G$1="裂石",$AP234,$AN234)+IF($G$1="裂石",$AQ234*1.5,0))*(1+$BE234)*(1+$BF234)+(($BG234+$BH234)/2*IF($G$1="牵丝",$AP234,$AN234)+IF($G$1="牵丝",$AQ234*1.5,0))*(1+$BI234)*(1+$BJ234)+(($BK234+$BL234)/2*IF($G$1="破竹",$AP234,$AN234)+IF($G$1="破竹",$AQ234*1.5,0))*(1+$BM234)*(1+$BN234))*(1+$AR234)*$Q234*(1+IF(VLOOKUP($R234,武学奇术!$A:$ZZ,30,FALSE)="蓄力技",$B$21,0))*(1+IF(VLOOKUP($R234,武学奇术!$A:$ZZ,30,FALSE)="派生技",$B$20,0))*(1+$BW234)*(1+$BX234)</f>
        <v>0</v>
      </c>
      <c r="P234" s="46">
        <f>((($AT234*$AN234+$AO234)*(1+$AV234)*(1+$AW234)+($AY234*IF($G$1="鸣金",$AP234,$AN234)+IF($G$1="鸣金",$AQ234*1.5,0))*(1+$BA234)*(1+$BB234)+($BC234*IF($G$1="裂石",$AP234,$AN234)+IF($G$1="裂石",$AQ234*1.5,0))*(1+$BE234)*(1+$BF234)+($BG234*IF($G$1="牵丝",$AP234,$AN234)+IF($G$1="牵丝",$AQ234*1.5,0))*(1+$BI234)*(1+$BJ234)+($BK234*IF($G$1="破竹",$AP234,$AN234)+IF($G$1="破竹",$AQ234*1.5,0))*(1+$BM234)*(1+$BN234))*(1+$AR234))*$Q234*(1+IF(VLOOKUP($R234,武学奇术!$A:$ZZ,30,FALSE)="蓄力技",$B$21,0))*(1+IF(VLOOKUP($R234,武学奇术!$A:$ZZ,30,FALSE)="派生技",$B$20,0))*(1+$BW234)*(1+$BX234)</f>
        <v>0</v>
      </c>
      <c r="Q234" s="47">
        <f>IF($E$24="唐刀",1,0)</f>
        <v>0</v>
      </c>
      <c r="R234" s="48" t="s">
        <v>80</v>
      </c>
      <c r="S234" s="48" t="s">
        <v>80</v>
      </c>
      <c r="T234" s="48" t="s">
        <v>80</v>
      </c>
      <c r="U234" s="48" t="s">
        <v>80</v>
      </c>
      <c r="V234" s="48" t="s">
        <v>80</v>
      </c>
      <c r="W234" s="48" t="s">
        <v>80</v>
      </c>
      <c r="X234" s="48" t="s">
        <v>80</v>
      </c>
      <c r="Y234" s="48" t="s">
        <v>80</v>
      </c>
      <c r="Z234" s="48" t="s">
        <v>80</v>
      </c>
      <c r="AA234" s="48" t="s">
        <v>80</v>
      </c>
      <c r="AB234" s="48" t="s">
        <v>80</v>
      </c>
      <c r="AC234" s="48" t="s">
        <v>80</v>
      </c>
      <c r="AD234" s="48" t="s">
        <v>80</v>
      </c>
      <c r="AE234" s="48" t="s">
        <v>82</v>
      </c>
      <c r="AF234" s="48" t="s">
        <v>83</v>
      </c>
      <c r="AG234" s="48" t="s">
        <v>84</v>
      </c>
      <c r="AH234" s="48" t="s">
        <v>80</v>
      </c>
      <c r="AI234" s="48" t="s">
        <v>80</v>
      </c>
      <c r="AJ234" s="48" t="s">
        <v>80</v>
      </c>
      <c r="AK234" s="48" t="s">
        <v>80</v>
      </c>
      <c r="AL234" s="48" t="s">
        <v>85</v>
      </c>
      <c r="AM234" t="str">
        <f>VLOOKUP($R234,武学奇术!$A:$ZZ,25,FALSE)</f>
        <v>心法</v>
      </c>
      <c r="AN234" s="33">
        <f>VLOOKUP($R234,武学奇术!$A:$ZZ,26,FALSE)</f>
        <v>0</v>
      </c>
      <c r="AO234" s="34">
        <f>VLOOKUP($R234,武学奇术!$A:$ZZ,27,FALSE)*(1+IF(OR($AM234=$F$4,$AM234=$F$5),$B$22,0))</f>
        <v>0</v>
      </c>
      <c r="AP234" s="33">
        <f>VLOOKUP($R234,武学奇术!$A:$ZZ,28,FALSE)</f>
        <v>0</v>
      </c>
      <c r="AQ234" s="34">
        <f>VLOOKUP($R234,武学奇术!$A:$ZZ,29,FALSE)*(1+IF(OR($AM234=$F$4,$AM234=$F$5),$B$22,0))</f>
        <v>0</v>
      </c>
      <c r="AR234" s="33" cm="1">
        <f t="array" ref="AR234">$G$3+IFERROR(VLOOKUP($AM234,$F$4:$G$7,2,FALSE),0)+VLOOKUP($R234,武学奇术!$A:$ZZ,2,FALSE)+SUM(_xlfn.XLOOKUP($S234:$AL234,增益!$A:$A,增益!$B:$B,0))</f>
        <v>0.3142</v>
      </c>
      <c r="AS234" s="33" cm="1">
        <f t="array" ref="AS234">VLOOKUP($R234,武学奇术!$A:$ZZ,5,FALSE)+SUM(_xlfn.XLOOKUP($S234:$AL234,增益!$A:$A,增益!$E:$E,0))</f>
        <v>0</v>
      </c>
      <c r="AT234" cm="1">
        <f t="array" ref="AT234">$D$10*(1+$AS234)+VLOOKUP($R234,武学奇术!$A:$ZZ,3,FALSE)+SUM(_xlfn.XLOOKUP($S234:$AL234,增益!$A:$A,增益!$C:$C,0))-$I$2</f>
        <v>4094.7</v>
      </c>
      <c r="AU234" cm="1">
        <f t="array" ref="AU234">$E$10*(1+$AS234)+VLOOKUP($R234,武学奇术!$A:$ZZ,4,FALSE)+SUM(_xlfn.XLOOKUP($S234:$AL234,增益!$A:$A,增益!$D:$D,0))-$I$2</f>
        <v>4094.7</v>
      </c>
      <c r="AV234" s="40" cm="1">
        <f t="array" ref="AV234">IF($F$10-$I$3+VLOOKUP($R234,武学奇术!$A:$ZZ,6,FALSE)+SUM(_xlfn.XLOOKUP($S234:$AL234,增益!$A:$A,增益!$F:$F,0))&gt;0,($F$10-$I$3+VLOOKUP($R234,武学奇术!$A:$ZZ,6,FALSE)+SUM(_xlfn.XLOOKUP($S234:$AL234,增益!$A:$A,增益!$F:$F,0)))/200,($F$10-$I$3+VLOOKUP($R234,武学奇术!$A:$ZZ,6,FALSE)+SUM(_xlfn.XLOOKUP($S234:$AL234,增益!$A:$A,增益!$F:$F,0)))/100)</f>
        <v>0.3134</v>
      </c>
      <c r="AW234" s="40" cm="1">
        <f t="array" ref="AW234">$G$10+VLOOKUP($R234,武学奇术!$A:$ZZ,7,FALSE)+SUM(_xlfn.XLOOKUP($S234:$AL234,增益!$A:$A,增益!$G:$G,0))</f>
        <v>0.02</v>
      </c>
      <c r="AX234" s="33" cm="1">
        <f t="array" ref="AX234">VLOOKUP($R234,武学奇术!$A:$ZZ,8,FALSE)+SUM(_xlfn.XLOOKUP($S234:$AL234,增益!$A:$A,增益!$H:$H,0))</f>
        <v>0</v>
      </c>
      <c r="AY234">
        <f>$D$11*(1+$AX234)</f>
        <v>0</v>
      </c>
      <c r="AZ234">
        <f>$E$11*(1+$AX234)</f>
        <v>0</v>
      </c>
      <c r="BA234" s="40" cm="1">
        <f t="array" ref="BA234">IF($F$11-$I$4+VLOOKUP($R234,武学奇术!$A:$ZZ,9,FALSE)+SUM(_xlfn.XLOOKUP($S234:$AL234,增益!$A:$A,增益!$I:$I,0))&gt;0,($F$11-$I$4+VLOOKUP($R234,武学奇术!$A:$ZZ,9,FALSE)+SUM(_xlfn.XLOOKUP($S234:$AL234,增益!$A:$A,增益!$I:$I,0)))/200,($F$11-$I$4+VLOOKUP($R234,武学奇术!$A:$ZZ,9,FALSE)+SUM(_xlfn.XLOOKUP($S234:$AL234,增益!$A:$A,增益!$I:$I,0)))/100)</f>
        <v>-0.3</v>
      </c>
      <c r="BB234" s="40" cm="1">
        <f t="array" ref="BB234">$G$11+VLOOKUP($R234,武学奇术!$A:$ZZ,10,FALSE)+SUM(_xlfn.XLOOKUP($S234:$AL234,增益!$A:$A,增益!$J:$J,0))</f>
        <v>0.02</v>
      </c>
      <c r="BC234">
        <f>$D$12*(1+$AX234)</f>
        <v>640.3</v>
      </c>
      <c r="BD234">
        <f>$E$12*(1+$AX234)</f>
        <v>1770.1</v>
      </c>
      <c r="BE234" s="40" cm="1">
        <f t="array" ref="BE234">IF($F$12-$I$4+VLOOKUP($R234,武学奇术!$A:$ZZ,11,FALSE)+SUM(_xlfn.XLOOKUP($S234:$AL234,增益!$A:$A,增益!$K:$K,0))&gt;0,($F$12-$I$4+VLOOKUP($R234,武学奇术!$A:$ZZ,11,FALSE)+SUM(_xlfn.XLOOKUP($S234:$AL234,增益!$A:$A,增益!$K:$K,0)))/200,($F$12-$I$4+VLOOKUP($R234,武学奇术!$A:$ZZ,11,FALSE)+SUM(_xlfn.XLOOKUP($S234:$AL234,增益!$A:$A,增益!$K:$K,0)))/100)</f>
        <v>0.09</v>
      </c>
      <c r="BF234" s="40" cm="1">
        <f t="array" ref="BF234">$G$12+VLOOKUP($R234,武学奇术!$A:$ZZ,12,FALSE)+SUM(_xlfn.XLOOKUP($S234:$AL234,增益!$A:$A,增益!$L:$L,0))</f>
        <v>0.17</v>
      </c>
      <c r="BG234">
        <f>$D$13*(1+$AX234)</f>
        <v>0</v>
      </c>
      <c r="BH234">
        <f>$E$13*(1+$AX234)</f>
        <v>0</v>
      </c>
      <c r="BI234" s="40" cm="1">
        <f t="array" ref="BI234">IF($F$13-$I$4+VLOOKUP($R234,武学奇术!$A:$ZZ,13,FALSE)+SUM(_xlfn.XLOOKUP($S234:$AL234,增益!$A:$A,增益!$M:$M,0))&gt;0,($F$13-$I$4+VLOOKUP($R234,武学奇术!$A:$ZZ,13,FALSE)+SUM(_xlfn.XLOOKUP($S234:$AL234,增益!$A:$A,增益!$K:$K,0)))/200,($F$13-$I$4+VLOOKUP($R234,武学奇术!$A:$ZZ,13,FALSE)+SUM(_xlfn.XLOOKUP($S234:$AL234,增益!$A:$A,增益!$M:$M,0)))/100)</f>
        <v>-0.3</v>
      </c>
      <c r="BJ234" s="40" cm="1">
        <f t="array" ref="BJ234">$G$13+VLOOKUP($R234,武学奇术!$A:$ZZ,14,FALSE)+SUM(_xlfn.XLOOKUP($S234:$AL234,增益!$A:$A,增益!$N:$N,0))</f>
        <v>0.02</v>
      </c>
      <c r="BK234">
        <f>$D$14*(1+$AX234)</f>
        <v>0</v>
      </c>
      <c r="BL234">
        <f>$E$14*(1+$AX234)</f>
        <v>0</v>
      </c>
      <c r="BM234" s="40" cm="1">
        <f t="array" ref="BM234">IF($F$14-$I$4+VLOOKUP($R234,武学奇术!$A:$ZZ,15,FALSE)+SUM(_xlfn.XLOOKUP($S234:$AL234,增益!$A:$A,增益!$O:$O,0))&gt;0,($F$14-$I$4+VLOOKUP($R234,武学奇术!$A:$ZZ,15,FALSE)+SUM(_xlfn.XLOOKUP($S234:$AL234,增益!$A:$A,增益!$O:$O,0)))/200,($F$14-$I$4+VLOOKUP($R234,武学奇术!$A:$ZZ,15,FALSE)+SUM(_xlfn.XLOOKUP($S234:$AL234,增益!$A:$A,增益!$O:$O,0)))/100)</f>
        <v>-0.3</v>
      </c>
      <c r="BN234" s="40" cm="1">
        <f t="array" ref="BN234">$G$14+VLOOKUP($R234,武学奇术!$A:$ZZ,16,FALSE)+SUM(_xlfn.XLOOKUP($S234:$AL234,增益!$A:$A,增益!$P:$P,0))</f>
        <v>0.02</v>
      </c>
      <c r="BO234" s="33">
        <f>MIN(IF(VLOOKUP($R234,武学奇术!$A:$ZZ,23,FALSE)=1,100%,$B$8),100%)</f>
        <v>0.9771</v>
      </c>
      <c r="BP234" s="33" cm="1">
        <f t="array" ref="BP234">IF(VLOOKUP($R234,武学奇术!$A:$ZZ,23,FALSE)=1,100%,MIN(80%,$B$9+VLOOKUP($R234,武学奇术!$A:$ZZ,17,FALSE)+SUM(_xlfn.XLOOKUP($S234:$AL234,增益!$A:$A,增益!$Q:$Q,0)))+$B$11+SUM(_xlfn.XLOOKUP($S234:$AL234,增益!$A:$A,增益!$U:$U,0)))*IF(VLOOKUP($R234,武学奇术!$A:$ZZ,24,FALSE)=1,0,1)</f>
        <v>0.8861</v>
      </c>
      <c r="BQ234" s="33" cm="1">
        <f t="array" ref="BQ234">1+$B$13+VLOOKUP($R234,武学奇术!$A:$ZZ,18,FALSE)+SUM(_xlfn.XLOOKUP($S234:$AL234,增益!$A:$A,增益!$R:$R,0))</f>
        <v>1.54</v>
      </c>
      <c r="BR234" s="33" cm="1">
        <f t="array" ref="BR234">IF(VLOOKUP($R234,武学奇术!$A:$ZZ,24,FALSE)=1,100%,MIN(40%,$B$10+VLOOKUP($R234,武学奇术!$A:$ZZ,19,FALSE)+SUM(_xlfn.XLOOKUP($S234:$AL234,增益!$A:$A,增益!$S:$S,0)))+$B$12+SUM(_xlfn.XLOOKUP($S234:$AL234,增益!$A:$A,增益!$V:$V,0)))*IF(VLOOKUP($R234,武学奇术!$A:$ZZ,23,FALSE)=1,0,1)</f>
        <v>0.0913</v>
      </c>
      <c r="BS234" s="33" cm="1">
        <f t="array" ref="BS234">1+$B$14+VLOOKUP($R234,武学奇术!$A:$ZZ,20,FALSE)+SUM(_xlfn.XLOOKUP($S234:$AL234,增益!$A:$A,增益!$T:$T,0))</f>
        <v>1.35</v>
      </c>
      <c r="BT234" s="33">
        <f>MIN((1-BR234)*BO234,BO234*BP234)</f>
        <v>0.86580831</v>
      </c>
      <c r="BU234" s="33">
        <f>1-BR234-BT234-BV234</f>
        <v>0.02208246</v>
      </c>
      <c r="BV234" s="33">
        <f>IF(VLOOKUP($R234,武学奇术!$A:$ZZ,22,FALSE)=1,0,(1-$BO234))*(1-$BR234)</f>
        <v>0.02080923</v>
      </c>
      <c r="BW234" s="33" cm="1">
        <f t="array" ref="BW234">SUM(_xlfn.XLOOKUP($S234:$AL234,增益!$A:$A,增益!$W:$W,0))+$I$5</f>
        <v>0.11</v>
      </c>
      <c r="BX234" s="33" cm="1">
        <f t="array" ref="BX234">VLOOKUP($R234,武学奇术!$A:$ZZ,32,FALSE)+SUM(_xlfn.XLOOKUP($S234:$AL234,增益!$A:$A,增益!$X:$X,0))</f>
        <v>0</v>
      </c>
    </row>
    <row r="235" spans="12:76">
      <c r="L235" s="46">
        <f>($M235*$BT235+$N235*$BR235+$O235*$BU235+$P235*$BV235)</f>
        <v>0</v>
      </c>
      <c r="M235" s="46">
        <f>((($AT235+$AU235)/2*$AN235+$AO235)*(1+$AV235)*(1+$AW235)+(($AY235+$AZ235)/2*IF($G$1="鸣金",$AP235,$AN235)+IF($G$1="鸣金",$AQ235*1.5,0))*(1+$BA235)*(1+$BB235)+(($BC235+$BD235)/2*IF($G$1="裂石",$AP235,$AN235)+IF($G$1="裂石",$AQ235*1.5,0))*(1+$BE235)*(1+$BF235)+(($BG235+$BH235)/2*IF($G$1="牵丝",$AP235,$AN235)+IF($G$1="牵丝",$AQ235*1.5,0))*(1+$BI235)*(1+$BJ235)+(($BK235+$BL235)/2*IF($G$1="破竹",$AP235,$AN235)+IF($G$1="破竹",$AQ235*1.5,0))*(1+$BM235)*(1+$BN235))*(1+$AR235)*$BQ235*$Q235*(1+IF(VLOOKUP($R235,武学奇术!$A:$ZZ,30,FALSE)="蓄力技",$B$21,0))*(1+IF(VLOOKUP($R235,武学奇术!$A:$ZZ,30,FALSE)="派生技",$B$20,0))*(1+$BW235)*(1+$BX235)</f>
        <v>0</v>
      </c>
      <c r="N235" s="46">
        <f>(($AU235*$AN235+$AO235)*(1+$AV235)*(1+$AW235)+($AZ235*IF($G$1="鸣金",$AP235,$AN235)+IF($G$1="鸣金",$AQ235*1.5,0))*(1+$BA235)*(1+$BB235)+($BD235*IF($G$1="裂石",$AP235,$AN235)+IF($G$1="裂石",$AQ235*1.5,0))*(1+$BE235)*(1+$BF235)+($BH235*IF($G$1="牵丝",$AP235,$AN235)+IF($G$1="牵丝",$AQ235*1.5,0))*(1+$BI235)*(1+$BJ235)+($BL235*IF($G$1="破竹",$AP235,$AN235)+IF($G$1="破竹",$AQ235*1.5,0))*(1+$BM235)*(1+$BN235))*(1+$AR235)*$BS235*$Q235*(1+IF(VLOOKUP($R235,武学奇术!$A:$ZZ,30,FALSE)="蓄力技",$B$21,0))*(1+IF(VLOOKUP($R235,武学奇术!$A:$ZZ,30,FALSE)="派生技",$B$20,0))*(1+$BW235)*(1+$BX235)</f>
        <v>0</v>
      </c>
      <c r="O235" s="46">
        <f>((($AT235+$AU235)/2*$AN235+$AO235)*(1+$AV235)*(1+$AW235)+(($AY235+$AZ235)/2*IF($G$1="鸣金",$AP235,$AN235)+IF($G$1="鸣金",$AQ235*1.5,0))*(1+$BA235)*(1+$BB235)+(($BC235+$BD235)/2*IF($G$1="裂石",$AP235,$AN235)+IF($G$1="裂石",$AQ235*1.5,0))*(1+$BE235)*(1+$BF235)+(($BG235+$BH235)/2*IF($G$1="牵丝",$AP235,$AN235)+IF($G$1="牵丝",$AQ235*1.5,0))*(1+$BI235)*(1+$BJ235)+(($BK235+$BL235)/2*IF($G$1="破竹",$AP235,$AN235)+IF($G$1="破竹",$AQ235*1.5,0))*(1+$BM235)*(1+$BN235))*(1+$AR235)*$Q235*(1+IF(VLOOKUP($R235,武学奇术!$A:$ZZ,30,FALSE)="蓄力技",$B$21,0))*(1+IF(VLOOKUP($R235,武学奇术!$A:$ZZ,30,FALSE)="派生技",$B$20,0))*(1+$BW235)*(1+$BX235)</f>
        <v>0</v>
      </c>
      <c r="P235" s="46">
        <f>((($AT235*$AN235+$AO235)*(1+$AV235)*(1+$AW235)+($AY235*IF($G$1="鸣金",$AP235,$AN235)+IF($G$1="鸣金",$AQ235*1.5,0))*(1+$BA235)*(1+$BB235)+($BC235*IF($G$1="裂石",$AP235,$AN235)+IF($G$1="裂石",$AQ235*1.5,0))*(1+$BE235)*(1+$BF235)+($BG235*IF($G$1="牵丝",$AP235,$AN235)+IF($G$1="牵丝",$AQ235*1.5,0))*(1+$BI235)*(1+$BJ235)+($BK235*IF($G$1="破竹",$AP235,$AN235)+IF($G$1="破竹",$AQ235*1.5,0))*(1+$BM235)*(1+$BN235))*(1+$AR235))*$Q235*(1+IF(VLOOKUP($R235,武学奇术!$A:$ZZ,30,FALSE)="蓄力技",$B$21,0))*(1+IF(VLOOKUP($R235,武学奇术!$A:$ZZ,30,FALSE)="派生技",$B$20,0))*(1+$BW235)*(1+$BX235)</f>
        <v>0</v>
      </c>
      <c r="Q235" s="47">
        <f>IF($E$24="唐刀",1,0)</f>
        <v>0</v>
      </c>
      <c r="R235" s="48" t="s">
        <v>80</v>
      </c>
      <c r="S235" s="48" t="s">
        <v>80</v>
      </c>
      <c r="T235" s="48" t="s">
        <v>80</v>
      </c>
      <c r="U235" s="48" t="s">
        <v>80</v>
      </c>
      <c r="V235" s="48" t="s">
        <v>80</v>
      </c>
      <c r="W235" s="48" t="s">
        <v>80</v>
      </c>
      <c r="X235" s="48" t="s">
        <v>80</v>
      </c>
      <c r="Y235" s="48" t="s">
        <v>80</v>
      </c>
      <c r="Z235" s="48" t="s">
        <v>80</v>
      </c>
      <c r="AA235" s="48" t="s">
        <v>80</v>
      </c>
      <c r="AB235" s="48" t="s">
        <v>80</v>
      </c>
      <c r="AC235" s="48" t="s">
        <v>80</v>
      </c>
      <c r="AD235" s="48" t="s">
        <v>80</v>
      </c>
      <c r="AE235" s="48" t="s">
        <v>82</v>
      </c>
      <c r="AF235" s="48" t="s">
        <v>83</v>
      </c>
      <c r="AG235" s="48" t="s">
        <v>84</v>
      </c>
      <c r="AH235" s="48" t="s">
        <v>80</v>
      </c>
      <c r="AI235" s="48" t="s">
        <v>80</v>
      </c>
      <c r="AJ235" s="48" t="s">
        <v>80</v>
      </c>
      <c r="AK235" s="48" t="s">
        <v>80</v>
      </c>
      <c r="AL235" s="48" t="s">
        <v>85</v>
      </c>
      <c r="AM235" t="str">
        <f>VLOOKUP($R235,武学奇术!$A:$ZZ,25,FALSE)</f>
        <v>心法</v>
      </c>
      <c r="AN235" s="33">
        <f>VLOOKUP($R235,武学奇术!$A:$ZZ,26,FALSE)</f>
        <v>0</v>
      </c>
      <c r="AO235" s="34">
        <f>VLOOKUP($R235,武学奇术!$A:$ZZ,27,FALSE)*(1+IF(OR($AM235=$F$4,$AM235=$F$5),$B$22,0))</f>
        <v>0</v>
      </c>
      <c r="AP235" s="33">
        <f>VLOOKUP($R235,武学奇术!$A:$ZZ,28,FALSE)</f>
        <v>0</v>
      </c>
      <c r="AQ235" s="34">
        <f>VLOOKUP($R235,武学奇术!$A:$ZZ,29,FALSE)*(1+IF(OR($AM235=$F$4,$AM235=$F$5),$B$22,0))</f>
        <v>0</v>
      </c>
      <c r="AR235" s="33" cm="1">
        <f t="array" ref="AR235">$G$3+IFERROR(VLOOKUP($AM235,$F$4:$G$7,2,FALSE),0)+VLOOKUP($R235,武学奇术!$A:$ZZ,2,FALSE)+SUM(_xlfn.XLOOKUP($S235:$AL235,增益!$A:$A,增益!$B:$B,0))</f>
        <v>0.3142</v>
      </c>
      <c r="AS235" s="33" cm="1">
        <f t="array" ref="AS235">VLOOKUP($R235,武学奇术!$A:$ZZ,5,FALSE)+SUM(_xlfn.XLOOKUP($S235:$AL235,增益!$A:$A,增益!$E:$E,0))</f>
        <v>0</v>
      </c>
      <c r="AT235" cm="1">
        <f t="array" ref="AT235">$D$10*(1+$AS235)+VLOOKUP($R235,武学奇术!$A:$ZZ,3,FALSE)+SUM(_xlfn.XLOOKUP($S235:$AL235,增益!$A:$A,增益!$C:$C,0))-$I$2</f>
        <v>4094.7</v>
      </c>
      <c r="AU235" cm="1">
        <f t="array" ref="AU235">$E$10*(1+$AS235)+VLOOKUP($R235,武学奇术!$A:$ZZ,4,FALSE)+SUM(_xlfn.XLOOKUP($S235:$AL235,增益!$A:$A,增益!$D:$D,0))-$I$2</f>
        <v>4094.7</v>
      </c>
      <c r="AV235" s="40" cm="1">
        <f t="array" ref="AV235">IF($F$10-$I$3+VLOOKUP($R235,武学奇术!$A:$ZZ,6,FALSE)+SUM(_xlfn.XLOOKUP($S235:$AL235,增益!$A:$A,增益!$F:$F,0))&gt;0,($F$10-$I$3+VLOOKUP($R235,武学奇术!$A:$ZZ,6,FALSE)+SUM(_xlfn.XLOOKUP($S235:$AL235,增益!$A:$A,增益!$F:$F,0)))/200,($F$10-$I$3+VLOOKUP($R235,武学奇术!$A:$ZZ,6,FALSE)+SUM(_xlfn.XLOOKUP($S235:$AL235,增益!$A:$A,增益!$F:$F,0)))/100)</f>
        <v>0.3134</v>
      </c>
      <c r="AW235" s="40" cm="1">
        <f t="array" ref="AW235">$G$10+VLOOKUP($R235,武学奇术!$A:$ZZ,7,FALSE)+SUM(_xlfn.XLOOKUP($S235:$AL235,增益!$A:$A,增益!$G:$G,0))</f>
        <v>0.02</v>
      </c>
      <c r="AX235" s="33" cm="1">
        <f t="array" ref="AX235">VLOOKUP($R235,武学奇术!$A:$ZZ,8,FALSE)+SUM(_xlfn.XLOOKUP($S235:$AL235,增益!$A:$A,增益!$H:$H,0))</f>
        <v>0</v>
      </c>
      <c r="AY235">
        <f>$D$11*(1+$AX235)</f>
        <v>0</v>
      </c>
      <c r="AZ235">
        <f>$E$11*(1+$AX235)</f>
        <v>0</v>
      </c>
      <c r="BA235" s="40" cm="1">
        <f t="array" ref="BA235">IF($F$11-$I$4+VLOOKUP($R235,武学奇术!$A:$ZZ,9,FALSE)+SUM(_xlfn.XLOOKUP($S235:$AL235,增益!$A:$A,增益!$I:$I,0))&gt;0,($F$11-$I$4+VLOOKUP($R235,武学奇术!$A:$ZZ,9,FALSE)+SUM(_xlfn.XLOOKUP($S235:$AL235,增益!$A:$A,增益!$I:$I,0)))/200,($F$11-$I$4+VLOOKUP($R235,武学奇术!$A:$ZZ,9,FALSE)+SUM(_xlfn.XLOOKUP($S235:$AL235,增益!$A:$A,增益!$I:$I,0)))/100)</f>
        <v>-0.3</v>
      </c>
      <c r="BB235" s="40" cm="1">
        <f t="array" ref="BB235">$G$11+VLOOKUP($R235,武学奇术!$A:$ZZ,10,FALSE)+SUM(_xlfn.XLOOKUP($S235:$AL235,增益!$A:$A,增益!$J:$J,0))</f>
        <v>0.02</v>
      </c>
      <c r="BC235">
        <f>$D$12*(1+$AX235)</f>
        <v>640.3</v>
      </c>
      <c r="BD235">
        <f>$E$12*(1+$AX235)</f>
        <v>1770.1</v>
      </c>
      <c r="BE235" s="40" cm="1">
        <f t="array" ref="BE235">IF($F$12-$I$4+VLOOKUP($R235,武学奇术!$A:$ZZ,11,FALSE)+SUM(_xlfn.XLOOKUP($S235:$AL235,增益!$A:$A,增益!$K:$K,0))&gt;0,($F$12-$I$4+VLOOKUP($R235,武学奇术!$A:$ZZ,11,FALSE)+SUM(_xlfn.XLOOKUP($S235:$AL235,增益!$A:$A,增益!$K:$K,0)))/200,($F$12-$I$4+VLOOKUP($R235,武学奇术!$A:$ZZ,11,FALSE)+SUM(_xlfn.XLOOKUP($S235:$AL235,增益!$A:$A,增益!$K:$K,0)))/100)</f>
        <v>0.09</v>
      </c>
      <c r="BF235" s="40" cm="1">
        <f t="array" ref="BF235">$G$12+VLOOKUP($R235,武学奇术!$A:$ZZ,12,FALSE)+SUM(_xlfn.XLOOKUP($S235:$AL235,增益!$A:$A,增益!$L:$L,0))</f>
        <v>0.17</v>
      </c>
      <c r="BG235">
        <f>$D$13*(1+$AX235)</f>
        <v>0</v>
      </c>
      <c r="BH235">
        <f>$E$13*(1+$AX235)</f>
        <v>0</v>
      </c>
      <c r="BI235" s="40" cm="1">
        <f t="array" ref="BI235">IF($F$13-$I$4+VLOOKUP($R235,武学奇术!$A:$ZZ,13,FALSE)+SUM(_xlfn.XLOOKUP($S235:$AL235,增益!$A:$A,增益!$M:$M,0))&gt;0,($F$13-$I$4+VLOOKUP($R235,武学奇术!$A:$ZZ,13,FALSE)+SUM(_xlfn.XLOOKUP($S235:$AL235,增益!$A:$A,增益!$K:$K,0)))/200,($F$13-$I$4+VLOOKUP($R235,武学奇术!$A:$ZZ,13,FALSE)+SUM(_xlfn.XLOOKUP($S235:$AL235,增益!$A:$A,增益!$M:$M,0)))/100)</f>
        <v>-0.3</v>
      </c>
      <c r="BJ235" s="40" cm="1">
        <f t="array" ref="BJ235">$G$13+VLOOKUP($R235,武学奇术!$A:$ZZ,14,FALSE)+SUM(_xlfn.XLOOKUP($S235:$AL235,增益!$A:$A,增益!$N:$N,0))</f>
        <v>0.02</v>
      </c>
      <c r="BK235">
        <f>$D$14*(1+$AX235)</f>
        <v>0</v>
      </c>
      <c r="BL235">
        <f>$E$14*(1+$AX235)</f>
        <v>0</v>
      </c>
      <c r="BM235" s="40" cm="1">
        <f t="array" ref="BM235">IF($F$14-$I$4+VLOOKUP($R235,武学奇术!$A:$ZZ,15,FALSE)+SUM(_xlfn.XLOOKUP($S235:$AL235,增益!$A:$A,增益!$O:$O,0))&gt;0,($F$14-$I$4+VLOOKUP($R235,武学奇术!$A:$ZZ,15,FALSE)+SUM(_xlfn.XLOOKUP($S235:$AL235,增益!$A:$A,增益!$O:$O,0)))/200,($F$14-$I$4+VLOOKUP($R235,武学奇术!$A:$ZZ,15,FALSE)+SUM(_xlfn.XLOOKUP($S235:$AL235,增益!$A:$A,增益!$O:$O,0)))/100)</f>
        <v>-0.3</v>
      </c>
      <c r="BN235" s="40" cm="1">
        <f t="array" ref="BN235">$G$14+VLOOKUP($R235,武学奇术!$A:$ZZ,16,FALSE)+SUM(_xlfn.XLOOKUP($S235:$AL235,增益!$A:$A,增益!$P:$P,0))</f>
        <v>0.02</v>
      </c>
      <c r="BO235" s="33">
        <f>MIN(IF(VLOOKUP($R235,武学奇术!$A:$ZZ,23,FALSE)=1,100%,$B$8),100%)</f>
        <v>0.9771</v>
      </c>
      <c r="BP235" s="33" cm="1">
        <f t="array" ref="BP235">IF(VLOOKUP($R235,武学奇术!$A:$ZZ,23,FALSE)=1,100%,MIN(80%,$B$9+VLOOKUP($R235,武学奇术!$A:$ZZ,17,FALSE)+SUM(_xlfn.XLOOKUP($S235:$AL235,增益!$A:$A,增益!$Q:$Q,0)))+$B$11+SUM(_xlfn.XLOOKUP($S235:$AL235,增益!$A:$A,增益!$U:$U,0)))*IF(VLOOKUP($R235,武学奇术!$A:$ZZ,24,FALSE)=1,0,1)</f>
        <v>0.8861</v>
      </c>
      <c r="BQ235" s="33" cm="1">
        <f t="array" ref="BQ235">1+$B$13+VLOOKUP($R235,武学奇术!$A:$ZZ,18,FALSE)+SUM(_xlfn.XLOOKUP($S235:$AL235,增益!$A:$A,增益!$R:$R,0))</f>
        <v>1.54</v>
      </c>
      <c r="BR235" s="33" cm="1">
        <f t="array" ref="BR235">IF(VLOOKUP($R235,武学奇术!$A:$ZZ,24,FALSE)=1,100%,MIN(40%,$B$10+VLOOKUP($R235,武学奇术!$A:$ZZ,19,FALSE)+SUM(_xlfn.XLOOKUP($S235:$AL235,增益!$A:$A,增益!$S:$S,0)))+$B$12+SUM(_xlfn.XLOOKUP($S235:$AL235,增益!$A:$A,增益!$V:$V,0)))*IF(VLOOKUP($R235,武学奇术!$A:$ZZ,23,FALSE)=1,0,1)</f>
        <v>0.0913</v>
      </c>
      <c r="BS235" s="33" cm="1">
        <f t="array" ref="BS235">1+$B$14+VLOOKUP($R235,武学奇术!$A:$ZZ,20,FALSE)+SUM(_xlfn.XLOOKUP($S235:$AL235,增益!$A:$A,增益!$T:$T,0))</f>
        <v>1.35</v>
      </c>
      <c r="BT235" s="33">
        <f>MIN((1-BR235)*BO235,BO235*BP235)</f>
        <v>0.86580831</v>
      </c>
      <c r="BU235" s="33">
        <f>1-BR235-BT235-BV235</f>
        <v>0.02208246</v>
      </c>
      <c r="BV235" s="33">
        <f>IF(VLOOKUP($R235,武学奇术!$A:$ZZ,22,FALSE)=1,0,(1-$BO235))*(1-$BR235)</f>
        <v>0.02080923</v>
      </c>
      <c r="BW235" s="33" cm="1">
        <f t="array" ref="BW235">SUM(_xlfn.XLOOKUP($S235:$AL235,增益!$A:$A,增益!$W:$W,0))+$I$5</f>
        <v>0.11</v>
      </c>
      <c r="BX235" s="33" cm="1">
        <f t="array" ref="BX235">VLOOKUP($R235,武学奇术!$A:$ZZ,32,FALSE)+SUM(_xlfn.XLOOKUP($S235:$AL235,增益!$A:$A,增益!$X:$X,0))</f>
        <v>0</v>
      </c>
    </row>
    <row r="236" spans="12:76">
      <c r="L236" s="46">
        <f>($M236*$BT236+$N236*$BR236+$O236*$BU236+$P236*$BV236)</f>
        <v>0</v>
      </c>
      <c r="M236" s="46">
        <f>((($AT236+$AU236)/2*$AN236+$AO236)*(1+$AV236)*(1+$AW236)+(($AY236+$AZ236)/2*IF($G$1="鸣金",$AP236,$AN236)+IF($G$1="鸣金",$AQ236*1.5,0))*(1+$BA236)*(1+$BB236)+(($BC236+$BD236)/2*IF($G$1="裂石",$AP236,$AN236)+IF($G$1="裂石",$AQ236*1.5,0))*(1+$BE236)*(1+$BF236)+(($BG236+$BH236)/2*IF($G$1="牵丝",$AP236,$AN236)+IF($G$1="牵丝",$AQ236*1.5,0))*(1+$BI236)*(1+$BJ236)+(($BK236+$BL236)/2*IF($G$1="破竹",$AP236,$AN236)+IF($G$1="破竹",$AQ236*1.5,0))*(1+$BM236)*(1+$BN236))*(1+$AR236)*$BQ236*$Q236*(1+IF(VLOOKUP($R236,武学奇术!$A:$ZZ,30,FALSE)="蓄力技",$B$21,0))*(1+IF(VLOOKUP($R236,武学奇术!$A:$ZZ,30,FALSE)="派生技",$B$20,0))*(1+$BW236)*(1+$BX236)</f>
        <v>0</v>
      </c>
      <c r="N236" s="46">
        <f>(($AU236*$AN236+$AO236)*(1+$AV236)*(1+$AW236)+($AZ236*IF($G$1="鸣金",$AP236,$AN236)+IF($G$1="鸣金",$AQ236*1.5,0))*(1+$BA236)*(1+$BB236)+($BD236*IF($G$1="裂石",$AP236,$AN236)+IF($G$1="裂石",$AQ236*1.5,0))*(1+$BE236)*(1+$BF236)+($BH236*IF($G$1="牵丝",$AP236,$AN236)+IF($G$1="牵丝",$AQ236*1.5,0))*(1+$BI236)*(1+$BJ236)+($BL236*IF($G$1="破竹",$AP236,$AN236)+IF($G$1="破竹",$AQ236*1.5,0))*(1+$BM236)*(1+$BN236))*(1+$AR236)*$BS236*$Q236*(1+IF(VLOOKUP($R236,武学奇术!$A:$ZZ,30,FALSE)="蓄力技",$B$21,0))*(1+IF(VLOOKUP($R236,武学奇术!$A:$ZZ,30,FALSE)="派生技",$B$20,0))*(1+$BW236)*(1+$BX236)</f>
        <v>0</v>
      </c>
      <c r="O236" s="46">
        <f>((($AT236+$AU236)/2*$AN236+$AO236)*(1+$AV236)*(1+$AW236)+(($AY236+$AZ236)/2*IF($G$1="鸣金",$AP236,$AN236)+IF($G$1="鸣金",$AQ236*1.5,0))*(1+$BA236)*(1+$BB236)+(($BC236+$BD236)/2*IF($G$1="裂石",$AP236,$AN236)+IF($G$1="裂石",$AQ236*1.5,0))*(1+$BE236)*(1+$BF236)+(($BG236+$BH236)/2*IF($G$1="牵丝",$AP236,$AN236)+IF($G$1="牵丝",$AQ236*1.5,0))*(1+$BI236)*(1+$BJ236)+(($BK236+$BL236)/2*IF($G$1="破竹",$AP236,$AN236)+IF($G$1="破竹",$AQ236*1.5,0))*(1+$BM236)*(1+$BN236))*(1+$AR236)*$Q236*(1+IF(VLOOKUP($R236,武学奇术!$A:$ZZ,30,FALSE)="蓄力技",$B$21,0))*(1+IF(VLOOKUP($R236,武学奇术!$A:$ZZ,30,FALSE)="派生技",$B$20,0))*(1+$BW236)*(1+$BX236)</f>
        <v>0</v>
      </c>
      <c r="P236" s="46">
        <f>((($AT236*$AN236+$AO236)*(1+$AV236)*(1+$AW236)+($AY236*IF($G$1="鸣金",$AP236,$AN236)+IF($G$1="鸣金",$AQ236*1.5,0))*(1+$BA236)*(1+$BB236)+($BC236*IF($G$1="裂石",$AP236,$AN236)+IF($G$1="裂石",$AQ236*1.5,0))*(1+$BE236)*(1+$BF236)+($BG236*IF($G$1="牵丝",$AP236,$AN236)+IF($G$1="牵丝",$AQ236*1.5,0))*(1+$BI236)*(1+$BJ236)+($BK236*IF($G$1="破竹",$AP236,$AN236)+IF($G$1="破竹",$AQ236*1.5,0))*(1+$BM236)*(1+$BN236))*(1+$AR236))*$Q236*(1+IF(VLOOKUP($R236,武学奇术!$A:$ZZ,30,FALSE)="蓄力技",$B$21,0))*(1+IF(VLOOKUP($R236,武学奇术!$A:$ZZ,30,FALSE)="派生技",$B$20,0))*(1+$BW236)*(1+$BX236)</f>
        <v>0</v>
      </c>
      <c r="Q236" s="47">
        <f>IF($E$24="唐刀",1,0)</f>
        <v>0</v>
      </c>
      <c r="R236" s="48" t="s">
        <v>80</v>
      </c>
      <c r="S236" s="48" t="s">
        <v>80</v>
      </c>
      <c r="T236" s="48" t="s">
        <v>80</v>
      </c>
      <c r="U236" s="48" t="s">
        <v>80</v>
      </c>
      <c r="V236" s="48" t="s">
        <v>80</v>
      </c>
      <c r="W236" s="48" t="s">
        <v>80</v>
      </c>
      <c r="X236" s="48" t="s">
        <v>80</v>
      </c>
      <c r="Y236" s="48" t="s">
        <v>80</v>
      </c>
      <c r="Z236" s="48" t="s">
        <v>80</v>
      </c>
      <c r="AA236" s="48" t="s">
        <v>80</v>
      </c>
      <c r="AB236" s="48" t="s">
        <v>80</v>
      </c>
      <c r="AC236" s="48" t="s">
        <v>80</v>
      </c>
      <c r="AD236" s="48" t="s">
        <v>80</v>
      </c>
      <c r="AE236" s="48" t="s">
        <v>82</v>
      </c>
      <c r="AF236" s="48" t="s">
        <v>83</v>
      </c>
      <c r="AG236" s="48" t="s">
        <v>84</v>
      </c>
      <c r="AH236" s="48" t="s">
        <v>80</v>
      </c>
      <c r="AI236" s="48" t="s">
        <v>80</v>
      </c>
      <c r="AJ236" s="48" t="s">
        <v>80</v>
      </c>
      <c r="AK236" s="48" t="s">
        <v>80</v>
      </c>
      <c r="AL236" s="48" t="s">
        <v>85</v>
      </c>
      <c r="AM236" t="str">
        <f>VLOOKUP($R236,武学奇术!$A:$ZZ,25,FALSE)</f>
        <v>心法</v>
      </c>
      <c r="AN236" s="33">
        <f>VLOOKUP($R236,武学奇术!$A:$ZZ,26,FALSE)</f>
        <v>0</v>
      </c>
      <c r="AO236" s="34">
        <f>VLOOKUP($R236,武学奇术!$A:$ZZ,27,FALSE)*(1+IF(OR($AM236=$F$4,$AM236=$F$5),$B$22,0))</f>
        <v>0</v>
      </c>
      <c r="AP236" s="33">
        <f>VLOOKUP($R236,武学奇术!$A:$ZZ,28,FALSE)</f>
        <v>0</v>
      </c>
      <c r="AQ236" s="34">
        <f>VLOOKUP($R236,武学奇术!$A:$ZZ,29,FALSE)*(1+IF(OR($AM236=$F$4,$AM236=$F$5),$B$22,0))</f>
        <v>0</v>
      </c>
      <c r="AR236" s="33" cm="1">
        <f t="array" ref="AR236">$G$3+IFERROR(VLOOKUP($AM236,$F$4:$G$7,2,FALSE),0)+VLOOKUP($R236,武学奇术!$A:$ZZ,2,FALSE)+SUM(_xlfn.XLOOKUP($S236:$AL236,增益!$A:$A,增益!$B:$B,0))</f>
        <v>0.3142</v>
      </c>
      <c r="AS236" s="33" cm="1">
        <f t="array" ref="AS236">VLOOKUP($R236,武学奇术!$A:$ZZ,5,FALSE)+SUM(_xlfn.XLOOKUP($S236:$AL236,增益!$A:$A,增益!$E:$E,0))</f>
        <v>0</v>
      </c>
      <c r="AT236" cm="1">
        <f t="array" ref="AT236">$D$10*(1+$AS236)+VLOOKUP($R236,武学奇术!$A:$ZZ,3,FALSE)+SUM(_xlfn.XLOOKUP($S236:$AL236,增益!$A:$A,增益!$C:$C,0))-$I$2</f>
        <v>4094.7</v>
      </c>
      <c r="AU236" cm="1">
        <f t="array" ref="AU236">$E$10*(1+$AS236)+VLOOKUP($R236,武学奇术!$A:$ZZ,4,FALSE)+SUM(_xlfn.XLOOKUP($S236:$AL236,增益!$A:$A,增益!$D:$D,0))-$I$2</f>
        <v>4094.7</v>
      </c>
      <c r="AV236" s="40" cm="1">
        <f t="array" ref="AV236">IF($F$10-$I$3+VLOOKUP($R236,武学奇术!$A:$ZZ,6,FALSE)+SUM(_xlfn.XLOOKUP($S236:$AL236,增益!$A:$A,增益!$F:$F,0))&gt;0,($F$10-$I$3+VLOOKUP($R236,武学奇术!$A:$ZZ,6,FALSE)+SUM(_xlfn.XLOOKUP($S236:$AL236,增益!$A:$A,增益!$F:$F,0)))/200,($F$10-$I$3+VLOOKUP($R236,武学奇术!$A:$ZZ,6,FALSE)+SUM(_xlfn.XLOOKUP($S236:$AL236,增益!$A:$A,增益!$F:$F,0)))/100)</f>
        <v>0.3134</v>
      </c>
      <c r="AW236" s="40" cm="1">
        <f t="array" ref="AW236">$G$10+VLOOKUP($R236,武学奇术!$A:$ZZ,7,FALSE)+SUM(_xlfn.XLOOKUP($S236:$AL236,增益!$A:$A,增益!$G:$G,0))</f>
        <v>0.02</v>
      </c>
      <c r="AX236" s="33" cm="1">
        <f t="array" ref="AX236">VLOOKUP($R236,武学奇术!$A:$ZZ,8,FALSE)+SUM(_xlfn.XLOOKUP($S236:$AL236,增益!$A:$A,增益!$H:$H,0))</f>
        <v>0</v>
      </c>
      <c r="AY236">
        <f>$D$11*(1+$AX236)</f>
        <v>0</v>
      </c>
      <c r="AZ236">
        <f>$E$11*(1+$AX236)</f>
        <v>0</v>
      </c>
      <c r="BA236" s="40" cm="1">
        <f t="array" ref="BA236">IF($F$11-$I$4+VLOOKUP($R236,武学奇术!$A:$ZZ,9,FALSE)+SUM(_xlfn.XLOOKUP($S236:$AL236,增益!$A:$A,增益!$I:$I,0))&gt;0,($F$11-$I$4+VLOOKUP($R236,武学奇术!$A:$ZZ,9,FALSE)+SUM(_xlfn.XLOOKUP($S236:$AL236,增益!$A:$A,增益!$I:$I,0)))/200,($F$11-$I$4+VLOOKUP($R236,武学奇术!$A:$ZZ,9,FALSE)+SUM(_xlfn.XLOOKUP($S236:$AL236,增益!$A:$A,增益!$I:$I,0)))/100)</f>
        <v>-0.3</v>
      </c>
      <c r="BB236" s="40" cm="1">
        <f t="array" ref="BB236">$G$11+VLOOKUP($R236,武学奇术!$A:$ZZ,10,FALSE)+SUM(_xlfn.XLOOKUP($S236:$AL236,增益!$A:$A,增益!$J:$J,0))</f>
        <v>0.02</v>
      </c>
      <c r="BC236">
        <f>$D$12*(1+$AX236)</f>
        <v>640.3</v>
      </c>
      <c r="BD236">
        <f>$E$12*(1+$AX236)</f>
        <v>1770.1</v>
      </c>
      <c r="BE236" s="40" cm="1">
        <f t="array" ref="BE236">IF($F$12-$I$4+VLOOKUP($R236,武学奇术!$A:$ZZ,11,FALSE)+SUM(_xlfn.XLOOKUP($S236:$AL236,增益!$A:$A,增益!$K:$K,0))&gt;0,($F$12-$I$4+VLOOKUP($R236,武学奇术!$A:$ZZ,11,FALSE)+SUM(_xlfn.XLOOKUP($S236:$AL236,增益!$A:$A,增益!$K:$K,0)))/200,($F$12-$I$4+VLOOKUP($R236,武学奇术!$A:$ZZ,11,FALSE)+SUM(_xlfn.XLOOKUP($S236:$AL236,增益!$A:$A,增益!$K:$K,0)))/100)</f>
        <v>0.09</v>
      </c>
      <c r="BF236" s="40" cm="1">
        <f t="array" ref="BF236">$G$12+VLOOKUP($R236,武学奇术!$A:$ZZ,12,FALSE)+SUM(_xlfn.XLOOKUP($S236:$AL236,增益!$A:$A,增益!$L:$L,0))</f>
        <v>0.17</v>
      </c>
      <c r="BG236">
        <f>$D$13*(1+$AX236)</f>
        <v>0</v>
      </c>
      <c r="BH236">
        <f>$E$13*(1+$AX236)</f>
        <v>0</v>
      </c>
      <c r="BI236" s="40" cm="1">
        <f t="array" ref="BI236">IF($F$13-$I$4+VLOOKUP($R236,武学奇术!$A:$ZZ,13,FALSE)+SUM(_xlfn.XLOOKUP($S236:$AL236,增益!$A:$A,增益!$M:$M,0))&gt;0,($F$13-$I$4+VLOOKUP($R236,武学奇术!$A:$ZZ,13,FALSE)+SUM(_xlfn.XLOOKUP($S236:$AL236,增益!$A:$A,增益!$K:$K,0)))/200,($F$13-$I$4+VLOOKUP($R236,武学奇术!$A:$ZZ,13,FALSE)+SUM(_xlfn.XLOOKUP($S236:$AL236,增益!$A:$A,增益!$M:$M,0)))/100)</f>
        <v>-0.3</v>
      </c>
      <c r="BJ236" s="40" cm="1">
        <f t="array" ref="BJ236">$G$13+VLOOKUP($R236,武学奇术!$A:$ZZ,14,FALSE)+SUM(_xlfn.XLOOKUP($S236:$AL236,增益!$A:$A,增益!$N:$N,0))</f>
        <v>0.02</v>
      </c>
      <c r="BK236">
        <f>$D$14*(1+$AX236)</f>
        <v>0</v>
      </c>
      <c r="BL236">
        <f>$E$14*(1+$AX236)</f>
        <v>0</v>
      </c>
      <c r="BM236" s="40" cm="1">
        <f t="array" ref="BM236">IF($F$14-$I$4+VLOOKUP($R236,武学奇术!$A:$ZZ,15,FALSE)+SUM(_xlfn.XLOOKUP($S236:$AL236,增益!$A:$A,增益!$O:$O,0))&gt;0,($F$14-$I$4+VLOOKUP($R236,武学奇术!$A:$ZZ,15,FALSE)+SUM(_xlfn.XLOOKUP($S236:$AL236,增益!$A:$A,增益!$O:$O,0)))/200,($F$14-$I$4+VLOOKUP($R236,武学奇术!$A:$ZZ,15,FALSE)+SUM(_xlfn.XLOOKUP($S236:$AL236,增益!$A:$A,增益!$O:$O,0)))/100)</f>
        <v>-0.3</v>
      </c>
      <c r="BN236" s="40" cm="1">
        <f t="array" ref="BN236">$G$14+VLOOKUP($R236,武学奇术!$A:$ZZ,16,FALSE)+SUM(_xlfn.XLOOKUP($S236:$AL236,增益!$A:$A,增益!$P:$P,0))</f>
        <v>0.02</v>
      </c>
      <c r="BO236" s="33">
        <f>MIN(IF(VLOOKUP($R236,武学奇术!$A:$ZZ,23,FALSE)=1,100%,$B$8),100%)</f>
        <v>0.9771</v>
      </c>
      <c r="BP236" s="33" cm="1">
        <f t="array" ref="BP236">IF(VLOOKUP($R236,武学奇术!$A:$ZZ,23,FALSE)=1,100%,MIN(80%,$B$9+VLOOKUP($R236,武学奇术!$A:$ZZ,17,FALSE)+SUM(_xlfn.XLOOKUP($S236:$AL236,增益!$A:$A,增益!$Q:$Q,0)))+$B$11+SUM(_xlfn.XLOOKUP($S236:$AL236,增益!$A:$A,增益!$U:$U,0)))*IF(VLOOKUP($R236,武学奇术!$A:$ZZ,24,FALSE)=1,0,1)</f>
        <v>0.8861</v>
      </c>
      <c r="BQ236" s="33" cm="1">
        <f t="array" ref="BQ236">1+$B$13+VLOOKUP($R236,武学奇术!$A:$ZZ,18,FALSE)+SUM(_xlfn.XLOOKUP($S236:$AL236,增益!$A:$A,增益!$R:$R,0))</f>
        <v>1.54</v>
      </c>
      <c r="BR236" s="33" cm="1">
        <f t="array" ref="BR236">IF(VLOOKUP($R236,武学奇术!$A:$ZZ,24,FALSE)=1,100%,MIN(40%,$B$10+VLOOKUP($R236,武学奇术!$A:$ZZ,19,FALSE)+SUM(_xlfn.XLOOKUP($S236:$AL236,增益!$A:$A,增益!$S:$S,0)))+$B$12+SUM(_xlfn.XLOOKUP($S236:$AL236,增益!$A:$A,增益!$V:$V,0)))*IF(VLOOKUP($R236,武学奇术!$A:$ZZ,23,FALSE)=1,0,1)</f>
        <v>0.0913</v>
      </c>
      <c r="BS236" s="33" cm="1">
        <f t="array" ref="BS236">1+$B$14+VLOOKUP($R236,武学奇术!$A:$ZZ,20,FALSE)+SUM(_xlfn.XLOOKUP($S236:$AL236,增益!$A:$A,增益!$T:$T,0))</f>
        <v>1.35</v>
      </c>
      <c r="BT236" s="33">
        <f>MIN((1-BR236)*BO236,BO236*BP236)</f>
        <v>0.86580831</v>
      </c>
      <c r="BU236" s="33">
        <f>1-BR236-BT236-BV236</f>
        <v>0.02208246</v>
      </c>
      <c r="BV236" s="33">
        <f>IF(VLOOKUP($R236,武学奇术!$A:$ZZ,22,FALSE)=1,0,(1-$BO236))*(1-$BR236)</f>
        <v>0.02080923</v>
      </c>
      <c r="BW236" s="33" cm="1">
        <f t="array" ref="BW236">SUM(_xlfn.XLOOKUP($S236:$AL236,增益!$A:$A,增益!$W:$W,0))+$I$5</f>
        <v>0.11</v>
      </c>
      <c r="BX236" s="33" cm="1">
        <f t="array" ref="BX236">VLOOKUP($R236,武学奇术!$A:$ZZ,32,FALSE)+SUM(_xlfn.XLOOKUP($S236:$AL236,增益!$A:$A,增益!$X:$X,0))</f>
        <v>0</v>
      </c>
    </row>
  </sheetData>
  <mergeCells count="42">
    <mergeCell ref="H1:I1"/>
    <mergeCell ref="C8:G8"/>
    <mergeCell ref="C15:D15"/>
    <mergeCell ref="E21:F21"/>
    <mergeCell ref="E22:F22"/>
    <mergeCell ref="E23:F23"/>
    <mergeCell ref="E24:F24"/>
    <mergeCell ref="A23:A24"/>
    <mergeCell ref="C27:C28"/>
    <mergeCell ref="C30:C36"/>
    <mergeCell ref="C46:C50"/>
    <mergeCell ref="C69:C73"/>
    <mergeCell ref="C105:C114"/>
    <mergeCell ref="C130:C139"/>
    <mergeCell ref="C140:C144"/>
    <mergeCell ref="C167:C176"/>
    <mergeCell ref="C177:C181"/>
    <mergeCell ref="D31:D37"/>
    <mergeCell ref="D43:D49"/>
    <mergeCell ref="D55:D62"/>
    <mergeCell ref="D67:D73"/>
    <mergeCell ref="D109:D122"/>
    <mergeCell ref="D127:D142"/>
    <mergeCell ref="D148:D161"/>
    <mergeCell ref="D168:D183"/>
    <mergeCell ref="E106:E121"/>
    <mergeCell ref="E124:E159"/>
    <mergeCell ref="E165:E188"/>
    <mergeCell ref="H8:H9"/>
    <mergeCell ref="H10:H11"/>
    <mergeCell ref="H12:H13"/>
    <mergeCell ref="H14:H15"/>
    <mergeCell ref="H16:H17"/>
    <mergeCell ref="H18:H19"/>
    <mergeCell ref="H20:H21"/>
    <mergeCell ref="I10:J11"/>
    <mergeCell ref="I8:J9"/>
    <mergeCell ref="I12:J13"/>
    <mergeCell ref="I14:J15"/>
    <mergeCell ref="I16:J17"/>
    <mergeCell ref="I18:J19"/>
    <mergeCell ref="I20:J21"/>
  </mergeCells>
  <conditionalFormatting sqref="F18">
    <cfRule type="cellIs" dxfId="0" priority="1" operator="greaterThanOrEqual">
      <formula>0.7</formula>
    </cfRule>
    <cfRule type="cellIs" dxfId="1" priority="3" operator="lessThan">
      <formula>0.7</formula>
    </cfRule>
  </conditionalFormatting>
  <dataValidations count="6">
    <dataValidation type="list" allowBlank="1" showInputMessage="1" showErrorMessage="1" sqref="G1">
      <formula1>"鸣金,裂石,牵丝,破竹"</formula1>
    </dataValidation>
    <dataValidation type="list" allowBlank="1" showInputMessage="1" showErrorMessage="1" sqref="E22:F22">
      <formula1>"征人归,断石之构"</formula1>
    </dataValidation>
    <dataValidation type="list" allowBlank="1" showInputMessage="1" showErrorMessage="1" sqref="E24:F24">
      <formula1>"陌刀,唐刀"</formula1>
    </dataValidation>
    <dataValidation type="list" allowBlank="1" showInputMessage="1" showErrorMessage="1" sqref="R109 R110 R111 R112 R113 R139 R140 R141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R108 R114:R126 R127:R128 R129:R138 R142:R145 R146:R147 R234:R236">
      <formula1>武学奇术!$A:$A</formula1>
    </dataValidation>
    <dataValidation type="list" allowBlank="1" showInputMessage="1" showErrorMessage="1" sqref="S109 T109 U109 V109 W109 X109 Y109 Z109:AL109 S110 T110 U110 V110 W110 X110 Y110 Z110:AL110 S111 T111 U111 V111 W111 X111 Y111 S112 T112 U112 V112 W112 X112 Y112 S113 T113 U113 V113 W113 X113 Y113 Z113:AL113 S125:AB125 AC125 AD125:AL125 S126:AL126 S129:T129 U129 V129 X129:Z129 S130:U130 V130 X130:Z130 S134:U134 V134 W134 X134:Z134 S135:U135 V135 W135 X135:Z135 S139 T139 Z139 U141 S142 T142 S143 T143 S144 T144 T145 T146 W146 Y146 S147 T147 Y147 Y148 Y149 S150 T150 Y150 S151 T151 W151 Y151 S152 T152 Y152 S153 T153 Y153 S154 T154 W154 Y154 S155 T155 Y155 S156 Y156 S157 U157 V157 W157 X157 Y157 AA157 AB157 AC157 AD157 AE157 AF157 AG157 AH157 AI157 AJ157 AK157 AL157 S158 W158 X158 Y158 Z158 AA158 AB158 AC158 AD158 AE158 AF158 AG158 AH158 AI158 AJ158 AK158 AL158 S159 X159 Y159 Z159 AA159 AB159 AC159 AD159 AE159 AF159 AG159 AH159 AI159 AJ159 AK159 AL159 S160 T160 X160 Y160 Z160 AA160 AB160 AC160 AD160 AE160 AF160 AG160 AH160 AI160 AJ160 AK160 AL160 S161 T161 W161 X161 Y161 Z161 AA161 AB161 AC161 AD161 AE161 AF161 AG161 AH161 AI161 AJ161 AK161 AL161 S162 T162 X162 Y162 Z162 AA162 AB162 AC162 AD162 AE162 AF162 AG162 AH162 AI162 AJ162 AK162 AL162 S163 X163 Y163 Z163 AA163 AB163 AC163 AD163 AE163 AF163 AG163 AH163 AI163 AJ163 AK163 AL163 X164 Y164 Z164 AA164 AB164 AC164 AD164 AE164 AF164 AG164 AH164 AI164 AJ164 AK164 AL164 T165 X165 Y165 Z165 AA165 AB165 AC165 AD165 AE165 AF165 AG165 AH165 AI165 AJ165 AK165 AL165 T166 U166:V166 W166 X166 Y166 Z166 AA166 AB166 AC166 AD166 AE166 AF166 AG166 AH166 AI166 AJ166 AK166 AL166 T167 U167 V167 W167 X167 Y167 Z167 AA167 AB167 AC167 AD167 AE167 AF167 AG167 AH167 AI167 AJ167 AK167 AL167 T168 U168 V168 W168 X168 Y168 Z168 AA168 AB168 AC168 AD168 AE168 AF168 AG168 AH168 AI168 AJ168 AK168 AL168 T169 V169 X169 Y169 Z169 AA169 AB169 AC169 AD169 AE169 AF169 AG169 AH169 AI169 AJ169 AK169 AL169 T170 V170 X170 Y170 Z170 AA170 AB170 AC170 AD170 AE170 AF170 AG170 AH170 AI170 AJ170 AK170 AL170 V171 W171 X171 Y171 Z171 AA171 AB171 AC171 AD171 AE171 AF171 AG171 AH171 AI171 AJ171 AK171 AL171 V172 X172 Z172 AA172 AB172 AC172 AD172 AE172 AF172 AG172 AH172 AI172 AJ172 AK172 AL172 X173 Z173 AA173 AB173 AC173 AD173 AE173 AF173 AG173 AH173 AI173 AJ173 AK173 AL173 X174 Z174 AA174 AB174 AC174 AD174 AE174 AF174 AG174 AH174 AI174 AJ174 AK174 AL174 T175 X175 Z175 AA175 AB175 AC175 AD175 AE175 AF175 AG175 AH175 AI175 AJ175 AK175 AL175 S176 T176 W176 X176 Y176 Z176 AA176 AB176 AC176 AD176 AE176 AF176 AG176 AH176 AI176 AJ176 AK176 AL176 S177 T177 U177 V177 W177 X177 Y177 Z177 AA177 AB177 AC177 AD177 AE177 AF177 AG177 AH177 AI177 AJ177 AK177 AL177 S178 T178 U178 V178 W178 X178 Y178 Z178 AA178 AB178 AC178 AD178 AE178 AF178 AG178 AH178 AI178 AJ178 AK178 AL178 U179 V179 W179 X179 Y179 Z179 AA179:AB179 AD179 AE179 AF179 AG179 AH179 AI179 AJ179 AK179 AL179 U180 V180 W180 X180 Y180 Z180 AA180:AB180 AD180 AE180 AF180 AG180 AH180 AI180 AJ180 AK180 AL180 W181 X181 Y181 Z181 AA181:AB181 AD181 AE181 AF181 AG181 AH181 AI181 AJ181 AK181 AL181 W182 X182 Y182 Z182 AA182 AB182 AD182 AE182 AF182 AG182 AH182 AI182 AJ182 AK182 AL182 W183 X183 Y183 Z183 AA183 AB183 AD183 AE183 AF183 AG183 AH183 AI183 AJ183 AK183 AL183 W184 X184 Y184 Z184 AA184 AB184 AD184 AE184 AF184 AG184 AH184 AI184 AJ184 AK184 AL184 V185 W185 X185 Y185 Z185 AA185 AB185 AD185 AE185 AF185 AG185 AH185 AI185 AJ185 AK185 AL185 V186 W186 X186 Y186 Z186 AA186 AB186 AC186 AD186 AE186 AF186 AG186 AH186 AI186 AJ186 AK186 AL186 V187 W187 X187 Y187 Z187 AA187 AB187 AC187 AD187 AE187 AF187 AG187 AH187 AI187 AJ187 AK187 AL187 V188 W188 X188 Y188 Z188 AA188 AB188 AC188 AD188 AE188 AF188 AG188 AH188 AI188 AJ188 AK188 AL188 V189 W189 X189 Y189 Z189 AA189 AB189 AC189 AD189 AE189 AF189 AG189 AH189 AI189 AJ189 AK189 AL189 V190 W190 X190 Y190 Z190 AA190 AB190 AC190 AD190 AE190 AF190 AG190 AH190 AI190 AJ190 AK190 AL190 W191 X191 Y191 Z191 AA191 AB191 AC191 AD191 AE191 AF191 AG191 AH191 AI191 AJ191 AK191 AL191 W192 X192 Y192 Z192 AA192 AB192 AC192 AD192 AE192 AF192 AG192 AH192 AI192 AJ192 AK192 AL192 W193 X193 Y193 Z193 AA193 AB193 AC193 AD193 AE193 AF193 AG193 AH193 AI193 AJ193 AK193 AL193 V194 W194 X194 Y194 Z194 AA194 AB194 AC194 AD194 AE194 AF194 AG194 AH194 AI194 AJ194 AK194 AL194 U195 V195 W195 X195 Y195 Z195 AA195 AB195 AC195 AD195 AE195 AF195 AG195 AH195 AI195 AJ195 AK195 AL195 U196 V196 W196 X196 Y196 Z196 AA196 AB196 AC196 AD196 AE196 AF196 AG196 AH196 AI196 AJ196 AK196 AL196 U197 V197 W197 X197 Y197 Z197 AA197 AB197 AC197 AD197 AE197 AF197 AG197 AH197 AI197 AJ197 AK197 AL197 U198 V198 W198 X198 Y198 Z198 AA198 AB198 AC198 AD198 AE198 AF198 AG198 AH198 AI198 AJ198 AK198 AL198 U199 V199 W199 X199 Y199 Z199 AA199 AB199 AC199 AD199 AE199 AF199 AG199 AH199 AI199 AJ199 AK199 AL199 U200 V200 W200 X200 Y200 Z200 AA200 AB200 AC200 AD200 AE200 AF200 AG200 AH200 AI200 AJ200 AK200 AL200 U201 V201 W201 X201 Y201 Z201 AA201 AB201 AC201 AD201 AE201 AF201 AG201 AH201 AI201 AJ201 AK201 AL201 U202 V202 W202 X202 Y202 Z202 AA202 AB202 AC202 AD202 AE202 AF202 AG202 AH202 AI202 AJ202 AK202 AL202 U203 W203 X203 Y203 Z203 AA203 AB203 AC203 AD203 AE203 AF203 AG203 AH203 AI203 AJ203 AK203 AL203 U204 W204 X204 Y204 Z204 AA204 AB204 AC204 AD204 AE204 AF204 AG204 AH204 AI204 AJ204 AK204 AL204 U205 W205 X205 Y205 Z205 AA205 AB205 AC205 AD205 AE205 AF205 AG205 AH205 AI205 AJ205 AK205 AL205 U206 V206 W206 X206 Y206 Z206 AA206 AB206 AC206 AD206 AE206 AF206 AG206 AH206 AI206 AJ206 AK206 AL206 U207 V207 W207 X207 Y207 Z207 AA207 AB207 AC207 AD207 AE207 AF207 AG207 AH207 AI207 AJ207 AK207 AL207 U208 V208 W208 X208 Y208 Z208 AA208 AB208 AC208 AD208 AE208 AF208 AG208 AH208 AI208 AJ208 AK208 AL208 V209 W209 X209 Y209 Z209 AA209 AB209 AC209 AD209 AE209 AF209 AG209 AH209 AI209 AJ209 AK209 AL209 W210 X210 Y210 AC210 W211 X211 Y211 W212 X212 Y212 W213 X213 Y213 W214 Y214 W215 Y215 W216 W217 W218 X218 Y218 W219 X219 Y219 W220 X220 Y220 W221 X221 Y221 W222 X222 Y222 AC222 W223 W224 W225 W226 W227 X227 Y227 W228 X228 Y228 W229 X229 Y229 S230:U230 W230 X230 Y230 W231 X231 Y231 W232 X232 Y232 W233 X233 Y233 S127:S128 S140:S141 S145:S146 S148:S149 S164:S175 S234:S236 T127:T128 T140:T141 T148:T149 T156:T157 T158:T159 T163:T164 T171:T174 T234:T236 U127:U128 U139:U140 U142:U144 U145:U147 U148:U156 U169:U176 U181:U194 U209:U212 U234:U236 V127:V128 V139:V147 V148:V156 V173:V176 V181:V184 V191:V193 V203:V205 V210:V212 V226:V230 V234:V236 W127:W128 W129:W130 W139:W141 W142:W145 W147:W150 W152:W153 W155:W156 W159:W160 W162:W163 W164:W165 W169:W170 W172:W173 W174:W175 W234:W236 X127:X128 X139:X156 X214:X217 X223:X226 X234:X236 Y127:Y128 Y139:Y140 Y141:Y145 Y172:Y175 Y216:Y217 Y223:Y226 Y234:Y236 Z127:Z128 Z140:Z145 Z146:Z147 Z148:Z157 Z210:Z219 Z220:Z230 Z231:Z236 AA127:AA156 AA210:AA211 AA217:AA219 AA220:AA230 AA231:AA236 AB127:AB156 AB210:AB211 AB217:AB219 AB220:AB230 AB231:AB236 AC127:AC156 AC179:AC181 AC182:AC185 AC211:AC213 AC214:AC215 AC216:AC221 AC223:AC230 AC231:AC236 AD127:AD156 AD210:AD219 AD220:AD230 AD231:AD236 AE127:AE156 AE210:AE219 AE220:AE230 AE231:AE236 AF127:AF156 AF210:AF219 AF220:AF230 AF231:AF236 AG127:AG156 AG210:AG219 AG220:AG230 AG231:AG236 AH127:AH156 AH210:AH219 AH220:AH230 AH231:AH236 AI127:AI156 AI210:AI219 AI220:AI230 AI231:AI236 AJ127:AJ156 AJ210:AJ219 AJ220:AJ230 AJ231:AJ236 AK127:AK156 AK210:AK219 AK220:AK230 AK231:AK236 AL127:AL156 AL210:AL219 AL220:AL230 AL231:AL236 Z111:AL112 S226:U229 S2:AL108 S131:Z133 S136:Z138 U158:V161 U162:V165 S179:T192 S193:T194 S195:T201 AA212:AB216 S202:T212 S231:V233 S213:V225 S114:AL124">
      <formula1>增益!$A:$A</formula1>
    </dataValidation>
    <dataValidation type="list" allowBlank="1" showInputMessage="1" showErrorMessage="1" sqref="D16:D18 D20:D22 F15:F17">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236"/>
  <sheetViews>
    <sheetView topLeftCell="A49" workbookViewId="0">
      <selection activeCell="G157" sqref="G157"/>
    </sheetView>
  </sheetViews>
  <sheetFormatPr defaultColWidth="9" defaultRowHeight="13.5"/>
  <cols>
    <col min="1" max="1" width="12.875" customWidth="1"/>
    <col min="12" max="16" width="12.625" style="34" customWidth="1"/>
    <col min="18" max="18" width="24.625" style="39" customWidth="1"/>
    <col min="19" max="38" width="9" style="39"/>
    <col min="40" max="40" width="9" style="33"/>
    <col min="41" max="41" width="9" style="34"/>
    <col min="42" max="42" width="9" style="33"/>
    <col min="43" max="43" width="9" style="34"/>
    <col min="44" max="45" width="9" style="33"/>
    <col min="48" max="50" width="9" style="40"/>
    <col min="53" max="54" width="9" style="40"/>
    <col min="67" max="71" width="9" style="33"/>
    <col min="72" max="73" width="9.00833333333333" style="33" customWidth="1"/>
    <col min="74" max="75" width="9" style="33"/>
  </cols>
  <sheetData>
    <row r="1" spans="1:76">
      <c r="A1" s="41"/>
      <c r="B1" s="42" t="s">
        <v>0</v>
      </c>
      <c r="C1" s="42" t="s">
        <v>1</v>
      </c>
      <c r="D1" s="42" t="s">
        <v>2</v>
      </c>
      <c r="E1" s="43" t="s">
        <v>3</v>
      </c>
      <c r="F1" s="44" t="s">
        <v>4</v>
      </c>
      <c r="G1" s="45" t="s">
        <v>5</v>
      </c>
      <c r="H1" s="44" t="s">
        <v>6</v>
      </c>
      <c r="I1" s="45"/>
      <c r="L1" s="46" t="s">
        <v>7</v>
      </c>
      <c r="M1" s="46" t="s">
        <v>8</v>
      </c>
      <c r="N1" s="46" t="s">
        <v>9</v>
      </c>
      <c r="O1" s="46" t="s">
        <v>10</v>
      </c>
      <c r="P1" s="46" t="s">
        <v>11</v>
      </c>
      <c r="Q1" s="47" t="s">
        <v>12</v>
      </c>
      <c r="R1" s="48" t="s">
        <v>13</v>
      </c>
      <c r="S1" s="48" t="s">
        <v>14</v>
      </c>
      <c r="T1" s="48" t="s">
        <v>15</v>
      </c>
      <c r="U1" s="48" t="s">
        <v>16</v>
      </c>
      <c r="V1" s="48" t="s">
        <v>17</v>
      </c>
      <c r="W1" s="48" t="s">
        <v>18</v>
      </c>
      <c r="X1" s="48" t="s">
        <v>19</v>
      </c>
      <c r="Y1" s="48" t="s">
        <v>20</v>
      </c>
      <c r="Z1" s="48" t="s">
        <v>21</v>
      </c>
      <c r="AA1" s="48" t="s">
        <v>22</v>
      </c>
      <c r="AB1" s="48" t="s">
        <v>23</v>
      </c>
      <c r="AC1" s="48" t="s">
        <v>24</v>
      </c>
      <c r="AD1" s="48" t="s">
        <v>25</v>
      </c>
      <c r="AE1" s="48" t="s">
        <v>26</v>
      </c>
      <c r="AF1" s="48" t="s">
        <v>27</v>
      </c>
      <c r="AG1" s="48" t="s">
        <v>28</v>
      </c>
      <c r="AH1" s="48" t="s">
        <v>29</v>
      </c>
      <c r="AI1" s="48" t="s">
        <v>30</v>
      </c>
      <c r="AJ1" s="48" t="s">
        <v>31</v>
      </c>
      <c r="AK1" s="48" t="s">
        <v>32</v>
      </c>
      <c r="AL1" s="48" t="s">
        <v>33</v>
      </c>
      <c r="AM1" t="s">
        <v>34</v>
      </c>
      <c r="AN1" s="33" t="s">
        <v>35</v>
      </c>
      <c r="AO1" s="34" t="s">
        <v>36</v>
      </c>
      <c r="AP1" s="33" t="s">
        <v>37</v>
      </c>
      <c r="AQ1" s="34" t="s">
        <v>38</v>
      </c>
      <c r="AR1" s="33" t="s">
        <v>39</v>
      </c>
      <c r="AS1" s="33" t="s">
        <v>40</v>
      </c>
      <c r="AT1" t="s">
        <v>41</v>
      </c>
      <c r="AU1" t="s">
        <v>42</v>
      </c>
      <c r="AV1" s="40" t="s">
        <v>43</v>
      </c>
      <c r="AW1" s="40" t="s">
        <v>44</v>
      </c>
      <c r="AX1" s="40" t="s">
        <v>45</v>
      </c>
      <c r="AY1" t="s">
        <v>46</v>
      </c>
      <c r="AZ1" t="s">
        <v>47</v>
      </c>
      <c r="BA1" s="40" t="s">
        <v>48</v>
      </c>
      <c r="BB1" s="40" t="s">
        <v>49</v>
      </c>
      <c r="BC1" t="s">
        <v>50</v>
      </c>
      <c r="BD1" t="s">
        <v>51</v>
      </c>
      <c r="BE1" s="40" t="s">
        <v>52</v>
      </c>
      <c r="BF1" s="40" t="s">
        <v>53</v>
      </c>
      <c r="BG1" t="s">
        <v>54</v>
      </c>
      <c r="BH1" t="s">
        <v>55</v>
      </c>
      <c r="BI1" s="40" t="s">
        <v>56</v>
      </c>
      <c r="BJ1" s="40" t="s">
        <v>57</v>
      </c>
      <c r="BK1" t="s">
        <v>58</v>
      </c>
      <c r="BL1" t="s">
        <v>59</v>
      </c>
      <c r="BM1" s="40" t="s">
        <v>60</v>
      </c>
      <c r="BN1" s="40" t="s">
        <v>61</v>
      </c>
      <c r="BO1" s="33" t="s">
        <v>62</v>
      </c>
      <c r="BP1" s="33" t="s">
        <v>63</v>
      </c>
      <c r="BQ1" s="33" t="s">
        <v>64</v>
      </c>
      <c r="BR1" s="33" t="s">
        <v>65</v>
      </c>
      <c r="BS1" s="33" t="s">
        <v>66</v>
      </c>
      <c r="BT1" s="33" t="s">
        <v>67</v>
      </c>
      <c r="BU1" s="33" t="s">
        <v>68</v>
      </c>
      <c r="BV1" s="33" t="s">
        <v>69</v>
      </c>
      <c r="BW1" s="33" t="s">
        <v>70</v>
      </c>
      <c r="BX1" s="33" t="s">
        <v>71</v>
      </c>
    </row>
    <row r="2" spans="1:76">
      <c r="A2" s="49" t="s">
        <v>72</v>
      </c>
      <c r="B2" s="39"/>
      <c r="C2" s="39"/>
      <c r="D2" s="39"/>
      <c r="E2" s="50"/>
      <c r="F2" s="51" t="s">
        <v>73</v>
      </c>
      <c r="G2" s="52" t="s">
        <v>74</v>
      </c>
      <c r="H2" s="53" t="s">
        <v>75</v>
      </c>
      <c r="I2" s="11">
        <f>687*(1-IF(F17="√",0.06,0)-IF(D20="√",0.04,0))</f>
        <v>687</v>
      </c>
      <c r="L2" s="46">
        <f t="shared" ref="L2:L65" si="0">($M2*$BT2+$N2*$BR2+$O2*$BU2+$P2*$BV2)</f>
        <v>30515.6767145002</v>
      </c>
      <c r="M2" s="46">
        <f>((($AT2+$AU2)/2*$AN2+$AO2)*(1+$AV2)*(1+$AW2)+(($AY2+$AZ2)/2*IF($G$1="鸣金",$AP2,$AN2)+IF($G$1="鸣金",$AQ2*1.5,0))*(1+$BA2)*(1+$BB2)+(($BC2+$BD2)/2*IF($G$1="裂石",$AP2,$AN2)+IF($G$1="裂石",$AQ2*1.5,0))*(1+$BE2)*(1+$BF2)+(($BG2+$BH2)/2*IF($G$1="牵丝",$AP2,$AN2)+IF($G$1="牵丝",$AQ2*1.5,0))*(1+$BI2)*(1+$BJ2)+(($BK2+$BL2)/2*IF($G$1="破竹",$AP2,$AN2)+IF($G$1="破竹",$AQ2*1.5,0))*(1+$BM2)*(1+$BN2))*(1+$AR2)*$BQ2*$Q2*(1+IF(VLOOKUP($R2,武学奇术!$A:$ZZ,30,FALSE)="蓄力技",$B$21,0))*(1+IF(VLOOKUP($R2,武学奇术!$A:$ZZ,30,FALSE)="派生技",$B$20,0))*(1+$BW2)*(1+$BX2)</f>
        <v>31516.3754620678</v>
      </c>
      <c r="N2" s="46">
        <f>(($AU2*$AN2+$AO2)*(1+$AV2)*(1+$AW2)+($AZ2*IF($G$1="鸣金",$AP2,$AN2)+IF($G$1="鸣金",$AQ2*1.5,0))*(1+$BA2)*(1+$BB2)+($BD2*IF($G$1="裂石",$AP2,$AN2)+IF($G$1="裂石",$AQ2*1.5,0))*(1+$BE2)*(1+$BF2)+($BH2*IF($G$1="牵丝",$AP2,$AN2)+IF($G$1="牵丝",$AQ2*1.5,0))*(1+$BI2)*(1+$BJ2)+($BL2*IF($G$1="破竹",$AP2,$AN2)+IF($G$1="破竹",$AQ2*1.5,0))*(1+$BM2)*(1+$BN2))*(1+$AR2)*$BS2*$Q2*(1+IF(VLOOKUP($R2,武学奇术!$A:$ZZ,30,FALSE)="蓄力技",$B$21,0))*(1+IF(VLOOKUP($R2,武学奇术!$A:$ZZ,30,FALSE)="派生技",$B$20,0))*(1+$BW2)*(1+$BX2)</f>
        <v>27512.9705339175</v>
      </c>
      <c r="O2" s="46">
        <f>((($AT2+$AU2)/2*$AN2+$AO2)*(1+$AV2)*(1+$AW2)+(($AY2+$AZ2)/2*IF($G$1="鸣金",$AP2,$AN2)+IF($G$1="鸣金",$AQ2*1.5,0))*(1+$BA2)*(1+$BB2)+(($BC2+$BD2)/2*IF($G$1="裂石",$AP2,$AN2)+IF($G$1="裂石",$AQ2*1.5,0))*(1+$BE2)*(1+$BF2)+(($BG2+$BH2)/2*IF($G$1="牵丝",$AP2,$AN2)+IF($G$1="牵丝",$AQ2*1.5,0))*(1+$BI2)*(1+$BJ2)+(($BK2+$BL2)/2*IF($G$1="破竹",$AP2,$AN2)+IF($G$1="破竹",$AQ2*1.5,0))*(1+$BM2)*(1+$BN2))*(1+$AR2)*$Q2*(1+IF(VLOOKUP($R2,武学奇术!$A:$ZZ,30,FALSE)="蓄力技",$B$21,0))*(1+IF(VLOOKUP($R2,武学奇术!$A:$ZZ,30,FALSE)="派生技",$B$20,0))*(1+$BW2)*(1+$BX2)</f>
        <v>17907.0315125385</v>
      </c>
      <c r="P2" s="46">
        <f>((($AT2*$AN2+$AO2)*(1+$AV2)*(1+$AW2)+($AY2*IF($G$1="鸣金",$AP2,$AN2)+IF($G$1="鸣金",$AQ2*1.5,0))*(1+$BA2)*(1+$BB2)+($BC2*IF($G$1="裂石",$AP2,$AN2)+IF($G$1="裂石",$AQ2*1.5,0))*(1+$BE2)*(1+$BF2)+($BG2*IF($G$1="牵丝",$AP2,$AN2)+IF($G$1="牵丝",$AQ2*1.5,0))*(1+$BI2)*(1+$BJ2)+($BK2*IF($G$1="破竹",$AP2,$AN2)+IF($G$1="破竹",$AQ2*1.5,0))*(1+$BM2)*(1+$BN2))*(1+$AR2))*$Q2*(1+IF(VLOOKUP($R2,武学奇术!$A:$ZZ,30,FALSE)="蓄力技",$B$21,0))*(1+IF(VLOOKUP($R2,武学奇术!$A:$ZZ,30,FALSE)="派生技",$B$20,0))*(1+$BW2)*(1+$BX2)</f>
        <v>15434.0848518049</v>
      </c>
      <c r="Q2" s="47">
        <f t="shared" ref="Q2:Q13" si="1">IF($E$24="陌刀",1,0)</f>
        <v>1</v>
      </c>
      <c r="R2" s="48" t="s">
        <v>76</v>
      </c>
      <c r="S2" s="48" t="s">
        <v>77</v>
      </c>
      <c r="T2" s="48" t="s">
        <v>78</v>
      </c>
      <c r="U2" s="48" t="s">
        <v>79</v>
      </c>
      <c r="V2" s="48" t="s">
        <v>80</v>
      </c>
      <c r="W2" s="48" t="s">
        <v>80</v>
      </c>
      <c r="X2" s="48" t="s">
        <v>80</v>
      </c>
      <c r="Y2" s="48" t="s">
        <v>80</v>
      </c>
      <c r="Z2" s="48" t="s">
        <v>81</v>
      </c>
      <c r="AA2" s="48" t="s">
        <v>80</v>
      </c>
      <c r="AB2" s="48" t="s">
        <v>80</v>
      </c>
      <c r="AC2" s="48" t="s">
        <v>80</v>
      </c>
      <c r="AD2" s="48" t="s">
        <v>80</v>
      </c>
      <c r="AE2" s="48" t="s">
        <v>80</v>
      </c>
      <c r="AF2" s="48" t="s">
        <v>83</v>
      </c>
      <c r="AG2" s="48" t="s">
        <v>84</v>
      </c>
      <c r="AH2" s="48" t="s">
        <v>80</v>
      </c>
      <c r="AI2" s="48" t="s">
        <v>80</v>
      </c>
      <c r="AJ2" s="48" t="s">
        <v>80</v>
      </c>
      <c r="AK2" s="48" t="s">
        <v>80</v>
      </c>
      <c r="AL2" s="48" t="s">
        <v>80</v>
      </c>
      <c r="AM2" t="str">
        <f>VLOOKUP($R2,武学奇术!$A:$ZZ,25,FALSE)</f>
        <v>群体奇术</v>
      </c>
      <c r="AN2" s="33">
        <f>VLOOKUP($R2,武学奇术!$A:$ZZ,26,FALSE)</f>
        <v>1.4906</v>
      </c>
      <c r="AO2" s="34">
        <f>VLOOKUP($R2,武学奇术!$A:$ZZ,27,FALSE)*(1+IF(OR($AM2=$F$4,$AM2=$F$5),$B$22,0))</f>
        <v>386</v>
      </c>
      <c r="AP2" s="33">
        <f>VLOOKUP($R2,武学奇术!$A:$ZZ,28,FALSE)</f>
        <v>2.2359</v>
      </c>
      <c r="AQ2" s="34">
        <f>VLOOKUP($R2,武学奇术!$A:$ZZ,29,FALSE)*(1+IF(OR($AM2=$F$4,$AM2=$F$5),$B$22,0))</f>
        <v>0</v>
      </c>
      <c r="AR2" s="33" cm="1">
        <f t="array" ref="AR2">$G$3+IFERROR(VLOOKUP($AM2,$F$4:$G$7,2,FALSE),0)+VLOOKUP($R2,武学奇术!$A:$ZZ,2,FALSE)+SUM(_xlfn.XLOOKUP($S2:$AL2,增益!$A:$A,增益!$B:$B,0))</f>
        <v>0.2742</v>
      </c>
      <c r="AS2" s="33" cm="1">
        <f t="array" ref="AS2">VLOOKUP($R2,武学奇术!$A:$ZZ,5,FALSE)+SUM(_xlfn.XLOOKUP($S2:$AL2,增益!$A:$A,增益!$E:$E,0))</f>
        <v>0</v>
      </c>
      <c r="AT2" cm="1">
        <f t="array" ref="AT2">$D$10*(1+$AS2)+VLOOKUP($R2,武学奇术!$A:$ZZ,3,FALSE)+SUM(_xlfn.XLOOKUP($S2:$AL2,增益!$A:$A,增益!$C:$C,0))-$I$2</f>
        <v>4026</v>
      </c>
      <c r="AU2" cm="1">
        <f t="array" ref="AU2">$E$10*(1+$AS2)+VLOOKUP($R2,武学奇术!$A:$ZZ,4,FALSE)+SUM(_xlfn.XLOOKUP($S2:$AL2,增益!$A:$A,增益!$D:$D,0))-$I$2</f>
        <v>4026</v>
      </c>
      <c r="AV2" s="40" cm="1">
        <f t="array" ref="AV2">IF($F$10-$I$3+VLOOKUP($R2,武学奇术!$A:$ZZ,6,FALSE)+SUM(_xlfn.XLOOKUP($S2:$AL2,增益!$A:$A,增益!$F:$F,0))&gt;0,($F$10-$I$3+VLOOKUP($R2,武学奇术!$A:$ZZ,6,FALSE)+SUM(_xlfn.XLOOKUP($S2:$AL2,增益!$A:$A,增益!$F:$F,0)))/200,($F$10-$I$3+VLOOKUP($R2,武学奇术!$A:$ZZ,6,FALSE)+SUM(_xlfn.XLOOKUP($S2:$AL2,增益!$A:$A,增益!$F:$F,0)))/100)</f>
        <v>0.2484</v>
      </c>
      <c r="AW2" s="40" cm="1">
        <f t="array" ref="AW2">$G$10+VLOOKUP($R2,武学奇术!$A:$ZZ,7,FALSE)+SUM(_xlfn.XLOOKUP($S2:$AL2,增益!$A:$A,增益!$G:$G,0))</f>
        <v>0.12</v>
      </c>
      <c r="AX2" s="33" cm="1">
        <f t="array" ref="AX2">VLOOKUP($R2,武学奇术!$A:$ZZ,8,FALSE)+SUM(_xlfn.XLOOKUP($S2:$AL2,增益!$A:$A,增益!$H:$H,0))</f>
        <v>0</v>
      </c>
      <c r="AY2">
        <f t="shared" ref="AY2:AY65" si="2">$D$11*(1+$AX2)</f>
        <v>0</v>
      </c>
      <c r="AZ2">
        <f t="shared" ref="AZ2:AZ65" si="3">$E$11*(1+$AX2)</f>
        <v>0</v>
      </c>
      <c r="BA2" s="40" cm="1">
        <f t="array" ref="BA2">IF($F$11-$I$4+VLOOKUP($R2,武学奇术!$A:$ZZ,9,FALSE)+SUM(_xlfn.XLOOKUP($S2:$AL2,增益!$A:$A,增益!$I:$I,0))&gt;0,($F$11-$I$4+VLOOKUP($R2,武学奇术!$A:$ZZ,9,FALSE)+SUM(_xlfn.XLOOKUP($S2:$AL2,增益!$A:$A,增益!$I:$I,0)))/200,($F$11-$I$4+VLOOKUP($R2,武学奇术!$A:$ZZ,9,FALSE)+SUM(_xlfn.XLOOKUP($S2:$AL2,增益!$A:$A,增益!$I:$I,0)))/100)</f>
        <v>-0.3</v>
      </c>
      <c r="BB2" s="40" cm="1">
        <f t="array" ref="BB2">$G$11+VLOOKUP($R2,武学奇术!$A:$ZZ,10,FALSE)+SUM(_xlfn.XLOOKUP($S2:$AL2,增益!$A:$A,增益!$J:$J,0))</f>
        <v>0</v>
      </c>
      <c r="BC2">
        <f t="shared" ref="BC2:BC65" si="4">$D$12*(1+$AX2)</f>
        <v>640.3</v>
      </c>
      <c r="BD2">
        <f t="shared" ref="BD2:BD65" si="5">$E$12*(1+$AX2)</f>
        <v>1770.1</v>
      </c>
      <c r="BE2" s="40" cm="1">
        <f t="array" ref="BE2">IF($F$12-$I$4+VLOOKUP($R2,武学奇术!$A:$ZZ,11,FALSE)+SUM(_xlfn.XLOOKUP($S2:$AL2,增益!$A:$A,增益!$K:$K,0))&gt;0,($F$12-$I$4+VLOOKUP($R2,武学奇术!$A:$ZZ,11,FALSE)+SUM(_xlfn.XLOOKUP($S2:$AL2,增益!$A:$A,增益!$K:$K,0)))/200,($F$12-$I$4+VLOOKUP($R2,武学奇术!$A:$ZZ,11,FALSE)+SUM(_xlfn.XLOOKUP($S2:$AL2,增益!$A:$A,增益!$K:$K,0)))/100)</f>
        <v>0.09</v>
      </c>
      <c r="BF2" s="40" cm="1">
        <f t="array" ref="BF2">$G$12+VLOOKUP($R2,武学奇术!$A:$ZZ,12,FALSE)+SUM(_xlfn.XLOOKUP($S2:$AL2,增益!$A:$A,增益!$L:$L,0))</f>
        <v>0.27</v>
      </c>
      <c r="BG2">
        <f t="shared" ref="BG2:BG65" si="6">$D$13*(1+$AX2)</f>
        <v>0</v>
      </c>
      <c r="BH2">
        <f t="shared" ref="BH2:BH65" si="7">$E$13*(1+$AX2)</f>
        <v>0</v>
      </c>
      <c r="BI2" s="40" cm="1">
        <f t="array" ref="BI2">IF($F$13-$I$4+VLOOKUP($R2,武学奇术!$A:$ZZ,13,FALSE)+SUM(_xlfn.XLOOKUP($S2:$AL2,增益!$A:$A,增益!$M:$M,0))&gt;0,($F$13-$I$4+VLOOKUP($R2,武学奇术!$A:$ZZ,13,FALSE)+SUM(_xlfn.XLOOKUP($S2:$AL2,增益!$A:$A,增益!$K:$K,0)))/200,($F$13-$I$4+VLOOKUP($R2,武学奇术!$A:$ZZ,13,FALSE)+SUM(_xlfn.XLOOKUP($S2:$AL2,增益!$A:$A,增益!$M:$M,0)))/100)</f>
        <v>-0.3</v>
      </c>
      <c r="BJ2" s="40" cm="1">
        <f t="array" ref="BJ2">$G$13+VLOOKUP($R2,武学奇术!$A:$ZZ,14,FALSE)+SUM(_xlfn.XLOOKUP($S2:$AL2,增益!$A:$A,增益!$N:$N,0))</f>
        <v>0</v>
      </c>
      <c r="BK2">
        <f t="shared" ref="BK2:BK65" si="8">$D$14*(1+$AX2)</f>
        <v>0</v>
      </c>
      <c r="BL2">
        <f t="shared" ref="BL2:BL65" si="9">$E$14*(1+$AX2)</f>
        <v>0</v>
      </c>
      <c r="BM2" s="40" cm="1">
        <f t="array" ref="BM2">IF($F$14-$I$4+VLOOKUP($R2,武学奇术!$A:$ZZ,15,FALSE)+SUM(_xlfn.XLOOKUP($S2:$AL2,增益!$A:$A,增益!$O:$O,0))&gt;0,($F$14-$I$4+VLOOKUP($R2,武学奇术!$A:$ZZ,15,FALSE)+SUM(_xlfn.XLOOKUP($S2:$AL2,增益!$A:$A,增益!$O:$O,0)))/200,($F$14-$I$4+VLOOKUP($R2,武学奇术!$A:$ZZ,15,FALSE)+SUM(_xlfn.XLOOKUP($S2:$AL2,增益!$A:$A,增益!$O:$O,0)))/100)</f>
        <v>-0.3</v>
      </c>
      <c r="BN2" s="40" cm="1">
        <f t="array" ref="BN2">$G$14+VLOOKUP($R2,武学奇术!$A:$ZZ,16,FALSE)+SUM(_xlfn.XLOOKUP($S2:$AL2,增益!$A:$A,增益!$P:$P,0))</f>
        <v>0</v>
      </c>
      <c r="BO2" s="33">
        <f>MIN(IF(VLOOKUP($R2,武学奇术!$A:$ZZ,23,FALSE)=1,100%,$B$8),100%)</f>
        <v>0.9771</v>
      </c>
      <c r="BP2" s="33" cm="1">
        <f t="array" ref="BP2">IF(VLOOKUP($R2,武学奇术!$A:$ZZ,23,FALSE)=1,100%,MIN(80%,$B$9+VLOOKUP($R2,武学奇术!$A:$ZZ,17,FALSE)+SUM(_xlfn.XLOOKUP($S2:$AL2,增益!$A:$A,增益!$Q:$Q,0)))+$B$11+SUM(_xlfn.XLOOKUP($S2:$AL2,增益!$A:$A,增益!$U:$U,0)))*IF(VLOOKUP($R2,武学奇术!$A:$ZZ,24,FALSE)=1,0,1)</f>
        <v>0.8861</v>
      </c>
      <c r="BQ2" s="33" cm="1">
        <f t="array" ref="BQ2">1+$B$13+VLOOKUP($R2,武学奇术!$A:$ZZ,18,FALSE)+SUM(_xlfn.XLOOKUP($S2:$AL2,增益!$A:$A,增益!$R:$R,0))</f>
        <v>1.76</v>
      </c>
      <c r="BR2" s="33" cm="1">
        <f t="array" ref="BR2">IF(VLOOKUP($R2,武学奇术!$A:$ZZ,24,FALSE)=1,100%,MIN(40%,$B$10+VLOOKUP($R2,武学奇术!$A:$ZZ,19,FALSE)+SUM(_xlfn.XLOOKUP($S2:$AL2,增益!$A:$A,增益!$S:$S,0)))+$B$12+SUM(_xlfn.XLOOKUP($S2:$AL2,增益!$A:$A,增益!$V:$V,0)))*IF(VLOOKUP($R2,武学奇术!$A:$ZZ,23,FALSE)=1,0,1)</f>
        <v>0.0913</v>
      </c>
      <c r="BS2" s="33" cm="1">
        <f t="array" ref="BS2">1+$B$14+VLOOKUP($R2,武学奇术!$A:$ZZ,20,FALSE)+SUM(_xlfn.XLOOKUP($S2:$AL2,增益!$A:$A,增益!$T:$T,0))</f>
        <v>1.35</v>
      </c>
      <c r="BT2" s="33">
        <f t="shared" ref="BT2:BT65" si="10">MIN((1-BR2)*BO2,BO2*BP2)</f>
        <v>0.86580831</v>
      </c>
      <c r="BU2" s="33">
        <f t="shared" ref="BU2:BU65" si="11">1-BR2-BT2-BV2</f>
        <v>0.02208246</v>
      </c>
      <c r="BV2" s="33">
        <f>IF(VLOOKUP($R2,武学奇术!$A:$ZZ,22,FALSE)=1,0,(1-$BO2))*(1-$BR2)</f>
        <v>0.02080923</v>
      </c>
      <c r="BW2" s="33" cm="1">
        <f t="array" ref="BW2">SUM(_xlfn.XLOOKUP($S2:$AL2,增益!$A:$A,增益!$W:$W,0))+$I$5</f>
        <v>0.11</v>
      </c>
      <c r="BX2" s="33" cm="1">
        <f t="array" ref="BX2">VLOOKUP($R2,武学奇术!$A:$ZZ,32,FALSE)+SUM(_xlfn.XLOOKUP($S2:$AL2,增益!$A:$A,增益!$X:$X,0))</f>
        <v>0</v>
      </c>
    </row>
    <row r="3" spans="1:76">
      <c r="A3" s="54" t="s">
        <v>86</v>
      </c>
      <c r="B3" s="55"/>
      <c r="C3" s="55"/>
      <c r="D3" s="55"/>
      <c r="E3" s="56"/>
      <c r="F3" s="53" t="s">
        <v>39</v>
      </c>
      <c r="G3" s="57">
        <f>B16+1.5%+IF(G2="断岳",5%,0)+IF($D$16="√",8%,0)+IF($E$22="征人归",8%,0)</f>
        <v>0.1542</v>
      </c>
      <c r="H3" s="53" t="s">
        <v>87</v>
      </c>
      <c r="I3" s="11">
        <f>25-IF(D17="√",8,0)-IF(F17="√",10,0)</f>
        <v>25</v>
      </c>
      <c r="L3" s="46">
        <f t="shared" si="0"/>
        <v>36417.2888190532</v>
      </c>
      <c r="M3" s="46">
        <f>((($AT3+$AU3)/2*$AN3+$AO3)*(1+$AV3)*(1+$AW3)+(($AY3+$AZ3)/2*IF($G$1="鸣金",$AP3,$AN3)+IF($G$1="鸣金",$AQ3*1.5,0))*(1+$BA3)*(1+$BB3)+(($BC3+$BD3)/2*IF($G$1="裂石",$AP3,$AN3)+IF($G$1="裂石",$AQ3*1.5,0))*(1+$BE3)*(1+$BF3)+(($BG3+$BH3)/2*IF($G$1="牵丝",$AP3,$AN3)+IF($G$1="牵丝",$AQ3*1.5,0))*(1+$BI3)*(1+$BJ3)+(($BK3+$BL3)/2*IF($G$1="破竹",$AP3,$AN3)+IF($G$1="破竹",$AQ3*1.5,0))*(1+$BM3)*(1+$BN3))*(1+$AR3)*$BQ3*$Q3*(1+IF(VLOOKUP($R3,武学奇术!$A:$ZZ,30,FALSE)="蓄力技",$B$21,0))*(1+IF(VLOOKUP($R3,武学奇术!$A:$ZZ,30,FALSE)="派生技",$B$20,0))*(1+$BW3)*(1+$BX3)</f>
        <v>37842.0224347395</v>
      </c>
      <c r="N3" s="46">
        <f>(($AU3*$AN3+$AO3)*(1+$AV3)*(1+$AW3)+($AZ3*IF($G$1="鸣金",$AP3,$AN3)+IF($G$1="鸣金",$AQ3*1.5,0))*(1+$BA3)*(1+$BB3)+($BD3*IF($G$1="裂石",$AP3,$AN3)+IF($G$1="裂石",$AQ3*1.5,0))*(1+$BE3)*(1+$BF3)+($BH3*IF($G$1="牵丝",$AP3,$AN3)+IF($G$1="牵丝",$AQ3*1.5,0))*(1+$BI3)*(1+$BJ3)+($BL3*IF($G$1="破竹",$AP3,$AN3)+IF($G$1="破竹",$AQ3*1.5,0))*(1+$BM3)*(1+$BN3))*(1+$AR3)*$BS3*$Q3*(1+IF(VLOOKUP($R3,武学奇术!$A:$ZZ,30,FALSE)="蓄力技",$B$21,0))*(1+IF(VLOOKUP($R3,武学奇术!$A:$ZZ,30,FALSE)="派生技",$B$20,0))*(1+$BW3)*(1+$BX3)</f>
        <v>31155.7230367918</v>
      </c>
      <c r="O3" s="46">
        <f>((($AT3+$AU3)/2*$AN3+$AO3)*(1+$AV3)*(1+$AW3)+(($AY3+$AZ3)/2*IF($G$1="鸣金",$AP3,$AN3)+IF($G$1="鸣金",$AQ3*1.5,0))*(1+$BA3)*(1+$BB3)+(($BC3+$BD3)/2*IF($G$1="裂石",$AP3,$AN3)+IF($G$1="裂石",$AQ3*1.5,0))*(1+$BE3)*(1+$BF3)+(($BG3+$BH3)/2*IF($G$1="牵丝",$AP3,$AN3)+IF($G$1="牵丝",$AQ3*1.5,0))*(1+$BI3)*(1+$BJ3)+(($BK3+$BL3)/2*IF($G$1="破竹",$AP3,$AN3)+IF($G$1="破竹",$AQ3*1.5,0))*(1+$BM3)*(1+$BN3))*(1+$AR3)*$Q3*(1+IF(VLOOKUP($R3,武学奇术!$A:$ZZ,30,FALSE)="蓄力技",$B$21,0))*(1+IF(VLOOKUP($R3,武学奇术!$A:$ZZ,30,FALSE)="派生技",$B$20,0))*(1+$BW3)*(1+$BX3)</f>
        <v>20236.3756335505</v>
      </c>
      <c r="P3" s="46">
        <f>((($AT3*$AN3+$AO3)*(1+$AV3)*(1+$AW3)+($AY3*IF($G$1="鸣金",$AP3,$AN3)+IF($G$1="鸣金",$AQ3*1.5,0))*(1+$BA3)*(1+$BB3)+($BC3*IF($G$1="裂石",$AP3,$AN3)+IF($G$1="裂石",$AQ3*1.5,0))*(1+$BE3)*(1+$BF3)+($BG3*IF($G$1="牵丝",$AP3,$AN3)+IF($G$1="牵丝",$AQ3*1.5,0))*(1+$BI3)*(1+$BJ3)+($BK3*IF($G$1="破竹",$AP3,$AN3)+IF($G$1="破竹",$AQ3*1.5,0))*(1+$BM3)*(1+$BN3))*(1+$AR3))*$Q3*(1+IF(VLOOKUP($R3,武学奇术!$A:$ZZ,30,FALSE)="蓄力技",$B$21,0))*(1+IF(VLOOKUP($R3,武学奇术!$A:$ZZ,30,FALSE)="派生技",$B$20,0))*(1+$BW3)*(1+$BX3)</f>
        <v>17394.4379065145</v>
      </c>
      <c r="Q3" s="47">
        <f t="shared" si="1"/>
        <v>1</v>
      </c>
      <c r="R3" s="48" t="s">
        <v>76</v>
      </c>
      <c r="S3" s="48" t="s">
        <v>88</v>
      </c>
      <c r="T3" s="48" t="s">
        <v>89</v>
      </c>
      <c r="U3" s="48" t="s">
        <v>79</v>
      </c>
      <c r="V3" s="48" t="s">
        <v>90</v>
      </c>
      <c r="W3" s="48" t="s">
        <v>91</v>
      </c>
      <c r="X3" s="48" t="s">
        <v>80</v>
      </c>
      <c r="Y3" s="48" t="s">
        <v>80</v>
      </c>
      <c r="Z3" s="48" t="s">
        <v>81</v>
      </c>
      <c r="AA3" s="48" t="s">
        <v>80</v>
      </c>
      <c r="AB3" s="48" t="s">
        <v>80</v>
      </c>
      <c r="AC3" s="48" t="s">
        <v>80</v>
      </c>
      <c r="AD3" s="48" t="s">
        <v>80</v>
      </c>
      <c r="AE3" s="48" t="s">
        <v>80</v>
      </c>
      <c r="AF3" s="48" t="s">
        <v>83</v>
      </c>
      <c r="AG3" s="48" t="s">
        <v>84</v>
      </c>
      <c r="AH3" s="48" t="s">
        <v>80</v>
      </c>
      <c r="AI3" s="48" t="s">
        <v>80</v>
      </c>
      <c r="AJ3" s="48" t="s">
        <v>80</v>
      </c>
      <c r="AK3" s="48" t="s">
        <v>80</v>
      </c>
      <c r="AL3" s="48" t="s">
        <v>80</v>
      </c>
      <c r="AM3" t="str">
        <f>VLOOKUP($R3,武学奇术!$A:$ZZ,25,FALSE)</f>
        <v>群体奇术</v>
      </c>
      <c r="AN3" s="33">
        <f>VLOOKUP($R3,武学奇术!$A:$ZZ,26,FALSE)</f>
        <v>1.4906</v>
      </c>
      <c r="AO3" s="34">
        <f>VLOOKUP($R3,武学奇术!$A:$ZZ,27,FALSE)*(1+IF(OR($AM3=$F$4,$AM3=$F$5),$B$22,0))</f>
        <v>386</v>
      </c>
      <c r="AP3" s="33">
        <f>VLOOKUP($R3,武学奇术!$A:$ZZ,28,FALSE)</f>
        <v>2.2359</v>
      </c>
      <c r="AQ3" s="34">
        <f>VLOOKUP($R3,武学奇术!$A:$ZZ,29,FALSE)*(1+IF(OR($AM3=$F$4,$AM3=$F$5),$B$22,0))</f>
        <v>0</v>
      </c>
      <c r="AR3" s="33" cm="1">
        <f t="array" ref="AR3">$G$3+IFERROR(VLOOKUP($AM3,$F$4:$G$7,2,FALSE),0)+VLOOKUP($R3,武学奇术!$A:$ZZ,2,FALSE)+SUM(_xlfn.XLOOKUP($S3:$AL3,增益!$A:$A,增益!$B:$B,0))</f>
        <v>0.3642</v>
      </c>
      <c r="AS3" s="33" cm="1">
        <f t="array" ref="AS3">VLOOKUP($R3,武学奇术!$A:$ZZ,5,FALSE)+SUM(_xlfn.XLOOKUP($S3:$AL3,增益!$A:$A,增益!$E:$E,0))</f>
        <v>0</v>
      </c>
      <c r="AT3" cm="1">
        <f t="array" ref="AT3">$D$10*(1+$AS3)+VLOOKUP($R3,武学奇术!$A:$ZZ,3,FALSE)+SUM(_xlfn.XLOOKUP($S3:$AL3,增益!$A:$A,增益!$C:$C,0))-$I$2</f>
        <v>4026</v>
      </c>
      <c r="AU3" cm="1">
        <f t="array" ref="AU3">$E$10*(1+$AS3)+VLOOKUP($R3,武学奇术!$A:$ZZ,4,FALSE)+SUM(_xlfn.XLOOKUP($S3:$AL3,增益!$A:$A,增益!$D:$D,0))-$I$2</f>
        <v>4026</v>
      </c>
      <c r="AV3" s="40" cm="1">
        <f t="array" ref="AV3">IF($F$10-$I$3+VLOOKUP($R3,武学奇术!$A:$ZZ,6,FALSE)+SUM(_xlfn.XLOOKUP($S3:$AL3,增益!$A:$A,增益!$F:$F,0))&gt;0,($F$10-$I$3+VLOOKUP($R3,武学奇术!$A:$ZZ,6,FALSE)+SUM(_xlfn.XLOOKUP($S3:$AL3,增益!$A:$A,增益!$F:$F,0)))/200,($F$10-$I$3+VLOOKUP($R3,武学奇术!$A:$ZZ,6,FALSE)+SUM(_xlfn.XLOOKUP($S3:$AL3,增益!$A:$A,增益!$F:$F,0)))/100)</f>
        <v>0.3084</v>
      </c>
      <c r="AW3" s="40" cm="1">
        <f t="array" ref="AW3">$G$10+VLOOKUP($R3,武学奇术!$A:$ZZ,7,FALSE)+SUM(_xlfn.XLOOKUP($S3:$AL3,增益!$A:$A,增益!$G:$G,0))</f>
        <v>0.12</v>
      </c>
      <c r="AX3" s="33" cm="1">
        <f t="array" ref="AX3">VLOOKUP($R3,武学奇术!$A:$ZZ,8,FALSE)+SUM(_xlfn.XLOOKUP($S3:$AL3,增益!$A:$A,增益!$H:$H,0))</f>
        <v>0</v>
      </c>
      <c r="AY3">
        <f t="shared" si="2"/>
        <v>0</v>
      </c>
      <c r="AZ3">
        <f t="shared" si="3"/>
        <v>0</v>
      </c>
      <c r="BA3" s="40" cm="1">
        <f t="array" ref="BA3">IF($F$11-$I$4+VLOOKUP($R3,武学奇术!$A:$ZZ,9,FALSE)+SUM(_xlfn.XLOOKUP($S3:$AL3,增益!$A:$A,增益!$I:$I,0))&gt;0,($F$11-$I$4+VLOOKUP($R3,武学奇术!$A:$ZZ,9,FALSE)+SUM(_xlfn.XLOOKUP($S3:$AL3,增益!$A:$A,增益!$I:$I,0)))/200,($F$11-$I$4+VLOOKUP($R3,武学奇术!$A:$ZZ,9,FALSE)+SUM(_xlfn.XLOOKUP($S3:$AL3,增益!$A:$A,增益!$I:$I,0)))/100)</f>
        <v>-0.14</v>
      </c>
      <c r="BB3" s="40" cm="1">
        <f t="array" ref="BB3">$G$11+VLOOKUP($R3,武学奇术!$A:$ZZ,10,FALSE)+SUM(_xlfn.XLOOKUP($S3:$AL3,增益!$A:$A,增益!$J:$J,0))</f>
        <v>0</v>
      </c>
      <c r="BC3">
        <f t="shared" si="4"/>
        <v>640.3</v>
      </c>
      <c r="BD3">
        <f t="shared" si="5"/>
        <v>1770.1</v>
      </c>
      <c r="BE3" s="40" cm="1">
        <f t="array" ref="BE3">IF($F$12-$I$4+VLOOKUP($R3,武学奇术!$A:$ZZ,11,FALSE)+SUM(_xlfn.XLOOKUP($S3:$AL3,增益!$A:$A,增益!$K:$K,0))&gt;0,($F$12-$I$4+VLOOKUP($R3,武学奇术!$A:$ZZ,11,FALSE)+SUM(_xlfn.XLOOKUP($S3:$AL3,增益!$A:$A,增益!$K:$K,0)))/200,($F$12-$I$4+VLOOKUP($R3,武学奇术!$A:$ZZ,11,FALSE)+SUM(_xlfn.XLOOKUP($S3:$AL3,增益!$A:$A,增益!$K:$K,0)))/100)</f>
        <v>0.17</v>
      </c>
      <c r="BF3" s="40" cm="1">
        <f t="array" ref="BF3">$G$12+VLOOKUP($R3,武学奇术!$A:$ZZ,12,FALSE)+SUM(_xlfn.XLOOKUP($S3:$AL3,增益!$A:$A,增益!$L:$L,0))</f>
        <v>0.27</v>
      </c>
      <c r="BG3">
        <f t="shared" si="6"/>
        <v>0</v>
      </c>
      <c r="BH3">
        <f t="shared" si="7"/>
        <v>0</v>
      </c>
      <c r="BI3" s="40" cm="1">
        <f t="array" ref="BI3">IF($F$13-$I$4+VLOOKUP($R3,武学奇术!$A:$ZZ,13,FALSE)+SUM(_xlfn.XLOOKUP($S3:$AL3,增益!$A:$A,增益!$M:$M,0))&gt;0,($F$13-$I$4+VLOOKUP($R3,武学奇术!$A:$ZZ,13,FALSE)+SUM(_xlfn.XLOOKUP($S3:$AL3,增益!$A:$A,增益!$K:$K,0)))/200,($F$13-$I$4+VLOOKUP($R3,武学奇术!$A:$ZZ,13,FALSE)+SUM(_xlfn.XLOOKUP($S3:$AL3,增益!$A:$A,增益!$M:$M,0)))/100)</f>
        <v>-0.14</v>
      </c>
      <c r="BJ3" s="40" cm="1">
        <f t="array" ref="BJ3">$G$13+VLOOKUP($R3,武学奇术!$A:$ZZ,14,FALSE)+SUM(_xlfn.XLOOKUP($S3:$AL3,增益!$A:$A,增益!$N:$N,0))</f>
        <v>0</v>
      </c>
      <c r="BK3">
        <f t="shared" si="8"/>
        <v>0</v>
      </c>
      <c r="BL3">
        <f t="shared" si="9"/>
        <v>0</v>
      </c>
      <c r="BM3" s="40" cm="1">
        <f t="array" ref="BM3">IF($F$14-$I$4+VLOOKUP($R3,武学奇术!$A:$ZZ,15,FALSE)+SUM(_xlfn.XLOOKUP($S3:$AL3,增益!$A:$A,增益!$O:$O,0))&gt;0,($F$14-$I$4+VLOOKUP($R3,武学奇术!$A:$ZZ,15,FALSE)+SUM(_xlfn.XLOOKUP($S3:$AL3,增益!$A:$A,增益!$O:$O,0)))/200,($F$14-$I$4+VLOOKUP($R3,武学奇术!$A:$ZZ,15,FALSE)+SUM(_xlfn.XLOOKUP($S3:$AL3,增益!$A:$A,增益!$O:$O,0)))/100)</f>
        <v>-0.14</v>
      </c>
      <c r="BN3" s="40" cm="1">
        <f t="array" ref="BN3">$G$14+VLOOKUP($R3,武学奇术!$A:$ZZ,16,FALSE)+SUM(_xlfn.XLOOKUP($S3:$AL3,增益!$A:$A,增益!$P:$P,0))</f>
        <v>0</v>
      </c>
      <c r="BO3" s="33">
        <f>MIN(IF(VLOOKUP($R3,武学奇术!$A:$ZZ,23,FALSE)=1,100%,$B$8),100%)</f>
        <v>0.9771</v>
      </c>
      <c r="BP3" s="33" cm="1">
        <f t="array" ref="BP3">IF(VLOOKUP($R3,武学奇术!$A:$ZZ,23,FALSE)=1,100%,MIN(80%,$B$9+VLOOKUP($R3,武学奇术!$A:$ZZ,17,FALSE)+SUM(_xlfn.XLOOKUP($S3:$AL3,增益!$A:$A,增益!$Q:$Q,0)))+$B$11+SUM(_xlfn.XLOOKUP($S3:$AL3,增益!$A:$A,增益!$U:$U,0)))*IF(VLOOKUP($R3,武学奇术!$A:$ZZ,24,FALSE)=1,0,1)</f>
        <v>0.8861</v>
      </c>
      <c r="BQ3" s="33" cm="1">
        <f t="array" ref="BQ3">1+$B$13+VLOOKUP($R3,武学奇术!$A:$ZZ,18,FALSE)+SUM(_xlfn.XLOOKUP($S3:$AL3,增益!$A:$A,增益!$R:$R,0))</f>
        <v>1.87</v>
      </c>
      <c r="BR3" s="33" cm="1">
        <f t="array" ref="BR3">IF(VLOOKUP($R3,武学奇术!$A:$ZZ,24,FALSE)=1,100%,MIN(40%,$B$10+VLOOKUP($R3,武学奇术!$A:$ZZ,19,FALSE)+SUM(_xlfn.XLOOKUP($S3:$AL3,增益!$A:$A,增益!$S:$S,0)))+$B$12+SUM(_xlfn.XLOOKUP($S3:$AL3,增益!$A:$A,增益!$V:$V,0)))*IF(VLOOKUP($R3,武学奇术!$A:$ZZ,23,FALSE)=1,0,1)</f>
        <v>0.0913</v>
      </c>
      <c r="BS3" s="33" cm="1">
        <f t="array" ref="BS3">1+$B$14+VLOOKUP($R3,武学奇术!$A:$ZZ,20,FALSE)+SUM(_xlfn.XLOOKUP($S3:$AL3,增益!$A:$A,增益!$T:$T,0))</f>
        <v>1.35</v>
      </c>
      <c r="BT3" s="33">
        <f t="shared" si="10"/>
        <v>0.86580831</v>
      </c>
      <c r="BU3" s="33">
        <f t="shared" si="11"/>
        <v>0.02208246</v>
      </c>
      <c r="BV3" s="33">
        <f>IF(VLOOKUP($R3,武学奇术!$A:$ZZ,22,FALSE)=1,0,(1-$BO3))*(1-$BR3)</f>
        <v>0.02080923</v>
      </c>
      <c r="BW3" s="33" cm="1">
        <f t="array" ref="BW3">SUM(_xlfn.XLOOKUP($S3:$AL3,增益!$A:$A,增益!$W:$W,0))+$I$5</f>
        <v>0.11</v>
      </c>
      <c r="BX3" s="33" cm="1">
        <f t="array" ref="BX3">VLOOKUP($R3,武学奇术!$A:$ZZ,32,FALSE)+SUM(_xlfn.XLOOKUP($S3:$AL3,增益!$A:$A,增益!$X:$X,0))</f>
        <v>0</v>
      </c>
    </row>
    <row r="4" ht="14.25" spans="1:76">
      <c r="A4" s="58" t="s">
        <v>5</v>
      </c>
      <c r="B4" s="59"/>
      <c r="C4" s="59"/>
      <c r="D4" s="59"/>
      <c r="E4" s="60"/>
      <c r="F4" s="53" t="s">
        <v>92</v>
      </c>
      <c r="G4" s="57">
        <f>B15+B17</f>
        <v>0.1701</v>
      </c>
      <c r="H4" s="61" t="s">
        <v>93</v>
      </c>
      <c r="I4" s="14">
        <f>30</f>
        <v>30</v>
      </c>
      <c r="L4" s="46">
        <f t="shared" si="0"/>
        <v>37056.4751750194</v>
      </c>
      <c r="M4" s="46">
        <f>((($AT4+$AU4)/2*$AN4+$AO4)*(1+$AV4)*(1+$AW4)+(($AY4+$AZ4)/2*IF($G$1="鸣金",$AP4,$AN4)+IF($G$1="鸣金",$AQ4*1.5,0))*(1+$BA4)*(1+$BB4)+(($BC4+$BD4)/2*IF($G$1="裂石",$AP4,$AN4)+IF($G$1="裂石",$AQ4*1.5,0))*(1+$BE4)*(1+$BF4)+(($BG4+$BH4)/2*IF($G$1="牵丝",$AP4,$AN4)+IF($G$1="牵丝",$AQ4*1.5,0))*(1+$BI4)*(1+$BJ4)+(($BK4+$BL4)/2*IF($G$1="破竹",$AP4,$AN4)+IF($G$1="破竹",$AQ4*1.5,0))*(1+$BM4)*(1+$BN4))*(1+$AR4)*$BQ4*$Q4*(1+IF(VLOOKUP($R4,武学奇术!$A:$ZZ,30,FALSE)="蓄力技",$B$21,0))*(1+IF(VLOOKUP($R4,武学奇术!$A:$ZZ,30,FALSE)="派生技",$B$20,0))*(1+$BW4)*(1+$BX4)</f>
        <v>38528.4058931746</v>
      </c>
      <c r="N4" s="46">
        <f>(($AU4*$AN4+$AO4)*(1+$AV4)*(1+$AW4)+($AZ4*IF($G$1="鸣金",$AP4,$AN4)+IF($G$1="鸣金",$AQ4*1.5,0))*(1+$BA4)*(1+$BB4)+($BD4*IF($G$1="裂石",$AP4,$AN4)+IF($G$1="裂石",$AQ4*1.5,0))*(1+$BE4)*(1+$BF4)+($BH4*IF($G$1="牵丝",$AP4,$AN4)+IF($G$1="牵丝",$AQ4*1.5,0))*(1+$BI4)*(1+$BJ4)+($BL4*IF($G$1="破竹",$AP4,$AN4)+IF($G$1="破竹",$AQ4*1.5,0))*(1+$BM4)*(1+$BN4))*(1+$AR4)*$BS4*$Q4*(1+IF(VLOOKUP($R4,武学奇术!$A:$ZZ,30,FALSE)="蓄力技",$B$21,0))*(1+IF(VLOOKUP($R4,武学奇术!$A:$ZZ,30,FALSE)="派生技",$B$20,0))*(1+$BW4)*(1+$BX4)</f>
        <v>31531.4139351587</v>
      </c>
      <c r="O4" s="46">
        <f>((($AT4+$AU4)/2*$AN4+$AO4)*(1+$AV4)*(1+$AW4)+(($AY4+$AZ4)/2*IF($G$1="鸣金",$AP4,$AN4)+IF($G$1="鸣金",$AQ4*1.5,0))*(1+$BA4)*(1+$BB4)+(($BC4+$BD4)/2*IF($G$1="裂石",$AP4,$AN4)+IF($G$1="裂石",$AQ4*1.5,0))*(1+$BE4)*(1+$BF4)+(($BG4+$BH4)/2*IF($G$1="牵丝",$AP4,$AN4)+IF($G$1="牵丝",$AQ4*1.5,0))*(1+$BI4)*(1+$BJ4)+(($BK4+$BL4)/2*IF($G$1="破竹",$AP4,$AN4)+IF($G$1="破竹",$AQ4*1.5,0))*(1+$BM4)*(1+$BN4))*(1+$AR4)*$Q4*(1+IF(VLOOKUP($R4,武学奇术!$A:$ZZ,30,FALSE)="蓄力技",$B$21,0))*(1+IF(VLOOKUP($R4,武学奇术!$A:$ZZ,30,FALSE)="派生技",$B$20,0))*(1+$BW4)*(1+$BX4)</f>
        <v>20493.8329219014</v>
      </c>
      <c r="P4" s="46">
        <f>((($AT4*$AN4+$AO4)*(1+$AV4)*(1+$AW4)+($AY4*IF($G$1="鸣金",$AP4,$AN4)+IF($G$1="鸣金",$AQ4*1.5,0))*(1+$BA4)*(1+$BB4)+($BC4*IF($G$1="裂石",$AP4,$AN4)+IF($G$1="裂石",$AQ4*1.5,0))*(1+$BE4)*(1+$BF4)+($BG4*IF($G$1="牵丝",$AP4,$AN4)+IF($G$1="牵丝",$AQ4*1.5,0))*(1+$BI4)*(1+$BJ4)+($BK4*IF($G$1="破竹",$AP4,$AN4)+IF($G$1="破竹",$AQ4*1.5,0))*(1+$BM4)*(1+$BN4))*(1+$AR4))*$Q4*(1+IF(VLOOKUP($R4,武学奇术!$A:$ZZ,30,FALSE)="蓄力技",$B$21,0))*(1+IF(VLOOKUP($R4,武学奇术!$A:$ZZ,30,FALSE)="派生技",$B$20,0))*(1+$BW4)*(1+$BX4)</f>
        <v>17631.0629288704</v>
      </c>
      <c r="Q4" s="47">
        <f t="shared" si="1"/>
        <v>1</v>
      </c>
      <c r="R4" s="48" t="s">
        <v>76</v>
      </c>
      <c r="S4" s="48" t="s">
        <v>94</v>
      </c>
      <c r="T4" s="48" t="s">
        <v>95</v>
      </c>
      <c r="U4" s="48" t="s">
        <v>79</v>
      </c>
      <c r="V4" s="48" t="s">
        <v>90</v>
      </c>
      <c r="W4" s="48" t="s">
        <v>91</v>
      </c>
      <c r="X4" s="48" t="s">
        <v>80</v>
      </c>
      <c r="Y4" s="48" t="s">
        <v>80</v>
      </c>
      <c r="Z4" s="48" t="s">
        <v>81</v>
      </c>
      <c r="AA4" s="48" t="s">
        <v>80</v>
      </c>
      <c r="AB4" s="48" t="s">
        <v>80</v>
      </c>
      <c r="AC4" s="48" t="s">
        <v>80</v>
      </c>
      <c r="AD4" s="48" t="s">
        <v>80</v>
      </c>
      <c r="AE4" s="48" t="s">
        <v>80</v>
      </c>
      <c r="AF4" s="48" t="s">
        <v>83</v>
      </c>
      <c r="AG4" s="48" t="s">
        <v>84</v>
      </c>
      <c r="AH4" s="48" t="s">
        <v>80</v>
      </c>
      <c r="AI4" s="48" t="s">
        <v>80</v>
      </c>
      <c r="AJ4" s="48" t="s">
        <v>80</v>
      </c>
      <c r="AK4" s="48" t="s">
        <v>80</v>
      </c>
      <c r="AL4" s="48" t="s">
        <v>80</v>
      </c>
      <c r="AM4" t="str">
        <f>VLOOKUP($R4,武学奇术!$A:$ZZ,25,FALSE)</f>
        <v>群体奇术</v>
      </c>
      <c r="AN4" s="33">
        <f>VLOOKUP($R4,武学奇术!$A:$ZZ,26,FALSE)</f>
        <v>1.4906</v>
      </c>
      <c r="AO4" s="34">
        <f>VLOOKUP($R4,武学奇术!$A:$ZZ,27,FALSE)*(1+IF(OR($AM4=$F$4,$AM4=$F$5),$B$22,0))</f>
        <v>386</v>
      </c>
      <c r="AP4" s="33">
        <f>VLOOKUP($R4,武学奇术!$A:$ZZ,28,FALSE)</f>
        <v>2.2359</v>
      </c>
      <c r="AQ4" s="34">
        <f>VLOOKUP($R4,武学奇术!$A:$ZZ,29,FALSE)*(1+IF(OR($AM4=$F$4,$AM4=$F$5),$B$22,0))</f>
        <v>0</v>
      </c>
      <c r="AR4" s="33" cm="1">
        <f t="array" ref="AR4">$G$3+IFERROR(VLOOKUP($AM4,$F$4:$G$7,2,FALSE),0)+VLOOKUP($R4,武学奇术!$A:$ZZ,2,FALSE)+SUM(_xlfn.XLOOKUP($S4:$AL4,增益!$A:$A,增益!$B:$B,0))</f>
        <v>0.3742</v>
      </c>
      <c r="AS4" s="33" cm="1">
        <f t="array" ref="AS4">VLOOKUP($R4,武学奇术!$A:$ZZ,5,FALSE)+SUM(_xlfn.XLOOKUP($S4:$AL4,增益!$A:$A,增益!$E:$E,0))</f>
        <v>0</v>
      </c>
      <c r="AT4" cm="1">
        <f t="array" ref="AT4">$D$10*(1+$AS4)+VLOOKUP($R4,武学奇术!$A:$ZZ,3,FALSE)+SUM(_xlfn.XLOOKUP($S4:$AL4,增益!$A:$A,增益!$C:$C,0))-$I$2</f>
        <v>4026</v>
      </c>
      <c r="AU4" cm="1">
        <f t="array" ref="AU4">$E$10*(1+$AS4)+VLOOKUP($R4,武学奇术!$A:$ZZ,4,FALSE)+SUM(_xlfn.XLOOKUP($S4:$AL4,增益!$A:$A,增益!$D:$D,0))-$I$2</f>
        <v>4026</v>
      </c>
      <c r="AV4" s="40" cm="1">
        <f t="array" ref="AV4">IF($F$10-$I$3+VLOOKUP($R4,武学奇术!$A:$ZZ,6,FALSE)+SUM(_xlfn.XLOOKUP($S4:$AL4,增益!$A:$A,增益!$F:$F,0))&gt;0,($F$10-$I$3+VLOOKUP($R4,武学奇术!$A:$ZZ,6,FALSE)+SUM(_xlfn.XLOOKUP($S4:$AL4,增益!$A:$A,增益!$F:$F,0)))/200,($F$10-$I$3+VLOOKUP($R4,武学奇术!$A:$ZZ,6,FALSE)+SUM(_xlfn.XLOOKUP($S4:$AL4,增益!$A:$A,增益!$F:$F,0)))/100)</f>
        <v>0.3184</v>
      </c>
      <c r="AW4" s="40" cm="1">
        <f t="array" ref="AW4">$G$10+VLOOKUP($R4,武学奇术!$A:$ZZ,7,FALSE)+SUM(_xlfn.XLOOKUP($S4:$AL4,增益!$A:$A,增益!$G:$G,0))</f>
        <v>0.12</v>
      </c>
      <c r="AX4" s="33" cm="1">
        <f t="array" ref="AX4">VLOOKUP($R4,武学奇术!$A:$ZZ,8,FALSE)+SUM(_xlfn.XLOOKUP($S4:$AL4,增益!$A:$A,增益!$H:$H,0))</f>
        <v>0</v>
      </c>
      <c r="AY4">
        <f t="shared" si="2"/>
        <v>0</v>
      </c>
      <c r="AZ4">
        <f t="shared" si="3"/>
        <v>0</v>
      </c>
      <c r="BA4" s="40" cm="1">
        <f t="array" ref="BA4">IF($F$11-$I$4+VLOOKUP($R4,武学奇术!$A:$ZZ,9,FALSE)+SUM(_xlfn.XLOOKUP($S4:$AL4,增益!$A:$A,增益!$I:$I,0))&gt;0,($F$11-$I$4+VLOOKUP($R4,武学奇术!$A:$ZZ,9,FALSE)+SUM(_xlfn.XLOOKUP($S4:$AL4,增益!$A:$A,增益!$I:$I,0)))/200,($F$11-$I$4+VLOOKUP($R4,武学奇术!$A:$ZZ,9,FALSE)+SUM(_xlfn.XLOOKUP($S4:$AL4,增益!$A:$A,增益!$I:$I,0)))/100)</f>
        <v>-0.14</v>
      </c>
      <c r="BB4" s="40" cm="1">
        <f t="array" ref="BB4">$G$11+VLOOKUP($R4,武学奇术!$A:$ZZ,10,FALSE)+SUM(_xlfn.XLOOKUP($S4:$AL4,增益!$A:$A,增益!$J:$J,0))</f>
        <v>0</v>
      </c>
      <c r="BC4">
        <f t="shared" si="4"/>
        <v>640.3</v>
      </c>
      <c r="BD4">
        <f t="shared" si="5"/>
        <v>1770.1</v>
      </c>
      <c r="BE4" s="40" cm="1">
        <f t="array" ref="BE4">IF($F$12-$I$4+VLOOKUP($R4,武学奇术!$A:$ZZ,11,FALSE)+SUM(_xlfn.XLOOKUP($S4:$AL4,增益!$A:$A,增益!$K:$K,0))&gt;0,($F$12-$I$4+VLOOKUP($R4,武学奇术!$A:$ZZ,11,FALSE)+SUM(_xlfn.XLOOKUP($S4:$AL4,增益!$A:$A,增益!$K:$K,0)))/200,($F$12-$I$4+VLOOKUP($R4,武学奇术!$A:$ZZ,11,FALSE)+SUM(_xlfn.XLOOKUP($S4:$AL4,增益!$A:$A,增益!$K:$K,0)))/100)</f>
        <v>0.17</v>
      </c>
      <c r="BF4" s="40" cm="1">
        <f t="array" ref="BF4">$G$12+VLOOKUP($R4,武学奇术!$A:$ZZ,12,FALSE)+SUM(_xlfn.XLOOKUP($S4:$AL4,增益!$A:$A,增益!$L:$L,0))</f>
        <v>0.27</v>
      </c>
      <c r="BG4">
        <f t="shared" si="6"/>
        <v>0</v>
      </c>
      <c r="BH4">
        <f t="shared" si="7"/>
        <v>0</v>
      </c>
      <c r="BI4" s="40" cm="1">
        <f t="array" ref="BI4">IF($F$13-$I$4+VLOOKUP($R4,武学奇术!$A:$ZZ,13,FALSE)+SUM(_xlfn.XLOOKUP($S4:$AL4,增益!$A:$A,增益!$M:$M,0))&gt;0,($F$13-$I$4+VLOOKUP($R4,武学奇术!$A:$ZZ,13,FALSE)+SUM(_xlfn.XLOOKUP($S4:$AL4,增益!$A:$A,增益!$K:$K,0)))/200,($F$13-$I$4+VLOOKUP($R4,武学奇术!$A:$ZZ,13,FALSE)+SUM(_xlfn.XLOOKUP($S4:$AL4,增益!$A:$A,增益!$M:$M,0)))/100)</f>
        <v>-0.14</v>
      </c>
      <c r="BJ4" s="40" cm="1">
        <f t="array" ref="BJ4">$G$13+VLOOKUP($R4,武学奇术!$A:$ZZ,14,FALSE)+SUM(_xlfn.XLOOKUP($S4:$AL4,增益!$A:$A,增益!$N:$N,0))</f>
        <v>0</v>
      </c>
      <c r="BK4">
        <f t="shared" si="8"/>
        <v>0</v>
      </c>
      <c r="BL4">
        <f t="shared" si="9"/>
        <v>0</v>
      </c>
      <c r="BM4" s="40" cm="1">
        <f t="array" ref="BM4">IF($F$14-$I$4+VLOOKUP($R4,武学奇术!$A:$ZZ,15,FALSE)+SUM(_xlfn.XLOOKUP($S4:$AL4,增益!$A:$A,增益!$O:$O,0))&gt;0,($F$14-$I$4+VLOOKUP($R4,武学奇术!$A:$ZZ,15,FALSE)+SUM(_xlfn.XLOOKUP($S4:$AL4,增益!$A:$A,增益!$O:$O,0)))/200,($F$14-$I$4+VLOOKUP($R4,武学奇术!$A:$ZZ,15,FALSE)+SUM(_xlfn.XLOOKUP($S4:$AL4,增益!$A:$A,增益!$O:$O,0)))/100)</f>
        <v>-0.14</v>
      </c>
      <c r="BN4" s="40" cm="1">
        <f t="array" ref="BN4">$G$14+VLOOKUP($R4,武学奇术!$A:$ZZ,16,FALSE)+SUM(_xlfn.XLOOKUP($S4:$AL4,增益!$A:$A,增益!$P:$P,0))</f>
        <v>0</v>
      </c>
      <c r="BO4" s="33">
        <f>MIN(IF(VLOOKUP($R4,武学奇术!$A:$ZZ,23,FALSE)=1,100%,$B$8),100%)</f>
        <v>0.9771</v>
      </c>
      <c r="BP4" s="33" cm="1">
        <f t="array" ref="BP4">IF(VLOOKUP($R4,武学奇术!$A:$ZZ,23,FALSE)=1,100%,MIN(80%,$B$9+VLOOKUP($R4,武学奇术!$A:$ZZ,17,FALSE)+SUM(_xlfn.XLOOKUP($S4:$AL4,增益!$A:$A,增益!$Q:$Q,0)))+$B$11+SUM(_xlfn.XLOOKUP($S4:$AL4,增益!$A:$A,增益!$U:$U,0)))*IF(VLOOKUP($R4,武学奇术!$A:$ZZ,24,FALSE)=1,0,1)</f>
        <v>0.8861</v>
      </c>
      <c r="BQ4" s="33" cm="1">
        <f t="array" ref="BQ4">1+$B$13+VLOOKUP($R4,武学奇术!$A:$ZZ,18,FALSE)+SUM(_xlfn.XLOOKUP($S4:$AL4,增益!$A:$A,增益!$R:$R,0))</f>
        <v>1.88</v>
      </c>
      <c r="BR4" s="33" cm="1">
        <f t="array" ref="BR4">IF(VLOOKUP($R4,武学奇术!$A:$ZZ,24,FALSE)=1,100%,MIN(40%,$B$10+VLOOKUP($R4,武学奇术!$A:$ZZ,19,FALSE)+SUM(_xlfn.XLOOKUP($S4:$AL4,增益!$A:$A,增益!$S:$S,0)))+$B$12+SUM(_xlfn.XLOOKUP($S4:$AL4,增益!$A:$A,增益!$V:$V,0)))*IF(VLOOKUP($R4,武学奇术!$A:$ZZ,23,FALSE)=1,0,1)</f>
        <v>0.0913</v>
      </c>
      <c r="BS4" s="33" cm="1">
        <f t="array" ref="BS4">1+$B$14+VLOOKUP($R4,武学奇术!$A:$ZZ,20,FALSE)+SUM(_xlfn.XLOOKUP($S4:$AL4,增益!$A:$A,增益!$T:$T,0))</f>
        <v>1.35</v>
      </c>
      <c r="BT4" s="33">
        <f t="shared" si="10"/>
        <v>0.86580831</v>
      </c>
      <c r="BU4" s="33">
        <f t="shared" si="11"/>
        <v>0.02208246</v>
      </c>
      <c r="BV4" s="33">
        <f>IF(VLOOKUP($R4,武学奇术!$A:$ZZ,22,FALSE)=1,0,(1-$BO4))*(1-$BR4)</f>
        <v>0.02080923</v>
      </c>
      <c r="BW4" s="33" cm="1">
        <f t="array" ref="BW4">SUM(_xlfn.XLOOKUP($S4:$AL4,增益!$A:$A,增益!$W:$W,0))+$I$5</f>
        <v>0.11</v>
      </c>
      <c r="BX4" s="33" cm="1">
        <f t="array" ref="BX4">VLOOKUP($R4,武学奇术!$A:$ZZ,32,FALSE)+SUM(_xlfn.XLOOKUP($S4:$AL4,增益!$A:$A,增益!$X:$X,0))</f>
        <v>0</v>
      </c>
    </row>
    <row r="5" spans="1:76">
      <c r="A5" s="62" t="s">
        <v>96</v>
      </c>
      <c r="B5" s="63"/>
      <c r="C5" s="63"/>
      <c r="D5" s="63"/>
      <c r="E5" s="64"/>
      <c r="F5" s="53" t="s">
        <v>97</v>
      </c>
      <c r="G5" s="57">
        <f>B15+B18</f>
        <v>0.0847</v>
      </c>
      <c r="H5" t="s">
        <v>98</v>
      </c>
      <c r="I5" s="35">
        <v>0.06</v>
      </c>
      <c r="L5" s="46">
        <f t="shared" si="0"/>
        <v>37702.9822974423</v>
      </c>
      <c r="M5" s="46">
        <f>((($AT5+$AU5)/2*$AN5+$AO5)*(1+$AV5)*(1+$AW5)+(($AY5+$AZ5)/2*IF($G$1="鸣金",$AP5,$AN5)+IF($G$1="鸣金",$AQ5*1.5,0))*(1+$BA5)*(1+$BB5)+(($BC5+$BD5)/2*IF($G$1="裂石",$AP5,$AN5)+IF($G$1="裂石",$AQ5*1.5,0))*(1+$BE5)*(1+$BF5)+(($BG5+$BH5)/2*IF($G$1="牵丝",$AP5,$AN5)+IF($G$1="牵丝",$AQ5*1.5,0))*(1+$BI5)*(1+$BJ5)+(($BK5+$BL5)/2*IF($G$1="破竹",$AP5,$AN5)+IF($G$1="破竹",$AQ5*1.5,0))*(1+$BM5)*(1+$BN5))*(1+$AR5)*$BQ5*$Q5*(1+IF(VLOOKUP($R5,武学奇术!$A:$ZZ,30,FALSE)="蓄力技",$B$21,0))*(1+IF(VLOOKUP($R5,武学奇术!$A:$ZZ,30,FALSE)="派生技",$B$20,0))*(1+$BW5)*(1+$BX5)</f>
        <v>39222.940010853</v>
      </c>
      <c r="N5" s="46">
        <f>(($AU5*$AN5+$AO5)*(1+$AV5)*(1+$AW5)+($AZ5*IF($G$1="鸣金",$AP5,$AN5)+IF($G$1="鸣金",$AQ5*1.5,0))*(1+$BA5)*(1+$BB5)+($BD5*IF($G$1="裂石",$AP5,$AN5)+IF($G$1="裂石",$AQ5*1.5,0))*(1+$BE5)*(1+$BF5)+($BH5*IF($G$1="牵丝",$AP5,$AN5)+IF($G$1="牵丝",$AQ5*1.5,0))*(1+$BI5)*(1+$BJ5)+($BL5*IF($G$1="破竹",$AP5,$AN5)+IF($G$1="破竹",$AQ5*1.5,0))*(1+$BM5)*(1+$BN5))*(1+$AR5)*$BS5*$Q5*(1+IF(VLOOKUP($R5,武学奇术!$A:$ZZ,30,FALSE)="蓄力技",$B$21,0))*(1+IF(VLOOKUP($R5,武学奇术!$A:$ZZ,30,FALSE)="派生技",$B$20,0))*(1+$BW5)*(1+$BX5)</f>
        <v>31909.2487717229</v>
      </c>
      <c r="O5" s="46">
        <f>((($AT5+$AU5)/2*$AN5+$AO5)*(1+$AV5)*(1+$AW5)+(($AY5+$AZ5)/2*IF($G$1="鸣金",$AP5,$AN5)+IF($G$1="鸣金",$AQ5*1.5,0))*(1+$BA5)*(1+$BB5)+(($BC5+$BD5)/2*IF($G$1="裂石",$AP5,$AN5)+IF($G$1="裂石",$AQ5*1.5,0))*(1+$BE5)*(1+$BF5)+(($BG5+$BH5)/2*IF($G$1="牵丝",$AP5,$AN5)+IF($G$1="牵丝",$AQ5*1.5,0))*(1+$BI5)*(1+$BJ5)+(($BK5+$BL5)/2*IF($G$1="破竹",$AP5,$AN5)+IF($G$1="破竹",$AQ5*1.5,0))*(1+$BM5)*(1+$BN5))*(1+$AR5)*$Q5*(1+IF(VLOOKUP($R5,武学奇术!$A:$ZZ,30,FALSE)="蓄力技",$B$21,0))*(1+IF(VLOOKUP($R5,武学奇术!$A:$ZZ,30,FALSE)="派生技",$B$20,0))*(1+$BW5)*(1+$BX5)</f>
        <v>20752.8783126206</v>
      </c>
      <c r="P5" s="46">
        <f>((($AT5*$AN5+$AO5)*(1+$AV5)*(1+$AW5)+($AY5*IF($G$1="鸣金",$AP5,$AN5)+IF($G$1="鸣金",$AQ5*1.5,0))*(1+$BA5)*(1+$BB5)+($BC5*IF($G$1="裂石",$AP5,$AN5)+IF($G$1="裂石",$AQ5*1.5,0))*(1+$BE5)*(1+$BF5)+($BG5*IF($G$1="牵丝",$AP5,$AN5)+IF($G$1="牵丝",$AQ5*1.5,0))*(1+$BI5)*(1+$BJ5)+($BK5*IF($G$1="破竹",$AP5,$AN5)+IF($G$1="破竹",$AQ5*1.5,0))*(1+$BM5)*(1+$BN5))*(1+$AR5))*$Q5*(1+IF(VLOOKUP($R5,武学奇术!$A:$ZZ,30,FALSE)="蓄力技",$B$21,0))*(1+IF(VLOOKUP($R5,武学奇术!$A:$ZZ,30,FALSE)="派生技",$B$20,0))*(1+$BW5)*(1+$BX5)</f>
        <v>17869.2760535947</v>
      </c>
      <c r="Q5" s="47">
        <f t="shared" si="1"/>
        <v>1</v>
      </c>
      <c r="R5" s="48" t="s">
        <v>76</v>
      </c>
      <c r="S5" s="48" t="s">
        <v>99</v>
      </c>
      <c r="T5" s="48" t="s">
        <v>100</v>
      </c>
      <c r="U5" s="48" t="s">
        <v>79</v>
      </c>
      <c r="V5" s="48" t="s">
        <v>90</v>
      </c>
      <c r="W5" s="48" t="s">
        <v>91</v>
      </c>
      <c r="X5" s="48" t="s">
        <v>80</v>
      </c>
      <c r="Y5" s="48" t="s">
        <v>80</v>
      </c>
      <c r="Z5" s="48" t="s">
        <v>81</v>
      </c>
      <c r="AA5" s="48" t="s">
        <v>80</v>
      </c>
      <c r="AB5" s="48" t="s">
        <v>80</v>
      </c>
      <c r="AC5" s="48" t="s">
        <v>80</v>
      </c>
      <c r="AD5" s="48" t="s">
        <v>80</v>
      </c>
      <c r="AE5" s="48" t="s">
        <v>80</v>
      </c>
      <c r="AF5" s="48" t="s">
        <v>83</v>
      </c>
      <c r="AG5" s="48" t="s">
        <v>84</v>
      </c>
      <c r="AH5" s="48" t="s">
        <v>80</v>
      </c>
      <c r="AI5" s="48" t="s">
        <v>80</v>
      </c>
      <c r="AJ5" s="48" t="s">
        <v>80</v>
      </c>
      <c r="AK5" s="48" t="s">
        <v>80</v>
      </c>
      <c r="AL5" s="48" t="s">
        <v>80</v>
      </c>
      <c r="AM5" t="str">
        <f>VLOOKUP($R5,武学奇术!$A:$ZZ,25,FALSE)</f>
        <v>群体奇术</v>
      </c>
      <c r="AN5" s="33">
        <f>VLOOKUP($R5,武学奇术!$A:$ZZ,26,FALSE)</f>
        <v>1.4906</v>
      </c>
      <c r="AO5" s="34">
        <f>VLOOKUP($R5,武学奇术!$A:$ZZ,27,FALSE)*(1+IF(OR($AM5=$F$4,$AM5=$F$5),$B$22,0))</f>
        <v>386</v>
      </c>
      <c r="AP5" s="33">
        <f>VLOOKUP($R5,武学奇术!$A:$ZZ,28,FALSE)</f>
        <v>2.2359</v>
      </c>
      <c r="AQ5" s="34">
        <f>VLOOKUP($R5,武学奇术!$A:$ZZ,29,FALSE)*(1+IF(OR($AM5=$F$4,$AM5=$F$5),$B$22,0))</f>
        <v>0</v>
      </c>
      <c r="AR5" s="33" cm="1">
        <f t="array" ref="AR5">$G$3+IFERROR(VLOOKUP($AM5,$F$4:$G$7,2,FALSE),0)+VLOOKUP($R5,武学奇术!$A:$ZZ,2,FALSE)+SUM(_xlfn.XLOOKUP($S5:$AL5,增益!$A:$A,增益!$B:$B,0))</f>
        <v>0.3842</v>
      </c>
      <c r="AS5" s="33" cm="1">
        <f t="array" ref="AS5">VLOOKUP($R5,武学奇术!$A:$ZZ,5,FALSE)+SUM(_xlfn.XLOOKUP($S5:$AL5,增益!$A:$A,增益!$E:$E,0))</f>
        <v>0</v>
      </c>
      <c r="AT5" cm="1">
        <f t="array" ref="AT5">$D$10*(1+$AS5)+VLOOKUP($R5,武学奇术!$A:$ZZ,3,FALSE)+SUM(_xlfn.XLOOKUP($S5:$AL5,增益!$A:$A,增益!$C:$C,0))-$I$2</f>
        <v>4026</v>
      </c>
      <c r="AU5" cm="1">
        <f t="array" ref="AU5">$E$10*(1+$AS5)+VLOOKUP($R5,武学奇术!$A:$ZZ,4,FALSE)+SUM(_xlfn.XLOOKUP($S5:$AL5,增益!$A:$A,增益!$D:$D,0))-$I$2</f>
        <v>4026</v>
      </c>
      <c r="AV5" s="40" cm="1">
        <f t="array" ref="AV5">IF($F$10-$I$3+VLOOKUP($R5,武学奇术!$A:$ZZ,6,FALSE)+SUM(_xlfn.XLOOKUP($S5:$AL5,增益!$A:$A,增益!$F:$F,0))&gt;0,($F$10-$I$3+VLOOKUP($R5,武学奇术!$A:$ZZ,6,FALSE)+SUM(_xlfn.XLOOKUP($S5:$AL5,增益!$A:$A,增益!$F:$F,0)))/200,($F$10-$I$3+VLOOKUP($R5,武学奇术!$A:$ZZ,6,FALSE)+SUM(_xlfn.XLOOKUP($S5:$AL5,增益!$A:$A,增益!$F:$F,0)))/100)</f>
        <v>0.3284</v>
      </c>
      <c r="AW5" s="40" cm="1">
        <f t="array" ref="AW5">$G$10+VLOOKUP($R5,武学奇术!$A:$ZZ,7,FALSE)+SUM(_xlfn.XLOOKUP($S5:$AL5,增益!$A:$A,增益!$G:$G,0))</f>
        <v>0.12</v>
      </c>
      <c r="AX5" s="33" cm="1">
        <f t="array" ref="AX5">VLOOKUP($R5,武学奇术!$A:$ZZ,8,FALSE)+SUM(_xlfn.XLOOKUP($S5:$AL5,增益!$A:$A,增益!$H:$H,0))</f>
        <v>0</v>
      </c>
      <c r="AY5">
        <f t="shared" si="2"/>
        <v>0</v>
      </c>
      <c r="AZ5">
        <f t="shared" si="3"/>
        <v>0</v>
      </c>
      <c r="BA5" s="40" cm="1">
        <f t="array" ref="BA5">IF($F$11-$I$4+VLOOKUP($R5,武学奇术!$A:$ZZ,9,FALSE)+SUM(_xlfn.XLOOKUP($S5:$AL5,增益!$A:$A,增益!$I:$I,0))&gt;0,($F$11-$I$4+VLOOKUP($R5,武学奇术!$A:$ZZ,9,FALSE)+SUM(_xlfn.XLOOKUP($S5:$AL5,增益!$A:$A,增益!$I:$I,0)))/200,($F$11-$I$4+VLOOKUP($R5,武学奇术!$A:$ZZ,9,FALSE)+SUM(_xlfn.XLOOKUP($S5:$AL5,增益!$A:$A,增益!$I:$I,0)))/100)</f>
        <v>-0.14</v>
      </c>
      <c r="BB5" s="40" cm="1">
        <f t="array" ref="BB5">$G$11+VLOOKUP($R5,武学奇术!$A:$ZZ,10,FALSE)+SUM(_xlfn.XLOOKUP($S5:$AL5,增益!$A:$A,增益!$J:$J,0))</f>
        <v>0</v>
      </c>
      <c r="BC5">
        <f t="shared" si="4"/>
        <v>640.3</v>
      </c>
      <c r="BD5">
        <f t="shared" si="5"/>
        <v>1770.1</v>
      </c>
      <c r="BE5" s="40" cm="1">
        <f t="array" ref="BE5">IF($F$12-$I$4+VLOOKUP($R5,武学奇术!$A:$ZZ,11,FALSE)+SUM(_xlfn.XLOOKUP($S5:$AL5,增益!$A:$A,增益!$K:$K,0))&gt;0,($F$12-$I$4+VLOOKUP($R5,武学奇术!$A:$ZZ,11,FALSE)+SUM(_xlfn.XLOOKUP($S5:$AL5,增益!$A:$A,增益!$K:$K,0)))/200,($F$12-$I$4+VLOOKUP($R5,武学奇术!$A:$ZZ,11,FALSE)+SUM(_xlfn.XLOOKUP($S5:$AL5,增益!$A:$A,增益!$K:$K,0)))/100)</f>
        <v>0.17</v>
      </c>
      <c r="BF5" s="40" cm="1">
        <f t="array" ref="BF5">$G$12+VLOOKUP($R5,武学奇术!$A:$ZZ,12,FALSE)+SUM(_xlfn.XLOOKUP($S5:$AL5,增益!$A:$A,增益!$L:$L,0))</f>
        <v>0.27</v>
      </c>
      <c r="BG5">
        <f t="shared" si="6"/>
        <v>0</v>
      </c>
      <c r="BH5">
        <f t="shared" si="7"/>
        <v>0</v>
      </c>
      <c r="BI5" s="40" cm="1">
        <f t="array" ref="BI5">IF($F$13-$I$4+VLOOKUP($R5,武学奇术!$A:$ZZ,13,FALSE)+SUM(_xlfn.XLOOKUP($S5:$AL5,增益!$A:$A,增益!$M:$M,0))&gt;0,($F$13-$I$4+VLOOKUP($R5,武学奇术!$A:$ZZ,13,FALSE)+SUM(_xlfn.XLOOKUP($S5:$AL5,增益!$A:$A,增益!$K:$K,0)))/200,($F$13-$I$4+VLOOKUP($R5,武学奇术!$A:$ZZ,13,FALSE)+SUM(_xlfn.XLOOKUP($S5:$AL5,增益!$A:$A,增益!$M:$M,0)))/100)</f>
        <v>-0.14</v>
      </c>
      <c r="BJ5" s="40" cm="1">
        <f t="array" ref="BJ5">$G$13+VLOOKUP($R5,武学奇术!$A:$ZZ,14,FALSE)+SUM(_xlfn.XLOOKUP($S5:$AL5,增益!$A:$A,增益!$N:$N,0))</f>
        <v>0</v>
      </c>
      <c r="BK5">
        <f t="shared" si="8"/>
        <v>0</v>
      </c>
      <c r="BL5">
        <f t="shared" si="9"/>
        <v>0</v>
      </c>
      <c r="BM5" s="40" cm="1">
        <f t="array" ref="BM5">IF($F$14-$I$4+VLOOKUP($R5,武学奇术!$A:$ZZ,15,FALSE)+SUM(_xlfn.XLOOKUP($S5:$AL5,增益!$A:$A,增益!$O:$O,0))&gt;0,($F$14-$I$4+VLOOKUP($R5,武学奇术!$A:$ZZ,15,FALSE)+SUM(_xlfn.XLOOKUP($S5:$AL5,增益!$A:$A,增益!$O:$O,0)))/200,($F$14-$I$4+VLOOKUP($R5,武学奇术!$A:$ZZ,15,FALSE)+SUM(_xlfn.XLOOKUP($S5:$AL5,增益!$A:$A,增益!$O:$O,0)))/100)</f>
        <v>-0.14</v>
      </c>
      <c r="BN5" s="40" cm="1">
        <f t="array" ref="BN5">$G$14+VLOOKUP($R5,武学奇术!$A:$ZZ,16,FALSE)+SUM(_xlfn.XLOOKUP($S5:$AL5,增益!$A:$A,增益!$P:$P,0))</f>
        <v>0</v>
      </c>
      <c r="BO5" s="33">
        <f>MIN(IF(VLOOKUP($R5,武学奇术!$A:$ZZ,23,FALSE)=1,100%,$B$8),100%)</f>
        <v>0.9771</v>
      </c>
      <c r="BP5" s="33" cm="1">
        <f t="array" ref="BP5">IF(VLOOKUP($R5,武学奇术!$A:$ZZ,23,FALSE)=1,100%,MIN(80%,$B$9+VLOOKUP($R5,武学奇术!$A:$ZZ,17,FALSE)+SUM(_xlfn.XLOOKUP($S5:$AL5,增益!$A:$A,增益!$Q:$Q,0)))+$B$11+SUM(_xlfn.XLOOKUP($S5:$AL5,增益!$A:$A,增益!$U:$U,0)))*IF(VLOOKUP($R5,武学奇术!$A:$ZZ,24,FALSE)=1,0,1)</f>
        <v>0.8861</v>
      </c>
      <c r="BQ5" s="33" cm="1">
        <f t="array" ref="BQ5">1+$B$13+VLOOKUP($R5,武学奇术!$A:$ZZ,18,FALSE)+SUM(_xlfn.XLOOKUP($S5:$AL5,增益!$A:$A,增益!$R:$R,0))</f>
        <v>1.89</v>
      </c>
      <c r="BR5" s="33" cm="1">
        <f t="array" ref="BR5">IF(VLOOKUP($R5,武学奇术!$A:$ZZ,24,FALSE)=1,100%,MIN(40%,$B$10+VLOOKUP($R5,武学奇术!$A:$ZZ,19,FALSE)+SUM(_xlfn.XLOOKUP($S5:$AL5,增益!$A:$A,增益!$S:$S,0)))+$B$12+SUM(_xlfn.XLOOKUP($S5:$AL5,增益!$A:$A,增益!$V:$V,0)))*IF(VLOOKUP($R5,武学奇术!$A:$ZZ,23,FALSE)=1,0,1)</f>
        <v>0.0913</v>
      </c>
      <c r="BS5" s="33" cm="1">
        <f t="array" ref="BS5">1+$B$14+VLOOKUP($R5,武学奇术!$A:$ZZ,20,FALSE)+SUM(_xlfn.XLOOKUP($S5:$AL5,增益!$A:$A,增益!$T:$T,0))</f>
        <v>1.35</v>
      </c>
      <c r="BT5" s="33">
        <f t="shared" si="10"/>
        <v>0.86580831</v>
      </c>
      <c r="BU5" s="33">
        <f t="shared" si="11"/>
        <v>0.02208246</v>
      </c>
      <c r="BV5" s="33">
        <f>IF(VLOOKUP($R5,武学奇术!$A:$ZZ,22,FALSE)=1,0,(1-$BO5))*(1-$BR5)</f>
        <v>0.02080923</v>
      </c>
      <c r="BW5" s="33" cm="1">
        <f t="array" ref="BW5">SUM(_xlfn.XLOOKUP($S5:$AL5,增益!$A:$A,增益!$W:$W,0))+$I$5</f>
        <v>0.11</v>
      </c>
      <c r="BX5" s="33" cm="1">
        <f t="array" ref="BX5">VLOOKUP($R5,武学奇术!$A:$ZZ,32,FALSE)+SUM(_xlfn.XLOOKUP($S5:$AL5,增益!$A:$A,增益!$X:$X,0))</f>
        <v>0</v>
      </c>
    </row>
    <row r="6" spans="1:76">
      <c r="A6" s="65" t="s">
        <v>101</v>
      </c>
      <c r="B6" s="66"/>
      <c r="C6" s="66"/>
      <c r="D6" s="66"/>
      <c r="E6" s="67"/>
      <c r="F6" s="53" t="s">
        <v>102</v>
      </c>
      <c r="G6" s="57">
        <f>B19</f>
        <v>0</v>
      </c>
      <c r="L6" s="46">
        <f t="shared" si="0"/>
        <v>37882.6624424372</v>
      </c>
      <c r="M6" s="46">
        <f>((($AT6+$AU6)/2*$AN6+$AO6)*(1+$AV6)*(1+$AW6)+(($AY6+$AZ6)/2*IF($G$1="鸣金",$AP6,$AN6)+IF($G$1="鸣金",$AQ6*1.5,0))*(1+$BA6)*(1+$BB6)+(($BC6+$BD6)/2*IF($G$1="裂石",$AP6,$AN6)+IF($G$1="裂石",$AQ6*1.5,0))*(1+$BE6)*(1+$BF6)+(($BG6+$BH6)/2*IF($G$1="牵丝",$AP6,$AN6)+IF($G$1="牵丝",$AQ6*1.5,0))*(1+$BI6)*(1+$BJ6)+(($BK6+$BL6)/2*IF($G$1="破竹",$AP6,$AN6)+IF($G$1="破竹",$AQ6*1.5,0))*(1+$BM6)*(1+$BN6))*(1+$AR6)*$BQ6*$Q6*(1+IF(VLOOKUP($R6,武学奇术!$A:$ZZ,30,FALSE)="蓄力技",$B$21,0))*(1+IF(VLOOKUP($R6,武学奇术!$A:$ZZ,30,FALSE)="派生技",$B$20,0))*(1+$BW6)*(1+$BX6)</f>
        <v>39430.4687939792</v>
      </c>
      <c r="N6" s="46">
        <f>(($AU6*$AN6+$AO6)*(1+$AV6)*(1+$AW6)+($AZ6*IF($G$1="鸣金",$AP6,$AN6)+IF($G$1="鸣金",$AQ6*1.5,0))*(1+$BA6)*(1+$BB6)+($BD6*IF($G$1="裂石",$AP6,$AN6)+IF($G$1="裂石",$AQ6*1.5,0))*(1+$BE6)*(1+$BF6)+($BH6*IF($G$1="牵丝",$AP6,$AN6)+IF($G$1="牵丝",$AQ6*1.5,0))*(1+$BI6)*(1+$BJ6)+($BL6*IF($G$1="破竹",$AP6,$AN6)+IF($G$1="破竹",$AQ6*1.5,0))*(1+$BM6)*(1+$BN6))*(1+$AR6)*$BS6*$Q6*(1+IF(VLOOKUP($R6,武学奇术!$A:$ZZ,30,FALSE)="蓄力技",$B$21,0))*(1+IF(VLOOKUP($R6,武学奇术!$A:$ZZ,30,FALSE)="派生技",$B$20,0))*(1+$BW6)*(1+$BX6)</f>
        <v>31909.2487717229</v>
      </c>
      <c r="O6" s="46">
        <f>((($AT6+$AU6)/2*$AN6+$AO6)*(1+$AV6)*(1+$AW6)+(($AY6+$AZ6)/2*IF($G$1="鸣金",$AP6,$AN6)+IF($G$1="鸣金",$AQ6*1.5,0))*(1+$BA6)*(1+$BB6)+(($BC6+$BD6)/2*IF($G$1="裂石",$AP6,$AN6)+IF($G$1="裂石",$AQ6*1.5,0))*(1+$BE6)*(1+$BF6)+(($BG6+$BH6)/2*IF($G$1="牵丝",$AP6,$AN6)+IF($G$1="牵丝",$AQ6*1.5,0))*(1+$BI6)*(1+$BJ6)+(($BK6+$BL6)/2*IF($G$1="破竹",$AP6,$AN6)+IF($G$1="破竹",$AQ6*1.5,0))*(1+$BM6)*(1+$BN6))*(1+$AR6)*$Q6*(1+IF(VLOOKUP($R6,武学奇术!$A:$ZZ,30,FALSE)="蓄力技",$B$21,0))*(1+IF(VLOOKUP($R6,武学奇术!$A:$ZZ,30,FALSE)="派生技",$B$20,0))*(1+$BW6)*(1+$BX6)</f>
        <v>20752.8783126206</v>
      </c>
      <c r="P6" s="46">
        <f>((($AT6*$AN6+$AO6)*(1+$AV6)*(1+$AW6)+($AY6*IF($G$1="鸣金",$AP6,$AN6)+IF($G$1="鸣金",$AQ6*1.5,0))*(1+$BA6)*(1+$BB6)+($BC6*IF($G$1="裂石",$AP6,$AN6)+IF($G$1="裂石",$AQ6*1.5,0))*(1+$BE6)*(1+$BF6)+($BG6*IF($G$1="牵丝",$AP6,$AN6)+IF($G$1="牵丝",$AQ6*1.5,0))*(1+$BI6)*(1+$BJ6)+($BK6*IF($G$1="破竹",$AP6,$AN6)+IF($G$1="破竹",$AQ6*1.5,0))*(1+$BM6)*(1+$BN6))*(1+$AR6))*$Q6*(1+IF(VLOOKUP($R6,武学奇术!$A:$ZZ,30,FALSE)="蓄力技",$B$21,0))*(1+IF(VLOOKUP($R6,武学奇术!$A:$ZZ,30,FALSE)="派生技",$B$20,0))*(1+$BW6)*(1+$BX6)</f>
        <v>17869.2760535947</v>
      </c>
      <c r="Q6" s="47">
        <f t="shared" si="1"/>
        <v>1</v>
      </c>
      <c r="R6" s="48" t="s">
        <v>76</v>
      </c>
      <c r="S6" s="48" t="s">
        <v>99</v>
      </c>
      <c r="T6" s="48" t="s">
        <v>103</v>
      </c>
      <c r="U6" s="48" t="s">
        <v>79</v>
      </c>
      <c r="V6" s="48" t="s">
        <v>90</v>
      </c>
      <c r="W6" s="48" t="s">
        <v>91</v>
      </c>
      <c r="X6" s="48" t="s">
        <v>80</v>
      </c>
      <c r="Y6" s="48" t="s">
        <v>80</v>
      </c>
      <c r="Z6" s="48" t="s">
        <v>81</v>
      </c>
      <c r="AA6" s="48" t="s">
        <v>80</v>
      </c>
      <c r="AB6" s="48" t="s">
        <v>80</v>
      </c>
      <c r="AC6" s="48" t="s">
        <v>80</v>
      </c>
      <c r="AD6" s="48" t="s">
        <v>80</v>
      </c>
      <c r="AE6" s="48" t="s">
        <v>80</v>
      </c>
      <c r="AF6" s="48" t="s">
        <v>83</v>
      </c>
      <c r="AG6" s="48" t="s">
        <v>84</v>
      </c>
      <c r="AH6" s="48" t="s">
        <v>80</v>
      </c>
      <c r="AI6" s="48" t="s">
        <v>80</v>
      </c>
      <c r="AJ6" s="48" t="s">
        <v>80</v>
      </c>
      <c r="AK6" s="48" t="s">
        <v>80</v>
      </c>
      <c r="AL6" s="48" t="s">
        <v>80</v>
      </c>
      <c r="AM6" t="str">
        <f>VLOOKUP($R6,武学奇术!$A:$ZZ,25,FALSE)</f>
        <v>群体奇术</v>
      </c>
      <c r="AN6" s="33">
        <f>VLOOKUP($R6,武学奇术!$A:$ZZ,26,FALSE)</f>
        <v>1.4906</v>
      </c>
      <c r="AO6" s="34">
        <f>VLOOKUP($R6,武学奇术!$A:$ZZ,27,FALSE)*(1+IF(OR($AM6=$F$4,$AM6=$F$5),$B$22,0))</f>
        <v>386</v>
      </c>
      <c r="AP6" s="33">
        <f>VLOOKUP($R6,武学奇术!$A:$ZZ,28,FALSE)</f>
        <v>2.2359</v>
      </c>
      <c r="AQ6" s="34">
        <f>VLOOKUP($R6,武学奇术!$A:$ZZ,29,FALSE)*(1+IF(OR($AM6=$F$4,$AM6=$F$5),$B$22,0))</f>
        <v>0</v>
      </c>
      <c r="AR6" s="33" cm="1">
        <f t="array" ref="AR6">$G$3+IFERROR(VLOOKUP($AM6,$F$4:$G$7,2,FALSE),0)+VLOOKUP($R6,武学奇术!$A:$ZZ,2,FALSE)+SUM(_xlfn.XLOOKUP($S6:$AL6,增益!$A:$A,增益!$B:$B,0))</f>
        <v>0.3842</v>
      </c>
      <c r="AS6" s="33" cm="1">
        <f t="array" ref="AS6">VLOOKUP($R6,武学奇术!$A:$ZZ,5,FALSE)+SUM(_xlfn.XLOOKUP($S6:$AL6,增益!$A:$A,增益!$E:$E,0))</f>
        <v>0</v>
      </c>
      <c r="AT6" cm="1">
        <f t="array" ref="AT6">$D$10*(1+$AS6)+VLOOKUP($R6,武学奇术!$A:$ZZ,3,FALSE)+SUM(_xlfn.XLOOKUP($S6:$AL6,增益!$A:$A,增益!$C:$C,0))-$I$2</f>
        <v>4026</v>
      </c>
      <c r="AU6" cm="1">
        <f t="array" ref="AU6">$E$10*(1+$AS6)+VLOOKUP($R6,武学奇术!$A:$ZZ,4,FALSE)+SUM(_xlfn.XLOOKUP($S6:$AL6,增益!$A:$A,增益!$D:$D,0))-$I$2</f>
        <v>4026</v>
      </c>
      <c r="AV6" s="40" cm="1">
        <f t="array" ref="AV6">IF($F$10-$I$3+VLOOKUP($R6,武学奇术!$A:$ZZ,6,FALSE)+SUM(_xlfn.XLOOKUP($S6:$AL6,增益!$A:$A,增益!$F:$F,0))&gt;0,($F$10-$I$3+VLOOKUP($R6,武学奇术!$A:$ZZ,6,FALSE)+SUM(_xlfn.XLOOKUP($S6:$AL6,增益!$A:$A,增益!$F:$F,0)))/200,($F$10-$I$3+VLOOKUP($R6,武学奇术!$A:$ZZ,6,FALSE)+SUM(_xlfn.XLOOKUP($S6:$AL6,增益!$A:$A,增益!$F:$F,0)))/100)</f>
        <v>0.3284</v>
      </c>
      <c r="AW6" s="40" cm="1">
        <f t="array" ref="AW6">$G$10+VLOOKUP($R6,武学奇术!$A:$ZZ,7,FALSE)+SUM(_xlfn.XLOOKUP($S6:$AL6,增益!$A:$A,增益!$G:$G,0))</f>
        <v>0.12</v>
      </c>
      <c r="AX6" s="33" cm="1">
        <f t="array" ref="AX6">VLOOKUP($R6,武学奇术!$A:$ZZ,8,FALSE)+SUM(_xlfn.XLOOKUP($S6:$AL6,增益!$A:$A,增益!$H:$H,0))</f>
        <v>0</v>
      </c>
      <c r="AY6">
        <f t="shared" si="2"/>
        <v>0</v>
      </c>
      <c r="AZ6">
        <f t="shared" si="3"/>
        <v>0</v>
      </c>
      <c r="BA6" s="40" cm="1">
        <f t="array" ref="BA6">IF($F$11-$I$4+VLOOKUP($R6,武学奇术!$A:$ZZ,9,FALSE)+SUM(_xlfn.XLOOKUP($S6:$AL6,增益!$A:$A,增益!$I:$I,0))&gt;0,($F$11-$I$4+VLOOKUP($R6,武学奇术!$A:$ZZ,9,FALSE)+SUM(_xlfn.XLOOKUP($S6:$AL6,增益!$A:$A,增益!$I:$I,0)))/200,($F$11-$I$4+VLOOKUP($R6,武学奇术!$A:$ZZ,9,FALSE)+SUM(_xlfn.XLOOKUP($S6:$AL6,增益!$A:$A,增益!$I:$I,0)))/100)</f>
        <v>-0.14</v>
      </c>
      <c r="BB6" s="40" cm="1">
        <f t="array" ref="BB6">$G$11+VLOOKUP($R6,武学奇术!$A:$ZZ,10,FALSE)+SUM(_xlfn.XLOOKUP($S6:$AL6,增益!$A:$A,增益!$J:$J,0))</f>
        <v>0</v>
      </c>
      <c r="BC6">
        <f t="shared" si="4"/>
        <v>640.3</v>
      </c>
      <c r="BD6">
        <f t="shared" si="5"/>
        <v>1770.1</v>
      </c>
      <c r="BE6" s="40" cm="1">
        <f t="array" ref="BE6">IF($F$12-$I$4+VLOOKUP($R6,武学奇术!$A:$ZZ,11,FALSE)+SUM(_xlfn.XLOOKUP($S6:$AL6,增益!$A:$A,增益!$K:$K,0))&gt;0,($F$12-$I$4+VLOOKUP($R6,武学奇术!$A:$ZZ,11,FALSE)+SUM(_xlfn.XLOOKUP($S6:$AL6,增益!$A:$A,增益!$K:$K,0)))/200,($F$12-$I$4+VLOOKUP($R6,武学奇术!$A:$ZZ,11,FALSE)+SUM(_xlfn.XLOOKUP($S6:$AL6,增益!$A:$A,增益!$K:$K,0)))/100)</f>
        <v>0.17</v>
      </c>
      <c r="BF6" s="40" cm="1">
        <f t="array" ref="BF6">$G$12+VLOOKUP($R6,武学奇术!$A:$ZZ,12,FALSE)+SUM(_xlfn.XLOOKUP($S6:$AL6,增益!$A:$A,增益!$L:$L,0))</f>
        <v>0.27</v>
      </c>
      <c r="BG6">
        <f t="shared" si="6"/>
        <v>0</v>
      </c>
      <c r="BH6">
        <f t="shared" si="7"/>
        <v>0</v>
      </c>
      <c r="BI6" s="40" cm="1">
        <f t="array" ref="BI6">IF($F$13-$I$4+VLOOKUP($R6,武学奇术!$A:$ZZ,13,FALSE)+SUM(_xlfn.XLOOKUP($S6:$AL6,增益!$A:$A,增益!$M:$M,0))&gt;0,($F$13-$I$4+VLOOKUP($R6,武学奇术!$A:$ZZ,13,FALSE)+SUM(_xlfn.XLOOKUP($S6:$AL6,增益!$A:$A,增益!$K:$K,0)))/200,($F$13-$I$4+VLOOKUP($R6,武学奇术!$A:$ZZ,13,FALSE)+SUM(_xlfn.XLOOKUP($S6:$AL6,增益!$A:$A,增益!$M:$M,0)))/100)</f>
        <v>-0.14</v>
      </c>
      <c r="BJ6" s="40" cm="1">
        <f t="array" ref="BJ6">$G$13+VLOOKUP($R6,武学奇术!$A:$ZZ,14,FALSE)+SUM(_xlfn.XLOOKUP($S6:$AL6,增益!$A:$A,增益!$N:$N,0))</f>
        <v>0</v>
      </c>
      <c r="BK6">
        <f t="shared" si="8"/>
        <v>0</v>
      </c>
      <c r="BL6">
        <f t="shared" si="9"/>
        <v>0</v>
      </c>
      <c r="BM6" s="40" cm="1">
        <f t="array" ref="BM6">IF($F$14-$I$4+VLOOKUP($R6,武学奇术!$A:$ZZ,15,FALSE)+SUM(_xlfn.XLOOKUP($S6:$AL6,增益!$A:$A,增益!$O:$O,0))&gt;0,($F$14-$I$4+VLOOKUP($R6,武学奇术!$A:$ZZ,15,FALSE)+SUM(_xlfn.XLOOKUP($S6:$AL6,增益!$A:$A,增益!$O:$O,0)))/200,($F$14-$I$4+VLOOKUP($R6,武学奇术!$A:$ZZ,15,FALSE)+SUM(_xlfn.XLOOKUP($S6:$AL6,增益!$A:$A,增益!$O:$O,0)))/100)</f>
        <v>-0.14</v>
      </c>
      <c r="BN6" s="40" cm="1">
        <f t="array" ref="BN6">$G$14+VLOOKUP($R6,武学奇术!$A:$ZZ,16,FALSE)+SUM(_xlfn.XLOOKUP($S6:$AL6,增益!$A:$A,增益!$P:$P,0))</f>
        <v>0</v>
      </c>
      <c r="BO6" s="33">
        <f>MIN(IF(VLOOKUP($R6,武学奇术!$A:$ZZ,23,FALSE)=1,100%,$B$8),100%)</f>
        <v>0.9771</v>
      </c>
      <c r="BP6" s="33" cm="1">
        <f t="array" ref="BP6">IF(VLOOKUP($R6,武学奇术!$A:$ZZ,23,FALSE)=1,100%,MIN(80%,$B$9+VLOOKUP($R6,武学奇术!$A:$ZZ,17,FALSE)+SUM(_xlfn.XLOOKUP($S6:$AL6,增益!$A:$A,增益!$Q:$Q,0)))+$B$11+SUM(_xlfn.XLOOKUP($S6:$AL6,增益!$A:$A,增益!$U:$U,0)))*IF(VLOOKUP($R6,武学奇术!$A:$ZZ,24,FALSE)=1,0,1)</f>
        <v>0.8861</v>
      </c>
      <c r="BQ6" s="33" cm="1">
        <f t="array" ref="BQ6">1+$B$13+VLOOKUP($R6,武学奇术!$A:$ZZ,18,FALSE)+SUM(_xlfn.XLOOKUP($S6:$AL6,增益!$A:$A,增益!$R:$R,0))</f>
        <v>1.9</v>
      </c>
      <c r="BR6" s="33" cm="1">
        <f t="array" ref="BR6">IF(VLOOKUP($R6,武学奇术!$A:$ZZ,24,FALSE)=1,100%,MIN(40%,$B$10+VLOOKUP($R6,武学奇术!$A:$ZZ,19,FALSE)+SUM(_xlfn.XLOOKUP($S6:$AL6,增益!$A:$A,增益!$S:$S,0)))+$B$12+SUM(_xlfn.XLOOKUP($S6:$AL6,增益!$A:$A,增益!$V:$V,0)))*IF(VLOOKUP($R6,武学奇术!$A:$ZZ,23,FALSE)=1,0,1)</f>
        <v>0.0913</v>
      </c>
      <c r="BS6" s="33" cm="1">
        <f t="array" ref="BS6">1+$B$14+VLOOKUP($R6,武学奇术!$A:$ZZ,20,FALSE)+SUM(_xlfn.XLOOKUP($S6:$AL6,增益!$A:$A,增益!$T:$T,0))</f>
        <v>1.35</v>
      </c>
      <c r="BT6" s="33">
        <f t="shared" si="10"/>
        <v>0.86580831</v>
      </c>
      <c r="BU6" s="33">
        <f t="shared" si="11"/>
        <v>0.02208246</v>
      </c>
      <c r="BV6" s="33">
        <f>IF(VLOOKUP($R6,武学奇术!$A:$ZZ,22,FALSE)=1,0,(1-$BO6))*(1-$BR6)</f>
        <v>0.02080923</v>
      </c>
      <c r="BW6" s="33" cm="1">
        <f t="array" ref="BW6">SUM(_xlfn.XLOOKUP($S6:$AL6,增益!$A:$A,增益!$W:$W,0))+$I$5</f>
        <v>0.11</v>
      </c>
      <c r="BX6" s="33" cm="1">
        <f t="array" ref="BX6">VLOOKUP($R6,武学奇术!$A:$ZZ,32,FALSE)+SUM(_xlfn.XLOOKUP($S6:$AL6,增益!$A:$A,增益!$X:$X,0))</f>
        <v>0</v>
      </c>
    </row>
    <row r="7" ht="14.25" spans="1:76">
      <c r="A7" s="49" t="s">
        <v>104</v>
      </c>
      <c r="B7" s="68"/>
      <c r="C7" s="68"/>
      <c r="D7" s="69"/>
      <c r="E7" s="70"/>
      <c r="F7" s="61" t="s">
        <v>105</v>
      </c>
      <c r="G7" s="71">
        <f>B19</f>
        <v>0</v>
      </c>
      <c r="L7" s="46">
        <f t="shared" si="0"/>
        <v>52636.7818833398</v>
      </c>
      <c r="M7" s="46">
        <f>((($AT7+$AU7)/2*$AN7+$AO7)*(1+$AV7)*(1+$AW7)+(($AY7+$AZ7)/2*IF($G$1="鸣金",$AP7,$AN7)+IF($G$1="鸣金",$AQ7*1.5,0))*(1+$BA7)*(1+$BB7)+(($BC7+$BD7)/2*IF($G$1="裂石",$AP7,$AN7)+IF($G$1="裂石",$AQ7*1.5,0))*(1+$BE7)*(1+$BF7)+(($BG7+$BH7)/2*IF($G$1="牵丝",$AP7,$AN7)+IF($G$1="牵丝",$AQ7*1.5,0))*(1+$BI7)*(1+$BJ7)+(($BK7+$BL7)/2*IF($G$1="破竹",$AP7,$AN7)+IF($G$1="破竹",$AQ7*1.5,0))*(1+$BM7)*(1+$BN7))*(1+$AR7)*$BQ7*$Q7*(1+IF(VLOOKUP($R7,武学奇术!$A:$ZZ,30,FALSE)="蓄力技",$B$21,0))*(1+IF(VLOOKUP($R7,武学奇术!$A:$ZZ,30,FALSE)="派生技",$B$20,0))*(1+$BW7)*(1+$BX7)</f>
        <v>54368.1452662495</v>
      </c>
      <c r="N7" s="46">
        <f>(($AU7*$AN7+$AO7)*(1+$AV7)*(1+$AW7)+($AZ7*IF($G$1="鸣金",$AP7,$AN7)+IF($G$1="鸣金",$AQ7*1.5,0))*(1+$BA7)*(1+$BB7)+($BD7*IF($G$1="裂石",$AP7,$AN7)+IF($G$1="裂石",$AQ7*1.5,0))*(1+$BE7)*(1+$BF7)+($BH7*IF($G$1="牵丝",$AP7,$AN7)+IF($G$1="牵丝",$AQ7*1.5,0))*(1+$BI7)*(1+$BJ7)+($BL7*IF($G$1="破竹",$AP7,$AN7)+IF($G$1="破竹",$AQ7*1.5,0))*(1+$BM7)*(1+$BN7))*(1+$AR7)*$BS7*$Q7*(1+IF(VLOOKUP($R7,武学奇术!$A:$ZZ,30,FALSE)="蓄力技",$B$21,0))*(1+IF(VLOOKUP($R7,武学奇术!$A:$ZZ,30,FALSE)="派生技",$B$20,0))*(1+$BW7)*(1+$BX7)</f>
        <v>47541.5013886735</v>
      </c>
      <c r="O7" s="46">
        <f>((($AT7+$AU7)/2*$AN7+$AO7)*(1+$AV7)*(1+$AW7)+(($AY7+$AZ7)/2*IF($G$1="鸣金",$AP7,$AN7)+IF($G$1="鸣金",$AQ7*1.5,0))*(1+$BA7)*(1+$BB7)+(($BC7+$BD7)/2*IF($G$1="裂石",$AP7,$AN7)+IF($G$1="裂石",$AQ7*1.5,0))*(1+$BE7)*(1+$BF7)+(($BG7+$BH7)/2*IF($G$1="牵丝",$AP7,$AN7)+IF($G$1="牵丝",$AQ7*1.5,0))*(1+$BI7)*(1+$BJ7)+(($BK7+$BL7)/2*IF($G$1="破竹",$AP7,$AN7)+IF($G$1="破竹",$AQ7*1.5,0))*(1+$BM7)*(1+$BN7))*(1+$AR7)*$Q7*(1+IF(VLOOKUP($R7,武学奇术!$A:$ZZ,30,FALSE)="蓄力技",$B$21,0))*(1+IF(VLOOKUP($R7,武学奇术!$A:$ZZ,30,FALSE)="派生技",$B$20,0))*(1+$BW7)*(1+$BX7)</f>
        <v>30716.4662521183</v>
      </c>
      <c r="P7" s="46">
        <f>((($AT7*$AN7+$AO7)*(1+$AV7)*(1+$AW7)+($AY7*IF($G$1="鸣金",$AP7,$AN7)+IF($G$1="鸣金",$AQ7*1.5,0))*(1+$BA7)*(1+$BB7)+($BC7*IF($G$1="裂石",$AP7,$AN7)+IF($G$1="裂石",$AQ7*1.5,0))*(1+$BE7)*(1+$BF7)+($BG7*IF($G$1="牵丝",$AP7,$AN7)+IF($G$1="牵丝",$AQ7*1.5,0))*(1+$BI7)*(1+$BJ7)+($BK7*IF($G$1="破竹",$AP7,$AN7)+IF($G$1="破竹",$AQ7*1.5,0))*(1+$BM7)*(1+$BN7))*(1+$AR7))*$Q7*(1+IF(VLOOKUP($R7,武学奇术!$A:$ZZ,30,FALSE)="蓄力技",$B$21,0))*(1+IF(VLOOKUP($R7,武学奇术!$A:$ZZ,30,FALSE)="派生技",$B$20,0))*(1+$BW7)*(1+$BX7)</f>
        <v>26217.0055496637</v>
      </c>
      <c r="Q7" s="47">
        <f t="shared" si="1"/>
        <v>1</v>
      </c>
      <c r="R7" s="48" t="s">
        <v>106</v>
      </c>
      <c r="S7" s="48" t="s">
        <v>77</v>
      </c>
      <c r="T7" s="48" t="s">
        <v>89</v>
      </c>
      <c r="U7" s="48" t="s">
        <v>79</v>
      </c>
      <c r="V7" s="48" t="s">
        <v>90</v>
      </c>
      <c r="W7" s="48" t="s">
        <v>80</v>
      </c>
      <c r="X7" s="48" t="s">
        <v>80</v>
      </c>
      <c r="Y7" s="48" t="s">
        <v>80</v>
      </c>
      <c r="Z7" s="48" t="s">
        <v>81</v>
      </c>
      <c r="AA7" s="48" t="s">
        <v>80</v>
      </c>
      <c r="AB7" s="48" t="s">
        <v>80</v>
      </c>
      <c r="AC7" s="48" t="s">
        <v>80</v>
      </c>
      <c r="AD7" s="48" t="s">
        <v>80</v>
      </c>
      <c r="AE7" s="48" t="s">
        <v>80</v>
      </c>
      <c r="AF7" s="48" t="s">
        <v>83</v>
      </c>
      <c r="AG7" s="48" t="s">
        <v>84</v>
      </c>
      <c r="AH7" s="48" t="s">
        <v>80</v>
      </c>
      <c r="AI7" s="48" t="s">
        <v>80</v>
      </c>
      <c r="AJ7" s="48" t="s">
        <v>80</v>
      </c>
      <c r="AK7" s="48" t="s">
        <v>80</v>
      </c>
      <c r="AL7" s="48" t="s">
        <v>80</v>
      </c>
      <c r="AM7" t="str">
        <f>VLOOKUP($R7,武学奇术!$A:$ZZ,25,FALSE)</f>
        <v>群体奇术</v>
      </c>
      <c r="AN7" s="33">
        <f>VLOOKUP($R7,武学奇术!$A:$ZZ,26,FALSE)</f>
        <v>2.3774</v>
      </c>
      <c r="AO7" s="34">
        <f>VLOOKUP($R7,武学奇术!$A:$ZZ,27,FALSE)*(1+IF(OR($AM7=$F$4,$AM7=$F$5),$B$22,0))</f>
        <v>476</v>
      </c>
      <c r="AP7" s="33">
        <f>VLOOKUP($R7,武学奇术!$A:$ZZ,28,FALSE)</f>
        <v>3.5661</v>
      </c>
      <c r="AQ7" s="34">
        <f>VLOOKUP($R7,武学奇术!$A:$ZZ,29,FALSE)*(1+IF(OR($AM7=$F$4,$AM7=$F$5),$B$22,0))</f>
        <v>0</v>
      </c>
      <c r="AR7" s="33" cm="1">
        <f t="array" ref="AR7">$G$3+IFERROR(VLOOKUP($AM7,$F$4:$G$7,2,FALSE),0)+VLOOKUP($R7,武学奇术!$A:$ZZ,2,FALSE)+SUM(_xlfn.XLOOKUP($S7:$AL7,增益!$A:$A,增益!$B:$B,0))</f>
        <v>0.3542</v>
      </c>
      <c r="AS7" s="33" cm="1">
        <f t="array" ref="AS7">VLOOKUP($R7,武学奇术!$A:$ZZ,5,FALSE)+SUM(_xlfn.XLOOKUP($S7:$AL7,增益!$A:$A,增益!$E:$E,0))</f>
        <v>0</v>
      </c>
      <c r="AT7" cm="1">
        <f t="array" ref="AT7">$D$10*(1+$AS7)+VLOOKUP($R7,武学奇术!$A:$ZZ,3,FALSE)+SUM(_xlfn.XLOOKUP($S7:$AL7,增益!$A:$A,增益!$C:$C,0))-$I$2</f>
        <v>4026</v>
      </c>
      <c r="AU7" cm="1">
        <f t="array" ref="AU7">$E$10*(1+$AS7)+VLOOKUP($R7,武学奇术!$A:$ZZ,4,FALSE)+SUM(_xlfn.XLOOKUP($S7:$AL7,增益!$A:$A,增益!$D:$D,0))-$I$2</f>
        <v>4026</v>
      </c>
      <c r="AV7" s="40" cm="1">
        <f t="array" ref="AV7">IF($F$10-$I$3+VLOOKUP($R7,武学奇术!$A:$ZZ,6,FALSE)+SUM(_xlfn.XLOOKUP($S7:$AL7,增益!$A:$A,增益!$F:$F,0))&gt;0,($F$10-$I$3+VLOOKUP($R7,武学奇术!$A:$ZZ,6,FALSE)+SUM(_xlfn.XLOOKUP($S7:$AL7,增益!$A:$A,增益!$F:$F,0)))/200,($F$10-$I$3+VLOOKUP($R7,武学奇术!$A:$ZZ,6,FALSE)+SUM(_xlfn.XLOOKUP($S7:$AL7,增益!$A:$A,增益!$F:$F,0)))/100)</f>
        <v>0.2484</v>
      </c>
      <c r="AW7" s="40" cm="1">
        <f t="array" ref="AW7">$G$10+VLOOKUP($R7,武学奇术!$A:$ZZ,7,FALSE)+SUM(_xlfn.XLOOKUP($S7:$AL7,增益!$A:$A,增益!$G:$G,0))</f>
        <v>0.12</v>
      </c>
      <c r="AX7" s="33" cm="1">
        <f t="array" ref="AX7">VLOOKUP($R7,武学奇术!$A:$ZZ,8,FALSE)+SUM(_xlfn.XLOOKUP($S7:$AL7,增益!$A:$A,增益!$H:$H,0))</f>
        <v>0</v>
      </c>
      <c r="AY7">
        <f t="shared" si="2"/>
        <v>0</v>
      </c>
      <c r="AZ7">
        <f t="shared" si="3"/>
        <v>0</v>
      </c>
      <c r="BA7" s="40" cm="1">
        <f t="array" ref="BA7">IF($F$11-$I$4+VLOOKUP($R7,武学奇术!$A:$ZZ,9,FALSE)+SUM(_xlfn.XLOOKUP($S7:$AL7,增益!$A:$A,增益!$I:$I,0))&gt;0,($F$11-$I$4+VLOOKUP($R7,武学奇术!$A:$ZZ,9,FALSE)+SUM(_xlfn.XLOOKUP($S7:$AL7,增益!$A:$A,增益!$I:$I,0)))/200,($F$11-$I$4+VLOOKUP($R7,武学奇术!$A:$ZZ,9,FALSE)+SUM(_xlfn.XLOOKUP($S7:$AL7,增益!$A:$A,增益!$I:$I,0)))/100)</f>
        <v>-0.14</v>
      </c>
      <c r="BB7" s="40" cm="1">
        <f t="array" ref="BB7">$G$11+VLOOKUP($R7,武学奇术!$A:$ZZ,10,FALSE)+SUM(_xlfn.XLOOKUP($S7:$AL7,增益!$A:$A,增益!$J:$J,0))</f>
        <v>0</v>
      </c>
      <c r="BC7">
        <f t="shared" si="4"/>
        <v>640.3</v>
      </c>
      <c r="BD7">
        <f t="shared" si="5"/>
        <v>1770.1</v>
      </c>
      <c r="BE7" s="40" cm="1">
        <f t="array" ref="BE7">IF($F$12-$I$4+VLOOKUP($R7,武学奇术!$A:$ZZ,11,FALSE)+SUM(_xlfn.XLOOKUP($S7:$AL7,增益!$A:$A,增益!$K:$K,0))&gt;0,($F$12-$I$4+VLOOKUP($R7,武学奇术!$A:$ZZ,11,FALSE)+SUM(_xlfn.XLOOKUP($S7:$AL7,增益!$A:$A,增益!$K:$K,0)))/200,($F$12-$I$4+VLOOKUP($R7,武学奇术!$A:$ZZ,11,FALSE)+SUM(_xlfn.XLOOKUP($S7:$AL7,增益!$A:$A,增益!$K:$K,0)))/100)</f>
        <v>0.17</v>
      </c>
      <c r="BF7" s="40" cm="1">
        <f t="array" ref="BF7">$G$12+VLOOKUP($R7,武学奇术!$A:$ZZ,12,FALSE)+SUM(_xlfn.XLOOKUP($S7:$AL7,增益!$A:$A,增益!$L:$L,0))</f>
        <v>0.27</v>
      </c>
      <c r="BG7">
        <f t="shared" si="6"/>
        <v>0</v>
      </c>
      <c r="BH7">
        <f t="shared" si="7"/>
        <v>0</v>
      </c>
      <c r="BI7" s="40" cm="1">
        <f t="array" ref="BI7">IF($F$13-$I$4+VLOOKUP($R7,武学奇术!$A:$ZZ,13,FALSE)+SUM(_xlfn.XLOOKUP($S7:$AL7,增益!$A:$A,增益!$M:$M,0))&gt;0,($F$13-$I$4+VLOOKUP($R7,武学奇术!$A:$ZZ,13,FALSE)+SUM(_xlfn.XLOOKUP($S7:$AL7,增益!$A:$A,增益!$K:$K,0)))/200,($F$13-$I$4+VLOOKUP($R7,武学奇术!$A:$ZZ,13,FALSE)+SUM(_xlfn.XLOOKUP($S7:$AL7,增益!$A:$A,增益!$M:$M,0)))/100)</f>
        <v>-0.14</v>
      </c>
      <c r="BJ7" s="40" cm="1">
        <f t="array" ref="BJ7">$G$13+VLOOKUP($R7,武学奇术!$A:$ZZ,14,FALSE)+SUM(_xlfn.XLOOKUP($S7:$AL7,增益!$A:$A,增益!$N:$N,0))</f>
        <v>0</v>
      </c>
      <c r="BK7">
        <f t="shared" si="8"/>
        <v>0</v>
      </c>
      <c r="BL7">
        <f t="shared" si="9"/>
        <v>0</v>
      </c>
      <c r="BM7" s="40" cm="1">
        <f t="array" ref="BM7">IF($F$14-$I$4+VLOOKUP($R7,武学奇术!$A:$ZZ,15,FALSE)+SUM(_xlfn.XLOOKUP($S7:$AL7,增益!$A:$A,增益!$O:$O,0))&gt;0,($F$14-$I$4+VLOOKUP($R7,武学奇术!$A:$ZZ,15,FALSE)+SUM(_xlfn.XLOOKUP($S7:$AL7,增益!$A:$A,增益!$O:$O,0)))/200,($F$14-$I$4+VLOOKUP($R7,武学奇术!$A:$ZZ,15,FALSE)+SUM(_xlfn.XLOOKUP($S7:$AL7,增益!$A:$A,增益!$O:$O,0)))/100)</f>
        <v>-0.14</v>
      </c>
      <c r="BN7" s="40" cm="1">
        <f t="array" ref="BN7">$G$14+VLOOKUP($R7,武学奇术!$A:$ZZ,16,FALSE)+SUM(_xlfn.XLOOKUP($S7:$AL7,增益!$A:$A,增益!$P:$P,0))</f>
        <v>0</v>
      </c>
      <c r="BO7" s="33">
        <f>MIN(IF(VLOOKUP($R7,武学奇术!$A:$ZZ,23,FALSE)=1,100%,$B$8),100%)</f>
        <v>0.9771</v>
      </c>
      <c r="BP7" s="33" cm="1">
        <f t="array" ref="BP7">IF(VLOOKUP($R7,武学奇术!$A:$ZZ,23,FALSE)=1,100%,MIN(80%,$B$9+VLOOKUP($R7,武学奇术!$A:$ZZ,17,FALSE)+SUM(_xlfn.XLOOKUP($S7:$AL7,增益!$A:$A,增益!$Q:$Q,0)))+$B$11+SUM(_xlfn.XLOOKUP($S7:$AL7,增益!$A:$A,增益!$U:$U,0)))*IF(VLOOKUP($R7,武学奇术!$A:$ZZ,24,FALSE)=1,0,1)</f>
        <v>0.8861</v>
      </c>
      <c r="BQ7" s="33" cm="1">
        <f t="array" ref="BQ7">1+$B$13+VLOOKUP($R7,武学奇术!$A:$ZZ,18,FALSE)+SUM(_xlfn.XLOOKUP($S7:$AL7,增益!$A:$A,增益!$R:$R,0))</f>
        <v>1.77</v>
      </c>
      <c r="BR7" s="33" cm="1">
        <f t="array" ref="BR7">IF(VLOOKUP($R7,武学奇术!$A:$ZZ,24,FALSE)=1,100%,MIN(40%,$B$10+VLOOKUP($R7,武学奇术!$A:$ZZ,19,FALSE)+SUM(_xlfn.XLOOKUP($S7:$AL7,增益!$A:$A,增益!$S:$S,0)))+$B$12+SUM(_xlfn.XLOOKUP($S7:$AL7,增益!$A:$A,增益!$V:$V,0)))*IF(VLOOKUP($R7,武学奇术!$A:$ZZ,23,FALSE)=1,0,1)</f>
        <v>0.0913</v>
      </c>
      <c r="BS7" s="33" cm="1">
        <f t="array" ref="BS7">1+$B$14+VLOOKUP($R7,武学奇术!$A:$ZZ,20,FALSE)+SUM(_xlfn.XLOOKUP($S7:$AL7,增益!$A:$A,增益!$T:$T,0))</f>
        <v>1.35</v>
      </c>
      <c r="BT7" s="33">
        <f t="shared" si="10"/>
        <v>0.86580831</v>
      </c>
      <c r="BU7" s="33">
        <f t="shared" si="11"/>
        <v>0.02208246</v>
      </c>
      <c r="BV7" s="33">
        <f>IF(VLOOKUP($R7,武学奇术!$A:$ZZ,22,FALSE)=1,0,(1-$BO7))*(1-$BR7)</f>
        <v>0.02080923</v>
      </c>
      <c r="BW7" s="33" cm="1">
        <f t="array" ref="BW7">SUM(_xlfn.XLOOKUP($S7:$AL7,增益!$A:$A,增益!$W:$W,0))+$I$5</f>
        <v>0.11</v>
      </c>
      <c r="BX7" s="33" cm="1">
        <f t="array" ref="BX7">VLOOKUP($R7,武学奇术!$A:$ZZ,32,FALSE)+SUM(_xlfn.XLOOKUP($S7:$AL7,增益!$A:$A,增益!$X:$X,0))</f>
        <v>0</v>
      </c>
    </row>
    <row r="8" spans="1:76">
      <c r="A8" s="72" t="s">
        <v>107</v>
      </c>
      <c r="B8" s="73">
        <f>期望!B8</f>
        <v>0.9771</v>
      </c>
      <c r="C8" s="74" t="s">
        <v>108</v>
      </c>
      <c r="D8" s="74"/>
      <c r="E8" s="74"/>
      <c r="F8" s="74"/>
      <c r="G8" s="45"/>
      <c r="H8" s="75" t="s">
        <v>109</v>
      </c>
      <c r="I8" s="18">
        <f>期望!I8</f>
        <v>89.4</v>
      </c>
      <c r="J8" s="76"/>
      <c r="K8" s="77"/>
      <c r="L8" s="46">
        <f t="shared" si="0"/>
        <v>57529.7828426667</v>
      </c>
      <c r="M8" s="46">
        <f>((($AT8+$AU8)/2*$AN8+$AO8)*(1+$AV8)*(1+$AW8)+(($AY8+$AZ8)/2*IF($G$1="鸣金",$AP8,$AN8)+IF($G$1="鸣金",$AQ8*1.5,0))*(1+$BA8)*(1+$BB8)+(($BC8+$BD8)/2*IF($G$1="裂石",$AP8,$AN8)+IF($G$1="裂石",$AQ8*1.5,0))*(1+$BE8)*(1+$BF8)+(($BG8+$BH8)/2*IF($G$1="牵丝",$AP8,$AN8)+IF($G$1="牵丝",$AQ8*1.5,0))*(1+$BI8)*(1+$BJ8)+(($BK8+$BL8)/2*IF($G$1="破竹",$AP8,$AN8)+IF($G$1="破竹",$AQ8*1.5,0))*(1+$BM8)*(1+$BN8))*(1+$AR8)*$BQ8*$Q8*(1+IF(VLOOKUP($R8,武学奇术!$A:$ZZ,30,FALSE)="蓄力技",$B$21,0))*(1+IF(VLOOKUP($R8,武学奇术!$A:$ZZ,30,FALSE)="派生技",$B$20,0))*(1+$BW8)*(1+$BX8)</f>
        <v>59775.8564423629</v>
      </c>
      <c r="N8" s="46">
        <f>(($AU8*$AN8+$AO8)*(1+$AV8)*(1+$AW8)+($AZ8*IF($G$1="鸣金",$AP8,$AN8)+IF($G$1="鸣金",$AQ8*1.5,0))*(1+$BA8)*(1+$BB8)+($BD8*IF($G$1="裂石",$AP8,$AN8)+IF($G$1="裂石",$AQ8*1.5,0))*(1+$BE8)*(1+$BF8)+($BH8*IF($G$1="牵丝",$AP8,$AN8)+IF($G$1="牵丝",$AQ8*1.5,0))*(1+$BI8)*(1+$BJ8)+($BL8*IF($G$1="破竹",$AP8,$AN8)+IF($G$1="破竹",$AQ8*1.5,0))*(1+$BM8)*(1+$BN8))*(1+$AR8)*$BS8*$Q8*(1+IF(VLOOKUP($R8,武学奇术!$A:$ZZ,30,FALSE)="蓄力技",$B$21,0))*(1+IF(VLOOKUP($R8,武学奇术!$A:$ZZ,30,FALSE)="派生技",$B$20,0))*(1+$BW8)*(1+$BX8)</f>
        <v>49272.8201598465</v>
      </c>
      <c r="O8" s="46">
        <f>((($AT8+$AU8)/2*$AN8+$AO8)*(1+$AV8)*(1+$AW8)+(($AY8+$AZ8)/2*IF($G$1="鸣金",$AP8,$AN8)+IF($G$1="鸣金",$AQ8*1.5,0))*(1+$BA8)*(1+$BB8)+(($BC8+$BD8)/2*IF($G$1="裂石",$AP8,$AN8)+IF($G$1="裂石",$AQ8*1.5,0))*(1+$BE8)*(1+$BF8)+(($BG8+$BH8)/2*IF($G$1="牵丝",$AP8,$AN8)+IF($G$1="牵丝",$AQ8*1.5,0))*(1+$BI8)*(1+$BJ8)+(($BK8+$BL8)/2*IF($G$1="破竹",$AP8,$AN8)+IF($G$1="破竹",$AQ8*1.5,0))*(1+$BM8)*(1+$BN8))*(1+$AR8)*$Q8*(1+IF(VLOOKUP($R8,武学奇术!$A:$ZZ,30,FALSE)="蓄力技",$B$21,0))*(1+IF(VLOOKUP($R8,武学奇术!$A:$ZZ,30,FALSE)="派生技",$B$20,0))*(1+$BW8)*(1+$BX8)</f>
        <v>31965.6986322796</v>
      </c>
      <c r="P8" s="46">
        <f>((($AT8*$AN8+$AO8)*(1+$AV8)*(1+$AW8)+($AY8*IF($G$1="鸣金",$AP8,$AN8)+IF($G$1="鸣金",$AQ8*1.5,0))*(1+$BA8)*(1+$BB8)+($BC8*IF($G$1="裂石",$AP8,$AN8)+IF($G$1="裂石",$AQ8*1.5,0))*(1+$BE8)*(1+$BF8)+($BG8*IF($G$1="牵丝",$AP8,$AN8)+IF($G$1="牵丝",$AQ8*1.5,0))*(1+$BI8)*(1+$BJ8)+($BK8*IF($G$1="破竹",$AP8,$AN8)+IF($G$1="破竹",$AQ8*1.5,0))*(1+$BM8)*(1+$BN8))*(1+$AR8))*$Q8*(1+IF(VLOOKUP($R8,武学奇术!$A:$ZZ,30,FALSE)="蓄力技",$B$21,0))*(1+IF(VLOOKUP($R8,武学奇术!$A:$ZZ,30,FALSE)="派生技",$B$20,0))*(1+$BW8)*(1+$BX8)</f>
        <v>27433.0119609692</v>
      </c>
      <c r="Q8" s="47">
        <f t="shared" si="1"/>
        <v>1</v>
      </c>
      <c r="R8" s="48" t="s">
        <v>106</v>
      </c>
      <c r="S8" s="48" t="s">
        <v>88</v>
      </c>
      <c r="T8" s="48" t="s">
        <v>89</v>
      </c>
      <c r="U8" s="48" t="s">
        <v>79</v>
      </c>
      <c r="V8" s="48" t="s">
        <v>90</v>
      </c>
      <c r="W8" s="48" t="s">
        <v>91</v>
      </c>
      <c r="X8" s="48" t="s">
        <v>80</v>
      </c>
      <c r="Y8" s="48" t="s">
        <v>80</v>
      </c>
      <c r="Z8" s="48" t="s">
        <v>81</v>
      </c>
      <c r="AA8" s="48" t="s">
        <v>80</v>
      </c>
      <c r="AB8" s="48" t="s">
        <v>80</v>
      </c>
      <c r="AC8" s="48" t="s">
        <v>80</v>
      </c>
      <c r="AD8" s="48" t="s">
        <v>80</v>
      </c>
      <c r="AE8" s="48" t="s">
        <v>80</v>
      </c>
      <c r="AF8" s="48" t="s">
        <v>83</v>
      </c>
      <c r="AG8" s="48" t="s">
        <v>84</v>
      </c>
      <c r="AH8" s="48" t="s">
        <v>80</v>
      </c>
      <c r="AI8" s="48" t="s">
        <v>80</v>
      </c>
      <c r="AJ8" s="48" t="s">
        <v>80</v>
      </c>
      <c r="AK8" s="48" t="s">
        <v>80</v>
      </c>
      <c r="AL8" s="48" t="s">
        <v>80</v>
      </c>
      <c r="AM8" t="str">
        <f>VLOOKUP($R8,武学奇术!$A:$ZZ,25,FALSE)</f>
        <v>群体奇术</v>
      </c>
      <c r="AN8" s="33">
        <f>VLOOKUP($R8,武学奇术!$A:$ZZ,26,FALSE)</f>
        <v>2.3774</v>
      </c>
      <c r="AO8" s="34">
        <f>VLOOKUP($R8,武学奇术!$A:$ZZ,27,FALSE)*(1+IF(OR($AM8=$F$4,$AM8=$F$5),$B$22,0))</f>
        <v>476</v>
      </c>
      <c r="AP8" s="33">
        <f>VLOOKUP($R8,武学奇术!$A:$ZZ,28,FALSE)</f>
        <v>3.5661</v>
      </c>
      <c r="AQ8" s="34">
        <f>VLOOKUP($R8,武学奇术!$A:$ZZ,29,FALSE)*(1+IF(OR($AM8=$F$4,$AM8=$F$5),$B$22,0))</f>
        <v>0</v>
      </c>
      <c r="AR8" s="33" cm="1">
        <f t="array" ref="AR8">$G$3+IFERROR(VLOOKUP($AM8,$F$4:$G$7,2,FALSE),0)+VLOOKUP($R8,武学奇术!$A:$ZZ,2,FALSE)+SUM(_xlfn.XLOOKUP($S8:$AL8,增益!$A:$A,增益!$B:$B,0))</f>
        <v>0.3642</v>
      </c>
      <c r="AS8" s="33" cm="1">
        <f t="array" ref="AS8">VLOOKUP($R8,武学奇术!$A:$ZZ,5,FALSE)+SUM(_xlfn.XLOOKUP($S8:$AL8,增益!$A:$A,增益!$E:$E,0))</f>
        <v>0</v>
      </c>
      <c r="AT8" cm="1">
        <f t="array" ref="AT8">$D$10*(1+$AS8)+VLOOKUP($R8,武学奇术!$A:$ZZ,3,FALSE)+SUM(_xlfn.XLOOKUP($S8:$AL8,增益!$A:$A,增益!$C:$C,0))-$I$2</f>
        <v>4026</v>
      </c>
      <c r="AU8" cm="1">
        <f t="array" ref="AU8">$E$10*(1+$AS8)+VLOOKUP($R8,武学奇术!$A:$ZZ,4,FALSE)+SUM(_xlfn.XLOOKUP($S8:$AL8,增益!$A:$A,增益!$D:$D,0))-$I$2</f>
        <v>4026</v>
      </c>
      <c r="AV8" s="40" cm="1">
        <f t="array" ref="AV8">IF($F$10-$I$3+VLOOKUP($R8,武学奇术!$A:$ZZ,6,FALSE)+SUM(_xlfn.XLOOKUP($S8:$AL8,增益!$A:$A,增益!$F:$F,0))&gt;0,($F$10-$I$3+VLOOKUP($R8,武学奇术!$A:$ZZ,6,FALSE)+SUM(_xlfn.XLOOKUP($S8:$AL8,增益!$A:$A,增益!$F:$F,0)))/200,($F$10-$I$3+VLOOKUP($R8,武学奇术!$A:$ZZ,6,FALSE)+SUM(_xlfn.XLOOKUP($S8:$AL8,增益!$A:$A,增益!$F:$F,0)))/100)</f>
        <v>0.3084</v>
      </c>
      <c r="AW8" s="40" cm="1">
        <f t="array" ref="AW8">$G$10+VLOOKUP($R8,武学奇术!$A:$ZZ,7,FALSE)+SUM(_xlfn.XLOOKUP($S8:$AL8,增益!$A:$A,增益!$G:$G,0))</f>
        <v>0.12</v>
      </c>
      <c r="AX8" s="33" cm="1">
        <f t="array" ref="AX8">VLOOKUP($R8,武学奇术!$A:$ZZ,8,FALSE)+SUM(_xlfn.XLOOKUP($S8:$AL8,增益!$A:$A,增益!$H:$H,0))</f>
        <v>0</v>
      </c>
      <c r="AY8">
        <f t="shared" si="2"/>
        <v>0</v>
      </c>
      <c r="AZ8">
        <f t="shared" si="3"/>
        <v>0</v>
      </c>
      <c r="BA8" s="40" cm="1">
        <f t="array" ref="BA8">IF($F$11-$I$4+VLOOKUP($R8,武学奇术!$A:$ZZ,9,FALSE)+SUM(_xlfn.XLOOKUP($S8:$AL8,增益!$A:$A,增益!$I:$I,0))&gt;0,($F$11-$I$4+VLOOKUP($R8,武学奇术!$A:$ZZ,9,FALSE)+SUM(_xlfn.XLOOKUP($S8:$AL8,增益!$A:$A,增益!$I:$I,0)))/200,($F$11-$I$4+VLOOKUP($R8,武学奇术!$A:$ZZ,9,FALSE)+SUM(_xlfn.XLOOKUP($S8:$AL8,增益!$A:$A,增益!$I:$I,0)))/100)</f>
        <v>-0.14</v>
      </c>
      <c r="BB8" s="40" cm="1">
        <f t="array" ref="BB8">$G$11+VLOOKUP($R8,武学奇术!$A:$ZZ,10,FALSE)+SUM(_xlfn.XLOOKUP($S8:$AL8,增益!$A:$A,增益!$J:$J,0))</f>
        <v>0</v>
      </c>
      <c r="BC8">
        <f t="shared" si="4"/>
        <v>640.3</v>
      </c>
      <c r="BD8">
        <f t="shared" si="5"/>
        <v>1770.1</v>
      </c>
      <c r="BE8" s="40" cm="1">
        <f t="array" ref="BE8">IF($F$12-$I$4+VLOOKUP($R8,武学奇术!$A:$ZZ,11,FALSE)+SUM(_xlfn.XLOOKUP($S8:$AL8,增益!$A:$A,增益!$K:$K,0))&gt;0,($F$12-$I$4+VLOOKUP($R8,武学奇术!$A:$ZZ,11,FALSE)+SUM(_xlfn.XLOOKUP($S8:$AL8,增益!$A:$A,增益!$K:$K,0)))/200,($F$12-$I$4+VLOOKUP($R8,武学奇术!$A:$ZZ,11,FALSE)+SUM(_xlfn.XLOOKUP($S8:$AL8,增益!$A:$A,增益!$K:$K,0)))/100)</f>
        <v>0.17</v>
      </c>
      <c r="BF8" s="40" cm="1">
        <f t="array" ref="BF8">$G$12+VLOOKUP($R8,武学奇术!$A:$ZZ,12,FALSE)+SUM(_xlfn.XLOOKUP($S8:$AL8,增益!$A:$A,增益!$L:$L,0))</f>
        <v>0.27</v>
      </c>
      <c r="BG8">
        <f t="shared" si="6"/>
        <v>0</v>
      </c>
      <c r="BH8">
        <f t="shared" si="7"/>
        <v>0</v>
      </c>
      <c r="BI8" s="40" cm="1">
        <f t="array" ref="BI8">IF($F$13-$I$4+VLOOKUP($R8,武学奇术!$A:$ZZ,13,FALSE)+SUM(_xlfn.XLOOKUP($S8:$AL8,增益!$A:$A,增益!$M:$M,0))&gt;0,($F$13-$I$4+VLOOKUP($R8,武学奇术!$A:$ZZ,13,FALSE)+SUM(_xlfn.XLOOKUP($S8:$AL8,增益!$A:$A,增益!$K:$K,0)))/200,($F$13-$I$4+VLOOKUP($R8,武学奇术!$A:$ZZ,13,FALSE)+SUM(_xlfn.XLOOKUP($S8:$AL8,增益!$A:$A,增益!$M:$M,0)))/100)</f>
        <v>-0.14</v>
      </c>
      <c r="BJ8" s="40" cm="1">
        <f t="array" ref="BJ8">$G$13+VLOOKUP($R8,武学奇术!$A:$ZZ,14,FALSE)+SUM(_xlfn.XLOOKUP($S8:$AL8,增益!$A:$A,增益!$N:$N,0))</f>
        <v>0</v>
      </c>
      <c r="BK8">
        <f t="shared" si="8"/>
        <v>0</v>
      </c>
      <c r="BL8">
        <f t="shared" si="9"/>
        <v>0</v>
      </c>
      <c r="BM8" s="40" cm="1">
        <f t="array" ref="BM8">IF($F$14-$I$4+VLOOKUP($R8,武学奇术!$A:$ZZ,15,FALSE)+SUM(_xlfn.XLOOKUP($S8:$AL8,增益!$A:$A,增益!$O:$O,0))&gt;0,($F$14-$I$4+VLOOKUP($R8,武学奇术!$A:$ZZ,15,FALSE)+SUM(_xlfn.XLOOKUP($S8:$AL8,增益!$A:$A,增益!$O:$O,0)))/200,($F$14-$I$4+VLOOKUP($R8,武学奇术!$A:$ZZ,15,FALSE)+SUM(_xlfn.XLOOKUP($S8:$AL8,增益!$A:$A,增益!$O:$O,0)))/100)</f>
        <v>-0.14</v>
      </c>
      <c r="BN8" s="40" cm="1">
        <f t="array" ref="BN8">$G$14+VLOOKUP($R8,武学奇术!$A:$ZZ,16,FALSE)+SUM(_xlfn.XLOOKUP($S8:$AL8,增益!$A:$A,增益!$P:$P,0))</f>
        <v>0</v>
      </c>
      <c r="BO8" s="33">
        <f>MIN(IF(VLOOKUP($R8,武学奇术!$A:$ZZ,23,FALSE)=1,100%,$B$8),100%)</f>
        <v>0.9771</v>
      </c>
      <c r="BP8" s="33" cm="1">
        <f t="array" ref="BP8">IF(VLOOKUP($R8,武学奇术!$A:$ZZ,23,FALSE)=1,100%,MIN(80%,$B$9+VLOOKUP($R8,武学奇术!$A:$ZZ,17,FALSE)+SUM(_xlfn.XLOOKUP($S8:$AL8,增益!$A:$A,增益!$Q:$Q,0)))+$B$11+SUM(_xlfn.XLOOKUP($S8:$AL8,增益!$A:$A,增益!$U:$U,0)))*IF(VLOOKUP($R8,武学奇术!$A:$ZZ,24,FALSE)=1,0,1)</f>
        <v>0.8861</v>
      </c>
      <c r="BQ8" s="33" cm="1">
        <f t="array" ref="BQ8">1+$B$13+VLOOKUP($R8,武学奇术!$A:$ZZ,18,FALSE)+SUM(_xlfn.XLOOKUP($S8:$AL8,增益!$A:$A,增益!$R:$R,0))</f>
        <v>1.87</v>
      </c>
      <c r="BR8" s="33" cm="1">
        <f t="array" ref="BR8">IF(VLOOKUP($R8,武学奇术!$A:$ZZ,24,FALSE)=1,100%,MIN(40%,$B$10+VLOOKUP($R8,武学奇术!$A:$ZZ,19,FALSE)+SUM(_xlfn.XLOOKUP($S8:$AL8,增益!$A:$A,增益!$S:$S,0)))+$B$12+SUM(_xlfn.XLOOKUP($S8:$AL8,增益!$A:$A,增益!$V:$V,0)))*IF(VLOOKUP($R8,武学奇术!$A:$ZZ,23,FALSE)=1,0,1)</f>
        <v>0.0913</v>
      </c>
      <c r="BS8" s="33" cm="1">
        <f t="array" ref="BS8">1+$B$14+VLOOKUP($R8,武学奇术!$A:$ZZ,20,FALSE)+SUM(_xlfn.XLOOKUP($S8:$AL8,增益!$A:$A,增益!$T:$T,0))</f>
        <v>1.35</v>
      </c>
      <c r="BT8" s="33">
        <f t="shared" si="10"/>
        <v>0.86580831</v>
      </c>
      <c r="BU8" s="33">
        <f t="shared" si="11"/>
        <v>0.02208246</v>
      </c>
      <c r="BV8" s="33">
        <f>IF(VLOOKUP($R8,武学奇术!$A:$ZZ,22,FALSE)=1,0,(1-$BO8))*(1-$BR8)</f>
        <v>0.02080923</v>
      </c>
      <c r="BW8" s="33" cm="1">
        <f t="array" ref="BW8">SUM(_xlfn.XLOOKUP($S8:$AL8,增益!$A:$A,增益!$W:$W,0))+$I$5</f>
        <v>0.11</v>
      </c>
      <c r="BX8" s="33" cm="1">
        <f t="array" ref="BX8">VLOOKUP($R8,武学奇术!$A:$ZZ,32,FALSE)+SUM(_xlfn.XLOOKUP($S8:$AL8,增益!$A:$A,增益!$X:$X,0))</f>
        <v>0</v>
      </c>
    </row>
    <row r="9" ht="14.25" spans="1:76">
      <c r="A9" s="49" t="s">
        <v>110</v>
      </c>
      <c r="B9" s="78">
        <f>期望!B9</f>
        <v>0.7941</v>
      </c>
      <c r="C9" s="22"/>
      <c r="D9" t="s">
        <v>0</v>
      </c>
      <c r="E9" t="s">
        <v>1</v>
      </c>
      <c r="F9" s="47" t="s">
        <v>2</v>
      </c>
      <c r="G9" s="52" t="s">
        <v>3</v>
      </c>
      <c r="H9" s="79"/>
      <c r="I9" s="20"/>
      <c r="J9" s="80"/>
      <c r="K9" s="77"/>
      <c r="L9" s="46">
        <f t="shared" si="0"/>
        <v>58538.202153223</v>
      </c>
      <c r="M9" s="46">
        <f>((($AT9+$AU9)/2*$AN9+$AO9)*(1+$AV9)*(1+$AW9)+(($AY9+$AZ9)/2*IF($G$1="鸣金",$AP9,$AN9)+IF($G$1="鸣金",$AQ9*1.5,0))*(1+$BA9)*(1+$BB9)+(($BC9+$BD9)/2*IF($G$1="裂石",$AP9,$AN9)+IF($G$1="裂石",$AQ9*1.5,0))*(1+$BE9)*(1+$BF9)+(($BG9+$BH9)/2*IF($G$1="牵丝",$AP9,$AN9)+IF($G$1="牵丝",$AQ9*1.5,0))*(1+$BI9)*(1+$BJ9)+(($BK9+$BL9)/2*IF($G$1="破竹",$AP9,$AN9)+IF($G$1="破竹",$AQ9*1.5,0))*(1+$BM9)*(1+$BN9))*(1+$AR9)*$BQ9*$Q9*(1+IF(VLOOKUP($R9,武学奇术!$A:$ZZ,30,FALSE)="蓄力技",$B$21,0))*(1+IF(VLOOKUP($R9,武学奇术!$A:$ZZ,30,FALSE)="派生技",$B$20,0))*(1+$BW9)*(1+$BX9)</f>
        <v>60858.7347948168</v>
      </c>
      <c r="N9" s="46">
        <f>(($AU9*$AN9+$AO9)*(1+$AV9)*(1+$AW9)+($AZ9*IF($G$1="鸣金",$AP9,$AN9)+IF($G$1="鸣金",$AQ9*1.5,0))*(1+$BA9)*(1+$BB9)+($BD9*IF($G$1="裂石",$AP9,$AN9)+IF($G$1="裂石",$AQ9*1.5,0))*(1+$BE9)*(1+$BF9)+($BH9*IF($G$1="牵丝",$AP9,$AN9)+IF($G$1="牵丝",$AQ9*1.5,0))*(1+$BI9)*(1+$BJ9)+($BL9*IF($G$1="破竹",$AP9,$AN9)+IF($G$1="破竹",$AQ9*1.5,0))*(1+$BM9)*(1+$BN9))*(1+$AR9)*$BS9*$Q9*(1+IF(VLOOKUP($R9,武学奇术!$A:$ZZ,30,FALSE)="蓄力技",$B$21,0))*(1+IF(VLOOKUP($R9,武学奇术!$A:$ZZ,30,FALSE)="派生技",$B$20,0))*(1+$BW9)*(1+$BX9)</f>
        <v>49865.733113694</v>
      </c>
      <c r="O9" s="46">
        <f>((($AT9+$AU9)/2*$AN9+$AO9)*(1+$AV9)*(1+$AW9)+(($AY9+$AZ9)/2*IF($G$1="鸣金",$AP9,$AN9)+IF($G$1="鸣金",$AQ9*1.5,0))*(1+$BA9)*(1+$BB9)+(($BC9+$BD9)/2*IF($G$1="裂石",$AP9,$AN9)+IF($G$1="裂石",$AQ9*1.5,0))*(1+$BE9)*(1+$BF9)+(($BG9+$BH9)/2*IF($G$1="牵丝",$AP9,$AN9)+IF($G$1="牵丝",$AQ9*1.5,0))*(1+$BI9)*(1+$BJ9)+(($BK9+$BL9)/2*IF($G$1="破竹",$AP9,$AN9)+IF($G$1="破竹",$AQ9*1.5,0))*(1+$BM9)*(1+$BN9))*(1+$AR9)*$Q9*(1+IF(VLOOKUP($R9,武学奇术!$A:$ZZ,30,FALSE)="蓄力技",$B$21,0))*(1+IF(VLOOKUP($R9,武学奇术!$A:$ZZ,30,FALSE)="派生技",$B$20,0))*(1+$BW9)*(1+$BX9)</f>
        <v>32371.6674440515</v>
      </c>
      <c r="P9" s="46">
        <f>((($AT9*$AN9+$AO9)*(1+$AV9)*(1+$AW9)+($AY9*IF($G$1="鸣金",$AP9,$AN9)+IF($G$1="鸣金",$AQ9*1.5,0))*(1+$BA9)*(1+$BB9)+($BC9*IF($G$1="裂石",$AP9,$AN9)+IF($G$1="裂石",$AQ9*1.5,0))*(1+$BE9)*(1+$BF9)+($BG9*IF($G$1="牵丝",$AP9,$AN9)+IF($G$1="牵丝",$AQ9*1.5,0))*(1+$BI9)*(1+$BJ9)+($BK9*IF($G$1="破竹",$AP9,$AN9)+IF($G$1="破竹",$AQ9*1.5,0))*(1+$BM9)*(1+$BN9))*(1+$AR9))*$Q9*(1+IF(VLOOKUP($R9,武学奇术!$A:$ZZ,30,FALSE)="蓄力技",$B$21,0))*(1+IF(VLOOKUP($R9,武学奇术!$A:$ZZ,30,FALSE)="派生技",$B$20,0))*(1+$BW9)*(1+$BX9)</f>
        <v>27805.7548038852</v>
      </c>
      <c r="Q9" s="47">
        <f t="shared" si="1"/>
        <v>1</v>
      </c>
      <c r="R9" s="48" t="s">
        <v>106</v>
      </c>
      <c r="S9" s="48" t="s">
        <v>94</v>
      </c>
      <c r="T9" s="48" t="s">
        <v>95</v>
      </c>
      <c r="U9" s="48" t="s">
        <v>79</v>
      </c>
      <c r="V9" s="48" t="s">
        <v>90</v>
      </c>
      <c r="W9" s="48" t="s">
        <v>91</v>
      </c>
      <c r="X9" s="48" t="s">
        <v>80</v>
      </c>
      <c r="Y9" s="48" t="s">
        <v>80</v>
      </c>
      <c r="Z9" s="48" t="s">
        <v>81</v>
      </c>
      <c r="AA9" s="48" t="s">
        <v>80</v>
      </c>
      <c r="AB9" s="48" t="s">
        <v>80</v>
      </c>
      <c r="AC9" s="48" t="s">
        <v>80</v>
      </c>
      <c r="AD9" s="48" t="s">
        <v>80</v>
      </c>
      <c r="AE9" s="48" t="s">
        <v>80</v>
      </c>
      <c r="AF9" s="48" t="s">
        <v>83</v>
      </c>
      <c r="AG9" s="48" t="s">
        <v>84</v>
      </c>
      <c r="AH9" s="48" t="s">
        <v>80</v>
      </c>
      <c r="AI9" s="48" t="s">
        <v>80</v>
      </c>
      <c r="AJ9" s="48" t="s">
        <v>80</v>
      </c>
      <c r="AK9" s="48" t="s">
        <v>80</v>
      </c>
      <c r="AL9" s="48" t="s">
        <v>80</v>
      </c>
      <c r="AM9" t="str">
        <f>VLOOKUP($R9,武学奇术!$A:$ZZ,25,FALSE)</f>
        <v>群体奇术</v>
      </c>
      <c r="AN9" s="33">
        <f>VLOOKUP($R9,武学奇术!$A:$ZZ,26,FALSE)</f>
        <v>2.3774</v>
      </c>
      <c r="AO9" s="34">
        <f>VLOOKUP($R9,武学奇术!$A:$ZZ,27,FALSE)*(1+IF(OR($AM9=$F$4,$AM9=$F$5),$B$22,0))</f>
        <v>476</v>
      </c>
      <c r="AP9" s="33">
        <f>VLOOKUP($R9,武学奇术!$A:$ZZ,28,FALSE)</f>
        <v>3.5661</v>
      </c>
      <c r="AQ9" s="34">
        <f>VLOOKUP($R9,武学奇术!$A:$ZZ,29,FALSE)*(1+IF(OR($AM9=$F$4,$AM9=$F$5),$B$22,0))</f>
        <v>0</v>
      </c>
      <c r="AR9" s="33" cm="1">
        <f t="array" ref="AR9">$G$3+IFERROR(VLOOKUP($AM9,$F$4:$G$7,2,FALSE),0)+VLOOKUP($R9,武学奇术!$A:$ZZ,2,FALSE)+SUM(_xlfn.XLOOKUP($S9:$AL9,增益!$A:$A,增益!$B:$B,0))</f>
        <v>0.3742</v>
      </c>
      <c r="AS9" s="33" cm="1">
        <f t="array" ref="AS9">VLOOKUP($R9,武学奇术!$A:$ZZ,5,FALSE)+SUM(_xlfn.XLOOKUP($S9:$AL9,增益!$A:$A,增益!$E:$E,0))</f>
        <v>0</v>
      </c>
      <c r="AT9" cm="1">
        <f t="array" ref="AT9">$D$10*(1+$AS9)+VLOOKUP($R9,武学奇术!$A:$ZZ,3,FALSE)+SUM(_xlfn.XLOOKUP($S9:$AL9,增益!$A:$A,增益!$C:$C,0))-$I$2</f>
        <v>4026</v>
      </c>
      <c r="AU9" cm="1">
        <f t="array" ref="AU9">$E$10*(1+$AS9)+VLOOKUP($R9,武学奇术!$A:$ZZ,4,FALSE)+SUM(_xlfn.XLOOKUP($S9:$AL9,增益!$A:$A,增益!$D:$D,0))-$I$2</f>
        <v>4026</v>
      </c>
      <c r="AV9" s="40" cm="1">
        <f t="array" ref="AV9">IF($F$10-$I$3+VLOOKUP($R9,武学奇术!$A:$ZZ,6,FALSE)+SUM(_xlfn.XLOOKUP($S9:$AL9,增益!$A:$A,增益!$F:$F,0))&gt;0,($F$10-$I$3+VLOOKUP($R9,武学奇术!$A:$ZZ,6,FALSE)+SUM(_xlfn.XLOOKUP($S9:$AL9,增益!$A:$A,增益!$F:$F,0)))/200,($F$10-$I$3+VLOOKUP($R9,武学奇术!$A:$ZZ,6,FALSE)+SUM(_xlfn.XLOOKUP($S9:$AL9,增益!$A:$A,增益!$F:$F,0)))/100)</f>
        <v>0.3184</v>
      </c>
      <c r="AW9" s="40" cm="1">
        <f t="array" ref="AW9">$G$10+VLOOKUP($R9,武学奇术!$A:$ZZ,7,FALSE)+SUM(_xlfn.XLOOKUP($S9:$AL9,增益!$A:$A,增益!$G:$G,0))</f>
        <v>0.12</v>
      </c>
      <c r="AX9" s="33" cm="1">
        <f t="array" ref="AX9">VLOOKUP($R9,武学奇术!$A:$ZZ,8,FALSE)+SUM(_xlfn.XLOOKUP($S9:$AL9,增益!$A:$A,增益!$H:$H,0))</f>
        <v>0</v>
      </c>
      <c r="AY9">
        <f t="shared" si="2"/>
        <v>0</v>
      </c>
      <c r="AZ9">
        <f t="shared" si="3"/>
        <v>0</v>
      </c>
      <c r="BA9" s="40" cm="1">
        <f t="array" ref="BA9">IF($F$11-$I$4+VLOOKUP($R9,武学奇术!$A:$ZZ,9,FALSE)+SUM(_xlfn.XLOOKUP($S9:$AL9,增益!$A:$A,增益!$I:$I,0))&gt;0,($F$11-$I$4+VLOOKUP($R9,武学奇术!$A:$ZZ,9,FALSE)+SUM(_xlfn.XLOOKUP($S9:$AL9,增益!$A:$A,增益!$I:$I,0)))/200,($F$11-$I$4+VLOOKUP($R9,武学奇术!$A:$ZZ,9,FALSE)+SUM(_xlfn.XLOOKUP($S9:$AL9,增益!$A:$A,增益!$I:$I,0)))/100)</f>
        <v>-0.14</v>
      </c>
      <c r="BB9" s="40" cm="1">
        <f t="array" ref="BB9">$G$11+VLOOKUP($R9,武学奇术!$A:$ZZ,10,FALSE)+SUM(_xlfn.XLOOKUP($S9:$AL9,增益!$A:$A,增益!$J:$J,0))</f>
        <v>0</v>
      </c>
      <c r="BC9">
        <f t="shared" si="4"/>
        <v>640.3</v>
      </c>
      <c r="BD9">
        <f t="shared" si="5"/>
        <v>1770.1</v>
      </c>
      <c r="BE9" s="40" cm="1">
        <f t="array" ref="BE9">IF($F$12-$I$4+VLOOKUP($R9,武学奇术!$A:$ZZ,11,FALSE)+SUM(_xlfn.XLOOKUP($S9:$AL9,增益!$A:$A,增益!$K:$K,0))&gt;0,($F$12-$I$4+VLOOKUP($R9,武学奇术!$A:$ZZ,11,FALSE)+SUM(_xlfn.XLOOKUP($S9:$AL9,增益!$A:$A,增益!$K:$K,0)))/200,($F$12-$I$4+VLOOKUP($R9,武学奇术!$A:$ZZ,11,FALSE)+SUM(_xlfn.XLOOKUP($S9:$AL9,增益!$A:$A,增益!$K:$K,0)))/100)</f>
        <v>0.17</v>
      </c>
      <c r="BF9" s="40" cm="1">
        <f t="array" ref="BF9">$G$12+VLOOKUP($R9,武学奇术!$A:$ZZ,12,FALSE)+SUM(_xlfn.XLOOKUP($S9:$AL9,增益!$A:$A,增益!$L:$L,0))</f>
        <v>0.27</v>
      </c>
      <c r="BG9">
        <f t="shared" si="6"/>
        <v>0</v>
      </c>
      <c r="BH9">
        <f t="shared" si="7"/>
        <v>0</v>
      </c>
      <c r="BI9" s="40" cm="1">
        <f t="array" ref="BI9">IF($F$13-$I$4+VLOOKUP($R9,武学奇术!$A:$ZZ,13,FALSE)+SUM(_xlfn.XLOOKUP($S9:$AL9,增益!$A:$A,增益!$M:$M,0))&gt;0,($F$13-$I$4+VLOOKUP($R9,武学奇术!$A:$ZZ,13,FALSE)+SUM(_xlfn.XLOOKUP($S9:$AL9,增益!$A:$A,增益!$K:$K,0)))/200,($F$13-$I$4+VLOOKUP($R9,武学奇术!$A:$ZZ,13,FALSE)+SUM(_xlfn.XLOOKUP($S9:$AL9,增益!$A:$A,增益!$M:$M,0)))/100)</f>
        <v>-0.14</v>
      </c>
      <c r="BJ9" s="40" cm="1">
        <f t="array" ref="BJ9">$G$13+VLOOKUP($R9,武学奇术!$A:$ZZ,14,FALSE)+SUM(_xlfn.XLOOKUP($S9:$AL9,增益!$A:$A,增益!$N:$N,0))</f>
        <v>0</v>
      </c>
      <c r="BK9">
        <f t="shared" si="8"/>
        <v>0</v>
      </c>
      <c r="BL9">
        <f t="shared" si="9"/>
        <v>0</v>
      </c>
      <c r="BM9" s="40" cm="1">
        <f t="array" ref="BM9">IF($F$14-$I$4+VLOOKUP($R9,武学奇术!$A:$ZZ,15,FALSE)+SUM(_xlfn.XLOOKUP($S9:$AL9,增益!$A:$A,增益!$O:$O,0))&gt;0,($F$14-$I$4+VLOOKUP($R9,武学奇术!$A:$ZZ,15,FALSE)+SUM(_xlfn.XLOOKUP($S9:$AL9,增益!$A:$A,增益!$O:$O,0)))/200,($F$14-$I$4+VLOOKUP($R9,武学奇术!$A:$ZZ,15,FALSE)+SUM(_xlfn.XLOOKUP($S9:$AL9,增益!$A:$A,增益!$O:$O,0)))/100)</f>
        <v>-0.14</v>
      </c>
      <c r="BN9" s="40" cm="1">
        <f t="array" ref="BN9">$G$14+VLOOKUP($R9,武学奇术!$A:$ZZ,16,FALSE)+SUM(_xlfn.XLOOKUP($S9:$AL9,增益!$A:$A,增益!$P:$P,0))</f>
        <v>0</v>
      </c>
      <c r="BO9" s="33">
        <f>MIN(IF(VLOOKUP($R9,武学奇术!$A:$ZZ,23,FALSE)=1,100%,$B$8),100%)</f>
        <v>0.9771</v>
      </c>
      <c r="BP9" s="33" cm="1">
        <f t="array" ref="BP9">IF(VLOOKUP($R9,武学奇术!$A:$ZZ,23,FALSE)=1,100%,MIN(80%,$B$9+VLOOKUP($R9,武学奇术!$A:$ZZ,17,FALSE)+SUM(_xlfn.XLOOKUP($S9:$AL9,增益!$A:$A,增益!$Q:$Q,0)))+$B$11+SUM(_xlfn.XLOOKUP($S9:$AL9,增益!$A:$A,增益!$U:$U,0)))*IF(VLOOKUP($R9,武学奇术!$A:$ZZ,24,FALSE)=1,0,1)</f>
        <v>0.8861</v>
      </c>
      <c r="BQ9" s="33" cm="1">
        <f t="array" ref="BQ9">1+$B$13+VLOOKUP($R9,武学奇术!$A:$ZZ,18,FALSE)+SUM(_xlfn.XLOOKUP($S9:$AL9,增益!$A:$A,增益!$R:$R,0))</f>
        <v>1.88</v>
      </c>
      <c r="BR9" s="33" cm="1">
        <f t="array" ref="BR9">IF(VLOOKUP($R9,武学奇术!$A:$ZZ,24,FALSE)=1,100%,MIN(40%,$B$10+VLOOKUP($R9,武学奇术!$A:$ZZ,19,FALSE)+SUM(_xlfn.XLOOKUP($S9:$AL9,增益!$A:$A,增益!$S:$S,0)))+$B$12+SUM(_xlfn.XLOOKUP($S9:$AL9,增益!$A:$A,增益!$V:$V,0)))*IF(VLOOKUP($R9,武学奇术!$A:$ZZ,23,FALSE)=1,0,1)</f>
        <v>0.0913</v>
      </c>
      <c r="BS9" s="33" cm="1">
        <f t="array" ref="BS9">1+$B$14+VLOOKUP($R9,武学奇术!$A:$ZZ,20,FALSE)+SUM(_xlfn.XLOOKUP($S9:$AL9,增益!$A:$A,增益!$T:$T,0))</f>
        <v>1.35</v>
      </c>
      <c r="BT9" s="33">
        <f t="shared" si="10"/>
        <v>0.86580831</v>
      </c>
      <c r="BU9" s="33">
        <f t="shared" si="11"/>
        <v>0.02208246</v>
      </c>
      <c r="BV9" s="33">
        <f>IF(VLOOKUP($R9,武学奇术!$A:$ZZ,22,FALSE)=1,0,(1-$BO9))*(1-$BR9)</f>
        <v>0.02080923</v>
      </c>
      <c r="BW9" s="33" cm="1">
        <f t="array" ref="BW9">SUM(_xlfn.XLOOKUP($S9:$AL9,增益!$A:$A,增益!$W:$W,0))+$I$5</f>
        <v>0.11</v>
      </c>
      <c r="BX9" s="33" cm="1">
        <f t="array" ref="BX9">VLOOKUP($R9,武学奇术!$A:$ZZ,32,FALSE)+SUM(_xlfn.XLOOKUP($S9:$AL9,增益!$A:$A,增益!$X:$X,0))</f>
        <v>0</v>
      </c>
    </row>
    <row r="10" spans="1:76">
      <c r="A10" s="49" t="s">
        <v>111</v>
      </c>
      <c r="B10" s="78">
        <f>期望!B10</f>
        <v>0.0913</v>
      </c>
      <c r="C10" s="22" t="s">
        <v>72</v>
      </c>
      <c r="D10">
        <f>期望!D10</f>
        <v>4713</v>
      </c>
      <c r="E10">
        <f>期望!E10</f>
        <v>4713</v>
      </c>
      <c r="F10">
        <f>期望!F10</f>
        <v>58.68</v>
      </c>
      <c r="G10" s="57">
        <f>期望!G10</f>
        <v>0</v>
      </c>
      <c r="H10" s="75" t="s">
        <v>112</v>
      </c>
      <c r="I10" s="24">
        <f>SUM(L:L)</f>
        <v>14389041.0357362</v>
      </c>
      <c r="J10" s="81"/>
      <c r="K10" s="46"/>
      <c r="L10" s="46">
        <f t="shared" si="0"/>
        <v>58538.202153223</v>
      </c>
      <c r="M10" s="46">
        <f>((($AT10+$AU10)/2*$AN10+$AO10)*(1+$AV10)*(1+$AW10)+(($AY10+$AZ10)/2*IF($G$1="鸣金",$AP10,$AN10)+IF($G$1="鸣金",$AQ10*1.5,0))*(1+$BA10)*(1+$BB10)+(($BC10+$BD10)/2*IF($G$1="裂石",$AP10,$AN10)+IF($G$1="裂石",$AQ10*1.5,0))*(1+$BE10)*(1+$BF10)+(($BG10+$BH10)/2*IF($G$1="牵丝",$AP10,$AN10)+IF($G$1="牵丝",$AQ10*1.5,0))*(1+$BI10)*(1+$BJ10)+(($BK10+$BL10)/2*IF($G$1="破竹",$AP10,$AN10)+IF($G$1="破竹",$AQ10*1.5,0))*(1+$BM10)*(1+$BN10))*(1+$AR10)*$BQ10*$Q10*(1+IF(VLOOKUP($R10,武学奇术!$A:$ZZ,30,FALSE)="蓄力技",$B$21,0))*(1+IF(VLOOKUP($R10,武学奇术!$A:$ZZ,30,FALSE)="派生技",$B$20,0))*(1+$BW10)*(1+$BX10)</f>
        <v>60858.7347948168</v>
      </c>
      <c r="N10" s="46">
        <f>(($AU10*$AN10+$AO10)*(1+$AV10)*(1+$AW10)+($AZ10*IF($G$1="鸣金",$AP10,$AN10)+IF($G$1="鸣金",$AQ10*1.5,0))*(1+$BA10)*(1+$BB10)+($BD10*IF($G$1="裂石",$AP10,$AN10)+IF($G$1="裂石",$AQ10*1.5,0))*(1+$BE10)*(1+$BF10)+($BH10*IF($G$1="牵丝",$AP10,$AN10)+IF($G$1="牵丝",$AQ10*1.5,0))*(1+$BI10)*(1+$BJ10)+($BL10*IF($G$1="破竹",$AP10,$AN10)+IF($G$1="破竹",$AQ10*1.5,0))*(1+$BM10)*(1+$BN10))*(1+$AR10)*$BS10*$Q10*(1+IF(VLOOKUP($R10,武学奇术!$A:$ZZ,30,FALSE)="蓄力技",$B$21,0))*(1+IF(VLOOKUP($R10,武学奇术!$A:$ZZ,30,FALSE)="派生技",$B$20,0))*(1+$BW10)*(1+$BX10)</f>
        <v>49865.733113694</v>
      </c>
      <c r="O10" s="46">
        <f>((($AT10+$AU10)/2*$AN10+$AO10)*(1+$AV10)*(1+$AW10)+(($AY10+$AZ10)/2*IF($G$1="鸣金",$AP10,$AN10)+IF($G$1="鸣金",$AQ10*1.5,0))*(1+$BA10)*(1+$BB10)+(($BC10+$BD10)/2*IF($G$1="裂石",$AP10,$AN10)+IF($G$1="裂石",$AQ10*1.5,0))*(1+$BE10)*(1+$BF10)+(($BG10+$BH10)/2*IF($G$1="牵丝",$AP10,$AN10)+IF($G$1="牵丝",$AQ10*1.5,0))*(1+$BI10)*(1+$BJ10)+(($BK10+$BL10)/2*IF($G$1="破竹",$AP10,$AN10)+IF($G$1="破竹",$AQ10*1.5,0))*(1+$BM10)*(1+$BN10))*(1+$AR10)*$Q10*(1+IF(VLOOKUP($R10,武学奇术!$A:$ZZ,30,FALSE)="蓄力技",$B$21,0))*(1+IF(VLOOKUP($R10,武学奇术!$A:$ZZ,30,FALSE)="派生技",$B$20,0))*(1+$BW10)*(1+$BX10)</f>
        <v>32371.6674440515</v>
      </c>
      <c r="P10" s="46">
        <f>((($AT10*$AN10+$AO10)*(1+$AV10)*(1+$AW10)+($AY10*IF($G$1="鸣金",$AP10,$AN10)+IF($G$1="鸣金",$AQ10*1.5,0))*(1+$BA10)*(1+$BB10)+($BC10*IF($G$1="裂石",$AP10,$AN10)+IF($G$1="裂石",$AQ10*1.5,0))*(1+$BE10)*(1+$BF10)+($BG10*IF($G$1="牵丝",$AP10,$AN10)+IF($G$1="牵丝",$AQ10*1.5,0))*(1+$BI10)*(1+$BJ10)+($BK10*IF($G$1="破竹",$AP10,$AN10)+IF($G$1="破竹",$AQ10*1.5,0))*(1+$BM10)*(1+$BN10))*(1+$AR10))*$Q10*(1+IF(VLOOKUP($R10,武学奇术!$A:$ZZ,30,FALSE)="蓄力技",$B$21,0))*(1+IF(VLOOKUP($R10,武学奇术!$A:$ZZ,30,FALSE)="派生技",$B$20,0))*(1+$BW10)*(1+$BX10)</f>
        <v>27805.7548038852</v>
      </c>
      <c r="Q10" s="47">
        <f t="shared" si="1"/>
        <v>1</v>
      </c>
      <c r="R10" s="48" t="s">
        <v>106</v>
      </c>
      <c r="S10" s="48" t="s">
        <v>94</v>
      </c>
      <c r="T10" s="48" t="s">
        <v>95</v>
      </c>
      <c r="U10" s="48" t="s">
        <v>79</v>
      </c>
      <c r="V10" s="48" t="s">
        <v>90</v>
      </c>
      <c r="W10" s="48" t="s">
        <v>91</v>
      </c>
      <c r="X10" s="48" t="s">
        <v>80</v>
      </c>
      <c r="Y10" s="48" t="s">
        <v>80</v>
      </c>
      <c r="Z10" s="48" t="s">
        <v>81</v>
      </c>
      <c r="AA10" s="48" t="s">
        <v>80</v>
      </c>
      <c r="AB10" s="48" t="s">
        <v>80</v>
      </c>
      <c r="AC10" s="48" t="s">
        <v>80</v>
      </c>
      <c r="AD10" s="48" t="s">
        <v>80</v>
      </c>
      <c r="AE10" s="48" t="s">
        <v>80</v>
      </c>
      <c r="AF10" s="48" t="s">
        <v>83</v>
      </c>
      <c r="AG10" s="48" t="s">
        <v>84</v>
      </c>
      <c r="AH10" s="48" t="s">
        <v>80</v>
      </c>
      <c r="AI10" s="48" t="s">
        <v>80</v>
      </c>
      <c r="AJ10" s="48" t="s">
        <v>80</v>
      </c>
      <c r="AK10" s="48" t="s">
        <v>80</v>
      </c>
      <c r="AL10" s="48" t="s">
        <v>80</v>
      </c>
      <c r="AM10" t="str">
        <f>VLOOKUP($R10,武学奇术!$A:$ZZ,25,FALSE)</f>
        <v>群体奇术</v>
      </c>
      <c r="AN10" s="33">
        <f>VLOOKUP($R10,武学奇术!$A:$ZZ,26,FALSE)</f>
        <v>2.3774</v>
      </c>
      <c r="AO10" s="34">
        <f>VLOOKUP($R10,武学奇术!$A:$ZZ,27,FALSE)*(1+IF(OR($AM10=$F$4,$AM10=$F$5),$B$22,0))</f>
        <v>476</v>
      </c>
      <c r="AP10" s="33">
        <f>VLOOKUP($R10,武学奇术!$A:$ZZ,28,FALSE)</f>
        <v>3.5661</v>
      </c>
      <c r="AQ10" s="34">
        <f>VLOOKUP($R10,武学奇术!$A:$ZZ,29,FALSE)*(1+IF(OR($AM10=$F$4,$AM10=$F$5),$B$22,0))</f>
        <v>0</v>
      </c>
      <c r="AR10" s="33" cm="1">
        <f t="array" ref="AR10">$G$3+IFERROR(VLOOKUP($AM10,$F$4:$G$7,2,FALSE),0)+VLOOKUP($R10,武学奇术!$A:$ZZ,2,FALSE)+SUM(_xlfn.XLOOKUP($S10:$AL10,增益!$A:$A,增益!$B:$B,0))</f>
        <v>0.3742</v>
      </c>
      <c r="AS10" s="33" cm="1">
        <f t="array" ref="AS10">VLOOKUP($R10,武学奇术!$A:$ZZ,5,FALSE)+SUM(_xlfn.XLOOKUP($S10:$AL10,增益!$A:$A,增益!$E:$E,0))</f>
        <v>0</v>
      </c>
      <c r="AT10" cm="1">
        <f t="array" ref="AT10">$D$10*(1+$AS10)+VLOOKUP($R10,武学奇术!$A:$ZZ,3,FALSE)+SUM(_xlfn.XLOOKUP($S10:$AL10,增益!$A:$A,增益!$C:$C,0))-$I$2</f>
        <v>4026</v>
      </c>
      <c r="AU10" cm="1">
        <f t="array" ref="AU10">$E$10*(1+$AS10)+VLOOKUP($R10,武学奇术!$A:$ZZ,4,FALSE)+SUM(_xlfn.XLOOKUP($S10:$AL10,增益!$A:$A,增益!$D:$D,0))-$I$2</f>
        <v>4026</v>
      </c>
      <c r="AV10" s="40" cm="1">
        <f t="array" ref="AV10">IF($F$10-$I$3+VLOOKUP($R10,武学奇术!$A:$ZZ,6,FALSE)+SUM(_xlfn.XLOOKUP($S10:$AL10,增益!$A:$A,增益!$F:$F,0))&gt;0,($F$10-$I$3+VLOOKUP($R10,武学奇术!$A:$ZZ,6,FALSE)+SUM(_xlfn.XLOOKUP($S10:$AL10,增益!$A:$A,增益!$F:$F,0)))/200,($F$10-$I$3+VLOOKUP($R10,武学奇术!$A:$ZZ,6,FALSE)+SUM(_xlfn.XLOOKUP($S10:$AL10,增益!$A:$A,增益!$F:$F,0)))/100)</f>
        <v>0.3184</v>
      </c>
      <c r="AW10" s="40" cm="1">
        <f t="array" ref="AW10">$G$10+VLOOKUP($R10,武学奇术!$A:$ZZ,7,FALSE)+SUM(_xlfn.XLOOKUP($S10:$AL10,增益!$A:$A,增益!$G:$G,0))</f>
        <v>0.12</v>
      </c>
      <c r="AX10" s="33" cm="1">
        <f t="array" ref="AX10">VLOOKUP($R10,武学奇术!$A:$ZZ,8,FALSE)+SUM(_xlfn.XLOOKUP($S10:$AL10,增益!$A:$A,增益!$H:$H,0))</f>
        <v>0</v>
      </c>
      <c r="AY10">
        <f t="shared" si="2"/>
        <v>0</v>
      </c>
      <c r="AZ10">
        <f t="shared" si="3"/>
        <v>0</v>
      </c>
      <c r="BA10" s="40" cm="1">
        <f t="array" ref="BA10">IF($F$11-$I$4+VLOOKUP($R10,武学奇术!$A:$ZZ,9,FALSE)+SUM(_xlfn.XLOOKUP($S10:$AL10,增益!$A:$A,增益!$I:$I,0))&gt;0,($F$11-$I$4+VLOOKUP($R10,武学奇术!$A:$ZZ,9,FALSE)+SUM(_xlfn.XLOOKUP($S10:$AL10,增益!$A:$A,增益!$I:$I,0)))/200,($F$11-$I$4+VLOOKUP($R10,武学奇术!$A:$ZZ,9,FALSE)+SUM(_xlfn.XLOOKUP($S10:$AL10,增益!$A:$A,增益!$I:$I,0)))/100)</f>
        <v>-0.14</v>
      </c>
      <c r="BB10" s="40" cm="1">
        <f t="array" ref="BB10">$G$11+VLOOKUP($R10,武学奇术!$A:$ZZ,10,FALSE)+SUM(_xlfn.XLOOKUP($S10:$AL10,增益!$A:$A,增益!$J:$J,0))</f>
        <v>0</v>
      </c>
      <c r="BC10">
        <f t="shared" si="4"/>
        <v>640.3</v>
      </c>
      <c r="BD10">
        <f t="shared" si="5"/>
        <v>1770.1</v>
      </c>
      <c r="BE10" s="40" cm="1">
        <f t="array" ref="BE10">IF($F$12-$I$4+VLOOKUP($R10,武学奇术!$A:$ZZ,11,FALSE)+SUM(_xlfn.XLOOKUP($S10:$AL10,增益!$A:$A,增益!$K:$K,0))&gt;0,($F$12-$I$4+VLOOKUP($R10,武学奇术!$A:$ZZ,11,FALSE)+SUM(_xlfn.XLOOKUP($S10:$AL10,增益!$A:$A,增益!$K:$K,0)))/200,($F$12-$I$4+VLOOKUP($R10,武学奇术!$A:$ZZ,11,FALSE)+SUM(_xlfn.XLOOKUP($S10:$AL10,增益!$A:$A,增益!$K:$K,0)))/100)</f>
        <v>0.17</v>
      </c>
      <c r="BF10" s="40" cm="1">
        <f t="array" ref="BF10">$G$12+VLOOKUP($R10,武学奇术!$A:$ZZ,12,FALSE)+SUM(_xlfn.XLOOKUP($S10:$AL10,增益!$A:$A,增益!$L:$L,0))</f>
        <v>0.27</v>
      </c>
      <c r="BG10">
        <f t="shared" si="6"/>
        <v>0</v>
      </c>
      <c r="BH10">
        <f t="shared" si="7"/>
        <v>0</v>
      </c>
      <c r="BI10" s="40" cm="1">
        <f t="array" ref="BI10">IF($F$13-$I$4+VLOOKUP($R10,武学奇术!$A:$ZZ,13,FALSE)+SUM(_xlfn.XLOOKUP($S10:$AL10,增益!$A:$A,增益!$M:$M,0))&gt;0,($F$13-$I$4+VLOOKUP($R10,武学奇术!$A:$ZZ,13,FALSE)+SUM(_xlfn.XLOOKUP($S10:$AL10,增益!$A:$A,增益!$K:$K,0)))/200,($F$13-$I$4+VLOOKUP($R10,武学奇术!$A:$ZZ,13,FALSE)+SUM(_xlfn.XLOOKUP($S10:$AL10,增益!$A:$A,增益!$M:$M,0)))/100)</f>
        <v>-0.14</v>
      </c>
      <c r="BJ10" s="40" cm="1">
        <f t="array" ref="BJ10">$G$13+VLOOKUP($R10,武学奇术!$A:$ZZ,14,FALSE)+SUM(_xlfn.XLOOKUP($S10:$AL10,增益!$A:$A,增益!$N:$N,0))</f>
        <v>0</v>
      </c>
      <c r="BK10">
        <f t="shared" si="8"/>
        <v>0</v>
      </c>
      <c r="BL10">
        <f t="shared" si="9"/>
        <v>0</v>
      </c>
      <c r="BM10" s="40" cm="1">
        <f t="array" ref="BM10">IF($F$14-$I$4+VLOOKUP($R10,武学奇术!$A:$ZZ,15,FALSE)+SUM(_xlfn.XLOOKUP($S10:$AL10,增益!$A:$A,增益!$O:$O,0))&gt;0,($F$14-$I$4+VLOOKUP($R10,武学奇术!$A:$ZZ,15,FALSE)+SUM(_xlfn.XLOOKUP($S10:$AL10,增益!$A:$A,增益!$O:$O,0)))/200,($F$14-$I$4+VLOOKUP($R10,武学奇术!$A:$ZZ,15,FALSE)+SUM(_xlfn.XLOOKUP($S10:$AL10,增益!$A:$A,增益!$O:$O,0)))/100)</f>
        <v>-0.14</v>
      </c>
      <c r="BN10" s="40" cm="1">
        <f t="array" ref="BN10">$G$14+VLOOKUP($R10,武学奇术!$A:$ZZ,16,FALSE)+SUM(_xlfn.XLOOKUP($S10:$AL10,增益!$A:$A,增益!$P:$P,0))</f>
        <v>0</v>
      </c>
      <c r="BO10" s="33">
        <f>MIN(IF(VLOOKUP($R10,武学奇术!$A:$ZZ,23,FALSE)=1,100%,$B$8),100%)</f>
        <v>0.9771</v>
      </c>
      <c r="BP10" s="33" cm="1">
        <f t="array" ref="BP10">IF(VLOOKUP($R10,武学奇术!$A:$ZZ,23,FALSE)=1,100%,MIN(80%,$B$9+VLOOKUP($R10,武学奇术!$A:$ZZ,17,FALSE)+SUM(_xlfn.XLOOKUP($S10:$AL10,增益!$A:$A,增益!$Q:$Q,0)))+$B$11+SUM(_xlfn.XLOOKUP($S10:$AL10,增益!$A:$A,增益!$U:$U,0)))*IF(VLOOKUP($R10,武学奇术!$A:$ZZ,24,FALSE)=1,0,1)</f>
        <v>0.8861</v>
      </c>
      <c r="BQ10" s="33" cm="1">
        <f t="array" ref="BQ10">1+$B$13+VLOOKUP($R10,武学奇术!$A:$ZZ,18,FALSE)+SUM(_xlfn.XLOOKUP($S10:$AL10,增益!$A:$A,增益!$R:$R,0))</f>
        <v>1.88</v>
      </c>
      <c r="BR10" s="33" cm="1">
        <f t="array" ref="BR10">IF(VLOOKUP($R10,武学奇术!$A:$ZZ,24,FALSE)=1,100%,MIN(40%,$B$10+VLOOKUP($R10,武学奇术!$A:$ZZ,19,FALSE)+SUM(_xlfn.XLOOKUP($S10:$AL10,增益!$A:$A,增益!$S:$S,0)))+$B$12+SUM(_xlfn.XLOOKUP($S10:$AL10,增益!$A:$A,增益!$V:$V,0)))*IF(VLOOKUP($R10,武学奇术!$A:$ZZ,23,FALSE)=1,0,1)</f>
        <v>0.0913</v>
      </c>
      <c r="BS10" s="33" cm="1">
        <f t="array" ref="BS10">1+$B$14+VLOOKUP($R10,武学奇术!$A:$ZZ,20,FALSE)+SUM(_xlfn.XLOOKUP($S10:$AL10,增益!$A:$A,增益!$T:$T,0))</f>
        <v>1.35</v>
      </c>
      <c r="BT10" s="33">
        <f t="shared" si="10"/>
        <v>0.86580831</v>
      </c>
      <c r="BU10" s="33">
        <f t="shared" si="11"/>
        <v>0.02208246</v>
      </c>
      <c r="BV10" s="33">
        <f>IF(VLOOKUP($R10,武学奇术!$A:$ZZ,22,FALSE)=1,0,(1-$BO10))*(1-$BR10)</f>
        <v>0.02080923</v>
      </c>
      <c r="BW10" s="33" cm="1">
        <f t="array" ref="BW10">SUM(_xlfn.XLOOKUP($S10:$AL10,增益!$A:$A,增益!$W:$W,0))+$I$5</f>
        <v>0.11</v>
      </c>
      <c r="BX10" s="33" cm="1">
        <f t="array" ref="BX10">VLOOKUP($R10,武学奇术!$A:$ZZ,32,FALSE)+SUM(_xlfn.XLOOKUP($S10:$AL10,增益!$A:$A,增益!$X:$X,0))</f>
        <v>0</v>
      </c>
    </row>
    <row r="11" ht="14.25" spans="1:76">
      <c r="A11" s="49" t="s">
        <v>113</v>
      </c>
      <c r="B11" s="78">
        <f>期望!B11</f>
        <v>0.092</v>
      </c>
      <c r="C11" s="22" t="s">
        <v>86</v>
      </c>
      <c r="D11">
        <f>期望!D11</f>
        <v>0</v>
      </c>
      <c r="E11">
        <f>期望!E11</f>
        <v>0</v>
      </c>
      <c r="F11">
        <f>期望!F11</f>
        <v>0</v>
      </c>
      <c r="G11" s="57">
        <f>期望!G11</f>
        <v>0</v>
      </c>
      <c r="H11" s="79"/>
      <c r="I11" s="25"/>
      <c r="J11" s="82"/>
      <c r="K11" s="46"/>
      <c r="L11" s="46">
        <f t="shared" si="0"/>
        <v>59558.1543331275</v>
      </c>
      <c r="M11" s="46">
        <f>((($AT11+$AU11)/2*$AN11+$AO11)*(1+$AV11)*(1+$AW11)+(($AY11+$AZ11)/2*IF($G$1="鸣金",$AP11,$AN11)+IF($G$1="鸣金",$AQ11*1.5,0))*(1+$BA11)*(1+$BB11)+(($BC11+$BD11)/2*IF($G$1="裂石",$AP11,$AN11)+IF($G$1="裂石",$AQ11*1.5,0))*(1+$BE11)*(1+$BF11)+(($BG11+$BH11)/2*IF($G$1="牵丝",$AP11,$AN11)+IF($G$1="牵丝",$AQ11*1.5,0))*(1+$BI11)*(1+$BJ11)+(($BK11+$BL11)/2*IF($G$1="破竹",$AP11,$AN11)+IF($G$1="破竹",$AQ11*1.5,0))*(1+$BM11)*(1+$BN11))*(1+$AR11)*$BQ11*$Q11*(1+IF(VLOOKUP($R11,武学奇术!$A:$ZZ,30,FALSE)="蓄力技",$B$21,0))*(1+IF(VLOOKUP($R11,武学奇术!$A:$ZZ,30,FALSE)="派生技",$B$20,0))*(1+$BW11)*(1+$BX11)</f>
        <v>61954.4540999964</v>
      </c>
      <c r="N11" s="46">
        <f>(($AU11*$AN11+$AO11)*(1+$AV11)*(1+$AW11)+($AZ11*IF($G$1="鸣金",$AP11,$AN11)+IF($G$1="鸣金",$AQ11*1.5,0))*(1+$BA11)*(1+$BB11)+($BD11*IF($G$1="裂石",$AP11,$AN11)+IF($G$1="裂石",$AQ11*1.5,0))*(1+$BE11)*(1+$BF11)+($BH11*IF($G$1="牵丝",$AP11,$AN11)+IF($G$1="牵丝",$AQ11*1.5,0))*(1+$BI11)*(1+$BJ11)+($BL11*IF($G$1="破竹",$AP11,$AN11)+IF($G$1="破竹",$AQ11*1.5,0))*(1+$BM11)*(1+$BN11))*(1+$AR11)*$BS11*$Q11*(1+IF(VLOOKUP($R11,武学奇术!$A:$ZZ,30,FALSE)="蓄力技",$B$21,0))*(1+IF(VLOOKUP($R11,武学奇术!$A:$ZZ,30,FALSE)="派生技",$B$20,0))*(1+$BW11)*(1+$BX11)</f>
        <v>50462.0186221772</v>
      </c>
      <c r="O11" s="46">
        <f>((($AT11+$AU11)/2*$AN11+$AO11)*(1+$AV11)*(1+$AW11)+(($AY11+$AZ11)/2*IF($G$1="鸣金",$AP11,$AN11)+IF($G$1="鸣金",$AQ11*1.5,0))*(1+$BA11)*(1+$BB11)+(($BC11+$BD11)/2*IF($G$1="裂石",$AP11,$AN11)+IF($G$1="裂石",$AQ11*1.5,0))*(1+$BE11)*(1+$BF11)+(($BG11+$BH11)/2*IF($G$1="牵丝",$AP11,$AN11)+IF($G$1="牵丝",$AQ11*1.5,0))*(1+$BI11)*(1+$BJ11)+(($BK11+$BL11)/2*IF($G$1="破竹",$AP11,$AN11)+IF($G$1="破竹",$AQ11*1.5,0))*(1+$BM11)*(1+$BN11))*(1+$AR11)*$Q11*(1+IF(VLOOKUP($R11,武学奇术!$A:$ZZ,30,FALSE)="蓄力技",$B$21,0))*(1+IF(VLOOKUP($R11,武学奇术!$A:$ZZ,30,FALSE)="派生技",$B$20,0))*(1+$BW11)*(1+$BX11)</f>
        <v>32780.1344444425</v>
      </c>
      <c r="P11" s="46">
        <f>((($AT11*$AN11+$AO11)*(1+$AV11)*(1+$AW11)+($AY11*IF($G$1="鸣金",$AP11,$AN11)+IF($G$1="鸣金",$AQ11*1.5,0))*(1+$BA11)*(1+$BB11)+($BC11*IF($G$1="裂石",$AP11,$AN11)+IF($G$1="裂石",$AQ11*1.5,0))*(1+$BE11)*(1+$BF11)+($BG11*IF($G$1="牵丝",$AP11,$AN11)+IF($G$1="牵丝",$AQ11*1.5,0))*(1+$BI11)*(1+$BJ11)+($BK11*IF($G$1="破竹",$AP11,$AN11)+IF($G$1="破竹",$AQ11*1.5,0))*(1+$BM11)*(1+$BN11))*(1+$AR11))*$Q11*(1+IF(VLOOKUP($R11,武学奇术!$A:$ZZ,30,FALSE)="蓄力技",$B$21,0))*(1+IF(VLOOKUP($R11,武学奇术!$A:$ZZ,30,FALSE)="派生技",$B$20,0))*(1+$BW11)*(1+$BX11)</f>
        <v>28180.9958354205</v>
      </c>
      <c r="Q11" s="47">
        <f t="shared" si="1"/>
        <v>1</v>
      </c>
      <c r="R11" s="48" t="s">
        <v>106</v>
      </c>
      <c r="S11" s="48" t="s">
        <v>99</v>
      </c>
      <c r="T11" s="48" t="s">
        <v>100</v>
      </c>
      <c r="U11" s="48" t="s">
        <v>79</v>
      </c>
      <c r="V11" s="48" t="s">
        <v>90</v>
      </c>
      <c r="W11" s="48" t="s">
        <v>91</v>
      </c>
      <c r="X11" s="48" t="s">
        <v>80</v>
      </c>
      <c r="Y11" s="48" t="s">
        <v>80</v>
      </c>
      <c r="Z11" s="48" t="s">
        <v>81</v>
      </c>
      <c r="AA11" s="48" t="s">
        <v>80</v>
      </c>
      <c r="AB11" s="48" t="s">
        <v>80</v>
      </c>
      <c r="AC11" s="48" t="s">
        <v>80</v>
      </c>
      <c r="AD11" s="48" t="s">
        <v>80</v>
      </c>
      <c r="AE11" s="48" t="s">
        <v>80</v>
      </c>
      <c r="AF11" s="48" t="s">
        <v>83</v>
      </c>
      <c r="AG11" s="48" t="s">
        <v>84</v>
      </c>
      <c r="AH11" s="48" t="s">
        <v>80</v>
      </c>
      <c r="AI11" s="48" t="s">
        <v>80</v>
      </c>
      <c r="AJ11" s="48" t="s">
        <v>80</v>
      </c>
      <c r="AK11" s="48" t="s">
        <v>80</v>
      </c>
      <c r="AL11" s="48" t="s">
        <v>80</v>
      </c>
      <c r="AM11" t="str">
        <f>VLOOKUP($R11,武学奇术!$A:$ZZ,25,FALSE)</f>
        <v>群体奇术</v>
      </c>
      <c r="AN11" s="33">
        <f>VLOOKUP($R11,武学奇术!$A:$ZZ,26,FALSE)</f>
        <v>2.3774</v>
      </c>
      <c r="AO11" s="34">
        <f>VLOOKUP($R11,武学奇术!$A:$ZZ,27,FALSE)*(1+IF(OR($AM11=$F$4,$AM11=$F$5),$B$22,0))</f>
        <v>476</v>
      </c>
      <c r="AP11" s="33">
        <f>VLOOKUP($R11,武学奇术!$A:$ZZ,28,FALSE)</f>
        <v>3.5661</v>
      </c>
      <c r="AQ11" s="34">
        <f>VLOOKUP($R11,武学奇术!$A:$ZZ,29,FALSE)*(1+IF(OR($AM11=$F$4,$AM11=$F$5),$B$22,0))</f>
        <v>0</v>
      </c>
      <c r="AR11" s="33" cm="1">
        <f t="array" ref="AR11">$G$3+IFERROR(VLOOKUP($AM11,$F$4:$G$7,2,FALSE),0)+VLOOKUP($R11,武学奇术!$A:$ZZ,2,FALSE)+SUM(_xlfn.XLOOKUP($S11:$AL11,增益!$A:$A,增益!$B:$B,0))</f>
        <v>0.3842</v>
      </c>
      <c r="AS11" s="33" cm="1">
        <f t="array" ref="AS11">VLOOKUP($R11,武学奇术!$A:$ZZ,5,FALSE)+SUM(_xlfn.XLOOKUP($S11:$AL11,增益!$A:$A,增益!$E:$E,0))</f>
        <v>0</v>
      </c>
      <c r="AT11" cm="1">
        <f t="array" ref="AT11">$D$10*(1+$AS11)+VLOOKUP($R11,武学奇术!$A:$ZZ,3,FALSE)+SUM(_xlfn.XLOOKUP($S11:$AL11,增益!$A:$A,增益!$C:$C,0))-$I$2</f>
        <v>4026</v>
      </c>
      <c r="AU11" cm="1">
        <f t="array" ref="AU11">$E$10*(1+$AS11)+VLOOKUP($R11,武学奇术!$A:$ZZ,4,FALSE)+SUM(_xlfn.XLOOKUP($S11:$AL11,增益!$A:$A,增益!$D:$D,0))-$I$2</f>
        <v>4026</v>
      </c>
      <c r="AV11" s="40" cm="1">
        <f t="array" ref="AV11">IF($F$10-$I$3+VLOOKUP($R11,武学奇术!$A:$ZZ,6,FALSE)+SUM(_xlfn.XLOOKUP($S11:$AL11,增益!$A:$A,增益!$F:$F,0))&gt;0,($F$10-$I$3+VLOOKUP($R11,武学奇术!$A:$ZZ,6,FALSE)+SUM(_xlfn.XLOOKUP($S11:$AL11,增益!$A:$A,增益!$F:$F,0)))/200,($F$10-$I$3+VLOOKUP($R11,武学奇术!$A:$ZZ,6,FALSE)+SUM(_xlfn.XLOOKUP($S11:$AL11,增益!$A:$A,增益!$F:$F,0)))/100)</f>
        <v>0.3284</v>
      </c>
      <c r="AW11" s="40" cm="1">
        <f t="array" ref="AW11">$G$10+VLOOKUP($R11,武学奇术!$A:$ZZ,7,FALSE)+SUM(_xlfn.XLOOKUP($S11:$AL11,增益!$A:$A,增益!$G:$G,0))</f>
        <v>0.12</v>
      </c>
      <c r="AX11" s="33" cm="1">
        <f t="array" ref="AX11">VLOOKUP($R11,武学奇术!$A:$ZZ,8,FALSE)+SUM(_xlfn.XLOOKUP($S11:$AL11,增益!$A:$A,增益!$H:$H,0))</f>
        <v>0</v>
      </c>
      <c r="AY11">
        <f t="shared" si="2"/>
        <v>0</v>
      </c>
      <c r="AZ11">
        <f t="shared" si="3"/>
        <v>0</v>
      </c>
      <c r="BA11" s="40" cm="1">
        <f t="array" ref="BA11">IF($F$11-$I$4+VLOOKUP($R11,武学奇术!$A:$ZZ,9,FALSE)+SUM(_xlfn.XLOOKUP($S11:$AL11,增益!$A:$A,增益!$I:$I,0))&gt;0,($F$11-$I$4+VLOOKUP($R11,武学奇术!$A:$ZZ,9,FALSE)+SUM(_xlfn.XLOOKUP($S11:$AL11,增益!$A:$A,增益!$I:$I,0)))/200,($F$11-$I$4+VLOOKUP($R11,武学奇术!$A:$ZZ,9,FALSE)+SUM(_xlfn.XLOOKUP($S11:$AL11,增益!$A:$A,增益!$I:$I,0)))/100)</f>
        <v>-0.14</v>
      </c>
      <c r="BB11" s="40" cm="1">
        <f t="array" ref="BB11">$G$11+VLOOKUP($R11,武学奇术!$A:$ZZ,10,FALSE)+SUM(_xlfn.XLOOKUP($S11:$AL11,增益!$A:$A,增益!$J:$J,0))</f>
        <v>0</v>
      </c>
      <c r="BC11">
        <f t="shared" si="4"/>
        <v>640.3</v>
      </c>
      <c r="BD11">
        <f t="shared" si="5"/>
        <v>1770.1</v>
      </c>
      <c r="BE11" s="40" cm="1">
        <f t="array" ref="BE11">IF($F$12-$I$4+VLOOKUP($R11,武学奇术!$A:$ZZ,11,FALSE)+SUM(_xlfn.XLOOKUP($S11:$AL11,增益!$A:$A,增益!$K:$K,0))&gt;0,($F$12-$I$4+VLOOKUP($R11,武学奇术!$A:$ZZ,11,FALSE)+SUM(_xlfn.XLOOKUP($S11:$AL11,增益!$A:$A,增益!$K:$K,0)))/200,($F$12-$I$4+VLOOKUP($R11,武学奇术!$A:$ZZ,11,FALSE)+SUM(_xlfn.XLOOKUP($S11:$AL11,增益!$A:$A,增益!$K:$K,0)))/100)</f>
        <v>0.17</v>
      </c>
      <c r="BF11" s="40" cm="1">
        <f t="array" ref="BF11">$G$12+VLOOKUP($R11,武学奇术!$A:$ZZ,12,FALSE)+SUM(_xlfn.XLOOKUP($S11:$AL11,增益!$A:$A,增益!$L:$L,0))</f>
        <v>0.27</v>
      </c>
      <c r="BG11">
        <f t="shared" si="6"/>
        <v>0</v>
      </c>
      <c r="BH11">
        <f t="shared" si="7"/>
        <v>0</v>
      </c>
      <c r="BI11" s="40" cm="1">
        <f t="array" ref="BI11">IF($F$13-$I$4+VLOOKUP($R11,武学奇术!$A:$ZZ,13,FALSE)+SUM(_xlfn.XLOOKUP($S11:$AL11,增益!$A:$A,增益!$M:$M,0))&gt;0,($F$13-$I$4+VLOOKUP($R11,武学奇术!$A:$ZZ,13,FALSE)+SUM(_xlfn.XLOOKUP($S11:$AL11,增益!$A:$A,增益!$K:$K,0)))/200,($F$13-$I$4+VLOOKUP($R11,武学奇术!$A:$ZZ,13,FALSE)+SUM(_xlfn.XLOOKUP($S11:$AL11,增益!$A:$A,增益!$M:$M,0)))/100)</f>
        <v>-0.14</v>
      </c>
      <c r="BJ11" s="40" cm="1">
        <f t="array" ref="BJ11">$G$13+VLOOKUP($R11,武学奇术!$A:$ZZ,14,FALSE)+SUM(_xlfn.XLOOKUP($S11:$AL11,增益!$A:$A,增益!$N:$N,0))</f>
        <v>0</v>
      </c>
      <c r="BK11">
        <f t="shared" si="8"/>
        <v>0</v>
      </c>
      <c r="BL11">
        <f t="shared" si="9"/>
        <v>0</v>
      </c>
      <c r="BM11" s="40" cm="1">
        <f t="array" ref="BM11">IF($F$14-$I$4+VLOOKUP($R11,武学奇术!$A:$ZZ,15,FALSE)+SUM(_xlfn.XLOOKUP($S11:$AL11,增益!$A:$A,增益!$O:$O,0))&gt;0,($F$14-$I$4+VLOOKUP($R11,武学奇术!$A:$ZZ,15,FALSE)+SUM(_xlfn.XLOOKUP($S11:$AL11,增益!$A:$A,增益!$O:$O,0)))/200,($F$14-$I$4+VLOOKUP($R11,武学奇术!$A:$ZZ,15,FALSE)+SUM(_xlfn.XLOOKUP($S11:$AL11,增益!$A:$A,增益!$O:$O,0)))/100)</f>
        <v>-0.14</v>
      </c>
      <c r="BN11" s="40" cm="1">
        <f t="array" ref="BN11">$G$14+VLOOKUP($R11,武学奇术!$A:$ZZ,16,FALSE)+SUM(_xlfn.XLOOKUP($S11:$AL11,增益!$A:$A,增益!$P:$P,0))</f>
        <v>0</v>
      </c>
      <c r="BO11" s="33">
        <f>MIN(IF(VLOOKUP($R11,武学奇术!$A:$ZZ,23,FALSE)=1,100%,$B$8),100%)</f>
        <v>0.9771</v>
      </c>
      <c r="BP11" s="33" cm="1">
        <f t="array" ref="BP11">IF(VLOOKUP($R11,武学奇术!$A:$ZZ,23,FALSE)=1,100%,MIN(80%,$B$9+VLOOKUP($R11,武学奇术!$A:$ZZ,17,FALSE)+SUM(_xlfn.XLOOKUP($S11:$AL11,增益!$A:$A,增益!$Q:$Q,0)))+$B$11+SUM(_xlfn.XLOOKUP($S11:$AL11,增益!$A:$A,增益!$U:$U,0)))*IF(VLOOKUP($R11,武学奇术!$A:$ZZ,24,FALSE)=1,0,1)</f>
        <v>0.8861</v>
      </c>
      <c r="BQ11" s="33" cm="1">
        <f t="array" ref="BQ11">1+$B$13+VLOOKUP($R11,武学奇术!$A:$ZZ,18,FALSE)+SUM(_xlfn.XLOOKUP($S11:$AL11,增益!$A:$A,增益!$R:$R,0))</f>
        <v>1.89</v>
      </c>
      <c r="BR11" s="33" cm="1">
        <f t="array" ref="BR11">IF(VLOOKUP($R11,武学奇术!$A:$ZZ,24,FALSE)=1,100%,MIN(40%,$B$10+VLOOKUP($R11,武学奇术!$A:$ZZ,19,FALSE)+SUM(_xlfn.XLOOKUP($S11:$AL11,增益!$A:$A,增益!$S:$S,0)))+$B$12+SUM(_xlfn.XLOOKUP($S11:$AL11,增益!$A:$A,增益!$V:$V,0)))*IF(VLOOKUP($R11,武学奇术!$A:$ZZ,23,FALSE)=1,0,1)</f>
        <v>0.0913</v>
      </c>
      <c r="BS11" s="33" cm="1">
        <f t="array" ref="BS11">1+$B$14+VLOOKUP($R11,武学奇术!$A:$ZZ,20,FALSE)+SUM(_xlfn.XLOOKUP($S11:$AL11,增益!$A:$A,增益!$T:$T,0))</f>
        <v>1.35</v>
      </c>
      <c r="BT11" s="33">
        <f t="shared" si="10"/>
        <v>0.86580831</v>
      </c>
      <c r="BU11" s="33">
        <f t="shared" si="11"/>
        <v>0.02208246</v>
      </c>
      <c r="BV11" s="33">
        <f>IF(VLOOKUP($R11,武学奇术!$A:$ZZ,22,FALSE)=1,0,(1-$BO11))*(1-$BR11)</f>
        <v>0.02080923</v>
      </c>
      <c r="BW11" s="33" cm="1">
        <f t="array" ref="BW11">SUM(_xlfn.XLOOKUP($S11:$AL11,增益!$A:$A,增益!$W:$W,0))+$I$5</f>
        <v>0.11</v>
      </c>
      <c r="BX11" s="33" cm="1">
        <f t="array" ref="BX11">VLOOKUP($R11,武学奇术!$A:$ZZ,32,FALSE)+SUM(_xlfn.XLOOKUP($S11:$AL11,增益!$A:$A,增益!$X:$X,0))</f>
        <v>0</v>
      </c>
    </row>
    <row r="12" spans="1:76">
      <c r="A12" s="49" t="s">
        <v>114</v>
      </c>
      <c r="B12" s="78">
        <f>期望!B12</f>
        <v>0</v>
      </c>
      <c r="C12" s="22" t="s">
        <v>5</v>
      </c>
      <c r="D12">
        <f>期望!D12</f>
        <v>640.3</v>
      </c>
      <c r="E12">
        <f>期望!E12</f>
        <v>1770.1</v>
      </c>
      <c r="F12">
        <f>期望!F12</f>
        <v>36</v>
      </c>
      <c r="G12" s="57">
        <f>期望!G12</f>
        <v>0.15</v>
      </c>
      <c r="H12" s="75" t="s">
        <v>203</v>
      </c>
      <c r="I12" s="46">
        <f>I10/I8</f>
        <v>160951.242010472</v>
      </c>
      <c r="J12" s="83"/>
      <c r="K12" s="46"/>
      <c r="L12" s="46">
        <f t="shared" si="0"/>
        <v>78371.7208632132</v>
      </c>
      <c r="M12" s="46">
        <f>((($AT12+$AU12)/2*$AN12+$AO12)*(1+$AV12)*(1+$AW12)+(($AY12+$AZ12)/2*IF($G$1="鸣金",$AP12,$AN12)+IF($G$1="鸣金",$AQ12*1.5,0))*(1+$BA12)*(1+$BB12)+(($BC12+$BD12)/2*IF($G$1="裂石",$AP12,$AN12)+IF($G$1="裂石",$AQ12*1.5,0))*(1+$BE12)*(1+$BF12)+(($BG12+$BH12)/2*IF($G$1="牵丝",$AP12,$AN12)+IF($G$1="牵丝",$AQ12*1.5,0))*(1+$BI12)*(1+$BJ12)+(($BK12+$BL12)/2*IF($G$1="破竹",$AP12,$AN12)+IF($G$1="破竹",$AQ12*1.5,0))*(1+$BM12)*(1+$BN12))*(1+$AR12)*$BQ12*$Q12*(1+IF(VLOOKUP($R12,武学奇术!$A:$ZZ,30,FALSE)="蓄力技",$B$21,0))*(1+IF(VLOOKUP($R12,武学奇术!$A:$ZZ,30,FALSE)="派生技",$B$20,0))*(1+$BW12)*(1+$BX12)</f>
        <v>80987.5514642843</v>
      </c>
      <c r="N12" s="46">
        <f>(($AU12*$AN12+$AO12)*(1+$AV12)*(1+$AW12)+($AZ12*IF($G$1="鸣金",$AP12,$AN12)+IF($G$1="鸣金",$AQ12*1.5,0))*(1+$BA12)*(1+$BB12)+($BD12*IF($G$1="裂石",$AP12,$AN12)+IF($G$1="裂石",$AQ12*1.5,0))*(1+$BE12)*(1+$BF12)+($BH12*IF($G$1="牵丝",$AP12,$AN12)+IF($G$1="牵丝",$AQ12*1.5,0))*(1+$BI12)*(1+$BJ12)+($BL12*IF($G$1="破竹",$AP12,$AN12)+IF($G$1="破竹",$AQ12*1.5,0))*(1+$BM12)*(1+$BN12))*(1+$AR12)*$BS12*$Q12*(1+IF(VLOOKUP($R12,武学奇术!$A:$ZZ,30,FALSE)="蓄力技",$B$21,0))*(1+IF(VLOOKUP($R12,武学奇术!$A:$ZZ,30,FALSE)="派生技",$B$20,0))*(1+$BW12)*(1+$BX12)</f>
        <v>70115.745048223</v>
      </c>
      <c r="O12" s="46">
        <f>((($AT12+$AU12)/2*$AN12+$AO12)*(1+$AV12)*(1+$AW12)+(($AY12+$AZ12)/2*IF($G$1="鸣金",$AP12,$AN12)+IF($G$1="鸣金",$AQ12*1.5,0))*(1+$BA12)*(1+$BB12)+(($BC12+$BD12)/2*IF($G$1="裂石",$AP12,$AN12)+IF($G$1="裂石",$AQ12*1.5,0))*(1+$BE12)*(1+$BF12)+(($BG12+$BH12)/2*IF($G$1="牵丝",$AP12,$AN12)+IF($G$1="牵丝",$AQ12*1.5,0))*(1+$BI12)*(1+$BJ12)+(($BK12+$BL12)/2*IF($G$1="破竹",$AP12,$AN12)+IF($G$1="破竹",$AQ12*1.5,0))*(1+$BM12)*(1+$BN12))*(1+$AR12)*$Q12*(1+IF(VLOOKUP($R12,武学奇术!$A:$ZZ,30,FALSE)="蓄力技",$B$21,0))*(1+IF(VLOOKUP($R12,武学奇术!$A:$ZZ,30,FALSE)="派生技",$B$20,0))*(1+$BW12)*(1+$BX12)</f>
        <v>46015.6542410706</v>
      </c>
      <c r="P12" s="46">
        <f>((($AT12*$AN12+$AO12)*(1+$AV12)*(1+$AW12)+($AY12*IF($G$1="鸣金",$AP12,$AN12)+IF($G$1="鸣金",$AQ12*1.5,0))*(1+$BA12)*(1+$BB12)+($BC12*IF($G$1="裂石",$AP12,$AN12)+IF($G$1="裂石",$AQ12*1.5,0))*(1+$BE12)*(1+$BF12)+($BG12*IF($G$1="牵丝",$AP12,$AN12)+IF($G$1="牵丝",$AQ12*1.5,0))*(1+$BI12)*(1+$BJ12)+($BK12*IF($G$1="破竹",$AP12,$AN12)+IF($G$1="破竹",$AQ12*1.5,0))*(1+$BM12)*(1+$BN12))*(1+$AR12))*$Q12*(1+IF(VLOOKUP($R12,武学奇术!$A:$ZZ,30,FALSE)="蓄力技",$B$21,0))*(1+IF(VLOOKUP($R12,武学奇术!$A:$ZZ,30,FALSE)="派生技",$B$20,0))*(1+$BW12)*(1+$BX12)</f>
        <v>40093.7195575316</v>
      </c>
      <c r="Q12" s="47">
        <f t="shared" si="1"/>
        <v>1</v>
      </c>
      <c r="R12" s="48" t="s">
        <v>116</v>
      </c>
      <c r="S12" s="48" t="s">
        <v>117</v>
      </c>
      <c r="T12" s="48" t="s">
        <v>78</v>
      </c>
      <c r="U12" s="48" t="s">
        <v>80</v>
      </c>
      <c r="V12" s="48" t="s">
        <v>80</v>
      </c>
      <c r="W12" s="48" t="s">
        <v>80</v>
      </c>
      <c r="X12" s="48" t="s">
        <v>80</v>
      </c>
      <c r="Y12" s="48" t="s">
        <v>80</v>
      </c>
      <c r="Z12" s="48" t="s">
        <v>80</v>
      </c>
      <c r="AA12" s="48" t="s">
        <v>80</v>
      </c>
      <c r="AB12" s="48" t="s">
        <v>80</v>
      </c>
      <c r="AC12" s="48" t="s">
        <v>80</v>
      </c>
      <c r="AD12" s="48" t="s">
        <v>80</v>
      </c>
      <c r="AE12" s="48" t="s">
        <v>80</v>
      </c>
      <c r="AF12" s="48" t="s">
        <v>83</v>
      </c>
      <c r="AG12" s="48" t="s">
        <v>84</v>
      </c>
      <c r="AH12" s="48" t="s">
        <v>80</v>
      </c>
      <c r="AI12" s="48" t="s">
        <v>80</v>
      </c>
      <c r="AJ12" s="48" t="s">
        <v>80</v>
      </c>
      <c r="AK12" s="48" t="s">
        <v>80</v>
      </c>
      <c r="AL12" s="48" t="s">
        <v>80</v>
      </c>
      <c r="AM12" t="str">
        <f>VLOOKUP($R12,武学奇术!$A:$ZZ,25,FALSE)</f>
        <v>横刀</v>
      </c>
      <c r="AN12" s="33">
        <f>VLOOKUP($R12,武学奇术!$A:$ZZ,26,FALSE)</f>
        <v>3.7797</v>
      </c>
      <c r="AO12" s="34">
        <f>VLOOKUP($R12,武学奇术!$A:$ZZ,27,FALSE)*(1+IF(OR($AM12=$F$4,$AM12=$F$5),$B$22,0))</f>
        <v>1672</v>
      </c>
      <c r="AP12" s="33">
        <f>VLOOKUP($R12,武学奇术!$A:$ZZ,28,FALSE)</f>
        <v>5.6696</v>
      </c>
      <c r="AQ12" s="34">
        <f>VLOOKUP($R12,武学奇术!$A:$ZZ,29,FALSE)*(1+IF(OR($AM12=$F$4,$AM12=$F$5),$B$22,0))</f>
        <v>912</v>
      </c>
      <c r="AR12" s="33" cm="1">
        <f t="array" ref="AR12">$G$3+IFERROR(VLOOKUP($AM12,$F$4:$G$7,2,FALSE),0)+VLOOKUP($R12,武学奇术!$A:$ZZ,2,FALSE)+SUM(_xlfn.XLOOKUP($S12:$AL12,增益!$A:$A,增益!$B:$B,0))</f>
        <v>0.3289</v>
      </c>
      <c r="AS12" s="33" cm="1">
        <f t="array" ref="AS12">VLOOKUP($R12,武学奇术!$A:$ZZ,5,FALSE)+SUM(_xlfn.XLOOKUP($S12:$AL12,增益!$A:$A,增益!$E:$E,0))</f>
        <v>0</v>
      </c>
      <c r="AT12" cm="1">
        <f t="array" ref="AT12">$D$10*(1+$AS12)+VLOOKUP($R12,武学奇术!$A:$ZZ,3,FALSE)+SUM(_xlfn.XLOOKUP($S12:$AL12,增益!$A:$A,增益!$C:$C,0))-$I$2</f>
        <v>4026</v>
      </c>
      <c r="AU12" cm="1">
        <f t="array" ref="AU12">$E$10*(1+$AS12)+VLOOKUP($R12,武学奇术!$A:$ZZ,4,FALSE)+SUM(_xlfn.XLOOKUP($S12:$AL12,增益!$A:$A,增益!$D:$D,0))-$I$2</f>
        <v>4026</v>
      </c>
      <c r="AV12" s="40" cm="1">
        <f t="array" ref="AV12">IF($F$10-$I$3+VLOOKUP($R12,武学奇术!$A:$ZZ,6,FALSE)+SUM(_xlfn.XLOOKUP($S12:$AL12,增益!$A:$A,增益!$F:$F,0))&gt;0,($F$10-$I$3+VLOOKUP($R12,武学奇术!$A:$ZZ,6,FALSE)+SUM(_xlfn.XLOOKUP($S12:$AL12,增益!$A:$A,增益!$F:$F,0)))/200,($F$10-$I$3+VLOOKUP($R12,武学奇术!$A:$ZZ,6,FALSE)+SUM(_xlfn.XLOOKUP($S12:$AL12,增益!$A:$A,增益!$F:$F,0)))/100)</f>
        <v>0.2384</v>
      </c>
      <c r="AW12" s="40" cm="1">
        <f t="array" ref="AW12">$G$10+VLOOKUP($R12,武学奇术!$A:$ZZ,7,FALSE)+SUM(_xlfn.XLOOKUP($S12:$AL12,增益!$A:$A,增益!$G:$G,0))</f>
        <v>0</v>
      </c>
      <c r="AX12" s="33" cm="1">
        <f t="array" ref="AX12">VLOOKUP($R12,武学奇术!$A:$ZZ,8,FALSE)+SUM(_xlfn.XLOOKUP($S12:$AL12,增益!$A:$A,增益!$H:$H,0))</f>
        <v>0</v>
      </c>
      <c r="AY12">
        <f t="shared" si="2"/>
        <v>0</v>
      </c>
      <c r="AZ12">
        <f t="shared" si="3"/>
        <v>0</v>
      </c>
      <c r="BA12" s="40" cm="1">
        <f t="array" ref="BA12">IF($F$11-$I$4+VLOOKUP($R12,武学奇术!$A:$ZZ,9,FALSE)+SUM(_xlfn.XLOOKUP($S12:$AL12,增益!$A:$A,增益!$I:$I,0))&gt;0,($F$11-$I$4+VLOOKUP($R12,武学奇术!$A:$ZZ,9,FALSE)+SUM(_xlfn.XLOOKUP($S12:$AL12,增益!$A:$A,增益!$I:$I,0)))/200,($F$11-$I$4+VLOOKUP($R12,武学奇术!$A:$ZZ,9,FALSE)+SUM(_xlfn.XLOOKUP($S12:$AL12,增益!$A:$A,增益!$I:$I,0)))/100)</f>
        <v>-0.3</v>
      </c>
      <c r="BB12" s="40" cm="1">
        <f t="array" ref="BB12">$G$11+VLOOKUP($R12,武学奇术!$A:$ZZ,10,FALSE)+SUM(_xlfn.XLOOKUP($S12:$AL12,增益!$A:$A,增益!$J:$J,0))</f>
        <v>0</v>
      </c>
      <c r="BC12">
        <f t="shared" si="4"/>
        <v>640.3</v>
      </c>
      <c r="BD12">
        <f t="shared" si="5"/>
        <v>1770.1</v>
      </c>
      <c r="BE12" s="40" cm="1">
        <f t="array" ref="BE12">IF($F$12-$I$4+VLOOKUP($R12,武学奇术!$A:$ZZ,11,FALSE)+SUM(_xlfn.XLOOKUP($S12:$AL12,增益!$A:$A,增益!$K:$K,0))&gt;0,($F$12-$I$4+VLOOKUP($R12,武学奇术!$A:$ZZ,11,FALSE)+SUM(_xlfn.XLOOKUP($S12:$AL12,增益!$A:$A,增益!$K:$K,0)))/200,($F$12-$I$4+VLOOKUP($R12,武学奇术!$A:$ZZ,11,FALSE)+SUM(_xlfn.XLOOKUP($S12:$AL12,增益!$A:$A,增益!$K:$K,0)))/100)</f>
        <v>0.09</v>
      </c>
      <c r="BF12" s="40" cm="1">
        <f t="array" ref="BF12">$G$12+VLOOKUP($R12,武学奇术!$A:$ZZ,12,FALSE)+SUM(_xlfn.XLOOKUP($S12:$AL12,增益!$A:$A,增益!$L:$L,0))</f>
        <v>0.15</v>
      </c>
      <c r="BG12">
        <f t="shared" si="6"/>
        <v>0</v>
      </c>
      <c r="BH12">
        <f t="shared" si="7"/>
        <v>0</v>
      </c>
      <c r="BI12" s="40" cm="1">
        <f t="array" ref="BI12">IF($F$13-$I$4+VLOOKUP($R12,武学奇术!$A:$ZZ,13,FALSE)+SUM(_xlfn.XLOOKUP($S12:$AL12,增益!$A:$A,增益!$M:$M,0))&gt;0,($F$13-$I$4+VLOOKUP($R12,武学奇术!$A:$ZZ,13,FALSE)+SUM(_xlfn.XLOOKUP($S12:$AL12,增益!$A:$A,增益!$K:$K,0)))/200,($F$13-$I$4+VLOOKUP($R12,武学奇术!$A:$ZZ,13,FALSE)+SUM(_xlfn.XLOOKUP($S12:$AL12,增益!$A:$A,增益!$M:$M,0)))/100)</f>
        <v>-0.3</v>
      </c>
      <c r="BJ12" s="40" cm="1">
        <f t="array" ref="BJ12">$G$13+VLOOKUP($R12,武学奇术!$A:$ZZ,14,FALSE)+SUM(_xlfn.XLOOKUP($S12:$AL12,增益!$A:$A,增益!$N:$N,0))</f>
        <v>0</v>
      </c>
      <c r="BK12">
        <f t="shared" si="8"/>
        <v>0</v>
      </c>
      <c r="BL12">
        <f t="shared" si="9"/>
        <v>0</v>
      </c>
      <c r="BM12" s="40" cm="1">
        <f t="array" ref="BM12">IF($F$14-$I$4+VLOOKUP($R12,武学奇术!$A:$ZZ,15,FALSE)+SUM(_xlfn.XLOOKUP($S12:$AL12,增益!$A:$A,增益!$O:$O,0))&gt;0,($F$14-$I$4+VLOOKUP($R12,武学奇术!$A:$ZZ,15,FALSE)+SUM(_xlfn.XLOOKUP($S12:$AL12,增益!$A:$A,增益!$O:$O,0)))/200,($F$14-$I$4+VLOOKUP($R12,武学奇术!$A:$ZZ,15,FALSE)+SUM(_xlfn.XLOOKUP($S12:$AL12,增益!$A:$A,增益!$O:$O,0)))/100)</f>
        <v>-0.3</v>
      </c>
      <c r="BN12" s="40" cm="1">
        <f t="array" ref="BN12">$G$14+VLOOKUP($R12,武学奇术!$A:$ZZ,16,FALSE)+SUM(_xlfn.XLOOKUP($S12:$AL12,增益!$A:$A,增益!$P:$P,0))</f>
        <v>0</v>
      </c>
      <c r="BO12" s="33">
        <f>MIN(IF(VLOOKUP($R12,武学奇术!$A:$ZZ,23,FALSE)=1,100%,$B$8),100%)</f>
        <v>0.9771</v>
      </c>
      <c r="BP12" s="33" cm="1">
        <f t="array" ref="BP12">IF(VLOOKUP($R12,武学奇术!$A:$ZZ,23,FALSE)=1,100%,MIN(80%,$B$9+VLOOKUP($R12,武学奇术!$A:$ZZ,17,FALSE)+SUM(_xlfn.XLOOKUP($S12:$AL12,增益!$A:$A,增益!$Q:$Q,0)))+$B$11+SUM(_xlfn.XLOOKUP($S12:$AL12,增益!$A:$A,增益!$U:$U,0)))*IF(VLOOKUP($R12,武学奇术!$A:$ZZ,24,FALSE)=1,0,1)</f>
        <v>0.8861</v>
      </c>
      <c r="BQ12" s="33" cm="1">
        <f t="array" ref="BQ12">1+$B$13+VLOOKUP($R12,武学奇术!$A:$ZZ,18,FALSE)+SUM(_xlfn.XLOOKUP($S12:$AL12,增益!$A:$A,增益!$R:$R,0))</f>
        <v>1.76</v>
      </c>
      <c r="BR12" s="33" cm="1">
        <f t="array" ref="BR12">IF(VLOOKUP($R12,武学奇术!$A:$ZZ,24,FALSE)=1,100%,MIN(40%,$B$10+VLOOKUP($R12,武学奇术!$A:$ZZ,19,FALSE)+SUM(_xlfn.XLOOKUP($S12:$AL12,增益!$A:$A,增益!$S:$S,0)))+$B$12+SUM(_xlfn.XLOOKUP($S12:$AL12,增益!$A:$A,增益!$V:$V,0)))*IF(VLOOKUP($R12,武学奇术!$A:$ZZ,23,FALSE)=1,0,1)</f>
        <v>0.0913</v>
      </c>
      <c r="BS12" s="33" cm="1">
        <f t="array" ref="BS12">1+$B$14+VLOOKUP($R12,武学奇术!$A:$ZZ,20,FALSE)+SUM(_xlfn.XLOOKUP($S12:$AL12,增益!$A:$A,增益!$T:$T,0))</f>
        <v>1.35</v>
      </c>
      <c r="BT12" s="33">
        <f t="shared" si="10"/>
        <v>0.86580831</v>
      </c>
      <c r="BU12" s="33">
        <f t="shared" si="11"/>
        <v>0.02208246</v>
      </c>
      <c r="BV12" s="33">
        <f>IF(VLOOKUP($R12,武学奇术!$A:$ZZ,22,FALSE)=1,0,(1-$BO12))*(1-$BR12)</f>
        <v>0.02080923</v>
      </c>
      <c r="BW12" s="33" cm="1">
        <f t="array" ref="BW12">SUM(_xlfn.XLOOKUP($S12:$AL12,增益!$A:$A,增益!$W:$W,0))+$I$5</f>
        <v>0.11</v>
      </c>
      <c r="BX12" s="33" cm="1">
        <f t="array" ref="BX12">VLOOKUP($R12,武学奇术!$A:$ZZ,32,FALSE)+SUM(_xlfn.XLOOKUP($S12:$AL12,增益!$A:$A,增益!$X:$X,0))</f>
        <v>0</v>
      </c>
    </row>
    <row r="13" ht="14.25" spans="1:76">
      <c r="A13" s="49" t="s">
        <v>118</v>
      </c>
      <c r="B13" s="78">
        <f>期望!B13</f>
        <v>0.54</v>
      </c>
      <c r="C13" s="22" t="s">
        <v>96</v>
      </c>
      <c r="D13">
        <f>期望!D13</f>
        <v>0</v>
      </c>
      <c r="E13">
        <f>期望!E13</f>
        <v>0</v>
      </c>
      <c r="F13">
        <f>期望!F13</f>
        <v>0</v>
      </c>
      <c r="G13" s="57">
        <f>期望!G13</f>
        <v>0</v>
      </c>
      <c r="H13" s="79"/>
      <c r="I13" s="84"/>
      <c r="J13" s="82"/>
      <c r="K13" s="46"/>
      <c r="L13" s="46">
        <f t="shared" si="0"/>
        <v>53663.5699304106</v>
      </c>
      <c r="M13" s="46">
        <f>((($AT13+$AU13)/2*$AN13+$AO13)*(1+$AV13)*(1+$AW13)+(($AY13+$AZ13)/2*IF($G$1="鸣金",$AP13,$AN13)+IF($G$1="鸣金",$AQ13*1.5,0))*(1+$BA13)*(1+$BB13)+(($BC13+$BD13)/2*IF($G$1="裂石",$AP13,$AN13)+IF($G$1="裂石",$AQ13*1.5,0))*(1+$BE13)*(1+$BF13)+(($BG13+$BH13)/2*IF($G$1="牵丝",$AP13,$AN13)+IF($G$1="牵丝",$AQ13*1.5,0))*(1+$BI13)*(1+$BJ13)+(($BK13+$BL13)/2*IF($G$1="破竹",$AP13,$AN13)+IF($G$1="破竹",$AQ13*1.5,0))*(1+$BM13)*(1+$BN13))*(1+$AR13)*$BQ13*$Q13*(1+IF(VLOOKUP($R13,武学奇术!$A:$ZZ,30,FALSE)="蓄力技",$B$21,0))*(1+IF(VLOOKUP($R13,武学奇术!$A:$ZZ,30,FALSE)="派生技",$B$20,0))*(1+$BW13)*(1+$BX13)</f>
        <v>55461.1068646925</v>
      </c>
      <c r="N13" s="46">
        <f>(($AU13*$AN13+$AO13)*(1+$AV13)*(1+$AW13)+($AZ13*IF($G$1="鸣金",$AP13,$AN13)+IF($G$1="鸣金",$AQ13*1.5,0))*(1+$BA13)*(1+$BB13)+($BD13*IF($G$1="裂石",$AP13,$AN13)+IF($G$1="裂石",$AQ13*1.5,0))*(1+$BE13)*(1+$BF13)+($BH13*IF($G$1="牵丝",$AP13,$AN13)+IF($G$1="牵丝",$AQ13*1.5,0))*(1+$BI13)*(1+$BJ13)+($BL13*IF($G$1="破竹",$AP13,$AN13)+IF($G$1="破竹",$AQ13*1.5,0))*(1+$BM13)*(1+$BN13))*(1+$AR13)*$BS13*$Q13*(1+IF(VLOOKUP($R13,武学奇术!$A:$ZZ,30,FALSE)="蓄力技",$B$21,0))*(1+IF(VLOOKUP($R13,武学奇术!$A:$ZZ,30,FALSE)="派生技",$B$20,0))*(1+$BW13)*(1+$BX13)</f>
        <v>47934.4217225878</v>
      </c>
      <c r="O13" s="46">
        <f>((($AT13+$AU13)/2*$AN13+$AO13)*(1+$AV13)*(1+$AW13)+(($AY13+$AZ13)/2*IF($G$1="鸣金",$AP13,$AN13)+IF($G$1="鸣金",$AQ13*1.5,0))*(1+$BA13)*(1+$BB13)+(($BC13+$BD13)/2*IF($G$1="裂石",$AP13,$AN13)+IF($G$1="裂石",$AQ13*1.5,0))*(1+$BE13)*(1+$BF13)+(($BG13+$BH13)/2*IF($G$1="牵丝",$AP13,$AN13)+IF($G$1="牵丝",$AQ13*1.5,0))*(1+$BI13)*(1+$BJ13)+(($BK13+$BL13)/2*IF($G$1="破竹",$AP13,$AN13)+IF($G$1="破竹",$AQ13*1.5,0))*(1+$BM13)*(1+$BN13))*(1+$AR13)*$Q13*(1+IF(VLOOKUP($R13,武学奇术!$A:$ZZ,30,FALSE)="蓄力技",$B$21,0))*(1+IF(VLOOKUP($R13,武学奇术!$A:$ZZ,30,FALSE)="派生技",$B$20,0))*(1+$BW13)*(1+$BX13)</f>
        <v>31511.9925367571</v>
      </c>
      <c r="P13" s="46">
        <f>((($AT13*$AN13+$AO13)*(1+$AV13)*(1+$AW13)+($AY13*IF($G$1="鸣金",$AP13,$AN13)+IF($G$1="鸣金",$AQ13*1.5,0))*(1+$BA13)*(1+$BB13)+($BC13*IF($G$1="裂石",$AP13,$AN13)+IF($G$1="裂石",$AQ13*1.5,0))*(1+$BE13)*(1+$BF13)+($BG13*IF($G$1="牵丝",$AP13,$AN13)+IF($G$1="牵丝",$AQ13*1.5,0))*(1+$BI13)*(1+$BJ13)+($BK13*IF($G$1="破竹",$AP13,$AN13)+IF($G$1="破竹",$AQ13*1.5,0))*(1+$BM13)*(1+$BN13))*(1+$AR13))*$Q13*(1+IF(VLOOKUP($R13,武学奇术!$A:$ZZ,30,FALSE)="蓄力技",$B$21,0))*(1+IF(VLOOKUP($R13,武学奇术!$A:$ZZ,30,FALSE)="派生技",$B$20,0))*(1+$BW13)*(1+$BX13)</f>
        <v>27517.0060197455</v>
      </c>
      <c r="Q13" s="47">
        <f t="shared" si="1"/>
        <v>1</v>
      </c>
      <c r="R13" s="48" t="s">
        <v>119</v>
      </c>
      <c r="S13" s="48" t="s">
        <v>77</v>
      </c>
      <c r="T13" s="48" t="s">
        <v>78</v>
      </c>
      <c r="U13" s="48" t="s">
        <v>79</v>
      </c>
      <c r="V13" s="48" t="s">
        <v>80</v>
      </c>
      <c r="W13" s="48" t="s">
        <v>80</v>
      </c>
      <c r="X13" s="48" t="s">
        <v>80</v>
      </c>
      <c r="Y13" s="48" t="s">
        <v>74</v>
      </c>
      <c r="Z13" s="48" t="s">
        <v>81</v>
      </c>
      <c r="AA13" s="48" t="s">
        <v>80</v>
      </c>
      <c r="AB13" s="48" t="s">
        <v>80</v>
      </c>
      <c r="AC13" s="48" t="s">
        <v>80</v>
      </c>
      <c r="AD13" s="48" t="s">
        <v>80</v>
      </c>
      <c r="AE13" s="48" t="s">
        <v>80</v>
      </c>
      <c r="AF13" s="48" t="s">
        <v>83</v>
      </c>
      <c r="AG13" s="48" t="s">
        <v>84</v>
      </c>
      <c r="AH13" s="48" t="s">
        <v>80</v>
      </c>
      <c r="AI13" s="48" t="s">
        <v>80</v>
      </c>
      <c r="AJ13" s="48" t="s">
        <v>80</v>
      </c>
      <c r="AK13" s="48" t="s">
        <v>80</v>
      </c>
      <c r="AL13" s="48" t="s">
        <v>80</v>
      </c>
      <c r="AM13" t="str">
        <f>VLOOKUP($R13,武学奇术!$A:$ZZ,25,FALSE)</f>
        <v>横刀</v>
      </c>
      <c r="AN13" s="33">
        <f>VLOOKUP($R13,武学奇术!$A:$ZZ,26,FALSE)</f>
        <v>2.1324</v>
      </c>
      <c r="AO13" s="34">
        <f>VLOOKUP($R13,武学奇术!$A:$ZZ,27,FALSE)*(1+IF(OR($AM13=$F$4,$AM13=$F$5),$B$22,0))</f>
        <v>944</v>
      </c>
      <c r="AP13" s="33">
        <f>VLOOKUP($R13,武学奇术!$A:$ZZ,28,FALSE)</f>
        <v>3.1986</v>
      </c>
      <c r="AQ13" s="34">
        <f>VLOOKUP($R13,武学奇术!$A:$ZZ,29,FALSE)*(1+IF(OR($AM13=$F$4,$AM13=$F$5),$B$22,0))</f>
        <v>515.2</v>
      </c>
      <c r="AR13" s="33" cm="1">
        <f t="array" ref="AR13">$G$3+IFERROR(VLOOKUP($AM13,$F$4:$G$7,2,FALSE),0)+VLOOKUP($R13,武学奇术!$A:$ZZ,2,FALSE)+SUM(_xlfn.XLOOKUP($S13:$AL13,增益!$A:$A,增益!$B:$B,0))</f>
        <v>0.4389</v>
      </c>
      <c r="AS13" s="33" cm="1">
        <f t="array" ref="AS13">VLOOKUP($R13,武学奇术!$A:$ZZ,5,FALSE)+SUM(_xlfn.XLOOKUP($S13:$AL13,增益!$A:$A,增益!$E:$E,0))</f>
        <v>0</v>
      </c>
      <c r="AT13" cm="1">
        <f t="array" ref="AT13">$D$10*(1+$AS13)+VLOOKUP($R13,武学奇术!$A:$ZZ,3,FALSE)+SUM(_xlfn.XLOOKUP($S13:$AL13,增益!$A:$A,增益!$C:$C,0))-$I$2</f>
        <v>4026</v>
      </c>
      <c r="AU13" cm="1">
        <f t="array" ref="AU13">$E$10*(1+$AS13)+VLOOKUP($R13,武学奇术!$A:$ZZ,4,FALSE)+SUM(_xlfn.XLOOKUP($S13:$AL13,增益!$A:$A,增益!$D:$D,0))-$I$2</f>
        <v>4026</v>
      </c>
      <c r="AV13" s="40" cm="1">
        <f t="array" ref="AV13">IF($F$10-$I$3+VLOOKUP($R13,武学奇术!$A:$ZZ,6,FALSE)+SUM(_xlfn.XLOOKUP($S13:$AL13,增益!$A:$A,增益!$F:$F,0))&gt;0,($F$10-$I$3+VLOOKUP($R13,武学奇术!$A:$ZZ,6,FALSE)+SUM(_xlfn.XLOOKUP($S13:$AL13,增益!$A:$A,增益!$F:$F,0)))/200,($F$10-$I$3+VLOOKUP($R13,武学奇术!$A:$ZZ,6,FALSE)+SUM(_xlfn.XLOOKUP($S13:$AL13,增益!$A:$A,增益!$F:$F,0)))/100)</f>
        <v>0.2484</v>
      </c>
      <c r="AW13" s="40" cm="1">
        <f t="array" ref="AW13">$G$10+VLOOKUP($R13,武学奇术!$A:$ZZ,7,FALSE)+SUM(_xlfn.XLOOKUP($S13:$AL13,增益!$A:$A,增益!$G:$G,0))</f>
        <v>0.12</v>
      </c>
      <c r="AX13" s="33" cm="1">
        <f t="array" ref="AX13">VLOOKUP($R13,武学奇术!$A:$ZZ,8,FALSE)+SUM(_xlfn.XLOOKUP($S13:$AL13,增益!$A:$A,增益!$H:$H,0))</f>
        <v>0</v>
      </c>
      <c r="AY13">
        <f t="shared" si="2"/>
        <v>0</v>
      </c>
      <c r="AZ13">
        <f t="shared" si="3"/>
        <v>0</v>
      </c>
      <c r="BA13" s="40" cm="1">
        <f t="array" ref="BA13">IF($F$11-$I$4+VLOOKUP($R13,武学奇术!$A:$ZZ,9,FALSE)+SUM(_xlfn.XLOOKUP($S13:$AL13,增益!$A:$A,增益!$I:$I,0))&gt;0,($F$11-$I$4+VLOOKUP($R13,武学奇术!$A:$ZZ,9,FALSE)+SUM(_xlfn.XLOOKUP($S13:$AL13,增益!$A:$A,增益!$I:$I,0)))/200,($F$11-$I$4+VLOOKUP($R13,武学奇术!$A:$ZZ,9,FALSE)+SUM(_xlfn.XLOOKUP($S13:$AL13,增益!$A:$A,增益!$I:$I,0)))/100)</f>
        <v>-0.3</v>
      </c>
      <c r="BB13" s="40" cm="1">
        <f t="array" ref="BB13">$G$11+VLOOKUP($R13,武学奇术!$A:$ZZ,10,FALSE)+SUM(_xlfn.XLOOKUP($S13:$AL13,增益!$A:$A,增益!$J:$J,0))</f>
        <v>0</v>
      </c>
      <c r="BC13">
        <f t="shared" si="4"/>
        <v>640.3</v>
      </c>
      <c r="BD13">
        <f t="shared" si="5"/>
        <v>1770.1</v>
      </c>
      <c r="BE13" s="40" cm="1">
        <f t="array" ref="BE13">IF($F$12-$I$4+VLOOKUP($R13,武学奇术!$A:$ZZ,11,FALSE)+SUM(_xlfn.XLOOKUP($S13:$AL13,增益!$A:$A,增益!$K:$K,0))&gt;0,($F$12-$I$4+VLOOKUP($R13,武学奇术!$A:$ZZ,11,FALSE)+SUM(_xlfn.XLOOKUP($S13:$AL13,增益!$A:$A,增益!$K:$K,0)))/200,($F$12-$I$4+VLOOKUP($R13,武学奇术!$A:$ZZ,11,FALSE)+SUM(_xlfn.XLOOKUP($S13:$AL13,增益!$A:$A,增益!$K:$K,0)))/100)</f>
        <v>0.09</v>
      </c>
      <c r="BF13" s="40" cm="1">
        <f t="array" ref="BF13">$G$12+VLOOKUP($R13,武学奇术!$A:$ZZ,12,FALSE)+SUM(_xlfn.XLOOKUP($S13:$AL13,增益!$A:$A,增益!$L:$L,0))</f>
        <v>0.27</v>
      </c>
      <c r="BG13">
        <f t="shared" si="6"/>
        <v>0</v>
      </c>
      <c r="BH13">
        <f t="shared" si="7"/>
        <v>0</v>
      </c>
      <c r="BI13" s="40" cm="1">
        <f t="array" ref="BI13">IF($F$13-$I$4+VLOOKUP($R13,武学奇术!$A:$ZZ,13,FALSE)+SUM(_xlfn.XLOOKUP($S13:$AL13,增益!$A:$A,增益!$M:$M,0))&gt;0,($F$13-$I$4+VLOOKUP($R13,武学奇术!$A:$ZZ,13,FALSE)+SUM(_xlfn.XLOOKUP($S13:$AL13,增益!$A:$A,增益!$K:$K,0)))/200,($F$13-$I$4+VLOOKUP($R13,武学奇术!$A:$ZZ,13,FALSE)+SUM(_xlfn.XLOOKUP($S13:$AL13,增益!$A:$A,增益!$M:$M,0)))/100)</f>
        <v>-0.3</v>
      </c>
      <c r="BJ13" s="40" cm="1">
        <f t="array" ref="BJ13">$G$13+VLOOKUP($R13,武学奇术!$A:$ZZ,14,FALSE)+SUM(_xlfn.XLOOKUP($S13:$AL13,增益!$A:$A,增益!$N:$N,0))</f>
        <v>0</v>
      </c>
      <c r="BK13">
        <f t="shared" si="8"/>
        <v>0</v>
      </c>
      <c r="BL13">
        <f t="shared" si="9"/>
        <v>0</v>
      </c>
      <c r="BM13" s="40" cm="1">
        <f t="array" ref="BM13">IF($F$14-$I$4+VLOOKUP($R13,武学奇术!$A:$ZZ,15,FALSE)+SUM(_xlfn.XLOOKUP($S13:$AL13,增益!$A:$A,增益!$O:$O,0))&gt;0,($F$14-$I$4+VLOOKUP($R13,武学奇术!$A:$ZZ,15,FALSE)+SUM(_xlfn.XLOOKUP($S13:$AL13,增益!$A:$A,增益!$O:$O,0)))/200,($F$14-$I$4+VLOOKUP($R13,武学奇术!$A:$ZZ,15,FALSE)+SUM(_xlfn.XLOOKUP($S13:$AL13,增益!$A:$A,增益!$O:$O,0)))/100)</f>
        <v>-0.3</v>
      </c>
      <c r="BN13" s="40" cm="1">
        <f t="array" ref="BN13">$G$14+VLOOKUP($R13,武学奇术!$A:$ZZ,16,FALSE)+SUM(_xlfn.XLOOKUP($S13:$AL13,增益!$A:$A,增益!$P:$P,0))</f>
        <v>0</v>
      </c>
      <c r="BO13" s="33">
        <f>MIN(IF(VLOOKUP($R13,武学奇术!$A:$ZZ,23,FALSE)=1,100%,$B$8),100%)</f>
        <v>0.9771</v>
      </c>
      <c r="BP13" s="33" cm="1">
        <f t="array" ref="BP13">IF(VLOOKUP($R13,武学奇术!$A:$ZZ,23,FALSE)=1,100%,MIN(80%,$B$9+VLOOKUP($R13,武学奇术!$A:$ZZ,17,FALSE)+SUM(_xlfn.XLOOKUP($S13:$AL13,增益!$A:$A,增益!$Q:$Q,0)))+$B$11+SUM(_xlfn.XLOOKUP($S13:$AL13,增益!$A:$A,增益!$U:$U,0)))*IF(VLOOKUP($R13,武学奇术!$A:$ZZ,24,FALSE)=1,0,1)</f>
        <v>0.8861</v>
      </c>
      <c r="BQ13" s="33" cm="1">
        <f t="array" ref="BQ13">1+$B$13+VLOOKUP($R13,武学奇术!$A:$ZZ,18,FALSE)+SUM(_xlfn.XLOOKUP($S13:$AL13,增益!$A:$A,增益!$R:$R,0))</f>
        <v>1.76</v>
      </c>
      <c r="BR13" s="33" cm="1">
        <f t="array" ref="BR13">IF(VLOOKUP($R13,武学奇术!$A:$ZZ,24,FALSE)=1,100%,MIN(40%,$B$10+VLOOKUP($R13,武学奇术!$A:$ZZ,19,FALSE)+SUM(_xlfn.XLOOKUP($S13:$AL13,增益!$A:$A,增益!$S:$S,0)))+$B$12+SUM(_xlfn.XLOOKUP($S13:$AL13,增益!$A:$A,增益!$V:$V,0)))*IF(VLOOKUP($R13,武学奇术!$A:$ZZ,23,FALSE)=1,0,1)</f>
        <v>0.0913</v>
      </c>
      <c r="BS13" s="33" cm="1">
        <f t="array" ref="BS13">1+$B$14+VLOOKUP($R13,武学奇术!$A:$ZZ,20,FALSE)+SUM(_xlfn.XLOOKUP($S13:$AL13,增益!$A:$A,增益!$T:$T,0))</f>
        <v>1.35</v>
      </c>
      <c r="BT13" s="33">
        <f t="shared" si="10"/>
        <v>0.86580831</v>
      </c>
      <c r="BU13" s="33">
        <f t="shared" si="11"/>
        <v>0.02208246</v>
      </c>
      <c r="BV13" s="33">
        <f>IF(VLOOKUP($R13,武学奇术!$A:$ZZ,22,FALSE)=1,0,(1-$BO13))*(1-$BR13)</f>
        <v>0.02080923</v>
      </c>
      <c r="BW13" s="33" cm="1">
        <f t="array" ref="BW13">SUM(_xlfn.XLOOKUP($S13:$AL13,增益!$A:$A,增益!$W:$W,0))+$I$5</f>
        <v>0.11</v>
      </c>
      <c r="BX13" s="33" cm="1">
        <f t="array" ref="BX13">VLOOKUP($R13,武学奇术!$A:$ZZ,32,FALSE)+SUM(_xlfn.XLOOKUP($S13:$AL13,增益!$A:$A,增益!$X:$X,0))</f>
        <v>0</v>
      </c>
    </row>
    <row r="14" ht="14.25" spans="1:76">
      <c r="A14" s="49" t="s">
        <v>120</v>
      </c>
      <c r="B14" s="78">
        <f>期望!B14</f>
        <v>0.35</v>
      </c>
      <c r="C14" s="13" t="s">
        <v>101</v>
      </c>
      <c r="D14" s="13">
        <f>期望!D14</f>
        <v>0</v>
      </c>
      <c r="E14" s="13">
        <f>期望!E14</f>
        <v>0</v>
      </c>
      <c r="F14" s="13">
        <f>期望!F14</f>
        <v>0</v>
      </c>
      <c r="G14" s="71">
        <f>期望!G14</f>
        <v>0</v>
      </c>
      <c r="H14" s="44" t="s">
        <v>121</v>
      </c>
      <c r="I14" s="24">
        <f>I12+150000*6%</f>
        <v>169951.242010472</v>
      </c>
      <c r="J14" s="81"/>
      <c r="K14" s="46"/>
      <c r="L14" s="46">
        <f t="shared" si="0"/>
        <v>9037.68038457013</v>
      </c>
      <c r="M14" s="46">
        <f>((($AT14+$AU14)/2*$AN14+$AO14)*(1+$AV14)*(1+$AW14)+(($AY14+$AZ14)/2*IF($G$1="鸣金",$AP14,$AN14)+IF($G$1="鸣金",$AQ14*1.5,0))*(1+$BA14)*(1+$BB14)+(($BC14+$BD14)/2*IF($G$1="裂石",$AP14,$AN14)+IF($G$1="裂石",$AQ14*1.5,0))*(1+$BE14)*(1+$BF14)+(($BG14+$BH14)/2*IF($G$1="牵丝",$AP14,$AN14)+IF($G$1="牵丝",$AQ14*1.5,0))*(1+$BI14)*(1+$BJ14)+(($BK14+$BL14)/2*IF($G$1="破竹",$AP14,$AN14)+IF($G$1="破竹",$AQ14*1.5,0))*(1+$BM14)*(1+$BN14))*(1+$AR14)*$BQ14*$Q14*(1+IF(VLOOKUP($R14,武学奇术!$A:$ZZ,30,FALSE)="蓄力技",$B$21,0))*(1+IF(VLOOKUP($R14,武学奇术!$A:$ZZ,30,FALSE)="派生技",$B$20,0))*(1+$BW14)*(1+$BX14)</f>
        <v>9349.3871776417</v>
      </c>
      <c r="N14" s="46">
        <f>(($AU14*$AN14+$AO14)*(1+$AV14)*(1+$AW14)+($AZ14*IF($G$1="鸣金",$AP14,$AN14)+IF($G$1="鸣金",$AQ14*1.5,0))*(1+$BA14)*(1+$BB14)+($BD14*IF($G$1="裂石",$AP14,$AN14)+IF($G$1="裂石",$AQ14*1.5,0))*(1+$BE14)*(1+$BF14)+($BH14*IF($G$1="牵丝",$AP14,$AN14)+IF($G$1="牵丝",$AQ14*1.5,0))*(1+$BI14)*(1+$BJ14)+($BL14*IF($G$1="破竹",$AP14,$AN14)+IF($G$1="破竹",$AQ14*1.5,0))*(1+$BM14)*(1+$BN14))*(1+$AR14)*$BS14*$Q14*(1+IF(VLOOKUP($R14,武学奇术!$A:$ZZ,30,FALSE)="蓄力技",$B$21,0))*(1+IF(VLOOKUP($R14,武学奇术!$A:$ZZ,30,FALSE)="派生技",$B$20,0))*(1+$BW14)*(1+$BX14)</f>
        <v>8065.20361687648</v>
      </c>
      <c r="O14" s="46">
        <f>((($AT14+$AU14)/2*$AN14+$AO14)*(1+$AV14)*(1+$AW14)+(($AY14+$AZ14)/2*IF($G$1="鸣金",$AP14,$AN14)+IF($G$1="鸣金",$AQ14*1.5,0))*(1+$BA14)*(1+$BB14)+(($BC14+$BD14)/2*IF($G$1="裂石",$AP14,$AN14)+IF($G$1="裂石",$AQ14*1.5,0))*(1+$BE14)*(1+$BF14)+(($BG14+$BH14)/2*IF($G$1="牵丝",$AP14,$AN14)+IF($G$1="牵丝",$AQ14*1.5,0))*(1+$BI14)*(1+$BJ14)+(($BK14+$BL14)/2*IF($G$1="破竹",$AP14,$AN14)+IF($G$1="破竹",$AQ14*1.5,0))*(1+$BM14)*(1+$BN14))*(1+$AR14)*$Q14*(1+IF(VLOOKUP($R14,武学奇术!$A:$ZZ,30,FALSE)="蓄力技",$B$21,0))*(1+IF(VLOOKUP($R14,武学奇术!$A:$ZZ,30,FALSE)="派生技",$B$20,0))*(1+$BW14)*(1+$BX14)</f>
        <v>5194.10398757872</v>
      </c>
      <c r="P14" s="46">
        <f>((($AT14*$AN14+$AO14)*(1+$AV14)*(1+$AW14)+($AY14*IF($G$1="鸣金",$AP14,$AN14)+IF($G$1="鸣金",$AQ14*1.5,0))*(1+$BA14)*(1+$BB14)+($BC14*IF($G$1="裂石",$AP14,$AN14)+IF($G$1="裂石",$AQ14*1.5,0))*(1+$BE14)*(1+$BF14)+($BG14*IF($G$1="牵丝",$AP14,$AN14)+IF($G$1="牵丝",$AQ14*1.5,0))*(1+$BI14)*(1+$BJ14)+($BK14*IF($G$1="破竹",$AP14,$AN14)+IF($G$1="破竹",$AQ14*1.5,0))*(1+$BM14)*(1+$BN14))*(1+$AR14))*$Q14*(1+IF(VLOOKUP($R14,武学奇术!$A:$ZZ,30,FALSE)="蓄力技",$B$21,0))*(1+IF(VLOOKUP($R14,武学奇术!$A:$ZZ,30,FALSE)="派生技",$B$20,0))*(1+$BW14)*(1+$BX14)</f>
        <v>4413.98307376746</v>
      </c>
      <c r="Q14" s="47">
        <f t="shared" ref="Q14:Q17" si="12">IF($E$24="陌刀",0.25,0)</f>
        <v>0.25</v>
      </c>
      <c r="R14" s="48" t="s">
        <v>122</v>
      </c>
      <c r="S14" s="48" t="s">
        <v>77</v>
      </c>
      <c r="T14" s="48" t="s">
        <v>89</v>
      </c>
      <c r="U14" s="48" t="s">
        <v>79</v>
      </c>
      <c r="V14" s="48" t="s">
        <v>90</v>
      </c>
      <c r="W14" s="48" t="s">
        <v>123</v>
      </c>
      <c r="X14" s="48" t="s">
        <v>80</v>
      </c>
      <c r="Y14" s="48" t="s">
        <v>74</v>
      </c>
      <c r="Z14" s="48" t="s">
        <v>81</v>
      </c>
      <c r="AA14" s="48" t="s">
        <v>80</v>
      </c>
      <c r="AB14" s="48" t="s">
        <v>80</v>
      </c>
      <c r="AC14" s="48" t="s">
        <v>80</v>
      </c>
      <c r="AD14" s="48" t="s">
        <v>80</v>
      </c>
      <c r="AE14" s="48" t="s">
        <v>80</v>
      </c>
      <c r="AF14" s="48" t="s">
        <v>83</v>
      </c>
      <c r="AG14" s="48" t="s">
        <v>84</v>
      </c>
      <c r="AH14" s="48" t="s">
        <v>80</v>
      </c>
      <c r="AI14" s="48" t="s">
        <v>80</v>
      </c>
      <c r="AJ14" s="48" t="s">
        <v>80</v>
      </c>
      <c r="AK14" s="48" t="s">
        <v>80</v>
      </c>
      <c r="AL14" s="48" t="s">
        <v>80</v>
      </c>
      <c r="AM14" t="str">
        <f>VLOOKUP($R14,武学奇术!$A:$ZZ,25,FALSE)</f>
        <v>横刀</v>
      </c>
      <c r="AN14" s="33">
        <f>VLOOKUP($R14,武学奇术!$A:$ZZ,26,FALSE)</f>
        <v>1.47</v>
      </c>
      <c r="AO14" s="34">
        <f>VLOOKUP($R14,武学奇术!$A:$ZZ,27,FALSE)*(1+IF(OR($AM14=$F$4,$AM14=$F$5),$B$22,0))</f>
        <v>0</v>
      </c>
      <c r="AP14" s="33">
        <f>VLOOKUP($R14,武学奇术!$A:$ZZ,28,FALSE)</f>
        <v>2.205</v>
      </c>
      <c r="AQ14" s="34">
        <f>VLOOKUP($R14,武学奇术!$A:$ZZ,29,FALSE)*(1+IF(OR($AM14=$F$4,$AM14=$F$5),$B$22,0))</f>
        <v>0</v>
      </c>
      <c r="AR14" s="33" cm="1">
        <f t="array" ref="AR14">$G$3+IFERROR(VLOOKUP($AM14,$F$4:$G$7,2,FALSE),0)+VLOOKUP($R14,武学奇术!$A:$ZZ,2,FALSE)+SUM(_xlfn.XLOOKUP($S14:$AL14,增益!$A:$A,增益!$B:$B,0))</f>
        <v>0.5189</v>
      </c>
      <c r="AS14" s="33" cm="1">
        <f t="array" ref="AS14">VLOOKUP($R14,武学奇术!$A:$ZZ,5,FALSE)+SUM(_xlfn.XLOOKUP($S14:$AL14,增益!$A:$A,增益!$E:$E,0))</f>
        <v>0</v>
      </c>
      <c r="AT14" cm="1">
        <f t="array" ref="AT14">$D$10*(1+$AS14)+VLOOKUP($R14,武学奇术!$A:$ZZ,3,FALSE)+SUM(_xlfn.XLOOKUP($S14:$AL14,增益!$A:$A,增益!$C:$C,0))-$I$2</f>
        <v>4026</v>
      </c>
      <c r="AU14" cm="1">
        <f t="array" ref="AU14">$E$10*(1+$AS14)+VLOOKUP($R14,武学奇术!$A:$ZZ,4,FALSE)+SUM(_xlfn.XLOOKUP($S14:$AL14,增益!$A:$A,增益!$D:$D,0))-$I$2</f>
        <v>4026</v>
      </c>
      <c r="AV14" s="40" cm="1">
        <f t="array" ref="AV14">IF($F$10-$I$3+VLOOKUP($R14,武学奇术!$A:$ZZ,6,FALSE)+SUM(_xlfn.XLOOKUP($S14:$AL14,增益!$A:$A,增益!$F:$F,0))&gt;0,($F$10-$I$3+VLOOKUP($R14,武学奇术!$A:$ZZ,6,FALSE)+SUM(_xlfn.XLOOKUP($S14:$AL14,增益!$A:$A,增益!$F:$F,0)))/200,($F$10-$I$3+VLOOKUP($R14,武学奇术!$A:$ZZ,6,FALSE)+SUM(_xlfn.XLOOKUP($S14:$AL14,增益!$A:$A,增益!$F:$F,0)))/100)</f>
        <v>0.2634</v>
      </c>
      <c r="AW14" s="40" cm="1">
        <f t="array" ref="AW14">$G$10+VLOOKUP($R14,武学奇术!$A:$ZZ,7,FALSE)+SUM(_xlfn.XLOOKUP($S14:$AL14,增益!$A:$A,增益!$G:$G,0))</f>
        <v>0.12</v>
      </c>
      <c r="AX14" s="33" cm="1">
        <f t="array" ref="AX14">VLOOKUP($R14,武学奇术!$A:$ZZ,8,FALSE)+SUM(_xlfn.XLOOKUP($S14:$AL14,增益!$A:$A,增益!$H:$H,0))</f>
        <v>0</v>
      </c>
      <c r="AY14">
        <f t="shared" si="2"/>
        <v>0</v>
      </c>
      <c r="AZ14">
        <f t="shared" si="3"/>
        <v>0</v>
      </c>
      <c r="BA14" s="40" cm="1">
        <f t="array" ref="BA14">IF($F$11-$I$4+VLOOKUP($R14,武学奇术!$A:$ZZ,9,FALSE)+SUM(_xlfn.XLOOKUP($S14:$AL14,增益!$A:$A,增益!$I:$I,0))&gt;0,($F$11-$I$4+VLOOKUP($R14,武学奇术!$A:$ZZ,9,FALSE)+SUM(_xlfn.XLOOKUP($S14:$AL14,增益!$A:$A,增益!$I:$I,0)))/200,($F$11-$I$4+VLOOKUP($R14,武学奇术!$A:$ZZ,9,FALSE)+SUM(_xlfn.XLOOKUP($S14:$AL14,增益!$A:$A,增益!$I:$I,0)))/100)</f>
        <v>-0.14</v>
      </c>
      <c r="BB14" s="40" cm="1">
        <f t="array" ref="BB14">$G$11+VLOOKUP($R14,武学奇术!$A:$ZZ,10,FALSE)+SUM(_xlfn.XLOOKUP($S14:$AL14,增益!$A:$A,增益!$J:$J,0))</f>
        <v>0</v>
      </c>
      <c r="BC14">
        <f t="shared" si="4"/>
        <v>640.3</v>
      </c>
      <c r="BD14">
        <f t="shared" si="5"/>
        <v>1770.1</v>
      </c>
      <c r="BE14" s="40" cm="1">
        <f t="array" ref="BE14">IF($F$12-$I$4+VLOOKUP($R14,武学奇术!$A:$ZZ,11,FALSE)+SUM(_xlfn.XLOOKUP($S14:$AL14,增益!$A:$A,增益!$K:$K,0))&gt;0,($F$12-$I$4+VLOOKUP($R14,武学奇术!$A:$ZZ,11,FALSE)+SUM(_xlfn.XLOOKUP($S14:$AL14,增益!$A:$A,增益!$K:$K,0)))/200,($F$12-$I$4+VLOOKUP($R14,武学奇术!$A:$ZZ,11,FALSE)+SUM(_xlfn.XLOOKUP($S14:$AL14,增益!$A:$A,增益!$K:$K,0)))/100)</f>
        <v>0.17</v>
      </c>
      <c r="BF14" s="40" cm="1">
        <f t="array" ref="BF14">$G$12+VLOOKUP($R14,武学奇术!$A:$ZZ,12,FALSE)+SUM(_xlfn.XLOOKUP($S14:$AL14,增益!$A:$A,增益!$L:$L,0))</f>
        <v>0.27</v>
      </c>
      <c r="BG14">
        <f t="shared" si="6"/>
        <v>0</v>
      </c>
      <c r="BH14">
        <f t="shared" si="7"/>
        <v>0</v>
      </c>
      <c r="BI14" s="40" cm="1">
        <f t="array" ref="BI14">IF($F$13-$I$4+VLOOKUP($R14,武学奇术!$A:$ZZ,13,FALSE)+SUM(_xlfn.XLOOKUP($S14:$AL14,增益!$A:$A,增益!$M:$M,0))&gt;0,($F$13-$I$4+VLOOKUP($R14,武学奇术!$A:$ZZ,13,FALSE)+SUM(_xlfn.XLOOKUP($S14:$AL14,增益!$A:$A,增益!$K:$K,0)))/200,($F$13-$I$4+VLOOKUP($R14,武学奇术!$A:$ZZ,13,FALSE)+SUM(_xlfn.XLOOKUP($S14:$AL14,增益!$A:$A,增益!$M:$M,0)))/100)</f>
        <v>-0.14</v>
      </c>
      <c r="BJ14" s="40" cm="1">
        <f t="array" ref="BJ14">$G$13+VLOOKUP($R14,武学奇术!$A:$ZZ,14,FALSE)+SUM(_xlfn.XLOOKUP($S14:$AL14,增益!$A:$A,增益!$N:$N,0))</f>
        <v>0</v>
      </c>
      <c r="BK14">
        <f t="shared" si="8"/>
        <v>0</v>
      </c>
      <c r="BL14">
        <f t="shared" si="9"/>
        <v>0</v>
      </c>
      <c r="BM14" s="40" cm="1">
        <f t="array" ref="BM14">IF($F$14-$I$4+VLOOKUP($R14,武学奇术!$A:$ZZ,15,FALSE)+SUM(_xlfn.XLOOKUP($S14:$AL14,增益!$A:$A,增益!$O:$O,0))&gt;0,($F$14-$I$4+VLOOKUP($R14,武学奇术!$A:$ZZ,15,FALSE)+SUM(_xlfn.XLOOKUP($S14:$AL14,增益!$A:$A,增益!$O:$O,0)))/200,($F$14-$I$4+VLOOKUP($R14,武学奇术!$A:$ZZ,15,FALSE)+SUM(_xlfn.XLOOKUP($S14:$AL14,增益!$A:$A,增益!$O:$O,0)))/100)</f>
        <v>-0.14</v>
      </c>
      <c r="BN14" s="40" cm="1">
        <f t="array" ref="BN14">$G$14+VLOOKUP($R14,武学奇术!$A:$ZZ,16,FALSE)+SUM(_xlfn.XLOOKUP($S14:$AL14,增益!$A:$A,增益!$P:$P,0))</f>
        <v>0</v>
      </c>
      <c r="BO14" s="33">
        <f>MIN(IF(VLOOKUP($R14,武学奇术!$A:$ZZ,23,FALSE)=1,100%,$B$8),100%)</f>
        <v>0.9771</v>
      </c>
      <c r="BP14" s="33" cm="1">
        <f t="array" ref="BP14">IF(VLOOKUP($R14,武学奇术!$A:$ZZ,23,FALSE)=1,100%,MIN(80%,$B$9+VLOOKUP($R14,武学奇术!$A:$ZZ,17,FALSE)+SUM(_xlfn.XLOOKUP($S14:$AL14,增益!$A:$A,增益!$Q:$Q,0)))+$B$11+SUM(_xlfn.XLOOKUP($S14:$AL14,增益!$A:$A,增益!$U:$U,0)))*IF(VLOOKUP($R14,武学奇术!$A:$ZZ,24,FALSE)=1,0,1)</f>
        <v>0.8861</v>
      </c>
      <c r="BQ14" s="33" cm="1">
        <f t="array" ref="BQ14">1+$B$13+VLOOKUP($R14,武学奇术!$A:$ZZ,18,FALSE)+SUM(_xlfn.XLOOKUP($S14:$AL14,增益!$A:$A,增益!$R:$R,0))</f>
        <v>1.8</v>
      </c>
      <c r="BR14" s="33" cm="1">
        <f t="array" ref="BR14">IF(VLOOKUP($R14,武学奇术!$A:$ZZ,24,FALSE)=1,100%,MIN(40%,$B$10+VLOOKUP($R14,武学奇术!$A:$ZZ,19,FALSE)+SUM(_xlfn.XLOOKUP($S14:$AL14,增益!$A:$A,增益!$S:$S,0)))+$B$12+SUM(_xlfn.XLOOKUP($S14:$AL14,增益!$A:$A,增益!$V:$V,0)))*IF(VLOOKUP($R14,武学奇术!$A:$ZZ,23,FALSE)=1,0,1)</f>
        <v>0.0913</v>
      </c>
      <c r="BS14" s="33" cm="1">
        <f t="array" ref="BS14">1+$B$14+VLOOKUP($R14,武学奇术!$A:$ZZ,20,FALSE)+SUM(_xlfn.XLOOKUP($S14:$AL14,增益!$A:$A,增益!$T:$T,0))</f>
        <v>1.35</v>
      </c>
      <c r="BT14" s="33">
        <f t="shared" si="10"/>
        <v>0.86580831</v>
      </c>
      <c r="BU14" s="33">
        <f t="shared" si="11"/>
        <v>0.02208246</v>
      </c>
      <c r="BV14" s="33">
        <f>IF(VLOOKUP($R14,武学奇术!$A:$ZZ,22,FALSE)=1,0,(1-$BO14))*(1-$BR14)</f>
        <v>0.02080923</v>
      </c>
      <c r="BW14" s="33" cm="1">
        <f t="array" ref="BW14">SUM(_xlfn.XLOOKUP($S14:$AL14,增益!$A:$A,增益!$W:$W,0))+$I$5</f>
        <v>0.11</v>
      </c>
      <c r="BX14" s="33" cm="1">
        <f t="array" ref="BX14">VLOOKUP($R14,武学奇术!$A:$ZZ,32,FALSE)+SUM(_xlfn.XLOOKUP($S14:$AL14,增益!$A:$A,增益!$X:$X,0))</f>
        <v>0</v>
      </c>
    </row>
    <row r="15" ht="14.25" spans="1:76">
      <c r="A15" s="49" t="s">
        <v>124</v>
      </c>
      <c r="B15" s="78">
        <f>期望!B15</f>
        <v>0.0847</v>
      </c>
      <c r="C15" s="47" t="s">
        <v>125</v>
      </c>
      <c r="D15" s="47"/>
      <c r="F15" s="85"/>
      <c r="H15" s="86"/>
      <c r="I15" s="25"/>
      <c r="J15" s="82"/>
      <c r="K15" s="46"/>
      <c r="L15" s="46">
        <f t="shared" si="0"/>
        <v>9245.95573147909</v>
      </c>
      <c r="M15" s="46">
        <f>((($AT15+$AU15)/2*$AN15+$AO15)*(1+$AV15)*(1+$AW15)+(($AY15+$AZ15)/2*IF($G$1="鸣金",$AP15,$AN15)+IF($G$1="鸣金",$AQ15*1.5,0))*(1+$BA15)*(1+$BB15)+(($BC15+$BD15)/2*IF($G$1="裂石",$AP15,$AN15)+IF($G$1="裂石",$AQ15*1.5,0))*(1+$BE15)*(1+$BF15)+(($BG15+$BH15)/2*IF($G$1="牵丝",$AP15,$AN15)+IF($G$1="牵丝",$AQ15*1.5,0))*(1+$BI15)*(1+$BJ15)+(($BK15+$BL15)/2*IF($G$1="破竹",$AP15,$AN15)+IF($G$1="破竹",$AQ15*1.5,0))*(1+$BM15)*(1+$BN15))*(1+$AR15)*$BQ15*$Q15*(1+IF(VLOOKUP($R15,武学奇术!$A:$ZZ,30,FALSE)="蓄力技",$B$21,0))*(1+IF(VLOOKUP($R15,武学奇术!$A:$ZZ,30,FALSE)="派生技",$B$20,0))*(1+$BW15)*(1+$BX15)</f>
        <v>9581.90116405196</v>
      </c>
      <c r="N15" s="46">
        <f>(($AU15*$AN15+$AO15)*(1+$AV15)*(1+$AW15)+($AZ15*IF($G$1="鸣金",$AP15,$AN15)+IF($G$1="鸣金",$AQ15*1.5,0))*(1+$BA15)*(1+$BB15)+($BD15*IF($G$1="裂石",$AP15,$AN15)+IF($G$1="裂石",$AQ15*1.5,0))*(1+$BE15)*(1+$BF15)+($BH15*IF($G$1="牵丝",$AP15,$AN15)+IF($G$1="牵丝",$AQ15*1.5,0))*(1+$BI15)*(1+$BJ15)+($BL15*IF($G$1="破竹",$AP15,$AN15)+IF($G$1="破竹",$AQ15*1.5,0))*(1+$BM15)*(1+$BN15))*(1+$AR15)*$BS15*$Q15*(1+IF(VLOOKUP($R15,武学奇术!$A:$ZZ,30,FALSE)="蓄力技",$B$21,0))*(1+IF(VLOOKUP($R15,武学奇术!$A:$ZZ,30,FALSE)="派生技",$B$20,0))*(1+$BW15)*(1+$BX15)</f>
        <v>8121.77884647042</v>
      </c>
      <c r="O15" s="46">
        <f>((($AT15+$AU15)/2*$AN15+$AO15)*(1+$AV15)*(1+$AW15)+(($AY15+$AZ15)/2*IF($G$1="鸣金",$AP15,$AN15)+IF($G$1="鸣金",$AQ15*1.5,0))*(1+$BA15)*(1+$BB15)+(($BC15+$BD15)/2*IF($G$1="裂石",$AP15,$AN15)+IF($G$1="裂石",$AQ15*1.5,0))*(1+$BE15)*(1+$BF15)+(($BG15+$BH15)/2*IF($G$1="牵丝",$AP15,$AN15)+IF($G$1="牵丝",$AQ15*1.5,0))*(1+$BI15)*(1+$BJ15)+(($BK15+$BL15)/2*IF($G$1="破竹",$AP15,$AN15)+IF($G$1="破竹",$AQ15*1.5,0))*(1+$BM15)*(1+$BN15))*(1+$AR15)*$Q15*(1+IF(VLOOKUP($R15,武学奇术!$A:$ZZ,30,FALSE)="蓄力技",$B$21,0))*(1+IF(VLOOKUP($R15,武学奇术!$A:$ZZ,30,FALSE)="派生技",$B$20,0))*(1+$BW15)*(1+$BX15)</f>
        <v>5236.01156505572</v>
      </c>
      <c r="P15" s="46">
        <f>((($AT15*$AN15+$AO15)*(1+$AV15)*(1+$AW15)+($AY15*IF($G$1="鸣金",$AP15,$AN15)+IF($G$1="鸣金",$AQ15*1.5,0))*(1+$BA15)*(1+$BB15)+($BC15*IF($G$1="裂石",$AP15,$AN15)+IF($G$1="裂石",$AQ15*1.5,0))*(1+$BE15)*(1+$BF15)+($BG15*IF($G$1="牵丝",$AP15,$AN15)+IF($G$1="牵丝",$AQ15*1.5,0))*(1+$BI15)*(1+$BJ15)+($BK15*IF($G$1="破竹",$AP15,$AN15)+IF($G$1="破竹",$AQ15*1.5,0))*(1+$BM15)*(1+$BN15))*(1+$AR15))*$Q15*(1+IF(VLOOKUP($R15,武学奇术!$A:$ZZ,30,FALSE)="蓄力技",$B$21,0))*(1+IF(VLOOKUP($R15,武学奇术!$A:$ZZ,30,FALSE)="派生技",$B$20,0))*(1+$BW15)*(1+$BX15)</f>
        <v>4455.89065124446</v>
      </c>
      <c r="Q15" s="47">
        <f t="shared" si="12"/>
        <v>0.25</v>
      </c>
      <c r="R15" s="48" t="s">
        <v>122</v>
      </c>
      <c r="S15" s="48" t="s">
        <v>77</v>
      </c>
      <c r="T15" s="48" t="s">
        <v>89</v>
      </c>
      <c r="U15" s="48" t="s">
        <v>79</v>
      </c>
      <c r="V15" s="48" t="s">
        <v>90</v>
      </c>
      <c r="W15" s="48" t="s">
        <v>126</v>
      </c>
      <c r="X15" s="48" t="s">
        <v>80</v>
      </c>
      <c r="Y15" s="48" t="s">
        <v>74</v>
      </c>
      <c r="Z15" s="48" t="s">
        <v>81</v>
      </c>
      <c r="AA15" s="48" t="s">
        <v>80</v>
      </c>
      <c r="AB15" s="48" t="s">
        <v>80</v>
      </c>
      <c r="AC15" s="48" t="s">
        <v>80</v>
      </c>
      <c r="AD15" s="48" t="s">
        <v>80</v>
      </c>
      <c r="AE15" s="48" t="s">
        <v>80</v>
      </c>
      <c r="AF15" s="48" t="s">
        <v>83</v>
      </c>
      <c r="AG15" s="48" t="s">
        <v>84</v>
      </c>
      <c r="AH15" s="48" t="s">
        <v>80</v>
      </c>
      <c r="AI15" s="48" t="s">
        <v>80</v>
      </c>
      <c r="AJ15" s="48" t="s">
        <v>80</v>
      </c>
      <c r="AK15" s="48" t="s">
        <v>80</v>
      </c>
      <c r="AL15" s="48" t="s">
        <v>80</v>
      </c>
      <c r="AM15" t="str">
        <f>VLOOKUP($R15,武学奇术!$A:$ZZ,25,FALSE)</f>
        <v>横刀</v>
      </c>
      <c r="AN15" s="33">
        <f>VLOOKUP($R15,武学奇术!$A:$ZZ,26,FALSE)</f>
        <v>1.47</v>
      </c>
      <c r="AO15" s="34">
        <f>VLOOKUP($R15,武学奇术!$A:$ZZ,27,FALSE)*(1+IF(OR($AM15=$F$4,$AM15=$F$5),$B$22,0))</f>
        <v>0</v>
      </c>
      <c r="AP15" s="33">
        <f>VLOOKUP($R15,武学奇术!$A:$ZZ,28,FALSE)</f>
        <v>2.205</v>
      </c>
      <c r="AQ15" s="34">
        <f>VLOOKUP($R15,武学奇术!$A:$ZZ,29,FALSE)*(1+IF(OR($AM15=$F$4,$AM15=$F$5),$B$22,0))</f>
        <v>0</v>
      </c>
      <c r="AR15" s="33" cm="1">
        <f t="array" ref="AR15">$G$3+IFERROR(VLOOKUP($AM15,$F$4:$G$7,2,FALSE),0)+VLOOKUP($R15,武学奇术!$A:$ZZ,2,FALSE)+SUM(_xlfn.XLOOKUP($S15:$AL15,增益!$A:$A,增益!$B:$B,0))</f>
        <v>0.5189</v>
      </c>
      <c r="AS15" s="33" cm="1">
        <f t="array" ref="AS15">VLOOKUP($R15,武学奇术!$A:$ZZ,5,FALSE)+SUM(_xlfn.XLOOKUP($S15:$AL15,增益!$A:$A,增益!$E:$E,0))</f>
        <v>0</v>
      </c>
      <c r="AT15" cm="1">
        <f t="array" ref="AT15">$D$10*(1+$AS15)+VLOOKUP($R15,武学奇术!$A:$ZZ,3,FALSE)+SUM(_xlfn.XLOOKUP($S15:$AL15,增益!$A:$A,增益!$C:$C,0))-$I$2</f>
        <v>4026</v>
      </c>
      <c r="AU15" cm="1">
        <f t="array" ref="AU15">$E$10*(1+$AS15)+VLOOKUP($R15,武学奇术!$A:$ZZ,4,FALSE)+SUM(_xlfn.XLOOKUP($S15:$AL15,增益!$A:$A,增益!$D:$D,0))-$I$2</f>
        <v>4026</v>
      </c>
      <c r="AV15" s="40" cm="1">
        <f t="array" ref="AV15">IF($F$10-$I$3+VLOOKUP($R15,武学奇术!$A:$ZZ,6,FALSE)+SUM(_xlfn.XLOOKUP($S15:$AL15,增益!$A:$A,增益!$F:$F,0))&gt;0,($F$10-$I$3+VLOOKUP($R15,武学奇术!$A:$ZZ,6,FALSE)+SUM(_xlfn.XLOOKUP($S15:$AL15,增益!$A:$A,增益!$F:$F,0)))/200,($F$10-$I$3+VLOOKUP($R15,武学奇术!$A:$ZZ,6,FALSE)+SUM(_xlfn.XLOOKUP($S15:$AL15,增益!$A:$A,增益!$F:$F,0)))/100)</f>
        <v>0.2784</v>
      </c>
      <c r="AW15" s="40" cm="1">
        <f t="array" ref="AW15">$G$10+VLOOKUP($R15,武学奇术!$A:$ZZ,7,FALSE)+SUM(_xlfn.XLOOKUP($S15:$AL15,增益!$A:$A,增益!$G:$G,0))</f>
        <v>0.12</v>
      </c>
      <c r="AX15" s="33" cm="1">
        <f t="array" ref="AX15">VLOOKUP($R15,武学奇术!$A:$ZZ,8,FALSE)+SUM(_xlfn.XLOOKUP($S15:$AL15,增益!$A:$A,增益!$H:$H,0))</f>
        <v>0</v>
      </c>
      <c r="AY15">
        <f t="shared" si="2"/>
        <v>0</v>
      </c>
      <c r="AZ15">
        <f t="shared" si="3"/>
        <v>0</v>
      </c>
      <c r="BA15" s="40" cm="1">
        <f t="array" ref="BA15">IF($F$11-$I$4+VLOOKUP($R15,武学奇术!$A:$ZZ,9,FALSE)+SUM(_xlfn.XLOOKUP($S15:$AL15,增益!$A:$A,增益!$I:$I,0))&gt;0,($F$11-$I$4+VLOOKUP($R15,武学奇术!$A:$ZZ,9,FALSE)+SUM(_xlfn.XLOOKUP($S15:$AL15,增益!$A:$A,增益!$I:$I,0)))/200,($F$11-$I$4+VLOOKUP($R15,武学奇术!$A:$ZZ,9,FALSE)+SUM(_xlfn.XLOOKUP($S15:$AL15,增益!$A:$A,增益!$I:$I,0)))/100)</f>
        <v>-0.14</v>
      </c>
      <c r="BB15" s="40" cm="1">
        <f t="array" ref="BB15">$G$11+VLOOKUP($R15,武学奇术!$A:$ZZ,10,FALSE)+SUM(_xlfn.XLOOKUP($S15:$AL15,增益!$A:$A,增益!$J:$J,0))</f>
        <v>0</v>
      </c>
      <c r="BC15">
        <f t="shared" si="4"/>
        <v>640.3</v>
      </c>
      <c r="BD15">
        <f t="shared" si="5"/>
        <v>1770.1</v>
      </c>
      <c r="BE15" s="40" cm="1">
        <f t="array" ref="BE15">IF($F$12-$I$4+VLOOKUP($R15,武学奇术!$A:$ZZ,11,FALSE)+SUM(_xlfn.XLOOKUP($S15:$AL15,增益!$A:$A,增益!$K:$K,0))&gt;0,($F$12-$I$4+VLOOKUP($R15,武学奇术!$A:$ZZ,11,FALSE)+SUM(_xlfn.XLOOKUP($S15:$AL15,增益!$A:$A,增益!$K:$K,0)))/200,($F$12-$I$4+VLOOKUP($R15,武学奇术!$A:$ZZ,11,FALSE)+SUM(_xlfn.XLOOKUP($S15:$AL15,增益!$A:$A,增益!$K:$K,0)))/100)</f>
        <v>0.17</v>
      </c>
      <c r="BF15" s="40" cm="1">
        <f t="array" ref="BF15">$G$12+VLOOKUP($R15,武学奇术!$A:$ZZ,12,FALSE)+SUM(_xlfn.XLOOKUP($S15:$AL15,增益!$A:$A,增益!$L:$L,0))</f>
        <v>0.27</v>
      </c>
      <c r="BG15">
        <f t="shared" si="6"/>
        <v>0</v>
      </c>
      <c r="BH15">
        <f t="shared" si="7"/>
        <v>0</v>
      </c>
      <c r="BI15" s="40" cm="1">
        <f t="array" ref="BI15">IF($F$13-$I$4+VLOOKUP($R15,武学奇术!$A:$ZZ,13,FALSE)+SUM(_xlfn.XLOOKUP($S15:$AL15,增益!$A:$A,增益!$M:$M,0))&gt;0,($F$13-$I$4+VLOOKUP($R15,武学奇术!$A:$ZZ,13,FALSE)+SUM(_xlfn.XLOOKUP($S15:$AL15,增益!$A:$A,增益!$K:$K,0)))/200,($F$13-$I$4+VLOOKUP($R15,武学奇术!$A:$ZZ,13,FALSE)+SUM(_xlfn.XLOOKUP($S15:$AL15,增益!$A:$A,增益!$M:$M,0)))/100)</f>
        <v>-0.14</v>
      </c>
      <c r="BJ15" s="40" cm="1">
        <f t="array" ref="BJ15">$G$13+VLOOKUP($R15,武学奇术!$A:$ZZ,14,FALSE)+SUM(_xlfn.XLOOKUP($S15:$AL15,增益!$A:$A,增益!$N:$N,0))</f>
        <v>0</v>
      </c>
      <c r="BK15">
        <f t="shared" si="8"/>
        <v>0</v>
      </c>
      <c r="BL15">
        <f t="shared" si="9"/>
        <v>0</v>
      </c>
      <c r="BM15" s="40" cm="1">
        <f t="array" ref="BM15">IF($F$14-$I$4+VLOOKUP($R15,武学奇术!$A:$ZZ,15,FALSE)+SUM(_xlfn.XLOOKUP($S15:$AL15,增益!$A:$A,增益!$O:$O,0))&gt;0,($F$14-$I$4+VLOOKUP($R15,武学奇术!$A:$ZZ,15,FALSE)+SUM(_xlfn.XLOOKUP($S15:$AL15,增益!$A:$A,增益!$O:$O,0)))/200,($F$14-$I$4+VLOOKUP($R15,武学奇术!$A:$ZZ,15,FALSE)+SUM(_xlfn.XLOOKUP($S15:$AL15,增益!$A:$A,增益!$O:$O,0)))/100)</f>
        <v>-0.14</v>
      </c>
      <c r="BN15" s="40" cm="1">
        <f t="array" ref="BN15">$G$14+VLOOKUP($R15,武学奇术!$A:$ZZ,16,FALSE)+SUM(_xlfn.XLOOKUP($S15:$AL15,增益!$A:$A,增益!$P:$P,0))</f>
        <v>0</v>
      </c>
      <c r="BO15" s="33">
        <f>MIN(IF(VLOOKUP($R15,武学奇术!$A:$ZZ,23,FALSE)=1,100%,$B$8),100%)</f>
        <v>0.9771</v>
      </c>
      <c r="BP15" s="33" cm="1">
        <f t="array" ref="BP15">IF(VLOOKUP($R15,武学奇术!$A:$ZZ,23,FALSE)=1,100%,MIN(80%,$B$9+VLOOKUP($R15,武学奇术!$A:$ZZ,17,FALSE)+SUM(_xlfn.XLOOKUP($S15:$AL15,增益!$A:$A,增益!$Q:$Q,0)))+$B$11+SUM(_xlfn.XLOOKUP($S15:$AL15,增益!$A:$A,增益!$U:$U,0)))*IF(VLOOKUP($R15,武学奇术!$A:$ZZ,24,FALSE)=1,0,1)</f>
        <v>0.8861</v>
      </c>
      <c r="BQ15" s="33" cm="1">
        <f t="array" ref="BQ15">1+$B$13+VLOOKUP($R15,武学奇术!$A:$ZZ,18,FALSE)+SUM(_xlfn.XLOOKUP($S15:$AL15,增益!$A:$A,增益!$R:$R,0))</f>
        <v>1.83</v>
      </c>
      <c r="BR15" s="33" cm="1">
        <f t="array" ref="BR15">IF(VLOOKUP($R15,武学奇术!$A:$ZZ,24,FALSE)=1,100%,MIN(40%,$B$10+VLOOKUP($R15,武学奇术!$A:$ZZ,19,FALSE)+SUM(_xlfn.XLOOKUP($S15:$AL15,增益!$A:$A,增益!$S:$S,0)))+$B$12+SUM(_xlfn.XLOOKUP($S15:$AL15,增益!$A:$A,增益!$V:$V,0)))*IF(VLOOKUP($R15,武学奇术!$A:$ZZ,23,FALSE)=1,0,1)</f>
        <v>0.0913</v>
      </c>
      <c r="BS15" s="33" cm="1">
        <f t="array" ref="BS15">1+$B$14+VLOOKUP($R15,武学奇术!$A:$ZZ,20,FALSE)+SUM(_xlfn.XLOOKUP($S15:$AL15,增益!$A:$A,增益!$T:$T,0))</f>
        <v>1.35</v>
      </c>
      <c r="BT15" s="33">
        <f t="shared" si="10"/>
        <v>0.86580831</v>
      </c>
      <c r="BU15" s="33">
        <f t="shared" si="11"/>
        <v>0.02208246</v>
      </c>
      <c r="BV15" s="33">
        <f>IF(VLOOKUP($R15,武学奇术!$A:$ZZ,22,FALSE)=1,0,(1-$BO15))*(1-$BR15)</f>
        <v>0.02080923</v>
      </c>
      <c r="BW15" s="33" cm="1">
        <f t="array" ref="BW15">SUM(_xlfn.XLOOKUP($S15:$AL15,增益!$A:$A,增益!$W:$W,0))+$I$5</f>
        <v>0.11</v>
      </c>
      <c r="BX15" s="33" cm="1">
        <f t="array" ref="BX15">VLOOKUP($R15,武学奇术!$A:$ZZ,32,FALSE)+SUM(_xlfn.XLOOKUP($S15:$AL15,增益!$A:$A,增益!$X:$X,0))</f>
        <v>0</v>
      </c>
    </row>
    <row r="16" spans="1:76">
      <c r="A16" s="49" t="s">
        <v>127</v>
      </c>
      <c r="B16" s="78">
        <f>期望!B16</f>
        <v>0.0892</v>
      </c>
      <c r="C16" s="47" t="s">
        <v>128</v>
      </c>
      <c r="D16" s="85" t="s">
        <v>152</v>
      </c>
      <c r="E16" s="47" t="s">
        <v>130</v>
      </c>
      <c r="F16" s="85" t="s">
        <v>129</v>
      </c>
      <c r="H16" s="75" t="s">
        <v>131</v>
      </c>
      <c r="I16" s="87"/>
      <c r="J16" s="88"/>
      <c r="K16" s="89"/>
      <c r="L16" s="46">
        <f t="shared" si="0"/>
        <v>9456.40811411794</v>
      </c>
      <c r="M16" s="46">
        <f>((($AT16+$AU16)/2*$AN16+$AO16)*(1+$AV16)*(1+$AW16)+(($AY16+$AZ16)/2*IF($G$1="鸣金",$AP16,$AN16)+IF($G$1="鸣金",$AQ16*1.5,0))*(1+$BA16)*(1+$BB16)+(($BC16+$BD16)/2*IF($G$1="裂石",$AP16,$AN16)+IF($G$1="裂石",$AQ16*1.5,0))*(1+$BE16)*(1+$BF16)+(($BG16+$BH16)/2*IF($G$1="牵丝",$AP16,$AN16)+IF($G$1="牵丝",$AQ16*1.5,0))*(1+$BI16)*(1+$BJ16)+(($BK16+$BL16)/2*IF($G$1="破竹",$AP16,$AN16)+IF($G$1="破竹",$AQ16*1.5,0))*(1+$BM16)*(1+$BN16))*(1+$AR16)*$BQ16*$Q16*(1+IF(VLOOKUP($R16,武学奇术!$A:$ZZ,30,FALSE)="蓄力技",$B$21,0))*(1+IF(VLOOKUP($R16,武学奇术!$A:$ZZ,30,FALSE)="派生技",$B$20,0))*(1+$BW16)*(1+$BX16)</f>
        <v>9816.92960511085</v>
      </c>
      <c r="N16" s="46">
        <f>(($AU16*$AN16+$AO16)*(1+$AV16)*(1+$AW16)+($AZ16*IF($G$1="鸣金",$AP16,$AN16)+IF($G$1="鸣金",$AQ16*1.5,0))*(1+$BA16)*(1+$BB16)+($BD16*IF($G$1="裂石",$AP16,$AN16)+IF($G$1="裂石",$AQ16*1.5,0))*(1+$BE16)*(1+$BF16)+($BH16*IF($G$1="牵丝",$AP16,$AN16)+IF($G$1="牵丝",$AQ16*1.5,0))*(1+$BI16)*(1+$BJ16)+($BL16*IF($G$1="破竹",$AP16,$AN16)+IF($G$1="破竹",$AQ16*1.5,0))*(1+$BM16)*(1+$BN16))*(1+$AR16)*$BS16*$Q16*(1+IF(VLOOKUP($R16,武学奇术!$A:$ZZ,30,FALSE)="蓄力技",$B$21,0))*(1+IF(VLOOKUP($R16,武学奇术!$A:$ZZ,30,FALSE)="派生技",$B$20,0))*(1+$BW16)*(1+$BX16)</f>
        <v>8178.35407606437</v>
      </c>
      <c r="O16" s="46">
        <f>((($AT16+$AU16)/2*$AN16+$AO16)*(1+$AV16)*(1+$AW16)+(($AY16+$AZ16)/2*IF($G$1="鸣金",$AP16,$AN16)+IF($G$1="鸣金",$AQ16*1.5,0))*(1+$BA16)*(1+$BB16)+(($BC16+$BD16)/2*IF($G$1="裂石",$AP16,$AN16)+IF($G$1="裂石",$AQ16*1.5,0))*(1+$BE16)*(1+$BF16)+(($BG16+$BH16)/2*IF($G$1="牵丝",$AP16,$AN16)+IF($G$1="牵丝",$AQ16*1.5,0))*(1+$BI16)*(1+$BJ16)+(($BK16+$BL16)/2*IF($G$1="破竹",$AP16,$AN16)+IF($G$1="破竹",$AQ16*1.5,0))*(1+$BM16)*(1+$BN16))*(1+$AR16)*$Q16*(1+IF(VLOOKUP($R16,武学奇术!$A:$ZZ,30,FALSE)="蓄力技",$B$21,0))*(1+IF(VLOOKUP($R16,武学奇术!$A:$ZZ,30,FALSE)="派生技",$B$20,0))*(1+$BW16)*(1+$BX16)</f>
        <v>5277.91914253271</v>
      </c>
      <c r="P16" s="46">
        <f>((($AT16*$AN16+$AO16)*(1+$AV16)*(1+$AW16)+($AY16*IF($G$1="鸣金",$AP16,$AN16)+IF($G$1="鸣金",$AQ16*1.5,0))*(1+$BA16)*(1+$BB16)+($BC16*IF($G$1="裂石",$AP16,$AN16)+IF($G$1="裂石",$AQ16*1.5,0))*(1+$BE16)*(1+$BF16)+($BG16*IF($G$1="牵丝",$AP16,$AN16)+IF($G$1="牵丝",$AQ16*1.5,0))*(1+$BI16)*(1+$BJ16)+($BK16*IF($G$1="破竹",$AP16,$AN16)+IF($G$1="破竹",$AQ16*1.5,0))*(1+$BM16)*(1+$BN16))*(1+$AR16))*$Q16*(1+IF(VLOOKUP($R16,武学奇术!$A:$ZZ,30,FALSE)="蓄力技",$B$21,0))*(1+IF(VLOOKUP($R16,武学奇术!$A:$ZZ,30,FALSE)="派生技",$B$20,0))*(1+$BW16)*(1+$BX16)</f>
        <v>4497.79822872145</v>
      </c>
      <c r="Q16" s="47">
        <f t="shared" si="12"/>
        <v>0.25</v>
      </c>
      <c r="R16" s="48" t="s">
        <v>122</v>
      </c>
      <c r="S16" s="48" t="s">
        <v>77</v>
      </c>
      <c r="T16" s="48" t="s">
        <v>89</v>
      </c>
      <c r="U16" s="48" t="s">
        <v>79</v>
      </c>
      <c r="V16" s="48" t="s">
        <v>90</v>
      </c>
      <c r="W16" s="48" t="s">
        <v>132</v>
      </c>
      <c r="X16" s="48" t="s">
        <v>80</v>
      </c>
      <c r="Y16" s="48" t="s">
        <v>74</v>
      </c>
      <c r="Z16" s="48" t="s">
        <v>81</v>
      </c>
      <c r="AA16" s="48" t="s">
        <v>80</v>
      </c>
      <c r="AB16" s="48" t="s">
        <v>80</v>
      </c>
      <c r="AC16" s="48" t="s">
        <v>80</v>
      </c>
      <c r="AD16" s="48" t="s">
        <v>80</v>
      </c>
      <c r="AE16" s="48" t="s">
        <v>80</v>
      </c>
      <c r="AF16" s="48" t="s">
        <v>83</v>
      </c>
      <c r="AG16" s="48" t="s">
        <v>84</v>
      </c>
      <c r="AH16" s="48" t="s">
        <v>80</v>
      </c>
      <c r="AI16" s="48" t="s">
        <v>80</v>
      </c>
      <c r="AJ16" s="48" t="s">
        <v>80</v>
      </c>
      <c r="AK16" s="48" t="s">
        <v>80</v>
      </c>
      <c r="AL16" s="48" t="s">
        <v>80</v>
      </c>
      <c r="AM16" t="str">
        <f>VLOOKUP($R16,武学奇术!$A:$ZZ,25,FALSE)</f>
        <v>横刀</v>
      </c>
      <c r="AN16" s="33">
        <f>VLOOKUP($R16,武学奇术!$A:$ZZ,26,FALSE)</f>
        <v>1.47</v>
      </c>
      <c r="AO16" s="34">
        <f>VLOOKUP($R16,武学奇术!$A:$ZZ,27,FALSE)*(1+IF(OR($AM16=$F$4,$AM16=$F$5),$B$22,0))</f>
        <v>0</v>
      </c>
      <c r="AP16" s="33">
        <f>VLOOKUP($R16,武学奇术!$A:$ZZ,28,FALSE)</f>
        <v>2.205</v>
      </c>
      <c r="AQ16" s="34">
        <f>VLOOKUP($R16,武学奇术!$A:$ZZ,29,FALSE)*(1+IF(OR($AM16=$F$4,$AM16=$F$5),$B$22,0))</f>
        <v>0</v>
      </c>
      <c r="AR16" s="33" cm="1">
        <f t="array" ref="AR16">$G$3+IFERROR(VLOOKUP($AM16,$F$4:$G$7,2,FALSE),0)+VLOOKUP($R16,武学奇术!$A:$ZZ,2,FALSE)+SUM(_xlfn.XLOOKUP($S16:$AL16,增益!$A:$A,增益!$B:$B,0))</f>
        <v>0.5189</v>
      </c>
      <c r="AS16" s="33" cm="1">
        <f t="array" ref="AS16">VLOOKUP($R16,武学奇术!$A:$ZZ,5,FALSE)+SUM(_xlfn.XLOOKUP($S16:$AL16,增益!$A:$A,增益!$E:$E,0))</f>
        <v>0</v>
      </c>
      <c r="AT16" cm="1">
        <f t="array" ref="AT16">$D$10*(1+$AS16)+VLOOKUP($R16,武学奇术!$A:$ZZ,3,FALSE)+SUM(_xlfn.XLOOKUP($S16:$AL16,增益!$A:$A,增益!$C:$C,0))-$I$2</f>
        <v>4026</v>
      </c>
      <c r="AU16" cm="1">
        <f t="array" ref="AU16">$E$10*(1+$AS16)+VLOOKUP($R16,武学奇术!$A:$ZZ,4,FALSE)+SUM(_xlfn.XLOOKUP($S16:$AL16,增益!$A:$A,增益!$D:$D,0))-$I$2</f>
        <v>4026</v>
      </c>
      <c r="AV16" s="40" cm="1">
        <f t="array" ref="AV16">IF($F$10-$I$3+VLOOKUP($R16,武学奇术!$A:$ZZ,6,FALSE)+SUM(_xlfn.XLOOKUP($S16:$AL16,增益!$A:$A,增益!$F:$F,0))&gt;0,($F$10-$I$3+VLOOKUP($R16,武学奇术!$A:$ZZ,6,FALSE)+SUM(_xlfn.XLOOKUP($S16:$AL16,增益!$A:$A,增益!$F:$F,0)))/200,($F$10-$I$3+VLOOKUP($R16,武学奇术!$A:$ZZ,6,FALSE)+SUM(_xlfn.XLOOKUP($S16:$AL16,增益!$A:$A,增益!$F:$F,0)))/100)</f>
        <v>0.2934</v>
      </c>
      <c r="AW16" s="40" cm="1">
        <f t="array" ref="AW16">$G$10+VLOOKUP($R16,武学奇术!$A:$ZZ,7,FALSE)+SUM(_xlfn.XLOOKUP($S16:$AL16,增益!$A:$A,增益!$G:$G,0))</f>
        <v>0.12</v>
      </c>
      <c r="AX16" s="33" cm="1">
        <f t="array" ref="AX16">VLOOKUP($R16,武学奇术!$A:$ZZ,8,FALSE)+SUM(_xlfn.XLOOKUP($S16:$AL16,增益!$A:$A,增益!$H:$H,0))</f>
        <v>0</v>
      </c>
      <c r="AY16">
        <f t="shared" si="2"/>
        <v>0</v>
      </c>
      <c r="AZ16">
        <f t="shared" si="3"/>
        <v>0</v>
      </c>
      <c r="BA16" s="40" cm="1">
        <f t="array" ref="BA16">IF($F$11-$I$4+VLOOKUP($R16,武学奇术!$A:$ZZ,9,FALSE)+SUM(_xlfn.XLOOKUP($S16:$AL16,增益!$A:$A,增益!$I:$I,0))&gt;0,($F$11-$I$4+VLOOKUP($R16,武学奇术!$A:$ZZ,9,FALSE)+SUM(_xlfn.XLOOKUP($S16:$AL16,增益!$A:$A,增益!$I:$I,0)))/200,($F$11-$I$4+VLOOKUP($R16,武学奇术!$A:$ZZ,9,FALSE)+SUM(_xlfn.XLOOKUP($S16:$AL16,增益!$A:$A,增益!$I:$I,0)))/100)</f>
        <v>-0.14</v>
      </c>
      <c r="BB16" s="40" cm="1">
        <f t="array" ref="BB16">$G$11+VLOOKUP($R16,武学奇术!$A:$ZZ,10,FALSE)+SUM(_xlfn.XLOOKUP($S16:$AL16,增益!$A:$A,增益!$J:$J,0))</f>
        <v>0</v>
      </c>
      <c r="BC16">
        <f t="shared" si="4"/>
        <v>640.3</v>
      </c>
      <c r="BD16">
        <f t="shared" si="5"/>
        <v>1770.1</v>
      </c>
      <c r="BE16" s="40" cm="1">
        <f t="array" ref="BE16">IF($F$12-$I$4+VLOOKUP($R16,武学奇术!$A:$ZZ,11,FALSE)+SUM(_xlfn.XLOOKUP($S16:$AL16,增益!$A:$A,增益!$K:$K,0))&gt;0,($F$12-$I$4+VLOOKUP($R16,武学奇术!$A:$ZZ,11,FALSE)+SUM(_xlfn.XLOOKUP($S16:$AL16,增益!$A:$A,增益!$K:$K,0)))/200,($F$12-$I$4+VLOOKUP($R16,武学奇术!$A:$ZZ,11,FALSE)+SUM(_xlfn.XLOOKUP($S16:$AL16,增益!$A:$A,增益!$K:$K,0)))/100)</f>
        <v>0.17</v>
      </c>
      <c r="BF16" s="40" cm="1">
        <f t="array" ref="BF16">$G$12+VLOOKUP($R16,武学奇术!$A:$ZZ,12,FALSE)+SUM(_xlfn.XLOOKUP($S16:$AL16,增益!$A:$A,增益!$L:$L,0))</f>
        <v>0.27</v>
      </c>
      <c r="BG16">
        <f t="shared" si="6"/>
        <v>0</v>
      </c>
      <c r="BH16">
        <f t="shared" si="7"/>
        <v>0</v>
      </c>
      <c r="BI16" s="40" cm="1">
        <f t="array" ref="BI16">IF($F$13-$I$4+VLOOKUP($R16,武学奇术!$A:$ZZ,13,FALSE)+SUM(_xlfn.XLOOKUP($S16:$AL16,增益!$A:$A,增益!$M:$M,0))&gt;0,($F$13-$I$4+VLOOKUP($R16,武学奇术!$A:$ZZ,13,FALSE)+SUM(_xlfn.XLOOKUP($S16:$AL16,增益!$A:$A,增益!$K:$K,0)))/200,($F$13-$I$4+VLOOKUP($R16,武学奇术!$A:$ZZ,13,FALSE)+SUM(_xlfn.XLOOKUP($S16:$AL16,增益!$A:$A,增益!$M:$M,0)))/100)</f>
        <v>-0.14</v>
      </c>
      <c r="BJ16" s="40" cm="1">
        <f t="array" ref="BJ16">$G$13+VLOOKUP($R16,武学奇术!$A:$ZZ,14,FALSE)+SUM(_xlfn.XLOOKUP($S16:$AL16,增益!$A:$A,增益!$N:$N,0))</f>
        <v>0</v>
      </c>
      <c r="BK16">
        <f t="shared" si="8"/>
        <v>0</v>
      </c>
      <c r="BL16">
        <f t="shared" si="9"/>
        <v>0</v>
      </c>
      <c r="BM16" s="40" cm="1">
        <f t="array" ref="BM16">IF($F$14-$I$4+VLOOKUP($R16,武学奇术!$A:$ZZ,15,FALSE)+SUM(_xlfn.XLOOKUP($S16:$AL16,增益!$A:$A,增益!$O:$O,0))&gt;0,($F$14-$I$4+VLOOKUP($R16,武学奇术!$A:$ZZ,15,FALSE)+SUM(_xlfn.XLOOKUP($S16:$AL16,增益!$A:$A,增益!$O:$O,0)))/200,($F$14-$I$4+VLOOKUP($R16,武学奇术!$A:$ZZ,15,FALSE)+SUM(_xlfn.XLOOKUP($S16:$AL16,增益!$A:$A,增益!$O:$O,0)))/100)</f>
        <v>-0.14</v>
      </c>
      <c r="BN16" s="40" cm="1">
        <f t="array" ref="BN16">$G$14+VLOOKUP($R16,武学奇术!$A:$ZZ,16,FALSE)+SUM(_xlfn.XLOOKUP($S16:$AL16,增益!$A:$A,增益!$P:$P,0))</f>
        <v>0</v>
      </c>
      <c r="BO16" s="33">
        <f>MIN(IF(VLOOKUP($R16,武学奇术!$A:$ZZ,23,FALSE)=1,100%,$B$8),100%)</f>
        <v>0.9771</v>
      </c>
      <c r="BP16" s="33" cm="1">
        <f t="array" ref="BP16">IF(VLOOKUP($R16,武学奇术!$A:$ZZ,23,FALSE)=1,100%,MIN(80%,$B$9+VLOOKUP($R16,武学奇术!$A:$ZZ,17,FALSE)+SUM(_xlfn.XLOOKUP($S16:$AL16,增益!$A:$A,增益!$Q:$Q,0)))+$B$11+SUM(_xlfn.XLOOKUP($S16:$AL16,增益!$A:$A,增益!$U:$U,0)))*IF(VLOOKUP($R16,武学奇术!$A:$ZZ,24,FALSE)=1,0,1)</f>
        <v>0.8861</v>
      </c>
      <c r="BQ16" s="33" cm="1">
        <f t="array" ref="BQ16">1+$B$13+VLOOKUP($R16,武学奇术!$A:$ZZ,18,FALSE)+SUM(_xlfn.XLOOKUP($S16:$AL16,增益!$A:$A,增益!$R:$R,0))</f>
        <v>1.86</v>
      </c>
      <c r="BR16" s="33" cm="1">
        <f t="array" ref="BR16">IF(VLOOKUP($R16,武学奇术!$A:$ZZ,24,FALSE)=1,100%,MIN(40%,$B$10+VLOOKUP($R16,武学奇术!$A:$ZZ,19,FALSE)+SUM(_xlfn.XLOOKUP($S16:$AL16,增益!$A:$A,增益!$S:$S,0)))+$B$12+SUM(_xlfn.XLOOKUP($S16:$AL16,增益!$A:$A,增益!$V:$V,0)))*IF(VLOOKUP($R16,武学奇术!$A:$ZZ,23,FALSE)=1,0,1)</f>
        <v>0.0913</v>
      </c>
      <c r="BS16" s="33" cm="1">
        <f t="array" ref="BS16">1+$B$14+VLOOKUP($R16,武学奇术!$A:$ZZ,20,FALSE)+SUM(_xlfn.XLOOKUP($S16:$AL16,增益!$A:$A,增益!$T:$T,0))</f>
        <v>1.35</v>
      </c>
      <c r="BT16" s="33">
        <f t="shared" si="10"/>
        <v>0.86580831</v>
      </c>
      <c r="BU16" s="33">
        <f t="shared" si="11"/>
        <v>0.02208246</v>
      </c>
      <c r="BV16" s="33">
        <f>IF(VLOOKUP($R16,武学奇术!$A:$ZZ,22,FALSE)=1,0,(1-$BO16))*(1-$BR16)</f>
        <v>0.02080923</v>
      </c>
      <c r="BW16" s="33" cm="1">
        <f t="array" ref="BW16">SUM(_xlfn.XLOOKUP($S16:$AL16,增益!$A:$A,增益!$W:$W,0))+$I$5</f>
        <v>0.11</v>
      </c>
      <c r="BX16" s="33" cm="1">
        <f t="array" ref="BX16">VLOOKUP($R16,武学奇术!$A:$ZZ,32,FALSE)+SUM(_xlfn.XLOOKUP($S16:$AL16,增益!$A:$A,增益!$X:$X,0))</f>
        <v>0</v>
      </c>
    </row>
    <row r="17" ht="14.25" spans="1:76">
      <c r="A17" s="49" t="s">
        <v>133</v>
      </c>
      <c r="B17" s="78">
        <f>期望!B17</f>
        <v>0.0854</v>
      </c>
      <c r="C17" s="47" t="s">
        <v>134</v>
      </c>
      <c r="D17" s="85" t="s">
        <v>152</v>
      </c>
      <c r="E17" s="47" t="s">
        <v>135</v>
      </c>
      <c r="F17" s="85" t="s">
        <v>152</v>
      </c>
      <c r="H17" s="79"/>
      <c r="I17" s="90"/>
      <c r="J17" s="91"/>
      <c r="K17" s="89"/>
      <c r="L17" s="46">
        <f t="shared" si="0"/>
        <v>9669.03753248667</v>
      </c>
      <c r="M17" s="46">
        <f>((($AT17+$AU17)/2*$AN17+$AO17)*(1+$AV17)*(1+$AW17)+(($AY17+$AZ17)/2*IF($G$1="鸣金",$AP17,$AN17)+IF($G$1="鸣金",$AQ17*1.5,0))*(1+$BA17)*(1+$BB17)+(($BC17+$BD17)/2*IF($G$1="裂石",$AP17,$AN17)+IF($G$1="裂石",$AQ17*1.5,0))*(1+$BE17)*(1+$BF17)+(($BG17+$BH17)/2*IF($G$1="牵丝",$AP17,$AN17)+IF($G$1="牵丝",$AQ17*1.5,0))*(1+$BI17)*(1+$BJ17)+(($BK17+$BL17)/2*IF($G$1="破竹",$AP17,$AN17)+IF($G$1="破竹",$AQ17*1.5,0))*(1+$BM17)*(1+$BN17))*(1+$AR17)*$BQ17*$Q17*(1+IF(VLOOKUP($R17,武学奇术!$A:$ZZ,30,FALSE)="蓄力技",$B$21,0))*(1+IF(VLOOKUP($R17,武学奇术!$A:$ZZ,30,FALSE)="派生技",$B$20,0))*(1+$BW17)*(1+$BX17)</f>
        <v>10054.4725008183</v>
      </c>
      <c r="N17" s="46">
        <f>(($AU17*$AN17+$AO17)*(1+$AV17)*(1+$AW17)+($AZ17*IF($G$1="鸣金",$AP17,$AN17)+IF($G$1="鸣金",$AQ17*1.5,0))*(1+$BA17)*(1+$BB17)+($BD17*IF($G$1="裂石",$AP17,$AN17)+IF($G$1="裂石",$AQ17*1.5,0))*(1+$BE17)*(1+$BF17)+($BH17*IF($G$1="牵丝",$AP17,$AN17)+IF($G$1="牵丝",$AQ17*1.5,0))*(1+$BI17)*(1+$BJ17)+($BL17*IF($G$1="破竹",$AP17,$AN17)+IF($G$1="破竹",$AQ17*1.5,0))*(1+$BM17)*(1+$BN17))*(1+$AR17)*$BS17*$Q17*(1+IF(VLOOKUP($R17,武学奇术!$A:$ZZ,30,FALSE)="蓄力技",$B$21,0))*(1+IF(VLOOKUP($R17,武学奇术!$A:$ZZ,30,FALSE)="派生技",$B$20,0))*(1+$BW17)*(1+$BX17)</f>
        <v>8234.92930565831</v>
      </c>
      <c r="O17" s="46">
        <f>((($AT17+$AU17)/2*$AN17+$AO17)*(1+$AV17)*(1+$AW17)+(($AY17+$AZ17)/2*IF($G$1="鸣金",$AP17,$AN17)+IF($G$1="鸣金",$AQ17*1.5,0))*(1+$BA17)*(1+$BB17)+(($BC17+$BD17)/2*IF($G$1="裂石",$AP17,$AN17)+IF($G$1="裂石",$AQ17*1.5,0))*(1+$BE17)*(1+$BF17)+(($BG17+$BH17)/2*IF($G$1="牵丝",$AP17,$AN17)+IF($G$1="牵丝",$AQ17*1.5,0))*(1+$BI17)*(1+$BJ17)+(($BK17+$BL17)/2*IF($G$1="破竹",$AP17,$AN17)+IF($G$1="破竹",$AQ17*1.5,0))*(1+$BM17)*(1+$BN17))*(1+$AR17)*$Q17*(1+IF(VLOOKUP($R17,武学奇术!$A:$ZZ,30,FALSE)="蓄力技",$B$21,0))*(1+IF(VLOOKUP($R17,武学奇术!$A:$ZZ,30,FALSE)="派生技",$B$20,0))*(1+$BW17)*(1+$BX17)</f>
        <v>5319.82672000971</v>
      </c>
      <c r="P17" s="46">
        <f>((($AT17*$AN17+$AO17)*(1+$AV17)*(1+$AW17)+($AY17*IF($G$1="鸣金",$AP17,$AN17)+IF($G$1="鸣金",$AQ17*1.5,0))*(1+$BA17)*(1+$BB17)+($BC17*IF($G$1="裂石",$AP17,$AN17)+IF($G$1="裂石",$AQ17*1.5,0))*(1+$BE17)*(1+$BF17)+($BG17*IF($G$1="牵丝",$AP17,$AN17)+IF($G$1="牵丝",$AQ17*1.5,0))*(1+$BI17)*(1+$BJ17)+($BK17*IF($G$1="破竹",$AP17,$AN17)+IF($G$1="破竹",$AQ17*1.5,0))*(1+$BM17)*(1+$BN17))*(1+$AR17))*$Q17*(1+IF(VLOOKUP($R17,武学奇术!$A:$ZZ,30,FALSE)="蓄力技",$B$21,0))*(1+IF(VLOOKUP($R17,武学奇术!$A:$ZZ,30,FALSE)="派生技",$B$20,0))*(1+$BW17)*(1+$BX17)</f>
        <v>4539.70580619845</v>
      </c>
      <c r="Q17" s="47">
        <f t="shared" si="12"/>
        <v>0.25</v>
      </c>
      <c r="R17" s="48" t="s">
        <v>122</v>
      </c>
      <c r="S17" s="48" t="s">
        <v>77</v>
      </c>
      <c r="T17" s="48" t="s">
        <v>89</v>
      </c>
      <c r="U17" s="48" t="s">
        <v>79</v>
      </c>
      <c r="V17" s="48" t="s">
        <v>90</v>
      </c>
      <c r="W17" s="48" t="s">
        <v>136</v>
      </c>
      <c r="X17" s="48" t="s">
        <v>80</v>
      </c>
      <c r="Y17" s="48" t="s">
        <v>74</v>
      </c>
      <c r="Z17" s="48" t="s">
        <v>81</v>
      </c>
      <c r="AA17" s="48" t="s">
        <v>80</v>
      </c>
      <c r="AB17" s="48" t="s">
        <v>80</v>
      </c>
      <c r="AC17" s="48" t="s">
        <v>80</v>
      </c>
      <c r="AD17" s="48" t="s">
        <v>80</v>
      </c>
      <c r="AE17" s="48" t="s">
        <v>80</v>
      </c>
      <c r="AF17" s="48" t="s">
        <v>83</v>
      </c>
      <c r="AG17" s="48" t="s">
        <v>84</v>
      </c>
      <c r="AH17" s="48" t="s">
        <v>80</v>
      </c>
      <c r="AI17" s="48" t="s">
        <v>80</v>
      </c>
      <c r="AJ17" s="48" t="s">
        <v>80</v>
      </c>
      <c r="AK17" s="48" t="s">
        <v>80</v>
      </c>
      <c r="AL17" s="48" t="s">
        <v>80</v>
      </c>
      <c r="AM17" t="str">
        <f>VLOOKUP($R17,武学奇术!$A:$ZZ,25,FALSE)</f>
        <v>横刀</v>
      </c>
      <c r="AN17" s="33">
        <f>VLOOKUP($R17,武学奇术!$A:$ZZ,26,FALSE)</f>
        <v>1.47</v>
      </c>
      <c r="AO17" s="34">
        <f>VLOOKUP($R17,武学奇术!$A:$ZZ,27,FALSE)*(1+IF(OR($AM17=$F$4,$AM17=$F$5),$B$22,0))</f>
        <v>0</v>
      </c>
      <c r="AP17" s="33">
        <f>VLOOKUP($R17,武学奇术!$A:$ZZ,28,FALSE)</f>
        <v>2.205</v>
      </c>
      <c r="AQ17" s="34">
        <f>VLOOKUP($R17,武学奇术!$A:$ZZ,29,FALSE)*(1+IF(OR($AM17=$F$4,$AM17=$F$5),$B$22,0))</f>
        <v>0</v>
      </c>
      <c r="AR17" s="33" cm="1">
        <f t="array" ref="AR17">$G$3+IFERROR(VLOOKUP($AM17,$F$4:$G$7,2,FALSE),0)+VLOOKUP($R17,武学奇术!$A:$ZZ,2,FALSE)+SUM(_xlfn.XLOOKUP($S17:$AL17,增益!$A:$A,增益!$B:$B,0))</f>
        <v>0.5189</v>
      </c>
      <c r="AS17" s="33" cm="1">
        <f t="array" ref="AS17">VLOOKUP($R17,武学奇术!$A:$ZZ,5,FALSE)+SUM(_xlfn.XLOOKUP($S17:$AL17,增益!$A:$A,增益!$E:$E,0))</f>
        <v>0</v>
      </c>
      <c r="AT17" cm="1">
        <f t="array" ref="AT17">$D$10*(1+$AS17)+VLOOKUP($R17,武学奇术!$A:$ZZ,3,FALSE)+SUM(_xlfn.XLOOKUP($S17:$AL17,增益!$A:$A,增益!$C:$C,0))-$I$2</f>
        <v>4026</v>
      </c>
      <c r="AU17" cm="1">
        <f t="array" ref="AU17">$E$10*(1+$AS17)+VLOOKUP($R17,武学奇术!$A:$ZZ,4,FALSE)+SUM(_xlfn.XLOOKUP($S17:$AL17,增益!$A:$A,增益!$D:$D,0))-$I$2</f>
        <v>4026</v>
      </c>
      <c r="AV17" s="40" cm="1">
        <f t="array" ref="AV17">IF($F$10-$I$3+VLOOKUP($R17,武学奇术!$A:$ZZ,6,FALSE)+SUM(_xlfn.XLOOKUP($S17:$AL17,增益!$A:$A,增益!$F:$F,0))&gt;0,($F$10-$I$3+VLOOKUP($R17,武学奇术!$A:$ZZ,6,FALSE)+SUM(_xlfn.XLOOKUP($S17:$AL17,增益!$A:$A,增益!$F:$F,0)))/200,($F$10-$I$3+VLOOKUP($R17,武学奇术!$A:$ZZ,6,FALSE)+SUM(_xlfn.XLOOKUP($S17:$AL17,增益!$A:$A,增益!$F:$F,0)))/100)</f>
        <v>0.3084</v>
      </c>
      <c r="AW17" s="40" cm="1">
        <f t="array" ref="AW17">$G$10+VLOOKUP($R17,武学奇术!$A:$ZZ,7,FALSE)+SUM(_xlfn.XLOOKUP($S17:$AL17,增益!$A:$A,增益!$G:$G,0))</f>
        <v>0.12</v>
      </c>
      <c r="AX17" s="33" cm="1">
        <f t="array" ref="AX17">VLOOKUP($R17,武学奇术!$A:$ZZ,8,FALSE)+SUM(_xlfn.XLOOKUP($S17:$AL17,增益!$A:$A,增益!$H:$H,0))</f>
        <v>0</v>
      </c>
      <c r="AY17">
        <f t="shared" si="2"/>
        <v>0</v>
      </c>
      <c r="AZ17">
        <f t="shared" si="3"/>
        <v>0</v>
      </c>
      <c r="BA17" s="40" cm="1">
        <f t="array" ref="BA17">IF($F$11-$I$4+VLOOKUP($R17,武学奇术!$A:$ZZ,9,FALSE)+SUM(_xlfn.XLOOKUP($S17:$AL17,增益!$A:$A,增益!$I:$I,0))&gt;0,($F$11-$I$4+VLOOKUP($R17,武学奇术!$A:$ZZ,9,FALSE)+SUM(_xlfn.XLOOKUP($S17:$AL17,增益!$A:$A,增益!$I:$I,0)))/200,($F$11-$I$4+VLOOKUP($R17,武学奇术!$A:$ZZ,9,FALSE)+SUM(_xlfn.XLOOKUP($S17:$AL17,增益!$A:$A,增益!$I:$I,0)))/100)</f>
        <v>-0.14</v>
      </c>
      <c r="BB17" s="40" cm="1">
        <f t="array" ref="BB17">$G$11+VLOOKUP($R17,武学奇术!$A:$ZZ,10,FALSE)+SUM(_xlfn.XLOOKUP($S17:$AL17,增益!$A:$A,增益!$J:$J,0))</f>
        <v>0</v>
      </c>
      <c r="BC17">
        <f t="shared" si="4"/>
        <v>640.3</v>
      </c>
      <c r="BD17">
        <f t="shared" si="5"/>
        <v>1770.1</v>
      </c>
      <c r="BE17" s="40" cm="1">
        <f t="array" ref="BE17">IF($F$12-$I$4+VLOOKUP($R17,武学奇术!$A:$ZZ,11,FALSE)+SUM(_xlfn.XLOOKUP($S17:$AL17,增益!$A:$A,增益!$K:$K,0))&gt;0,($F$12-$I$4+VLOOKUP($R17,武学奇术!$A:$ZZ,11,FALSE)+SUM(_xlfn.XLOOKUP($S17:$AL17,增益!$A:$A,增益!$K:$K,0)))/200,($F$12-$I$4+VLOOKUP($R17,武学奇术!$A:$ZZ,11,FALSE)+SUM(_xlfn.XLOOKUP($S17:$AL17,增益!$A:$A,增益!$K:$K,0)))/100)</f>
        <v>0.17</v>
      </c>
      <c r="BF17" s="40" cm="1">
        <f t="array" ref="BF17">$G$12+VLOOKUP($R17,武学奇术!$A:$ZZ,12,FALSE)+SUM(_xlfn.XLOOKUP($S17:$AL17,增益!$A:$A,增益!$L:$L,0))</f>
        <v>0.27</v>
      </c>
      <c r="BG17">
        <f t="shared" si="6"/>
        <v>0</v>
      </c>
      <c r="BH17">
        <f t="shared" si="7"/>
        <v>0</v>
      </c>
      <c r="BI17" s="40" cm="1">
        <f t="array" ref="BI17">IF($F$13-$I$4+VLOOKUP($R17,武学奇术!$A:$ZZ,13,FALSE)+SUM(_xlfn.XLOOKUP($S17:$AL17,增益!$A:$A,增益!$M:$M,0))&gt;0,($F$13-$I$4+VLOOKUP($R17,武学奇术!$A:$ZZ,13,FALSE)+SUM(_xlfn.XLOOKUP($S17:$AL17,增益!$A:$A,增益!$K:$K,0)))/200,($F$13-$I$4+VLOOKUP($R17,武学奇术!$A:$ZZ,13,FALSE)+SUM(_xlfn.XLOOKUP($S17:$AL17,增益!$A:$A,增益!$M:$M,0)))/100)</f>
        <v>-0.14</v>
      </c>
      <c r="BJ17" s="40" cm="1">
        <f t="array" ref="BJ17">$G$13+VLOOKUP($R17,武学奇术!$A:$ZZ,14,FALSE)+SUM(_xlfn.XLOOKUP($S17:$AL17,增益!$A:$A,增益!$N:$N,0))</f>
        <v>0</v>
      </c>
      <c r="BK17">
        <f t="shared" si="8"/>
        <v>0</v>
      </c>
      <c r="BL17">
        <f t="shared" si="9"/>
        <v>0</v>
      </c>
      <c r="BM17" s="40" cm="1">
        <f t="array" ref="BM17">IF($F$14-$I$4+VLOOKUP($R17,武学奇术!$A:$ZZ,15,FALSE)+SUM(_xlfn.XLOOKUP($S17:$AL17,增益!$A:$A,增益!$O:$O,0))&gt;0,($F$14-$I$4+VLOOKUP($R17,武学奇术!$A:$ZZ,15,FALSE)+SUM(_xlfn.XLOOKUP($S17:$AL17,增益!$A:$A,增益!$O:$O,0)))/200,($F$14-$I$4+VLOOKUP($R17,武学奇术!$A:$ZZ,15,FALSE)+SUM(_xlfn.XLOOKUP($S17:$AL17,增益!$A:$A,增益!$O:$O,0)))/100)</f>
        <v>-0.14</v>
      </c>
      <c r="BN17" s="40" cm="1">
        <f t="array" ref="BN17">$G$14+VLOOKUP($R17,武学奇术!$A:$ZZ,16,FALSE)+SUM(_xlfn.XLOOKUP($S17:$AL17,增益!$A:$A,增益!$P:$P,0))</f>
        <v>0</v>
      </c>
      <c r="BO17" s="33">
        <f>MIN(IF(VLOOKUP($R17,武学奇术!$A:$ZZ,23,FALSE)=1,100%,$B$8),100%)</f>
        <v>0.9771</v>
      </c>
      <c r="BP17" s="33" cm="1">
        <f t="array" ref="BP17">IF(VLOOKUP($R17,武学奇术!$A:$ZZ,23,FALSE)=1,100%,MIN(80%,$B$9+VLOOKUP($R17,武学奇术!$A:$ZZ,17,FALSE)+SUM(_xlfn.XLOOKUP($S17:$AL17,增益!$A:$A,增益!$Q:$Q,0)))+$B$11+SUM(_xlfn.XLOOKUP($S17:$AL17,增益!$A:$A,增益!$U:$U,0)))*IF(VLOOKUP($R17,武学奇术!$A:$ZZ,24,FALSE)=1,0,1)</f>
        <v>0.8861</v>
      </c>
      <c r="BQ17" s="33" cm="1">
        <f t="array" ref="BQ17">1+$B$13+VLOOKUP($R17,武学奇术!$A:$ZZ,18,FALSE)+SUM(_xlfn.XLOOKUP($S17:$AL17,增益!$A:$A,增益!$R:$R,0))</f>
        <v>1.89</v>
      </c>
      <c r="BR17" s="33" cm="1">
        <f t="array" ref="BR17">IF(VLOOKUP($R17,武学奇术!$A:$ZZ,24,FALSE)=1,100%,MIN(40%,$B$10+VLOOKUP($R17,武学奇术!$A:$ZZ,19,FALSE)+SUM(_xlfn.XLOOKUP($S17:$AL17,增益!$A:$A,增益!$S:$S,0)))+$B$12+SUM(_xlfn.XLOOKUP($S17:$AL17,增益!$A:$A,增益!$V:$V,0)))*IF(VLOOKUP($R17,武学奇术!$A:$ZZ,23,FALSE)=1,0,1)</f>
        <v>0.0913</v>
      </c>
      <c r="BS17" s="33" cm="1">
        <f t="array" ref="BS17">1+$B$14+VLOOKUP($R17,武学奇术!$A:$ZZ,20,FALSE)+SUM(_xlfn.XLOOKUP($S17:$AL17,增益!$A:$A,增益!$T:$T,0))</f>
        <v>1.35</v>
      </c>
      <c r="BT17" s="33">
        <f t="shared" si="10"/>
        <v>0.86580831</v>
      </c>
      <c r="BU17" s="33">
        <f t="shared" si="11"/>
        <v>0.02208246</v>
      </c>
      <c r="BV17" s="33">
        <f>IF(VLOOKUP($R17,武学奇术!$A:$ZZ,22,FALSE)=1,0,(1-$BO17))*(1-$BR17)</f>
        <v>0.02080923</v>
      </c>
      <c r="BW17" s="33" cm="1">
        <f t="array" ref="BW17">SUM(_xlfn.XLOOKUP($S17:$AL17,增益!$A:$A,增益!$W:$W,0))+$I$5</f>
        <v>0.11</v>
      </c>
      <c r="BX17" s="33" cm="1">
        <f t="array" ref="BX17">VLOOKUP($R17,武学奇术!$A:$ZZ,32,FALSE)+SUM(_xlfn.XLOOKUP($S17:$AL17,增益!$A:$A,增益!$X:$X,0))</f>
        <v>0</v>
      </c>
    </row>
    <row r="18" ht="14.25" spans="1:76">
      <c r="A18" s="49" t="s">
        <v>137</v>
      </c>
      <c r="B18" s="78">
        <f>期望!B18</f>
        <v>0</v>
      </c>
      <c r="C18" s="47" t="s">
        <v>138</v>
      </c>
      <c r="D18" s="85" t="s">
        <v>152</v>
      </c>
      <c r="E18" s="47" t="s">
        <v>63</v>
      </c>
      <c r="F18" s="92">
        <f>$B$8*($B$9+$B$11)</f>
        <v>0.86580831</v>
      </c>
      <c r="L18" s="46">
        <f t="shared" si="0"/>
        <v>20290.3672571294</v>
      </c>
      <c r="M18" s="46">
        <f>((($AT18+$AU18)/2*$AN18+$AO18)*(1+$AV18)*(1+$AW18)+(($AY18+$AZ18)/2*IF($G$1="鸣金",$AP18,$AN18)+IF($G$1="鸣金",$AQ18*1.5,0))*(1+$BA18)*(1+$BB18)+(($BC18+$BD18)/2*IF($G$1="裂石",$AP18,$AN18)+IF($G$1="裂石",$AQ18*1.5,0))*(1+$BE18)*(1+$BF18)+(($BG18+$BH18)/2*IF($G$1="牵丝",$AP18,$AN18)+IF($G$1="牵丝",$AQ18*1.5,0))*(1+$BI18)*(1+$BJ18)+(($BK18+$BL18)/2*IF($G$1="破竹",$AP18,$AN18)+IF($G$1="破竹",$AQ18*1.5,0))*(1+$BM18)*(1+$BN18))*(1+$AR18)*$BQ18*$Q18*(1+IF(VLOOKUP($R18,武学奇术!$A:$ZZ,30,FALSE)="蓄力技",$B$21,0))*(1+IF(VLOOKUP($R18,武学奇术!$A:$ZZ,30,FALSE)="派生技",$B$20,0))*(1+$BW18)*(1+$BX18)</f>
        <v>21134.3427978846</v>
      </c>
      <c r="N18" s="46">
        <f>(($AU18*$AN18+$AO18)*(1+$AV18)*(1+$AW18)+($AZ18*IF($G$1="鸣金",$AP18,$AN18)+IF($G$1="鸣金",$AQ18*1.5,0))*(1+$BA18)*(1+$BB18)+($BD18*IF($G$1="裂石",$AP18,$AN18)+IF($G$1="裂石",$AQ18*1.5,0))*(1+$BE18)*(1+$BF18)+($BH18*IF($G$1="牵丝",$AP18,$AN18)+IF($G$1="牵丝",$AQ18*1.5,0))*(1+$BI18)*(1+$BJ18)+($BL18*IF($G$1="破竹",$AP18,$AN18)+IF($G$1="破竹",$AQ18*1.5,0))*(1+$BM18)*(1+$BN18))*(1+$AR18)*$BS18*$Q18*(1+IF(VLOOKUP($R18,武学奇术!$A:$ZZ,30,FALSE)="蓄力技",$B$21,0))*(1+IF(VLOOKUP($R18,武学奇术!$A:$ZZ,30,FALSE)="派生技",$B$20,0))*(1+$BW18)*(1+$BX18)</f>
        <v>17010.9877381934</v>
      </c>
      <c r="O18" s="46">
        <f>((($AT18+$AU18)/2*$AN18+$AO18)*(1+$AV18)*(1+$AW18)+(($AY18+$AZ18)/2*IF($G$1="鸣金",$AP18,$AN18)+IF($G$1="鸣金",$AQ18*1.5,0))*(1+$BA18)*(1+$BB18)+(($BC18+$BD18)/2*IF($G$1="裂石",$AP18,$AN18)+IF($G$1="裂石",$AQ18*1.5,0))*(1+$BE18)*(1+$BF18)+(($BG18+$BH18)/2*IF($G$1="牵丝",$AP18,$AN18)+IF($G$1="牵丝",$AQ18*1.5,0))*(1+$BI18)*(1+$BJ18)+(($BK18+$BL18)/2*IF($G$1="破竹",$AP18,$AN18)+IF($G$1="破竹",$AQ18*1.5,0))*(1+$BM18)*(1+$BN18))*(1+$AR18)*$Q18*(1+IF(VLOOKUP($R18,武学奇术!$A:$ZZ,30,FALSE)="蓄力技",$B$21,0))*(1+IF(VLOOKUP($R18,武学奇术!$A:$ZZ,30,FALSE)="派生技",$B$20,0))*(1+$BW18)*(1+$BX18)</f>
        <v>11007.4702072315</v>
      </c>
      <c r="P18" s="46">
        <f>((($AT18*$AN18+$AO18)*(1+$AV18)*(1+$AW18)+($AY18*IF($G$1="鸣金",$AP18,$AN18)+IF($G$1="鸣金",$AQ18*1.5,0))*(1+$BA18)*(1+$BB18)+($BC18*IF($G$1="裂石",$AP18,$AN18)+IF($G$1="裂石",$AQ18*1.5,0))*(1+$BE18)*(1+$BF18)+($BG18*IF($G$1="牵丝",$AP18,$AN18)+IF($G$1="牵丝",$AQ18*1.5,0))*(1+$BI18)*(1+$BJ18)+($BK18*IF($G$1="破竹",$AP18,$AN18)+IF($G$1="破竹",$AQ18*1.5,0))*(1+$BM18)*(1+$BN18))*(1+$AR18))*$Q18*(1+IF(VLOOKUP($R18,武学奇术!$A:$ZZ,30,FALSE)="蓄力技",$B$21,0))*(1+IF(VLOOKUP($R18,武学奇术!$A:$ZZ,30,FALSE)="派生技",$B$20,0))*(1+$BW18)*(1+$BX18)</f>
        <v>9414.20875654209</v>
      </c>
      <c r="Q18" s="47">
        <f t="shared" ref="Q18:Q67" si="13">IF($E$24="陌刀",1,0)</f>
        <v>1</v>
      </c>
      <c r="R18" s="48" t="s">
        <v>140</v>
      </c>
      <c r="S18" s="48" t="s">
        <v>88</v>
      </c>
      <c r="T18" s="48" t="s">
        <v>89</v>
      </c>
      <c r="U18" s="48" t="s">
        <v>79</v>
      </c>
      <c r="V18" s="48" t="s">
        <v>90</v>
      </c>
      <c r="W18" s="48" t="s">
        <v>141</v>
      </c>
      <c r="X18" s="48" t="s">
        <v>80</v>
      </c>
      <c r="Y18" s="48" t="s">
        <v>74</v>
      </c>
      <c r="Z18" s="48" t="s">
        <v>142</v>
      </c>
      <c r="AA18" s="48" t="s">
        <v>80</v>
      </c>
      <c r="AB18" s="48" t="s">
        <v>80</v>
      </c>
      <c r="AC18" s="48" t="s">
        <v>80</v>
      </c>
      <c r="AD18" s="48" t="s">
        <v>80</v>
      </c>
      <c r="AE18" s="48" t="s">
        <v>80</v>
      </c>
      <c r="AF18" s="48" t="s">
        <v>83</v>
      </c>
      <c r="AG18" s="48" t="s">
        <v>84</v>
      </c>
      <c r="AH18" s="48" t="s">
        <v>80</v>
      </c>
      <c r="AI18" s="48" t="s">
        <v>80</v>
      </c>
      <c r="AJ18" s="48" t="s">
        <v>80</v>
      </c>
      <c r="AK18" s="48" t="s">
        <v>80</v>
      </c>
      <c r="AL18" s="48" t="s">
        <v>80</v>
      </c>
      <c r="AM18" t="str">
        <f>VLOOKUP($R18,武学奇术!$A:$ZZ,25,FALSE)</f>
        <v>陌刀</v>
      </c>
      <c r="AN18" s="33">
        <f>VLOOKUP($R18,武学奇术!$A:$ZZ,26,FALSE)</f>
        <v>0.525</v>
      </c>
      <c r="AO18" s="34">
        <f>VLOOKUP($R18,武学奇术!$A:$ZZ,27,FALSE)*(1+IF(OR($AM18=$F$4,$AM18=$F$5),$B$22,0))</f>
        <v>0</v>
      </c>
      <c r="AP18" s="33">
        <f>VLOOKUP($R18,武学奇术!$A:$ZZ,28,FALSE)</f>
        <v>0.7875</v>
      </c>
      <c r="AQ18" s="34">
        <f>VLOOKUP($R18,武学奇术!$A:$ZZ,29,FALSE)*(1+IF(OR($AM18=$F$4,$AM18=$F$5),$B$22,0))</f>
        <v>0</v>
      </c>
      <c r="AR18" s="33" cm="1">
        <f t="array" ref="AR18">$G$3+IFERROR(VLOOKUP($AM18,$F$4:$G$7,2,FALSE),0)+VLOOKUP($R18,武学奇术!$A:$ZZ,2,FALSE)+SUM(_xlfn.XLOOKUP($S18:$AL18,增益!$A:$A,增益!$B:$B,0))</f>
        <v>0.6443</v>
      </c>
      <c r="AS18" s="33" cm="1">
        <f t="array" ref="AS18">VLOOKUP($R18,武学奇术!$A:$ZZ,5,FALSE)+SUM(_xlfn.XLOOKUP($S18:$AL18,增益!$A:$A,增益!$E:$E,0))</f>
        <v>0</v>
      </c>
      <c r="AT18" cm="1">
        <f t="array" ref="AT18">$D$10*(1+$AS18)+VLOOKUP($R18,武学奇术!$A:$ZZ,3,FALSE)+SUM(_xlfn.XLOOKUP($S18:$AL18,增益!$A:$A,增益!$C:$C,0))-$I$2</f>
        <v>4026</v>
      </c>
      <c r="AU18" cm="1">
        <f t="array" ref="AU18">$E$10*(1+$AS18)+VLOOKUP($R18,武学奇术!$A:$ZZ,4,FALSE)+SUM(_xlfn.XLOOKUP($S18:$AL18,增益!$A:$A,增益!$D:$D,0))-$I$2</f>
        <v>4026</v>
      </c>
      <c r="AV18" s="40" cm="1">
        <f t="array" ref="AV18">IF($F$10-$I$3+VLOOKUP($R18,武学奇术!$A:$ZZ,6,FALSE)+SUM(_xlfn.XLOOKUP($S18:$AL18,增益!$A:$A,增益!$F:$F,0))&gt;0,($F$10-$I$3+VLOOKUP($R18,武学奇术!$A:$ZZ,6,FALSE)+SUM(_xlfn.XLOOKUP($S18:$AL18,增益!$A:$A,增益!$F:$F,0)))/200,($F$10-$I$3+VLOOKUP($R18,武学奇术!$A:$ZZ,6,FALSE)+SUM(_xlfn.XLOOKUP($S18:$AL18,增益!$A:$A,增益!$F:$F,0)))/100)</f>
        <v>0.3334</v>
      </c>
      <c r="AW18" s="40" cm="1">
        <f t="array" ref="AW18">$G$10+VLOOKUP($R18,武学奇术!$A:$ZZ,7,FALSE)+SUM(_xlfn.XLOOKUP($S18:$AL18,增益!$A:$A,增益!$G:$G,0))</f>
        <v>0.12</v>
      </c>
      <c r="AX18" s="33" cm="1">
        <f t="array" ref="AX18">VLOOKUP($R18,武学奇术!$A:$ZZ,8,FALSE)+SUM(_xlfn.XLOOKUP($S18:$AL18,增益!$A:$A,增益!$H:$H,0))</f>
        <v>0</v>
      </c>
      <c r="AY18">
        <f t="shared" si="2"/>
        <v>0</v>
      </c>
      <c r="AZ18">
        <f t="shared" si="3"/>
        <v>0</v>
      </c>
      <c r="BA18" s="40" cm="1">
        <f t="array" ref="BA18">IF($F$11-$I$4+VLOOKUP($R18,武学奇术!$A:$ZZ,9,FALSE)+SUM(_xlfn.XLOOKUP($S18:$AL18,增益!$A:$A,增益!$I:$I,0))&gt;0,($F$11-$I$4+VLOOKUP($R18,武学奇术!$A:$ZZ,9,FALSE)+SUM(_xlfn.XLOOKUP($S18:$AL18,增益!$A:$A,增益!$I:$I,0)))/200,($F$11-$I$4+VLOOKUP($R18,武学奇术!$A:$ZZ,9,FALSE)+SUM(_xlfn.XLOOKUP($S18:$AL18,增益!$A:$A,增益!$I:$I,0)))/100)</f>
        <v>-0.14</v>
      </c>
      <c r="BB18" s="40" cm="1">
        <f t="array" ref="BB18">$G$11+VLOOKUP($R18,武学奇术!$A:$ZZ,10,FALSE)+SUM(_xlfn.XLOOKUP($S18:$AL18,增益!$A:$A,增益!$J:$J,0))</f>
        <v>0</v>
      </c>
      <c r="BC18">
        <f t="shared" si="4"/>
        <v>640.3</v>
      </c>
      <c r="BD18">
        <f t="shared" si="5"/>
        <v>1770.1</v>
      </c>
      <c r="BE18" s="40" cm="1">
        <f t="array" ref="BE18">IF($F$12-$I$4+VLOOKUP($R18,武学奇术!$A:$ZZ,11,FALSE)+SUM(_xlfn.XLOOKUP($S18:$AL18,增益!$A:$A,增益!$K:$K,0))&gt;0,($F$12-$I$4+VLOOKUP($R18,武学奇术!$A:$ZZ,11,FALSE)+SUM(_xlfn.XLOOKUP($S18:$AL18,增益!$A:$A,增益!$K:$K,0)))/200,($F$12-$I$4+VLOOKUP($R18,武学奇术!$A:$ZZ,11,FALSE)+SUM(_xlfn.XLOOKUP($S18:$AL18,增益!$A:$A,增益!$K:$K,0)))/100)</f>
        <v>0.17</v>
      </c>
      <c r="BF18" s="40" cm="1">
        <f t="array" ref="BF18">$G$12+VLOOKUP($R18,武学奇术!$A:$ZZ,12,FALSE)+SUM(_xlfn.XLOOKUP($S18:$AL18,增益!$A:$A,增益!$L:$L,0))</f>
        <v>0.27</v>
      </c>
      <c r="BG18">
        <f t="shared" si="6"/>
        <v>0</v>
      </c>
      <c r="BH18">
        <f t="shared" si="7"/>
        <v>0</v>
      </c>
      <c r="BI18" s="40" cm="1">
        <f t="array" ref="BI18">IF($F$13-$I$4+VLOOKUP($R18,武学奇术!$A:$ZZ,13,FALSE)+SUM(_xlfn.XLOOKUP($S18:$AL18,增益!$A:$A,增益!$M:$M,0))&gt;0,($F$13-$I$4+VLOOKUP($R18,武学奇术!$A:$ZZ,13,FALSE)+SUM(_xlfn.XLOOKUP($S18:$AL18,增益!$A:$A,增益!$K:$K,0)))/200,($F$13-$I$4+VLOOKUP($R18,武学奇术!$A:$ZZ,13,FALSE)+SUM(_xlfn.XLOOKUP($S18:$AL18,增益!$A:$A,增益!$M:$M,0)))/100)</f>
        <v>-0.14</v>
      </c>
      <c r="BJ18" s="40" cm="1">
        <f t="array" ref="BJ18">$G$13+VLOOKUP($R18,武学奇术!$A:$ZZ,14,FALSE)+SUM(_xlfn.XLOOKUP($S18:$AL18,增益!$A:$A,增益!$N:$N,0))</f>
        <v>0</v>
      </c>
      <c r="BK18">
        <f t="shared" si="8"/>
        <v>0</v>
      </c>
      <c r="BL18">
        <f t="shared" si="9"/>
        <v>0</v>
      </c>
      <c r="BM18" s="40" cm="1">
        <f t="array" ref="BM18">IF($F$14-$I$4+VLOOKUP($R18,武学奇术!$A:$ZZ,15,FALSE)+SUM(_xlfn.XLOOKUP($S18:$AL18,增益!$A:$A,增益!$O:$O,0))&gt;0,($F$14-$I$4+VLOOKUP($R18,武学奇术!$A:$ZZ,15,FALSE)+SUM(_xlfn.XLOOKUP($S18:$AL18,增益!$A:$A,增益!$O:$O,0)))/200,($F$14-$I$4+VLOOKUP($R18,武学奇术!$A:$ZZ,15,FALSE)+SUM(_xlfn.XLOOKUP($S18:$AL18,增益!$A:$A,增益!$O:$O,0)))/100)</f>
        <v>-0.14</v>
      </c>
      <c r="BN18" s="40" cm="1">
        <f t="array" ref="BN18">$G$14+VLOOKUP($R18,武学奇术!$A:$ZZ,16,FALSE)+SUM(_xlfn.XLOOKUP($S18:$AL18,增益!$A:$A,增益!$P:$P,0))</f>
        <v>0</v>
      </c>
      <c r="BO18" s="33">
        <f>MIN(IF(VLOOKUP($R18,武学奇术!$A:$ZZ,23,FALSE)=1,100%,$B$8),100%)</f>
        <v>0.9771</v>
      </c>
      <c r="BP18" s="33" cm="1">
        <f t="array" ref="BP18">IF(VLOOKUP($R18,武学奇术!$A:$ZZ,23,FALSE)=1,100%,MIN(80%,$B$9+VLOOKUP($R18,武学奇术!$A:$ZZ,17,FALSE)+SUM(_xlfn.XLOOKUP($S18:$AL18,增益!$A:$A,增益!$Q:$Q,0)))+$B$11+SUM(_xlfn.XLOOKUP($S18:$AL18,增益!$A:$A,增益!$U:$U,0)))*IF(VLOOKUP($R18,武学奇术!$A:$ZZ,24,FALSE)=1,0,1)</f>
        <v>0.8861</v>
      </c>
      <c r="BQ18" s="33" cm="1">
        <f t="array" ref="BQ18">1+$B$13+VLOOKUP($R18,武学奇术!$A:$ZZ,18,FALSE)+SUM(_xlfn.XLOOKUP($S18:$AL18,增益!$A:$A,增益!$R:$R,0))</f>
        <v>1.92</v>
      </c>
      <c r="BR18" s="33" cm="1">
        <f t="array" ref="BR18">IF(VLOOKUP($R18,武学奇术!$A:$ZZ,24,FALSE)=1,100%,MIN(40%,$B$10+VLOOKUP($R18,武学奇术!$A:$ZZ,19,FALSE)+SUM(_xlfn.XLOOKUP($S18:$AL18,增益!$A:$A,增益!$S:$S,0)))+$B$12+SUM(_xlfn.XLOOKUP($S18:$AL18,增益!$A:$A,增益!$V:$V,0)))*IF(VLOOKUP($R18,武学奇术!$A:$ZZ,23,FALSE)=1,0,1)</f>
        <v>0.0913</v>
      </c>
      <c r="BS18" s="33" cm="1">
        <f t="array" ref="BS18">1+$B$14+VLOOKUP($R18,武学奇术!$A:$ZZ,20,FALSE)+SUM(_xlfn.XLOOKUP($S18:$AL18,增益!$A:$A,增益!$T:$T,0))</f>
        <v>1.35</v>
      </c>
      <c r="BT18" s="33">
        <f t="shared" si="10"/>
        <v>0.86580831</v>
      </c>
      <c r="BU18" s="33">
        <f t="shared" si="11"/>
        <v>0.02208246</v>
      </c>
      <c r="BV18" s="33">
        <f>IF(VLOOKUP($R18,武学奇术!$A:$ZZ,22,FALSE)=1,0,(1-$BO18))*(1-$BR18)</f>
        <v>0.02080923</v>
      </c>
      <c r="BW18" s="33" cm="1">
        <f t="array" ref="BW18">SUM(_xlfn.XLOOKUP($S18:$AL18,增益!$A:$A,增益!$W:$W,0))+$I$5</f>
        <v>0.11</v>
      </c>
      <c r="BX18" s="33" cm="1">
        <f t="array" ref="BX18">VLOOKUP($R18,武学奇术!$A:$ZZ,32,FALSE)+SUM(_xlfn.XLOOKUP($S18:$AL18,增益!$A:$A,增益!$X:$X,0))</f>
        <v>0</v>
      </c>
    </row>
    <row r="19" spans="1:76">
      <c r="A19" s="49" t="s">
        <v>143</v>
      </c>
      <c r="B19" s="78">
        <f>期望!B19</f>
        <v>0</v>
      </c>
      <c r="L19" s="46">
        <f t="shared" si="0"/>
        <v>40023.1616734939</v>
      </c>
      <c r="M19" s="46">
        <f>((($AT19+$AU19)/2*$AN19+$AO19)*(1+$AV19)*(1+$AW19)+(($AY19+$AZ19)/2*IF($G$1="鸣金",$AP19,$AN19)+IF($G$1="鸣金",$AQ19*1.5,0))*(1+$BA19)*(1+$BB19)+(($BC19+$BD19)/2*IF($G$1="裂石",$AP19,$AN19)+IF($G$1="裂石",$AQ19*1.5,0))*(1+$BE19)*(1+$BF19)+(($BG19+$BH19)/2*IF($G$1="牵丝",$AP19,$AN19)+IF($G$1="牵丝",$AQ19*1.5,0))*(1+$BI19)*(1+$BJ19)+(($BK19+$BL19)/2*IF($G$1="破竹",$AP19,$AN19)+IF($G$1="破竹",$AQ19*1.5,0))*(1+$BM19)*(1+$BN19))*(1+$AR19)*$BQ19*$Q19*(1+IF(VLOOKUP($R19,武学奇术!$A:$ZZ,30,FALSE)="蓄力技",$B$21,0))*(1+IF(VLOOKUP($R19,武学奇术!$A:$ZZ,30,FALSE)="派生技",$B$20,0))*(1+$BW19)*(1+$BX19)</f>
        <v>40023.1616734939</v>
      </c>
      <c r="N19" s="46">
        <f>(($AU19*$AN19+$AO19)*(1+$AV19)*(1+$AW19)+($AZ19*IF($G$1="鸣金",$AP19,$AN19)+IF($G$1="鸣金",$AQ19*1.5,0))*(1+$BA19)*(1+$BB19)+($BD19*IF($G$1="裂石",$AP19,$AN19)+IF($G$1="裂石",$AQ19*1.5,0))*(1+$BE19)*(1+$BF19)+($BH19*IF($G$1="牵丝",$AP19,$AN19)+IF($G$1="牵丝",$AQ19*1.5,0))*(1+$BI19)*(1+$BJ19)+($BL19*IF($G$1="破竹",$AP19,$AN19)+IF($G$1="破竹",$AQ19*1.5,0))*(1+$BM19)*(1+$BN19))*(1+$AR19)*$BS19*$Q19*(1+IF(VLOOKUP($R19,武学奇术!$A:$ZZ,30,FALSE)="蓄力技",$B$21,0))*(1+IF(VLOOKUP($R19,武学奇术!$A:$ZZ,30,FALSE)="派生技",$B$20,0))*(1+$BW19)*(1+$BX19)</f>
        <v>30619.7779287481</v>
      </c>
      <c r="O19" s="46">
        <f>((($AT19+$AU19)/2*$AN19+$AO19)*(1+$AV19)*(1+$AW19)+(($AY19+$AZ19)/2*IF($G$1="鸣金",$AP19,$AN19)+IF($G$1="鸣金",$AQ19*1.5,0))*(1+$BA19)*(1+$BB19)+(($BC19+$BD19)/2*IF($G$1="裂石",$AP19,$AN19)+IF($G$1="裂石",$AQ19*1.5,0))*(1+$BE19)*(1+$BF19)+(($BG19+$BH19)/2*IF($G$1="牵丝",$AP19,$AN19)+IF($G$1="牵丝",$AQ19*1.5,0))*(1+$BI19)*(1+$BJ19)+(($BK19+$BL19)/2*IF($G$1="破竹",$AP19,$AN19)+IF($G$1="破竹",$AQ19*1.5,0))*(1+$BM19)*(1+$BN19))*(1+$AR19)*$Q19*(1+IF(VLOOKUP($R19,武学奇术!$A:$ZZ,30,FALSE)="蓄力技",$B$21,0))*(1+IF(VLOOKUP($R19,武学奇术!$A:$ZZ,30,FALSE)="派生技",$B$20,0))*(1+$BW19)*(1+$BX19)</f>
        <v>19813.4463730168</v>
      </c>
      <c r="P19" s="46">
        <f>((($AT19*$AN19+$AO19)*(1+$AV19)*(1+$AW19)+($AY19*IF($G$1="鸣金",$AP19,$AN19)+IF($G$1="鸣金",$AQ19*1.5,0))*(1+$BA19)*(1+$BB19)+($BC19*IF($G$1="裂石",$AP19,$AN19)+IF($G$1="裂石",$AQ19*1.5,0))*(1+$BE19)*(1+$BF19)+($BG19*IF($G$1="牵丝",$AP19,$AN19)+IF($G$1="牵丝",$AQ19*1.5,0))*(1+$BI19)*(1+$BJ19)+($BK19*IF($G$1="破竹",$AP19,$AN19)+IF($G$1="破竹",$AQ19*1.5,0))*(1+$BM19)*(1+$BN19))*(1+$AR19))*$Q19*(1+IF(VLOOKUP($R19,武学奇术!$A:$ZZ,30,FALSE)="蓄力技",$B$21,0))*(1+IF(VLOOKUP($R19,武学奇术!$A:$ZZ,30,FALSE)="派生技",$B$20,0))*(1+$BW19)*(1+$BX19)</f>
        <v>16945.5757617758</v>
      </c>
      <c r="Q19" s="47">
        <f t="shared" si="13"/>
        <v>1</v>
      </c>
      <c r="R19" s="48" t="s">
        <v>144</v>
      </c>
      <c r="S19" s="48" t="s">
        <v>88</v>
      </c>
      <c r="T19" s="48" t="s">
        <v>89</v>
      </c>
      <c r="U19" s="48" t="s">
        <v>79</v>
      </c>
      <c r="V19" s="48" t="s">
        <v>90</v>
      </c>
      <c r="W19" s="48" t="s">
        <v>141</v>
      </c>
      <c r="X19" s="48" t="s">
        <v>145</v>
      </c>
      <c r="Y19" s="48" t="s">
        <v>74</v>
      </c>
      <c r="Z19" s="48" t="s">
        <v>142</v>
      </c>
      <c r="AA19" s="48" t="s">
        <v>80</v>
      </c>
      <c r="AB19" s="48" t="s">
        <v>80</v>
      </c>
      <c r="AC19" s="48" t="s">
        <v>80</v>
      </c>
      <c r="AD19" s="48" t="s">
        <v>80</v>
      </c>
      <c r="AE19" s="48" t="s">
        <v>80</v>
      </c>
      <c r="AF19" s="48" t="s">
        <v>83</v>
      </c>
      <c r="AG19" s="48" t="s">
        <v>84</v>
      </c>
      <c r="AH19" s="48" t="s">
        <v>80</v>
      </c>
      <c r="AI19" s="48" t="s">
        <v>80</v>
      </c>
      <c r="AJ19" s="48" t="s">
        <v>80</v>
      </c>
      <c r="AK19" s="48" t="s">
        <v>80</v>
      </c>
      <c r="AL19" s="48" t="s">
        <v>80</v>
      </c>
      <c r="AM19" t="str">
        <f>VLOOKUP($R19,武学奇术!$A:$ZZ,25,FALSE)</f>
        <v>陌刀</v>
      </c>
      <c r="AN19" s="33">
        <f>VLOOKUP($R19,武学奇术!$A:$ZZ,26,FALSE)</f>
        <v>0.945</v>
      </c>
      <c r="AO19" s="34">
        <f>VLOOKUP($R19,武学奇术!$A:$ZZ,27,FALSE)*(1+IF(OR($AM19=$F$4,$AM19=$F$5),$B$22,0))</f>
        <v>0</v>
      </c>
      <c r="AP19" s="33">
        <f>VLOOKUP($R19,武学奇术!$A:$ZZ,28,FALSE)</f>
        <v>1.4175</v>
      </c>
      <c r="AQ19" s="34">
        <f>VLOOKUP($R19,武学奇术!$A:$ZZ,29,FALSE)*(1+IF(OR($AM19=$F$4,$AM19=$F$5),$B$22,0))</f>
        <v>0</v>
      </c>
      <c r="AR19" s="33" cm="1">
        <f t="array" ref="AR19">$G$3+IFERROR(VLOOKUP($AM19,$F$4:$G$7,2,FALSE),0)+VLOOKUP($R19,武学奇术!$A:$ZZ,2,FALSE)+SUM(_xlfn.XLOOKUP($S19:$AL19,增益!$A:$A,增益!$B:$B,0))</f>
        <v>0.6443</v>
      </c>
      <c r="AS19" s="33" cm="1">
        <f t="array" ref="AS19">VLOOKUP($R19,武学奇术!$A:$ZZ,5,FALSE)+SUM(_xlfn.XLOOKUP($S19:$AL19,增益!$A:$A,增益!$E:$E,0))</f>
        <v>0</v>
      </c>
      <c r="AT19" cm="1">
        <f t="array" ref="AT19">$D$10*(1+$AS19)+VLOOKUP($R19,武学奇术!$A:$ZZ,3,FALSE)+SUM(_xlfn.XLOOKUP($S19:$AL19,增益!$A:$A,增益!$C:$C,0))-$I$2</f>
        <v>4026</v>
      </c>
      <c r="AU19" cm="1">
        <f t="array" ref="AU19">$E$10*(1+$AS19)+VLOOKUP($R19,武学奇术!$A:$ZZ,4,FALSE)+SUM(_xlfn.XLOOKUP($S19:$AL19,增益!$A:$A,增益!$D:$D,0))-$I$2</f>
        <v>4026</v>
      </c>
      <c r="AV19" s="40" cm="1">
        <f t="array" ref="AV19">IF($F$10-$I$3+VLOOKUP($R19,武学奇术!$A:$ZZ,6,FALSE)+SUM(_xlfn.XLOOKUP($S19:$AL19,增益!$A:$A,增益!$F:$F,0))&gt;0,($F$10-$I$3+VLOOKUP($R19,武学奇术!$A:$ZZ,6,FALSE)+SUM(_xlfn.XLOOKUP($S19:$AL19,增益!$A:$A,增益!$F:$F,0)))/200,($F$10-$I$3+VLOOKUP($R19,武学奇术!$A:$ZZ,6,FALSE)+SUM(_xlfn.XLOOKUP($S19:$AL19,增益!$A:$A,增益!$F:$F,0)))/100)</f>
        <v>0.3334</v>
      </c>
      <c r="AW19" s="40" cm="1">
        <f t="array" ref="AW19">$G$10+VLOOKUP($R19,武学奇术!$A:$ZZ,7,FALSE)+SUM(_xlfn.XLOOKUP($S19:$AL19,增益!$A:$A,增益!$G:$G,0))</f>
        <v>0.12</v>
      </c>
      <c r="AX19" s="33" cm="1">
        <f t="array" ref="AX19">VLOOKUP($R19,武学奇术!$A:$ZZ,8,FALSE)+SUM(_xlfn.XLOOKUP($S19:$AL19,增益!$A:$A,增益!$H:$H,0))</f>
        <v>0</v>
      </c>
      <c r="AY19">
        <f t="shared" si="2"/>
        <v>0</v>
      </c>
      <c r="AZ19">
        <f t="shared" si="3"/>
        <v>0</v>
      </c>
      <c r="BA19" s="40" cm="1">
        <f t="array" ref="BA19">IF($F$11-$I$4+VLOOKUP($R19,武学奇术!$A:$ZZ,9,FALSE)+SUM(_xlfn.XLOOKUP($S19:$AL19,增益!$A:$A,增益!$I:$I,0))&gt;0,($F$11-$I$4+VLOOKUP($R19,武学奇术!$A:$ZZ,9,FALSE)+SUM(_xlfn.XLOOKUP($S19:$AL19,增益!$A:$A,增益!$I:$I,0)))/200,($F$11-$I$4+VLOOKUP($R19,武学奇术!$A:$ZZ,9,FALSE)+SUM(_xlfn.XLOOKUP($S19:$AL19,增益!$A:$A,增益!$I:$I,0)))/100)</f>
        <v>-0.14</v>
      </c>
      <c r="BB19" s="40" cm="1">
        <f t="array" ref="BB19">$G$11+VLOOKUP($R19,武学奇术!$A:$ZZ,10,FALSE)+SUM(_xlfn.XLOOKUP($S19:$AL19,增益!$A:$A,增益!$J:$J,0))</f>
        <v>0</v>
      </c>
      <c r="BC19">
        <f t="shared" si="4"/>
        <v>640.3</v>
      </c>
      <c r="BD19">
        <f t="shared" si="5"/>
        <v>1770.1</v>
      </c>
      <c r="BE19" s="40" cm="1">
        <f t="array" ref="BE19">IF($F$12-$I$4+VLOOKUP($R19,武学奇术!$A:$ZZ,11,FALSE)+SUM(_xlfn.XLOOKUP($S19:$AL19,增益!$A:$A,增益!$K:$K,0))&gt;0,($F$12-$I$4+VLOOKUP($R19,武学奇术!$A:$ZZ,11,FALSE)+SUM(_xlfn.XLOOKUP($S19:$AL19,增益!$A:$A,增益!$K:$K,0)))/200,($F$12-$I$4+VLOOKUP($R19,武学奇术!$A:$ZZ,11,FALSE)+SUM(_xlfn.XLOOKUP($S19:$AL19,增益!$A:$A,增益!$K:$K,0)))/100)</f>
        <v>0.17</v>
      </c>
      <c r="BF19" s="40" cm="1">
        <f t="array" ref="BF19">$G$12+VLOOKUP($R19,武学奇术!$A:$ZZ,12,FALSE)+SUM(_xlfn.XLOOKUP($S19:$AL19,增益!$A:$A,增益!$L:$L,0))</f>
        <v>0.27</v>
      </c>
      <c r="BG19">
        <f t="shared" si="6"/>
        <v>0</v>
      </c>
      <c r="BH19">
        <f t="shared" si="7"/>
        <v>0</v>
      </c>
      <c r="BI19" s="40" cm="1">
        <f t="array" ref="BI19">IF($F$13-$I$4+VLOOKUP($R19,武学奇术!$A:$ZZ,13,FALSE)+SUM(_xlfn.XLOOKUP($S19:$AL19,增益!$A:$A,增益!$M:$M,0))&gt;0,($F$13-$I$4+VLOOKUP($R19,武学奇术!$A:$ZZ,13,FALSE)+SUM(_xlfn.XLOOKUP($S19:$AL19,增益!$A:$A,增益!$K:$K,0)))/200,($F$13-$I$4+VLOOKUP($R19,武学奇术!$A:$ZZ,13,FALSE)+SUM(_xlfn.XLOOKUP($S19:$AL19,增益!$A:$A,增益!$M:$M,0)))/100)</f>
        <v>-0.14</v>
      </c>
      <c r="BJ19" s="40" cm="1">
        <f t="array" ref="BJ19">$G$13+VLOOKUP($R19,武学奇术!$A:$ZZ,14,FALSE)+SUM(_xlfn.XLOOKUP($S19:$AL19,增益!$A:$A,增益!$N:$N,0))</f>
        <v>0</v>
      </c>
      <c r="BK19">
        <f t="shared" si="8"/>
        <v>0</v>
      </c>
      <c r="BL19">
        <f t="shared" si="9"/>
        <v>0</v>
      </c>
      <c r="BM19" s="40" cm="1">
        <f t="array" ref="BM19">IF($F$14-$I$4+VLOOKUP($R19,武学奇术!$A:$ZZ,15,FALSE)+SUM(_xlfn.XLOOKUP($S19:$AL19,增益!$A:$A,增益!$O:$O,0))&gt;0,($F$14-$I$4+VLOOKUP($R19,武学奇术!$A:$ZZ,15,FALSE)+SUM(_xlfn.XLOOKUP($S19:$AL19,增益!$A:$A,增益!$O:$O,0)))/200,($F$14-$I$4+VLOOKUP($R19,武学奇术!$A:$ZZ,15,FALSE)+SUM(_xlfn.XLOOKUP($S19:$AL19,增益!$A:$A,增益!$O:$O,0)))/100)</f>
        <v>-0.14</v>
      </c>
      <c r="BN19" s="40" cm="1">
        <f t="array" ref="BN19">$G$14+VLOOKUP($R19,武学奇术!$A:$ZZ,16,FALSE)+SUM(_xlfn.XLOOKUP($S19:$AL19,增益!$A:$A,增益!$P:$P,0))</f>
        <v>0</v>
      </c>
      <c r="BO19" s="33">
        <f>MIN(IF(VLOOKUP($R19,武学奇术!$A:$ZZ,23,FALSE)=1,100%,$B$8),100%)</f>
        <v>1</v>
      </c>
      <c r="BP19" s="33" cm="1">
        <f t="array" ref="BP19">IF(VLOOKUP($R19,武学奇术!$A:$ZZ,23,FALSE)=1,100%,MIN(80%,$B$9+VLOOKUP($R19,武学奇术!$A:$ZZ,17,FALSE)+SUM(_xlfn.XLOOKUP($S19:$AL19,增益!$A:$A,增益!$Q:$Q,0)))+$B$11+SUM(_xlfn.XLOOKUP($S19:$AL19,增益!$A:$A,增益!$U:$U,0)))*IF(VLOOKUP($R19,武学奇术!$A:$ZZ,24,FALSE)=1,0,1)</f>
        <v>1</v>
      </c>
      <c r="BQ19" s="33" cm="1">
        <f t="array" ref="BQ19">1+$B$13+VLOOKUP($R19,武学奇术!$A:$ZZ,18,FALSE)+SUM(_xlfn.XLOOKUP($S19:$AL19,增益!$A:$A,增益!$R:$R,0))</f>
        <v>2.02</v>
      </c>
      <c r="BR19" s="33" cm="1">
        <f t="array" ref="BR19">IF(VLOOKUP($R19,武学奇术!$A:$ZZ,24,FALSE)=1,100%,MIN(40%,$B$10+VLOOKUP($R19,武学奇术!$A:$ZZ,19,FALSE)+SUM(_xlfn.XLOOKUP($S19:$AL19,增益!$A:$A,增益!$S:$S,0)))+$B$12+SUM(_xlfn.XLOOKUP($S19:$AL19,增益!$A:$A,增益!$V:$V,0)))*IF(VLOOKUP($R19,武学奇术!$A:$ZZ,23,FALSE)=1,0,1)</f>
        <v>0</v>
      </c>
      <c r="BS19" s="33" cm="1">
        <f t="array" ref="BS19">1+$B$14+VLOOKUP($R19,武学奇术!$A:$ZZ,20,FALSE)+SUM(_xlfn.XLOOKUP($S19:$AL19,增益!$A:$A,增益!$T:$T,0))</f>
        <v>1.35</v>
      </c>
      <c r="BT19" s="33">
        <f t="shared" si="10"/>
        <v>1</v>
      </c>
      <c r="BU19" s="33">
        <f t="shared" si="11"/>
        <v>0</v>
      </c>
      <c r="BV19" s="33">
        <f>IF(VLOOKUP($R19,武学奇术!$A:$ZZ,22,FALSE)=1,0,(1-$BO19))*(1-$BR19)</f>
        <v>0</v>
      </c>
      <c r="BW19" s="33" cm="1">
        <f t="array" ref="BW19">SUM(_xlfn.XLOOKUP($S19:$AL19,增益!$A:$A,增益!$W:$W,0))+$I$5</f>
        <v>0.11</v>
      </c>
      <c r="BX19" s="33" cm="1">
        <f t="array" ref="BX19">VLOOKUP($R19,武学奇术!$A:$ZZ,32,FALSE)+SUM(_xlfn.XLOOKUP($S19:$AL19,增益!$A:$A,增益!$X:$X,0))</f>
        <v>0</v>
      </c>
    </row>
    <row r="20" spans="1:76">
      <c r="A20" s="49" t="s">
        <v>146</v>
      </c>
      <c r="B20" s="78">
        <f>期望!B20</f>
        <v>0</v>
      </c>
      <c r="C20" s="47" t="s">
        <v>147</v>
      </c>
      <c r="D20" s="85" t="s">
        <v>152</v>
      </c>
      <c r="L20" s="46">
        <f t="shared" si="0"/>
        <v>360208.02281047</v>
      </c>
      <c r="M20" s="46">
        <f>((($AT20+$AU20)/2*$AN20+$AO20)*(1+$AV20)*(1+$AW20)+(($AY20+$AZ20)/2*IF($G$1="鸣金",$AP20,$AN20)+IF($G$1="鸣金",$AQ20*1.5,0))*(1+$BA20)*(1+$BB20)+(($BC20+$BD20)/2*IF($G$1="裂石",$AP20,$AN20)+IF($G$1="裂石",$AQ20*1.5,0))*(1+$BE20)*(1+$BF20)+(($BG20+$BH20)/2*IF($G$1="牵丝",$AP20,$AN20)+IF($G$1="牵丝",$AQ20*1.5,0))*(1+$BI20)*(1+$BJ20)+(($BK20+$BL20)/2*IF($G$1="破竹",$AP20,$AN20)+IF($G$1="破竹",$AQ20*1.5,0))*(1+$BM20)*(1+$BN20))*(1+$AR20)*$BQ20*$Q20*(1+IF(VLOOKUP($R20,武学奇术!$A:$ZZ,30,FALSE)="蓄力技",$B$21,0))*(1+IF(VLOOKUP($R20,武学奇术!$A:$ZZ,30,FALSE)="派生技",$B$20,0))*(1+$BW20)*(1+$BX20)</f>
        <v>360208.02281047</v>
      </c>
      <c r="N20" s="46">
        <f>(($AU20*$AN20+$AO20)*(1+$AV20)*(1+$AW20)+($AZ20*IF($G$1="鸣金",$AP20,$AN20)+IF($G$1="鸣金",$AQ20*1.5,0))*(1+$BA20)*(1+$BB20)+($BD20*IF($G$1="裂石",$AP20,$AN20)+IF($G$1="裂石",$AQ20*1.5,0))*(1+$BE20)*(1+$BF20)+($BH20*IF($G$1="牵丝",$AP20,$AN20)+IF($G$1="牵丝",$AQ20*1.5,0))*(1+$BI20)*(1+$BJ20)+($BL20*IF($G$1="破竹",$AP20,$AN20)+IF($G$1="破竹",$AQ20*1.5,0))*(1+$BM20)*(1+$BN20))*(1+$AR20)*$BS20*$Q20*(1+IF(VLOOKUP($R20,武学奇术!$A:$ZZ,30,FALSE)="蓄力技",$B$21,0))*(1+IF(VLOOKUP($R20,武学奇术!$A:$ZZ,30,FALSE)="派生技",$B$20,0))*(1+$BW20)*(1+$BX20)</f>
        <v>271359.573920455</v>
      </c>
      <c r="O20" s="46">
        <f>((($AT20+$AU20)/2*$AN20+$AO20)*(1+$AV20)*(1+$AW20)+(($AY20+$AZ20)/2*IF($G$1="鸣金",$AP20,$AN20)+IF($G$1="鸣金",$AQ20*1.5,0))*(1+$BA20)*(1+$BB20)+(($BC20+$BD20)/2*IF($G$1="裂石",$AP20,$AN20)+IF($G$1="裂石",$AQ20*1.5,0))*(1+$BE20)*(1+$BF20)+(($BG20+$BH20)/2*IF($G$1="牵丝",$AP20,$AN20)+IF($G$1="牵丝",$AQ20*1.5,0))*(1+$BI20)*(1+$BJ20)+(($BK20+$BL20)/2*IF($G$1="破竹",$AP20,$AN20)+IF($G$1="破竹",$AQ20*1.5,0))*(1+$BM20)*(1+$BN20))*(1+$AR20)*$Q20*(1+IF(VLOOKUP($R20,武学奇术!$A:$ZZ,30,FALSE)="蓄力技",$B$21,0))*(1+IF(VLOOKUP($R20,武学奇术!$A:$ZZ,30,FALSE)="派生技",$B$20,0))*(1+$BW20)*(1+$BX20)</f>
        <v>178320.80337152</v>
      </c>
      <c r="P20" s="46">
        <f>((($AT20*$AN20+$AO20)*(1+$AV20)*(1+$AW20)+($AY20*IF($G$1="鸣金",$AP20,$AN20)+IF($G$1="鸣金",$AQ20*1.5,0))*(1+$BA20)*(1+$BB20)+($BC20*IF($G$1="裂石",$AP20,$AN20)+IF($G$1="裂石",$AQ20*1.5,0))*(1+$BE20)*(1+$BF20)+($BG20*IF($G$1="牵丝",$AP20,$AN20)+IF($G$1="牵丝",$AQ20*1.5,0))*(1+$BI20)*(1+$BJ20)+($BK20*IF($G$1="破竹",$AP20,$AN20)+IF($G$1="破竹",$AQ20*1.5,0))*(1+$BM20)*(1+$BN20))*(1+$AR20))*$Q20*(1+IF(VLOOKUP($R20,武学奇术!$A:$ZZ,30,FALSE)="蓄力技",$B$21,0))*(1+IF(VLOOKUP($R20,武学奇术!$A:$ZZ,30,FALSE)="派生技",$B$20,0))*(1+$BW20)*(1+$BX20)</f>
        <v>155634.51495011</v>
      </c>
      <c r="Q20" s="47">
        <f t="shared" si="13"/>
        <v>1</v>
      </c>
      <c r="R20" s="48" t="s">
        <v>148</v>
      </c>
      <c r="S20" s="48" t="s">
        <v>88</v>
      </c>
      <c r="T20" s="48" t="s">
        <v>89</v>
      </c>
      <c r="U20" s="48" t="s">
        <v>79</v>
      </c>
      <c r="V20" s="48" t="s">
        <v>90</v>
      </c>
      <c r="W20" s="48" t="s">
        <v>141</v>
      </c>
      <c r="X20" s="48" t="s">
        <v>145</v>
      </c>
      <c r="Y20" s="48" t="s">
        <v>74</v>
      </c>
      <c r="Z20" s="48" t="s">
        <v>149</v>
      </c>
      <c r="AA20" s="48" t="s">
        <v>80</v>
      </c>
      <c r="AB20" s="48" t="s">
        <v>80</v>
      </c>
      <c r="AC20" s="48" t="s">
        <v>80</v>
      </c>
      <c r="AD20" s="48" t="s">
        <v>80</v>
      </c>
      <c r="AE20" s="48" t="s">
        <v>80</v>
      </c>
      <c r="AF20" s="48" t="s">
        <v>83</v>
      </c>
      <c r="AG20" s="48" t="s">
        <v>84</v>
      </c>
      <c r="AH20" s="48" t="s">
        <v>80</v>
      </c>
      <c r="AI20" s="48" t="s">
        <v>80</v>
      </c>
      <c r="AJ20" s="48" t="s">
        <v>80</v>
      </c>
      <c r="AK20" s="48" t="s">
        <v>80</v>
      </c>
      <c r="AL20" s="48" t="s">
        <v>80</v>
      </c>
      <c r="AM20" t="str">
        <f>VLOOKUP($R20,武学奇术!$A:$ZZ,25,FALSE)</f>
        <v>陌刀</v>
      </c>
      <c r="AN20" s="33">
        <f>VLOOKUP($R20,武学奇术!$A:$ZZ,26,FALSE)</f>
        <v>7.5674</v>
      </c>
      <c r="AO20" s="34">
        <f>VLOOKUP($R20,武学奇术!$A:$ZZ,27,FALSE)*(1+IF(OR($AM20=$F$4,$AM20=$F$5),$B$22,0))</f>
        <v>3348.8</v>
      </c>
      <c r="AP20" s="33">
        <f>VLOOKUP($R20,武学奇术!$A:$ZZ,28,FALSE)</f>
        <v>11.3512</v>
      </c>
      <c r="AQ20" s="34">
        <f>VLOOKUP($R20,武学奇术!$A:$ZZ,29,FALSE)*(1+IF(OR($AM20=$F$4,$AM20=$F$5),$B$22,0))</f>
        <v>1824</v>
      </c>
      <c r="AR20" s="33" cm="1">
        <f t="array" ref="AR20">$G$3+IFERROR(VLOOKUP($AM20,$F$4:$G$7,2,FALSE),0)+VLOOKUP($R20,武学奇术!$A:$ZZ,2,FALSE)+SUM(_xlfn.XLOOKUP($S20:$AL20,增益!$A:$A,增益!$B:$B,0))</f>
        <v>0.6243</v>
      </c>
      <c r="AS20" s="33" cm="1">
        <f t="array" ref="AS20">VLOOKUP($R20,武学奇术!$A:$ZZ,5,FALSE)+SUM(_xlfn.XLOOKUP($S20:$AL20,增益!$A:$A,增益!$E:$E,0))</f>
        <v>0</v>
      </c>
      <c r="AT20" cm="1">
        <f t="array" ref="AT20">$D$10*(1+$AS20)+VLOOKUP($R20,武学奇术!$A:$ZZ,3,FALSE)+SUM(_xlfn.XLOOKUP($S20:$AL20,增益!$A:$A,增益!$C:$C,0))-$I$2</f>
        <v>4026</v>
      </c>
      <c r="AU20" cm="1">
        <f t="array" ref="AU20">$E$10*(1+$AS20)+VLOOKUP($R20,武学奇术!$A:$ZZ,4,FALSE)+SUM(_xlfn.XLOOKUP($S20:$AL20,增益!$A:$A,增益!$D:$D,0))-$I$2</f>
        <v>4026</v>
      </c>
      <c r="AV20" s="40" cm="1">
        <f t="array" ref="AV20">IF($F$10-$I$3+VLOOKUP($R20,武学奇术!$A:$ZZ,6,FALSE)+SUM(_xlfn.XLOOKUP($S20:$AL20,增益!$A:$A,增益!$F:$F,0))&gt;0,($F$10-$I$3+VLOOKUP($R20,武学奇术!$A:$ZZ,6,FALSE)+SUM(_xlfn.XLOOKUP($S20:$AL20,增益!$A:$A,增益!$F:$F,0)))/200,($F$10-$I$3+VLOOKUP($R20,武学奇术!$A:$ZZ,6,FALSE)+SUM(_xlfn.XLOOKUP($S20:$AL20,增益!$A:$A,增益!$F:$F,0)))/100)</f>
        <v>0.3334</v>
      </c>
      <c r="AW20" s="40" cm="1">
        <f t="array" ref="AW20">$G$10+VLOOKUP($R20,武学奇术!$A:$ZZ,7,FALSE)+SUM(_xlfn.XLOOKUP($S20:$AL20,增益!$A:$A,增益!$G:$G,0))</f>
        <v>0.12</v>
      </c>
      <c r="AX20" s="33" cm="1">
        <f t="array" ref="AX20">VLOOKUP($R20,武学奇术!$A:$ZZ,8,FALSE)+SUM(_xlfn.XLOOKUP($S20:$AL20,增益!$A:$A,增益!$H:$H,0))</f>
        <v>0</v>
      </c>
      <c r="AY20">
        <f t="shared" si="2"/>
        <v>0</v>
      </c>
      <c r="AZ20">
        <f t="shared" si="3"/>
        <v>0</v>
      </c>
      <c r="BA20" s="40" cm="1">
        <f t="array" ref="BA20">IF($F$11-$I$4+VLOOKUP($R20,武学奇术!$A:$ZZ,9,FALSE)+SUM(_xlfn.XLOOKUP($S20:$AL20,增益!$A:$A,增益!$I:$I,0))&gt;0,($F$11-$I$4+VLOOKUP($R20,武学奇术!$A:$ZZ,9,FALSE)+SUM(_xlfn.XLOOKUP($S20:$AL20,增益!$A:$A,增益!$I:$I,0)))/200,($F$11-$I$4+VLOOKUP($R20,武学奇术!$A:$ZZ,9,FALSE)+SUM(_xlfn.XLOOKUP($S20:$AL20,增益!$A:$A,增益!$I:$I,0)))/100)</f>
        <v>-0.14</v>
      </c>
      <c r="BB20" s="40" cm="1">
        <f t="array" ref="BB20">$G$11+VLOOKUP($R20,武学奇术!$A:$ZZ,10,FALSE)+SUM(_xlfn.XLOOKUP($S20:$AL20,增益!$A:$A,增益!$J:$J,0))</f>
        <v>0</v>
      </c>
      <c r="BC20">
        <f t="shared" si="4"/>
        <v>640.3</v>
      </c>
      <c r="BD20">
        <f t="shared" si="5"/>
        <v>1770.1</v>
      </c>
      <c r="BE20" s="40" cm="1">
        <f t="array" ref="BE20">IF($F$12-$I$4+VLOOKUP($R20,武学奇术!$A:$ZZ,11,FALSE)+SUM(_xlfn.XLOOKUP($S20:$AL20,增益!$A:$A,增益!$K:$K,0))&gt;0,($F$12-$I$4+VLOOKUP($R20,武学奇术!$A:$ZZ,11,FALSE)+SUM(_xlfn.XLOOKUP($S20:$AL20,增益!$A:$A,增益!$K:$K,0)))/200,($F$12-$I$4+VLOOKUP($R20,武学奇术!$A:$ZZ,11,FALSE)+SUM(_xlfn.XLOOKUP($S20:$AL20,增益!$A:$A,增益!$K:$K,0)))/100)</f>
        <v>0.17</v>
      </c>
      <c r="BF20" s="40" cm="1">
        <f t="array" ref="BF20">$G$12+VLOOKUP($R20,武学奇术!$A:$ZZ,12,FALSE)+SUM(_xlfn.XLOOKUP($S20:$AL20,增益!$A:$A,增益!$L:$L,0))</f>
        <v>0.27</v>
      </c>
      <c r="BG20">
        <f t="shared" si="6"/>
        <v>0</v>
      </c>
      <c r="BH20">
        <f t="shared" si="7"/>
        <v>0</v>
      </c>
      <c r="BI20" s="40" cm="1">
        <f t="array" ref="BI20">IF($F$13-$I$4+VLOOKUP($R20,武学奇术!$A:$ZZ,13,FALSE)+SUM(_xlfn.XLOOKUP($S20:$AL20,增益!$A:$A,增益!$M:$M,0))&gt;0,($F$13-$I$4+VLOOKUP($R20,武学奇术!$A:$ZZ,13,FALSE)+SUM(_xlfn.XLOOKUP($S20:$AL20,增益!$A:$A,增益!$K:$K,0)))/200,($F$13-$I$4+VLOOKUP($R20,武学奇术!$A:$ZZ,13,FALSE)+SUM(_xlfn.XLOOKUP($S20:$AL20,增益!$A:$A,增益!$M:$M,0)))/100)</f>
        <v>-0.14</v>
      </c>
      <c r="BJ20" s="40" cm="1">
        <f t="array" ref="BJ20">$G$13+VLOOKUP($R20,武学奇术!$A:$ZZ,14,FALSE)+SUM(_xlfn.XLOOKUP($S20:$AL20,增益!$A:$A,增益!$N:$N,0))</f>
        <v>0</v>
      </c>
      <c r="BK20">
        <f t="shared" si="8"/>
        <v>0</v>
      </c>
      <c r="BL20">
        <f t="shared" si="9"/>
        <v>0</v>
      </c>
      <c r="BM20" s="40" cm="1">
        <f t="array" ref="BM20">IF($F$14-$I$4+VLOOKUP($R20,武学奇术!$A:$ZZ,15,FALSE)+SUM(_xlfn.XLOOKUP($S20:$AL20,增益!$A:$A,增益!$O:$O,0))&gt;0,($F$14-$I$4+VLOOKUP($R20,武学奇术!$A:$ZZ,15,FALSE)+SUM(_xlfn.XLOOKUP($S20:$AL20,增益!$A:$A,增益!$O:$O,0)))/200,($F$14-$I$4+VLOOKUP($R20,武学奇术!$A:$ZZ,15,FALSE)+SUM(_xlfn.XLOOKUP($S20:$AL20,增益!$A:$A,增益!$O:$O,0)))/100)</f>
        <v>-0.14</v>
      </c>
      <c r="BN20" s="40" cm="1">
        <f t="array" ref="BN20">$G$14+VLOOKUP($R20,武学奇术!$A:$ZZ,16,FALSE)+SUM(_xlfn.XLOOKUP($S20:$AL20,增益!$A:$A,增益!$P:$P,0))</f>
        <v>0</v>
      </c>
      <c r="BO20" s="33">
        <f>MIN(IF(VLOOKUP($R20,武学奇术!$A:$ZZ,23,FALSE)=1,100%,$B$8),100%)</f>
        <v>1</v>
      </c>
      <c r="BP20" s="33" cm="1">
        <f t="array" ref="BP20">IF(VLOOKUP($R20,武学奇术!$A:$ZZ,23,FALSE)=1,100%,MIN(80%,$B$9+VLOOKUP($R20,武学奇术!$A:$ZZ,17,FALSE)+SUM(_xlfn.XLOOKUP($S20:$AL20,增益!$A:$A,增益!$Q:$Q,0)))+$B$11+SUM(_xlfn.XLOOKUP($S20:$AL20,增益!$A:$A,增益!$U:$U,0)))*IF(VLOOKUP($R20,武学奇术!$A:$ZZ,24,FALSE)=1,0,1)</f>
        <v>1</v>
      </c>
      <c r="BQ20" s="33" cm="1">
        <f t="array" ref="BQ20">1+$B$13+VLOOKUP($R20,武学奇术!$A:$ZZ,18,FALSE)+SUM(_xlfn.XLOOKUP($S20:$AL20,增益!$A:$A,增益!$R:$R,0))</f>
        <v>2.02</v>
      </c>
      <c r="BR20" s="33" cm="1">
        <f t="array" ref="BR20">IF(VLOOKUP($R20,武学奇术!$A:$ZZ,24,FALSE)=1,100%,MIN(40%,$B$10+VLOOKUP($R20,武学奇术!$A:$ZZ,19,FALSE)+SUM(_xlfn.XLOOKUP($S20:$AL20,增益!$A:$A,增益!$S:$S,0)))+$B$12+SUM(_xlfn.XLOOKUP($S20:$AL20,增益!$A:$A,增益!$V:$V,0)))*IF(VLOOKUP($R20,武学奇术!$A:$ZZ,23,FALSE)=1,0,1)</f>
        <v>0</v>
      </c>
      <c r="BS20" s="33" cm="1">
        <f t="array" ref="BS20">1+$B$14+VLOOKUP($R20,武学奇术!$A:$ZZ,20,FALSE)+SUM(_xlfn.XLOOKUP($S20:$AL20,增益!$A:$A,增益!$T:$T,0))</f>
        <v>1.35</v>
      </c>
      <c r="BT20" s="33">
        <f t="shared" si="10"/>
        <v>1</v>
      </c>
      <c r="BU20" s="33">
        <f t="shared" si="11"/>
        <v>0</v>
      </c>
      <c r="BV20" s="33">
        <f>IF(VLOOKUP($R20,武学奇术!$A:$ZZ,22,FALSE)=1,0,(1-$BO20))*(1-$BR20)</f>
        <v>0</v>
      </c>
      <c r="BW20" s="33" cm="1">
        <f t="array" ref="BW20">SUM(_xlfn.XLOOKUP($S20:$AL20,增益!$A:$A,增益!$W:$W,0))+$I$5</f>
        <v>0.11</v>
      </c>
      <c r="BX20" s="33" cm="1">
        <f t="array" ref="BX20">VLOOKUP($R20,武学奇术!$A:$ZZ,32,FALSE)+SUM(_xlfn.XLOOKUP($S20:$AL20,增益!$A:$A,增益!$X:$X,0))</f>
        <v>0</v>
      </c>
    </row>
    <row r="21" ht="14.25" spans="1:76">
      <c r="A21" s="93" t="s">
        <v>150</v>
      </c>
      <c r="B21" s="94">
        <f>期望!B21</f>
        <v>0.3206</v>
      </c>
      <c r="C21" s="47" t="s">
        <v>151</v>
      </c>
      <c r="D21" s="85" t="s">
        <v>152</v>
      </c>
      <c r="E21" s="47" t="s">
        <v>204</v>
      </c>
      <c r="F21" s="47"/>
      <c r="L21" s="46">
        <f t="shared" si="0"/>
        <v>22597.5940255588</v>
      </c>
      <c r="M21" s="46">
        <f>((($AT21+$AU21)/2*$AN21+$AO21)*(1+$AV21)*(1+$AW21)+(($AY21+$AZ21)/2*IF($G$1="鸣金",$AP21,$AN21)+IF($G$1="鸣金",$AQ21*1.5,0))*(1+$BA21)*(1+$BB21)+(($BC21+$BD21)/2*IF($G$1="裂石",$AP21,$AN21)+IF($G$1="裂石",$AQ21*1.5,0))*(1+$BE21)*(1+$BF21)+(($BG21+$BH21)/2*IF($G$1="牵丝",$AP21,$AN21)+IF($G$1="牵丝",$AQ21*1.5,0))*(1+$BI21)*(1+$BJ21)+(($BK21+$BL21)/2*IF($G$1="破竹",$AP21,$AN21)+IF($G$1="破竹",$AQ21*1.5,0))*(1+$BM21)*(1+$BN21))*(1+$AR21)*$BQ21*$Q21*(1+IF(VLOOKUP($R21,武学奇术!$A:$ZZ,30,FALSE)="蓄力技",$B$21,0))*(1+IF(VLOOKUP($R21,武学奇术!$A:$ZZ,30,FALSE)="派生技",$B$20,0))*(1+$BW21)*(1+$BX21)</f>
        <v>22597.5940255588</v>
      </c>
      <c r="N21" s="46">
        <f>(($AU21*$AN21+$AO21)*(1+$AV21)*(1+$AW21)+($AZ21*IF($G$1="鸣金",$AP21,$AN21)+IF($G$1="鸣金",$AQ21*1.5,0))*(1+$BA21)*(1+$BB21)+($BD21*IF($G$1="裂石",$AP21,$AN21)+IF($G$1="裂石",$AQ21*1.5,0))*(1+$BE21)*(1+$BF21)+($BH21*IF($G$1="牵丝",$AP21,$AN21)+IF($G$1="牵丝",$AQ21*1.5,0))*(1+$BI21)*(1+$BJ21)+($BL21*IF($G$1="破竹",$AP21,$AN21)+IF($G$1="破竹",$AQ21*1.5,0))*(1+$BM21)*(1+$BN21))*(1+$AR21)*$BS21*$Q21*(1+IF(VLOOKUP($R21,武学奇术!$A:$ZZ,30,FALSE)="蓄力技",$B$21,0))*(1+IF(VLOOKUP($R21,武学奇术!$A:$ZZ,30,FALSE)="派生技",$B$20,0))*(1+$BW21)*(1+$BX21)</f>
        <v>17191.9405407046</v>
      </c>
      <c r="O21" s="46">
        <f>((($AT21+$AU21)/2*$AN21+$AO21)*(1+$AV21)*(1+$AW21)+(($AY21+$AZ21)/2*IF($G$1="鸣金",$AP21,$AN21)+IF($G$1="鸣金",$AQ21*1.5,0))*(1+$BA21)*(1+$BB21)+(($BC21+$BD21)/2*IF($G$1="裂石",$AP21,$AN21)+IF($G$1="裂石",$AQ21*1.5,0))*(1+$BE21)*(1+$BF21)+(($BG21+$BH21)/2*IF($G$1="牵丝",$AP21,$AN21)+IF($G$1="牵丝",$AQ21*1.5,0))*(1+$BI21)*(1+$BJ21)+(($BK21+$BL21)/2*IF($G$1="破竹",$AP21,$AN21)+IF($G$1="破竹",$AQ21*1.5,0))*(1+$BM21)*(1+$BN21))*(1+$AR21)*$Q21*(1+IF(VLOOKUP($R21,武学奇术!$A:$ZZ,30,FALSE)="蓄力技",$B$21,0))*(1+IF(VLOOKUP($R21,武学奇术!$A:$ZZ,30,FALSE)="派生技",$B$20,0))*(1+$BW21)*(1+$BX21)</f>
        <v>11131.819717024</v>
      </c>
      <c r="P21" s="46">
        <f>((($AT21*$AN21+$AO21)*(1+$AV21)*(1+$AW21)+($AY21*IF($G$1="鸣金",$AP21,$AN21)+IF($G$1="鸣金",$AQ21*1.5,0))*(1+$BA21)*(1+$BB21)+($BC21*IF($G$1="裂石",$AP21,$AN21)+IF($G$1="裂石",$AQ21*1.5,0))*(1+$BE21)*(1+$BF21)+($BG21*IF($G$1="牵丝",$AP21,$AN21)+IF($G$1="牵丝",$AQ21*1.5,0))*(1+$BI21)*(1+$BJ21)+($BK21*IF($G$1="破竹",$AP21,$AN21)+IF($G$1="破竹",$AQ21*1.5,0))*(1+$BM21)*(1+$BN21))*(1+$AR21))*$Q21*(1+IF(VLOOKUP($R21,武学奇术!$A:$ZZ,30,FALSE)="蓄力技",$B$21,0))*(1+IF(VLOOKUP($R21,武学奇术!$A:$ZZ,30,FALSE)="派生技",$B$20,0))*(1+$BW21)*(1+$BX21)</f>
        <v>9528.86866315577</v>
      </c>
      <c r="Q21" s="47">
        <f t="shared" si="13"/>
        <v>1</v>
      </c>
      <c r="R21" s="48" t="s">
        <v>154</v>
      </c>
      <c r="S21" s="48" t="s">
        <v>94</v>
      </c>
      <c r="T21" s="48" t="s">
        <v>95</v>
      </c>
      <c r="U21" s="48" t="s">
        <v>79</v>
      </c>
      <c r="V21" s="48" t="s">
        <v>90</v>
      </c>
      <c r="W21" s="48" t="s">
        <v>141</v>
      </c>
      <c r="X21" s="48" t="s">
        <v>145</v>
      </c>
      <c r="Y21" s="48" t="s">
        <v>74</v>
      </c>
      <c r="Z21" s="48" t="s">
        <v>142</v>
      </c>
      <c r="AA21" s="48" t="s">
        <v>80</v>
      </c>
      <c r="AB21" s="48" t="s">
        <v>80</v>
      </c>
      <c r="AC21" s="48" t="s">
        <v>80</v>
      </c>
      <c r="AD21" s="48" t="s">
        <v>80</v>
      </c>
      <c r="AE21" s="48" t="s">
        <v>80</v>
      </c>
      <c r="AF21" s="48" t="s">
        <v>83</v>
      </c>
      <c r="AG21" s="48" t="s">
        <v>84</v>
      </c>
      <c r="AH21" s="48" t="s">
        <v>80</v>
      </c>
      <c r="AI21" s="48" t="s">
        <v>80</v>
      </c>
      <c r="AJ21" s="48" t="s">
        <v>80</v>
      </c>
      <c r="AK21" s="48" t="s">
        <v>80</v>
      </c>
      <c r="AL21" s="48" t="s">
        <v>80</v>
      </c>
      <c r="AM21" t="str">
        <f>VLOOKUP($R21,武学奇术!$A:$ZZ,25,FALSE)</f>
        <v>陌刀</v>
      </c>
      <c r="AN21" s="33">
        <f>VLOOKUP($R21,武学奇术!$A:$ZZ,26,FALSE)</f>
        <v>0.525</v>
      </c>
      <c r="AO21" s="34">
        <f>VLOOKUP($R21,武学奇术!$A:$ZZ,27,FALSE)*(1+IF(OR($AM21=$F$4,$AM21=$F$5),$B$22,0))</f>
        <v>0</v>
      </c>
      <c r="AP21" s="33">
        <f>VLOOKUP($R21,武学奇术!$A:$ZZ,28,FALSE)</f>
        <v>0.7875</v>
      </c>
      <c r="AQ21" s="34">
        <f>VLOOKUP($R21,武学奇术!$A:$ZZ,29,FALSE)*(1+IF(OR($AM21=$F$4,$AM21=$F$5),$B$22,0))</f>
        <v>0</v>
      </c>
      <c r="AR21" s="33" cm="1">
        <f t="array" ref="AR21">$G$3+IFERROR(VLOOKUP($AM21,$F$4:$G$7,2,FALSE),0)+VLOOKUP($R21,武学奇术!$A:$ZZ,2,FALSE)+SUM(_xlfn.XLOOKUP($S21:$AL21,增益!$A:$A,增益!$B:$B,0))</f>
        <v>0.6543</v>
      </c>
      <c r="AS21" s="33" cm="1">
        <f t="array" ref="AS21">VLOOKUP($R21,武学奇术!$A:$ZZ,5,FALSE)+SUM(_xlfn.XLOOKUP($S21:$AL21,增益!$A:$A,增益!$E:$E,0))</f>
        <v>0</v>
      </c>
      <c r="AT21" cm="1">
        <f t="array" ref="AT21">$D$10*(1+$AS21)+VLOOKUP($R21,武学奇术!$A:$ZZ,3,FALSE)+SUM(_xlfn.XLOOKUP($S21:$AL21,增益!$A:$A,增益!$C:$C,0))-$I$2</f>
        <v>4026</v>
      </c>
      <c r="AU21" cm="1">
        <f t="array" ref="AU21">$E$10*(1+$AS21)+VLOOKUP($R21,武学奇术!$A:$ZZ,4,FALSE)+SUM(_xlfn.XLOOKUP($S21:$AL21,增益!$A:$A,增益!$D:$D,0))-$I$2</f>
        <v>4026</v>
      </c>
      <c r="AV21" s="40" cm="1">
        <f t="array" ref="AV21">IF($F$10-$I$3+VLOOKUP($R21,武学奇术!$A:$ZZ,6,FALSE)+SUM(_xlfn.XLOOKUP($S21:$AL21,增益!$A:$A,增益!$F:$F,0))&gt;0,($F$10-$I$3+VLOOKUP($R21,武学奇术!$A:$ZZ,6,FALSE)+SUM(_xlfn.XLOOKUP($S21:$AL21,增益!$A:$A,增益!$F:$F,0)))/200,($F$10-$I$3+VLOOKUP($R21,武学奇术!$A:$ZZ,6,FALSE)+SUM(_xlfn.XLOOKUP($S21:$AL21,增益!$A:$A,增益!$F:$F,0)))/100)</f>
        <v>0.3434</v>
      </c>
      <c r="AW21" s="40" cm="1">
        <f t="array" ref="AW21">$G$10+VLOOKUP($R21,武学奇术!$A:$ZZ,7,FALSE)+SUM(_xlfn.XLOOKUP($S21:$AL21,增益!$A:$A,增益!$G:$G,0))</f>
        <v>0.12</v>
      </c>
      <c r="AX21" s="33" cm="1">
        <f t="array" ref="AX21">VLOOKUP($R21,武学奇术!$A:$ZZ,8,FALSE)+SUM(_xlfn.XLOOKUP($S21:$AL21,增益!$A:$A,增益!$H:$H,0))</f>
        <v>0</v>
      </c>
      <c r="AY21">
        <f t="shared" si="2"/>
        <v>0</v>
      </c>
      <c r="AZ21">
        <f t="shared" si="3"/>
        <v>0</v>
      </c>
      <c r="BA21" s="40" cm="1">
        <f t="array" ref="BA21">IF($F$11-$I$4+VLOOKUP($R21,武学奇术!$A:$ZZ,9,FALSE)+SUM(_xlfn.XLOOKUP($S21:$AL21,增益!$A:$A,增益!$I:$I,0))&gt;0,($F$11-$I$4+VLOOKUP($R21,武学奇术!$A:$ZZ,9,FALSE)+SUM(_xlfn.XLOOKUP($S21:$AL21,增益!$A:$A,增益!$I:$I,0)))/200,($F$11-$I$4+VLOOKUP($R21,武学奇术!$A:$ZZ,9,FALSE)+SUM(_xlfn.XLOOKUP($S21:$AL21,增益!$A:$A,增益!$I:$I,0)))/100)</f>
        <v>-0.14</v>
      </c>
      <c r="BB21" s="40" cm="1">
        <f t="array" ref="BB21">$G$11+VLOOKUP($R21,武学奇术!$A:$ZZ,10,FALSE)+SUM(_xlfn.XLOOKUP($S21:$AL21,增益!$A:$A,增益!$J:$J,0))</f>
        <v>0</v>
      </c>
      <c r="BC21">
        <f t="shared" si="4"/>
        <v>640.3</v>
      </c>
      <c r="BD21">
        <f t="shared" si="5"/>
        <v>1770.1</v>
      </c>
      <c r="BE21" s="40" cm="1">
        <f t="array" ref="BE21">IF($F$12-$I$4+VLOOKUP($R21,武学奇术!$A:$ZZ,11,FALSE)+SUM(_xlfn.XLOOKUP($S21:$AL21,增益!$A:$A,增益!$K:$K,0))&gt;0,($F$12-$I$4+VLOOKUP($R21,武学奇术!$A:$ZZ,11,FALSE)+SUM(_xlfn.XLOOKUP($S21:$AL21,增益!$A:$A,增益!$K:$K,0)))/200,($F$12-$I$4+VLOOKUP($R21,武学奇术!$A:$ZZ,11,FALSE)+SUM(_xlfn.XLOOKUP($S21:$AL21,增益!$A:$A,增益!$K:$K,0)))/100)</f>
        <v>0.17</v>
      </c>
      <c r="BF21" s="40" cm="1">
        <f t="array" ref="BF21">$G$12+VLOOKUP($R21,武学奇术!$A:$ZZ,12,FALSE)+SUM(_xlfn.XLOOKUP($S21:$AL21,增益!$A:$A,增益!$L:$L,0))</f>
        <v>0.27</v>
      </c>
      <c r="BG21">
        <f t="shared" si="6"/>
        <v>0</v>
      </c>
      <c r="BH21">
        <f t="shared" si="7"/>
        <v>0</v>
      </c>
      <c r="BI21" s="40" cm="1">
        <f t="array" ref="BI21">IF($F$13-$I$4+VLOOKUP($R21,武学奇术!$A:$ZZ,13,FALSE)+SUM(_xlfn.XLOOKUP($S21:$AL21,增益!$A:$A,增益!$M:$M,0))&gt;0,($F$13-$I$4+VLOOKUP($R21,武学奇术!$A:$ZZ,13,FALSE)+SUM(_xlfn.XLOOKUP($S21:$AL21,增益!$A:$A,增益!$K:$K,0)))/200,($F$13-$I$4+VLOOKUP($R21,武学奇术!$A:$ZZ,13,FALSE)+SUM(_xlfn.XLOOKUP($S21:$AL21,增益!$A:$A,增益!$M:$M,0)))/100)</f>
        <v>-0.14</v>
      </c>
      <c r="BJ21" s="40" cm="1">
        <f t="array" ref="BJ21">$G$13+VLOOKUP($R21,武学奇术!$A:$ZZ,14,FALSE)+SUM(_xlfn.XLOOKUP($S21:$AL21,增益!$A:$A,增益!$N:$N,0))</f>
        <v>0</v>
      </c>
      <c r="BK21">
        <f t="shared" si="8"/>
        <v>0</v>
      </c>
      <c r="BL21">
        <f t="shared" si="9"/>
        <v>0</v>
      </c>
      <c r="BM21" s="40" cm="1">
        <f t="array" ref="BM21">IF($F$14-$I$4+VLOOKUP($R21,武学奇术!$A:$ZZ,15,FALSE)+SUM(_xlfn.XLOOKUP($S21:$AL21,增益!$A:$A,增益!$O:$O,0))&gt;0,($F$14-$I$4+VLOOKUP($R21,武学奇术!$A:$ZZ,15,FALSE)+SUM(_xlfn.XLOOKUP($S21:$AL21,增益!$A:$A,增益!$O:$O,0)))/200,($F$14-$I$4+VLOOKUP($R21,武学奇术!$A:$ZZ,15,FALSE)+SUM(_xlfn.XLOOKUP($S21:$AL21,增益!$A:$A,增益!$O:$O,0)))/100)</f>
        <v>-0.14</v>
      </c>
      <c r="BN21" s="40" cm="1">
        <f t="array" ref="BN21">$G$14+VLOOKUP($R21,武学奇术!$A:$ZZ,16,FALSE)+SUM(_xlfn.XLOOKUP($S21:$AL21,增益!$A:$A,增益!$P:$P,0))</f>
        <v>0</v>
      </c>
      <c r="BO21" s="33">
        <f>MIN(IF(VLOOKUP($R21,武学奇术!$A:$ZZ,23,FALSE)=1,100%,$B$8),100%)</f>
        <v>1</v>
      </c>
      <c r="BP21" s="33" cm="1">
        <f t="array" ref="BP21">IF(VLOOKUP($R21,武学奇术!$A:$ZZ,23,FALSE)=1,100%,MIN(80%,$B$9+VLOOKUP($R21,武学奇术!$A:$ZZ,17,FALSE)+SUM(_xlfn.XLOOKUP($S21:$AL21,增益!$A:$A,增益!$Q:$Q,0)))+$B$11+SUM(_xlfn.XLOOKUP($S21:$AL21,增益!$A:$A,增益!$U:$U,0)))*IF(VLOOKUP($R21,武学奇术!$A:$ZZ,24,FALSE)=1,0,1)</f>
        <v>1</v>
      </c>
      <c r="BQ21" s="33" cm="1">
        <f t="array" ref="BQ21">1+$B$13+VLOOKUP($R21,武学奇术!$A:$ZZ,18,FALSE)+SUM(_xlfn.XLOOKUP($S21:$AL21,增益!$A:$A,增益!$R:$R,0))</f>
        <v>2.03</v>
      </c>
      <c r="BR21" s="33" cm="1">
        <f t="array" ref="BR21">IF(VLOOKUP($R21,武学奇术!$A:$ZZ,24,FALSE)=1,100%,MIN(40%,$B$10+VLOOKUP($R21,武学奇术!$A:$ZZ,19,FALSE)+SUM(_xlfn.XLOOKUP($S21:$AL21,增益!$A:$A,增益!$S:$S,0)))+$B$12+SUM(_xlfn.XLOOKUP($S21:$AL21,增益!$A:$A,增益!$V:$V,0)))*IF(VLOOKUP($R21,武学奇术!$A:$ZZ,23,FALSE)=1,0,1)</f>
        <v>0</v>
      </c>
      <c r="BS21" s="33" cm="1">
        <f t="array" ref="BS21">1+$B$14+VLOOKUP($R21,武学奇术!$A:$ZZ,20,FALSE)+SUM(_xlfn.XLOOKUP($S21:$AL21,增益!$A:$A,增益!$T:$T,0))</f>
        <v>1.35</v>
      </c>
      <c r="BT21" s="33">
        <f t="shared" si="10"/>
        <v>1</v>
      </c>
      <c r="BU21" s="33">
        <f t="shared" si="11"/>
        <v>0</v>
      </c>
      <c r="BV21" s="33">
        <f>IF(VLOOKUP($R21,武学奇术!$A:$ZZ,22,FALSE)=1,0,(1-$BO21))*(1-$BR21)</f>
        <v>0</v>
      </c>
      <c r="BW21" s="33" cm="1">
        <f t="array" ref="BW21">SUM(_xlfn.XLOOKUP($S21:$AL21,增益!$A:$A,增益!$W:$W,0))+$I$5</f>
        <v>0.11</v>
      </c>
      <c r="BX21" s="33" cm="1">
        <f t="array" ref="BX21">VLOOKUP($R21,武学奇术!$A:$ZZ,32,FALSE)+SUM(_xlfn.XLOOKUP($S21:$AL21,增益!$A:$A,增益!$X:$X,0))</f>
        <v>0</v>
      </c>
    </row>
    <row r="22" spans="1:76">
      <c r="A22" t="s">
        <v>155</v>
      </c>
      <c r="B22" s="35">
        <f>期望!B22</f>
        <v>0.6</v>
      </c>
      <c r="C22" s="47" t="s">
        <v>156</v>
      </c>
      <c r="D22" s="85" t="s">
        <v>152</v>
      </c>
      <c r="E22" s="47" t="str">
        <f>期望!E22</f>
        <v>断石之构</v>
      </c>
      <c r="F22" s="47"/>
      <c r="L22" s="46">
        <f t="shared" si="0"/>
        <v>40675.6692460058</v>
      </c>
      <c r="M22" s="46">
        <f>((($AT22+$AU22)/2*$AN22+$AO22)*(1+$AV22)*(1+$AW22)+(($AY22+$AZ22)/2*IF($G$1="鸣金",$AP22,$AN22)+IF($G$1="鸣金",$AQ22*1.5,0))*(1+$BA22)*(1+$BB22)+(($BC22+$BD22)/2*IF($G$1="裂石",$AP22,$AN22)+IF($G$1="裂石",$AQ22*1.5,0))*(1+$BE22)*(1+$BF22)+(($BG22+$BH22)/2*IF($G$1="牵丝",$AP22,$AN22)+IF($G$1="牵丝",$AQ22*1.5,0))*(1+$BI22)*(1+$BJ22)+(($BK22+$BL22)/2*IF($G$1="破竹",$AP22,$AN22)+IF($G$1="破竹",$AQ22*1.5,0))*(1+$BM22)*(1+$BN22))*(1+$AR22)*$BQ22*$Q22*(1+IF(VLOOKUP($R22,武学奇术!$A:$ZZ,30,FALSE)="蓄力技",$B$21,0))*(1+IF(VLOOKUP($R22,武学奇术!$A:$ZZ,30,FALSE)="派生技",$B$20,0))*(1+$BW22)*(1+$BX22)</f>
        <v>40675.6692460058</v>
      </c>
      <c r="N22" s="46">
        <f>(($AU22*$AN22+$AO22)*(1+$AV22)*(1+$AW22)+($AZ22*IF($G$1="鸣金",$AP22,$AN22)+IF($G$1="鸣金",$AQ22*1.5,0))*(1+$BA22)*(1+$BB22)+($BD22*IF($G$1="裂石",$AP22,$AN22)+IF($G$1="裂石",$AQ22*1.5,0))*(1+$BE22)*(1+$BF22)+($BH22*IF($G$1="牵丝",$AP22,$AN22)+IF($G$1="牵丝",$AQ22*1.5,0))*(1+$BI22)*(1+$BJ22)+($BL22*IF($G$1="破竹",$AP22,$AN22)+IF($G$1="破竹",$AQ22*1.5,0))*(1+$BM22)*(1+$BN22))*(1+$AR22)*$BS22*$Q22*(1+IF(VLOOKUP($R22,武学奇术!$A:$ZZ,30,FALSE)="蓄力技",$B$21,0))*(1+IF(VLOOKUP($R22,武学奇术!$A:$ZZ,30,FALSE)="派生技",$B$20,0))*(1+$BW22)*(1+$BX22)</f>
        <v>30945.4929732683</v>
      </c>
      <c r="O22" s="46">
        <f>((($AT22+$AU22)/2*$AN22+$AO22)*(1+$AV22)*(1+$AW22)+(($AY22+$AZ22)/2*IF($G$1="鸣金",$AP22,$AN22)+IF($G$1="鸣金",$AQ22*1.5,0))*(1+$BA22)*(1+$BB22)+(($BC22+$BD22)/2*IF($G$1="裂石",$AP22,$AN22)+IF($G$1="裂石",$AQ22*1.5,0))*(1+$BE22)*(1+$BF22)+(($BG22+$BH22)/2*IF($G$1="牵丝",$AP22,$AN22)+IF($G$1="牵丝",$AQ22*1.5,0))*(1+$BI22)*(1+$BJ22)+(($BK22+$BL22)/2*IF($G$1="破竹",$AP22,$AN22)+IF($G$1="破竹",$AQ22*1.5,0))*(1+$BM22)*(1+$BN22))*(1+$AR22)*$Q22*(1+IF(VLOOKUP($R22,武学奇术!$A:$ZZ,30,FALSE)="蓄力技",$B$21,0))*(1+IF(VLOOKUP($R22,武学奇术!$A:$ZZ,30,FALSE)="派生技",$B$20,0))*(1+$BW22)*(1+$BX22)</f>
        <v>20037.2754906432</v>
      </c>
      <c r="P22" s="46">
        <f>((($AT22*$AN22+$AO22)*(1+$AV22)*(1+$AW22)+($AY22*IF($G$1="鸣金",$AP22,$AN22)+IF($G$1="鸣金",$AQ22*1.5,0))*(1+$BA22)*(1+$BB22)+($BC22*IF($G$1="裂石",$AP22,$AN22)+IF($G$1="裂石",$AQ22*1.5,0))*(1+$BE22)*(1+$BF22)+($BG22*IF($G$1="牵丝",$AP22,$AN22)+IF($G$1="牵丝",$AQ22*1.5,0))*(1+$BI22)*(1+$BJ22)+($BK22*IF($G$1="破竹",$AP22,$AN22)+IF($G$1="破竹",$AQ22*1.5,0))*(1+$BM22)*(1+$BN22))*(1+$AR22))*$Q22*(1+IF(VLOOKUP($R22,武学奇术!$A:$ZZ,30,FALSE)="蓄力技",$B$21,0))*(1+IF(VLOOKUP($R22,武学奇术!$A:$ZZ,30,FALSE)="派生技",$B$20,0))*(1+$BW22)*(1+$BX22)</f>
        <v>17151.9635936804</v>
      </c>
      <c r="Q22" s="47">
        <f t="shared" si="13"/>
        <v>1</v>
      </c>
      <c r="R22" s="48" t="s">
        <v>144</v>
      </c>
      <c r="S22" s="48" t="s">
        <v>94</v>
      </c>
      <c r="T22" s="48" t="s">
        <v>95</v>
      </c>
      <c r="U22" s="48" t="s">
        <v>79</v>
      </c>
      <c r="V22" s="48" t="s">
        <v>90</v>
      </c>
      <c r="W22" s="48" t="s">
        <v>141</v>
      </c>
      <c r="X22" s="48" t="s">
        <v>145</v>
      </c>
      <c r="Y22" s="48" t="s">
        <v>74</v>
      </c>
      <c r="Z22" s="48" t="s">
        <v>142</v>
      </c>
      <c r="AA22" s="48" t="s">
        <v>80</v>
      </c>
      <c r="AB22" s="48" t="s">
        <v>80</v>
      </c>
      <c r="AC22" s="48" t="s">
        <v>80</v>
      </c>
      <c r="AD22" s="48" t="s">
        <v>80</v>
      </c>
      <c r="AE22" s="48" t="s">
        <v>80</v>
      </c>
      <c r="AF22" s="48" t="s">
        <v>83</v>
      </c>
      <c r="AG22" s="48" t="s">
        <v>84</v>
      </c>
      <c r="AH22" s="48" t="s">
        <v>80</v>
      </c>
      <c r="AI22" s="48" t="s">
        <v>80</v>
      </c>
      <c r="AJ22" s="48" t="s">
        <v>80</v>
      </c>
      <c r="AK22" s="48" t="s">
        <v>80</v>
      </c>
      <c r="AL22" s="48" t="s">
        <v>80</v>
      </c>
      <c r="AM22" t="str">
        <f>VLOOKUP($R22,武学奇术!$A:$ZZ,25,FALSE)</f>
        <v>陌刀</v>
      </c>
      <c r="AN22" s="33">
        <f>VLOOKUP($R22,武学奇术!$A:$ZZ,26,FALSE)</f>
        <v>0.945</v>
      </c>
      <c r="AO22" s="34">
        <f>VLOOKUP($R22,武学奇术!$A:$ZZ,27,FALSE)*(1+IF(OR($AM22=$F$4,$AM22=$F$5),$B$22,0))</f>
        <v>0</v>
      </c>
      <c r="AP22" s="33">
        <f>VLOOKUP($R22,武学奇术!$A:$ZZ,28,FALSE)</f>
        <v>1.4175</v>
      </c>
      <c r="AQ22" s="34">
        <f>VLOOKUP($R22,武学奇术!$A:$ZZ,29,FALSE)*(1+IF(OR($AM22=$F$4,$AM22=$F$5),$B$22,0))</f>
        <v>0</v>
      </c>
      <c r="AR22" s="33" cm="1">
        <f t="array" ref="AR22">$G$3+IFERROR(VLOOKUP($AM22,$F$4:$G$7,2,FALSE),0)+VLOOKUP($R22,武学奇术!$A:$ZZ,2,FALSE)+SUM(_xlfn.XLOOKUP($S22:$AL22,增益!$A:$A,增益!$B:$B,0))</f>
        <v>0.6543</v>
      </c>
      <c r="AS22" s="33" cm="1">
        <f t="array" ref="AS22">VLOOKUP($R22,武学奇术!$A:$ZZ,5,FALSE)+SUM(_xlfn.XLOOKUP($S22:$AL22,增益!$A:$A,增益!$E:$E,0))</f>
        <v>0</v>
      </c>
      <c r="AT22" cm="1">
        <f t="array" ref="AT22">$D$10*(1+$AS22)+VLOOKUP($R22,武学奇术!$A:$ZZ,3,FALSE)+SUM(_xlfn.XLOOKUP($S22:$AL22,增益!$A:$A,增益!$C:$C,0))-$I$2</f>
        <v>4026</v>
      </c>
      <c r="AU22" cm="1">
        <f t="array" ref="AU22">$E$10*(1+$AS22)+VLOOKUP($R22,武学奇术!$A:$ZZ,4,FALSE)+SUM(_xlfn.XLOOKUP($S22:$AL22,增益!$A:$A,增益!$D:$D,0))-$I$2</f>
        <v>4026</v>
      </c>
      <c r="AV22" s="40" cm="1">
        <f t="array" ref="AV22">IF($F$10-$I$3+VLOOKUP($R22,武学奇术!$A:$ZZ,6,FALSE)+SUM(_xlfn.XLOOKUP($S22:$AL22,增益!$A:$A,增益!$F:$F,0))&gt;0,($F$10-$I$3+VLOOKUP($R22,武学奇术!$A:$ZZ,6,FALSE)+SUM(_xlfn.XLOOKUP($S22:$AL22,增益!$A:$A,增益!$F:$F,0)))/200,($F$10-$I$3+VLOOKUP($R22,武学奇术!$A:$ZZ,6,FALSE)+SUM(_xlfn.XLOOKUP($S22:$AL22,增益!$A:$A,增益!$F:$F,0)))/100)</f>
        <v>0.3434</v>
      </c>
      <c r="AW22" s="40" cm="1">
        <f t="array" ref="AW22">$G$10+VLOOKUP($R22,武学奇术!$A:$ZZ,7,FALSE)+SUM(_xlfn.XLOOKUP($S22:$AL22,增益!$A:$A,增益!$G:$G,0))</f>
        <v>0.12</v>
      </c>
      <c r="AX22" s="33" cm="1">
        <f t="array" ref="AX22">VLOOKUP($R22,武学奇术!$A:$ZZ,8,FALSE)+SUM(_xlfn.XLOOKUP($S22:$AL22,增益!$A:$A,增益!$H:$H,0))</f>
        <v>0</v>
      </c>
      <c r="AY22">
        <f t="shared" si="2"/>
        <v>0</v>
      </c>
      <c r="AZ22">
        <f t="shared" si="3"/>
        <v>0</v>
      </c>
      <c r="BA22" s="40" cm="1">
        <f t="array" ref="BA22">IF($F$11-$I$4+VLOOKUP($R22,武学奇术!$A:$ZZ,9,FALSE)+SUM(_xlfn.XLOOKUP($S22:$AL22,增益!$A:$A,增益!$I:$I,0))&gt;0,($F$11-$I$4+VLOOKUP($R22,武学奇术!$A:$ZZ,9,FALSE)+SUM(_xlfn.XLOOKUP($S22:$AL22,增益!$A:$A,增益!$I:$I,0)))/200,($F$11-$I$4+VLOOKUP($R22,武学奇术!$A:$ZZ,9,FALSE)+SUM(_xlfn.XLOOKUP($S22:$AL22,增益!$A:$A,增益!$I:$I,0)))/100)</f>
        <v>-0.14</v>
      </c>
      <c r="BB22" s="40" cm="1">
        <f t="array" ref="BB22">$G$11+VLOOKUP($R22,武学奇术!$A:$ZZ,10,FALSE)+SUM(_xlfn.XLOOKUP($S22:$AL22,增益!$A:$A,增益!$J:$J,0))</f>
        <v>0</v>
      </c>
      <c r="BC22">
        <f t="shared" si="4"/>
        <v>640.3</v>
      </c>
      <c r="BD22">
        <f t="shared" si="5"/>
        <v>1770.1</v>
      </c>
      <c r="BE22" s="40" cm="1">
        <f t="array" ref="BE22">IF($F$12-$I$4+VLOOKUP($R22,武学奇术!$A:$ZZ,11,FALSE)+SUM(_xlfn.XLOOKUP($S22:$AL22,增益!$A:$A,增益!$K:$K,0))&gt;0,($F$12-$I$4+VLOOKUP($R22,武学奇术!$A:$ZZ,11,FALSE)+SUM(_xlfn.XLOOKUP($S22:$AL22,增益!$A:$A,增益!$K:$K,0)))/200,($F$12-$I$4+VLOOKUP($R22,武学奇术!$A:$ZZ,11,FALSE)+SUM(_xlfn.XLOOKUP($S22:$AL22,增益!$A:$A,增益!$K:$K,0)))/100)</f>
        <v>0.17</v>
      </c>
      <c r="BF22" s="40" cm="1">
        <f t="array" ref="BF22">$G$12+VLOOKUP($R22,武学奇术!$A:$ZZ,12,FALSE)+SUM(_xlfn.XLOOKUP($S22:$AL22,增益!$A:$A,增益!$L:$L,0))</f>
        <v>0.27</v>
      </c>
      <c r="BG22">
        <f t="shared" si="6"/>
        <v>0</v>
      </c>
      <c r="BH22">
        <f t="shared" si="7"/>
        <v>0</v>
      </c>
      <c r="BI22" s="40" cm="1">
        <f t="array" ref="BI22">IF($F$13-$I$4+VLOOKUP($R22,武学奇术!$A:$ZZ,13,FALSE)+SUM(_xlfn.XLOOKUP($S22:$AL22,增益!$A:$A,增益!$M:$M,0))&gt;0,($F$13-$I$4+VLOOKUP($R22,武学奇术!$A:$ZZ,13,FALSE)+SUM(_xlfn.XLOOKUP($S22:$AL22,增益!$A:$A,增益!$K:$K,0)))/200,($F$13-$I$4+VLOOKUP($R22,武学奇术!$A:$ZZ,13,FALSE)+SUM(_xlfn.XLOOKUP($S22:$AL22,增益!$A:$A,增益!$M:$M,0)))/100)</f>
        <v>-0.14</v>
      </c>
      <c r="BJ22" s="40" cm="1">
        <f t="array" ref="BJ22">$G$13+VLOOKUP($R22,武学奇术!$A:$ZZ,14,FALSE)+SUM(_xlfn.XLOOKUP($S22:$AL22,增益!$A:$A,增益!$N:$N,0))</f>
        <v>0</v>
      </c>
      <c r="BK22">
        <f t="shared" si="8"/>
        <v>0</v>
      </c>
      <c r="BL22">
        <f t="shared" si="9"/>
        <v>0</v>
      </c>
      <c r="BM22" s="40" cm="1">
        <f t="array" ref="BM22">IF($F$14-$I$4+VLOOKUP($R22,武学奇术!$A:$ZZ,15,FALSE)+SUM(_xlfn.XLOOKUP($S22:$AL22,增益!$A:$A,增益!$O:$O,0))&gt;0,($F$14-$I$4+VLOOKUP($R22,武学奇术!$A:$ZZ,15,FALSE)+SUM(_xlfn.XLOOKUP($S22:$AL22,增益!$A:$A,增益!$O:$O,0)))/200,($F$14-$I$4+VLOOKUP($R22,武学奇术!$A:$ZZ,15,FALSE)+SUM(_xlfn.XLOOKUP($S22:$AL22,增益!$A:$A,增益!$O:$O,0)))/100)</f>
        <v>-0.14</v>
      </c>
      <c r="BN22" s="40" cm="1">
        <f t="array" ref="BN22">$G$14+VLOOKUP($R22,武学奇术!$A:$ZZ,16,FALSE)+SUM(_xlfn.XLOOKUP($S22:$AL22,增益!$A:$A,增益!$P:$P,0))</f>
        <v>0</v>
      </c>
      <c r="BO22" s="33">
        <f>MIN(IF(VLOOKUP($R22,武学奇术!$A:$ZZ,23,FALSE)=1,100%,$B$8),100%)</f>
        <v>1</v>
      </c>
      <c r="BP22" s="33" cm="1">
        <f t="array" ref="BP22">IF(VLOOKUP($R22,武学奇术!$A:$ZZ,23,FALSE)=1,100%,MIN(80%,$B$9+VLOOKUP($R22,武学奇术!$A:$ZZ,17,FALSE)+SUM(_xlfn.XLOOKUP($S22:$AL22,增益!$A:$A,增益!$Q:$Q,0)))+$B$11+SUM(_xlfn.XLOOKUP($S22:$AL22,增益!$A:$A,增益!$U:$U,0)))*IF(VLOOKUP($R22,武学奇术!$A:$ZZ,24,FALSE)=1,0,1)</f>
        <v>1</v>
      </c>
      <c r="BQ22" s="33" cm="1">
        <f t="array" ref="BQ22">1+$B$13+VLOOKUP($R22,武学奇术!$A:$ZZ,18,FALSE)+SUM(_xlfn.XLOOKUP($S22:$AL22,增益!$A:$A,增益!$R:$R,0))</f>
        <v>2.03</v>
      </c>
      <c r="BR22" s="33" cm="1">
        <f t="array" ref="BR22">IF(VLOOKUP($R22,武学奇术!$A:$ZZ,24,FALSE)=1,100%,MIN(40%,$B$10+VLOOKUP($R22,武学奇术!$A:$ZZ,19,FALSE)+SUM(_xlfn.XLOOKUP($S22:$AL22,增益!$A:$A,增益!$S:$S,0)))+$B$12+SUM(_xlfn.XLOOKUP($S22:$AL22,增益!$A:$A,增益!$V:$V,0)))*IF(VLOOKUP($R22,武学奇术!$A:$ZZ,23,FALSE)=1,0,1)</f>
        <v>0</v>
      </c>
      <c r="BS22" s="33" cm="1">
        <f t="array" ref="BS22">1+$B$14+VLOOKUP($R22,武学奇术!$A:$ZZ,20,FALSE)+SUM(_xlfn.XLOOKUP($S22:$AL22,增益!$A:$A,增益!$T:$T,0))</f>
        <v>1.35</v>
      </c>
      <c r="BT22" s="33">
        <f t="shared" si="10"/>
        <v>1</v>
      </c>
      <c r="BU22" s="33">
        <f t="shared" si="11"/>
        <v>0</v>
      </c>
      <c r="BV22" s="33">
        <f>IF(VLOOKUP($R22,武学奇术!$A:$ZZ,22,FALSE)=1,0,(1-$BO22))*(1-$BR22)</f>
        <v>0</v>
      </c>
      <c r="BW22" s="33" cm="1">
        <f t="array" ref="BW22">SUM(_xlfn.XLOOKUP($S22:$AL22,增益!$A:$A,增益!$W:$W,0))+$I$5</f>
        <v>0.11</v>
      </c>
      <c r="BX22" s="33" cm="1">
        <f t="array" ref="BX22">VLOOKUP($R22,武学奇术!$A:$ZZ,32,FALSE)+SUM(_xlfn.XLOOKUP($S22:$AL22,增益!$A:$A,增益!$X:$X,0))</f>
        <v>0</v>
      </c>
    </row>
    <row r="23" spans="1:76">
      <c r="A23" s="47" t="s">
        <v>158</v>
      </c>
      <c r="B23">
        <f>期望!B23</f>
        <v>240</v>
      </c>
      <c r="E23" s="47" t="s">
        <v>159</v>
      </c>
      <c r="F23" s="47"/>
      <c r="L23" s="46">
        <f t="shared" si="0"/>
        <v>366061.667340161</v>
      </c>
      <c r="M23" s="46">
        <f>((($AT23+$AU23)/2*$AN23+$AO23)*(1+$AV23)*(1+$AW23)+(($AY23+$AZ23)/2*IF($G$1="鸣金",$AP23,$AN23)+IF($G$1="鸣金",$AQ23*1.5,0))*(1+$BA23)*(1+$BB23)+(($BC23+$BD23)/2*IF($G$1="裂石",$AP23,$AN23)+IF($G$1="裂石",$AQ23*1.5,0))*(1+$BE23)*(1+$BF23)+(($BG23+$BH23)/2*IF($G$1="牵丝",$AP23,$AN23)+IF($G$1="牵丝",$AQ23*1.5,0))*(1+$BI23)*(1+$BJ23)+(($BK23+$BL23)/2*IF($G$1="破竹",$AP23,$AN23)+IF($G$1="破竹",$AQ23*1.5,0))*(1+$BM23)*(1+$BN23))*(1+$AR23)*$BQ23*$Q23*(1+IF(VLOOKUP($R23,武学奇术!$A:$ZZ,30,FALSE)="蓄力技",$B$21,0))*(1+IF(VLOOKUP($R23,武学奇术!$A:$ZZ,30,FALSE)="派生技",$B$20,0))*(1+$BW23)*(1+$BX23)</f>
        <v>366061.667340161</v>
      </c>
      <c r="N23" s="46">
        <f>(($AU23*$AN23+$AO23)*(1+$AV23)*(1+$AW23)+($AZ23*IF($G$1="鸣金",$AP23,$AN23)+IF($G$1="鸣金",$AQ23*1.5,0))*(1+$BA23)*(1+$BB23)+($BD23*IF($G$1="裂石",$AP23,$AN23)+IF($G$1="裂石",$AQ23*1.5,0))*(1+$BE23)*(1+$BF23)+($BH23*IF($G$1="牵丝",$AP23,$AN23)+IF($G$1="牵丝",$AQ23*1.5,0))*(1+$BI23)*(1+$BJ23)+($BL23*IF($G$1="破竹",$AP23,$AN23)+IF($G$1="破竹",$AQ23*1.5,0))*(1+$BM23)*(1+$BN23))*(1+$AR23)*$BS23*$Q23*(1+IF(VLOOKUP($R23,武学奇术!$A:$ZZ,30,FALSE)="蓄力技",$B$21,0))*(1+IF(VLOOKUP($R23,武学奇术!$A:$ZZ,30,FALSE)="派生技",$B$20,0))*(1+$BW23)*(1+$BX23)</f>
        <v>274255.066373512</v>
      </c>
      <c r="O23" s="46">
        <f>((($AT23+$AU23)/2*$AN23+$AO23)*(1+$AV23)*(1+$AW23)+(($AY23+$AZ23)/2*IF($G$1="鸣金",$AP23,$AN23)+IF($G$1="鸣金",$AQ23*1.5,0))*(1+$BA23)*(1+$BB23)+(($BC23+$BD23)/2*IF($G$1="裂石",$AP23,$AN23)+IF($G$1="裂石",$AQ23*1.5,0))*(1+$BE23)*(1+$BF23)+(($BG23+$BH23)/2*IF($G$1="牵丝",$AP23,$AN23)+IF($G$1="牵丝",$AQ23*1.5,0))*(1+$BI23)*(1+$BJ23)+(($BK23+$BL23)/2*IF($G$1="破竹",$AP23,$AN23)+IF($G$1="破竹",$AQ23*1.5,0))*(1+$BM23)*(1+$BN23))*(1+$AR23)*$Q23*(1+IF(VLOOKUP($R23,武学奇术!$A:$ZZ,30,FALSE)="蓄力技",$B$21,0))*(1+IF(VLOOKUP($R23,武学奇术!$A:$ZZ,30,FALSE)="派生技",$B$20,0))*(1+$BW23)*(1+$BX23)</f>
        <v>180325.944502542</v>
      </c>
      <c r="P23" s="46">
        <f>((($AT23*$AN23+$AO23)*(1+$AV23)*(1+$AW23)+($AY23*IF($G$1="鸣金",$AP23,$AN23)+IF($G$1="鸣金",$AQ23*1.5,0))*(1+$BA23)*(1+$BB23)+($BC23*IF($G$1="裂石",$AP23,$AN23)+IF($G$1="裂石",$AQ23*1.5,0))*(1+$BE23)*(1+$BF23)+($BG23*IF($G$1="牵丝",$AP23,$AN23)+IF($G$1="牵丝",$AQ23*1.5,0))*(1+$BI23)*(1+$BJ23)+($BK23*IF($G$1="破竹",$AP23,$AN23)+IF($G$1="破竹",$AQ23*1.5,0))*(1+$BM23)*(1+$BN23))*(1+$AR23))*$Q23*(1+IF(VLOOKUP($R23,武学奇术!$A:$ZZ,30,FALSE)="蓄力技",$B$21,0))*(1+IF(VLOOKUP($R23,武学奇术!$A:$ZZ,30,FALSE)="派生技",$B$20,0))*(1+$BW23)*(1+$BX23)</f>
        <v>157499.987987668</v>
      </c>
      <c r="Q23" s="47">
        <f t="shared" si="13"/>
        <v>1</v>
      </c>
      <c r="R23" s="48" t="s">
        <v>148</v>
      </c>
      <c r="S23" s="48" t="s">
        <v>94</v>
      </c>
      <c r="T23" s="48" t="s">
        <v>95</v>
      </c>
      <c r="U23" s="48" t="s">
        <v>79</v>
      </c>
      <c r="V23" s="48" t="s">
        <v>90</v>
      </c>
      <c r="W23" s="48" t="s">
        <v>141</v>
      </c>
      <c r="X23" s="48" t="s">
        <v>145</v>
      </c>
      <c r="Y23" s="48" t="s">
        <v>74</v>
      </c>
      <c r="Z23" s="48" t="s">
        <v>149</v>
      </c>
      <c r="AA23" s="48" t="s">
        <v>80</v>
      </c>
      <c r="AB23" s="48" t="s">
        <v>80</v>
      </c>
      <c r="AC23" s="48" t="s">
        <v>80</v>
      </c>
      <c r="AD23" s="48" t="s">
        <v>80</v>
      </c>
      <c r="AE23" s="48" t="s">
        <v>80</v>
      </c>
      <c r="AF23" s="48" t="s">
        <v>83</v>
      </c>
      <c r="AG23" s="48" t="s">
        <v>84</v>
      </c>
      <c r="AH23" s="48" t="s">
        <v>80</v>
      </c>
      <c r="AI23" s="48" t="s">
        <v>80</v>
      </c>
      <c r="AJ23" s="48" t="s">
        <v>80</v>
      </c>
      <c r="AK23" s="48" t="s">
        <v>80</v>
      </c>
      <c r="AL23" s="48" t="s">
        <v>80</v>
      </c>
      <c r="AM23" t="str">
        <f>VLOOKUP($R23,武学奇术!$A:$ZZ,25,FALSE)</f>
        <v>陌刀</v>
      </c>
      <c r="AN23" s="33">
        <f>VLOOKUP($R23,武学奇术!$A:$ZZ,26,FALSE)</f>
        <v>7.5674</v>
      </c>
      <c r="AO23" s="34">
        <f>VLOOKUP($R23,武学奇术!$A:$ZZ,27,FALSE)*(1+IF(OR($AM23=$F$4,$AM23=$F$5),$B$22,0))</f>
        <v>3348.8</v>
      </c>
      <c r="AP23" s="33">
        <f>VLOOKUP($R23,武学奇术!$A:$ZZ,28,FALSE)</f>
        <v>11.3512</v>
      </c>
      <c r="AQ23" s="34">
        <f>VLOOKUP($R23,武学奇术!$A:$ZZ,29,FALSE)*(1+IF(OR($AM23=$F$4,$AM23=$F$5),$B$22,0))</f>
        <v>1824</v>
      </c>
      <c r="AR23" s="33" cm="1">
        <f t="array" ref="AR23">$G$3+IFERROR(VLOOKUP($AM23,$F$4:$G$7,2,FALSE),0)+VLOOKUP($R23,武学奇术!$A:$ZZ,2,FALSE)+SUM(_xlfn.XLOOKUP($S23:$AL23,增益!$A:$A,增益!$B:$B,0))</f>
        <v>0.6343</v>
      </c>
      <c r="AS23" s="33" cm="1">
        <f t="array" ref="AS23">VLOOKUP($R23,武学奇术!$A:$ZZ,5,FALSE)+SUM(_xlfn.XLOOKUP($S23:$AL23,增益!$A:$A,增益!$E:$E,0))</f>
        <v>0</v>
      </c>
      <c r="AT23" cm="1">
        <f t="array" ref="AT23">$D$10*(1+$AS23)+VLOOKUP($R23,武学奇术!$A:$ZZ,3,FALSE)+SUM(_xlfn.XLOOKUP($S23:$AL23,增益!$A:$A,增益!$C:$C,0))-$I$2</f>
        <v>4026</v>
      </c>
      <c r="AU23" cm="1">
        <f t="array" ref="AU23">$E$10*(1+$AS23)+VLOOKUP($R23,武学奇术!$A:$ZZ,4,FALSE)+SUM(_xlfn.XLOOKUP($S23:$AL23,增益!$A:$A,增益!$D:$D,0))-$I$2</f>
        <v>4026</v>
      </c>
      <c r="AV23" s="40" cm="1">
        <f t="array" ref="AV23">IF($F$10-$I$3+VLOOKUP($R23,武学奇术!$A:$ZZ,6,FALSE)+SUM(_xlfn.XLOOKUP($S23:$AL23,增益!$A:$A,增益!$F:$F,0))&gt;0,($F$10-$I$3+VLOOKUP($R23,武学奇术!$A:$ZZ,6,FALSE)+SUM(_xlfn.XLOOKUP($S23:$AL23,增益!$A:$A,增益!$F:$F,0)))/200,($F$10-$I$3+VLOOKUP($R23,武学奇术!$A:$ZZ,6,FALSE)+SUM(_xlfn.XLOOKUP($S23:$AL23,增益!$A:$A,增益!$F:$F,0)))/100)</f>
        <v>0.3434</v>
      </c>
      <c r="AW23" s="40" cm="1">
        <f t="array" ref="AW23">$G$10+VLOOKUP($R23,武学奇术!$A:$ZZ,7,FALSE)+SUM(_xlfn.XLOOKUP($S23:$AL23,增益!$A:$A,增益!$G:$G,0))</f>
        <v>0.12</v>
      </c>
      <c r="AX23" s="33" cm="1">
        <f t="array" ref="AX23">VLOOKUP($R23,武学奇术!$A:$ZZ,8,FALSE)+SUM(_xlfn.XLOOKUP($S23:$AL23,增益!$A:$A,增益!$H:$H,0))</f>
        <v>0</v>
      </c>
      <c r="AY23">
        <f t="shared" si="2"/>
        <v>0</v>
      </c>
      <c r="AZ23">
        <f t="shared" si="3"/>
        <v>0</v>
      </c>
      <c r="BA23" s="40" cm="1">
        <f t="array" ref="BA23">IF($F$11-$I$4+VLOOKUP($R23,武学奇术!$A:$ZZ,9,FALSE)+SUM(_xlfn.XLOOKUP($S23:$AL23,增益!$A:$A,增益!$I:$I,0))&gt;0,($F$11-$I$4+VLOOKUP($R23,武学奇术!$A:$ZZ,9,FALSE)+SUM(_xlfn.XLOOKUP($S23:$AL23,增益!$A:$A,增益!$I:$I,0)))/200,($F$11-$I$4+VLOOKUP($R23,武学奇术!$A:$ZZ,9,FALSE)+SUM(_xlfn.XLOOKUP($S23:$AL23,增益!$A:$A,增益!$I:$I,0)))/100)</f>
        <v>-0.14</v>
      </c>
      <c r="BB23" s="40" cm="1">
        <f t="array" ref="BB23">$G$11+VLOOKUP($R23,武学奇术!$A:$ZZ,10,FALSE)+SUM(_xlfn.XLOOKUP($S23:$AL23,增益!$A:$A,增益!$J:$J,0))</f>
        <v>0</v>
      </c>
      <c r="BC23">
        <f t="shared" si="4"/>
        <v>640.3</v>
      </c>
      <c r="BD23">
        <f t="shared" si="5"/>
        <v>1770.1</v>
      </c>
      <c r="BE23" s="40" cm="1">
        <f t="array" ref="BE23">IF($F$12-$I$4+VLOOKUP($R23,武学奇术!$A:$ZZ,11,FALSE)+SUM(_xlfn.XLOOKUP($S23:$AL23,增益!$A:$A,增益!$K:$K,0))&gt;0,($F$12-$I$4+VLOOKUP($R23,武学奇术!$A:$ZZ,11,FALSE)+SUM(_xlfn.XLOOKUP($S23:$AL23,增益!$A:$A,增益!$K:$K,0)))/200,($F$12-$I$4+VLOOKUP($R23,武学奇术!$A:$ZZ,11,FALSE)+SUM(_xlfn.XLOOKUP($S23:$AL23,增益!$A:$A,增益!$K:$K,0)))/100)</f>
        <v>0.17</v>
      </c>
      <c r="BF23" s="40" cm="1">
        <f t="array" ref="BF23">$G$12+VLOOKUP($R23,武学奇术!$A:$ZZ,12,FALSE)+SUM(_xlfn.XLOOKUP($S23:$AL23,增益!$A:$A,增益!$L:$L,0))</f>
        <v>0.27</v>
      </c>
      <c r="BG23">
        <f t="shared" si="6"/>
        <v>0</v>
      </c>
      <c r="BH23">
        <f t="shared" si="7"/>
        <v>0</v>
      </c>
      <c r="BI23" s="40" cm="1">
        <f t="array" ref="BI23">IF($F$13-$I$4+VLOOKUP($R23,武学奇术!$A:$ZZ,13,FALSE)+SUM(_xlfn.XLOOKUP($S23:$AL23,增益!$A:$A,增益!$M:$M,0))&gt;0,($F$13-$I$4+VLOOKUP($R23,武学奇术!$A:$ZZ,13,FALSE)+SUM(_xlfn.XLOOKUP($S23:$AL23,增益!$A:$A,增益!$K:$K,0)))/200,($F$13-$I$4+VLOOKUP($R23,武学奇术!$A:$ZZ,13,FALSE)+SUM(_xlfn.XLOOKUP($S23:$AL23,增益!$A:$A,增益!$M:$M,0)))/100)</f>
        <v>-0.14</v>
      </c>
      <c r="BJ23" s="40" cm="1">
        <f t="array" ref="BJ23">$G$13+VLOOKUP($R23,武学奇术!$A:$ZZ,14,FALSE)+SUM(_xlfn.XLOOKUP($S23:$AL23,增益!$A:$A,增益!$N:$N,0))</f>
        <v>0</v>
      </c>
      <c r="BK23">
        <f t="shared" si="8"/>
        <v>0</v>
      </c>
      <c r="BL23">
        <f t="shared" si="9"/>
        <v>0</v>
      </c>
      <c r="BM23" s="40" cm="1">
        <f t="array" ref="BM23">IF($F$14-$I$4+VLOOKUP($R23,武学奇术!$A:$ZZ,15,FALSE)+SUM(_xlfn.XLOOKUP($S23:$AL23,增益!$A:$A,增益!$O:$O,0))&gt;0,($F$14-$I$4+VLOOKUP($R23,武学奇术!$A:$ZZ,15,FALSE)+SUM(_xlfn.XLOOKUP($S23:$AL23,增益!$A:$A,增益!$O:$O,0)))/200,($F$14-$I$4+VLOOKUP($R23,武学奇术!$A:$ZZ,15,FALSE)+SUM(_xlfn.XLOOKUP($S23:$AL23,增益!$A:$A,增益!$O:$O,0)))/100)</f>
        <v>-0.14</v>
      </c>
      <c r="BN23" s="40" cm="1">
        <f t="array" ref="BN23">$G$14+VLOOKUP($R23,武学奇术!$A:$ZZ,16,FALSE)+SUM(_xlfn.XLOOKUP($S23:$AL23,增益!$A:$A,增益!$P:$P,0))</f>
        <v>0</v>
      </c>
      <c r="BO23" s="33">
        <f>MIN(IF(VLOOKUP($R23,武学奇术!$A:$ZZ,23,FALSE)=1,100%,$B$8),100%)</f>
        <v>1</v>
      </c>
      <c r="BP23" s="33" cm="1">
        <f t="array" ref="BP23">IF(VLOOKUP($R23,武学奇术!$A:$ZZ,23,FALSE)=1,100%,MIN(80%,$B$9+VLOOKUP($R23,武学奇术!$A:$ZZ,17,FALSE)+SUM(_xlfn.XLOOKUP($S23:$AL23,增益!$A:$A,增益!$Q:$Q,0)))+$B$11+SUM(_xlfn.XLOOKUP($S23:$AL23,增益!$A:$A,增益!$U:$U,0)))*IF(VLOOKUP($R23,武学奇术!$A:$ZZ,24,FALSE)=1,0,1)</f>
        <v>1</v>
      </c>
      <c r="BQ23" s="33" cm="1">
        <f t="array" ref="BQ23">1+$B$13+VLOOKUP($R23,武学奇术!$A:$ZZ,18,FALSE)+SUM(_xlfn.XLOOKUP($S23:$AL23,增益!$A:$A,增益!$R:$R,0))</f>
        <v>2.03</v>
      </c>
      <c r="BR23" s="33" cm="1">
        <f t="array" ref="BR23">IF(VLOOKUP($R23,武学奇术!$A:$ZZ,24,FALSE)=1,100%,MIN(40%,$B$10+VLOOKUP($R23,武学奇术!$A:$ZZ,19,FALSE)+SUM(_xlfn.XLOOKUP($S23:$AL23,增益!$A:$A,增益!$S:$S,0)))+$B$12+SUM(_xlfn.XLOOKUP($S23:$AL23,增益!$A:$A,增益!$V:$V,0)))*IF(VLOOKUP($R23,武学奇术!$A:$ZZ,23,FALSE)=1,0,1)</f>
        <v>0</v>
      </c>
      <c r="BS23" s="33" cm="1">
        <f t="array" ref="BS23">1+$B$14+VLOOKUP($R23,武学奇术!$A:$ZZ,20,FALSE)+SUM(_xlfn.XLOOKUP($S23:$AL23,增益!$A:$A,增益!$T:$T,0))</f>
        <v>1.35</v>
      </c>
      <c r="BT23" s="33">
        <f t="shared" si="10"/>
        <v>1</v>
      </c>
      <c r="BU23" s="33">
        <f t="shared" si="11"/>
        <v>0</v>
      </c>
      <c r="BV23" s="33">
        <f>IF(VLOOKUP($R23,武学奇术!$A:$ZZ,22,FALSE)=1,0,(1-$BO23))*(1-$BR23)</f>
        <v>0</v>
      </c>
      <c r="BW23" s="33" cm="1">
        <f t="array" ref="BW23">SUM(_xlfn.XLOOKUP($S23:$AL23,增益!$A:$A,增益!$W:$W,0))+$I$5</f>
        <v>0.11</v>
      </c>
      <c r="BX23" s="33" cm="1">
        <f t="array" ref="BX23">VLOOKUP($R23,武学奇术!$A:$ZZ,32,FALSE)+SUM(_xlfn.XLOOKUP($S23:$AL23,增益!$A:$A,增益!$X:$X,0))</f>
        <v>0</v>
      </c>
    </row>
    <row r="24" spans="1:76">
      <c r="A24" s="47"/>
      <c r="B24">
        <f>期望!B24</f>
        <v>480</v>
      </c>
      <c r="E24" s="47" t="str">
        <f>期望!E24</f>
        <v>陌刀</v>
      </c>
      <c r="F24" s="47"/>
      <c r="L24" s="46">
        <f t="shared" si="0"/>
        <v>22851.432401996</v>
      </c>
      <c r="M24" s="46">
        <f>((($AT24+$AU24)/2*$AN24+$AO24)*(1+$AV24)*(1+$AW24)+(($AY24+$AZ24)/2*IF($G$1="鸣金",$AP24,$AN24)+IF($G$1="鸣金",$AQ24*1.5,0))*(1+$BA24)*(1+$BB24)+(($BC24+$BD24)/2*IF($G$1="裂石",$AP24,$AN24)+IF($G$1="裂石",$AQ24*1.5,0))*(1+$BE24)*(1+$BF24)+(($BG24+$BH24)/2*IF($G$1="牵丝",$AP24,$AN24)+IF($G$1="牵丝",$AQ24*1.5,0))*(1+$BI24)*(1+$BJ24)+(($BK24+$BL24)/2*IF($G$1="破竹",$AP24,$AN24)+IF($G$1="破竹",$AQ24*1.5,0))*(1+$BM24)*(1+$BN24))*(1+$AR24)*$BQ24*$Q24*(1+IF(VLOOKUP($R24,武学奇术!$A:$ZZ,30,FALSE)="蓄力技",$B$21,0))*(1+IF(VLOOKUP($R24,武学奇术!$A:$ZZ,30,FALSE)="派生技",$B$20,0))*(1+$BW24)*(1+$BX24)</f>
        <v>22851.432401996</v>
      </c>
      <c r="N24" s="46">
        <f>(($AU24*$AN24+$AO24)*(1+$AV24)*(1+$AW24)+($AZ24*IF($G$1="鸣金",$AP24,$AN24)+IF($G$1="鸣金",$AQ24*1.5,0))*(1+$BA24)*(1+$BB24)+($BD24*IF($G$1="裂石",$AP24,$AN24)+IF($G$1="裂石",$AQ24*1.5,0))*(1+$BE24)*(1+$BF24)+($BH24*IF($G$1="牵丝",$AP24,$AN24)+IF($G$1="牵丝",$AQ24*1.5,0))*(1+$BI24)*(1+$BJ24)+($BL24*IF($G$1="破竹",$AP24,$AN24)+IF($G$1="破竹",$AQ24*1.5,0))*(1+$BM24)*(1+$BN24))*(1+$AR24)*$BS24*$Q24*(1+IF(VLOOKUP($R24,武学奇术!$A:$ZZ,30,FALSE)="蓄力技",$B$21,0))*(1+IF(VLOOKUP($R24,武学奇术!$A:$ZZ,30,FALSE)="派生技",$B$20,0))*(1+$BW24)*(1+$BX24)</f>
        <v>17373.8302775035</v>
      </c>
      <c r="O24" s="46">
        <f>((($AT24+$AU24)/2*$AN24+$AO24)*(1+$AV24)*(1+$AW24)+(($AY24+$AZ24)/2*IF($G$1="鸣金",$AP24,$AN24)+IF($G$1="鸣金",$AQ24*1.5,0))*(1+$BA24)*(1+$BB24)+(($BC24+$BD24)/2*IF($G$1="裂石",$AP24,$AN24)+IF($G$1="裂石",$AQ24*1.5,0))*(1+$BE24)*(1+$BF24)+(($BG24+$BH24)/2*IF($G$1="牵丝",$AP24,$AN24)+IF($G$1="牵丝",$AQ24*1.5,0))*(1+$BI24)*(1+$BJ24)+(($BK24+$BL24)/2*IF($G$1="破竹",$AP24,$AN24)+IF($G$1="破竹",$AQ24*1.5,0))*(1+$BM24)*(1+$BN24))*(1+$AR24)*$Q24*(1+IF(VLOOKUP($R24,武学奇术!$A:$ZZ,30,FALSE)="蓄力技",$B$21,0))*(1+IF(VLOOKUP($R24,武学奇术!$A:$ZZ,30,FALSE)="派生技",$B$20,0))*(1+$BW24)*(1+$BX24)</f>
        <v>11256.8632522148</v>
      </c>
      <c r="P24" s="46">
        <f>((($AT24*$AN24+$AO24)*(1+$AV24)*(1+$AW24)+($AY24*IF($G$1="鸣金",$AP24,$AN24)+IF($G$1="鸣金",$AQ24*1.5,0))*(1+$BA24)*(1+$BB24)+($BC24*IF($G$1="裂石",$AP24,$AN24)+IF($G$1="裂石",$AQ24*1.5,0))*(1+$BE24)*(1+$BF24)+($BG24*IF($G$1="牵丝",$AP24,$AN24)+IF($G$1="牵丝",$AQ24*1.5,0))*(1+$BI24)*(1+$BJ24)+($BK24*IF($G$1="破竹",$AP24,$AN24)+IF($G$1="破竹",$AQ24*1.5,0))*(1+$BM24)*(1+$BN24))*(1+$AR24))*$Q24*(1+IF(VLOOKUP($R24,武学奇术!$A:$ZZ,30,FALSE)="蓄力技",$B$21,0))*(1+IF(VLOOKUP($R24,武学奇术!$A:$ZZ,30,FALSE)="派生技",$B$20,0))*(1+$BW24)*(1+$BX24)</f>
        <v>9644.22259516773</v>
      </c>
      <c r="Q24" s="47">
        <f t="shared" si="13"/>
        <v>1</v>
      </c>
      <c r="R24" s="48" t="s">
        <v>154</v>
      </c>
      <c r="S24" s="48" t="s">
        <v>99</v>
      </c>
      <c r="T24" s="48" t="s">
        <v>95</v>
      </c>
      <c r="U24" s="48" t="s">
        <v>79</v>
      </c>
      <c r="V24" s="48" t="s">
        <v>90</v>
      </c>
      <c r="W24" s="48" t="s">
        <v>141</v>
      </c>
      <c r="X24" s="48" t="s">
        <v>145</v>
      </c>
      <c r="Y24" s="48" t="s">
        <v>74</v>
      </c>
      <c r="Z24" s="48" t="s">
        <v>142</v>
      </c>
      <c r="AA24" s="48" t="s">
        <v>80</v>
      </c>
      <c r="AB24" s="48" t="s">
        <v>80</v>
      </c>
      <c r="AC24" s="48" t="s">
        <v>80</v>
      </c>
      <c r="AD24" s="48" t="s">
        <v>80</v>
      </c>
      <c r="AE24" s="48" t="s">
        <v>80</v>
      </c>
      <c r="AF24" s="48" t="s">
        <v>83</v>
      </c>
      <c r="AG24" s="48" t="s">
        <v>84</v>
      </c>
      <c r="AH24" s="48" t="s">
        <v>80</v>
      </c>
      <c r="AI24" s="48" t="s">
        <v>80</v>
      </c>
      <c r="AJ24" s="48" t="s">
        <v>80</v>
      </c>
      <c r="AK24" s="48" t="s">
        <v>80</v>
      </c>
      <c r="AL24" s="48" t="s">
        <v>80</v>
      </c>
      <c r="AM24" t="str">
        <f>VLOOKUP($R24,武学奇术!$A:$ZZ,25,FALSE)</f>
        <v>陌刀</v>
      </c>
      <c r="AN24" s="33">
        <f>VLOOKUP($R24,武学奇术!$A:$ZZ,26,FALSE)</f>
        <v>0.525</v>
      </c>
      <c r="AO24" s="34">
        <f>VLOOKUP($R24,武学奇术!$A:$ZZ,27,FALSE)*(1+IF(OR($AM24=$F$4,$AM24=$F$5),$B$22,0))</f>
        <v>0</v>
      </c>
      <c r="AP24" s="33">
        <f>VLOOKUP($R24,武学奇术!$A:$ZZ,28,FALSE)</f>
        <v>0.7875</v>
      </c>
      <c r="AQ24" s="34">
        <f>VLOOKUP($R24,武学奇术!$A:$ZZ,29,FALSE)*(1+IF(OR($AM24=$F$4,$AM24=$F$5),$B$22,0))</f>
        <v>0</v>
      </c>
      <c r="AR24" s="33" cm="1">
        <f t="array" ref="AR24">$G$3+IFERROR(VLOOKUP($AM24,$F$4:$G$7,2,FALSE),0)+VLOOKUP($R24,武学奇术!$A:$ZZ,2,FALSE)+SUM(_xlfn.XLOOKUP($S24:$AL24,增益!$A:$A,增益!$B:$B,0))</f>
        <v>0.6643</v>
      </c>
      <c r="AS24" s="33" cm="1">
        <f t="array" ref="AS24">VLOOKUP($R24,武学奇术!$A:$ZZ,5,FALSE)+SUM(_xlfn.XLOOKUP($S24:$AL24,增益!$A:$A,增益!$E:$E,0))</f>
        <v>0</v>
      </c>
      <c r="AT24" cm="1">
        <f t="array" ref="AT24">$D$10*(1+$AS24)+VLOOKUP($R24,武学奇术!$A:$ZZ,3,FALSE)+SUM(_xlfn.XLOOKUP($S24:$AL24,增益!$A:$A,增益!$C:$C,0))-$I$2</f>
        <v>4026</v>
      </c>
      <c r="AU24" cm="1">
        <f t="array" ref="AU24">$E$10*(1+$AS24)+VLOOKUP($R24,武学奇术!$A:$ZZ,4,FALSE)+SUM(_xlfn.XLOOKUP($S24:$AL24,增益!$A:$A,增益!$D:$D,0))-$I$2</f>
        <v>4026</v>
      </c>
      <c r="AV24" s="40" cm="1">
        <f t="array" ref="AV24">IF($F$10-$I$3+VLOOKUP($R24,武学奇术!$A:$ZZ,6,FALSE)+SUM(_xlfn.XLOOKUP($S24:$AL24,增益!$A:$A,增益!$F:$F,0))&gt;0,($F$10-$I$3+VLOOKUP($R24,武学奇术!$A:$ZZ,6,FALSE)+SUM(_xlfn.XLOOKUP($S24:$AL24,增益!$A:$A,增益!$F:$F,0)))/200,($F$10-$I$3+VLOOKUP($R24,武学奇术!$A:$ZZ,6,FALSE)+SUM(_xlfn.XLOOKUP($S24:$AL24,增益!$A:$A,增益!$F:$F,0)))/100)</f>
        <v>0.3534</v>
      </c>
      <c r="AW24" s="40" cm="1">
        <f t="array" ref="AW24">$G$10+VLOOKUP($R24,武学奇术!$A:$ZZ,7,FALSE)+SUM(_xlfn.XLOOKUP($S24:$AL24,增益!$A:$A,增益!$G:$G,0))</f>
        <v>0.12</v>
      </c>
      <c r="AX24" s="33" cm="1">
        <f t="array" ref="AX24">VLOOKUP($R24,武学奇术!$A:$ZZ,8,FALSE)+SUM(_xlfn.XLOOKUP($S24:$AL24,增益!$A:$A,增益!$H:$H,0))</f>
        <v>0</v>
      </c>
      <c r="AY24">
        <f t="shared" si="2"/>
        <v>0</v>
      </c>
      <c r="AZ24">
        <f t="shared" si="3"/>
        <v>0</v>
      </c>
      <c r="BA24" s="40" cm="1">
        <f t="array" ref="BA24">IF($F$11-$I$4+VLOOKUP($R24,武学奇术!$A:$ZZ,9,FALSE)+SUM(_xlfn.XLOOKUP($S24:$AL24,增益!$A:$A,增益!$I:$I,0))&gt;0,($F$11-$I$4+VLOOKUP($R24,武学奇术!$A:$ZZ,9,FALSE)+SUM(_xlfn.XLOOKUP($S24:$AL24,增益!$A:$A,增益!$I:$I,0)))/200,($F$11-$I$4+VLOOKUP($R24,武学奇术!$A:$ZZ,9,FALSE)+SUM(_xlfn.XLOOKUP($S24:$AL24,增益!$A:$A,增益!$I:$I,0)))/100)</f>
        <v>-0.14</v>
      </c>
      <c r="BB24" s="40" cm="1">
        <f t="array" ref="BB24">$G$11+VLOOKUP($R24,武学奇术!$A:$ZZ,10,FALSE)+SUM(_xlfn.XLOOKUP($S24:$AL24,增益!$A:$A,增益!$J:$J,0))</f>
        <v>0</v>
      </c>
      <c r="BC24">
        <f t="shared" si="4"/>
        <v>640.3</v>
      </c>
      <c r="BD24">
        <f t="shared" si="5"/>
        <v>1770.1</v>
      </c>
      <c r="BE24" s="40" cm="1">
        <f t="array" ref="BE24">IF($F$12-$I$4+VLOOKUP($R24,武学奇术!$A:$ZZ,11,FALSE)+SUM(_xlfn.XLOOKUP($S24:$AL24,增益!$A:$A,增益!$K:$K,0))&gt;0,($F$12-$I$4+VLOOKUP($R24,武学奇术!$A:$ZZ,11,FALSE)+SUM(_xlfn.XLOOKUP($S24:$AL24,增益!$A:$A,增益!$K:$K,0)))/200,($F$12-$I$4+VLOOKUP($R24,武学奇术!$A:$ZZ,11,FALSE)+SUM(_xlfn.XLOOKUP($S24:$AL24,增益!$A:$A,增益!$K:$K,0)))/100)</f>
        <v>0.17</v>
      </c>
      <c r="BF24" s="40" cm="1">
        <f t="array" ref="BF24">$G$12+VLOOKUP($R24,武学奇术!$A:$ZZ,12,FALSE)+SUM(_xlfn.XLOOKUP($S24:$AL24,增益!$A:$A,增益!$L:$L,0))</f>
        <v>0.27</v>
      </c>
      <c r="BG24">
        <f t="shared" si="6"/>
        <v>0</v>
      </c>
      <c r="BH24">
        <f t="shared" si="7"/>
        <v>0</v>
      </c>
      <c r="BI24" s="40" cm="1">
        <f t="array" ref="BI24">IF($F$13-$I$4+VLOOKUP($R24,武学奇术!$A:$ZZ,13,FALSE)+SUM(_xlfn.XLOOKUP($S24:$AL24,增益!$A:$A,增益!$M:$M,0))&gt;0,($F$13-$I$4+VLOOKUP($R24,武学奇术!$A:$ZZ,13,FALSE)+SUM(_xlfn.XLOOKUP($S24:$AL24,增益!$A:$A,增益!$K:$K,0)))/200,($F$13-$I$4+VLOOKUP($R24,武学奇术!$A:$ZZ,13,FALSE)+SUM(_xlfn.XLOOKUP($S24:$AL24,增益!$A:$A,增益!$M:$M,0)))/100)</f>
        <v>-0.14</v>
      </c>
      <c r="BJ24" s="40" cm="1">
        <f t="array" ref="BJ24">$G$13+VLOOKUP($R24,武学奇术!$A:$ZZ,14,FALSE)+SUM(_xlfn.XLOOKUP($S24:$AL24,增益!$A:$A,增益!$N:$N,0))</f>
        <v>0</v>
      </c>
      <c r="BK24">
        <f t="shared" si="8"/>
        <v>0</v>
      </c>
      <c r="BL24">
        <f t="shared" si="9"/>
        <v>0</v>
      </c>
      <c r="BM24" s="40" cm="1">
        <f t="array" ref="BM24">IF($F$14-$I$4+VLOOKUP($R24,武学奇术!$A:$ZZ,15,FALSE)+SUM(_xlfn.XLOOKUP($S24:$AL24,增益!$A:$A,增益!$O:$O,0))&gt;0,($F$14-$I$4+VLOOKUP($R24,武学奇术!$A:$ZZ,15,FALSE)+SUM(_xlfn.XLOOKUP($S24:$AL24,增益!$A:$A,增益!$O:$O,0)))/200,($F$14-$I$4+VLOOKUP($R24,武学奇术!$A:$ZZ,15,FALSE)+SUM(_xlfn.XLOOKUP($S24:$AL24,增益!$A:$A,增益!$O:$O,0)))/100)</f>
        <v>-0.14</v>
      </c>
      <c r="BN24" s="40" cm="1">
        <f t="array" ref="BN24">$G$14+VLOOKUP($R24,武学奇术!$A:$ZZ,16,FALSE)+SUM(_xlfn.XLOOKUP($S24:$AL24,增益!$A:$A,增益!$P:$P,0))</f>
        <v>0</v>
      </c>
      <c r="BO24" s="33">
        <f>MIN(IF(VLOOKUP($R24,武学奇术!$A:$ZZ,23,FALSE)=1,100%,$B$8),100%)</f>
        <v>1</v>
      </c>
      <c r="BP24" s="33" cm="1">
        <f t="array" ref="BP24">IF(VLOOKUP($R24,武学奇术!$A:$ZZ,23,FALSE)=1,100%,MIN(80%,$B$9+VLOOKUP($R24,武学奇术!$A:$ZZ,17,FALSE)+SUM(_xlfn.XLOOKUP($S24:$AL24,增益!$A:$A,增益!$Q:$Q,0)))+$B$11+SUM(_xlfn.XLOOKUP($S24:$AL24,增益!$A:$A,增益!$U:$U,0)))*IF(VLOOKUP($R24,武学奇术!$A:$ZZ,24,FALSE)=1,0,1)</f>
        <v>1</v>
      </c>
      <c r="BQ24" s="33" cm="1">
        <f t="array" ref="BQ24">1+$B$13+VLOOKUP($R24,武学奇术!$A:$ZZ,18,FALSE)+SUM(_xlfn.XLOOKUP($S24:$AL24,增益!$A:$A,增益!$R:$R,0))</f>
        <v>2.03</v>
      </c>
      <c r="BR24" s="33" cm="1">
        <f t="array" ref="BR24">IF(VLOOKUP($R24,武学奇术!$A:$ZZ,24,FALSE)=1,100%,MIN(40%,$B$10+VLOOKUP($R24,武学奇术!$A:$ZZ,19,FALSE)+SUM(_xlfn.XLOOKUP($S24:$AL24,增益!$A:$A,增益!$S:$S,0)))+$B$12+SUM(_xlfn.XLOOKUP($S24:$AL24,增益!$A:$A,增益!$V:$V,0)))*IF(VLOOKUP($R24,武学奇术!$A:$ZZ,23,FALSE)=1,0,1)</f>
        <v>0</v>
      </c>
      <c r="BS24" s="33" cm="1">
        <f t="array" ref="BS24">1+$B$14+VLOOKUP($R24,武学奇术!$A:$ZZ,20,FALSE)+SUM(_xlfn.XLOOKUP($S24:$AL24,增益!$A:$A,增益!$T:$T,0))</f>
        <v>1.35</v>
      </c>
      <c r="BT24" s="33">
        <f t="shared" si="10"/>
        <v>1</v>
      </c>
      <c r="BU24" s="33">
        <f t="shared" si="11"/>
        <v>0</v>
      </c>
      <c r="BV24" s="33">
        <f>IF(VLOOKUP($R24,武学奇术!$A:$ZZ,22,FALSE)=1,0,(1-$BO24))*(1-$BR24)</f>
        <v>0</v>
      </c>
      <c r="BW24" s="33" cm="1">
        <f t="array" ref="BW24">SUM(_xlfn.XLOOKUP($S24:$AL24,增益!$A:$A,增益!$W:$W,0))+$I$5</f>
        <v>0.11</v>
      </c>
      <c r="BX24" s="33" cm="1">
        <f t="array" ref="BX24">VLOOKUP($R24,武学奇术!$A:$ZZ,32,FALSE)+SUM(_xlfn.XLOOKUP($S24:$AL24,增益!$A:$A,增益!$X:$X,0))</f>
        <v>0</v>
      </c>
    </row>
    <row r="25" spans="1:76">
      <c r="L25" s="46">
        <f t="shared" si="0"/>
        <v>41132.5783235928</v>
      </c>
      <c r="M25" s="46">
        <f>((($AT25+$AU25)/2*$AN25+$AO25)*(1+$AV25)*(1+$AW25)+(($AY25+$AZ25)/2*IF($G$1="鸣金",$AP25,$AN25)+IF($G$1="鸣金",$AQ25*1.5,0))*(1+$BA25)*(1+$BB25)+(($BC25+$BD25)/2*IF($G$1="裂石",$AP25,$AN25)+IF($G$1="裂石",$AQ25*1.5,0))*(1+$BE25)*(1+$BF25)+(($BG25+$BH25)/2*IF($G$1="牵丝",$AP25,$AN25)+IF($G$1="牵丝",$AQ25*1.5,0))*(1+$BI25)*(1+$BJ25)+(($BK25+$BL25)/2*IF($G$1="破竹",$AP25,$AN25)+IF($G$1="破竹",$AQ25*1.5,0))*(1+$BM25)*(1+$BN25))*(1+$AR25)*$BQ25*$Q25*(1+IF(VLOOKUP($R25,武学奇术!$A:$ZZ,30,FALSE)="蓄力技",$B$21,0))*(1+IF(VLOOKUP($R25,武学奇术!$A:$ZZ,30,FALSE)="派生技",$B$20,0))*(1+$BW25)*(1+$BX25)</f>
        <v>41132.5783235928</v>
      </c>
      <c r="N25" s="46">
        <f>(($AU25*$AN25+$AO25)*(1+$AV25)*(1+$AW25)+($AZ25*IF($G$1="鸣金",$AP25,$AN25)+IF($G$1="鸣金",$AQ25*1.5,0))*(1+$BA25)*(1+$BB25)+($BD25*IF($G$1="裂石",$AP25,$AN25)+IF($G$1="裂石",$AQ25*1.5,0))*(1+$BE25)*(1+$BF25)+($BH25*IF($G$1="牵丝",$AP25,$AN25)+IF($G$1="牵丝",$AQ25*1.5,0))*(1+$BI25)*(1+$BJ25)+($BL25*IF($G$1="破竹",$AP25,$AN25)+IF($G$1="破竹",$AQ25*1.5,0))*(1+$BM25)*(1+$BN25))*(1+$AR25)*$BS25*$Q25*(1+IF(VLOOKUP($R25,武学奇术!$A:$ZZ,30,FALSE)="蓄力技",$B$21,0))*(1+IF(VLOOKUP($R25,武学奇术!$A:$ZZ,30,FALSE)="派生技",$B$20,0))*(1+$BW25)*(1+$BX25)</f>
        <v>31272.8944995063</v>
      </c>
      <c r="O25" s="46">
        <f>((($AT25+$AU25)/2*$AN25+$AO25)*(1+$AV25)*(1+$AW25)+(($AY25+$AZ25)/2*IF($G$1="鸣金",$AP25,$AN25)+IF($G$1="鸣金",$AQ25*1.5,0))*(1+$BA25)*(1+$BB25)+(($BC25+$BD25)/2*IF($G$1="裂石",$AP25,$AN25)+IF($G$1="裂石",$AQ25*1.5,0))*(1+$BE25)*(1+$BF25)+(($BG25+$BH25)/2*IF($G$1="牵丝",$AP25,$AN25)+IF($G$1="牵丝",$AQ25*1.5,0))*(1+$BI25)*(1+$BJ25)+(($BK25+$BL25)/2*IF($G$1="破竹",$AP25,$AN25)+IF($G$1="破竹",$AQ25*1.5,0))*(1+$BM25)*(1+$BN25))*(1+$AR25)*$Q25*(1+IF(VLOOKUP($R25,武学奇术!$A:$ZZ,30,FALSE)="蓄力技",$B$21,0))*(1+IF(VLOOKUP($R25,武学奇术!$A:$ZZ,30,FALSE)="派生技",$B$20,0))*(1+$BW25)*(1+$BX25)</f>
        <v>20262.3538539866</v>
      </c>
      <c r="P25" s="46">
        <f>((($AT25*$AN25+$AO25)*(1+$AV25)*(1+$AW25)+($AY25*IF($G$1="鸣金",$AP25,$AN25)+IF($G$1="鸣金",$AQ25*1.5,0))*(1+$BA25)*(1+$BB25)+($BC25*IF($G$1="裂石",$AP25,$AN25)+IF($G$1="裂石",$AQ25*1.5,0))*(1+$BE25)*(1+$BF25)+($BG25*IF($G$1="牵丝",$AP25,$AN25)+IF($G$1="牵丝",$AQ25*1.5,0))*(1+$BI25)*(1+$BJ25)+($BK25*IF($G$1="破竹",$AP25,$AN25)+IF($G$1="破竹",$AQ25*1.5,0))*(1+$BM25)*(1+$BN25))*(1+$AR25))*$Q25*(1+IF(VLOOKUP($R25,武学奇术!$A:$ZZ,30,FALSE)="蓄力技",$B$21,0))*(1+IF(VLOOKUP($R25,武学奇术!$A:$ZZ,30,FALSE)="派生技",$B$20,0))*(1+$BW25)*(1+$BX25)</f>
        <v>17359.6006713019</v>
      </c>
      <c r="Q25" s="47">
        <f t="shared" si="13"/>
        <v>1</v>
      </c>
      <c r="R25" s="48" t="s">
        <v>144</v>
      </c>
      <c r="S25" s="48" t="s">
        <v>99</v>
      </c>
      <c r="T25" s="48" t="s">
        <v>95</v>
      </c>
      <c r="U25" s="48" t="s">
        <v>79</v>
      </c>
      <c r="V25" s="48" t="s">
        <v>90</v>
      </c>
      <c r="W25" s="48" t="s">
        <v>141</v>
      </c>
      <c r="X25" s="48" t="s">
        <v>145</v>
      </c>
      <c r="Y25" s="48" t="s">
        <v>74</v>
      </c>
      <c r="Z25" s="48" t="s">
        <v>142</v>
      </c>
      <c r="AA25" s="48" t="s">
        <v>80</v>
      </c>
      <c r="AB25" s="48" t="s">
        <v>80</v>
      </c>
      <c r="AC25" s="48" t="s">
        <v>80</v>
      </c>
      <c r="AD25" s="48" t="s">
        <v>80</v>
      </c>
      <c r="AE25" s="48" t="s">
        <v>80</v>
      </c>
      <c r="AF25" s="48" t="s">
        <v>83</v>
      </c>
      <c r="AG25" s="48" t="s">
        <v>84</v>
      </c>
      <c r="AH25" s="48" t="s">
        <v>80</v>
      </c>
      <c r="AI25" s="48" t="s">
        <v>80</v>
      </c>
      <c r="AJ25" s="48" t="s">
        <v>80</v>
      </c>
      <c r="AK25" s="48" t="s">
        <v>80</v>
      </c>
      <c r="AL25" s="48" t="s">
        <v>80</v>
      </c>
      <c r="AM25" t="str">
        <f>VLOOKUP($R25,武学奇术!$A:$ZZ,25,FALSE)</f>
        <v>陌刀</v>
      </c>
      <c r="AN25" s="33">
        <f>VLOOKUP($R25,武学奇术!$A:$ZZ,26,FALSE)</f>
        <v>0.945</v>
      </c>
      <c r="AO25" s="34">
        <f>VLOOKUP($R25,武学奇术!$A:$ZZ,27,FALSE)*(1+IF(OR($AM25=$F$4,$AM25=$F$5),$B$22,0))</f>
        <v>0</v>
      </c>
      <c r="AP25" s="33">
        <f>VLOOKUP($R25,武学奇术!$A:$ZZ,28,FALSE)</f>
        <v>1.4175</v>
      </c>
      <c r="AQ25" s="34">
        <f>VLOOKUP($R25,武学奇术!$A:$ZZ,29,FALSE)*(1+IF(OR($AM25=$F$4,$AM25=$F$5),$B$22,0))</f>
        <v>0</v>
      </c>
      <c r="AR25" s="33" cm="1">
        <f t="array" ref="AR25">$G$3+IFERROR(VLOOKUP($AM25,$F$4:$G$7,2,FALSE),0)+VLOOKUP($R25,武学奇术!$A:$ZZ,2,FALSE)+SUM(_xlfn.XLOOKUP($S25:$AL25,增益!$A:$A,增益!$B:$B,0))</f>
        <v>0.6643</v>
      </c>
      <c r="AS25" s="33" cm="1">
        <f t="array" ref="AS25">VLOOKUP($R25,武学奇术!$A:$ZZ,5,FALSE)+SUM(_xlfn.XLOOKUP($S25:$AL25,增益!$A:$A,增益!$E:$E,0))</f>
        <v>0</v>
      </c>
      <c r="AT25" cm="1">
        <f t="array" ref="AT25">$D$10*(1+$AS25)+VLOOKUP($R25,武学奇术!$A:$ZZ,3,FALSE)+SUM(_xlfn.XLOOKUP($S25:$AL25,增益!$A:$A,增益!$C:$C,0))-$I$2</f>
        <v>4026</v>
      </c>
      <c r="AU25" cm="1">
        <f t="array" ref="AU25">$E$10*(1+$AS25)+VLOOKUP($R25,武学奇术!$A:$ZZ,4,FALSE)+SUM(_xlfn.XLOOKUP($S25:$AL25,增益!$A:$A,增益!$D:$D,0))-$I$2</f>
        <v>4026</v>
      </c>
      <c r="AV25" s="40" cm="1">
        <f t="array" ref="AV25">IF($F$10-$I$3+VLOOKUP($R25,武学奇术!$A:$ZZ,6,FALSE)+SUM(_xlfn.XLOOKUP($S25:$AL25,增益!$A:$A,增益!$F:$F,0))&gt;0,($F$10-$I$3+VLOOKUP($R25,武学奇术!$A:$ZZ,6,FALSE)+SUM(_xlfn.XLOOKUP($S25:$AL25,增益!$A:$A,增益!$F:$F,0)))/200,($F$10-$I$3+VLOOKUP($R25,武学奇术!$A:$ZZ,6,FALSE)+SUM(_xlfn.XLOOKUP($S25:$AL25,增益!$A:$A,增益!$F:$F,0)))/100)</f>
        <v>0.3534</v>
      </c>
      <c r="AW25" s="40" cm="1">
        <f t="array" ref="AW25">$G$10+VLOOKUP($R25,武学奇术!$A:$ZZ,7,FALSE)+SUM(_xlfn.XLOOKUP($S25:$AL25,增益!$A:$A,增益!$G:$G,0))</f>
        <v>0.12</v>
      </c>
      <c r="AX25" s="33" cm="1">
        <f t="array" ref="AX25">VLOOKUP($R25,武学奇术!$A:$ZZ,8,FALSE)+SUM(_xlfn.XLOOKUP($S25:$AL25,增益!$A:$A,增益!$H:$H,0))</f>
        <v>0</v>
      </c>
      <c r="AY25">
        <f t="shared" si="2"/>
        <v>0</v>
      </c>
      <c r="AZ25">
        <f t="shared" si="3"/>
        <v>0</v>
      </c>
      <c r="BA25" s="40" cm="1">
        <f t="array" ref="BA25">IF($F$11-$I$4+VLOOKUP($R25,武学奇术!$A:$ZZ,9,FALSE)+SUM(_xlfn.XLOOKUP($S25:$AL25,增益!$A:$A,增益!$I:$I,0))&gt;0,($F$11-$I$4+VLOOKUP($R25,武学奇术!$A:$ZZ,9,FALSE)+SUM(_xlfn.XLOOKUP($S25:$AL25,增益!$A:$A,增益!$I:$I,0)))/200,($F$11-$I$4+VLOOKUP($R25,武学奇术!$A:$ZZ,9,FALSE)+SUM(_xlfn.XLOOKUP($S25:$AL25,增益!$A:$A,增益!$I:$I,0)))/100)</f>
        <v>-0.14</v>
      </c>
      <c r="BB25" s="40" cm="1">
        <f t="array" ref="BB25">$G$11+VLOOKUP($R25,武学奇术!$A:$ZZ,10,FALSE)+SUM(_xlfn.XLOOKUP($S25:$AL25,增益!$A:$A,增益!$J:$J,0))</f>
        <v>0</v>
      </c>
      <c r="BC25">
        <f t="shared" si="4"/>
        <v>640.3</v>
      </c>
      <c r="BD25">
        <f t="shared" si="5"/>
        <v>1770.1</v>
      </c>
      <c r="BE25" s="40" cm="1">
        <f t="array" ref="BE25">IF($F$12-$I$4+VLOOKUP($R25,武学奇术!$A:$ZZ,11,FALSE)+SUM(_xlfn.XLOOKUP($S25:$AL25,增益!$A:$A,增益!$K:$K,0))&gt;0,($F$12-$I$4+VLOOKUP($R25,武学奇术!$A:$ZZ,11,FALSE)+SUM(_xlfn.XLOOKUP($S25:$AL25,增益!$A:$A,增益!$K:$K,0)))/200,($F$12-$I$4+VLOOKUP($R25,武学奇术!$A:$ZZ,11,FALSE)+SUM(_xlfn.XLOOKUP($S25:$AL25,增益!$A:$A,增益!$K:$K,0)))/100)</f>
        <v>0.17</v>
      </c>
      <c r="BF25" s="40" cm="1">
        <f t="array" ref="BF25">$G$12+VLOOKUP($R25,武学奇术!$A:$ZZ,12,FALSE)+SUM(_xlfn.XLOOKUP($S25:$AL25,增益!$A:$A,增益!$L:$L,0))</f>
        <v>0.27</v>
      </c>
      <c r="BG25">
        <f t="shared" si="6"/>
        <v>0</v>
      </c>
      <c r="BH25">
        <f t="shared" si="7"/>
        <v>0</v>
      </c>
      <c r="BI25" s="40" cm="1">
        <f t="array" ref="BI25">IF($F$13-$I$4+VLOOKUP($R25,武学奇术!$A:$ZZ,13,FALSE)+SUM(_xlfn.XLOOKUP($S25:$AL25,增益!$A:$A,增益!$M:$M,0))&gt;0,($F$13-$I$4+VLOOKUP($R25,武学奇术!$A:$ZZ,13,FALSE)+SUM(_xlfn.XLOOKUP($S25:$AL25,增益!$A:$A,增益!$K:$K,0)))/200,($F$13-$I$4+VLOOKUP($R25,武学奇术!$A:$ZZ,13,FALSE)+SUM(_xlfn.XLOOKUP($S25:$AL25,增益!$A:$A,增益!$M:$M,0)))/100)</f>
        <v>-0.14</v>
      </c>
      <c r="BJ25" s="40" cm="1">
        <f t="array" ref="BJ25">$G$13+VLOOKUP($R25,武学奇术!$A:$ZZ,14,FALSE)+SUM(_xlfn.XLOOKUP($S25:$AL25,增益!$A:$A,增益!$N:$N,0))</f>
        <v>0</v>
      </c>
      <c r="BK25">
        <f t="shared" si="8"/>
        <v>0</v>
      </c>
      <c r="BL25">
        <f t="shared" si="9"/>
        <v>0</v>
      </c>
      <c r="BM25" s="40" cm="1">
        <f t="array" ref="BM25">IF($F$14-$I$4+VLOOKUP($R25,武学奇术!$A:$ZZ,15,FALSE)+SUM(_xlfn.XLOOKUP($S25:$AL25,增益!$A:$A,增益!$O:$O,0))&gt;0,($F$14-$I$4+VLOOKUP($R25,武学奇术!$A:$ZZ,15,FALSE)+SUM(_xlfn.XLOOKUP($S25:$AL25,增益!$A:$A,增益!$O:$O,0)))/200,($F$14-$I$4+VLOOKUP($R25,武学奇术!$A:$ZZ,15,FALSE)+SUM(_xlfn.XLOOKUP($S25:$AL25,增益!$A:$A,增益!$O:$O,0)))/100)</f>
        <v>-0.14</v>
      </c>
      <c r="BN25" s="40" cm="1">
        <f t="array" ref="BN25">$G$14+VLOOKUP($R25,武学奇术!$A:$ZZ,16,FALSE)+SUM(_xlfn.XLOOKUP($S25:$AL25,增益!$A:$A,增益!$P:$P,0))</f>
        <v>0</v>
      </c>
      <c r="BO25" s="33">
        <f>MIN(IF(VLOOKUP($R25,武学奇术!$A:$ZZ,23,FALSE)=1,100%,$B$8),100%)</f>
        <v>1</v>
      </c>
      <c r="BP25" s="33" cm="1">
        <f t="array" ref="BP25">IF(VLOOKUP($R25,武学奇术!$A:$ZZ,23,FALSE)=1,100%,MIN(80%,$B$9+VLOOKUP($R25,武学奇术!$A:$ZZ,17,FALSE)+SUM(_xlfn.XLOOKUP($S25:$AL25,增益!$A:$A,增益!$Q:$Q,0)))+$B$11+SUM(_xlfn.XLOOKUP($S25:$AL25,增益!$A:$A,增益!$U:$U,0)))*IF(VLOOKUP($R25,武学奇术!$A:$ZZ,24,FALSE)=1,0,1)</f>
        <v>1</v>
      </c>
      <c r="BQ25" s="33" cm="1">
        <f t="array" ref="BQ25">1+$B$13+VLOOKUP($R25,武学奇术!$A:$ZZ,18,FALSE)+SUM(_xlfn.XLOOKUP($S25:$AL25,增益!$A:$A,增益!$R:$R,0))</f>
        <v>2.03</v>
      </c>
      <c r="BR25" s="33" cm="1">
        <f t="array" ref="BR25">IF(VLOOKUP($R25,武学奇术!$A:$ZZ,24,FALSE)=1,100%,MIN(40%,$B$10+VLOOKUP($R25,武学奇术!$A:$ZZ,19,FALSE)+SUM(_xlfn.XLOOKUP($S25:$AL25,增益!$A:$A,增益!$S:$S,0)))+$B$12+SUM(_xlfn.XLOOKUP($S25:$AL25,增益!$A:$A,增益!$V:$V,0)))*IF(VLOOKUP($R25,武学奇术!$A:$ZZ,23,FALSE)=1,0,1)</f>
        <v>0</v>
      </c>
      <c r="BS25" s="33" cm="1">
        <f t="array" ref="BS25">1+$B$14+VLOOKUP($R25,武学奇术!$A:$ZZ,20,FALSE)+SUM(_xlfn.XLOOKUP($S25:$AL25,增益!$A:$A,增益!$T:$T,0))</f>
        <v>1.35</v>
      </c>
      <c r="BT25" s="33">
        <f t="shared" si="10"/>
        <v>1</v>
      </c>
      <c r="BU25" s="33">
        <f t="shared" si="11"/>
        <v>0</v>
      </c>
      <c r="BV25" s="33">
        <f>IF(VLOOKUP($R25,武学奇术!$A:$ZZ,22,FALSE)=1,0,(1-$BO25))*(1-$BR25)</f>
        <v>0</v>
      </c>
      <c r="BW25" s="33" cm="1">
        <f t="array" ref="BW25">SUM(_xlfn.XLOOKUP($S25:$AL25,增益!$A:$A,增益!$W:$W,0))+$I$5</f>
        <v>0.11</v>
      </c>
      <c r="BX25" s="33" cm="1">
        <f t="array" ref="BX25">VLOOKUP($R25,武学奇术!$A:$ZZ,32,FALSE)+SUM(_xlfn.XLOOKUP($S25:$AL25,增益!$A:$A,增益!$X:$X,0))</f>
        <v>0</v>
      </c>
    </row>
    <row r="26" spans="1:76">
      <c r="L26" s="46">
        <f t="shared" si="0"/>
        <v>371978.065506092</v>
      </c>
      <c r="M26" s="46">
        <f>((($AT26+$AU26)/2*$AN26+$AO26)*(1+$AV26)*(1+$AW26)+(($AY26+$AZ26)/2*IF($G$1="鸣金",$AP26,$AN26)+IF($G$1="鸣金",$AQ26*1.5,0))*(1+$BA26)*(1+$BB26)+(($BC26+$BD26)/2*IF($G$1="裂石",$AP26,$AN26)+IF($G$1="裂石",$AQ26*1.5,0))*(1+$BE26)*(1+$BF26)+(($BG26+$BH26)/2*IF($G$1="牵丝",$AP26,$AN26)+IF($G$1="牵丝",$AQ26*1.5,0))*(1+$BI26)*(1+$BJ26)+(($BK26+$BL26)/2*IF($G$1="破竹",$AP26,$AN26)+IF($G$1="破竹",$AQ26*1.5,0))*(1+$BM26)*(1+$BN26))*(1+$AR26)*$BQ26*$Q26*(1+IF(VLOOKUP($R26,武学奇术!$A:$ZZ,30,FALSE)="蓄力技",$B$21,0))*(1+IF(VLOOKUP($R26,武学奇术!$A:$ZZ,30,FALSE)="派生技",$B$20,0))*(1+$BW26)*(1+$BX26)</f>
        <v>371978.065506092</v>
      </c>
      <c r="N26" s="46">
        <f>(($AU26*$AN26+$AO26)*(1+$AV26)*(1+$AW26)+($AZ26*IF($G$1="鸣金",$AP26,$AN26)+IF($G$1="鸣金",$AQ26*1.5,0))*(1+$BA26)*(1+$BB26)+($BD26*IF($G$1="裂石",$AP26,$AN26)+IF($G$1="裂石",$AQ26*1.5,0))*(1+$BE26)*(1+$BF26)+($BH26*IF($G$1="牵丝",$AP26,$AN26)+IF($G$1="牵丝",$AQ26*1.5,0))*(1+$BI26)*(1+$BJ26)+($BL26*IF($G$1="破竹",$AP26,$AN26)+IF($G$1="破竹",$AQ26*1.5,0))*(1+$BM26)*(1+$BN26))*(1+$AR26)*$BS26*$Q26*(1+IF(VLOOKUP($R26,武学奇术!$A:$ZZ,30,FALSE)="蓄力技",$B$21,0))*(1+IF(VLOOKUP($R26,武学奇术!$A:$ZZ,30,FALSE)="派生技",$B$20,0))*(1+$BW26)*(1+$BX26)</f>
        <v>277165.548335582</v>
      </c>
      <c r="O26" s="46">
        <f>((($AT26+$AU26)/2*$AN26+$AO26)*(1+$AV26)*(1+$AW26)+(($AY26+$AZ26)/2*IF($G$1="鸣金",$AP26,$AN26)+IF($G$1="鸣金",$AQ26*1.5,0))*(1+$BA26)*(1+$BB26)+(($BC26+$BD26)/2*IF($G$1="裂石",$AP26,$AN26)+IF($G$1="裂石",$AQ26*1.5,0))*(1+$BE26)*(1+$BF26)+(($BG26+$BH26)/2*IF($G$1="牵丝",$AP26,$AN26)+IF($G$1="牵丝",$AQ26*1.5,0))*(1+$BI26)*(1+$BJ26)+(($BK26+$BL26)/2*IF($G$1="破竹",$AP26,$AN26)+IF($G$1="破竹",$AQ26*1.5,0))*(1+$BM26)*(1+$BN26))*(1+$AR26)*$Q26*(1+IF(VLOOKUP($R26,武学奇术!$A:$ZZ,30,FALSE)="蓄力技",$B$21,0))*(1+IF(VLOOKUP($R26,武学奇术!$A:$ZZ,30,FALSE)="派生技",$B$20,0))*(1+$BW26)*(1+$BX26)</f>
        <v>182342.188973575</v>
      </c>
      <c r="P26" s="46">
        <f>((($AT26*$AN26+$AO26)*(1+$AV26)*(1+$AW26)+($AY26*IF($G$1="鸣金",$AP26,$AN26)+IF($G$1="鸣金",$AQ26*1.5,0))*(1+$BA26)*(1+$BB26)+($BC26*IF($G$1="裂石",$AP26,$AN26)+IF($G$1="裂石",$AQ26*1.5,0))*(1+$BE26)*(1+$BF26)+($BG26*IF($G$1="牵丝",$AP26,$AN26)+IF($G$1="牵丝",$AQ26*1.5,0))*(1+$BI26)*(1+$BJ26)+($BK26*IF($G$1="破竹",$AP26,$AN26)+IF($G$1="破竹",$AQ26*1.5,0))*(1+$BM26)*(1+$BN26))*(1+$AR26))*$Q26*(1+IF(VLOOKUP($R26,武学奇术!$A:$ZZ,30,FALSE)="蓄力技",$B$21,0))*(1+IF(VLOOKUP($R26,武学奇术!$A:$ZZ,30,FALSE)="派生技",$B$20,0))*(1+$BW26)*(1+$BX26)</f>
        <v>159376.564365237</v>
      </c>
      <c r="Q26" s="47">
        <f t="shared" si="13"/>
        <v>1</v>
      </c>
      <c r="R26" s="48" t="s">
        <v>148</v>
      </c>
      <c r="S26" s="48" t="s">
        <v>99</v>
      </c>
      <c r="T26" s="48" t="s">
        <v>100</v>
      </c>
      <c r="U26" s="48" t="s">
        <v>79</v>
      </c>
      <c r="V26" s="48" t="s">
        <v>90</v>
      </c>
      <c r="W26" s="48" t="s">
        <v>141</v>
      </c>
      <c r="X26" s="48" t="s">
        <v>145</v>
      </c>
      <c r="Y26" s="48" t="s">
        <v>74</v>
      </c>
      <c r="Z26" s="48" t="s">
        <v>149</v>
      </c>
      <c r="AA26" s="48" t="s">
        <v>80</v>
      </c>
      <c r="AB26" s="48" t="s">
        <v>80</v>
      </c>
      <c r="AC26" s="48" t="s">
        <v>80</v>
      </c>
      <c r="AD26" s="48" t="s">
        <v>80</v>
      </c>
      <c r="AE26" s="48" t="s">
        <v>80</v>
      </c>
      <c r="AF26" s="48" t="s">
        <v>83</v>
      </c>
      <c r="AG26" s="48" t="s">
        <v>84</v>
      </c>
      <c r="AH26" s="48" t="s">
        <v>80</v>
      </c>
      <c r="AI26" s="48" t="s">
        <v>80</v>
      </c>
      <c r="AJ26" s="48" t="s">
        <v>80</v>
      </c>
      <c r="AK26" s="48" t="s">
        <v>80</v>
      </c>
      <c r="AL26" s="48" t="s">
        <v>80</v>
      </c>
      <c r="AM26" t="str">
        <f>VLOOKUP($R26,武学奇术!$A:$ZZ,25,FALSE)</f>
        <v>陌刀</v>
      </c>
      <c r="AN26" s="33">
        <f>VLOOKUP($R26,武学奇术!$A:$ZZ,26,FALSE)</f>
        <v>7.5674</v>
      </c>
      <c r="AO26" s="34">
        <f>VLOOKUP($R26,武学奇术!$A:$ZZ,27,FALSE)*(1+IF(OR($AM26=$F$4,$AM26=$F$5),$B$22,0))</f>
        <v>3348.8</v>
      </c>
      <c r="AP26" s="33">
        <f>VLOOKUP($R26,武学奇术!$A:$ZZ,28,FALSE)</f>
        <v>11.3512</v>
      </c>
      <c r="AQ26" s="34">
        <f>VLOOKUP($R26,武学奇术!$A:$ZZ,29,FALSE)*(1+IF(OR($AM26=$F$4,$AM26=$F$5),$B$22,0))</f>
        <v>1824</v>
      </c>
      <c r="AR26" s="33" cm="1">
        <f t="array" ref="AR26">$G$3+IFERROR(VLOOKUP($AM26,$F$4:$G$7,2,FALSE),0)+VLOOKUP($R26,武学奇术!$A:$ZZ,2,FALSE)+SUM(_xlfn.XLOOKUP($S26:$AL26,增益!$A:$A,增益!$B:$B,0))</f>
        <v>0.6443</v>
      </c>
      <c r="AS26" s="33" cm="1">
        <f t="array" ref="AS26">VLOOKUP($R26,武学奇术!$A:$ZZ,5,FALSE)+SUM(_xlfn.XLOOKUP($S26:$AL26,增益!$A:$A,增益!$E:$E,0))</f>
        <v>0</v>
      </c>
      <c r="AT26" cm="1">
        <f t="array" ref="AT26">$D$10*(1+$AS26)+VLOOKUP($R26,武学奇术!$A:$ZZ,3,FALSE)+SUM(_xlfn.XLOOKUP($S26:$AL26,增益!$A:$A,增益!$C:$C,0))-$I$2</f>
        <v>4026</v>
      </c>
      <c r="AU26" cm="1">
        <f t="array" ref="AU26">$E$10*(1+$AS26)+VLOOKUP($R26,武学奇术!$A:$ZZ,4,FALSE)+SUM(_xlfn.XLOOKUP($S26:$AL26,增益!$A:$A,增益!$D:$D,0))-$I$2</f>
        <v>4026</v>
      </c>
      <c r="AV26" s="40" cm="1">
        <f t="array" ref="AV26">IF($F$10-$I$3+VLOOKUP($R26,武学奇术!$A:$ZZ,6,FALSE)+SUM(_xlfn.XLOOKUP($S26:$AL26,增益!$A:$A,增益!$F:$F,0))&gt;0,($F$10-$I$3+VLOOKUP($R26,武学奇术!$A:$ZZ,6,FALSE)+SUM(_xlfn.XLOOKUP($S26:$AL26,增益!$A:$A,增益!$F:$F,0)))/200,($F$10-$I$3+VLOOKUP($R26,武学奇术!$A:$ZZ,6,FALSE)+SUM(_xlfn.XLOOKUP($S26:$AL26,增益!$A:$A,增益!$F:$F,0)))/100)</f>
        <v>0.3534</v>
      </c>
      <c r="AW26" s="40" cm="1">
        <f t="array" ref="AW26">$G$10+VLOOKUP($R26,武学奇术!$A:$ZZ,7,FALSE)+SUM(_xlfn.XLOOKUP($S26:$AL26,增益!$A:$A,增益!$G:$G,0))</f>
        <v>0.12</v>
      </c>
      <c r="AX26" s="33" cm="1">
        <f t="array" ref="AX26">VLOOKUP($R26,武学奇术!$A:$ZZ,8,FALSE)+SUM(_xlfn.XLOOKUP($S26:$AL26,增益!$A:$A,增益!$H:$H,0))</f>
        <v>0</v>
      </c>
      <c r="AY26">
        <f t="shared" si="2"/>
        <v>0</v>
      </c>
      <c r="AZ26">
        <f t="shared" si="3"/>
        <v>0</v>
      </c>
      <c r="BA26" s="40" cm="1">
        <f t="array" ref="BA26">IF($F$11-$I$4+VLOOKUP($R26,武学奇术!$A:$ZZ,9,FALSE)+SUM(_xlfn.XLOOKUP($S26:$AL26,增益!$A:$A,增益!$I:$I,0))&gt;0,($F$11-$I$4+VLOOKUP($R26,武学奇术!$A:$ZZ,9,FALSE)+SUM(_xlfn.XLOOKUP($S26:$AL26,增益!$A:$A,增益!$I:$I,0)))/200,($F$11-$I$4+VLOOKUP($R26,武学奇术!$A:$ZZ,9,FALSE)+SUM(_xlfn.XLOOKUP($S26:$AL26,增益!$A:$A,增益!$I:$I,0)))/100)</f>
        <v>-0.14</v>
      </c>
      <c r="BB26" s="40" cm="1">
        <f t="array" ref="BB26">$G$11+VLOOKUP($R26,武学奇术!$A:$ZZ,10,FALSE)+SUM(_xlfn.XLOOKUP($S26:$AL26,增益!$A:$A,增益!$J:$J,0))</f>
        <v>0</v>
      </c>
      <c r="BC26">
        <f t="shared" si="4"/>
        <v>640.3</v>
      </c>
      <c r="BD26">
        <f t="shared" si="5"/>
        <v>1770.1</v>
      </c>
      <c r="BE26" s="40" cm="1">
        <f t="array" ref="BE26">IF($F$12-$I$4+VLOOKUP($R26,武学奇术!$A:$ZZ,11,FALSE)+SUM(_xlfn.XLOOKUP($S26:$AL26,增益!$A:$A,增益!$K:$K,0))&gt;0,($F$12-$I$4+VLOOKUP($R26,武学奇术!$A:$ZZ,11,FALSE)+SUM(_xlfn.XLOOKUP($S26:$AL26,增益!$A:$A,增益!$K:$K,0)))/200,($F$12-$I$4+VLOOKUP($R26,武学奇术!$A:$ZZ,11,FALSE)+SUM(_xlfn.XLOOKUP($S26:$AL26,增益!$A:$A,增益!$K:$K,0)))/100)</f>
        <v>0.17</v>
      </c>
      <c r="BF26" s="40" cm="1">
        <f t="array" ref="BF26">$G$12+VLOOKUP($R26,武学奇术!$A:$ZZ,12,FALSE)+SUM(_xlfn.XLOOKUP($S26:$AL26,增益!$A:$A,增益!$L:$L,0))</f>
        <v>0.27</v>
      </c>
      <c r="BG26">
        <f t="shared" si="6"/>
        <v>0</v>
      </c>
      <c r="BH26">
        <f t="shared" si="7"/>
        <v>0</v>
      </c>
      <c r="BI26" s="40" cm="1">
        <f t="array" ref="BI26">IF($F$13-$I$4+VLOOKUP($R26,武学奇术!$A:$ZZ,13,FALSE)+SUM(_xlfn.XLOOKUP($S26:$AL26,增益!$A:$A,增益!$M:$M,0))&gt;0,($F$13-$I$4+VLOOKUP($R26,武学奇术!$A:$ZZ,13,FALSE)+SUM(_xlfn.XLOOKUP($S26:$AL26,增益!$A:$A,增益!$K:$K,0)))/200,($F$13-$I$4+VLOOKUP($R26,武学奇术!$A:$ZZ,13,FALSE)+SUM(_xlfn.XLOOKUP($S26:$AL26,增益!$A:$A,增益!$M:$M,0)))/100)</f>
        <v>-0.14</v>
      </c>
      <c r="BJ26" s="40" cm="1">
        <f t="array" ref="BJ26">$G$13+VLOOKUP($R26,武学奇术!$A:$ZZ,14,FALSE)+SUM(_xlfn.XLOOKUP($S26:$AL26,增益!$A:$A,增益!$N:$N,0))</f>
        <v>0</v>
      </c>
      <c r="BK26">
        <f t="shared" si="8"/>
        <v>0</v>
      </c>
      <c r="BL26">
        <f t="shared" si="9"/>
        <v>0</v>
      </c>
      <c r="BM26" s="40" cm="1">
        <f t="array" ref="BM26">IF($F$14-$I$4+VLOOKUP($R26,武学奇术!$A:$ZZ,15,FALSE)+SUM(_xlfn.XLOOKUP($S26:$AL26,增益!$A:$A,增益!$O:$O,0))&gt;0,($F$14-$I$4+VLOOKUP($R26,武学奇术!$A:$ZZ,15,FALSE)+SUM(_xlfn.XLOOKUP($S26:$AL26,增益!$A:$A,增益!$O:$O,0)))/200,($F$14-$I$4+VLOOKUP($R26,武学奇术!$A:$ZZ,15,FALSE)+SUM(_xlfn.XLOOKUP($S26:$AL26,增益!$A:$A,增益!$O:$O,0)))/100)</f>
        <v>-0.14</v>
      </c>
      <c r="BN26" s="40" cm="1">
        <f t="array" ref="BN26">$G$14+VLOOKUP($R26,武学奇术!$A:$ZZ,16,FALSE)+SUM(_xlfn.XLOOKUP($S26:$AL26,增益!$A:$A,增益!$P:$P,0))</f>
        <v>0</v>
      </c>
      <c r="BO26" s="33">
        <f>MIN(IF(VLOOKUP($R26,武学奇术!$A:$ZZ,23,FALSE)=1,100%,$B$8),100%)</f>
        <v>1</v>
      </c>
      <c r="BP26" s="33" cm="1">
        <f t="array" ref="BP26">IF(VLOOKUP($R26,武学奇术!$A:$ZZ,23,FALSE)=1,100%,MIN(80%,$B$9+VLOOKUP($R26,武学奇术!$A:$ZZ,17,FALSE)+SUM(_xlfn.XLOOKUP($S26:$AL26,增益!$A:$A,增益!$Q:$Q,0)))+$B$11+SUM(_xlfn.XLOOKUP($S26:$AL26,增益!$A:$A,增益!$U:$U,0)))*IF(VLOOKUP($R26,武学奇术!$A:$ZZ,24,FALSE)=1,0,1)</f>
        <v>1</v>
      </c>
      <c r="BQ26" s="33" cm="1">
        <f t="array" ref="BQ26">1+$B$13+VLOOKUP($R26,武学奇术!$A:$ZZ,18,FALSE)+SUM(_xlfn.XLOOKUP($S26:$AL26,增益!$A:$A,增益!$R:$R,0))</f>
        <v>2.04</v>
      </c>
      <c r="BR26" s="33" cm="1">
        <f t="array" ref="BR26">IF(VLOOKUP($R26,武学奇术!$A:$ZZ,24,FALSE)=1,100%,MIN(40%,$B$10+VLOOKUP($R26,武学奇术!$A:$ZZ,19,FALSE)+SUM(_xlfn.XLOOKUP($S26:$AL26,增益!$A:$A,增益!$S:$S,0)))+$B$12+SUM(_xlfn.XLOOKUP($S26:$AL26,增益!$A:$A,增益!$V:$V,0)))*IF(VLOOKUP($R26,武学奇术!$A:$ZZ,23,FALSE)=1,0,1)</f>
        <v>0</v>
      </c>
      <c r="BS26" s="33" cm="1">
        <f t="array" ref="BS26">1+$B$14+VLOOKUP($R26,武学奇术!$A:$ZZ,20,FALSE)+SUM(_xlfn.XLOOKUP($S26:$AL26,增益!$A:$A,增益!$T:$T,0))</f>
        <v>1.35</v>
      </c>
      <c r="BT26" s="33">
        <f t="shared" si="10"/>
        <v>1</v>
      </c>
      <c r="BU26" s="33">
        <f t="shared" si="11"/>
        <v>0</v>
      </c>
      <c r="BV26" s="33">
        <f>IF(VLOOKUP($R26,武学奇术!$A:$ZZ,22,FALSE)=1,0,(1-$BO26))*(1-$BR26)</f>
        <v>0</v>
      </c>
      <c r="BW26" s="33" cm="1">
        <f t="array" ref="BW26">SUM(_xlfn.XLOOKUP($S26:$AL26,增益!$A:$A,增益!$W:$W,0))+$I$5</f>
        <v>0.11</v>
      </c>
      <c r="BX26" s="33" cm="1">
        <f t="array" ref="BX26">VLOOKUP($R26,武学奇术!$A:$ZZ,32,FALSE)+SUM(_xlfn.XLOOKUP($S26:$AL26,增益!$A:$A,增益!$X:$X,0))</f>
        <v>0</v>
      </c>
    </row>
    <row r="27" spans="1:76">
      <c r="L27" s="46">
        <f t="shared" si="0"/>
        <v>22964.0010345182</v>
      </c>
      <c r="M27" s="46">
        <f>((($AT27+$AU27)/2*$AN27+$AO27)*(1+$AV27)*(1+$AW27)+(($AY27+$AZ27)/2*IF($G$1="鸣金",$AP27,$AN27)+IF($G$1="鸣金",$AQ27*1.5,0))*(1+$BA27)*(1+$BB27)+(($BC27+$BD27)/2*IF($G$1="裂石",$AP27,$AN27)+IF($G$1="裂石",$AQ27*1.5,0))*(1+$BE27)*(1+$BF27)+(($BG27+$BH27)/2*IF($G$1="牵丝",$AP27,$AN27)+IF($G$1="牵丝",$AQ27*1.5,0))*(1+$BI27)*(1+$BJ27)+(($BK27+$BL27)/2*IF($G$1="破竹",$AP27,$AN27)+IF($G$1="破竹",$AQ27*1.5,0))*(1+$BM27)*(1+$BN27))*(1+$AR27)*$BQ27*$Q27*(1+IF(VLOOKUP($R27,武学奇术!$A:$ZZ,30,FALSE)="蓄力技",$B$21,0))*(1+IF(VLOOKUP($R27,武学奇术!$A:$ZZ,30,FALSE)="派生技",$B$20,0))*(1+$BW27)*(1+$BX27)</f>
        <v>22964.0010345182</v>
      </c>
      <c r="N27" s="46">
        <f>(($AU27*$AN27+$AO27)*(1+$AV27)*(1+$AW27)+($AZ27*IF($G$1="鸣金",$AP27,$AN27)+IF($G$1="鸣金",$AQ27*1.5,0))*(1+$BA27)*(1+$BB27)+($BD27*IF($G$1="裂石",$AP27,$AN27)+IF($G$1="裂石",$AQ27*1.5,0))*(1+$BE27)*(1+$BF27)+($BH27*IF($G$1="牵丝",$AP27,$AN27)+IF($G$1="牵丝",$AQ27*1.5,0))*(1+$BI27)*(1+$BJ27)+($BL27*IF($G$1="破竹",$AP27,$AN27)+IF($G$1="破竹",$AQ27*1.5,0))*(1+$BM27)*(1+$BN27))*(1+$AR27)*$BS27*$Q27*(1+IF(VLOOKUP($R27,武学奇术!$A:$ZZ,30,FALSE)="蓄力技",$B$21,0))*(1+IF(VLOOKUP($R27,武学奇术!$A:$ZZ,30,FALSE)="派生技",$B$20,0))*(1+$BW27)*(1+$BX27)</f>
        <v>17373.8302775035</v>
      </c>
      <c r="O27" s="46">
        <f>((($AT27+$AU27)/2*$AN27+$AO27)*(1+$AV27)*(1+$AW27)+(($AY27+$AZ27)/2*IF($G$1="鸣金",$AP27,$AN27)+IF($G$1="鸣金",$AQ27*1.5,0))*(1+$BA27)*(1+$BB27)+(($BC27+$BD27)/2*IF($G$1="裂石",$AP27,$AN27)+IF($G$1="裂石",$AQ27*1.5,0))*(1+$BE27)*(1+$BF27)+(($BG27+$BH27)/2*IF($G$1="牵丝",$AP27,$AN27)+IF($G$1="牵丝",$AQ27*1.5,0))*(1+$BI27)*(1+$BJ27)+(($BK27+$BL27)/2*IF($G$1="破竹",$AP27,$AN27)+IF($G$1="破竹",$AQ27*1.5,0))*(1+$BM27)*(1+$BN27))*(1+$AR27)*$Q27*(1+IF(VLOOKUP($R27,武学奇术!$A:$ZZ,30,FALSE)="蓄力技",$B$21,0))*(1+IF(VLOOKUP($R27,武学奇术!$A:$ZZ,30,FALSE)="派生技",$B$20,0))*(1+$BW27)*(1+$BX27)</f>
        <v>11256.8632522148</v>
      </c>
      <c r="P27" s="46">
        <f>((($AT27*$AN27+$AO27)*(1+$AV27)*(1+$AW27)+($AY27*IF($G$1="鸣金",$AP27,$AN27)+IF($G$1="鸣金",$AQ27*1.5,0))*(1+$BA27)*(1+$BB27)+($BC27*IF($G$1="裂石",$AP27,$AN27)+IF($G$1="裂石",$AQ27*1.5,0))*(1+$BE27)*(1+$BF27)+($BG27*IF($G$1="牵丝",$AP27,$AN27)+IF($G$1="牵丝",$AQ27*1.5,0))*(1+$BI27)*(1+$BJ27)+($BK27*IF($G$1="破竹",$AP27,$AN27)+IF($G$1="破竹",$AQ27*1.5,0))*(1+$BM27)*(1+$BN27))*(1+$AR27))*$Q27*(1+IF(VLOOKUP($R27,武学奇术!$A:$ZZ,30,FALSE)="蓄力技",$B$21,0))*(1+IF(VLOOKUP($R27,武学奇术!$A:$ZZ,30,FALSE)="派生技",$B$20,0))*(1+$BW27)*(1+$BX27)</f>
        <v>9644.22259516773</v>
      </c>
      <c r="Q27" s="47">
        <f t="shared" si="13"/>
        <v>1</v>
      </c>
      <c r="R27" s="48" t="s">
        <v>154</v>
      </c>
      <c r="S27" s="48" t="s">
        <v>99</v>
      </c>
      <c r="T27" s="48" t="s">
        <v>100</v>
      </c>
      <c r="U27" s="48" t="s">
        <v>79</v>
      </c>
      <c r="V27" s="48" t="s">
        <v>90</v>
      </c>
      <c r="W27" s="48" t="s">
        <v>141</v>
      </c>
      <c r="X27" s="48" t="s">
        <v>145</v>
      </c>
      <c r="Y27" s="48" t="s">
        <v>74</v>
      </c>
      <c r="Z27" s="48" t="s">
        <v>142</v>
      </c>
      <c r="AA27" s="48" t="s">
        <v>80</v>
      </c>
      <c r="AB27" s="48" t="s">
        <v>80</v>
      </c>
      <c r="AC27" s="48" t="s">
        <v>80</v>
      </c>
      <c r="AD27" s="48" t="s">
        <v>80</v>
      </c>
      <c r="AE27" s="48" t="s">
        <v>80</v>
      </c>
      <c r="AF27" s="48" t="s">
        <v>83</v>
      </c>
      <c r="AG27" s="48" t="s">
        <v>84</v>
      </c>
      <c r="AH27" s="48" t="s">
        <v>80</v>
      </c>
      <c r="AI27" s="48" t="s">
        <v>80</v>
      </c>
      <c r="AJ27" s="48" t="s">
        <v>80</v>
      </c>
      <c r="AK27" s="48" t="s">
        <v>80</v>
      </c>
      <c r="AL27" s="48" t="s">
        <v>80</v>
      </c>
      <c r="AM27" t="str">
        <f>VLOOKUP($R27,武学奇术!$A:$ZZ,25,FALSE)</f>
        <v>陌刀</v>
      </c>
      <c r="AN27" s="33">
        <f>VLOOKUP($R27,武学奇术!$A:$ZZ,26,FALSE)</f>
        <v>0.525</v>
      </c>
      <c r="AO27" s="34">
        <f>VLOOKUP($R27,武学奇术!$A:$ZZ,27,FALSE)*(1+IF(OR($AM27=$F$4,$AM27=$F$5),$B$22,0))</f>
        <v>0</v>
      </c>
      <c r="AP27" s="33">
        <f>VLOOKUP($R27,武学奇术!$A:$ZZ,28,FALSE)</f>
        <v>0.7875</v>
      </c>
      <c r="AQ27" s="34">
        <f>VLOOKUP($R27,武学奇术!$A:$ZZ,29,FALSE)*(1+IF(OR($AM27=$F$4,$AM27=$F$5),$B$22,0))</f>
        <v>0</v>
      </c>
      <c r="AR27" s="33" cm="1">
        <f t="array" ref="AR27">$G$3+IFERROR(VLOOKUP($AM27,$F$4:$G$7,2,FALSE),0)+VLOOKUP($R27,武学奇术!$A:$ZZ,2,FALSE)+SUM(_xlfn.XLOOKUP($S27:$AL27,增益!$A:$A,增益!$B:$B,0))</f>
        <v>0.6643</v>
      </c>
      <c r="AS27" s="33" cm="1">
        <f t="array" ref="AS27">VLOOKUP($R27,武学奇术!$A:$ZZ,5,FALSE)+SUM(_xlfn.XLOOKUP($S27:$AL27,增益!$A:$A,增益!$E:$E,0))</f>
        <v>0</v>
      </c>
      <c r="AT27" cm="1">
        <f t="array" ref="AT27">$D$10*(1+$AS27)+VLOOKUP($R27,武学奇术!$A:$ZZ,3,FALSE)+SUM(_xlfn.XLOOKUP($S27:$AL27,增益!$A:$A,增益!$C:$C,0))-$I$2</f>
        <v>4026</v>
      </c>
      <c r="AU27" cm="1">
        <f t="array" ref="AU27">$E$10*(1+$AS27)+VLOOKUP($R27,武学奇术!$A:$ZZ,4,FALSE)+SUM(_xlfn.XLOOKUP($S27:$AL27,增益!$A:$A,增益!$D:$D,0))-$I$2</f>
        <v>4026</v>
      </c>
      <c r="AV27" s="40" cm="1">
        <f t="array" ref="AV27">IF($F$10-$I$3+VLOOKUP($R27,武学奇术!$A:$ZZ,6,FALSE)+SUM(_xlfn.XLOOKUP($S27:$AL27,增益!$A:$A,增益!$F:$F,0))&gt;0,($F$10-$I$3+VLOOKUP($R27,武学奇术!$A:$ZZ,6,FALSE)+SUM(_xlfn.XLOOKUP($S27:$AL27,增益!$A:$A,增益!$F:$F,0)))/200,($F$10-$I$3+VLOOKUP($R27,武学奇术!$A:$ZZ,6,FALSE)+SUM(_xlfn.XLOOKUP($S27:$AL27,增益!$A:$A,增益!$F:$F,0)))/100)</f>
        <v>0.3534</v>
      </c>
      <c r="AW27" s="40" cm="1">
        <f t="array" ref="AW27">$G$10+VLOOKUP($R27,武学奇术!$A:$ZZ,7,FALSE)+SUM(_xlfn.XLOOKUP($S27:$AL27,增益!$A:$A,增益!$G:$G,0))</f>
        <v>0.12</v>
      </c>
      <c r="AX27" s="33" cm="1">
        <f t="array" ref="AX27">VLOOKUP($R27,武学奇术!$A:$ZZ,8,FALSE)+SUM(_xlfn.XLOOKUP($S27:$AL27,增益!$A:$A,增益!$H:$H,0))</f>
        <v>0</v>
      </c>
      <c r="AY27">
        <f t="shared" si="2"/>
        <v>0</v>
      </c>
      <c r="AZ27">
        <f t="shared" si="3"/>
        <v>0</v>
      </c>
      <c r="BA27" s="40" cm="1">
        <f t="array" ref="BA27">IF($F$11-$I$4+VLOOKUP($R27,武学奇术!$A:$ZZ,9,FALSE)+SUM(_xlfn.XLOOKUP($S27:$AL27,增益!$A:$A,增益!$I:$I,0))&gt;0,($F$11-$I$4+VLOOKUP($R27,武学奇术!$A:$ZZ,9,FALSE)+SUM(_xlfn.XLOOKUP($S27:$AL27,增益!$A:$A,增益!$I:$I,0)))/200,($F$11-$I$4+VLOOKUP($R27,武学奇术!$A:$ZZ,9,FALSE)+SUM(_xlfn.XLOOKUP($S27:$AL27,增益!$A:$A,增益!$I:$I,0)))/100)</f>
        <v>-0.14</v>
      </c>
      <c r="BB27" s="40" cm="1">
        <f t="array" ref="BB27">$G$11+VLOOKUP($R27,武学奇术!$A:$ZZ,10,FALSE)+SUM(_xlfn.XLOOKUP($S27:$AL27,增益!$A:$A,增益!$J:$J,0))</f>
        <v>0</v>
      </c>
      <c r="BC27">
        <f t="shared" si="4"/>
        <v>640.3</v>
      </c>
      <c r="BD27">
        <f t="shared" si="5"/>
        <v>1770.1</v>
      </c>
      <c r="BE27" s="40" cm="1">
        <f t="array" ref="BE27">IF($F$12-$I$4+VLOOKUP($R27,武学奇术!$A:$ZZ,11,FALSE)+SUM(_xlfn.XLOOKUP($S27:$AL27,增益!$A:$A,增益!$K:$K,0))&gt;0,($F$12-$I$4+VLOOKUP($R27,武学奇术!$A:$ZZ,11,FALSE)+SUM(_xlfn.XLOOKUP($S27:$AL27,增益!$A:$A,增益!$K:$K,0)))/200,($F$12-$I$4+VLOOKUP($R27,武学奇术!$A:$ZZ,11,FALSE)+SUM(_xlfn.XLOOKUP($S27:$AL27,增益!$A:$A,增益!$K:$K,0)))/100)</f>
        <v>0.17</v>
      </c>
      <c r="BF27" s="40" cm="1">
        <f t="array" ref="BF27">$G$12+VLOOKUP($R27,武学奇术!$A:$ZZ,12,FALSE)+SUM(_xlfn.XLOOKUP($S27:$AL27,增益!$A:$A,增益!$L:$L,0))</f>
        <v>0.27</v>
      </c>
      <c r="BG27">
        <f t="shared" si="6"/>
        <v>0</v>
      </c>
      <c r="BH27">
        <f t="shared" si="7"/>
        <v>0</v>
      </c>
      <c r="BI27" s="40" cm="1">
        <f t="array" ref="BI27">IF($F$13-$I$4+VLOOKUP($R27,武学奇术!$A:$ZZ,13,FALSE)+SUM(_xlfn.XLOOKUP($S27:$AL27,增益!$A:$A,增益!$M:$M,0))&gt;0,($F$13-$I$4+VLOOKUP($R27,武学奇术!$A:$ZZ,13,FALSE)+SUM(_xlfn.XLOOKUP($S27:$AL27,增益!$A:$A,增益!$K:$K,0)))/200,($F$13-$I$4+VLOOKUP($R27,武学奇术!$A:$ZZ,13,FALSE)+SUM(_xlfn.XLOOKUP($S27:$AL27,增益!$A:$A,增益!$M:$M,0)))/100)</f>
        <v>-0.14</v>
      </c>
      <c r="BJ27" s="40" cm="1">
        <f t="array" ref="BJ27">$G$13+VLOOKUP($R27,武学奇术!$A:$ZZ,14,FALSE)+SUM(_xlfn.XLOOKUP($S27:$AL27,增益!$A:$A,增益!$N:$N,0))</f>
        <v>0</v>
      </c>
      <c r="BK27">
        <f t="shared" si="8"/>
        <v>0</v>
      </c>
      <c r="BL27">
        <f t="shared" si="9"/>
        <v>0</v>
      </c>
      <c r="BM27" s="40" cm="1">
        <f t="array" ref="BM27">IF($F$14-$I$4+VLOOKUP($R27,武学奇术!$A:$ZZ,15,FALSE)+SUM(_xlfn.XLOOKUP($S27:$AL27,增益!$A:$A,增益!$O:$O,0))&gt;0,($F$14-$I$4+VLOOKUP($R27,武学奇术!$A:$ZZ,15,FALSE)+SUM(_xlfn.XLOOKUP($S27:$AL27,增益!$A:$A,增益!$O:$O,0)))/200,($F$14-$I$4+VLOOKUP($R27,武学奇术!$A:$ZZ,15,FALSE)+SUM(_xlfn.XLOOKUP($S27:$AL27,增益!$A:$A,增益!$O:$O,0)))/100)</f>
        <v>-0.14</v>
      </c>
      <c r="BN27" s="40" cm="1">
        <f t="array" ref="BN27">$G$14+VLOOKUP($R27,武学奇术!$A:$ZZ,16,FALSE)+SUM(_xlfn.XLOOKUP($S27:$AL27,增益!$A:$A,增益!$P:$P,0))</f>
        <v>0</v>
      </c>
      <c r="BO27" s="33">
        <f>MIN(IF(VLOOKUP($R27,武学奇术!$A:$ZZ,23,FALSE)=1,100%,$B$8),100%)</f>
        <v>1</v>
      </c>
      <c r="BP27" s="33" cm="1">
        <f t="array" ref="BP27">IF(VLOOKUP($R27,武学奇术!$A:$ZZ,23,FALSE)=1,100%,MIN(80%,$B$9+VLOOKUP($R27,武学奇术!$A:$ZZ,17,FALSE)+SUM(_xlfn.XLOOKUP($S27:$AL27,增益!$A:$A,增益!$Q:$Q,0)))+$B$11+SUM(_xlfn.XLOOKUP($S27:$AL27,增益!$A:$A,增益!$U:$U,0)))*IF(VLOOKUP($R27,武学奇术!$A:$ZZ,24,FALSE)=1,0,1)</f>
        <v>1</v>
      </c>
      <c r="BQ27" s="33" cm="1">
        <f t="array" ref="BQ27">1+$B$13+VLOOKUP($R27,武学奇术!$A:$ZZ,18,FALSE)+SUM(_xlfn.XLOOKUP($S27:$AL27,增益!$A:$A,增益!$R:$R,0))</f>
        <v>2.04</v>
      </c>
      <c r="BR27" s="33" cm="1">
        <f t="array" ref="BR27">IF(VLOOKUP($R27,武学奇术!$A:$ZZ,24,FALSE)=1,100%,MIN(40%,$B$10+VLOOKUP($R27,武学奇术!$A:$ZZ,19,FALSE)+SUM(_xlfn.XLOOKUP($S27:$AL27,增益!$A:$A,增益!$S:$S,0)))+$B$12+SUM(_xlfn.XLOOKUP($S27:$AL27,增益!$A:$A,增益!$V:$V,0)))*IF(VLOOKUP($R27,武学奇术!$A:$ZZ,23,FALSE)=1,0,1)</f>
        <v>0</v>
      </c>
      <c r="BS27" s="33" cm="1">
        <f t="array" ref="BS27">1+$B$14+VLOOKUP($R27,武学奇术!$A:$ZZ,20,FALSE)+SUM(_xlfn.XLOOKUP($S27:$AL27,增益!$A:$A,增益!$T:$T,0))</f>
        <v>1.35</v>
      </c>
      <c r="BT27" s="33">
        <f t="shared" si="10"/>
        <v>1</v>
      </c>
      <c r="BU27" s="33">
        <f t="shared" si="11"/>
        <v>0</v>
      </c>
      <c r="BV27" s="33">
        <f>IF(VLOOKUP($R27,武学奇术!$A:$ZZ,22,FALSE)=1,0,(1-$BO27))*(1-$BR27)</f>
        <v>0</v>
      </c>
      <c r="BW27" s="33" cm="1">
        <f t="array" ref="BW27">SUM(_xlfn.XLOOKUP($S27:$AL27,增益!$A:$A,增益!$W:$W,0))+$I$5</f>
        <v>0.11</v>
      </c>
      <c r="BX27" s="33" cm="1">
        <f t="array" ref="BX27">VLOOKUP($R27,武学奇术!$A:$ZZ,32,FALSE)+SUM(_xlfn.XLOOKUP($S27:$AL27,增益!$A:$A,增益!$X:$X,0))</f>
        <v>0</v>
      </c>
    </row>
    <row r="28" spans="1:76">
      <c r="L28" s="46">
        <f t="shared" si="0"/>
        <v>41335.2018621327</v>
      </c>
      <c r="M28" s="46">
        <f>((($AT28+$AU28)/2*$AN28+$AO28)*(1+$AV28)*(1+$AW28)+(($AY28+$AZ28)/2*IF($G$1="鸣金",$AP28,$AN28)+IF($G$1="鸣金",$AQ28*1.5,0))*(1+$BA28)*(1+$BB28)+(($BC28+$BD28)/2*IF($G$1="裂石",$AP28,$AN28)+IF($G$1="裂石",$AQ28*1.5,0))*(1+$BE28)*(1+$BF28)+(($BG28+$BH28)/2*IF($G$1="牵丝",$AP28,$AN28)+IF($G$1="牵丝",$AQ28*1.5,0))*(1+$BI28)*(1+$BJ28)+(($BK28+$BL28)/2*IF($G$1="破竹",$AP28,$AN28)+IF($G$1="破竹",$AQ28*1.5,0))*(1+$BM28)*(1+$BN28))*(1+$AR28)*$BQ28*$Q28*(1+IF(VLOOKUP($R28,武学奇术!$A:$ZZ,30,FALSE)="蓄力技",$B$21,0))*(1+IF(VLOOKUP($R28,武学奇术!$A:$ZZ,30,FALSE)="派生技",$B$20,0))*(1+$BW28)*(1+$BX28)</f>
        <v>41335.2018621327</v>
      </c>
      <c r="N28" s="46">
        <f>(($AU28*$AN28+$AO28)*(1+$AV28)*(1+$AW28)+($AZ28*IF($G$1="鸣金",$AP28,$AN28)+IF($G$1="鸣金",$AQ28*1.5,0))*(1+$BA28)*(1+$BB28)+($BD28*IF($G$1="裂石",$AP28,$AN28)+IF($G$1="裂石",$AQ28*1.5,0))*(1+$BE28)*(1+$BF28)+($BH28*IF($G$1="牵丝",$AP28,$AN28)+IF($G$1="牵丝",$AQ28*1.5,0))*(1+$BI28)*(1+$BJ28)+($BL28*IF($G$1="破竹",$AP28,$AN28)+IF($G$1="破竹",$AQ28*1.5,0))*(1+$BM28)*(1+$BN28))*(1+$AR28)*$BS28*$Q28*(1+IF(VLOOKUP($R28,武学奇术!$A:$ZZ,30,FALSE)="蓄力技",$B$21,0))*(1+IF(VLOOKUP($R28,武学奇术!$A:$ZZ,30,FALSE)="派生技",$B$20,0))*(1+$BW28)*(1+$BX28)</f>
        <v>31272.8944995063</v>
      </c>
      <c r="O28" s="46">
        <f>((($AT28+$AU28)/2*$AN28+$AO28)*(1+$AV28)*(1+$AW28)+(($AY28+$AZ28)/2*IF($G$1="鸣金",$AP28,$AN28)+IF($G$1="鸣金",$AQ28*1.5,0))*(1+$BA28)*(1+$BB28)+(($BC28+$BD28)/2*IF($G$1="裂石",$AP28,$AN28)+IF($G$1="裂石",$AQ28*1.5,0))*(1+$BE28)*(1+$BF28)+(($BG28+$BH28)/2*IF($G$1="牵丝",$AP28,$AN28)+IF($G$1="牵丝",$AQ28*1.5,0))*(1+$BI28)*(1+$BJ28)+(($BK28+$BL28)/2*IF($G$1="破竹",$AP28,$AN28)+IF($G$1="破竹",$AQ28*1.5,0))*(1+$BM28)*(1+$BN28))*(1+$AR28)*$Q28*(1+IF(VLOOKUP($R28,武学奇术!$A:$ZZ,30,FALSE)="蓄力技",$B$21,0))*(1+IF(VLOOKUP($R28,武学奇术!$A:$ZZ,30,FALSE)="派生技",$B$20,0))*(1+$BW28)*(1+$BX28)</f>
        <v>20262.3538539866</v>
      </c>
      <c r="P28" s="46">
        <f>((($AT28*$AN28+$AO28)*(1+$AV28)*(1+$AW28)+($AY28*IF($G$1="鸣金",$AP28,$AN28)+IF($G$1="鸣金",$AQ28*1.5,0))*(1+$BA28)*(1+$BB28)+($BC28*IF($G$1="裂石",$AP28,$AN28)+IF($G$1="裂石",$AQ28*1.5,0))*(1+$BE28)*(1+$BF28)+($BG28*IF($G$1="牵丝",$AP28,$AN28)+IF($G$1="牵丝",$AQ28*1.5,0))*(1+$BI28)*(1+$BJ28)+($BK28*IF($G$1="破竹",$AP28,$AN28)+IF($G$1="破竹",$AQ28*1.5,0))*(1+$BM28)*(1+$BN28))*(1+$AR28))*$Q28*(1+IF(VLOOKUP($R28,武学奇术!$A:$ZZ,30,FALSE)="蓄力技",$B$21,0))*(1+IF(VLOOKUP($R28,武学奇术!$A:$ZZ,30,FALSE)="派生技",$B$20,0))*(1+$BW28)*(1+$BX28)</f>
        <v>17359.6006713019</v>
      </c>
      <c r="Q28" s="47">
        <f t="shared" si="13"/>
        <v>1</v>
      </c>
      <c r="R28" s="48" t="s">
        <v>144</v>
      </c>
      <c r="S28" s="48" t="s">
        <v>99</v>
      </c>
      <c r="T28" s="48" t="s">
        <v>100</v>
      </c>
      <c r="U28" s="48" t="s">
        <v>79</v>
      </c>
      <c r="V28" s="48" t="s">
        <v>90</v>
      </c>
      <c r="W28" s="48" t="s">
        <v>141</v>
      </c>
      <c r="X28" s="48" t="s">
        <v>145</v>
      </c>
      <c r="Y28" s="48" t="s">
        <v>74</v>
      </c>
      <c r="Z28" s="48" t="s">
        <v>142</v>
      </c>
      <c r="AA28" s="48" t="s">
        <v>80</v>
      </c>
      <c r="AB28" s="48" t="s">
        <v>80</v>
      </c>
      <c r="AC28" s="48" t="s">
        <v>80</v>
      </c>
      <c r="AD28" s="48" t="s">
        <v>80</v>
      </c>
      <c r="AE28" s="48" t="s">
        <v>80</v>
      </c>
      <c r="AF28" s="48" t="s">
        <v>83</v>
      </c>
      <c r="AG28" s="48" t="s">
        <v>84</v>
      </c>
      <c r="AH28" s="48" t="s">
        <v>80</v>
      </c>
      <c r="AI28" s="48" t="s">
        <v>80</v>
      </c>
      <c r="AJ28" s="48" t="s">
        <v>80</v>
      </c>
      <c r="AK28" s="48" t="s">
        <v>80</v>
      </c>
      <c r="AL28" s="48" t="s">
        <v>80</v>
      </c>
      <c r="AM28" t="str">
        <f>VLOOKUP($R28,武学奇术!$A:$ZZ,25,FALSE)</f>
        <v>陌刀</v>
      </c>
      <c r="AN28" s="33">
        <f>VLOOKUP($R28,武学奇术!$A:$ZZ,26,FALSE)</f>
        <v>0.945</v>
      </c>
      <c r="AO28" s="34">
        <f>VLOOKUP($R28,武学奇术!$A:$ZZ,27,FALSE)*(1+IF(OR($AM28=$F$4,$AM28=$F$5),$B$22,0))</f>
        <v>0</v>
      </c>
      <c r="AP28" s="33">
        <f>VLOOKUP($R28,武学奇术!$A:$ZZ,28,FALSE)</f>
        <v>1.4175</v>
      </c>
      <c r="AQ28" s="34">
        <f>VLOOKUP($R28,武学奇术!$A:$ZZ,29,FALSE)*(1+IF(OR($AM28=$F$4,$AM28=$F$5),$B$22,0))</f>
        <v>0</v>
      </c>
      <c r="AR28" s="33" cm="1">
        <f t="array" ref="AR28">$G$3+IFERROR(VLOOKUP($AM28,$F$4:$G$7,2,FALSE),0)+VLOOKUP($R28,武学奇术!$A:$ZZ,2,FALSE)+SUM(_xlfn.XLOOKUP($S28:$AL28,增益!$A:$A,增益!$B:$B,0))</f>
        <v>0.6643</v>
      </c>
      <c r="AS28" s="33" cm="1">
        <f t="array" ref="AS28">VLOOKUP($R28,武学奇术!$A:$ZZ,5,FALSE)+SUM(_xlfn.XLOOKUP($S28:$AL28,增益!$A:$A,增益!$E:$E,0))</f>
        <v>0</v>
      </c>
      <c r="AT28" cm="1">
        <f t="array" ref="AT28">$D$10*(1+$AS28)+VLOOKUP($R28,武学奇术!$A:$ZZ,3,FALSE)+SUM(_xlfn.XLOOKUP($S28:$AL28,增益!$A:$A,增益!$C:$C,0))-$I$2</f>
        <v>4026</v>
      </c>
      <c r="AU28" cm="1">
        <f t="array" ref="AU28">$E$10*(1+$AS28)+VLOOKUP($R28,武学奇术!$A:$ZZ,4,FALSE)+SUM(_xlfn.XLOOKUP($S28:$AL28,增益!$A:$A,增益!$D:$D,0))-$I$2</f>
        <v>4026</v>
      </c>
      <c r="AV28" s="40" cm="1">
        <f t="array" ref="AV28">IF($F$10-$I$3+VLOOKUP($R28,武学奇术!$A:$ZZ,6,FALSE)+SUM(_xlfn.XLOOKUP($S28:$AL28,增益!$A:$A,增益!$F:$F,0))&gt;0,($F$10-$I$3+VLOOKUP($R28,武学奇术!$A:$ZZ,6,FALSE)+SUM(_xlfn.XLOOKUP($S28:$AL28,增益!$A:$A,增益!$F:$F,0)))/200,($F$10-$I$3+VLOOKUP($R28,武学奇术!$A:$ZZ,6,FALSE)+SUM(_xlfn.XLOOKUP($S28:$AL28,增益!$A:$A,增益!$F:$F,0)))/100)</f>
        <v>0.3534</v>
      </c>
      <c r="AW28" s="40" cm="1">
        <f t="array" ref="AW28">$G$10+VLOOKUP($R28,武学奇术!$A:$ZZ,7,FALSE)+SUM(_xlfn.XLOOKUP($S28:$AL28,增益!$A:$A,增益!$G:$G,0))</f>
        <v>0.12</v>
      </c>
      <c r="AX28" s="33" cm="1">
        <f t="array" ref="AX28">VLOOKUP($R28,武学奇术!$A:$ZZ,8,FALSE)+SUM(_xlfn.XLOOKUP($S28:$AL28,增益!$A:$A,增益!$H:$H,0))</f>
        <v>0</v>
      </c>
      <c r="AY28">
        <f t="shared" si="2"/>
        <v>0</v>
      </c>
      <c r="AZ28">
        <f t="shared" si="3"/>
        <v>0</v>
      </c>
      <c r="BA28" s="40" cm="1">
        <f t="array" ref="BA28">IF($F$11-$I$4+VLOOKUP($R28,武学奇术!$A:$ZZ,9,FALSE)+SUM(_xlfn.XLOOKUP($S28:$AL28,增益!$A:$A,增益!$I:$I,0))&gt;0,($F$11-$I$4+VLOOKUP($R28,武学奇术!$A:$ZZ,9,FALSE)+SUM(_xlfn.XLOOKUP($S28:$AL28,增益!$A:$A,增益!$I:$I,0)))/200,($F$11-$I$4+VLOOKUP($R28,武学奇术!$A:$ZZ,9,FALSE)+SUM(_xlfn.XLOOKUP($S28:$AL28,增益!$A:$A,增益!$I:$I,0)))/100)</f>
        <v>-0.14</v>
      </c>
      <c r="BB28" s="40" cm="1">
        <f t="array" ref="BB28">$G$11+VLOOKUP($R28,武学奇术!$A:$ZZ,10,FALSE)+SUM(_xlfn.XLOOKUP($S28:$AL28,增益!$A:$A,增益!$J:$J,0))</f>
        <v>0</v>
      </c>
      <c r="BC28">
        <f t="shared" si="4"/>
        <v>640.3</v>
      </c>
      <c r="BD28">
        <f t="shared" si="5"/>
        <v>1770.1</v>
      </c>
      <c r="BE28" s="40" cm="1">
        <f t="array" ref="BE28">IF($F$12-$I$4+VLOOKUP($R28,武学奇术!$A:$ZZ,11,FALSE)+SUM(_xlfn.XLOOKUP($S28:$AL28,增益!$A:$A,增益!$K:$K,0))&gt;0,($F$12-$I$4+VLOOKUP($R28,武学奇术!$A:$ZZ,11,FALSE)+SUM(_xlfn.XLOOKUP($S28:$AL28,增益!$A:$A,增益!$K:$K,0)))/200,($F$12-$I$4+VLOOKUP($R28,武学奇术!$A:$ZZ,11,FALSE)+SUM(_xlfn.XLOOKUP($S28:$AL28,增益!$A:$A,增益!$K:$K,0)))/100)</f>
        <v>0.17</v>
      </c>
      <c r="BF28" s="40" cm="1">
        <f t="array" ref="BF28">$G$12+VLOOKUP($R28,武学奇术!$A:$ZZ,12,FALSE)+SUM(_xlfn.XLOOKUP($S28:$AL28,增益!$A:$A,增益!$L:$L,0))</f>
        <v>0.27</v>
      </c>
      <c r="BG28">
        <f t="shared" si="6"/>
        <v>0</v>
      </c>
      <c r="BH28">
        <f t="shared" si="7"/>
        <v>0</v>
      </c>
      <c r="BI28" s="40" cm="1">
        <f t="array" ref="BI28">IF($F$13-$I$4+VLOOKUP($R28,武学奇术!$A:$ZZ,13,FALSE)+SUM(_xlfn.XLOOKUP($S28:$AL28,增益!$A:$A,增益!$M:$M,0))&gt;0,($F$13-$I$4+VLOOKUP($R28,武学奇术!$A:$ZZ,13,FALSE)+SUM(_xlfn.XLOOKUP($S28:$AL28,增益!$A:$A,增益!$K:$K,0)))/200,($F$13-$I$4+VLOOKUP($R28,武学奇术!$A:$ZZ,13,FALSE)+SUM(_xlfn.XLOOKUP($S28:$AL28,增益!$A:$A,增益!$M:$M,0)))/100)</f>
        <v>-0.14</v>
      </c>
      <c r="BJ28" s="40" cm="1">
        <f t="array" ref="BJ28">$G$13+VLOOKUP($R28,武学奇术!$A:$ZZ,14,FALSE)+SUM(_xlfn.XLOOKUP($S28:$AL28,增益!$A:$A,增益!$N:$N,0))</f>
        <v>0</v>
      </c>
      <c r="BK28">
        <f t="shared" si="8"/>
        <v>0</v>
      </c>
      <c r="BL28">
        <f t="shared" si="9"/>
        <v>0</v>
      </c>
      <c r="BM28" s="40" cm="1">
        <f t="array" ref="BM28">IF($F$14-$I$4+VLOOKUP($R28,武学奇术!$A:$ZZ,15,FALSE)+SUM(_xlfn.XLOOKUP($S28:$AL28,增益!$A:$A,增益!$O:$O,0))&gt;0,($F$14-$I$4+VLOOKUP($R28,武学奇术!$A:$ZZ,15,FALSE)+SUM(_xlfn.XLOOKUP($S28:$AL28,增益!$A:$A,增益!$O:$O,0)))/200,($F$14-$I$4+VLOOKUP($R28,武学奇术!$A:$ZZ,15,FALSE)+SUM(_xlfn.XLOOKUP($S28:$AL28,增益!$A:$A,增益!$O:$O,0)))/100)</f>
        <v>-0.14</v>
      </c>
      <c r="BN28" s="40" cm="1">
        <f t="array" ref="BN28">$G$14+VLOOKUP($R28,武学奇术!$A:$ZZ,16,FALSE)+SUM(_xlfn.XLOOKUP($S28:$AL28,增益!$A:$A,增益!$P:$P,0))</f>
        <v>0</v>
      </c>
      <c r="BO28" s="33">
        <f>MIN(IF(VLOOKUP($R28,武学奇术!$A:$ZZ,23,FALSE)=1,100%,$B$8),100%)</f>
        <v>1</v>
      </c>
      <c r="BP28" s="33" cm="1">
        <f t="array" ref="BP28">IF(VLOOKUP($R28,武学奇术!$A:$ZZ,23,FALSE)=1,100%,MIN(80%,$B$9+VLOOKUP($R28,武学奇术!$A:$ZZ,17,FALSE)+SUM(_xlfn.XLOOKUP($S28:$AL28,增益!$A:$A,增益!$Q:$Q,0)))+$B$11+SUM(_xlfn.XLOOKUP($S28:$AL28,增益!$A:$A,增益!$U:$U,0)))*IF(VLOOKUP($R28,武学奇术!$A:$ZZ,24,FALSE)=1,0,1)</f>
        <v>1</v>
      </c>
      <c r="BQ28" s="33" cm="1">
        <f t="array" ref="BQ28">1+$B$13+VLOOKUP($R28,武学奇术!$A:$ZZ,18,FALSE)+SUM(_xlfn.XLOOKUP($S28:$AL28,增益!$A:$A,增益!$R:$R,0))</f>
        <v>2.04</v>
      </c>
      <c r="BR28" s="33" cm="1">
        <f t="array" ref="BR28">IF(VLOOKUP($R28,武学奇术!$A:$ZZ,24,FALSE)=1,100%,MIN(40%,$B$10+VLOOKUP($R28,武学奇术!$A:$ZZ,19,FALSE)+SUM(_xlfn.XLOOKUP($S28:$AL28,增益!$A:$A,增益!$S:$S,0)))+$B$12+SUM(_xlfn.XLOOKUP($S28:$AL28,增益!$A:$A,增益!$V:$V,0)))*IF(VLOOKUP($R28,武学奇术!$A:$ZZ,23,FALSE)=1,0,1)</f>
        <v>0</v>
      </c>
      <c r="BS28" s="33" cm="1">
        <f t="array" ref="BS28">1+$B$14+VLOOKUP($R28,武学奇术!$A:$ZZ,20,FALSE)+SUM(_xlfn.XLOOKUP($S28:$AL28,增益!$A:$A,增益!$T:$T,0))</f>
        <v>1.35</v>
      </c>
      <c r="BT28" s="33">
        <f t="shared" si="10"/>
        <v>1</v>
      </c>
      <c r="BU28" s="33">
        <f t="shared" si="11"/>
        <v>0</v>
      </c>
      <c r="BV28" s="33">
        <f>IF(VLOOKUP($R28,武学奇术!$A:$ZZ,22,FALSE)=1,0,(1-$BO28))*(1-$BR28)</f>
        <v>0</v>
      </c>
      <c r="BW28" s="33" cm="1">
        <f t="array" ref="BW28">SUM(_xlfn.XLOOKUP($S28:$AL28,增益!$A:$A,增益!$W:$W,0))+$I$5</f>
        <v>0.11</v>
      </c>
      <c r="BX28" s="33" cm="1">
        <f t="array" ref="BX28">VLOOKUP($R28,武学奇术!$A:$ZZ,32,FALSE)+SUM(_xlfn.XLOOKUP($S28:$AL28,增益!$A:$A,增益!$X:$X,0))</f>
        <v>0</v>
      </c>
    </row>
    <row r="29" spans="1:76">
      <c r="L29" s="46">
        <f t="shared" si="0"/>
        <v>373801.487395828</v>
      </c>
      <c r="M29" s="46">
        <f>((($AT29+$AU29)/2*$AN29+$AO29)*(1+$AV29)*(1+$AW29)+(($AY29+$AZ29)/2*IF($G$1="鸣金",$AP29,$AN29)+IF($G$1="鸣金",$AQ29*1.5,0))*(1+$BA29)*(1+$BB29)+(($BC29+$BD29)/2*IF($G$1="裂石",$AP29,$AN29)+IF($G$1="裂石",$AQ29*1.5,0))*(1+$BE29)*(1+$BF29)+(($BG29+$BH29)/2*IF($G$1="牵丝",$AP29,$AN29)+IF($G$1="牵丝",$AQ29*1.5,0))*(1+$BI29)*(1+$BJ29)+(($BK29+$BL29)/2*IF($G$1="破竹",$AP29,$AN29)+IF($G$1="破竹",$AQ29*1.5,0))*(1+$BM29)*(1+$BN29))*(1+$AR29)*$BQ29*$Q29*(1+IF(VLOOKUP($R29,武学奇术!$A:$ZZ,30,FALSE)="蓄力技",$B$21,0))*(1+IF(VLOOKUP($R29,武学奇术!$A:$ZZ,30,FALSE)="派生技",$B$20,0))*(1+$BW29)*(1+$BX29)</f>
        <v>373801.487395828</v>
      </c>
      <c r="N29" s="46">
        <f>(($AU29*$AN29+$AO29)*(1+$AV29)*(1+$AW29)+($AZ29*IF($G$1="鸣金",$AP29,$AN29)+IF($G$1="鸣金",$AQ29*1.5,0))*(1+$BA29)*(1+$BB29)+($BD29*IF($G$1="裂石",$AP29,$AN29)+IF($G$1="裂石",$AQ29*1.5,0))*(1+$BE29)*(1+$BF29)+($BH29*IF($G$1="牵丝",$AP29,$AN29)+IF($G$1="牵丝",$AQ29*1.5,0))*(1+$BI29)*(1+$BJ29)+($BL29*IF($G$1="破竹",$AP29,$AN29)+IF($G$1="破竹",$AQ29*1.5,0))*(1+$BM29)*(1+$BN29))*(1+$AR29)*$BS29*$Q29*(1+IF(VLOOKUP($R29,武学奇术!$A:$ZZ,30,FALSE)="蓄力技",$B$21,0))*(1+IF(VLOOKUP($R29,武学奇术!$A:$ZZ,30,FALSE)="派生技",$B$20,0))*(1+$BW29)*(1+$BX29)</f>
        <v>277165.548335582</v>
      </c>
      <c r="O29" s="46">
        <f>((($AT29+$AU29)/2*$AN29+$AO29)*(1+$AV29)*(1+$AW29)+(($AY29+$AZ29)/2*IF($G$1="鸣金",$AP29,$AN29)+IF($G$1="鸣金",$AQ29*1.5,0))*(1+$BA29)*(1+$BB29)+(($BC29+$BD29)/2*IF($G$1="裂石",$AP29,$AN29)+IF($G$1="裂石",$AQ29*1.5,0))*(1+$BE29)*(1+$BF29)+(($BG29+$BH29)/2*IF($G$1="牵丝",$AP29,$AN29)+IF($G$1="牵丝",$AQ29*1.5,0))*(1+$BI29)*(1+$BJ29)+(($BK29+$BL29)/2*IF($G$1="破竹",$AP29,$AN29)+IF($G$1="破竹",$AQ29*1.5,0))*(1+$BM29)*(1+$BN29))*(1+$AR29)*$Q29*(1+IF(VLOOKUP($R29,武学奇术!$A:$ZZ,30,FALSE)="蓄力技",$B$21,0))*(1+IF(VLOOKUP($R29,武学奇术!$A:$ZZ,30,FALSE)="派生技",$B$20,0))*(1+$BW29)*(1+$BX29)</f>
        <v>182342.188973575</v>
      </c>
      <c r="P29" s="46">
        <f>((($AT29*$AN29+$AO29)*(1+$AV29)*(1+$AW29)+($AY29*IF($G$1="鸣金",$AP29,$AN29)+IF($G$1="鸣金",$AQ29*1.5,0))*(1+$BA29)*(1+$BB29)+($BC29*IF($G$1="裂石",$AP29,$AN29)+IF($G$1="裂石",$AQ29*1.5,0))*(1+$BE29)*(1+$BF29)+($BG29*IF($G$1="牵丝",$AP29,$AN29)+IF($G$1="牵丝",$AQ29*1.5,0))*(1+$BI29)*(1+$BJ29)+($BK29*IF($G$1="破竹",$AP29,$AN29)+IF($G$1="破竹",$AQ29*1.5,0))*(1+$BM29)*(1+$BN29))*(1+$AR29))*$Q29*(1+IF(VLOOKUP($R29,武学奇术!$A:$ZZ,30,FALSE)="蓄力技",$B$21,0))*(1+IF(VLOOKUP($R29,武学奇术!$A:$ZZ,30,FALSE)="派生技",$B$20,0))*(1+$BW29)*(1+$BX29)</f>
        <v>159376.564365237</v>
      </c>
      <c r="Q29" s="47">
        <f t="shared" si="13"/>
        <v>1</v>
      </c>
      <c r="R29" s="48" t="s">
        <v>148</v>
      </c>
      <c r="S29" s="48" t="s">
        <v>99</v>
      </c>
      <c r="T29" s="48" t="s">
        <v>103</v>
      </c>
      <c r="U29" s="48" t="s">
        <v>79</v>
      </c>
      <c r="V29" s="48" t="s">
        <v>90</v>
      </c>
      <c r="W29" s="48" t="s">
        <v>141</v>
      </c>
      <c r="X29" s="48" t="s">
        <v>145</v>
      </c>
      <c r="Y29" s="48" t="s">
        <v>74</v>
      </c>
      <c r="Z29" s="48" t="s">
        <v>149</v>
      </c>
      <c r="AA29" s="48" t="s">
        <v>80</v>
      </c>
      <c r="AB29" s="48" t="s">
        <v>80</v>
      </c>
      <c r="AC29" s="48" t="s">
        <v>80</v>
      </c>
      <c r="AD29" s="48" t="s">
        <v>80</v>
      </c>
      <c r="AE29" s="48" t="s">
        <v>80</v>
      </c>
      <c r="AF29" s="48" t="s">
        <v>83</v>
      </c>
      <c r="AG29" s="48" t="s">
        <v>84</v>
      </c>
      <c r="AH29" s="48" t="s">
        <v>80</v>
      </c>
      <c r="AI29" s="48" t="s">
        <v>80</v>
      </c>
      <c r="AJ29" s="48" t="s">
        <v>80</v>
      </c>
      <c r="AK29" s="48" t="s">
        <v>80</v>
      </c>
      <c r="AL29" s="48" t="s">
        <v>80</v>
      </c>
      <c r="AM29" t="str">
        <f>VLOOKUP($R29,武学奇术!$A:$ZZ,25,FALSE)</f>
        <v>陌刀</v>
      </c>
      <c r="AN29" s="33">
        <f>VLOOKUP($R29,武学奇术!$A:$ZZ,26,FALSE)</f>
        <v>7.5674</v>
      </c>
      <c r="AO29" s="34">
        <f>VLOOKUP($R29,武学奇术!$A:$ZZ,27,FALSE)*(1+IF(OR($AM29=$F$4,$AM29=$F$5),$B$22,0))</f>
        <v>3348.8</v>
      </c>
      <c r="AP29" s="33">
        <f>VLOOKUP($R29,武学奇术!$A:$ZZ,28,FALSE)</f>
        <v>11.3512</v>
      </c>
      <c r="AQ29" s="34">
        <f>VLOOKUP($R29,武学奇术!$A:$ZZ,29,FALSE)*(1+IF(OR($AM29=$F$4,$AM29=$F$5),$B$22,0))</f>
        <v>1824</v>
      </c>
      <c r="AR29" s="33" cm="1">
        <f t="array" ref="AR29">$G$3+IFERROR(VLOOKUP($AM29,$F$4:$G$7,2,FALSE),0)+VLOOKUP($R29,武学奇术!$A:$ZZ,2,FALSE)+SUM(_xlfn.XLOOKUP($S29:$AL29,增益!$A:$A,增益!$B:$B,0))</f>
        <v>0.6443</v>
      </c>
      <c r="AS29" s="33" cm="1">
        <f t="array" ref="AS29">VLOOKUP($R29,武学奇术!$A:$ZZ,5,FALSE)+SUM(_xlfn.XLOOKUP($S29:$AL29,增益!$A:$A,增益!$E:$E,0))</f>
        <v>0</v>
      </c>
      <c r="AT29" cm="1">
        <f t="array" ref="AT29">$D$10*(1+$AS29)+VLOOKUP($R29,武学奇术!$A:$ZZ,3,FALSE)+SUM(_xlfn.XLOOKUP($S29:$AL29,增益!$A:$A,增益!$C:$C,0))-$I$2</f>
        <v>4026</v>
      </c>
      <c r="AU29" cm="1">
        <f t="array" ref="AU29">$E$10*(1+$AS29)+VLOOKUP($R29,武学奇术!$A:$ZZ,4,FALSE)+SUM(_xlfn.XLOOKUP($S29:$AL29,增益!$A:$A,增益!$D:$D,0))-$I$2</f>
        <v>4026</v>
      </c>
      <c r="AV29" s="40" cm="1">
        <f t="array" ref="AV29">IF($F$10-$I$3+VLOOKUP($R29,武学奇术!$A:$ZZ,6,FALSE)+SUM(_xlfn.XLOOKUP($S29:$AL29,增益!$A:$A,增益!$F:$F,0))&gt;0,($F$10-$I$3+VLOOKUP($R29,武学奇术!$A:$ZZ,6,FALSE)+SUM(_xlfn.XLOOKUP($S29:$AL29,增益!$A:$A,增益!$F:$F,0)))/200,($F$10-$I$3+VLOOKUP($R29,武学奇术!$A:$ZZ,6,FALSE)+SUM(_xlfn.XLOOKUP($S29:$AL29,增益!$A:$A,增益!$F:$F,0)))/100)</f>
        <v>0.3534</v>
      </c>
      <c r="AW29" s="40" cm="1">
        <f t="array" ref="AW29">$G$10+VLOOKUP($R29,武学奇术!$A:$ZZ,7,FALSE)+SUM(_xlfn.XLOOKUP($S29:$AL29,增益!$A:$A,增益!$G:$G,0))</f>
        <v>0.12</v>
      </c>
      <c r="AX29" s="33" cm="1">
        <f t="array" ref="AX29">VLOOKUP($R29,武学奇术!$A:$ZZ,8,FALSE)+SUM(_xlfn.XLOOKUP($S29:$AL29,增益!$A:$A,增益!$H:$H,0))</f>
        <v>0</v>
      </c>
      <c r="AY29">
        <f t="shared" si="2"/>
        <v>0</v>
      </c>
      <c r="AZ29">
        <f t="shared" si="3"/>
        <v>0</v>
      </c>
      <c r="BA29" s="40" cm="1">
        <f t="array" ref="BA29">IF($F$11-$I$4+VLOOKUP($R29,武学奇术!$A:$ZZ,9,FALSE)+SUM(_xlfn.XLOOKUP($S29:$AL29,增益!$A:$A,增益!$I:$I,0))&gt;0,($F$11-$I$4+VLOOKUP($R29,武学奇术!$A:$ZZ,9,FALSE)+SUM(_xlfn.XLOOKUP($S29:$AL29,增益!$A:$A,增益!$I:$I,0)))/200,($F$11-$I$4+VLOOKUP($R29,武学奇术!$A:$ZZ,9,FALSE)+SUM(_xlfn.XLOOKUP($S29:$AL29,增益!$A:$A,增益!$I:$I,0)))/100)</f>
        <v>-0.14</v>
      </c>
      <c r="BB29" s="40" cm="1">
        <f t="array" ref="BB29">$G$11+VLOOKUP($R29,武学奇术!$A:$ZZ,10,FALSE)+SUM(_xlfn.XLOOKUP($S29:$AL29,增益!$A:$A,增益!$J:$J,0))</f>
        <v>0</v>
      </c>
      <c r="BC29">
        <f t="shared" si="4"/>
        <v>640.3</v>
      </c>
      <c r="BD29">
        <f t="shared" si="5"/>
        <v>1770.1</v>
      </c>
      <c r="BE29" s="40" cm="1">
        <f t="array" ref="BE29">IF($F$12-$I$4+VLOOKUP($R29,武学奇术!$A:$ZZ,11,FALSE)+SUM(_xlfn.XLOOKUP($S29:$AL29,增益!$A:$A,增益!$K:$K,0))&gt;0,($F$12-$I$4+VLOOKUP($R29,武学奇术!$A:$ZZ,11,FALSE)+SUM(_xlfn.XLOOKUP($S29:$AL29,增益!$A:$A,增益!$K:$K,0)))/200,($F$12-$I$4+VLOOKUP($R29,武学奇术!$A:$ZZ,11,FALSE)+SUM(_xlfn.XLOOKUP($S29:$AL29,增益!$A:$A,增益!$K:$K,0)))/100)</f>
        <v>0.17</v>
      </c>
      <c r="BF29" s="40" cm="1">
        <f t="array" ref="BF29">$G$12+VLOOKUP($R29,武学奇术!$A:$ZZ,12,FALSE)+SUM(_xlfn.XLOOKUP($S29:$AL29,增益!$A:$A,增益!$L:$L,0))</f>
        <v>0.27</v>
      </c>
      <c r="BG29">
        <f t="shared" si="6"/>
        <v>0</v>
      </c>
      <c r="BH29">
        <f t="shared" si="7"/>
        <v>0</v>
      </c>
      <c r="BI29" s="40" cm="1">
        <f t="array" ref="BI29">IF($F$13-$I$4+VLOOKUP($R29,武学奇术!$A:$ZZ,13,FALSE)+SUM(_xlfn.XLOOKUP($S29:$AL29,增益!$A:$A,增益!$M:$M,0))&gt;0,($F$13-$I$4+VLOOKUP($R29,武学奇术!$A:$ZZ,13,FALSE)+SUM(_xlfn.XLOOKUP($S29:$AL29,增益!$A:$A,增益!$K:$K,0)))/200,($F$13-$I$4+VLOOKUP($R29,武学奇术!$A:$ZZ,13,FALSE)+SUM(_xlfn.XLOOKUP($S29:$AL29,增益!$A:$A,增益!$M:$M,0)))/100)</f>
        <v>-0.14</v>
      </c>
      <c r="BJ29" s="40" cm="1">
        <f t="array" ref="BJ29">$G$13+VLOOKUP($R29,武学奇术!$A:$ZZ,14,FALSE)+SUM(_xlfn.XLOOKUP($S29:$AL29,增益!$A:$A,增益!$N:$N,0))</f>
        <v>0</v>
      </c>
      <c r="BK29">
        <f t="shared" si="8"/>
        <v>0</v>
      </c>
      <c r="BL29">
        <f t="shared" si="9"/>
        <v>0</v>
      </c>
      <c r="BM29" s="40" cm="1">
        <f t="array" ref="BM29">IF($F$14-$I$4+VLOOKUP($R29,武学奇术!$A:$ZZ,15,FALSE)+SUM(_xlfn.XLOOKUP($S29:$AL29,增益!$A:$A,增益!$O:$O,0))&gt;0,($F$14-$I$4+VLOOKUP($R29,武学奇术!$A:$ZZ,15,FALSE)+SUM(_xlfn.XLOOKUP($S29:$AL29,增益!$A:$A,增益!$O:$O,0)))/200,($F$14-$I$4+VLOOKUP($R29,武学奇术!$A:$ZZ,15,FALSE)+SUM(_xlfn.XLOOKUP($S29:$AL29,增益!$A:$A,增益!$O:$O,0)))/100)</f>
        <v>-0.14</v>
      </c>
      <c r="BN29" s="40" cm="1">
        <f t="array" ref="BN29">$G$14+VLOOKUP($R29,武学奇术!$A:$ZZ,16,FALSE)+SUM(_xlfn.XLOOKUP($S29:$AL29,增益!$A:$A,增益!$P:$P,0))</f>
        <v>0</v>
      </c>
      <c r="BO29" s="33">
        <f>MIN(IF(VLOOKUP($R29,武学奇术!$A:$ZZ,23,FALSE)=1,100%,$B$8),100%)</f>
        <v>1</v>
      </c>
      <c r="BP29" s="33" cm="1">
        <f t="array" ref="BP29">IF(VLOOKUP($R29,武学奇术!$A:$ZZ,23,FALSE)=1,100%,MIN(80%,$B$9+VLOOKUP($R29,武学奇术!$A:$ZZ,17,FALSE)+SUM(_xlfn.XLOOKUP($S29:$AL29,增益!$A:$A,增益!$Q:$Q,0)))+$B$11+SUM(_xlfn.XLOOKUP($S29:$AL29,增益!$A:$A,增益!$U:$U,0)))*IF(VLOOKUP($R29,武学奇术!$A:$ZZ,24,FALSE)=1,0,1)</f>
        <v>1</v>
      </c>
      <c r="BQ29" s="33" cm="1">
        <f t="array" ref="BQ29">1+$B$13+VLOOKUP($R29,武学奇术!$A:$ZZ,18,FALSE)+SUM(_xlfn.XLOOKUP($S29:$AL29,增益!$A:$A,增益!$R:$R,0))</f>
        <v>2.05</v>
      </c>
      <c r="BR29" s="33" cm="1">
        <f t="array" ref="BR29">IF(VLOOKUP($R29,武学奇术!$A:$ZZ,24,FALSE)=1,100%,MIN(40%,$B$10+VLOOKUP($R29,武学奇术!$A:$ZZ,19,FALSE)+SUM(_xlfn.XLOOKUP($S29:$AL29,增益!$A:$A,增益!$S:$S,0)))+$B$12+SUM(_xlfn.XLOOKUP($S29:$AL29,增益!$A:$A,增益!$V:$V,0)))*IF(VLOOKUP($R29,武学奇术!$A:$ZZ,23,FALSE)=1,0,1)</f>
        <v>0</v>
      </c>
      <c r="BS29" s="33" cm="1">
        <f t="array" ref="BS29">1+$B$14+VLOOKUP($R29,武学奇术!$A:$ZZ,20,FALSE)+SUM(_xlfn.XLOOKUP($S29:$AL29,增益!$A:$A,增益!$T:$T,0))</f>
        <v>1.35</v>
      </c>
      <c r="BT29" s="33">
        <f t="shared" si="10"/>
        <v>1</v>
      </c>
      <c r="BU29" s="33">
        <f t="shared" si="11"/>
        <v>0</v>
      </c>
      <c r="BV29" s="33">
        <f>IF(VLOOKUP($R29,武学奇术!$A:$ZZ,22,FALSE)=1,0,(1-$BO29))*(1-$BR29)</f>
        <v>0</v>
      </c>
      <c r="BW29" s="33" cm="1">
        <f t="array" ref="BW29">SUM(_xlfn.XLOOKUP($S29:$AL29,增益!$A:$A,增益!$W:$W,0))+$I$5</f>
        <v>0.11</v>
      </c>
      <c r="BX29" s="33" cm="1">
        <f t="array" ref="BX29">VLOOKUP($R29,武学奇术!$A:$ZZ,32,FALSE)+SUM(_xlfn.XLOOKUP($S29:$AL29,增益!$A:$A,增益!$X:$X,0))</f>
        <v>0</v>
      </c>
    </row>
    <row r="30" spans="1:76">
      <c r="L30" s="46">
        <f t="shared" si="0"/>
        <v>178937.777484557</v>
      </c>
      <c r="M30" s="46">
        <f>((($AT30+$AU30)/2*$AN30+$AO30)*(1+$AV30)*(1+$AW30)+(($AY30+$AZ30)/2*IF($G$1="鸣金",$AP30,$AN30)+IF($G$1="鸣金",$AQ30*1.5,0))*(1+$BA30)*(1+$BB30)+(($BC30+$BD30)/2*IF($G$1="裂石",$AP30,$AN30)+IF($G$1="裂石",$AQ30*1.5,0))*(1+$BE30)*(1+$BF30)+(($BG30+$BH30)/2*IF($G$1="牵丝",$AP30,$AN30)+IF($G$1="牵丝",$AQ30*1.5,0))*(1+$BI30)*(1+$BJ30)+(($BK30+$BL30)/2*IF($G$1="破竹",$AP30,$AN30)+IF($G$1="破竹",$AQ30*1.5,0))*(1+$BM30)*(1+$BN30))*(1+$AR30)*$BQ30*$Q30*(1+IF(VLOOKUP($R30,武学奇术!$A:$ZZ,30,FALSE)="蓄力技",$B$21,0))*(1+IF(VLOOKUP($R30,武学奇术!$A:$ZZ,30,FALSE)="派生技",$B$20,0))*(1+$BW30)*(1+$BX30)</f>
        <v>186234.540897001</v>
      </c>
      <c r="N30" s="46">
        <f>(($AU30*$AN30+$AO30)*(1+$AV30)*(1+$AW30)+($AZ30*IF($G$1="鸣金",$AP30,$AN30)+IF($G$1="鸣金",$AQ30*1.5,0))*(1+$BA30)*(1+$BB30)+($BD30*IF($G$1="裂石",$AP30,$AN30)+IF($G$1="裂石",$AQ30*1.5,0))*(1+$BE30)*(1+$BF30)+($BH30*IF($G$1="牵丝",$AP30,$AN30)+IF($G$1="牵丝",$AQ30*1.5,0))*(1+$BI30)*(1+$BJ30)+($BL30*IF($G$1="破竹",$AP30,$AN30)+IF($G$1="破竹",$AQ30*1.5,0))*(1+$BM30)*(1+$BN30))*(1+$AR30)*$BS30*$Q30*(1+IF(VLOOKUP($R30,武学奇术!$A:$ZZ,30,FALSE)="蓄力技",$B$21,0))*(1+IF(VLOOKUP($R30,武学奇术!$A:$ZZ,30,FALSE)="派生技",$B$20,0))*(1+$BW30)*(1+$BX30)</f>
        <v>150891.508917907</v>
      </c>
      <c r="O30" s="46">
        <f>((($AT30+$AU30)/2*$AN30+$AO30)*(1+$AV30)*(1+$AW30)+(($AY30+$AZ30)/2*IF($G$1="鸣金",$AP30,$AN30)+IF($G$1="鸣金",$AQ30*1.5,0))*(1+$BA30)*(1+$BB30)+(($BC30+$BD30)/2*IF($G$1="裂石",$AP30,$AN30)+IF($G$1="裂石",$AQ30*1.5,0))*(1+$BE30)*(1+$BF30)+(($BG30+$BH30)/2*IF($G$1="牵丝",$AP30,$AN30)+IF($G$1="牵丝",$AQ30*1.5,0))*(1+$BI30)*(1+$BJ30)+(($BK30+$BL30)/2*IF($G$1="破竹",$AP30,$AN30)+IF($G$1="破竹",$AQ30*1.5,0))*(1+$BM30)*(1+$BN30))*(1+$AR30)*$Q30*(1+IF(VLOOKUP($R30,武学奇术!$A:$ZZ,30,FALSE)="蓄力技",$B$21,0))*(1+IF(VLOOKUP($R30,武学奇术!$A:$ZZ,30,FALSE)="派生技",$B$20,0))*(1+$BW30)*(1+$BX30)</f>
        <v>98018.179419474</v>
      </c>
      <c r="P30" s="46">
        <f>((($AT30*$AN30+$AO30)*(1+$AV30)*(1+$AW30)+($AY30*IF($G$1="鸣金",$AP30,$AN30)+IF($G$1="鸣金",$AQ30*1.5,0))*(1+$BA30)*(1+$BB30)+($BC30*IF($G$1="裂石",$AP30,$AN30)+IF($G$1="裂石",$AQ30*1.5,0))*(1+$BE30)*(1+$BF30)+($BG30*IF($G$1="牵丝",$AP30,$AN30)+IF($G$1="牵丝",$AQ30*1.5,0))*(1+$BI30)*(1+$BJ30)+($BK30*IF($G$1="破竹",$AP30,$AN30)+IF($G$1="破竹",$AQ30*1.5,0))*(1+$BM30)*(1+$BN30))*(1+$AR30))*$Q30*(1+IF(VLOOKUP($R30,武学奇术!$A:$ZZ,30,FALSE)="蓄力技",$B$21,0))*(1+IF(VLOOKUP($R30,武学奇术!$A:$ZZ,30,FALSE)="派生技",$B$20,0))*(1+$BW30)*(1+$BX30)</f>
        <v>84264.8707516094</v>
      </c>
      <c r="Q30" s="47">
        <f t="shared" si="13"/>
        <v>1</v>
      </c>
      <c r="R30" s="48" t="s">
        <v>165</v>
      </c>
      <c r="S30" s="48" t="s">
        <v>99</v>
      </c>
      <c r="T30" s="48" t="s">
        <v>103</v>
      </c>
      <c r="U30" s="48" t="s">
        <v>79</v>
      </c>
      <c r="V30" s="48" t="s">
        <v>90</v>
      </c>
      <c r="W30" s="48" t="s">
        <v>91</v>
      </c>
      <c r="X30" s="48" t="s">
        <v>80</v>
      </c>
      <c r="Y30" s="48" t="s">
        <v>80</v>
      </c>
      <c r="Z30" s="48" t="s">
        <v>81</v>
      </c>
      <c r="AA30" s="48" t="s">
        <v>80</v>
      </c>
      <c r="AB30" s="48" t="s">
        <v>80</v>
      </c>
      <c r="AC30" s="48" t="s">
        <v>80</v>
      </c>
      <c r="AD30" s="48" t="s">
        <v>80</v>
      </c>
      <c r="AE30" s="48" t="s">
        <v>80</v>
      </c>
      <c r="AF30" s="48" t="s">
        <v>83</v>
      </c>
      <c r="AG30" s="48" t="s">
        <v>84</v>
      </c>
      <c r="AH30" s="48" t="s">
        <v>80</v>
      </c>
      <c r="AI30" s="48" t="s">
        <v>80</v>
      </c>
      <c r="AJ30" s="48" t="s">
        <v>80</v>
      </c>
      <c r="AK30" s="48" t="s">
        <v>80</v>
      </c>
      <c r="AL30" s="48" t="s">
        <v>80</v>
      </c>
      <c r="AM30" t="str">
        <f>VLOOKUP($R30,武学奇术!$A:$ZZ,25,FALSE)</f>
        <v>单体奇术</v>
      </c>
      <c r="AN30" s="33">
        <f>VLOOKUP($R30,武学奇术!$A:$ZZ,26,FALSE)</f>
        <v>7.1094</v>
      </c>
      <c r="AO30" s="34">
        <f>VLOOKUP($R30,武学奇术!$A:$ZZ,27,FALSE)*(1+IF(OR($AM30=$F$4,$AM30=$F$5),$B$22,0))</f>
        <v>1420</v>
      </c>
      <c r="AP30" s="33">
        <f>VLOOKUP($R30,武学奇术!$A:$ZZ,28,FALSE)</f>
        <v>10.6641</v>
      </c>
      <c r="AQ30" s="34">
        <f>VLOOKUP($R30,武学奇术!$A:$ZZ,29,FALSE)*(1+IF(OR($AM30=$F$4,$AM30=$F$5),$B$22,0))</f>
        <v>0</v>
      </c>
      <c r="AR30" s="33" cm="1">
        <f t="array" ref="AR30">$G$3+IFERROR(VLOOKUP($AM30,$F$4:$G$7,2,FALSE),0)+VLOOKUP($R30,武学奇术!$A:$ZZ,2,FALSE)+SUM(_xlfn.XLOOKUP($S30:$AL30,增益!$A:$A,增益!$B:$B,0))</f>
        <v>0.3842</v>
      </c>
      <c r="AS30" s="33" cm="1">
        <f t="array" ref="AS30">VLOOKUP($R30,武学奇术!$A:$ZZ,5,FALSE)+SUM(_xlfn.XLOOKUP($S30:$AL30,增益!$A:$A,增益!$E:$E,0))</f>
        <v>0</v>
      </c>
      <c r="AT30" cm="1">
        <f t="array" ref="AT30">$D$10*(1+$AS30)+VLOOKUP($R30,武学奇术!$A:$ZZ,3,FALSE)+SUM(_xlfn.XLOOKUP($S30:$AL30,增益!$A:$A,增益!$C:$C,0))-$I$2</f>
        <v>4026</v>
      </c>
      <c r="AU30" cm="1">
        <f t="array" ref="AU30">$E$10*(1+$AS30)+VLOOKUP($R30,武学奇术!$A:$ZZ,4,FALSE)+SUM(_xlfn.XLOOKUP($S30:$AL30,增益!$A:$A,增益!$D:$D,0))-$I$2</f>
        <v>4026</v>
      </c>
      <c r="AV30" s="40" cm="1">
        <f t="array" ref="AV30">IF($F$10-$I$3+VLOOKUP($R30,武学奇术!$A:$ZZ,6,FALSE)+SUM(_xlfn.XLOOKUP($S30:$AL30,增益!$A:$A,增益!$F:$F,0))&gt;0,($F$10-$I$3+VLOOKUP($R30,武学奇术!$A:$ZZ,6,FALSE)+SUM(_xlfn.XLOOKUP($S30:$AL30,增益!$A:$A,增益!$F:$F,0)))/200,($F$10-$I$3+VLOOKUP($R30,武学奇术!$A:$ZZ,6,FALSE)+SUM(_xlfn.XLOOKUP($S30:$AL30,增益!$A:$A,增益!$F:$F,0)))/100)</f>
        <v>0.3284</v>
      </c>
      <c r="AW30" s="40" cm="1">
        <f t="array" ref="AW30">$G$10+VLOOKUP($R30,武学奇术!$A:$ZZ,7,FALSE)+SUM(_xlfn.XLOOKUP($S30:$AL30,增益!$A:$A,增益!$G:$G,0))</f>
        <v>0.12</v>
      </c>
      <c r="AX30" s="33" cm="1">
        <f t="array" ref="AX30">VLOOKUP($R30,武学奇术!$A:$ZZ,8,FALSE)+SUM(_xlfn.XLOOKUP($S30:$AL30,增益!$A:$A,增益!$H:$H,0))</f>
        <v>0</v>
      </c>
      <c r="AY30">
        <f t="shared" si="2"/>
        <v>0</v>
      </c>
      <c r="AZ30">
        <f t="shared" si="3"/>
        <v>0</v>
      </c>
      <c r="BA30" s="40" cm="1">
        <f t="array" ref="BA30">IF($F$11-$I$4+VLOOKUP($R30,武学奇术!$A:$ZZ,9,FALSE)+SUM(_xlfn.XLOOKUP($S30:$AL30,增益!$A:$A,增益!$I:$I,0))&gt;0,($F$11-$I$4+VLOOKUP($R30,武学奇术!$A:$ZZ,9,FALSE)+SUM(_xlfn.XLOOKUP($S30:$AL30,增益!$A:$A,增益!$I:$I,0)))/200,($F$11-$I$4+VLOOKUP($R30,武学奇术!$A:$ZZ,9,FALSE)+SUM(_xlfn.XLOOKUP($S30:$AL30,增益!$A:$A,增益!$I:$I,0)))/100)</f>
        <v>-0.14</v>
      </c>
      <c r="BB30" s="40" cm="1">
        <f t="array" ref="BB30">$G$11+VLOOKUP($R30,武学奇术!$A:$ZZ,10,FALSE)+SUM(_xlfn.XLOOKUP($S30:$AL30,增益!$A:$A,增益!$J:$J,0))</f>
        <v>0</v>
      </c>
      <c r="BC30">
        <f t="shared" si="4"/>
        <v>640.3</v>
      </c>
      <c r="BD30">
        <f t="shared" si="5"/>
        <v>1770.1</v>
      </c>
      <c r="BE30" s="40" cm="1">
        <f t="array" ref="BE30">IF($F$12-$I$4+VLOOKUP($R30,武学奇术!$A:$ZZ,11,FALSE)+SUM(_xlfn.XLOOKUP($S30:$AL30,增益!$A:$A,增益!$K:$K,0))&gt;0,($F$12-$I$4+VLOOKUP($R30,武学奇术!$A:$ZZ,11,FALSE)+SUM(_xlfn.XLOOKUP($S30:$AL30,增益!$A:$A,增益!$K:$K,0)))/200,($F$12-$I$4+VLOOKUP($R30,武学奇术!$A:$ZZ,11,FALSE)+SUM(_xlfn.XLOOKUP($S30:$AL30,增益!$A:$A,增益!$K:$K,0)))/100)</f>
        <v>0.17</v>
      </c>
      <c r="BF30" s="40" cm="1">
        <f t="array" ref="BF30">$G$12+VLOOKUP($R30,武学奇术!$A:$ZZ,12,FALSE)+SUM(_xlfn.XLOOKUP($S30:$AL30,增益!$A:$A,增益!$L:$L,0))</f>
        <v>0.27</v>
      </c>
      <c r="BG30">
        <f t="shared" si="6"/>
        <v>0</v>
      </c>
      <c r="BH30">
        <f t="shared" si="7"/>
        <v>0</v>
      </c>
      <c r="BI30" s="40" cm="1">
        <f t="array" ref="BI30">IF($F$13-$I$4+VLOOKUP($R30,武学奇术!$A:$ZZ,13,FALSE)+SUM(_xlfn.XLOOKUP($S30:$AL30,增益!$A:$A,增益!$M:$M,0))&gt;0,($F$13-$I$4+VLOOKUP($R30,武学奇术!$A:$ZZ,13,FALSE)+SUM(_xlfn.XLOOKUP($S30:$AL30,增益!$A:$A,增益!$K:$K,0)))/200,($F$13-$I$4+VLOOKUP($R30,武学奇术!$A:$ZZ,13,FALSE)+SUM(_xlfn.XLOOKUP($S30:$AL30,增益!$A:$A,增益!$M:$M,0)))/100)</f>
        <v>-0.14</v>
      </c>
      <c r="BJ30" s="40" cm="1">
        <f t="array" ref="BJ30">$G$13+VLOOKUP($R30,武学奇术!$A:$ZZ,14,FALSE)+SUM(_xlfn.XLOOKUP($S30:$AL30,增益!$A:$A,增益!$N:$N,0))</f>
        <v>0</v>
      </c>
      <c r="BK30">
        <f t="shared" si="8"/>
        <v>0</v>
      </c>
      <c r="BL30">
        <f t="shared" si="9"/>
        <v>0</v>
      </c>
      <c r="BM30" s="40" cm="1">
        <f t="array" ref="BM30">IF($F$14-$I$4+VLOOKUP($R30,武学奇术!$A:$ZZ,15,FALSE)+SUM(_xlfn.XLOOKUP($S30:$AL30,增益!$A:$A,增益!$O:$O,0))&gt;0,($F$14-$I$4+VLOOKUP($R30,武学奇术!$A:$ZZ,15,FALSE)+SUM(_xlfn.XLOOKUP($S30:$AL30,增益!$A:$A,增益!$O:$O,0)))/200,($F$14-$I$4+VLOOKUP($R30,武学奇术!$A:$ZZ,15,FALSE)+SUM(_xlfn.XLOOKUP($S30:$AL30,增益!$A:$A,增益!$O:$O,0)))/100)</f>
        <v>-0.14</v>
      </c>
      <c r="BN30" s="40" cm="1">
        <f t="array" ref="BN30">$G$14+VLOOKUP($R30,武学奇术!$A:$ZZ,16,FALSE)+SUM(_xlfn.XLOOKUP($S30:$AL30,增益!$A:$A,增益!$P:$P,0))</f>
        <v>0</v>
      </c>
      <c r="BO30" s="33">
        <f>MIN(IF(VLOOKUP($R30,武学奇术!$A:$ZZ,23,FALSE)=1,100%,$B$8),100%)</f>
        <v>0.9771</v>
      </c>
      <c r="BP30" s="33" cm="1">
        <f t="array" ref="BP30">IF(VLOOKUP($R30,武学奇术!$A:$ZZ,23,FALSE)=1,100%,MIN(80%,$B$9+VLOOKUP($R30,武学奇术!$A:$ZZ,17,FALSE)+SUM(_xlfn.XLOOKUP($S30:$AL30,增益!$A:$A,增益!$Q:$Q,0)))+$B$11+SUM(_xlfn.XLOOKUP($S30:$AL30,增益!$A:$A,增益!$U:$U,0)))*IF(VLOOKUP($R30,武学奇术!$A:$ZZ,24,FALSE)=1,0,1)</f>
        <v>0.8861</v>
      </c>
      <c r="BQ30" s="33" cm="1">
        <f t="array" ref="BQ30">1+$B$13+VLOOKUP($R30,武学奇术!$A:$ZZ,18,FALSE)+SUM(_xlfn.XLOOKUP($S30:$AL30,增益!$A:$A,增益!$R:$R,0))</f>
        <v>1.9</v>
      </c>
      <c r="BR30" s="33" cm="1">
        <f t="array" ref="BR30">IF(VLOOKUP($R30,武学奇术!$A:$ZZ,24,FALSE)=1,100%,MIN(40%,$B$10+VLOOKUP($R30,武学奇术!$A:$ZZ,19,FALSE)+SUM(_xlfn.XLOOKUP($S30:$AL30,增益!$A:$A,增益!$S:$S,0)))+$B$12+SUM(_xlfn.XLOOKUP($S30:$AL30,增益!$A:$A,增益!$V:$V,0)))*IF(VLOOKUP($R30,武学奇术!$A:$ZZ,23,FALSE)=1,0,1)</f>
        <v>0.0913</v>
      </c>
      <c r="BS30" s="33" cm="1">
        <f t="array" ref="BS30">1+$B$14+VLOOKUP($R30,武学奇术!$A:$ZZ,20,FALSE)+SUM(_xlfn.XLOOKUP($S30:$AL30,增益!$A:$A,增益!$T:$T,0))</f>
        <v>1.35</v>
      </c>
      <c r="BT30" s="33">
        <f t="shared" si="10"/>
        <v>0.86580831</v>
      </c>
      <c r="BU30" s="33">
        <f t="shared" si="11"/>
        <v>0.02208246</v>
      </c>
      <c r="BV30" s="33">
        <f>IF(VLOOKUP($R30,武学奇术!$A:$ZZ,22,FALSE)=1,0,(1-$BO30))*(1-$BR30)</f>
        <v>0.02080923</v>
      </c>
      <c r="BW30" s="33" cm="1">
        <f t="array" ref="BW30">SUM(_xlfn.XLOOKUP($S30:$AL30,增益!$A:$A,增益!$W:$W,0))+$I$5</f>
        <v>0.11</v>
      </c>
      <c r="BX30" s="33" cm="1">
        <f t="array" ref="BX30">VLOOKUP($R30,武学奇术!$A:$ZZ,32,FALSE)+SUM(_xlfn.XLOOKUP($S30:$AL30,增益!$A:$A,增益!$X:$X,0))</f>
        <v>0</v>
      </c>
    </row>
    <row r="31" spans="1:76">
      <c r="L31" s="46">
        <f t="shared" si="0"/>
        <v>20408.6357015922</v>
      </c>
      <c r="M31" s="46">
        <f>((($AT31+$AU31)/2*$AN31+$AO31)*(1+$AV31)*(1+$AW31)+(($AY31+$AZ31)/2*IF($G$1="鸣金",$AP31,$AN31)+IF($G$1="鸣金",$AQ31*1.5,0))*(1+$BA31)*(1+$BB31)+(($BC31+$BD31)/2*IF($G$1="裂石",$AP31,$AN31)+IF($G$1="裂石",$AQ31*1.5,0))*(1+$BE31)*(1+$BF31)+(($BG31+$BH31)/2*IF($G$1="牵丝",$AP31,$AN31)+IF($G$1="牵丝",$AQ31*1.5,0))*(1+$BI31)*(1+$BJ31)+(($BK31+$BL31)/2*IF($G$1="破竹",$AP31,$AN31)+IF($G$1="破竹",$AQ31*1.5,0))*(1+$BM31)*(1+$BN31))*(1+$AR31)*$BQ31*$Q31*(1+IF(VLOOKUP($R31,武学奇术!$A:$ZZ,30,FALSE)="蓄力技",$B$21,0))*(1+IF(VLOOKUP($R31,武学奇术!$A:$ZZ,30,FALSE)="派生技",$B$20,0))*(1+$BW31)*(1+$BX31)</f>
        <v>21291.4204041928</v>
      </c>
      <c r="N31" s="46">
        <f>(($AU31*$AN31+$AO31)*(1+$AV31)*(1+$AW31)+($AZ31*IF($G$1="鸣金",$AP31,$AN31)+IF($G$1="鸣金",$AQ31*1.5,0))*(1+$BA31)*(1+$BB31)+($BD31*IF($G$1="裂石",$AP31,$AN31)+IF($G$1="裂石",$AQ31*1.5,0))*(1+$BE31)*(1+$BF31)+($BH31*IF($G$1="牵丝",$AP31,$AN31)+IF($G$1="牵丝",$AQ31*1.5,0))*(1+$BI31)*(1+$BJ31)+($BL31*IF($G$1="破竹",$AP31,$AN31)+IF($G$1="破竹",$AQ31*1.5,0))*(1+$BM31)*(1+$BN31))*(1+$AR31)*$BS31*$Q31*(1+IF(VLOOKUP($R31,武学奇术!$A:$ZZ,30,FALSE)="蓄力技",$B$21,0))*(1+IF(VLOOKUP($R31,武学奇术!$A:$ZZ,30,FALSE)="派生技",$B$20,0))*(1+$BW31)*(1+$BX31)</f>
        <v>16851.8741915363</v>
      </c>
      <c r="O31" s="46">
        <f>((($AT31+$AU31)/2*$AN31+$AO31)*(1+$AV31)*(1+$AW31)+(($AY31+$AZ31)/2*IF($G$1="鸣金",$AP31,$AN31)+IF($G$1="鸣金",$AQ31*1.5,0))*(1+$BA31)*(1+$BB31)+(($BC31+$BD31)/2*IF($G$1="裂石",$AP31,$AN31)+IF($G$1="裂石",$AQ31*1.5,0))*(1+$BE31)*(1+$BF31)+(($BG31+$BH31)/2*IF($G$1="牵丝",$AP31,$AN31)+IF($G$1="牵丝",$AQ31*1.5,0))*(1+$BI31)*(1+$BJ31)+(($BK31+$BL31)/2*IF($G$1="破竹",$AP31,$AN31)+IF($G$1="破竹",$AQ31*1.5,0))*(1+$BM31)*(1+$BN31))*(1+$AR31)*$Q31*(1+IF(VLOOKUP($R31,武学奇术!$A:$ZZ,30,FALSE)="蓄力技",$B$21,0))*(1+IF(VLOOKUP($R31,武学奇术!$A:$ZZ,30,FALSE)="派生技",$B$20,0))*(1+$BW31)*(1+$BX31)</f>
        <v>10918.6771303553</v>
      </c>
      <c r="P31" s="46">
        <f>((($AT31*$AN31+$AO31)*(1+$AV31)*(1+$AW31)+($AY31*IF($G$1="鸣金",$AP31,$AN31)+IF($G$1="鸣金",$AQ31*1.5,0))*(1+$BA31)*(1+$BB31)+($BC31*IF($G$1="裂石",$AP31,$AN31)+IF($G$1="裂石",$AQ31*1.5,0))*(1+$BE31)*(1+$BF31)+($BG31*IF($G$1="牵丝",$AP31,$AN31)+IF($G$1="牵丝",$AQ31*1.5,0))*(1+$BI31)*(1+$BJ31)+($BK31*IF($G$1="破竹",$AP31,$AN31)+IF($G$1="破竹",$AQ31*1.5,0))*(1+$BM31)*(1+$BN31))*(1+$AR31))*$Q31*(1+IF(VLOOKUP($R31,武学奇术!$A:$ZZ,30,FALSE)="蓄力技",$B$21,0))*(1+IF(VLOOKUP($R31,武学奇术!$A:$ZZ,30,FALSE)="派生技",$B$20,0))*(1+$BW31)*(1+$BX31)</f>
        <v>9354.48448920223</v>
      </c>
      <c r="Q31" s="47">
        <f t="shared" si="13"/>
        <v>1</v>
      </c>
      <c r="R31" s="48" t="s">
        <v>140</v>
      </c>
      <c r="S31" s="48" t="s">
        <v>99</v>
      </c>
      <c r="T31" s="48" t="s">
        <v>103</v>
      </c>
      <c r="U31" s="48" t="s">
        <v>79</v>
      </c>
      <c r="V31" s="48" t="s">
        <v>90</v>
      </c>
      <c r="W31" s="48" t="s">
        <v>141</v>
      </c>
      <c r="X31" s="48" t="s">
        <v>80</v>
      </c>
      <c r="Y31" s="48" t="s">
        <v>74</v>
      </c>
      <c r="Z31" s="48" t="s">
        <v>80</v>
      </c>
      <c r="AA31" s="48" t="s">
        <v>80</v>
      </c>
      <c r="AB31" s="48" t="s">
        <v>80</v>
      </c>
      <c r="AC31" s="48" t="s">
        <v>80</v>
      </c>
      <c r="AD31" s="48" t="s">
        <v>80</v>
      </c>
      <c r="AE31" s="48" t="s">
        <v>80</v>
      </c>
      <c r="AF31" s="48" t="s">
        <v>83</v>
      </c>
      <c r="AG31" s="48" t="s">
        <v>84</v>
      </c>
      <c r="AH31" s="48" t="s">
        <v>80</v>
      </c>
      <c r="AI31" s="48" t="s">
        <v>80</v>
      </c>
      <c r="AJ31" s="48" t="s">
        <v>80</v>
      </c>
      <c r="AK31" s="48" t="s">
        <v>80</v>
      </c>
      <c r="AL31" s="48" t="s">
        <v>80</v>
      </c>
      <c r="AM31" t="str">
        <f>VLOOKUP($R31,武学奇术!$A:$ZZ,25,FALSE)</f>
        <v>陌刀</v>
      </c>
      <c r="AN31" s="33">
        <f>VLOOKUP($R31,武学奇术!$A:$ZZ,26,FALSE)</f>
        <v>0.525</v>
      </c>
      <c r="AO31" s="34">
        <f>VLOOKUP($R31,武学奇术!$A:$ZZ,27,FALSE)*(1+IF(OR($AM31=$F$4,$AM31=$F$5),$B$22,0))</f>
        <v>0</v>
      </c>
      <c r="AP31" s="33">
        <f>VLOOKUP($R31,武学奇术!$A:$ZZ,28,FALSE)</f>
        <v>0.7875</v>
      </c>
      <c r="AQ31" s="34">
        <f>VLOOKUP($R31,武学奇术!$A:$ZZ,29,FALSE)*(1+IF(OR($AM31=$F$4,$AM31=$F$5),$B$22,0))</f>
        <v>0</v>
      </c>
      <c r="AR31" s="33" cm="1">
        <f t="array" ref="AR31">$G$3+IFERROR(VLOOKUP($AM31,$F$4:$G$7,2,FALSE),0)+VLOOKUP($R31,武学奇术!$A:$ZZ,2,FALSE)+SUM(_xlfn.XLOOKUP($S31:$AL31,增益!$A:$A,增益!$B:$B,0))</f>
        <v>0.6143</v>
      </c>
      <c r="AS31" s="33" cm="1">
        <f t="array" ref="AS31">VLOOKUP($R31,武学奇术!$A:$ZZ,5,FALSE)+SUM(_xlfn.XLOOKUP($S31:$AL31,增益!$A:$A,增益!$E:$E,0))</f>
        <v>0</v>
      </c>
      <c r="AT31" cm="1">
        <f t="array" ref="AT31">$D$10*(1+$AS31)+VLOOKUP($R31,武学奇术!$A:$ZZ,3,FALSE)+SUM(_xlfn.XLOOKUP($S31:$AL31,增益!$A:$A,增益!$C:$C,0))-$I$2</f>
        <v>4026</v>
      </c>
      <c r="AU31" cm="1">
        <f t="array" ref="AU31">$E$10*(1+$AS31)+VLOOKUP($R31,武学奇术!$A:$ZZ,4,FALSE)+SUM(_xlfn.XLOOKUP($S31:$AL31,增益!$A:$A,增益!$D:$D,0))-$I$2</f>
        <v>4026</v>
      </c>
      <c r="AV31" s="40" cm="1">
        <f t="array" ref="AV31">IF($F$10-$I$3+VLOOKUP($R31,武学奇术!$A:$ZZ,6,FALSE)+SUM(_xlfn.XLOOKUP($S31:$AL31,增益!$A:$A,增益!$F:$F,0))&gt;0,($F$10-$I$3+VLOOKUP($R31,武学奇术!$A:$ZZ,6,FALSE)+SUM(_xlfn.XLOOKUP($S31:$AL31,增益!$A:$A,增益!$F:$F,0)))/200,($F$10-$I$3+VLOOKUP($R31,武学奇术!$A:$ZZ,6,FALSE)+SUM(_xlfn.XLOOKUP($S31:$AL31,增益!$A:$A,增益!$F:$F,0)))/100)</f>
        <v>0.3534</v>
      </c>
      <c r="AW31" s="40" cm="1">
        <f t="array" ref="AW31">$G$10+VLOOKUP($R31,武学奇术!$A:$ZZ,7,FALSE)+SUM(_xlfn.XLOOKUP($S31:$AL31,增益!$A:$A,增益!$G:$G,0))</f>
        <v>0.12</v>
      </c>
      <c r="AX31" s="33" cm="1">
        <f t="array" ref="AX31">VLOOKUP($R31,武学奇术!$A:$ZZ,8,FALSE)+SUM(_xlfn.XLOOKUP($S31:$AL31,增益!$A:$A,增益!$H:$H,0))</f>
        <v>0</v>
      </c>
      <c r="AY31">
        <f t="shared" si="2"/>
        <v>0</v>
      </c>
      <c r="AZ31">
        <f t="shared" si="3"/>
        <v>0</v>
      </c>
      <c r="BA31" s="40" cm="1">
        <f t="array" ref="BA31">IF($F$11-$I$4+VLOOKUP($R31,武学奇术!$A:$ZZ,9,FALSE)+SUM(_xlfn.XLOOKUP($S31:$AL31,增益!$A:$A,增益!$I:$I,0))&gt;0,($F$11-$I$4+VLOOKUP($R31,武学奇术!$A:$ZZ,9,FALSE)+SUM(_xlfn.XLOOKUP($S31:$AL31,增益!$A:$A,增益!$I:$I,0)))/200,($F$11-$I$4+VLOOKUP($R31,武学奇术!$A:$ZZ,9,FALSE)+SUM(_xlfn.XLOOKUP($S31:$AL31,增益!$A:$A,增益!$I:$I,0)))/100)</f>
        <v>-0.14</v>
      </c>
      <c r="BB31" s="40" cm="1">
        <f t="array" ref="BB31">$G$11+VLOOKUP($R31,武学奇术!$A:$ZZ,10,FALSE)+SUM(_xlfn.XLOOKUP($S31:$AL31,增益!$A:$A,增益!$J:$J,0))</f>
        <v>0</v>
      </c>
      <c r="BC31">
        <f t="shared" si="4"/>
        <v>640.3</v>
      </c>
      <c r="BD31">
        <f t="shared" si="5"/>
        <v>1770.1</v>
      </c>
      <c r="BE31" s="40" cm="1">
        <f t="array" ref="BE31">IF($F$12-$I$4+VLOOKUP($R31,武学奇术!$A:$ZZ,11,FALSE)+SUM(_xlfn.XLOOKUP($S31:$AL31,增益!$A:$A,增益!$K:$K,0))&gt;0,($F$12-$I$4+VLOOKUP($R31,武学奇术!$A:$ZZ,11,FALSE)+SUM(_xlfn.XLOOKUP($S31:$AL31,增益!$A:$A,增益!$K:$K,0)))/200,($F$12-$I$4+VLOOKUP($R31,武学奇术!$A:$ZZ,11,FALSE)+SUM(_xlfn.XLOOKUP($S31:$AL31,增益!$A:$A,增益!$K:$K,0)))/100)</f>
        <v>0.17</v>
      </c>
      <c r="BF31" s="40" cm="1">
        <f t="array" ref="BF31">$G$12+VLOOKUP($R31,武学奇术!$A:$ZZ,12,FALSE)+SUM(_xlfn.XLOOKUP($S31:$AL31,增益!$A:$A,增益!$L:$L,0))</f>
        <v>0.27</v>
      </c>
      <c r="BG31">
        <f t="shared" si="6"/>
        <v>0</v>
      </c>
      <c r="BH31">
        <f t="shared" si="7"/>
        <v>0</v>
      </c>
      <c r="BI31" s="40" cm="1">
        <f t="array" ref="BI31">IF($F$13-$I$4+VLOOKUP($R31,武学奇术!$A:$ZZ,13,FALSE)+SUM(_xlfn.XLOOKUP($S31:$AL31,增益!$A:$A,增益!$M:$M,0))&gt;0,($F$13-$I$4+VLOOKUP($R31,武学奇术!$A:$ZZ,13,FALSE)+SUM(_xlfn.XLOOKUP($S31:$AL31,增益!$A:$A,增益!$K:$K,0)))/200,($F$13-$I$4+VLOOKUP($R31,武学奇术!$A:$ZZ,13,FALSE)+SUM(_xlfn.XLOOKUP($S31:$AL31,增益!$A:$A,增益!$M:$M,0)))/100)</f>
        <v>-0.14</v>
      </c>
      <c r="BJ31" s="40" cm="1">
        <f t="array" ref="BJ31">$G$13+VLOOKUP($R31,武学奇术!$A:$ZZ,14,FALSE)+SUM(_xlfn.XLOOKUP($S31:$AL31,增益!$A:$A,增益!$N:$N,0))</f>
        <v>0</v>
      </c>
      <c r="BK31">
        <f t="shared" si="8"/>
        <v>0</v>
      </c>
      <c r="BL31">
        <f t="shared" si="9"/>
        <v>0</v>
      </c>
      <c r="BM31" s="40" cm="1">
        <f t="array" ref="BM31">IF($F$14-$I$4+VLOOKUP($R31,武学奇术!$A:$ZZ,15,FALSE)+SUM(_xlfn.XLOOKUP($S31:$AL31,增益!$A:$A,增益!$O:$O,0))&gt;0,($F$14-$I$4+VLOOKUP($R31,武学奇术!$A:$ZZ,15,FALSE)+SUM(_xlfn.XLOOKUP($S31:$AL31,增益!$A:$A,增益!$O:$O,0)))/200,($F$14-$I$4+VLOOKUP($R31,武学奇术!$A:$ZZ,15,FALSE)+SUM(_xlfn.XLOOKUP($S31:$AL31,增益!$A:$A,增益!$O:$O,0)))/100)</f>
        <v>-0.14</v>
      </c>
      <c r="BN31" s="40" cm="1">
        <f t="array" ref="BN31">$G$14+VLOOKUP($R31,武学奇术!$A:$ZZ,16,FALSE)+SUM(_xlfn.XLOOKUP($S31:$AL31,增益!$A:$A,增益!$P:$P,0))</f>
        <v>0</v>
      </c>
      <c r="BO31" s="33">
        <f>MIN(IF(VLOOKUP($R31,武学奇术!$A:$ZZ,23,FALSE)=1,100%,$B$8),100%)</f>
        <v>0.9771</v>
      </c>
      <c r="BP31" s="33" cm="1">
        <f t="array" ref="BP31">IF(VLOOKUP($R31,武学奇术!$A:$ZZ,23,FALSE)=1,100%,MIN(80%,$B$9+VLOOKUP($R31,武学奇术!$A:$ZZ,17,FALSE)+SUM(_xlfn.XLOOKUP($S31:$AL31,增益!$A:$A,增益!$Q:$Q,0)))+$B$11+SUM(_xlfn.XLOOKUP($S31:$AL31,增益!$A:$A,增益!$U:$U,0)))*IF(VLOOKUP($R31,武学奇术!$A:$ZZ,24,FALSE)=1,0,1)</f>
        <v>0.8861</v>
      </c>
      <c r="BQ31" s="33" cm="1">
        <f t="array" ref="BQ31">1+$B$13+VLOOKUP($R31,武学奇术!$A:$ZZ,18,FALSE)+SUM(_xlfn.XLOOKUP($S31:$AL31,增益!$A:$A,增益!$R:$R,0))</f>
        <v>1.95</v>
      </c>
      <c r="BR31" s="33" cm="1">
        <f t="array" ref="BR31">IF(VLOOKUP($R31,武学奇术!$A:$ZZ,24,FALSE)=1,100%,MIN(40%,$B$10+VLOOKUP($R31,武学奇术!$A:$ZZ,19,FALSE)+SUM(_xlfn.XLOOKUP($S31:$AL31,增益!$A:$A,增益!$S:$S,0)))+$B$12+SUM(_xlfn.XLOOKUP($S31:$AL31,增益!$A:$A,增益!$V:$V,0)))*IF(VLOOKUP($R31,武学奇术!$A:$ZZ,23,FALSE)=1,0,1)</f>
        <v>0.0913</v>
      </c>
      <c r="BS31" s="33" cm="1">
        <f t="array" ref="BS31">1+$B$14+VLOOKUP($R31,武学奇术!$A:$ZZ,20,FALSE)+SUM(_xlfn.XLOOKUP($S31:$AL31,增益!$A:$A,增益!$T:$T,0))</f>
        <v>1.35</v>
      </c>
      <c r="BT31" s="33">
        <f t="shared" si="10"/>
        <v>0.86580831</v>
      </c>
      <c r="BU31" s="33">
        <f t="shared" si="11"/>
        <v>0.02208246</v>
      </c>
      <c r="BV31" s="33">
        <f>IF(VLOOKUP($R31,武学奇术!$A:$ZZ,22,FALSE)=1,0,(1-$BO31))*(1-$BR31)</f>
        <v>0.02080923</v>
      </c>
      <c r="BW31" s="33" cm="1">
        <f t="array" ref="BW31">SUM(_xlfn.XLOOKUP($S31:$AL31,增益!$A:$A,增益!$W:$W,0))+$I$5</f>
        <v>0.11</v>
      </c>
      <c r="BX31" s="33" cm="1">
        <f t="array" ref="BX31">VLOOKUP($R31,武学奇术!$A:$ZZ,32,FALSE)+SUM(_xlfn.XLOOKUP($S31:$AL31,增益!$A:$A,增益!$X:$X,0))</f>
        <v>0</v>
      </c>
    </row>
    <row r="32" spans="1:76">
      <c r="L32" s="46">
        <f t="shared" si="0"/>
        <v>36905.706927952</v>
      </c>
      <c r="M32" s="46">
        <f>((($AT32+$AU32)/2*$AN32+$AO32)*(1+$AV32)*(1+$AW32)+(($AY32+$AZ32)/2*IF($G$1="鸣金",$AP32,$AN32)+IF($G$1="鸣金",$AQ32*1.5,0))*(1+$BA32)*(1+$BB32)+(($BC32+$BD32)/2*IF($G$1="裂石",$AP32,$AN32)+IF($G$1="裂石",$AQ32*1.5,0))*(1+$BE32)*(1+$BF32)+(($BG32+$BH32)/2*IF($G$1="牵丝",$AP32,$AN32)+IF($G$1="牵丝",$AQ32*1.5,0))*(1+$BI32)*(1+$BJ32)+(($BK32+$BL32)/2*IF($G$1="破竹",$AP32,$AN32)+IF($G$1="破竹",$AQ32*1.5,0))*(1+$BM32)*(1+$BN32))*(1+$AR32)*$BQ32*$Q32*(1+IF(VLOOKUP($R32,武学奇术!$A:$ZZ,30,FALSE)="蓄力技",$B$21,0))*(1+IF(VLOOKUP($R32,武学奇术!$A:$ZZ,30,FALSE)="派生技",$B$20,0))*(1+$BW32)*(1+$BX32)</f>
        <v>38521.0929158935</v>
      </c>
      <c r="N32" s="46">
        <f>(($AU32*$AN32+$AO32)*(1+$AV32)*(1+$AW32)+($AZ32*IF($G$1="鸣金",$AP32,$AN32)+IF($G$1="鸣金",$AQ32*1.5,0))*(1+$BA32)*(1+$BB32)+($BD32*IF($G$1="裂石",$AP32,$AN32)+IF($G$1="裂石",$AQ32*1.5,0))*(1+$BE32)*(1+$BF32)+($BH32*IF($G$1="牵丝",$AP32,$AN32)+IF($G$1="牵丝",$AQ32*1.5,0))*(1+$BI32)*(1+$BJ32)+($BL32*IF($G$1="破竹",$AP32,$AN32)+IF($G$1="破竹",$AQ32*1.5,0))*(1+$BM32)*(1+$BN32))*(1+$AR32)*$BS32*$Q32*(1+IF(VLOOKUP($R32,武学奇术!$A:$ZZ,30,FALSE)="蓄力技",$B$21,0))*(1+IF(VLOOKUP($R32,武学奇术!$A:$ZZ,30,FALSE)="派生技",$B$20,0))*(1+$BW32)*(1+$BX32)</f>
        <v>30333.3735447654</v>
      </c>
      <c r="O32" s="46">
        <f>((($AT32+$AU32)/2*$AN32+$AO32)*(1+$AV32)*(1+$AW32)+(($AY32+$AZ32)/2*IF($G$1="鸣金",$AP32,$AN32)+IF($G$1="鸣金",$AQ32*1.5,0))*(1+$BA32)*(1+$BB32)+(($BC32+$BD32)/2*IF($G$1="裂石",$AP32,$AN32)+IF($G$1="裂石",$AQ32*1.5,0))*(1+$BE32)*(1+$BF32)+(($BG32+$BH32)/2*IF($G$1="牵丝",$AP32,$AN32)+IF($G$1="牵丝",$AQ32*1.5,0))*(1+$BI32)*(1+$BJ32)+(($BK32+$BL32)/2*IF($G$1="破竹",$AP32,$AN32)+IF($G$1="破竹",$AQ32*1.5,0))*(1+$BM32)*(1+$BN32))*(1+$AR32)*$Q32*(1+IF(VLOOKUP($R32,武学奇术!$A:$ZZ,30,FALSE)="蓄力技",$B$21,0))*(1+IF(VLOOKUP($R32,武学奇术!$A:$ZZ,30,FALSE)="派生技",$B$20,0))*(1+$BW32)*(1+$BX32)</f>
        <v>19653.6188346395</v>
      </c>
      <c r="P32" s="46">
        <f>((($AT32*$AN32+$AO32)*(1+$AV32)*(1+$AW32)+($AY32*IF($G$1="鸣金",$AP32,$AN32)+IF($G$1="鸣金",$AQ32*1.5,0))*(1+$BA32)*(1+$BB32)+($BC32*IF($G$1="裂石",$AP32,$AN32)+IF($G$1="裂石",$AQ32*1.5,0))*(1+$BE32)*(1+$BF32)+($BG32*IF($G$1="牵丝",$AP32,$AN32)+IF($G$1="牵丝",$AQ32*1.5,0))*(1+$BI32)*(1+$BJ32)+($BK32*IF($G$1="破竹",$AP32,$AN32)+IF($G$1="破竹",$AQ32*1.5,0))*(1+$BM32)*(1+$BN32))*(1+$AR32))*$Q32*(1+IF(VLOOKUP($R32,武学奇术!$A:$ZZ,30,FALSE)="蓄力技",$B$21,0))*(1+IF(VLOOKUP($R32,武学奇术!$A:$ZZ,30,FALSE)="派生技",$B$20,0))*(1+$BW32)*(1+$BX32)</f>
        <v>16838.072080564</v>
      </c>
      <c r="Q32" s="47">
        <f t="shared" si="13"/>
        <v>1</v>
      </c>
      <c r="R32" s="48" t="s">
        <v>169</v>
      </c>
      <c r="S32" s="48" t="s">
        <v>99</v>
      </c>
      <c r="T32" s="48" t="s">
        <v>170</v>
      </c>
      <c r="U32" s="48" t="s">
        <v>79</v>
      </c>
      <c r="V32" s="48" t="s">
        <v>90</v>
      </c>
      <c r="W32" s="48" t="s">
        <v>141</v>
      </c>
      <c r="X32" s="48" t="s">
        <v>80</v>
      </c>
      <c r="Y32" s="48" t="s">
        <v>74</v>
      </c>
      <c r="Z32" s="48" t="s">
        <v>80</v>
      </c>
      <c r="AA32" s="48" t="s">
        <v>80</v>
      </c>
      <c r="AB32" s="48" t="s">
        <v>80</v>
      </c>
      <c r="AC32" s="48" t="s">
        <v>80</v>
      </c>
      <c r="AD32" s="48" t="s">
        <v>80</v>
      </c>
      <c r="AE32" s="48" t="s">
        <v>80</v>
      </c>
      <c r="AF32" s="48" t="s">
        <v>83</v>
      </c>
      <c r="AG32" s="48" t="s">
        <v>84</v>
      </c>
      <c r="AH32" s="48" t="s">
        <v>80</v>
      </c>
      <c r="AI32" s="48" t="s">
        <v>80</v>
      </c>
      <c r="AJ32" s="48" t="s">
        <v>80</v>
      </c>
      <c r="AK32" s="48" t="s">
        <v>80</v>
      </c>
      <c r="AL32" s="48" t="s">
        <v>80</v>
      </c>
      <c r="AM32" t="str">
        <f>VLOOKUP($R32,武学奇术!$A:$ZZ,25,FALSE)</f>
        <v>陌刀</v>
      </c>
      <c r="AN32" s="33">
        <f>VLOOKUP($R32,武学奇术!$A:$ZZ,26,FALSE)</f>
        <v>0.945</v>
      </c>
      <c r="AO32" s="34">
        <f>VLOOKUP($R32,武学奇术!$A:$ZZ,27,FALSE)*(1+IF(OR($AM32=$F$4,$AM32=$F$5),$B$22,0))</f>
        <v>0</v>
      </c>
      <c r="AP32" s="33">
        <f>VLOOKUP($R32,武学奇术!$A:$ZZ,28,FALSE)</f>
        <v>1.4175</v>
      </c>
      <c r="AQ32" s="34">
        <f>VLOOKUP($R32,武学奇术!$A:$ZZ,29,FALSE)*(1+IF(OR($AM32=$F$4,$AM32=$F$5),$B$22,0))</f>
        <v>0</v>
      </c>
      <c r="AR32" s="33" cm="1">
        <f t="array" ref="AR32">$G$3+IFERROR(VLOOKUP($AM32,$F$4:$G$7,2,FALSE),0)+VLOOKUP($R32,武学奇术!$A:$ZZ,2,FALSE)+SUM(_xlfn.XLOOKUP($S32:$AL32,增益!$A:$A,增益!$B:$B,0))</f>
        <v>0.6143</v>
      </c>
      <c r="AS32" s="33" cm="1">
        <f t="array" ref="AS32">VLOOKUP($R32,武学奇术!$A:$ZZ,5,FALSE)+SUM(_xlfn.XLOOKUP($S32:$AL32,增益!$A:$A,增益!$E:$E,0))</f>
        <v>0</v>
      </c>
      <c r="AT32" cm="1">
        <f t="array" ref="AT32">$D$10*(1+$AS32)+VLOOKUP($R32,武学奇术!$A:$ZZ,3,FALSE)+SUM(_xlfn.XLOOKUP($S32:$AL32,增益!$A:$A,增益!$C:$C,0))-$I$2</f>
        <v>4026</v>
      </c>
      <c r="AU32" cm="1">
        <f t="array" ref="AU32">$E$10*(1+$AS32)+VLOOKUP($R32,武学奇术!$A:$ZZ,4,FALSE)+SUM(_xlfn.XLOOKUP($S32:$AL32,增益!$A:$A,增益!$D:$D,0))-$I$2</f>
        <v>4026</v>
      </c>
      <c r="AV32" s="40" cm="1">
        <f t="array" ref="AV32">IF($F$10-$I$3+VLOOKUP($R32,武学奇术!$A:$ZZ,6,FALSE)+SUM(_xlfn.XLOOKUP($S32:$AL32,增益!$A:$A,增益!$F:$F,0))&gt;0,($F$10-$I$3+VLOOKUP($R32,武学奇术!$A:$ZZ,6,FALSE)+SUM(_xlfn.XLOOKUP($S32:$AL32,增益!$A:$A,增益!$F:$F,0)))/200,($F$10-$I$3+VLOOKUP($R32,武学奇术!$A:$ZZ,6,FALSE)+SUM(_xlfn.XLOOKUP($S32:$AL32,增益!$A:$A,增益!$F:$F,0)))/100)</f>
        <v>0.3534</v>
      </c>
      <c r="AW32" s="40" cm="1">
        <f t="array" ref="AW32">$G$10+VLOOKUP($R32,武学奇术!$A:$ZZ,7,FALSE)+SUM(_xlfn.XLOOKUP($S32:$AL32,增益!$A:$A,增益!$G:$G,0))</f>
        <v>0.12</v>
      </c>
      <c r="AX32" s="33" cm="1">
        <f t="array" ref="AX32">VLOOKUP($R32,武学奇术!$A:$ZZ,8,FALSE)+SUM(_xlfn.XLOOKUP($S32:$AL32,增益!$A:$A,增益!$H:$H,0))</f>
        <v>0</v>
      </c>
      <c r="AY32">
        <f t="shared" si="2"/>
        <v>0</v>
      </c>
      <c r="AZ32">
        <f t="shared" si="3"/>
        <v>0</v>
      </c>
      <c r="BA32" s="40" cm="1">
        <f t="array" ref="BA32">IF($F$11-$I$4+VLOOKUP($R32,武学奇术!$A:$ZZ,9,FALSE)+SUM(_xlfn.XLOOKUP($S32:$AL32,增益!$A:$A,增益!$I:$I,0))&gt;0,($F$11-$I$4+VLOOKUP($R32,武学奇术!$A:$ZZ,9,FALSE)+SUM(_xlfn.XLOOKUP($S32:$AL32,增益!$A:$A,增益!$I:$I,0)))/200,($F$11-$I$4+VLOOKUP($R32,武学奇术!$A:$ZZ,9,FALSE)+SUM(_xlfn.XLOOKUP($S32:$AL32,增益!$A:$A,增益!$I:$I,0)))/100)</f>
        <v>-0.14</v>
      </c>
      <c r="BB32" s="40" cm="1">
        <f t="array" ref="BB32">$G$11+VLOOKUP($R32,武学奇术!$A:$ZZ,10,FALSE)+SUM(_xlfn.XLOOKUP($S32:$AL32,增益!$A:$A,增益!$J:$J,0))</f>
        <v>0</v>
      </c>
      <c r="BC32">
        <f t="shared" si="4"/>
        <v>640.3</v>
      </c>
      <c r="BD32">
        <f t="shared" si="5"/>
        <v>1770.1</v>
      </c>
      <c r="BE32" s="40" cm="1">
        <f t="array" ref="BE32">IF($F$12-$I$4+VLOOKUP($R32,武学奇术!$A:$ZZ,11,FALSE)+SUM(_xlfn.XLOOKUP($S32:$AL32,增益!$A:$A,增益!$K:$K,0))&gt;0,($F$12-$I$4+VLOOKUP($R32,武学奇术!$A:$ZZ,11,FALSE)+SUM(_xlfn.XLOOKUP($S32:$AL32,增益!$A:$A,增益!$K:$K,0)))/200,($F$12-$I$4+VLOOKUP($R32,武学奇术!$A:$ZZ,11,FALSE)+SUM(_xlfn.XLOOKUP($S32:$AL32,增益!$A:$A,增益!$K:$K,0)))/100)</f>
        <v>0.17</v>
      </c>
      <c r="BF32" s="40" cm="1">
        <f t="array" ref="BF32">$G$12+VLOOKUP($R32,武学奇术!$A:$ZZ,12,FALSE)+SUM(_xlfn.XLOOKUP($S32:$AL32,增益!$A:$A,增益!$L:$L,0))</f>
        <v>0.27</v>
      </c>
      <c r="BG32">
        <f t="shared" si="6"/>
        <v>0</v>
      </c>
      <c r="BH32">
        <f t="shared" si="7"/>
        <v>0</v>
      </c>
      <c r="BI32" s="40" cm="1">
        <f t="array" ref="BI32">IF($F$13-$I$4+VLOOKUP($R32,武学奇术!$A:$ZZ,13,FALSE)+SUM(_xlfn.XLOOKUP($S32:$AL32,增益!$A:$A,增益!$M:$M,0))&gt;0,($F$13-$I$4+VLOOKUP($R32,武学奇术!$A:$ZZ,13,FALSE)+SUM(_xlfn.XLOOKUP($S32:$AL32,增益!$A:$A,增益!$K:$K,0)))/200,($F$13-$I$4+VLOOKUP($R32,武学奇术!$A:$ZZ,13,FALSE)+SUM(_xlfn.XLOOKUP($S32:$AL32,增益!$A:$A,增益!$M:$M,0)))/100)</f>
        <v>-0.14</v>
      </c>
      <c r="BJ32" s="40" cm="1">
        <f t="array" ref="BJ32">$G$13+VLOOKUP($R32,武学奇术!$A:$ZZ,14,FALSE)+SUM(_xlfn.XLOOKUP($S32:$AL32,增益!$A:$A,增益!$N:$N,0))</f>
        <v>0</v>
      </c>
      <c r="BK32">
        <f t="shared" si="8"/>
        <v>0</v>
      </c>
      <c r="BL32">
        <f t="shared" si="9"/>
        <v>0</v>
      </c>
      <c r="BM32" s="40" cm="1">
        <f t="array" ref="BM32">IF($F$14-$I$4+VLOOKUP($R32,武学奇术!$A:$ZZ,15,FALSE)+SUM(_xlfn.XLOOKUP($S32:$AL32,增益!$A:$A,增益!$O:$O,0))&gt;0,($F$14-$I$4+VLOOKUP($R32,武学奇术!$A:$ZZ,15,FALSE)+SUM(_xlfn.XLOOKUP($S32:$AL32,增益!$A:$A,增益!$O:$O,0)))/200,($F$14-$I$4+VLOOKUP($R32,武学奇术!$A:$ZZ,15,FALSE)+SUM(_xlfn.XLOOKUP($S32:$AL32,增益!$A:$A,增益!$O:$O,0)))/100)</f>
        <v>-0.14</v>
      </c>
      <c r="BN32" s="40" cm="1">
        <f t="array" ref="BN32">$G$14+VLOOKUP($R32,武学奇术!$A:$ZZ,16,FALSE)+SUM(_xlfn.XLOOKUP($S32:$AL32,增益!$A:$A,增益!$P:$P,0))</f>
        <v>0</v>
      </c>
      <c r="BO32" s="33">
        <f>MIN(IF(VLOOKUP($R32,武学奇术!$A:$ZZ,23,FALSE)=1,100%,$B$8),100%)</f>
        <v>0.9771</v>
      </c>
      <c r="BP32" s="33" cm="1">
        <f t="array" ref="BP32">IF(VLOOKUP($R32,武学奇术!$A:$ZZ,23,FALSE)=1,100%,MIN(80%,$B$9+VLOOKUP($R32,武学奇术!$A:$ZZ,17,FALSE)+SUM(_xlfn.XLOOKUP($S32:$AL32,增益!$A:$A,增益!$Q:$Q,0)))+$B$11+SUM(_xlfn.XLOOKUP($S32:$AL32,增益!$A:$A,增益!$U:$U,0)))*IF(VLOOKUP($R32,武学奇术!$A:$ZZ,24,FALSE)=1,0,1)</f>
        <v>0.8861</v>
      </c>
      <c r="BQ32" s="33" cm="1">
        <f t="array" ref="BQ32">1+$B$13+VLOOKUP($R32,武学奇术!$A:$ZZ,18,FALSE)+SUM(_xlfn.XLOOKUP($S32:$AL32,增益!$A:$A,增益!$R:$R,0))</f>
        <v>1.96</v>
      </c>
      <c r="BR32" s="33" cm="1">
        <f t="array" ref="BR32">IF(VLOOKUP($R32,武学奇术!$A:$ZZ,24,FALSE)=1,100%,MIN(40%,$B$10+VLOOKUP($R32,武学奇术!$A:$ZZ,19,FALSE)+SUM(_xlfn.XLOOKUP($S32:$AL32,增益!$A:$A,增益!$S:$S,0)))+$B$12+SUM(_xlfn.XLOOKUP($S32:$AL32,增益!$A:$A,增益!$V:$V,0)))*IF(VLOOKUP($R32,武学奇术!$A:$ZZ,23,FALSE)=1,0,1)</f>
        <v>0.0913</v>
      </c>
      <c r="BS32" s="33" cm="1">
        <f t="array" ref="BS32">1+$B$14+VLOOKUP($R32,武学奇术!$A:$ZZ,20,FALSE)+SUM(_xlfn.XLOOKUP($S32:$AL32,增益!$A:$A,增益!$T:$T,0))</f>
        <v>1.35</v>
      </c>
      <c r="BT32" s="33">
        <f t="shared" si="10"/>
        <v>0.86580831</v>
      </c>
      <c r="BU32" s="33">
        <f t="shared" si="11"/>
        <v>0.02208246</v>
      </c>
      <c r="BV32" s="33">
        <f>IF(VLOOKUP($R32,武学奇术!$A:$ZZ,22,FALSE)=1,0,(1-$BO32))*(1-$BR32)</f>
        <v>0.02080923</v>
      </c>
      <c r="BW32" s="33" cm="1">
        <f t="array" ref="BW32">SUM(_xlfn.XLOOKUP($S32:$AL32,增益!$A:$A,增益!$W:$W,0))+$I$5</f>
        <v>0.11</v>
      </c>
      <c r="BX32" s="33" cm="1">
        <f t="array" ref="BX32">VLOOKUP($R32,武学奇术!$A:$ZZ,32,FALSE)+SUM(_xlfn.XLOOKUP($S32:$AL32,增益!$A:$A,增益!$X:$X,0))</f>
        <v>0</v>
      </c>
    </row>
    <row r="33" spans="5:76">
      <c r="L33" s="46">
        <f t="shared" si="0"/>
        <v>254410.243623657</v>
      </c>
      <c r="M33" s="46">
        <f>((($AT33+$AU33)/2*$AN33+$AO33)*(1+$AV33)*(1+$AW33)+(($AY33+$AZ33)/2*IF($G$1="鸣金",$AP33,$AN33)+IF($G$1="鸣金",$AQ33*1.5,0))*(1+$BA33)*(1+$BB33)+(($BC33+$BD33)/2*IF($G$1="裂石",$AP33,$AN33)+IF($G$1="裂石",$AQ33*1.5,0))*(1+$BE33)*(1+$BF33)+(($BG33+$BH33)/2*IF($G$1="牵丝",$AP33,$AN33)+IF($G$1="牵丝",$AQ33*1.5,0))*(1+$BI33)*(1+$BJ33)+(($BK33+$BL33)/2*IF($G$1="破竹",$AP33,$AN33)+IF($G$1="破竹",$AQ33*1.5,0))*(1+$BM33)*(1+$BN33))*(1+$AR33)*$BQ33*$Q33*(1+IF(VLOOKUP($R33,武学奇术!$A:$ZZ,30,FALSE)="蓄力技",$B$21,0))*(1+IF(VLOOKUP($R33,武学奇术!$A:$ZZ,30,FALSE)="派生技",$B$20,0))*(1+$BW33)*(1+$BX33)</f>
        <v>265796.859843595</v>
      </c>
      <c r="N33" s="46">
        <f>(($AU33*$AN33+$AO33)*(1+$AV33)*(1+$AW33)+($AZ33*IF($G$1="鸣金",$AP33,$AN33)+IF($G$1="鸣金",$AQ33*1.5,0))*(1+$BA33)*(1+$BB33)+($BD33*IF($G$1="裂石",$AP33,$AN33)+IF($G$1="裂石",$AQ33*1.5,0))*(1+$BE33)*(1+$BF33)+($BH33*IF($G$1="牵丝",$AP33,$AN33)+IF($G$1="牵丝",$AQ33*1.5,0))*(1+$BI33)*(1+$BJ33)+($BL33*IF($G$1="破竹",$AP33,$AN33)+IF($G$1="破竹",$AQ33*1.5,0))*(1+$BM33)*(1+$BN33))*(1+$AR33)*$BS33*$Q33*(1+IF(VLOOKUP($R33,武学奇术!$A:$ZZ,30,FALSE)="蓄力技",$B$21,0))*(1+IF(VLOOKUP($R33,武学奇术!$A:$ZZ,30,FALSE)="派生技",$B$20,0))*(1+$BW33)*(1+$BX33)</f>
        <v>206133.427517984</v>
      </c>
      <c r="O33" s="46">
        <f>((($AT33+$AU33)/2*$AN33+$AO33)*(1+$AV33)*(1+$AW33)+(($AY33+$AZ33)/2*IF($G$1="鸣金",$AP33,$AN33)+IF($G$1="鸣金",$AQ33*1.5,0))*(1+$BA33)*(1+$BB33)+(($BC33+$BD33)/2*IF($G$1="裂石",$AP33,$AN33)+IF($G$1="裂石",$AQ33*1.5,0))*(1+$BE33)*(1+$BF33)+(($BG33+$BH33)/2*IF($G$1="牵丝",$AP33,$AN33)+IF($G$1="牵丝",$AQ33*1.5,0))*(1+$BI33)*(1+$BJ33)+(($BK33+$BL33)/2*IF($G$1="破竹",$AP33,$AN33)+IF($G$1="破竹",$AQ33*1.5,0))*(1+$BM33)*(1+$BN33))*(1+$AR33)*$Q33*(1+IF(VLOOKUP($R33,武学奇术!$A:$ZZ,30,FALSE)="蓄力技",$B$21,0))*(1+IF(VLOOKUP($R33,武学奇术!$A:$ZZ,30,FALSE)="派生技",$B$20,0))*(1+$BW33)*(1+$BX33)</f>
        <v>135610.642777344</v>
      </c>
      <c r="P33" s="46">
        <f>((($AT33*$AN33+$AO33)*(1+$AV33)*(1+$AW33)+($AY33*IF($G$1="鸣金",$AP33,$AN33)+IF($G$1="鸣金",$AQ33*1.5,0))*(1+$BA33)*(1+$BB33)+($BC33*IF($G$1="裂石",$AP33,$AN33)+IF($G$1="裂石",$AQ33*1.5,0))*(1+$BE33)*(1+$BF33)+($BG33*IF($G$1="牵丝",$AP33,$AN33)+IF($G$1="牵丝",$AQ33*1.5,0))*(1+$BI33)*(1+$BJ33)+($BK33*IF($G$1="破竹",$AP33,$AN33)+IF($G$1="破竹",$AQ33*1.5,0))*(1+$BM33)*(1+$BN33))*(1+$AR33))*$Q33*(1+IF(VLOOKUP($R33,武学奇术!$A:$ZZ,30,FALSE)="蓄力技",$B$21,0))*(1+IF(VLOOKUP($R33,武学奇术!$A:$ZZ,30,FALSE)="派生技",$B$20,0))*(1+$BW33)*(1+$BX33)</f>
        <v>118529.85776359</v>
      </c>
      <c r="Q33" s="47">
        <f t="shared" si="13"/>
        <v>1</v>
      </c>
      <c r="R33" s="48" t="s">
        <v>171</v>
      </c>
      <c r="S33" s="48" t="s">
        <v>99</v>
      </c>
      <c r="T33" s="48" t="s">
        <v>170</v>
      </c>
      <c r="U33" s="48" t="s">
        <v>79</v>
      </c>
      <c r="V33" s="48" t="s">
        <v>90</v>
      </c>
      <c r="W33" s="48" t="s">
        <v>141</v>
      </c>
      <c r="X33" s="48" t="s">
        <v>80</v>
      </c>
      <c r="Y33" s="48" t="s">
        <v>74</v>
      </c>
      <c r="Z33" s="48" t="s">
        <v>80</v>
      </c>
      <c r="AA33" s="48" t="s">
        <v>80</v>
      </c>
      <c r="AB33" s="48" t="s">
        <v>80</v>
      </c>
      <c r="AC33" s="48" t="s">
        <v>80</v>
      </c>
      <c r="AD33" s="48" t="s">
        <v>80</v>
      </c>
      <c r="AE33" s="48" t="s">
        <v>80</v>
      </c>
      <c r="AF33" s="48" t="s">
        <v>83</v>
      </c>
      <c r="AG33" s="48" t="s">
        <v>84</v>
      </c>
      <c r="AH33" s="48" t="s">
        <v>80</v>
      </c>
      <c r="AI33" s="48" t="s">
        <v>80</v>
      </c>
      <c r="AJ33" s="48" t="s">
        <v>80</v>
      </c>
      <c r="AK33" s="48" t="s">
        <v>80</v>
      </c>
      <c r="AL33" s="48" t="s">
        <v>80</v>
      </c>
      <c r="AM33" t="str">
        <f>VLOOKUP($R33,武学奇术!$A:$ZZ,25,FALSE)</f>
        <v>陌刀</v>
      </c>
      <c r="AN33" s="33">
        <f>VLOOKUP($R33,武学奇术!$A:$ZZ,26,FALSE)</f>
        <v>5.733</v>
      </c>
      <c r="AO33" s="34">
        <f>VLOOKUP($R33,武学奇术!$A:$ZZ,27,FALSE)*(1+IF(OR($AM33=$F$4,$AM33=$F$5),$B$22,0))</f>
        <v>2536</v>
      </c>
      <c r="AP33" s="33">
        <f>VLOOKUP($R33,武学奇术!$A:$ZZ,28,FALSE)</f>
        <v>8.5994</v>
      </c>
      <c r="AQ33" s="34">
        <f>VLOOKUP($R33,武学奇术!$A:$ZZ,29,FALSE)*(1+IF(OR($AM33=$F$4,$AM33=$F$5),$B$22,0))</f>
        <v>1380.8</v>
      </c>
      <c r="AR33" s="33" cm="1">
        <f t="array" ref="AR33">$G$3+IFERROR(VLOOKUP($AM33,$F$4:$G$7,2,FALSE),0)+VLOOKUP($R33,武学奇术!$A:$ZZ,2,FALSE)+SUM(_xlfn.XLOOKUP($S33:$AL33,增益!$A:$A,增益!$B:$B,0))</f>
        <v>0.6143</v>
      </c>
      <c r="AS33" s="33" cm="1">
        <f t="array" ref="AS33">VLOOKUP($R33,武学奇术!$A:$ZZ,5,FALSE)+SUM(_xlfn.XLOOKUP($S33:$AL33,增益!$A:$A,增益!$E:$E,0))</f>
        <v>0</v>
      </c>
      <c r="AT33" cm="1">
        <f t="array" ref="AT33">$D$10*(1+$AS33)+VLOOKUP($R33,武学奇术!$A:$ZZ,3,FALSE)+SUM(_xlfn.XLOOKUP($S33:$AL33,增益!$A:$A,增益!$C:$C,0))-$I$2</f>
        <v>4026</v>
      </c>
      <c r="AU33" cm="1">
        <f t="array" ref="AU33">$E$10*(1+$AS33)+VLOOKUP($R33,武学奇术!$A:$ZZ,4,FALSE)+SUM(_xlfn.XLOOKUP($S33:$AL33,增益!$A:$A,增益!$D:$D,0))-$I$2</f>
        <v>4026</v>
      </c>
      <c r="AV33" s="40" cm="1">
        <f t="array" ref="AV33">IF($F$10-$I$3+VLOOKUP($R33,武学奇术!$A:$ZZ,6,FALSE)+SUM(_xlfn.XLOOKUP($S33:$AL33,增益!$A:$A,增益!$F:$F,0))&gt;0,($F$10-$I$3+VLOOKUP($R33,武学奇术!$A:$ZZ,6,FALSE)+SUM(_xlfn.XLOOKUP($S33:$AL33,增益!$A:$A,增益!$F:$F,0)))/200,($F$10-$I$3+VLOOKUP($R33,武学奇术!$A:$ZZ,6,FALSE)+SUM(_xlfn.XLOOKUP($S33:$AL33,增益!$A:$A,增益!$F:$F,0)))/100)</f>
        <v>0.3534</v>
      </c>
      <c r="AW33" s="40" cm="1">
        <f t="array" ref="AW33">$G$10+VLOOKUP($R33,武学奇术!$A:$ZZ,7,FALSE)+SUM(_xlfn.XLOOKUP($S33:$AL33,增益!$A:$A,增益!$G:$G,0))</f>
        <v>0.12</v>
      </c>
      <c r="AX33" s="33" cm="1">
        <f t="array" ref="AX33">VLOOKUP($R33,武学奇术!$A:$ZZ,8,FALSE)+SUM(_xlfn.XLOOKUP($S33:$AL33,增益!$A:$A,增益!$H:$H,0))</f>
        <v>0</v>
      </c>
      <c r="AY33">
        <f t="shared" si="2"/>
        <v>0</v>
      </c>
      <c r="AZ33">
        <f t="shared" si="3"/>
        <v>0</v>
      </c>
      <c r="BA33" s="40" cm="1">
        <f t="array" ref="BA33">IF($F$11-$I$4+VLOOKUP($R33,武学奇术!$A:$ZZ,9,FALSE)+SUM(_xlfn.XLOOKUP($S33:$AL33,增益!$A:$A,增益!$I:$I,0))&gt;0,($F$11-$I$4+VLOOKUP($R33,武学奇术!$A:$ZZ,9,FALSE)+SUM(_xlfn.XLOOKUP($S33:$AL33,增益!$A:$A,增益!$I:$I,0)))/200,($F$11-$I$4+VLOOKUP($R33,武学奇术!$A:$ZZ,9,FALSE)+SUM(_xlfn.XLOOKUP($S33:$AL33,增益!$A:$A,增益!$I:$I,0)))/100)</f>
        <v>-0.14</v>
      </c>
      <c r="BB33" s="40" cm="1">
        <f t="array" ref="BB33">$G$11+VLOOKUP($R33,武学奇术!$A:$ZZ,10,FALSE)+SUM(_xlfn.XLOOKUP($S33:$AL33,增益!$A:$A,增益!$J:$J,0))</f>
        <v>0</v>
      </c>
      <c r="BC33">
        <f t="shared" si="4"/>
        <v>640.3</v>
      </c>
      <c r="BD33">
        <f t="shared" si="5"/>
        <v>1770.1</v>
      </c>
      <c r="BE33" s="40" cm="1">
        <f t="array" ref="BE33">IF($F$12-$I$4+VLOOKUP($R33,武学奇术!$A:$ZZ,11,FALSE)+SUM(_xlfn.XLOOKUP($S33:$AL33,增益!$A:$A,增益!$K:$K,0))&gt;0,($F$12-$I$4+VLOOKUP($R33,武学奇术!$A:$ZZ,11,FALSE)+SUM(_xlfn.XLOOKUP($S33:$AL33,增益!$A:$A,增益!$K:$K,0)))/200,($F$12-$I$4+VLOOKUP($R33,武学奇术!$A:$ZZ,11,FALSE)+SUM(_xlfn.XLOOKUP($S33:$AL33,增益!$A:$A,增益!$K:$K,0)))/100)</f>
        <v>0.17</v>
      </c>
      <c r="BF33" s="40" cm="1">
        <f t="array" ref="BF33">$G$12+VLOOKUP($R33,武学奇术!$A:$ZZ,12,FALSE)+SUM(_xlfn.XLOOKUP($S33:$AL33,增益!$A:$A,增益!$L:$L,0))</f>
        <v>0.27</v>
      </c>
      <c r="BG33">
        <f t="shared" si="6"/>
        <v>0</v>
      </c>
      <c r="BH33">
        <f t="shared" si="7"/>
        <v>0</v>
      </c>
      <c r="BI33" s="40" cm="1">
        <f t="array" ref="BI33">IF($F$13-$I$4+VLOOKUP($R33,武学奇术!$A:$ZZ,13,FALSE)+SUM(_xlfn.XLOOKUP($S33:$AL33,增益!$A:$A,增益!$M:$M,0))&gt;0,($F$13-$I$4+VLOOKUP($R33,武学奇术!$A:$ZZ,13,FALSE)+SUM(_xlfn.XLOOKUP($S33:$AL33,增益!$A:$A,增益!$K:$K,0)))/200,($F$13-$I$4+VLOOKUP($R33,武学奇术!$A:$ZZ,13,FALSE)+SUM(_xlfn.XLOOKUP($S33:$AL33,增益!$A:$A,增益!$M:$M,0)))/100)</f>
        <v>-0.14</v>
      </c>
      <c r="BJ33" s="40" cm="1">
        <f t="array" ref="BJ33">$G$13+VLOOKUP($R33,武学奇术!$A:$ZZ,14,FALSE)+SUM(_xlfn.XLOOKUP($S33:$AL33,增益!$A:$A,增益!$N:$N,0))</f>
        <v>0</v>
      </c>
      <c r="BK33">
        <f t="shared" si="8"/>
        <v>0</v>
      </c>
      <c r="BL33">
        <f t="shared" si="9"/>
        <v>0</v>
      </c>
      <c r="BM33" s="40" cm="1">
        <f t="array" ref="BM33">IF($F$14-$I$4+VLOOKUP($R33,武学奇术!$A:$ZZ,15,FALSE)+SUM(_xlfn.XLOOKUP($S33:$AL33,增益!$A:$A,增益!$O:$O,0))&gt;0,($F$14-$I$4+VLOOKUP($R33,武学奇术!$A:$ZZ,15,FALSE)+SUM(_xlfn.XLOOKUP($S33:$AL33,增益!$A:$A,增益!$O:$O,0)))/200,($F$14-$I$4+VLOOKUP($R33,武学奇术!$A:$ZZ,15,FALSE)+SUM(_xlfn.XLOOKUP($S33:$AL33,增益!$A:$A,增益!$O:$O,0)))/100)</f>
        <v>-0.14</v>
      </c>
      <c r="BN33" s="40" cm="1">
        <f t="array" ref="BN33">$G$14+VLOOKUP($R33,武学奇术!$A:$ZZ,16,FALSE)+SUM(_xlfn.XLOOKUP($S33:$AL33,增益!$A:$A,增益!$P:$P,0))</f>
        <v>0</v>
      </c>
      <c r="BO33" s="33">
        <f>MIN(IF(VLOOKUP($R33,武学奇术!$A:$ZZ,23,FALSE)=1,100%,$B$8),100%)</f>
        <v>0.9771</v>
      </c>
      <c r="BP33" s="33" cm="1">
        <f t="array" ref="BP33">IF(VLOOKUP($R33,武学奇术!$A:$ZZ,23,FALSE)=1,100%,MIN(80%,$B$9+VLOOKUP($R33,武学奇术!$A:$ZZ,17,FALSE)+SUM(_xlfn.XLOOKUP($S33:$AL33,增益!$A:$A,增益!$Q:$Q,0)))+$B$11+SUM(_xlfn.XLOOKUP($S33:$AL33,增益!$A:$A,增益!$U:$U,0)))*IF(VLOOKUP($R33,武学奇术!$A:$ZZ,24,FALSE)=1,0,1)</f>
        <v>0.8861</v>
      </c>
      <c r="BQ33" s="33" cm="1">
        <f t="array" ref="BQ33">1+$B$13+VLOOKUP($R33,武学奇术!$A:$ZZ,18,FALSE)+SUM(_xlfn.XLOOKUP($S33:$AL33,增益!$A:$A,增益!$R:$R,0))</f>
        <v>1.96</v>
      </c>
      <c r="BR33" s="33" cm="1">
        <f t="array" ref="BR33">IF(VLOOKUP($R33,武学奇术!$A:$ZZ,24,FALSE)=1,100%,MIN(40%,$B$10+VLOOKUP($R33,武学奇术!$A:$ZZ,19,FALSE)+SUM(_xlfn.XLOOKUP($S33:$AL33,增益!$A:$A,增益!$S:$S,0)))+$B$12+SUM(_xlfn.XLOOKUP($S33:$AL33,增益!$A:$A,增益!$V:$V,0)))*IF(VLOOKUP($R33,武学奇术!$A:$ZZ,23,FALSE)=1,0,1)</f>
        <v>0.0913</v>
      </c>
      <c r="BS33" s="33" cm="1">
        <f t="array" ref="BS33">1+$B$14+VLOOKUP($R33,武学奇术!$A:$ZZ,20,FALSE)+SUM(_xlfn.XLOOKUP($S33:$AL33,增益!$A:$A,增益!$T:$T,0))</f>
        <v>1.35</v>
      </c>
      <c r="BT33" s="33">
        <f t="shared" si="10"/>
        <v>0.86580831</v>
      </c>
      <c r="BU33" s="33">
        <f t="shared" si="11"/>
        <v>0.02208246</v>
      </c>
      <c r="BV33" s="33">
        <f>IF(VLOOKUP($R33,武学奇术!$A:$ZZ,22,FALSE)=1,0,(1-$BO33))*(1-$BR33)</f>
        <v>0.02080923</v>
      </c>
      <c r="BW33" s="33" cm="1">
        <f t="array" ref="BW33">SUM(_xlfn.XLOOKUP($S33:$AL33,增益!$A:$A,增益!$W:$W,0))+$I$5</f>
        <v>0.11</v>
      </c>
      <c r="BX33" s="33" cm="1">
        <f t="array" ref="BX33">VLOOKUP($R33,武学奇术!$A:$ZZ,32,FALSE)+SUM(_xlfn.XLOOKUP($S33:$AL33,增益!$A:$A,增益!$X:$X,0))</f>
        <v>0</v>
      </c>
    </row>
    <row r="34" spans="5:76">
      <c r="L34" s="46">
        <f t="shared" si="0"/>
        <v>114877.085661299</v>
      </c>
      <c r="M34" s="46">
        <f>((($AT34+$AU34)/2*$AN34+$AO34)*(1+$AV34)*(1+$AW34)+(($AY34+$AZ34)/2*IF($G$1="鸣金",$AP34,$AN34)+IF($G$1="鸣金",$AQ34*1.5,0))*(1+$BA34)*(1+$BB34)+(($BC34+$BD34)/2*IF($G$1="裂石",$AP34,$AN34)+IF($G$1="裂石",$AQ34*1.5,0))*(1+$BE34)*(1+$BF34)+(($BG34+$BH34)/2*IF($G$1="牵丝",$AP34,$AN34)+IF($G$1="牵丝",$AQ34*1.5,0))*(1+$BI34)*(1+$BJ34)+(($BK34+$BL34)/2*IF($G$1="破竹",$AP34,$AN34)+IF($G$1="破竹",$AQ34*1.5,0))*(1+$BM34)*(1+$BN34))*(1+$AR34)*$BQ34*$Q34*(1+IF(VLOOKUP($R34,武学奇术!$A:$ZZ,30,FALSE)="蓄力技",$B$21,0))*(1+IF(VLOOKUP($R34,武学奇术!$A:$ZZ,30,FALSE)="派生技",$B$20,0))*(1+$BW34)*(1+$BX34)</f>
        <v>119992.609932814</v>
      </c>
      <c r="N34" s="46">
        <f>(($AU34*$AN34+$AO34)*(1+$AV34)*(1+$AW34)+($AZ34*IF($G$1="鸣金",$AP34,$AN34)+IF($G$1="鸣金",$AQ34*1.5,0))*(1+$BA34)*(1+$BB34)+($BD34*IF($G$1="裂石",$AP34,$AN34)+IF($G$1="裂石",$AQ34*1.5,0))*(1+$BE34)*(1+$BF34)+($BH34*IF($G$1="牵丝",$AP34,$AN34)+IF($G$1="牵丝",$AQ34*1.5,0))*(1+$BI34)*(1+$BJ34)+($BL34*IF($G$1="破竹",$AP34,$AN34)+IF($G$1="破竹",$AQ34*1.5,0))*(1+$BM34)*(1+$BN34))*(1+$AR34)*$BS34*$Q34*(1+IF(VLOOKUP($R34,武学奇术!$A:$ZZ,30,FALSE)="蓄力技",$B$21,0))*(1+IF(VLOOKUP($R34,武学奇术!$A:$ZZ,30,FALSE)="派生技",$B$20,0))*(1+$BW34)*(1+$BX34)</f>
        <v>93386.0465000419</v>
      </c>
      <c r="O34" s="46">
        <f>((($AT34+$AU34)/2*$AN34+$AO34)*(1+$AV34)*(1+$AW34)+(($AY34+$AZ34)/2*IF($G$1="鸣金",$AP34,$AN34)+IF($G$1="鸣金",$AQ34*1.5,0))*(1+$BA34)*(1+$BB34)+(($BC34+$BD34)/2*IF($G$1="裂石",$AP34,$AN34)+IF($G$1="裂石",$AQ34*1.5,0))*(1+$BE34)*(1+$BF34)+(($BG34+$BH34)/2*IF($G$1="牵丝",$AP34,$AN34)+IF($G$1="牵丝",$AQ34*1.5,0))*(1+$BI34)*(1+$BJ34)+(($BK34+$BL34)/2*IF($G$1="破竹",$AP34,$AN34)+IF($G$1="破竹",$AQ34*1.5,0))*(1+$BM34)*(1+$BN34))*(1+$AR34)*$Q34*(1+IF(VLOOKUP($R34,武学奇术!$A:$ZZ,30,FALSE)="蓄力技",$B$21,0))*(1+IF(VLOOKUP($R34,武学奇术!$A:$ZZ,30,FALSE)="派生技",$B$20,0))*(1+$BW34)*(1+$BX34)</f>
        <v>61220.7193534765</v>
      </c>
      <c r="P34" s="46">
        <f>((($AT34*$AN34+$AO34)*(1+$AV34)*(1+$AW34)+($AY34*IF($G$1="鸣金",$AP34,$AN34)+IF($G$1="鸣金",$AQ34*1.5,0))*(1+$BA34)*(1+$BB34)+($BC34*IF($G$1="裂石",$AP34,$AN34)+IF($G$1="裂石",$AQ34*1.5,0))*(1+$BE34)*(1+$BF34)+($BG34*IF($G$1="牵丝",$AP34,$AN34)+IF($G$1="牵丝",$AQ34*1.5,0))*(1+$BI34)*(1+$BJ34)+($BK34*IF($G$1="破竹",$AP34,$AN34)+IF($G$1="破竹",$AQ34*1.5,0))*(1+$BM34)*(1+$BN34))*(1+$AR34))*$Q34*(1+IF(VLOOKUP($R34,武学奇术!$A:$ZZ,30,FALSE)="蓄力技",$B$21,0))*(1+IF(VLOOKUP($R34,武学奇术!$A:$ZZ,30,FALSE)="派生技",$B$20,0))*(1+$BW34)*(1+$BX34)</f>
        <v>53266.5894476628</v>
      </c>
      <c r="Q34" s="47">
        <f t="shared" si="13"/>
        <v>1</v>
      </c>
      <c r="R34" s="48" t="s">
        <v>172</v>
      </c>
      <c r="S34" s="48" t="s">
        <v>99</v>
      </c>
      <c r="T34" s="48" t="s">
        <v>170</v>
      </c>
      <c r="U34" s="48" t="s">
        <v>79</v>
      </c>
      <c r="V34" s="48" t="s">
        <v>90</v>
      </c>
      <c r="W34" s="48" t="s">
        <v>141</v>
      </c>
      <c r="X34" s="48" t="s">
        <v>80</v>
      </c>
      <c r="Y34" s="48" t="s">
        <v>74</v>
      </c>
      <c r="Z34" s="48" t="s">
        <v>80</v>
      </c>
      <c r="AA34" s="48" t="s">
        <v>80</v>
      </c>
      <c r="AB34" s="48" t="s">
        <v>80</v>
      </c>
      <c r="AC34" s="48" t="s">
        <v>80</v>
      </c>
      <c r="AD34" s="48" t="s">
        <v>80</v>
      </c>
      <c r="AE34" s="48" t="s">
        <v>80</v>
      </c>
      <c r="AF34" s="48" t="s">
        <v>83</v>
      </c>
      <c r="AG34" s="48" t="s">
        <v>84</v>
      </c>
      <c r="AH34" s="48" t="s">
        <v>80</v>
      </c>
      <c r="AI34" s="48" t="s">
        <v>80</v>
      </c>
      <c r="AJ34" s="48" t="s">
        <v>80</v>
      </c>
      <c r="AK34" s="48" t="s">
        <v>80</v>
      </c>
      <c r="AL34" s="48" t="s">
        <v>80</v>
      </c>
      <c r="AM34" t="str">
        <f>VLOOKUP($R34,武学奇术!$A:$ZZ,25,FALSE)</f>
        <v>陌刀</v>
      </c>
      <c r="AN34" s="33">
        <f>VLOOKUP($R34,武学奇术!$A:$ZZ,26,FALSE)</f>
        <v>3.5256</v>
      </c>
      <c r="AO34" s="34">
        <f>VLOOKUP($R34,武学奇术!$A:$ZZ,27,FALSE)*(1+IF(OR($AM34=$F$4,$AM34=$F$5),$B$22,0))</f>
        <v>846.144</v>
      </c>
      <c r="AP34" s="33">
        <f>VLOOKUP($R34,武学奇术!$A:$ZZ,28,FALSE)</f>
        <v>5.2884</v>
      </c>
      <c r="AQ34" s="34">
        <f>VLOOKUP($R34,武学奇术!$A:$ZZ,29,FALSE)*(1+IF(OR($AM34=$F$4,$AM34=$F$5),$B$22,0))</f>
        <v>851.2</v>
      </c>
      <c r="AR34" s="33" cm="1">
        <f t="array" ref="AR34">$G$3+IFERROR(VLOOKUP($AM34,$F$4:$G$7,2,FALSE),0)+VLOOKUP($R34,武学奇术!$A:$ZZ,2,FALSE)+SUM(_xlfn.XLOOKUP($S34:$AL34,增益!$A:$A,增益!$B:$B,0))</f>
        <v>0.6143</v>
      </c>
      <c r="AS34" s="33" cm="1">
        <f t="array" ref="AS34">VLOOKUP($R34,武学奇术!$A:$ZZ,5,FALSE)+SUM(_xlfn.XLOOKUP($S34:$AL34,增益!$A:$A,增益!$E:$E,0))</f>
        <v>0</v>
      </c>
      <c r="AT34" cm="1">
        <f t="array" ref="AT34">$D$10*(1+$AS34)+VLOOKUP($R34,武学奇术!$A:$ZZ,3,FALSE)+SUM(_xlfn.XLOOKUP($S34:$AL34,增益!$A:$A,增益!$C:$C,0))-$I$2</f>
        <v>4026</v>
      </c>
      <c r="AU34" cm="1">
        <f t="array" ref="AU34">$E$10*(1+$AS34)+VLOOKUP($R34,武学奇术!$A:$ZZ,4,FALSE)+SUM(_xlfn.XLOOKUP($S34:$AL34,增益!$A:$A,增益!$D:$D,0))-$I$2</f>
        <v>4026</v>
      </c>
      <c r="AV34" s="40" cm="1">
        <f t="array" ref="AV34">IF($F$10-$I$3+VLOOKUP($R34,武学奇术!$A:$ZZ,6,FALSE)+SUM(_xlfn.XLOOKUP($S34:$AL34,增益!$A:$A,增益!$F:$F,0))&gt;0,($F$10-$I$3+VLOOKUP($R34,武学奇术!$A:$ZZ,6,FALSE)+SUM(_xlfn.XLOOKUP($S34:$AL34,增益!$A:$A,增益!$F:$F,0)))/200,($F$10-$I$3+VLOOKUP($R34,武学奇术!$A:$ZZ,6,FALSE)+SUM(_xlfn.XLOOKUP($S34:$AL34,增益!$A:$A,增益!$F:$F,0)))/100)</f>
        <v>0.3534</v>
      </c>
      <c r="AW34" s="40" cm="1">
        <f t="array" ref="AW34">$G$10+VLOOKUP($R34,武学奇术!$A:$ZZ,7,FALSE)+SUM(_xlfn.XLOOKUP($S34:$AL34,增益!$A:$A,增益!$G:$G,0))</f>
        <v>0.12</v>
      </c>
      <c r="AX34" s="33" cm="1">
        <f t="array" ref="AX34">VLOOKUP($R34,武学奇术!$A:$ZZ,8,FALSE)+SUM(_xlfn.XLOOKUP($S34:$AL34,增益!$A:$A,增益!$H:$H,0))</f>
        <v>0</v>
      </c>
      <c r="AY34">
        <f t="shared" si="2"/>
        <v>0</v>
      </c>
      <c r="AZ34">
        <f t="shared" si="3"/>
        <v>0</v>
      </c>
      <c r="BA34" s="40" cm="1">
        <f t="array" ref="BA34">IF($F$11-$I$4+VLOOKUP($R34,武学奇术!$A:$ZZ,9,FALSE)+SUM(_xlfn.XLOOKUP($S34:$AL34,增益!$A:$A,增益!$I:$I,0))&gt;0,($F$11-$I$4+VLOOKUP($R34,武学奇术!$A:$ZZ,9,FALSE)+SUM(_xlfn.XLOOKUP($S34:$AL34,增益!$A:$A,增益!$I:$I,0)))/200,($F$11-$I$4+VLOOKUP($R34,武学奇术!$A:$ZZ,9,FALSE)+SUM(_xlfn.XLOOKUP($S34:$AL34,增益!$A:$A,增益!$I:$I,0)))/100)</f>
        <v>-0.14</v>
      </c>
      <c r="BB34" s="40" cm="1">
        <f t="array" ref="BB34">$G$11+VLOOKUP($R34,武学奇术!$A:$ZZ,10,FALSE)+SUM(_xlfn.XLOOKUP($S34:$AL34,增益!$A:$A,增益!$J:$J,0))</f>
        <v>0</v>
      </c>
      <c r="BC34">
        <f t="shared" si="4"/>
        <v>640.3</v>
      </c>
      <c r="BD34">
        <f t="shared" si="5"/>
        <v>1770.1</v>
      </c>
      <c r="BE34" s="40" cm="1">
        <f t="array" ref="BE34">IF($F$12-$I$4+VLOOKUP($R34,武学奇术!$A:$ZZ,11,FALSE)+SUM(_xlfn.XLOOKUP($S34:$AL34,增益!$A:$A,增益!$K:$K,0))&gt;0,($F$12-$I$4+VLOOKUP($R34,武学奇术!$A:$ZZ,11,FALSE)+SUM(_xlfn.XLOOKUP($S34:$AL34,增益!$A:$A,增益!$K:$K,0)))/200,($F$12-$I$4+VLOOKUP($R34,武学奇术!$A:$ZZ,11,FALSE)+SUM(_xlfn.XLOOKUP($S34:$AL34,增益!$A:$A,增益!$K:$K,0)))/100)</f>
        <v>0.17</v>
      </c>
      <c r="BF34" s="40" cm="1">
        <f t="array" ref="BF34">$G$12+VLOOKUP($R34,武学奇术!$A:$ZZ,12,FALSE)+SUM(_xlfn.XLOOKUP($S34:$AL34,增益!$A:$A,增益!$L:$L,0))</f>
        <v>0.27</v>
      </c>
      <c r="BG34">
        <f t="shared" si="6"/>
        <v>0</v>
      </c>
      <c r="BH34">
        <f t="shared" si="7"/>
        <v>0</v>
      </c>
      <c r="BI34" s="40" cm="1">
        <f t="array" ref="BI34">IF($F$13-$I$4+VLOOKUP($R34,武学奇术!$A:$ZZ,13,FALSE)+SUM(_xlfn.XLOOKUP($S34:$AL34,增益!$A:$A,增益!$M:$M,0))&gt;0,($F$13-$I$4+VLOOKUP($R34,武学奇术!$A:$ZZ,13,FALSE)+SUM(_xlfn.XLOOKUP($S34:$AL34,增益!$A:$A,增益!$K:$K,0)))/200,($F$13-$I$4+VLOOKUP($R34,武学奇术!$A:$ZZ,13,FALSE)+SUM(_xlfn.XLOOKUP($S34:$AL34,增益!$A:$A,增益!$M:$M,0)))/100)</f>
        <v>-0.14</v>
      </c>
      <c r="BJ34" s="40" cm="1">
        <f t="array" ref="BJ34">$G$13+VLOOKUP($R34,武学奇术!$A:$ZZ,14,FALSE)+SUM(_xlfn.XLOOKUP($S34:$AL34,增益!$A:$A,增益!$N:$N,0))</f>
        <v>0</v>
      </c>
      <c r="BK34">
        <f t="shared" si="8"/>
        <v>0</v>
      </c>
      <c r="BL34">
        <f t="shared" si="9"/>
        <v>0</v>
      </c>
      <c r="BM34" s="40" cm="1">
        <f t="array" ref="BM34">IF($F$14-$I$4+VLOOKUP($R34,武学奇术!$A:$ZZ,15,FALSE)+SUM(_xlfn.XLOOKUP($S34:$AL34,增益!$A:$A,增益!$O:$O,0))&gt;0,($F$14-$I$4+VLOOKUP($R34,武学奇术!$A:$ZZ,15,FALSE)+SUM(_xlfn.XLOOKUP($S34:$AL34,增益!$A:$A,增益!$O:$O,0)))/200,($F$14-$I$4+VLOOKUP($R34,武学奇术!$A:$ZZ,15,FALSE)+SUM(_xlfn.XLOOKUP($S34:$AL34,增益!$A:$A,增益!$O:$O,0)))/100)</f>
        <v>-0.14</v>
      </c>
      <c r="BN34" s="40" cm="1">
        <f t="array" ref="BN34">$G$14+VLOOKUP($R34,武学奇术!$A:$ZZ,16,FALSE)+SUM(_xlfn.XLOOKUP($S34:$AL34,增益!$A:$A,增益!$P:$P,0))</f>
        <v>0</v>
      </c>
      <c r="BO34" s="33">
        <f>MIN(IF(VLOOKUP($R34,武学奇术!$A:$ZZ,23,FALSE)=1,100%,$B$8),100%)</f>
        <v>0.9771</v>
      </c>
      <c r="BP34" s="33" cm="1">
        <f t="array" ref="BP34">IF(VLOOKUP($R34,武学奇术!$A:$ZZ,23,FALSE)=1,100%,MIN(80%,$B$9+VLOOKUP($R34,武学奇术!$A:$ZZ,17,FALSE)+SUM(_xlfn.XLOOKUP($S34:$AL34,增益!$A:$A,增益!$Q:$Q,0)))+$B$11+SUM(_xlfn.XLOOKUP($S34:$AL34,增益!$A:$A,增益!$U:$U,0)))*IF(VLOOKUP($R34,武学奇术!$A:$ZZ,24,FALSE)=1,0,1)</f>
        <v>0.8861</v>
      </c>
      <c r="BQ34" s="33" cm="1">
        <f t="array" ref="BQ34">1+$B$13+VLOOKUP($R34,武学奇术!$A:$ZZ,18,FALSE)+SUM(_xlfn.XLOOKUP($S34:$AL34,增益!$A:$A,增益!$R:$R,0))</f>
        <v>1.96</v>
      </c>
      <c r="BR34" s="33" cm="1">
        <f t="array" ref="BR34">IF(VLOOKUP($R34,武学奇术!$A:$ZZ,24,FALSE)=1,100%,MIN(40%,$B$10+VLOOKUP($R34,武学奇术!$A:$ZZ,19,FALSE)+SUM(_xlfn.XLOOKUP($S34:$AL34,增益!$A:$A,增益!$S:$S,0)))+$B$12+SUM(_xlfn.XLOOKUP($S34:$AL34,增益!$A:$A,增益!$V:$V,0)))*IF(VLOOKUP($R34,武学奇术!$A:$ZZ,23,FALSE)=1,0,1)</f>
        <v>0.0913</v>
      </c>
      <c r="BS34" s="33" cm="1">
        <f t="array" ref="BS34">1+$B$14+VLOOKUP($R34,武学奇术!$A:$ZZ,20,FALSE)+SUM(_xlfn.XLOOKUP($S34:$AL34,增益!$A:$A,增益!$T:$T,0))</f>
        <v>1.35</v>
      </c>
      <c r="BT34" s="33">
        <f t="shared" si="10"/>
        <v>0.86580831</v>
      </c>
      <c r="BU34" s="33">
        <f t="shared" si="11"/>
        <v>0.02208246</v>
      </c>
      <c r="BV34" s="33">
        <f>IF(VLOOKUP($R34,武学奇术!$A:$ZZ,22,FALSE)=1,0,(1-$BO34))*(1-$BR34)</f>
        <v>0.02080923</v>
      </c>
      <c r="BW34" s="33" cm="1">
        <f t="array" ref="BW34">SUM(_xlfn.XLOOKUP($S34:$AL34,增益!$A:$A,增益!$W:$W,0))+$I$5</f>
        <v>0.11</v>
      </c>
      <c r="BX34" s="33" cm="1">
        <f t="array" ref="BX34">VLOOKUP($R34,武学奇术!$A:$ZZ,32,FALSE)+SUM(_xlfn.XLOOKUP($S34:$AL34,增益!$A:$A,增益!$X:$X,0))</f>
        <v>0</v>
      </c>
    </row>
    <row r="35" spans="5:76">
      <c r="L35" s="46">
        <f t="shared" si="0"/>
        <v>28884.7708013028</v>
      </c>
      <c r="M35" s="46">
        <f>((($AT35+$AU35)/2*$AN35+$AO35)*(1+$AV35)*(1+$AW35)+(($AY35+$AZ35)/2*IF($G$1="鸣金",$AP35,$AN35)+IF($G$1="鸣金",$AQ35*1.5,0))*(1+$BA35)*(1+$BB35)+(($BC35+$BD35)/2*IF($G$1="裂石",$AP35,$AN35)+IF($G$1="裂石",$AQ35*1.5,0))*(1+$BE35)*(1+$BF35)+(($BG35+$BH35)/2*IF($G$1="牵丝",$AP35,$AN35)+IF($G$1="牵丝",$AQ35*1.5,0))*(1+$BI35)*(1+$BJ35)+(($BK35+$BL35)/2*IF($G$1="破竹",$AP35,$AN35)+IF($G$1="破竹",$AQ35*1.5,0))*(1+$BM35)*(1+$BN35))*(1+$AR35)*$BQ35*$Q35*(1+IF(VLOOKUP($R35,武学奇术!$A:$ZZ,30,FALSE)="蓄力技",$B$21,0))*(1+IF(VLOOKUP($R35,武学奇术!$A:$ZZ,30,FALSE)="派生技",$B$20,0))*(1+$BW35)*(1+$BX35)</f>
        <v>30160.5058406306</v>
      </c>
      <c r="N35" s="46">
        <f>(($AU35*$AN35+$AO35)*(1+$AV35)*(1+$AW35)+($AZ35*IF($G$1="鸣金",$AP35,$AN35)+IF($G$1="鸣金",$AQ35*1.5,0))*(1+$BA35)*(1+$BB35)+($BD35*IF($G$1="裂石",$AP35,$AN35)+IF($G$1="裂石",$AQ35*1.5,0))*(1+$BE35)*(1+$BF35)+($BH35*IF($G$1="牵丝",$AP35,$AN35)+IF($G$1="牵丝",$AQ35*1.5,0))*(1+$BI35)*(1+$BJ35)+($BL35*IF($G$1="破竹",$AP35,$AN35)+IF($G$1="破竹",$AQ35*1.5,0))*(1+$BM35)*(1+$BN35))*(1+$AR35)*$BS35*$Q35*(1+IF(VLOOKUP($R35,武学奇术!$A:$ZZ,30,FALSE)="蓄力技",$B$21,0))*(1+IF(VLOOKUP($R35,武学奇术!$A:$ZZ,30,FALSE)="派生技",$B$20,0))*(1+$BW35)*(1+$BX35)</f>
        <v>23605.5317730515</v>
      </c>
      <c r="O35" s="46">
        <f>((($AT35+$AU35)/2*$AN35+$AO35)*(1+$AV35)*(1+$AW35)+(($AY35+$AZ35)/2*IF($G$1="鸣金",$AP35,$AN35)+IF($G$1="鸣金",$AQ35*1.5,0))*(1+$BA35)*(1+$BB35)+(($BC35+$BD35)/2*IF($G$1="裂石",$AP35,$AN35)+IF($G$1="裂石",$AQ35*1.5,0))*(1+$BE35)*(1+$BF35)+(($BG35+$BH35)/2*IF($G$1="牵丝",$AP35,$AN35)+IF($G$1="牵丝",$AQ35*1.5,0))*(1+$BI35)*(1+$BJ35)+(($BK35+$BL35)/2*IF($G$1="破竹",$AP35,$AN35)+IF($G$1="破竹",$AQ35*1.5,0))*(1+$BM35)*(1+$BN35))*(1+$AR35)*$Q35*(1+IF(VLOOKUP($R35,武学奇术!$A:$ZZ,30,FALSE)="蓄力技",$B$21,0))*(1+IF(VLOOKUP($R35,武学奇术!$A:$ZZ,30,FALSE)="派生技",$B$20,0))*(1+$BW35)*(1+$BX35)</f>
        <v>15388.0131839952</v>
      </c>
      <c r="P35" s="46">
        <f>((($AT35*$AN35+$AO35)*(1+$AV35)*(1+$AW35)+($AY35*IF($G$1="鸣金",$AP35,$AN35)+IF($G$1="鸣金",$AQ35*1.5,0))*(1+$BA35)*(1+$BB35)+($BC35*IF($G$1="裂石",$AP35,$AN35)+IF($G$1="裂石",$AQ35*1.5,0))*(1+$BE35)*(1+$BF35)+($BG35*IF($G$1="牵丝",$AP35,$AN35)+IF($G$1="牵丝",$AQ35*1.5,0))*(1+$BI35)*(1+$BJ35)+($BK35*IF($G$1="破竹",$AP35,$AN35)+IF($G$1="破竹",$AQ35*1.5,0))*(1+$BM35)*(1+$BN35))*(1+$AR35))*$Q35*(1+IF(VLOOKUP($R35,武学奇术!$A:$ZZ,30,FALSE)="蓄力技",$B$21,0))*(1+IF(VLOOKUP($R35,武学奇术!$A:$ZZ,30,FALSE)="派生技",$B$20,0))*(1+$BW35)*(1+$BX35)</f>
        <v>13290.4472768412</v>
      </c>
      <c r="Q35" s="47">
        <f t="shared" si="13"/>
        <v>1</v>
      </c>
      <c r="R35" s="48" t="s">
        <v>173</v>
      </c>
      <c r="S35" s="48" t="s">
        <v>99</v>
      </c>
      <c r="T35" s="48" t="s">
        <v>170</v>
      </c>
      <c r="U35" s="48" t="s">
        <v>79</v>
      </c>
      <c r="V35" s="48" t="s">
        <v>80</v>
      </c>
      <c r="W35" s="48" t="s">
        <v>141</v>
      </c>
      <c r="X35" s="48" t="s">
        <v>80</v>
      </c>
      <c r="Y35" s="48" t="s">
        <v>74</v>
      </c>
      <c r="Z35" s="48" t="s">
        <v>80</v>
      </c>
      <c r="AA35" s="48" t="s">
        <v>80</v>
      </c>
      <c r="AB35" s="48" t="s">
        <v>80</v>
      </c>
      <c r="AC35" s="48" t="s">
        <v>80</v>
      </c>
      <c r="AD35" s="48" t="s">
        <v>80</v>
      </c>
      <c r="AE35" s="48" t="s">
        <v>80</v>
      </c>
      <c r="AF35" s="48" t="s">
        <v>83</v>
      </c>
      <c r="AG35" s="48" t="s">
        <v>84</v>
      </c>
      <c r="AH35" s="48" t="s">
        <v>80</v>
      </c>
      <c r="AI35" s="48" t="s">
        <v>80</v>
      </c>
      <c r="AJ35" s="48" t="s">
        <v>80</v>
      </c>
      <c r="AK35" s="48" t="s">
        <v>80</v>
      </c>
      <c r="AL35" s="48" t="s">
        <v>80</v>
      </c>
      <c r="AM35" t="str">
        <f>VLOOKUP($R35,武学奇术!$A:$ZZ,25,FALSE)</f>
        <v>陌刀</v>
      </c>
      <c r="AN35" s="33">
        <f>VLOOKUP($R35,武学奇术!$A:$ZZ,26,FALSE)</f>
        <v>1.05</v>
      </c>
      <c r="AO35" s="34">
        <f>VLOOKUP($R35,武学奇术!$A:$ZZ,27,FALSE)*(1+IF(OR($AM35=$F$4,$AM35=$F$5),$B$22,0))</f>
        <v>0</v>
      </c>
      <c r="AP35" s="33">
        <f>VLOOKUP($R35,武学奇术!$A:$ZZ,28,FALSE)</f>
        <v>1.575</v>
      </c>
      <c r="AQ35" s="34">
        <f>VLOOKUP($R35,武学奇术!$A:$ZZ,29,FALSE)*(1+IF(OR($AM35=$F$4,$AM35=$F$5),$B$22,0))</f>
        <v>0</v>
      </c>
      <c r="AR35" s="33" cm="1">
        <f t="array" ref="AR35">$G$3+IFERROR(VLOOKUP($AM35,$F$4:$G$7,2,FALSE),0)+VLOOKUP($R35,武学奇术!$A:$ZZ,2,FALSE)+SUM(_xlfn.XLOOKUP($S35:$AL35,增益!$A:$A,增益!$B:$B,0))</f>
        <v>0.5343</v>
      </c>
      <c r="AS35" s="33" cm="1">
        <f t="array" ref="AS35">VLOOKUP($R35,武学奇术!$A:$ZZ,5,FALSE)+SUM(_xlfn.XLOOKUP($S35:$AL35,增益!$A:$A,增益!$E:$E,0))</f>
        <v>0</v>
      </c>
      <c r="AT35" cm="1">
        <f t="array" ref="AT35">$D$10*(1+$AS35)+VLOOKUP($R35,武学奇术!$A:$ZZ,3,FALSE)+SUM(_xlfn.XLOOKUP($S35:$AL35,增益!$A:$A,增益!$C:$C,0))-$I$2</f>
        <v>4026</v>
      </c>
      <c r="AU35" cm="1">
        <f t="array" ref="AU35">$E$10*(1+$AS35)+VLOOKUP($R35,武学奇术!$A:$ZZ,4,FALSE)+SUM(_xlfn.XLOOKUP($S35:$AL35,增益!$A:$A,增益!$D:$D,0))-$I$2</f>
        <v>4026</v>
      </c>
      <c r="AV35" s="40" cm="1">
        <f t="array" ref="AV35">IF($F$10-$I$3+VLOOKUP($R35,武学奇术!$A:$ZZ,6,FALSE)+SUM(_xlfn.XLOOKUP($S35:$AL35,增益!$A:$A,增益!$F:$F,0))&gt;0,($F$10-$I$3+VLOOKUP($R35,武学奇术!$A:$ZZ,6,FALSE)+SUM(_xlfn.XLOOKUP($S35:$AL35,增益!$A:$A,增益!$F:$F,0)))/200,($F$10-$I$3+VLOOKUP($R35,武学奇术!$A:$ZZ,6,FALSE)+SUM(_xlfn.XLOOKUP($S35:$AL35,增益!$A:$A,增益!$F:$F,0)))/100)</f>
        <v>0.3534</v>
      </c>
      <c r="AW35" s="40" cm="1">
        <f t="array" ref="AW35">$G$10+VLOOKUP($R35,武学奇术!$A:$ZZ,7,FALSE)+SUM(_xlfn.XLOOKUP($S35:$AL35,增益!$A:$A,增益!$G:$G,0))</f>
        <v>0.12</v>
      </c>
      <c r="AX35" s="33" cm="1">
        <f t="array" ref="AX35">VLOOKUP($R35,武学奇术!$A:$ZZ,8,FALSE)+SUM(_xlfn.XLOOKUP($S35:$AL35,增益!$A:$A,增益!$H:$H,0))</f>
        <v>0</v>
      </c>
      <c r="AY35">
        <f t="shared" si="2"/>
        <v>0</v>
      </c>
      <c r="AZ35">
        <f t="shared" si="3"/>
        <v>0</v>
      </c>
      <c r="BA35" s="40" cm="1">
        <f t="array" ref="BA35">IF($F$11-$I$4+VLOOKUP($R35,武学奇术!$A:$ZZ,9,FALSE)+SUM(_xlfn.XLOOKUP($S35:$AL35,增益!$A:$A,增益!$I:$I,0))&gt;0,($F$11-$I$4+VLOOKUP($R35,武学奇术!$A:$ZZ,9,FALSE)+SUM(_xlfn.XLOOKUP($S35:$AL35,增益!$A:$A,增益!$I:$I,0)))/200,($F$11-$I$4+VLOOKUP($R35,武学奇术!$A:$ZZ,9,FALSE)+SUM(_xlfn.XLOOKUP($S35:$AL35,增益!$A:$A,增益!$I:$I,0)))/100)</f>
        <v>-0.3</v>
      </c>
      <c r="BB35" s="40" cm="1">
        <f t="array" ref="BB35">$G$11+VLOOKUP($R35,武学奇术!$A:$ZZ,10,FALSE)+SUM(_xlfn.XLOOKUP($S35:$AL35,增益!$A:$A,增益!$J:$J,0))</f>
        <v>0</v>
      </c>
      <c r="BC35">
        <f t="shared" si="4"/>
        <v>640.3</v>
      </c>
      <c r="BD35">
        <f t="shared" si="5"/>
        <v>1770.1</v>
      </c>
      <c r="BE35" s="40" cm="1">
        <f t="array" ref="BE35">IF($F$12-$I$4+VLOOKUP($R35,武学奇术!$A:$ZZ,11,FALSE)+SUM(_xlfn.XLOOKUP($S35:$AL35,增益!$A:$A,增益!$K:$K,0))&gt;0,($F$12-$I$4+VLOOKUP($R35,武学奇术!$A:$ZZ,11,FALSE)+SUM(_xlfn.XLOOKUP($S35:$AL35,增益!$A:$A,增益!$K:$K,0)))/200,($F$12-$I$4+VLOOKUP($R35,武学奇术!$A:$ZZ,11,FALSE)+SUM(_xlfn.XLOOKUP($S35:$AL35,增益!$A:$A,增益!$K:$K,0)))/100)</f>
        <v>0.09</v>
      </c>
      <c r="BF35" s="40" cm="1">
        <f t="array" ref="BF35">$G$12+VLOOKUP($R35,武学奇术!$A:$ZZ,12,FALSE)+SUM(_xlfn.XLOOKUP($S35:$AL35,增益!$A:$A,增益!$L:$L,0))</f>
        <v>0.27</v>
      </c>
      <c r="BG35">
        <f t="shared" si="6"/>
        <v>0</v>
      </c>
      <c r="BH35">
        <f t="shared" si="7"/>
        <v>0</v>
      </c>
      <c r="BI35" s="40" cm="1">
        <f t="array" ref="BI35">IF($F$13-$I$4+VLOOKUP($R35,武学奇术!$A:$ZZ,13,FALSE)+SUM(_xlfn.XLOOKUP($S35:$AL35,增益!$A:$A,增益!$M:$M,0))&gt;0,($F$13-$I$4+VLOOKUP($R35,武学奇术!$A:$ZZ,13,FALSE)+SUM(_xlfn.XLOOKUP($S35:$AL35,增益!$A:$A,增益!$K:$K,0)))/200,($F$13-$I$4+VLOOKUP($R35,武学奇术!$A:$ZZ,13,FALSE)+SUM(_xlfn.XLOOKUP($S35:$AL35,增益!$A:$A,增益!$M:$M,0)))/100)</f>
        <v>-0.3</v>
      </c>
      <c r="BJ35" s="40" cm="1">
        <f t="array" ref="BJ35">$G$13+VLOOKUP($R35,武学奇术!$A:$ZZ,14,FALSE)+SUM(_xlfn.XLOOKUP($S35:$AL35,增益!$A:$A,增益!$N:$N,0))</f>
        <v>0</v>
      </c>
      <c r="BK35">
        <f t="shared" si="8"/>
        <v>0</v>
      </c>
      <c r="BL35">
        <f t="shared" si="9"/>
        <v>0</v>
      </c>
      <c r="BM35" s="40" cm="1">
        <f t="array" ref="BM35">IF($F$14-$I$4+VLOOKUP($R35,武学奇术!$A:$ZZ,15,FALSE)+SUM(_xlfn.XLOOKUP($S35:$AL35,增益!$A:$A,增益!$O:$O,0))&gt;0,($F$14-$I$4+VLOOKUP($R35,武学奇术!$A:$ZZ,15,FALSE)+SUM(_xlfn.XLOOKUP($S35:$AL35,增益!$A:$A,增益!$O:$O,0)))/200,($F$14-$I$4+VLOOKUP($R35,武学奇术!$A:$ZZ,15,FALSE)+SUM(_xlfn.XLOOKUP($S35:$AL35,增益!$A:$A,增益!$O:$O,0)))/100)</f>
        <v>-0.3</v>
      </c>
      <c r="BN35" s="40" cm="1">
        <f t="array" ref="BN35">$G$14+VLOOKUP($R35,武学奇术!$A:$ZZ,16,FALSE)+SUM(_xlfn.XLOOKUP($S35:$AL35,增益!$A:$A,增益!$P:$P,0))</f>
        <v>0</v>
      </c>
      <c r="BO35" s="33">
        <f>MIN(IF(VLOOKUP($R35,武学奇术!$A:$ZZ,23,FALSE)=1,100%,$B$8),100%)</f>
        <v>0.9771</v>
      </c>
      <c r="BP35" s="33" cm="1">
        <f t="array" ref="BP35">IF(VLOOKUP($R35,武学奇术!$A:$ZZ,23,FALSE)=1,100%,MIN(80%,$B$9+VLOOKUP($R35,武学奇术!$A:$ZZ,17,FALSE)+SUM(_xlfn.XLOOKUP($S35:$AL35,增益!$A:$A,增益!$Q:$Q,0)))+$B$11+SUM(_xlfn.XLOOKUP($S35:$AL35,增益!$A:$A,增益!$U:$U,0)))*IF(VLOOKUP($R35,武学奇术!$A:$ZZ,24,FALSE)=1,0,1)</f>
        <v>0.8861</v>
      </c>
      <c r="BQ35" s="33" cm="1">
        <f t="array" ref="BQ35">1+$B$13+VLOOKUP($R35,武学奇术!$A:$ZZ,18,FALSE)+SUM(_xlfn.XLOOKUP($S35:$AL35,增益!$A:$A,增益!$R:$R,0))</f>
        <v>1.96</v>
      </c>
      <c r="BR35" s="33" cm="1">
        <f t="array" ref="BR35">IF(VLOOKUP($R35,武学奇术!$A:$ZZ,24,FALSE)=1,100%,MIN(40%,$B$10+VLOOKUP($R35,武学奇术!$A:$ZZ,19,FALSE)+SUM(_xlfn.XLOOKUP($S35:$AL35,增益!$A:$A,增益!$S:$S,0)))+$B$12+SUM(_xlfn.XLOOKUP($S35:$AL35,增益!$A:$A,增益!$V:$V,0)))*IF(VLOOKUP($R35,武学奇术!$A:$ZZ,23,FALSE)=1,0,1)</f>
        <v>0.0913</v>
      </c>
      <c r="BS35" s="33" cm="1">
        <f t="array" ref="BS35">1+$B$14+VLOOKUP($R35,武学奇术!$A:$ZZ,20,FALSE)+SUM(_xlfn.XLOOKUP($S35:$AL35,增益!$A:$A,增益!$T:$T,0))</f>
        <v>1.35</v>
      </c>
      <c r="BT35" s="33">
        <f t="shared" si="10"/>
        <v>0.86580831</v>
      </c>
      <c r="BU35" s="33">
        <f t="shared" si="11"/>
        <v>0.02208246</v>
      </c>
      <c r="BV35" s="33">
        <f>IF(VLOOKUP($R35,武学奇术!$A:$ZZ,22,FALSE)=1,0,(1-$BO35))*(1-$BR35)</f>
        <v>0.02080923</v>
      </c>
      <c r="BW35" s="33" cm="1">
        <f t="array" ref="BW35">SUM(_xlfn.XLOOKUP($S35:$AL35,增益!$A:$A,增益!$W:$W,0))+$I$5</f>
        <v>0.11</v>
      </c>
      <c r="BX35" s="33" cm="1">
        <f t="array" ref="BX35">VLOOKUP($R35,武学奇术!$A:$ZZ,32,FALSE)+SUM(_xlfn.XLOOKUP($S35:$AL35,增益!$A:$A,增益!$X:$X,0))</f>
        <v>0</v>
      </c>
    </row>
    <row r="36" spans="5:76">
      <c r="L36" s="46">
        <f t="shared" si="0"/>
        <v>29879.3879712153</v>
      </c>
      <c r="M36" s="46">
        <f>((($AT36+$AU36)/2*$AN36+$AO36)*(1+$AV36)*(1+$AW36)+(($AY36+$AZ36)/2*IF($G$1="鸣金",$AP36,$AN36)+IF($G$1="鸣金",$AQ36*1.5,0))*(1+$BA36)*(1+$BB36)+(($BC36+$BD36)/2*IF($G$1="裂石",$AP36,$AN36)+IF($G$1="裂石",$AQ36*1.5,0))*(1+$BE36)*(1+$BF36)+(($BG36+$BH36)/2*IF($G$1="牵丝",$AP36,$AN36)+IF($G$1="牵丝",$AQ36*1.5,0))*(1+$BI36)*(1+$BJ36)+(($BK36+$BL36)/2*IF($G$1="破竹",$AP36,$AN36)+IF($G$1="破竹",$AQ36*1.5,0))*(1+$BM36)*(1+$BN36))*(1+$AR36)*$BQ36*$Q36*(1+IF(VLOOKUP($R36,武学奇术!$A:$ZZ,30,FALSE)="蓄力技",$B$21,0))*(1+IF(VLOOKUP($R36,武学奇术!$A:$ZZ,30,FALSE)="派生技",$B$20,0))*(1+$BW36)*(1+$BX36)</f>
        <v>31160.4023434972</v>
      </c>
      <c r="N36" s="46">
        <f>(($AU36*$AN36+$AO36)*(1+$AV36)*(1+$AW36)+($AZ36*IF($G$1="鸣金",$AP36,$AN36)+IF($G$1="鸣金",$AQ36*1.5,0))*(1+$BA36)*(1+$BB36)+($BD36*IF($G$1="裂石",$AP36,$AN36)+IF($G$1="裂石",$AQ36*1.5,0))*(1+$BE36)*(1+$BF36)+($BH36*IF($G$1="牵丝",$AP36,$AN36)+IF($G$1="牵丝",$AQ36*1.5,0))*(1+$BI36)*(1+$BJ36)+($BL36*IF($G$1="破竹",$AP36,$AN36)+IF($G$1="破竹",$AQ36*1.5,0))*(1+$BM36)*(1+$BN36))*(1+$AR36)*$BS36*$Q36*(1+IF(VLOOKUP($R36,武学奇术!$A:$ZZ,30,FALSE)="蓄力技",$B$21,0))*(1+IF(VLOOKUP($R36,武学奇术!$A:$ZZ,30,FALSE)="派生技",$B$20,0))*(1+$BW36)*(1+$BX36)</f>
        <v>24597.8506681518</v>
      </c>
      <c r="O36" s="46">
        <f>((($AT36+$AU36)/2*$AN36+$AO36)*(1+$AV36)*(1+$AW36)+(($AY36+$AZ36)/2*IF($G$1="鸣金",$AP36,$AN36)+IF($G$1="鸣金",$AQ36*1.5,0))*(1+$BA36)*(1+$BB36)+(($BC36+$BD36)/2*IF($G$1="裂石",$AP36,$AN36)+IF($G$1="裂石",$AQ36*1.5,0))*(1+$BE36)*(1+$BF36)+(($BG36+$BH36)/2*IF($G$1="牵丝",$AP36,$AN36)+IF($G$1="牵丝",$AQ36*1.5,0))*(1+$BI36)*(1+$BJ36)+(($BK36+$BL36)/2*IF($G$1="破竹",$AP36,$AN36)+IF($G$1="破竹",$AQ36*1.5,0))*(1+$BM36)*(1+$BN36))*(1+$AR36)*$Q36*(1+IF(VLOOKUP($R36,武学奇术!$A:$ZZ,30,FALSE)="蓄力技",$B$21,0))*(1+IF(VLOOKUP($R36,武学奇术!$A:$ZZ,30,FALSE)="派生技",$B$20,0))*(1+$BW36)*(1+$BX36)</f>
        <v>16229.3762205714</v>
      </c>
      <c r="P36" s="46">
        <f>((($AT36*$AN36+$AO36)*(1+$AV36)*(1+$AW36)+($AY36*IF($G$1="鸣金",$AP36,$AN36)+IF($G$1="鸣金",$AQ36*1.5,0))*(1+$BA36)*(1+$BB36)+($BC36*IF($G$1="裂石",$AP36,$AN36)+IF($G$1="裂石",$AQ36*1.5,0))*(1+$BE36)*(1+$BF36)+($BG36*IF($G$1="牵丝",$AP36,$AN36)+IF($G$1="牵丝",$AQ36*1.5,0))*(1+$BI36)*(1+$BJ36)+($BK36*IF($G$1="破竹",$AP36,$AN36)+IF($G$1="破竹",$AQ36*1.5,0))*(1+$BM36)*(1+$BN36))*(1+$AR36))*$Q36*(1+IF(VLOOKUP($R36,武学奇术!$A:$ZZ,30,FALSE)="蓄力技",$B$21,0))*(1+IF(VLOOKUP($R36,武学奇术!$A:$ZZ,30,FALSE)="派生技",$B$20,0))*(1+$BW36)*(1+$BX36)</f>
        <v>14238.122316586</v>
      </c>
      <c r="Q36" s="47">
        <f t="shared" si="13"/>
        <v>1</v>
      </c>
      <c r="R36" s="48" t="s">
        <v>175</v>
      </c>
      <c r="S36" s="48" t="s">
        <v>99</v>
      </c>
      <c r="T36" s="48" t="s">
        <v>176</v>
      </c>
      <c r="U36" s="48" t="s">
        <v>80</v>
      </c>
      <c r="V36" s="48" t="s">
        <v>80</v>
      </c>
      <c r="W36" s="48" t="s">
        <v>91</v>
      </c>
      <c r="X36" s="48" t="s">
        <v>80</v>
      </c>
      <c r="Y36" s="48" t="s">
        <v>80</v>
      </c>
      <c r="Z36" s="48" t="s">
        <v>80</v>
      </c>
      <c r="AA36" s="48" t="s">
        <v>80</v>
      </c>
      <c r="AB36" s="48" t="s">
        <v>80</v>
      </c>
      <c r="AC36" s="48" t="s">
        <v>80</v>
      </c>
      <c r="AD36" s="48" t="s">
        <v>80</v>
      </c>
      <c r="AE36" s="48" t="s">
        <v>80</v>
      </c>
      <c r="AF36" s="48" t="s">
        <v>83</v>
      </c>
      <c r="AG36" s="48" t="s">
        <v>84</v>
      </c>
      <c r="AH36" s="48" t="s">
        <v>80</v>
      </c>
      <c r="AI36" s="48" t="s">
        <v>80</v>
      </c>
      <c r="AJ36" s="48" t="s">
        <v>80</v>
      </c>
      <c r="AK36" s="48" t="s">
        <v>80</v>
      </c>
      <c r="AL36" s="48" t="s">
        <v>80</v>
      </c>
      <c r="AM36" t="str">
        <f>VLOOKUP($R36,武学奇术!$A:$ZZ,25,FALSE)</f>
        <v>横刀</v>
      </c>
      <c r="AN36" s="33">
        <f>VLOOKUP($R36,武学奇术!$A:$ZZ,26,FALSE)</f>
        <v>1.2338</v>
      </c>
      <c r="AO36" s="34">
        <f>VLOOKUP($R36,武学奇术!$A:$ZZ,27,FALSE)*(1+IF(OR($AM36=$F$4,$AM36=$F$5),$B$22,0))</f>
        <v>547.2</v>
      </c>
      <c r="AP36" s="33">
        <f>VLOOKUP($R36,武学奇术!$A:$ZZ,28,FALSE)</f>
        <v>1.8507</v>
      </c>
      <c r="AQ36" s="34">
        <f>VLOOKUP($R36,武学奇术!$A:$ZZ,29,FALSE)*(1+IF(OR($AM36=$F$4,$AM36=$F$5),$B$22,0))</f>
        <v>297.6</v>
      </c>
      <c r="AR36" s="33" cm="1">
        <f t="array" ref="AR36">$G$3+IFERROR(VLOOKUP($AM36,$F$4:$G$7,2,FALSE),0)+VLOOKUP($R36,武学奇术!$A:$ZZ,2,FALSE)+SUM(_xlfn.XLOOKUP($S36:$AL36,增益!$A:$A,增益!$B:$B,0))</f>
        <v>0.3689</v>
      </c>
      <c r="AS36" s="33" cm="1">
        <f t="array" ref="AS36">VLOOKUP($R36,武学奇术!$A:$ZZ,5,FALSE)+SUM(_xlfn.XLOOKUP($S36:$AL36,增益!$A:$A,增益!$E:$E,0))</f>
        <v>0</v>
      </c>
      <c r="AT36" cm="1">
        <f t="array" ref="AT36">$D$10*(1+$AS36)+VLOOKUP($R36,武学奇术!$A:$ZZ,3,FALSE)+SUM(_xlfn.XLOOKUP($S36:$AL36,增益!$A:$A,增益!$C:$C,0))-$I$2</f>
        <v>4026</v>
      </c>
      <c r="AU36" cm="1">
        <f t="array" ref="AU36">$E$10*(1+$AS36)+VLOOKUP($R36,武学奇术!$A:$ZZ,4,FALSE)+SUM(_xlfn.XLOOKUP($S36:$AL36,增益!$A:$A,增益!$D:$D,0))-$I$2</f>
        <v>4026</v>
      </c>
      <c r="AV36" s="40" cm="1">
        <f t="array" ref="AV36">IF($F$10-$I$3+VLOOKUP($R36,武学奇术!$A:$ZZ,6,FALSE)+SUM(_xlfn.XLOOKUP($S36:$AL36,增益!$A:$A,增益!$F:$F,0))&gt;0,($F$10-$I$3+VLOOKUP($R36,武学奇术!$A:$ZZ,6,FALSE)+SUM(_xlfn.XLOOKUP($S36:$AL36,增益!$A:$A,增益!$F:$F,0)))/200,($F$10-$I$3+VLOOKUP($R36,武学奇术!$A:$ZZ,6,FALSE)+SUM(_xlfn.XLOOKUP($S36:$AL36,增益!$A:$A,增益!$F:$F,0)))/100)</f>
        <v>0.3284</v>
      </c>
      <c r="AW36" s="40" cm="1">
        <f t="array" ref="AW36">$G$10+VLOOKUP($R36,武学奇术!$A:$ZZ,7,FALSE)+SUM(_xlfn.XLOOKUP($S36:$AL36,增益!$A:$A,增益!$G:$G,0))</f>
        <v>0</v>
      </c>
      <c r="AX36" s="33" cm="1">
        <f t="array" ref="AX36">VLOOKUP($R36,武学奇术!$A:$ZZ,8,FALSE)+SUM(_xlfn.XLOOKUP($S36:$AL36,增益!$A:$A,增益!$H:$H,0))</f>
        <v>0</v>
      </c>
      <c r="AY36">
        <f t="shared" si="2"/>
        <v>0</v>
      </c>
      <c r="AZ36">
        <f t="shared" si="3"/>
        <v>0</v>
      </c>
      <c r="BA36" s="40" cm="1">
        <f t="array" ref="BA36">IF($F$11-$I$4+VLOOKUP($R36,武学奇术!$A:$ZZ,9,FALSE)+SUM(_xlfn.XLOOKUP($S36:$AL36,增益!$A:$A,增益!$I:$I,0))&gt;0,($F$11-$I$4+VLOOKUP($R36,武学奇术!$A:$ZZ,9,FALSE)+SUM(_xlfn.XLOOKUP($S36:$AL36,增益!$A:$A,增益!$I:$I,0)))/200,($F$11-$I$4+VLOOKUP($R36,武学奇术!$A:$ZZ,9,FALSE)+SUM(_xlfn.XLOOKUP($S36:$AL36,增益!$A:$A,增益!$I:$I,0)))/100)</f>
        <v>-0.3</v>
      </c>
      <c r="BB36" s="40" cm="1">
        <f t="array" ref="BB36">$G$11+VLOOKUP($R36,武学奇术!$A:$ZZ,10,FALSE)+SUM(_xlfn.XLOOKUP($S36:$AL36,增益!$A:$A,增益!$J:$J,0))</f>
        <v>0</v>
      </c>
      <c r="BC36">
        <f t="shared" si="4"/>
        <v>640.3</v>
      </c>
      <c r="BD36">
        <f t="shared" si="5"/>
        <v>1770.1</v>
      </c>
      <c r="BE36" s="40" cm="1">
        <f t="array" ref="BE36">IF($F$12-$I$4+VLOOKUP($R36,武学奇术!$A:$ZZ,11,FALSE)+SUM(_xlfn.XLOOKUP($S36:$AL36,增益!$A:$A,增益!$K:$K,0))&gt;0,($F$12-$I$4+VLOOKUP($R36,武学奇术!$A:$ZZ,11,FALSE)+SUM(_xlfn.XLOOKUP($S36:$AL36,增益!$A:$A,增益!$K:$K,0)))/200,($F$12-$I$4+VLOOKUP($R36,武学奇术!$A:$ZZ,11,FALSE)+SUM(_xlfn.XLOOKUP($S36:$AL36,增益!$A:$A,增益!$K:$K,0)))/100)</f>
        <v>0.09</v>
      </c>
      <c r="BF36" s="40" cm="1">
        <f t="array" ref="BF36">$G$12+VLOOKUP($R36,武学奇术!$A:$ZZ,12,FALSE)+SUM(_xlfn.XLOOKUP($S36:$AL36,增益!$A:$A,增益!$L:$L,0))</f>
        <v>0.15</v>
      </c>
      <c r="BG36">
        <f t="shared" si="6"/>
        <v>0</v>
      </c>
      <c r="BH36">
        <f t="shared" si="7"/>
        <v>0</v>
      </c>
      <c r="BI36" s="40" cm="1">
        <f t="array" ref="BI36">IF($F$13-$I$4+VLOOKUP($R36,武学奇术!$A:$ZZ,13,FALSE)+SUM(_xlfn.XLOOKUP($S36:$AL36,增益!$A:$A,增益!$M:$M,0))&gt;0,($F$13-$I$4+VLOOKUP($R36,武学奇术!$A:$ZZ,13,FALSE)+SUM(_xlfn.XLOOKUP($S36:$AL36,增益!$A:$A,增益!$K:$K,0)))/200,($F$13-$I$4+VLOOKUP($R36,武学奇术!$A:$ZZ,13,FALSE)+SUM(_xlfn.XLOOKUP($S36:$AL36,增益!$A:$A,增益!$M:$M,0)))/100)</f>
        <v>-0.3</v>
      </c>
      <c r="BJ36" s="40" cm="1">
        <f t="array" ref="BJ36">$G$13+VLOOKUP($R36,武学奇术!$A:$ZZ,14,FALSE)+SUM(_xlfn.XLOOKUP($S36:$AL36,增益!$A:$A,增益!$N:$N,0))</f>
        <v>0</v>
      </c>
      <c r="BK36">
        <f t="shared" si="8"/>
        <v>0</v>
      </c>
      <c r="BL36">
        <f t="shared" si="9"/>
        <v>0</v>
      </c>
      <c r="BM36" s="40" cm="1">
        <f t="array" ref="BM36">IF($F$14-$I$4+VLOOKUP($R36,武学奇术!$A:$ZZ,15,FALSE)+SUM(_xlfn.XLOOKUP($S36:$AL36,增益!$A:$A,增益!$O:$O,0))&gt;0,($F$14-$I$4+VLOOKUP($R36,武学奇术!$A:$ZZ,15,FALSE)+SUM(_xlfn.XLOOKUP($S36:$AL36,增益!$A:$A,增益!$O:$O,0)))/200,($F$14-$I$4+VLOOKUP($R36,武学奇术!$A:$ZZ,15,FALSE)+SUM(_xlfn.XLOOKUP($S36:$AL36,增益!$A:$A,增益!$O:$O,0)))/100)</f>
        <v>-0.3</v>
      </c>
      <c r="BN36" s="40" cm="1">
        <f t="array" ref="BN36">$G$14+VLOOKUP($R36,武学奇术!$A:$ZZ,16,FALSE)+SUM(_xlfn.XLOOKUP($S36:$AL36,增益!$A:$A,增益!$P:$P,0))</f>
        <v>0</v>
      </c>
      <c r="BO36" s="33">
        <f>MIN(IF(VLOOKUP($R36,武学奇术!$A:$ZZ,23,FALSE)=1,100%,$B$8),100%)</f>
        <v>0.9771</v>
      </c>
      <c r="BP36" s="33" cm="1">
        <f t="array" ref="BP36">IF(VLOOKUP($R36,武学奇术!$A:$ZZ,23,FALSE)=1,100%,MIN(80%,$B$9+VLOOKUP($R36,武学奇术!$A:$ZZ,17,FALSE)+SUM(_xlfn.XLOOKUP($S36:$AL36,增益!$A:$A,增益!$Q:$Q,0)))+$B$11+SUM(_xlfn.XLOOKUP($S36:$AL36,增益!$A:$A,增益!$U:$U,0)))*IF(VLOOKUP($R36,武学奇术!$A:$ZZ,24,FALSE)=1,0,1)</f>
        <v>0.8861</v>
      </c>
      <c r="BQ36" s="33" cm="1">
        <f t="array" ref="BQ36">1+$B$13+VLOOKUP($R36,武学奇术!$A:$ZZ,18,FALSE)+SUM(_xlfn.XLOOKUP($S36:$AL36,增益!$A:$A,增益!$R:$R,0))</f>
        <v>1.92</v>
      </c>
      <c r="BR36" s="33" cm="1">
        <f t="array" ref="BR36">IF(VLOOKUP($R36,武学奇术!$A:$ZZ,24,FALSE)=1,100%,MIN(40%,$B$10+VLOOKUP($R36,武学奇术!$A:$ZZ,19,FALSE)+SUM(_xlfn.XLOOKUP($S36:$AL36,增益!$A:$A,增益!$S:$S,0)))+$B$12+SUM(_xlfn.XLOOKUP($S36:$AL36,增益!$A:$A,增益!$V:$V,0)))*IF(VLOOKUP($R36,武学奇术!$A:$ZZ,23,FALSE)=1,0,1)</f>
        <v>0.0913</v>
      </c>
      <c r="BS36" s="33" cm="1">
        <f t="array" ref="BS36">1+$B$14+VLOOKUP($R36,武学奇术!$A:$ZZ,20,FALSE)+SUM(_xlfn.XLOOKUP($S36:$AL36,增益!$A:$A,增益!$T:$T,0))</f>
        <v>1.35</v>
      </c>
      <c r="BT36" s="33">
        <f t="shared" si="10"/>
        <v>0.86580831</v>
      </c>
      <c r="BU36" s="33">
        <f t="shared" si="11"/>
        <v>0.02208246</v>
      </c>
      <c r="BV36" s="33">
        <f>IF(VLOOKUP($R36,武学奇术!$A:$ZZ,22,FALSE)=1,0,(1-$BO36))*(1-$BR36)</f>
        <v>0.02080923</v>
      </c>
      <c r="BW36" s="33" cm="1">
        <f t="array" ref="BW36">SUM(_xlfn.XLOOKUP($S36:$AL36,增益!$A:$A,增益!$W:$W,0))+$I$5</f>
        <v>0.11</v>
      </c>
      <c r="BX36" s="33" cm="1">
        <f t="array" ref="BX36">VLOOKUP($R36,武学奇术!$A:$ZZ,32,FALSE)+SUM(_xlfn.XLOOKUP($S36:$AL36,增益!$A:$A,增益!$X:$X,0))</f>
        <v>0</v>
      </c>
    </row>
    <row r="37" spans="5:76">
      <c r="L37" s="46">
        <f t="shared" si="0"/>
        <v>91950.6649241793</v>
      </c>
      <c r="M37" s="46">
        <f>((($AT37+$AU37)/2*$AN37+$AO37)*(1+$AV37)*(1+$AW37)+(($AY37+$AZ37)/2*IF($G$1="鸣金",$AP37,$AN37)+IF($G$1="鸣金",$AQ37*1.5,0))*(1+$BA37)*(1+$BB37)+(($BC37+$BD37)/2*IF($G$1="裂石",$AP37,$AN37)+IF($G$1="裂石",$AQ37*1.5,0))*(1+$BE37)*(1+$BF37)+(($BG37+$BH37)/2*IF($G$1="牵丝",$AP37,$AN37)+IF($G$1="牵丝",$AQ37*1.5,0))*(1+$BI37)*(1+$BJ37)+(($BK37+$BL37)/2*IF($G$1="破竹",$AP37,$AN37)+IF($G$1="破竹",$AQ37*1.5,0))*(1+$BM37)*(1+$BN37))*(1+$AR37)*$BQ37*$Q37*(1+IF(VLOOKUP($R37,武学奇术!$A:$ZZ,30,FALSE)="蓄力技",$B$21,0))*(1+IF(VLOOKUP($R37,武学奇术!$A:$ZZ,30,FALSE)="派生技",$B$20,0))*(1+$BW37)*(1+$BX37)</f>
        <v>95940.999414722</v>
      </c>
      <c r="N37" s="46">
        <f>(($AU37*$AN37+$AO37)*(1+$AV37)*(1+$AW37)+($AZ37*IF($G$1="鸣金",$AP37,$AN37)+IF($G$1="鸣金",$AQ37*1.5,0))*(1+$BA37)*(1+$BB37)+($BD37*IF($G$1="裂石",$AP37,$AN37)+IF($G$1="裂石",$AQ37*1.5,0))*(1+$BE37)*(1+$BF37)+($BH37*IF($G$1="牵丝",$AP37,$AN37)+IF($G$1="牵丝",$AQ37*1.5,0))*(1+$BI37)*(1+$BJ37)+($BL37*IF($G$1="破竹",$AP37,$AN37)+IF($G$1="破竹",$AQ37*1.5,0))*(1+$BM37)*(1+$BN37))*(1+$AR37)*$BS37*$Q37*(1+IF(VLOOKUP($R37,武学奇术!$A:$ZZ,30,FALSE)="蓄力技",$B$21,0))*(1+IF(VLOOKUP($R37,武学奇术!$A:$ZZ,30,FALSE)="派生技",$B$20,0))*(1+$BW37)*(1+$BX37)</f>
        <v>75344.2395283134</v>
      </c>
      <c r="O37" s="46">
        <f>((($AT37+$AU37)/2*$AN37+$AO37)*(1+$AV37)*(1+$AW37)+(($AY37+$AZ37)/2*IF($G$1="鸣金",$AP37,$AN37)+IF($G$1="鸣金",$AQ37*1.5,0))*(1+$BA37)*(1+$BB37)+(($BC37+$BD37)/2*IF($G$1="裂石",$AP37,$AN37)+IF($G$1="裂石",$AQ37*1.5,0))*(1+$BE37)*(1+$BF37)+(($BG37+$BH37)/2*IF($G$1="牵丝",$AP37,$AN37)+IF($G$1="牵丝",$AQ37*1.5,0))*(1+$BI37)*(1+$BJ37)+(($BK37+$BL37)/2*IF($G$1="破竹",$AP37,$AN37)+IF($G$1="破竹",$AQ37*1.5,0))*(1+$BM37)*(1+$BN37))*(1+$AR37)*$Q37*(1+IF(VLOOKUP($R37,武学奇术!$A:$ZZ,30,FALSE)="蓄力技",$B$21,0))*(1+IF(VLOOKUP($R37,武学奇术!$A:$ZZ,30,FALSE)="派生技",$B$20,0))*(1+$BW37)*(1+$BX37)</f>
        <v>49710.3623910476</v>
      </c>
      <c r="P37" s="46">
        <f>((($AT37*$AN37+$AO37)*(1+$AV37)*(1+$AW37)+($AY37*IF($G$1="鸣金",$AP37,$AN37)+IF($G$1="鸣金",$AQ37*1.5,0))*(1+$BA37)*(1+$BB37)+($BC37*IF($G$1="裂石",$AP37,$AN37)+IF($G$1="裂石",$AQ37*1.5,0))*(1+$BE37)*(1+$BF37)+($BG37*IF($G$1="牵丝",$AP37,$AN37)+IF($G$1="牵丝",$AQ37*1.5,0))*(1+$BI37)*(1+$BJ37)+($BK37*IF($G$1="破竹",$AP37,$AN37)+IF($G$1="破竹",$AQ37*1.5,0))*(1+$BM37)*(1+$BN37))*(1+$AR37))*$Q37*(1+IF(VLOOKUP($R37,武学奇术!$A:$ZZ,30,FALSE)="蓄力技",$B$21,0))*(1+IF(VLOOKUP($R37,武学奇术!$A:$ZZ,30,FALSE)="派生技",$B$20,0))*(1+$BW37)*(1+$BX37)</f>
        <v>43610.1769833446</v>
      </c>
      <c r="Q37" s="47">
        <f t="shared" si="13"/>
        <v>1</v>
      </c>
      <c r="R37" s="48" t="s">
        <v>116</v>
      </c>
      <c r="S37" s="48" t="s">
        <v>99</v>
      </c>
      <c r="T37" s="48" t="s">
        <v>178</v>
      </c>
      <c r="U37" s="48" t="s">
        <v>80</v>
      </c>
      <c r="V37" s="48" t="s">
        <v>80</v>
      </c>
      <c r="W37" s="48" t="s">
        <v>91</v>
      </c>
      <c r="X37" s="48" t="s">
        <v>80</v>
      </c>
      <c r="Y37" s="48" t="s">
        <v>80</v>
      </c>
      <c r="Z37" s="48" t="s">
        <v>80</v>
      </c>
      <c r="AA37" s="48" t="s">
        <v>80</v>
      </c>
      <c r="AB37" s="48" t="s">
        <v>80</v>
      </c>
      <c r="AC37" s="48" t="s">
        <v>80</v>
      </c>
      <c r="AD37" s="48" t="s">
        <v>80</v>
      </c>
      <c r="AE37" s="48" t="s">
        <v>80</v>
      </c>
      <c r="AF37" s="48" t="s">
        <v>83</v>
      </c>
      <c r="AG37" s="48" t="s">
        <v>84</v>
      </c>
      <c r="AH37" s="48" t="s">
        <v>80</v>
      </c>
      <c r="AI37" s="48" t="s">
        <v>80</v>
      </c>
      <c r="AJ37" s="48" t="s">
        <v>80</v>
      </c>
      <c r="AK37" s="48" t="s">
        <v>80</v>
      </c>
      <c r="AL37" s="48" t="s">
        <v>80</v>
      </c>
      <c r="AM37" t="str">
        <f>VLOOKUP($R37,武学奇术!$A:$ZZ,25,FALSE)</f>
        <v>横刀</v>
      </c>
      <c r="AN37" s="33">
        <f>VLOOKUP($R37,武学奇术!$A:$ZZ,26,FALSE)</f>
        <v>3.7797</v>
      </c>
      <c r="AO37" s="34">
        <f>VLOOKUP($R37,武学奇术!$A:$ZZ,27,FALSE)*(1+IF(OR($AM37=$F$4,$AM37=$F$5),$B$22,0))</f>
        <v>1672</v>
      </c>
      <c r="AP37" s="33">
        <f>VLOOKUP($R37,武学奇术!$A:$ZZ,28,FALSE)</f>
        <v>5.6696</v>
      </c>
      <c r="AQ37" s="34">
        <f>VLOOKUP($R37,武学奇术!$A:$ZZ,29,FALSE)*(1+IF(OR($AM37=$F$4,$AM37=$F$5),$B$22,0))</f>
        <v>912</v>
      </c>
      <c r="AR37" s="33" cm="1">
        <f t="array" ref="AR37">$G$3+IFERROR(VLOOKUP($AM37,$F$4:$G$7,2,FALSE),0)+VLOOKUP($R37,武学奇术!$A:$ZZ,2,FALSE)+SUM(_xlfn.XLOOKUP($S37:$AL37,增益!$A:$A,增益!$B:$B,0))</f>
        <v>0.3689</v>
      </c>
      <c r="AS37" s="33" cm="1">
        <f t="array" ref="AS37">VLOOKUP($R37,武学奇术!$A:$ZZ,5,FALSE)+SUM(_xlfn.XLOOKUP($S37:$AL37,增益!$A:$A,增益!$E:$E,0))</f>
        <v>0</v>
      </c>
      <c r="AT37" cm="1">
        <f t="array" ref="AT37">$D$10*(1+$AS37)+VLOOKUP($R37,武学奇术!$A:$ZZ,3,FALSE)+SUM(_xlfn.XLOOKUP($S37:$AL37,增益!$A:$A,增益!$C:$C,0))-$I$2</f>
        <v>4026</v>
      </c>
      <c r="AU37" cm="1">
        <f t="array" ref="AU37">$E$10*(1+$AS37)+VLOOKUP($R37,武学奇术!$A:$ZZ,4,FALSE)+SUM(_xlfn.XLOOKUP($S37:$AL37,增益!$A:$A,增益!$D:$D,0))-$I$2</f>
        <v>4026</v>
      </c>
      <c r="AV37" s="40" cm="1">
        <f t="array" ref="AV37">IF($F$10-$I$3+VLOOKUP($R37,武学奇术!$A:$ZZ,6,FALSE)+SUM(_xlfn.XLOOKUP($S37:$AL37,增益!$A:$A,增益!$F:$F,0))&gt;0,($F$10-$I$3+VLOOKUP($R37,武学奇术!$A:$ZZ,6,FALSE)+SUM(_xlfn.XLOOKUP($S37:$AL37,增益!$A:$A,增益!$F:$F,0)))/200,($F$10-$I$3+VLOOKUP($R37,武学奇术!$A:$ZZ,6,FALSE)+SUM(_xlfn.XLOOKUP($S37:$AL37,增益!$A:$A,增益!$F:$F,0)))/100)</f>
        <v>0.3284</v>
      </c>
      <c r="AW37" s="40" cm="1">
        <f t="array" ref="AW37">$G$10+VLOOKUP($R37,武学奇术!$A:$ZZ,7,FALSE)+SUM(_xlfn.XLOOKUP($S37:$AL37,增益!$A:$A,增益!$G:$G,0))</f>
        <v>0</v>
      </c>
      <c r="AX37" s="33" cm="1">
        <f t="array" ref="AX37">VLOOKUP($R37,武学奇术!$A:$ZZ,8,FALSE)+SUM(_xlfn.XLOOKUP($S37:$AL37,增益!$A:$A,增益!$H:$H,0))</f>
        <v>0</v>
      </c>
      <c r="AY37">
        <f t="shared" si="2"/>
        <v>0</v>
      </c>
      <c r="AZ37">
        <f t="shared" si="3"/>
        <v>0</v>
      </c>
      <c r="BA37" s="40" cm="1">
        <f t="array" ref="BA37">IF($F$11-$I$4+VLOOKUP($R37,武学奇术!$A:$ZZ,9,FALSE)+SUM(_xlfn.XLOOKUP($S37:$AL37,增益!$A:$A,增益!$I:$I,0))&gt;0,($F$11-$I$4+VLOOKUP($R37,武学奇术!$A:$ZZ,9,FALSE)+SUM(_xlfn.XLOOKUP($S37:$AL37,增益!$A:$A,增益!$I:$I,0)))/200,($F$11-$I$4+VLOOKUP($R37,武学奇术!$A:$ZZ,9,FALSE)+SUM(_xlfn.XLOOKUP($S37:$AL37,增益!$A:$A,增益!$I:$I,0)))/100)</f>
        <v>-0.3</v>
      </c>
      <c r="BB37" s="40" cm="1">
        <f t="array" ref="BB37">$G$11+VLOOKUP($R37,武学奇术!$A:$ZZ,10,FALSE)+SUM(_xlfn.XLOOKUP($S37:$AL37,增益!$A:$A,增益!$J:$J,0))</f>
        <v>0</v>
      </c>
      <c r="BC37">
        <f t="shared" si="4"/>
        <v>640.3</v>
      </c>
      <c r="BD37">
        <f t="shared" si="5"/>
        <v>1770.1</v>
      </c>
      <c r="BE37" s="40" cm="1">
        <f t="array" ref="BE37">IF($F$12-$I$4+VLOOKUP($R37,武学奇术!$A:$ZZ,11,FALSE)+SUM(_xlfn.XLOOKUP($S37:$AL37,增益!$A:$A,增益!$K:$K,0))&gt;0,($F$12-$I$4+VLOOKUP($R37,武学奇术!$A:$ZZ,11,FALSE)+SUM(_xlfn.XLOOKUP($S37:$AL37,增益!$A:$A,增益!$K:$K,0)))/200,($F$12-$I$4+VLOOKUP($R37,武学奇术!$A:$ZZ,11,FALSE)+SUM(_xlfn.XLOOKUP($S37:$AL37,增益!$A:$A,增益!$K:$K,0)))/100)</f>
        <v>0.09</v>
      </c>
      <c r="BF37" s="40" cm="1">
        <f t="array" ref="BF37">$G$12+VLOOKUP($R37,武学奇术!$A:$ZZ,12,FALSE)+SUM(_xlfn.XLOOKUP($S37:$AL37,增益!$A:$A,增益!$L:$L,0))</f>
        <v>0.15</v>
      </c>
      <c r="BG37">
        <f t="shared" si="6"/>
        <v>0</v>
      </c>
      <c r="BH37">
        <f t="shared" si="7"/>
        <v>0</v>
      </c>
      <c r="BI37" s="40" cm="1">
        <f t="array" ref="BI37">IF($F$13-$I$4+VLOOKUP($R37,武学奇术!$A:$ZZ,13,FALSE)+SUM(_xlfn.XLOOKUP($S37:$AL37,增益!$A:$A,增益!$M:$M,0))&gt;0,($F$13-$I$4+VLOOKUP($R37,武学奇术!$A:$ZZ,13,FALSE)+SUM(_xlfn.XLOOKUP($S37:$AL37,增益!$A:$A,增益!$K:$K,0)))/200,($F$13-$I$4+VLOOKUP($R37,武学奇术!$A:$ZZ,13,FALSE)+SUM(_xlfn.XLOOKUP($S37:$AL37,增益!$A:$A,增益!$M:$M,0)))/100)</f>
        <v>-0.3</v>
      </c>
      <c r="BJ37" s="40" cm="1">
        <f t="array" ref="BJ37">$G$13+VLOOKUP($R37,武学奇术!$A:$ZZ,14,FALSE)+SUM(_xlfn.XLOOKUP($S37:$AL37,增益!$A:$A,增益!$N:$N,0))</f>
        <v>0</v>
      </c>
      <c r="BK37">
        <f t="shared" si="8"/>
        <v>0</v>
      </c>
      <c r="BL37">
        <f t="shared" si="9"/>
        <v>0</v>
      </c>
      <c r="BM37" s="40" cm="1">
        <f t="array" ref="BM37">IF($F$14-$I$4+VLOOKUP($R37,武学奇术!$A:$ZZ,15,FALSE)+SUM(_xlfn.XLOOKUP($S37:$AL37,增益!$A:$A,增益!$O:$O,0))&gt;0,($F$14-$I$4+VLOOKUP($R37,武学奇术!$A:$ZZ,15,FALSE)+SUM(_xlfn.XLOOKUP($S37:$AL37,增益!$A:$A,增益!$O:$O,0)))/200,($F$14-$I$4+VLOOKUP($R37,武学奇术!$A:$ZZ,15,FALSE)+SUM(_xlfn.XLOOKUP($S37:$AL37,增益!$A:$A,增益!$O:$O,0)))/100)</f>
        <v>-0.3</v>
      </c>
      <c r="BN37" s="40" cm="1">
        <f t="array" ref="BN37">$G$14+VLOOKUP($R37,武学奇术!$A:$ZZ,16,FALSE)+SUM(_xlfn.XLOOKUP($S37:$AL37,增益!$A:$A,增益!$P:$P,0))</f>
        <v>0</v>
      </c>
      <c r="BO37" s="33">
        <f>MIN(IF(VLOOKUP($R37,武学奇术!$A:$ZZ,23,FALSE)=1,100%,$B$8),100%)</f>
        <v>0.9771</v>
      </c>
      <c r="BP37" s="33" cm="1">
        <f t="array" ref="BP37">IF(VLOOKUP($R37,武学奇术!$A:$ZZ,23,FALSE)=1,100%,MIN(80%,$B$9+VLOOKUP($R37,武学奇术!$A:$ZZ,17,FALSE)+SUM(_xlfn.XLOOKUP($S37:$AL37,增益!$A:$A,增益!$Q:$Q,0)))+$B$11+SUM(_xlfn.XLOOKUP($S37:$AL37,增益!$A:$A,增益!$U:$U,0)))*IF(VLOOKUP($R37,武学奇术!$A:$ZZ,24,FALSE)=1,0,1)</f>
        <v>0.8861</v>
      </c>
      <c r="BQ37" s="33" cm="1">
        <f t="array" ref="BQ37">1+$B$13+VLOOKUP($R37,武学奇术!$A:$ZZ,18,FALSE)+SUM(_xlfn.XLOOKUP($S37:$AL37,增益!$A:$A,增益!$R:$R,0))</f>
        <v>1.93</v>
      </c>
      <c r="BR37" s="33" cm="1">
        <f t="array" ref="BR37">IF(VLOOKUP($R37,武学奇术!$A:$ZZ,24,FALSE)=1,100%,MIN(40%,$B$10+VLOOKUP($R37,武学奇术!$A:$ZZ,19,FALSE)+SUM(_xlfn.XLOOKUP($S37:$AL37,增益!$A:$A,增益!$S:$S,0)))+$B$12+SUM(_xlfn.XLOOKUP($S37:$AL37,增益!$A:$A,增益!$V:$V,0)))*IF(VLOOKUP($R37,武学奇术!$A:$ZZ,23,FALSE)=1,0,1)</f>
        <v>0.0913</v>
      </c>
      <c r="BS37" s="33" cm="1">
        <f t="array" ref="BS37">1+$B$14+VLOOKUP($R37,武学奇术!$A:$ZZ,20,FALSE)+SUM(_xlfn.XLOOKUP($S37:$AL37,增益!$A:$A,增益!$T:$T,0))</f>
        <v>1.35</v>
      </c>
      <c r="BT37" s="33">
        <f t="shared" si="10"/>
        <v>0.86580831</v>
      </c>
      <c r="BU37" s="33">
        <f t="shared" si="11"/>
        <v>0.02208246</v>
      </c>
      <c r="BV37" s="33">
        <f>IF(VLOOKUP($R37,武学奇术!$A:$ZZ,22,FALSE)=1,0,(1-$BO37))*(1-$BR37)</f>
        <v>0.02080923</v>
      </c>
      <c r="BW37" s="33" cm="1">
        <f t="array" ref="BW37">SUM(_xlfn.XLOOKUP($S37:$AL37,增益!$A:$A,增益!$W:$W,0))+$I$5</f>
        <v>0.11</v>
      </c>
      <c r="BX37" s="33" cm="1">
        <f t="array" ref="BX37">VLOOKUP($R37,武学奇术!$A:$ZZ,32,FALSE)+SUM(_xlfn.XLOOKUP($S37:$AL37,增益!$A:$A,增益!$X:$X,0))</f>
        <v>0</v>
      </c>
    </row>
    <row r="38" spans="5:76">
      <c r="L38" s="46">
        <f t="shared" si="0"/>
        <v>63469.6279488114</v>
      </c>
      <c r="M38" s="46">
        <f>((($AT38+$AU38)/2*$AN38+$AO38)*(1+$AV38)*(1+$AW38)+(($AY38+$AZ38)/2*IF($G$1="鸣金",$AP38,$AN38)+IF($G$1="鸣金",$AQ38*1.5,0))*(1+$BA38)*(1+$BB38)+(($BC38+$BD38)/2*IF($G$1="裂石",$AP38,$AN38)+IF($G$1="裂石",$AQ38*1.5,0))*(1+$BE38)*(1+$BF38)+(($BG38+$BH38)/2*IF($G$1="牵丝",$AP38,$AN38)+IF($G$1="牵丝",$AQ38*1.5,0))*(1+$BI38)*(1+$BJ38)+(($BK38+$BL38)/2*IF($G$1="破竹",$AP38,$AN38)+IF($G$1="破竹",$AQ38*1.5,0))*(1+$BM38)*(1+$BN38))*(1+$AR38)*$BQ38*$Q38*(1+IF(VLOOKUP($R38,武学奇术!$A:$ZZ,30,FALSE)="蓄力技",$B$21,0))*(1+IF(VLOOKUP($R38,武学奇术!$A:$ZZ,30,FALSE)="派生技",$B$20,0))*(1+$BW38)*(1+$BX38)</f>
        <v>66395.8455002051</v>
      </c>
      <c r="N38" s="46">
        <f>(($AU38*$AN38+$AO38)*(1+$AV38)*(1+$AW38)+($AZ38*IF($G$1="鸣金",$AP38,$AN38)+IF($G$1="鸣金",$AQ38*1.5,0))*(1+$BA38)*(1+$BB38)+($BD38*IF($G$1="裂石",$AP38,$AN38)+IF($G$1="裂石",$AQ38*1.5,0))*(1+$BE38)*(1+$BF38)+($BH38*IF($G$1="牵丝",$AP38,$AN38)+IF($G$1="牵丝",$AQ38*1.5,0))*(1+$BI38)*(1+$BJ38)+($BL38*IF($G$1="破竹",$AP38,$AN38)+IF($G$1="破竹",$AQ38*1.5,0))*(1+$BM38)*(1+$BN38))*(1+$AR38)*$BS38*$Q38*(1+IF(VLOOKUP($R38,武学奇术!$A:$ZZ,30,FALSE)="蓄力技",$B$21,0))*(1+IF(VLOOKUP($R38,武学奇术!$A:$ZZ,30,FALSE)="派生技",$B$20,0))*(1+$BW38)*(1+$BX38)</f>
        <v>50700.6080875944</v>
      </c>
      <c r="O38" s="46">
        <f>((($AT38+$AU38)/2*$AN38+$AO38)*(1+$AV38)*(1+$AW38)+(($AY38+$AZ38)/2*IF($G$1="鸣金",$AP38,$AN38)+IF($G$1="鸣金",$AQ38*1.5,0))*(1+$BA38)*(1+$BB38)+(($BC38+$BD38)/2*IF($G$1="裂石",$AP38,$AN38)+IF($G$1="裂石",$AQ38*1.5,0))*(1+$BE38)*(1+$BF38)+(($BG38+$BH38)/2*IF($G$1="牵丝",$AP38,$AN38)+IF($G$1="牵丝",$AQ38*1.5,0))*(1+$BI38)*(1+$BJ38)+(($BK38+$BL38)/2*IF($G$1="破竹",$AP38,$AN38)+IF($G$1="破竹",$AQ38*1.5,0))*(1+$BM38)*(1+$BN38))*(1+$AR38)*$Q38*(1+IF(VLOOKUP($R38,武学奇术!$A:$ZZ,30,FALSE)="蓄力技",$B$21,0))*(1+IF(VLOOKUP($R38,武学奇术!$A:$ZZ,30,FALSE)="派生技",$B$20,0))*(1+$BW38)*(1+$BX38)</f>
        <v>33533.2553031339</v>
      </c>
      <c r="P38" s="46">
        <f>((($AT38*$AN38+$AO38)*(1+$AV38)*(1+$AW38)+($AY38*IF($G$1="鸣金",$AP38,$AN38)+IF($G$1="鸣金",$AQ38*1.5,0))*(1+$BA38)*(1+$BB38)+($BC38*IF($G$1="裂石",$AP38,$AN38)+IF($G$1="裂石",$AQ38*1.5,0))*(1+$BE38)*(1+$BF38)+($BG38*IF($G$1="牵丝",$AP38,$AN38)+IF($G$1="牵丝",$AQ38*1.5,0))*(1+$BI38)*(1+$BJ38)+($BK38*IF($G$1="破竹",$AP38,$AN38)+IF($G$1="破竹",$AQ38*1.5,0))*(1+$BM38)*(1+$BN38))*(1+$AR38))*$Q38*(1+IF(VLOOKUP($R38,武学奇术!$A:$ZZ,30,FALSE)="蓄力技",$B$21,0))*(1+IF(VLOOKUP($R38,武学奇术!$A:$ZZ,30,FALSE)="派生技",$B$20,0))*(1+$BW38)*(1+$BX38)</f>
        <v>29510.5046154571</v>
      </c>
      <c r="Q38" s="47">
        <f t="shared" si="13"/>
        <v>1</v>
      </c>
      <c r="R38" s="48" t="s">
        <v>119</v>
      </c>
      <c r="S38" s="48" t="s">
        <v>99</v>
      </c>
      <c r="T38" s="48" t="s">
        <v>178</v>
      </c>
      <c r="U38" s="48" t="s">
        <v>79</v>
      </c>
      <c r="V38" s="48" t="s">
        <v>80</v>
      </c>
      <c r="W38" s="48" t="s">
        <v>141</v>
      </c>
      <c r="X38" s="48" t="s">
        <v>80</v>
      </c>
      <c r="Y38" s="48" t="s">
        <v>74</v>
      </c>
      <c r="Z38" s="48" t="s">
        <v>80</v>
      </c>
      <c r="AA38" s="48" t="s">
        <v>80</v>
      </c>
      <c r="AB38" s="48" t="s">
        <v>80</v>
      </c>
      <c r="AC38" s="48" t="s">
        <v>80</v>
      </c>
      <c r="AD38" s="48" t="s">
        <v>80</v>
      </c>
      <c r="AE38" s="48" t="s">
        <v>80</v>
      </c>
      <c r="AF38" s="48" t="s">
        <v>83</v>
      </c>
      <c r="AG38" s="48" t="s">
        <v>84</v>
      </c>
      <c r="AH38" s="48" t="s">
        <v>80</v>
      </c>
      <c r="AI38" s="48" t="s">
        <v>80</v>
      </c>
      <c r="AJ38" s="48" t="s">
        <v>80</v>
      </c>
      <c r="AK38" s="48" t="s">
        <v>80</v>
      </c>
      <c r="AL38" s="48" t="s">
        <v>80</v>
      </c>
      <c r="AM38" t="str">
        <f>VLOOKUP($R38,武学奇术!$A:$ZZ,25,FALSE)</f>
        <v>横刀</v>
      </c>
      <c r="AN38" s="33">
        <f>VLOOKUP($R38,武学奇术!$A:$ZZ,26,FALSE)</f>
        <v>2.1324</v>
      </c>
      <c r="AO38" s="34">
        <f>VLOOKUP($R38,武学奇术!$A:$ZZ,27,FALSE)*(1+IF(OR($AM38=$F$4,$AM38=$F$5),$B$22,0))</f>
        <v>944</v>
      </c>
      <c r="AP38" s="33">
        <f>VLOOKUP($R38,武学奇术!$A:$ZZ,28,FALSE)</f>
        <v>3.1986</v>
      </c>
      <c r="AQ38" s="34">
        <f>VLOOKUP($R38,武学奇术!$A:$ZZ,29,FALSE)*(1+IF(OR($AM38=$F$4,$AM38=$F$5),$B$22,0))</f>
        <v>515.2</v>
      </c>
      <c r="AR38" s="33" cm="1">
        <f t="array" ref="AR38">$G$3+IFERROR(VLOOKUP($AM38,$F$4:$G$7,2,FALSE),0)+VLOOKUP($R38,武学奇术!$A:$ZZ,2,FALSE)+SUM(_xlfn.XLOOKUP($S38:$AL38,增益!$A:$A,增益!$B:$B,0))</f>
        <v>0.4489</v>
      </c>
      <c r="AS38" s="33" cm="1">
        <f t="array" ref="AS38">VLOOKUP($R38,武学奇术!$A:$ZZ,5,FALSE)+SUM(_xlfn.XLOOKUP($S38:$AL38,增益!$A:$A,增益!$E:$E,0))</f>
        <v>0</v>
      </c>
      <c r="AT38" cm="1">
        <f t="array" ref="AT38">$D$10*(1+$AS38)+VLOOKUP($R38,武学奇术!$A:$ZZ,3,FALSE)+SUM(_xlfn.XLOOKUP($S38:$AL38,增益!$A:$A,增益!$C:$C,0))-$I$2</f>
        <v>4026</v>
      </c>
      <c r="AU38" cm="1">
        <f t="array" ref="AU38">$E$10*(1+$AS38)+VLOOKUP($R38,武学奇术!$A:$ZZ,4,FALSE)+SUM(_xlfn.XLOOKUP($S38:$AL38,增益!$A:$A,增益!$D:$D,0))-$I$2</f>
        <v>4026</v>
      </c>
      <c r="AV38" s="40" cm="1">
        <f t="array" ref="AV38">IF($F$10-$I$3+VLOOKUP($R38,武学奇术!$A:$ZZ,6,FALSE)+SUM(_xlfn.XLOOKUP($S38:$AL38,增益!$A:$A,增益!$F:$F,0))&gt;0,($F$10-$I$3+VLOOKUP($R38,武学奇术!$A:$ZZ,6,FALSE)+SUM(_xlfn.XLOOKUP($S38:$AL38,增益!$A:$A,增益!$F:$F,0)))/200,($F$10-$I$3+VLOOKUP($R38,武学奇术!$A:$ZZ,6,FALSE)+SUM(_xlfn.XLOOKUP($S38:$AL38,增益!$A:$A,增益!$F:$F,0)))/100)</f>
        <v>0.3534</v>
      </c>
      <c r="AW38" s="40" cm="1">
        <f t="array" ref="AW38">$G$10+VLOOKUP($R38,武学奇术!$A:$ZZ,7,FALSE)+SUM(_xlfn.XLOOKUP($S38:$AL38,增益!$A:$A,增益!$G:$G,0))</f>
        <v>0.12</v>
      </c>
      <c r="AX38" s="33" cm="1">
        <f t="array" ref="AX38">VLOOKUP($R38,武学奇术!$A:$ZZ,8,FALSE)+SUM(_xlfn.XLOOKUP($S38:$AL38,增益!$A:$A,增益!$H:$H,0))</f>
        <v>0</v>
      </c>
      <c r="AY38">
        <f t="shared" si="2"/>
        <v>0</v>
      </c>
      <c r="AZ38">
        <f t="shared" si="3"/>
        <v>0</v>
      </c>
      <c r="BA38" s="40" cm="1">
        <f t="array" ref="BA38">IF($F$11-$I$4+VLOOKUP($R38,武学奇术!$A:$ZZ,9,FALSE)+SUM(_xlfn.XLOOKUP($S38:$AL38,增益!$A:$A,增益!$I:$I,0))&gt;0,($F$11-$I$4+VLOOKUP($R38,武学奇术!$A:$ZZ,9,FALSE)+SUM(_xlfn.XLOOKUP($S38:$AL38,增益!$A:$A,增益!$I:$I,0)))/200,($F$11-$I$4+VLOOKUP($R38,武学奇术!$A:$ZZ,9,FALSE)+SUM(_xlfn.XLOOKUP($S38:$AL38,增益!$A:$A,增益!$I:$I,0)))/100)</f>
        <v>-0.3</v>
      </c>
      <c r="BB38" s="40" cm="1">
        <f t="array" ref="BB38">$G$11+VLOOKUP($R38,武学奇术!$A:$ZZ,10,FALSE)+SUM(_xlfn.XLOOKUP($S38:$AL38,增益!$A:$A,增益!$J:$J,0))</f>
        <v>0</v>
      </c>
      <c r="BC38">
        <f t="shared" si="4"/>
        <v>640.3</v>
      </c>
      <c r="BD38">
        <f t="shared" si="5"/>
        <v>1770.1</v>
      </c>
      <c r="BE38" s="40" cm="1">
        <f t="array" ref="BE38">IF($F$12-$I$4+VLOOKUP($R38,武学奇术!$A:$ZZ,11,FALSE)+SUM(_xlfn.XLOOKUP($S38:$AL38,增益!$A:$A,增益!$K:$K,0))&gt;0,($F$12-$I$4+VLOOKUP($R38,武学奇术!$A:$ZZ,11,FALSE)+SUM(_xlfn.XLOOKUP($S38:$AL38,增益!$A:$A,增益!$K:$K,0)))/200,($F$12-$I$4+VLOOKUP($R38,武学奇术!$A:$ZZ,11,FALSE)+SUM(_xlfn.XLOOKUP($S38:$AL38,增益!$A:$A,增益!$K:$K,0)))/100)</f>
        <v>0.09</v>
      </c>
      <c r="BF38" s="40" cm="1">
        <f t="array" ref="BF38">$G$12+VLOOKUP($R38,武学奇术!$A:$ZZ,12,FALSE)+SUM(_xlfn.XLOOKUP($S38:$AL38,增益!$A:$A,增益!$L:$L,0))</f>
        <v>0.27</v>
      </c>
      <c r="BG38">
        <f t="shared" si="6"/>
        <v>0</v>
      </c>
      <c r="BH38">
        <f t="shared" si="7"/>
        <v>0</v>
      </c>
      <c r="BI38" s="40" cm="1">
        <f t="array" ref="BI38">IF($F$13-$I$4+VLOOKUP($R38,武学奇术!$A:$ZZ,13,FALSE)+SUM(_xlfn.XLOOKUP($S38:$AL38,增益!$A:$A,增益!$M:$M,0))&gt;0,($F$13-$I$4+VLOOKUP($R38,武学奇术!$A:$ZZ,13,FALSE)+SUM(_xlfn.XLOOKUP($S38:$AL38,增益!$A:$A,增益!$K:$K,0)))/200,($F$13-$I$4+VLOOKUP($R38,武学奇术!$A:$ZZ,13,FALSE)+SUM(_xlfn.XLOOKUP($S38:$AL38,增益!$A:$A,增益!$M:$M,0)))/100)</f>
        <v>-0.3</v>
      </c>
      <c r="BJ38" s="40" cm="1">
        <f t="array" ref="BJ38">$G$13+VLOOKUP($R38,武学奇术!$A:$ZZ,14,FALSE)+SUM(_xlfn.XLOOKUP($S38:$AL38,增益!$A:$A,增益!$N:$N,0))</f>
        <v>0</v>
      </c>
      <c r="BK38">
        <f t="shared" si="8"/>
        <v>0</v>
      </c>
      <c r="BL38">
        <f t="shared" si="9"/>
        <v>0</v>
      </c>
      <c r="BM38" s="40" cm="1">
        <f t="array" ref="BM38">IF($F$14-$I$4+VLOOKUP($R38,武学奇术!$A:$ZZ,15,FALSE)+SUM(_xlfn.XLOOKUP($S38:$AL38,增益!$A:$A,增益!$O:$O,0))&gt;0,($F$14-$I$4+VLOOKUP($R38,武学奇术!$A:$ZZ,15,FALSE)+SUM(_xlfn.XLOOKUP($S38:$AL38,增益!$A:$A,增益!$O:$O,0)))/200,($F$14-$I$4+VLOOKUP($R38,武学奇术!$A:$ZZ,15,FALSE)+SUM(_xlfn.XLOOKUP($S38:$AL38,增益!$A:$A,增益!$O:$O,0)))/100)</f>
        <v>-0.3</v>
      </c>
      <c r="BN38" s="40" cm="1">
        <f t="array" ref="BN38">$G$14+VLOOKUP($R38,武学奇术!$A:$ZZ,16,FALSE)+SUM(_xlfn.XLOOKUP($S38:$AL38,增益!$A:$A,增益!$P:$P,0))</f>
        <v>0</v>
      </c>
      <c r="BO38" s="33">
        <f>MIN(IF(VLOOKUP($R38,武学奇术!$A:$ZZ,23,FALSE)=1,100%,$B$8),100%)</f>
        <v>0.9771</v>
      </c>
      <c r="BP38" s="33" cm="1">
        <f t="array" ref="BP38">IF(VLOOKUP($R38,武学奇术!$A:$ZZ,23,FALSE)=1,100%,MIN(80%,$B$9+VLOOKUP($R38,武学奇术!$A:$ZZ,17,FALSE)+SUM(_xlfn.XLOOKUP($S38:$AL38,增益!$A:$A,增益!$Q:$Q,0)))+$B$11+SUM(_xlfn.XLOOKUP($S38:$AL38,增益!$A:$A,增益!$U:$U,0)))*IF(VLOOKUP($R38,武学奇术!$A:$ZZ,24,FALSE)=1,0,1)</f>
        <v>0.8861</v>
      </c>
      <c r="BQ38" s="33" cm="1">
        <f t="array" ref="BQ38">1+$B$13+VLOOKUP($R38,武学奇术!$A:$ZZ,18,FALSE)+SUM(_xlfn.XLOOKUP($S38:$AL38,增益!$A:$A,增益!$R:$R,0))</f>
        <v>1.98</v>
      </c>
      <c r="BR38" s="33" cm="1">
        <f t="array" ref="BR38">IF(VLOOKUP($R38,武学奇术!$A:$ZZ,24,FALSE)=1,100%,MIN(40%,$B$10+VLOOKUP($R38,武学奇术!$A:$ZZ,19,FALSE)+SUM(_xlfn.XLOOKUP($S38:$AL38,增益!$A:$A,增益!$S:$S,0)))+$B$12+SUM(_xlfn.XLOOKUP($S38:$AL38,增益!$A:$A,增益!$V:$V,0)))*IF(VLOOKUP($R38,武学奇术!$A:$ZZ,23,FALSE)=1,0,1)</f>
        <v>0.0913</v>
      </c>
      <c r="BS38" s="33" cm="1">
        <f t="array" ref="BS38">1+$B$14+VLOOKUP($R38,武学奇术!$A:$ZZ,20,FALSE)+SUM(_xlfn.XLOOKUP($S38:$AL38,增益!$A:$A,增益!$T:$T,0))</f>
        <v>1.35</v>
      </c>
      <c r="BT38" s="33">
        <f t="shared" si="10"/>
        <v>0.86580831</v>
      </c>
      <c r="BU38" s="33">
        <f t="shared" si="11"/>
        <v>0.02208246</v>
      </c>
      <c r="BV38" s="33">
        <f>IF(VLOOKUP($R38,武学奇术!$A:$ZZ,22,FALSE)=1,0,(1-$BO38))*(1-$BR38)</f>
        <v>0.02080923</v>
      </c>
      <c r="BW38" s="33" cm="1">
        <f t="array" ref="BW38">SUM(_xlfn.XLOOKUP($S38:$AL38,增益!$A:$A,增益!$W:$W,0))+$I$5</f>
        <v>0.11</v>
      </c>
      <c r="BX38" s="33" cm="1">
        <f t="array" ref="BX38">VLOOKUP($R38,武学奇术!$A:$ZZ,32,FALSE)+SUM(_xlfn.XLOOKUP($S38:$AL38,增益!$A:$A,增益!$X:$X,0))</f>
        <v>0</v>
      </c>
    </row>
    <row r="39" spans="5:76">
      <c r="E39" s="4"/>
      <c r="F39" s="4"/>
      <c r="L39" s="46">
        <f t="shared" si="0"/>
        <v>41551.7273190214</v>
      </c>
      <c r="M39" s="46">
        <f>((($AT39+$AU39)/2*$AN39+$AO39)*(1+$AV39)*(1+$AW39)+(($AY39+$AZ39)/2*IF($G$1="鸣金",$AP39,$AN39)+IF($G$1="鸣金",$AQ39*1.5,0))*(1+$BA39)*(1+$BB39)+(($BC39+$BD39)/2*IF($G$1="裂石",$AP39,$AN39)+IF($G$1="裂石",$AQ39*1.5,0))*(1+$BE39)*(1+$BF39)+(($BG39+$BH39)/2*IF($G$1="牵丝",$AP39,$AN39)+IF($G$1="牵丝",$AQ39*1.5,0))*(1+$BI39)*(1+$BJ39)+(($BK39+$BL39)/2*IF($G$1="破竹",$AP39,$AN39)+IF($G$1="破竹",$AQ39*1.5,0))*(1+$BM39)*(1+$BN39))*(1+$AR39)*$BQ39*$Q39*(1+IF(VLOOKUP($R39,武学奇术!$A:$ZZ,30,FALSE)="蓄力技",$B$21,0))*(1+IF(VLOOKUP($R39,武学奇术!$A:$ZZ,30,FALSE)="派生技",$B$20,0))*(1+$BW39)*(1+$BX39)</f>
        <v>43412.6989387489</v>
      </c>
      <c r="N39" s="46">
        <f>(($AU39*$AN39+$AO39)*(1+$AV39)*(1+$AW39)+($AZ39*IF($G$1="鸣金",$AP39,$AN39)+IF($G$1="鸣金",$AQ39*1.5,0))*(1+$BA39)*(1+$BB39)+($BD39*IF($G$1="裂石",$AP39,$AN39)+IF($G$1="裂石",$AQ39*1.5,0))*(1+$BE39)*(1+$BF39)+($BH39*IF($G$1="牵丝",$AP39,$AN39)+IF($G$1="牵丝",$AQ39*1.5,0))*(1+$BI39)*(1+$BJ39)+($BL39*IF($G$1="破竹",$AP39,$AN39)+IF($G$1="破竹",$AQ39*1.5,0))*(1+$BM39)*(1+$BN39))*(1+$AR39)*$BS39*$Q39*(1+IF(VLOOKUP($R39,武学奇术!$A:$ZZ,30,FALSE)="蓄力技",$B$21,0))*(1+IF(VLOOKUP($R39,武学奇术!$A:$ZZ,30,FALSE)="派生技",$B$20,0))*(1+$BW39)*(1+$BX39)</f>
        <v>33839.9552860611</v>
      </c>
      <c r="O39" s="46">
        <f>((($AT39+$AU39)/2*$AN39+$AO39)*(1+$AV39)*(1+$AW39)+(($AY39+$AZ39)/2*IF($G$1="鸣金",$AP39,$AN39)+IF($G$1="鸣金",$AQ39*1.5,0))*(1+$BA39)*(1+$BB39)+(($BC39+$BD39)/2*IF($G$1="裂石",$AP39,$AN39)+IF($G$1="裂石",$AQ39*1.5,0))*(1+$BE39)*(1+$BF39)+(($BG39+$BH39)/2*IF($G$1="牵丝",$AP39,$AN39)+IF($G$1="牵丝",$AQ39*1.5,0))*(1+$BI39)*(1+$BJ39)+(($BK39+$BL39)/2*IF($G$1="破竹",$AP39,$AN39)+IF($G$1="破竹",$AQ39*1.5,0))*(1+$BM39)*(1+$BN39))*(1+$AR39)*$Q39*(1+IF(VLOOKUP($R39,武学奇术!$A:$ZZ,30,FALSE)="蓄力技",$B$21,0))*(1+IF(VLOOKUP($R39,武学奇术!$A:$ZZ,30,FALSE)="派生技",$B$20,0))*(1+$BW39)*(1+$BX39)</f>
        <v>21925.6055246207</v>
      </c>
      <c r="P39" s="46">
        <f>((($AT39*$AN39+$AO39)*(1+$AV39)*(1+$AW39)+($AY39*IF($G$1="鸣金",$AP39,$AN39)+IF($G$1="鸣金",$AQ39*1.5,0))*(1+$BA39)*(1+$BB39)+($BC39*IF($G$1="裂石",$AP39,$AN39)+IF($G$1="裂石",$AQ39*1.5,0))*(1+$BE39)*(1+$BF39)+($BG39*IF($G$1="牵丝",$AP39,$AN39)+IF($G$1="牵丝",$AQ39*1.5,0))*(1+$BI39)*(1+$BJ39)+($BK39*IF($G$1="破竹",$AP39,$AN39)+IF($G$1="破竹",$AQ39*1.5,0))*(1+$BM39)*(1+$BN39))*(1+$AR39))*$Q39*(1+IF(VLOOKUP($R39,武学奇术!$A:$ZZ,30,FALSE)="蓄力技",$B$21,0))*(1+IF(VLOOKUP($R39,武学奇术!$A:$ZZ,30,FALSE)="派生技",$B$20,0))*(1+$BW39)*(1+$BX39)</f>
        <v>18784.5775040109</v>
      </c>
      <c r="Q39" s="47">
        <f t="shared" si="13"/>
        <v>1</v>
      </c>
      <c r="R39" s="48" t="s">
        <v>122</v>
      </c>
      <c r="S39" s="48" t="s">
        <v>99</v>
      </c>
      <c r="T39" s="48" t="s">
        <v>178</v>
      </c>
      <c r="U39" s="48" t="s">
        <v>79</v>
      </c>
      <c r="V39" s="48" t="s">
        <v>90</v>
      </c>
      <c r="W39" s="48" t="s">
        <v>141</v>
      </c>
      <c r="X39" s="48" t="s">
        <v>80</v>
      </c>
      <c r="Y39" s="48" t="s">
        <v>74</v>
      </c>
      <c r="Z39" s="48" t="s">
        <v>80</v>
      </c>
      <c r="AA39" s="48" t="s">
        <v>80</v>
      </c>
      <c r="AB39" s="48" t="s">
        <v>80</v>
      </c>
      <c r="AC39" s="48" t="s">
        <v>80</v>
      </c>
      <c r="AD39" s="48" t="s">
        <v>80</v>
      </c>
      <c r="AE39" s="48" t="s">
        <v>80</v>
      </c>
      <c r="AF39" s="48" t="s">
        <v>83</v>
      </c>
      <c r="AG39" s="48" t="s">
        <v>84</v>
      </c>
      <c r="AH39" s="48" t="s">
        <v>80</v>
      </c>
      <c r="AI39" s="48" t="s">
        <v>80</v>
      </c>
      <c r="AJ39" s="48" t="s">
        <v>80</v>
      </c>
      <c r="AK39" s="48" t="s">
        <v>80</v>
      </c>
      <c r="AL39" s="48" t="s">
        <v>80</v>
      </c>
      <c r="AM39" t="str">
        <f>VLOOKUP($R39,武学奇术!$A:$ZZ,25,FALSE)</f>
        <v>横刀</v>
      </c>
      <c r="AN39" s="33">
        <f>VLOOKUP($R39,武学奇术!$A:$ZZ,26,FALSE)</f>
        <v>1.47</v>
      </c>
      <c r="AO39" s="34">
        <f>VLOOKUP($R39,武学奇术!$A:$ZZ,27,FALSE)*(1+IF(OR($AM39=$F$4,$AM39=$F$5),$B$22,0))</f>
        <v>0</v>
      </c>
      <c r="AP39" s="33">
        <f>VLOOKUP($R39,武学奇术!$A:$ZZ,28,FALSE)</f>
        <v>2.205</v>
      </c>
      <c r="AQ39" s="34">
        <f>VLOOKUP($R39,武学奇术!$A:$ZZ,29,FALSE)*(1+IF(OR($AM39=$F$4,$AM39=$F$5),$B$22,0))</f>
        <v>0</v>
      </c>
      <c r="AR39" s="33" cm="1">
        <f t="array" ref="AR39">$G$3+IFERROR(VLOOKUP($AM39,$F$4:$G$7,2,FALSE),0)+VLOOKUP($R39,武学奇术!$A:$ZZ,2,FALSE)+SUM(_xlfn.XLOOKUP($S39:$AL39,增益!$A:$A,增益!$B:$B,0))</f>
        <v>0.5289</v>
      </c>
      <c r="AS39" s="33" cm="1">
        <f t="array" ref="AS39">VLOOKUP($R39,武学奇术!$A:$ZZ,5,FALSE)+SUM(_xlfn.XLOOKUP($S39:$AL39,增益!$A:$A,增益!$E:$E,0))</f>
        <v>0</v>
      </c>
      <c r="AT39" cm="1">
        <f t="array" ref="AT39">$D$10*(1+$AS39)+VLOOKUP($R39,武学奇术!$A:$ZZ,3,FALSE)+SUM(_xlfn.XLOOKUP($S39:$AL39,增益!$A:$A,增益!$C:$C,0))-$I$2</f>
        <v>4026</v>
      </c>
      <c r="AU39" cm="1">
        <f t="array" ref="AU39">$E$10*(1+$AS39)+VLOOKUP($R39,武学奇术!$A:$ZZ,4,FALSE)+SUM(_xlfn.XLOOKUP($S39:$AL39,增益!$A:$A,增益!$D:$D,0))-$I$2</f>
        <v>4026</v>
      </c>
      <c r="AV39" s="40" cm="1">
        <f t="array" ref="AV39">IF($F$10-$I$3+VLOOKUP($R39,武学奇术!$A:$ZZ,6,FALSE)+SUM(_xlfn.XLOOKUP($S39:$AL39,增益!$A:$A,增益!$F:$F,0))&gt;0,($F$10-$I$3+VLOOKUP($R39,武学奇术!$A:$ZZ,6,FALSE)+SUM(_xlfn.XLOOKUP($S39:$AL39,增益!$A:$A,增益!$F:$F,0)))/200,($F$10-$I$3+VLOOKUP($R39,武学奇术!$A:$ZZ,6,FALSE)+SUM(_xlfn.XLOOKUP($S39:$AL39,增益!$A:$A,增益!$F:$F,0)))/100)</f>
        <v>0.3534</v>
      </c>
      <c r="AW39" s="40" cm="1">
        <f t="array" ref="AW39">$G$10+VLOOKUP($R39,武学奇术!$A:$ZZ,7,FALSE)+SUM(_xlfn.XLOOKUP($S39:$AL39,增益!$A:$A,增益!$G:$G,0))</f>
        <v>0.12</v>
      </c>
      <c r="AX39" s="33" cm="1">
        <f t="array" ref="AX39">VLOOKUP($R39,武学奇术!$A:$ZZ,8,FALSE)+SUM(_xlfn.XLOOKUP($S39:$AL39,增益!$A:$A,增益!$H:$H,0))</f>
        <v>0</v>
      </c>
      <c r="AY39">
        <f t="shared" si="2"/>
        <v>0</v>
      </c>
      <c r="AZ39">
        <f t="shared" si="3"/>
        <v>0</v>
      </c>
      <c r="BA39" s="40" cm="1">
        <f t="array" ref="BA39">IF($F$11-$I$4+VLOOKUP($R39,武学奇术!$A:$ZZ,9,FALSE)+SUM(_xlfn.XLOOKUP($S39:$AL39,增益!$A:$A,增益!$I:$I,0))&gt;0,($F$11-$I$4+VLOOKUP($R39,武学奇术!$A:$ZZ,9,FALSE)+SUM(_xlfn.XLOOKUP($S39:$AL39,增益!$A:$A,增益!$I:$I,0)))/200,($F$11-$I$4+VLOOKUP($R39,武学奇术!$A:$ZZ,9,FALSE)+SUM(_xlfn.XLOOKUP($S39:$AL39,增益!$A:$A,增益!$I:$I,0)))/100)</f>
        <v>-0.14</v>
      </c>
      <c r="BB39" s="40" cm="1">
        <f t="array" ref="BB39">$G$11+VLOOKUP($R39,武学奇术!$A:$ZZ,10,FALSE)+SUM(_xlfn.XLOOKUP($S39:$AL39,增益!$A:$A,增益!$J:$J,0))</f>
        <v>0</v>
      </c>
      <c r="BC39">
        <f t="shared" si="4"/>
        <v>640.3</v>
      </c>
      <c r="BD39">
        <f t="shared" si="5"/>
        <v>1770.1</v>
      </c>
      <c r="BE39" s="40" cm="1">
        <f t="array" ref="BE39">IF($F$12-$I$4+VLOOKUP($R39,武学奇术!$A:$ZZ,11,FALSE)+SUM(_xlfn.XLOOKUP($S39:$AL39,增益!$A:$A,增益!$K:$K,0))&gt;0,($F$12-$I$4+VLOOKUP($R39,武学奇术!$A:$ZZ,11,FALSE)+SUM(_xlfn.XLOOKUP($S39:$AL39,增益!$A:$A,增益!$K:$K,0)))/200,($F$12-$I$4+VLOOKUP($R39,武学奇术!$A:$ZZ,11,FALSE)+SUM(_xlfn.XLOOKUP($S39:$AL39,增益!$A:$A,增益!$K:$K,0)))/100)</f>
        <v>0.17</v>
      </c>
      <c r="BF39" s="40" cm="1">
        <f t="array" ref="BF39">$G$12+VLOOKUP($R39,武学奇术!$A:$ZZ,12,FALSE)+SUM(_xlfn.XLOOKUP($S39:$AL39,增益!$A:$A,增益!$L:$L,0))</f>
        <v>0.27</v>
      </c>
      <c r="BG39">
        <f t="shared" si="6"/>
        <v>0</v>
      </c>
      <c r="BH39">
        <f t="shared" si="7"/>
        <v>0</v>
      </c>
      <c r="BI39" s="40" cm="1">
        <f t="array" ref="BI39">IF($F$13-$I$4+VLOOKUP($R39,武学奇术!$A:$ZZ,13,FALSE)+SUM(_xlfn.XLOOKUP($S39:$AL39,增益!$A:$A,增益!$M:$M,0))&gt;0,($F$13-$I$4+VLOOKUP($R39,武学奇术!$A:$ZZ,13,FALSE)+SUM(_xlfn.XLOOKUP($S39:$AL39,增益!$A:$A,增益!$K:$K,0)))/200,($F$13-$I$4+VLOOKUP($R39,武学奇术!$A:$ZZ,13,FALSE)+SUM(_xlfn.XLOOKUP($S39:$AL39,增益!$A:$A,增益!$M:$M,0)))/100)</f>
        <v>-0.14</v>
      </c>
      <c r="BJ39" s="40" cm="1">
        <f t="array" ref="BJ39">$G$13+VLOOKUP($R39,武学奇术!$A:$ZZ,14,FALSE)+SUM(_xlfn.XLOOKUP($S39:$AL39,增益!$A:$A,增益!$N:$N,0))</f>
        <v>0</v>
      </c>
      <c r="BK39">
        <f t="shared" si="8"/>
        <v>0</v>
      </c>
      <c r="BL39">
        <f t="shared" si="9"/>
        <v>0</v>
      </c>
      <c r="BM39" s="40" cm="1">
        <f t="array" ref="BM39">IF($F$14-$I$4+VLOOKUP($R39,武学奇术!$A:$ZZ,15,FALSE)+SUM(_xlfn.XLOOKUP($S39:$AL39,增益!$A:$A,增益!$O:$O,0))&gt;0,($F$14-$I$4+VLOOKUP($R39,武学奇术!$A:$ZZ,15,FALSE)+SUM(_xlfn.XLOOKUP($S39:$AL39,增益!$A:$A,增益!$O:$O,0)))/200,($F$14-$I$4+VLOOKUP($R39,武学奇术!$A:$ZZ,15,FALSE)+SUM(_xlfn.XLOOKUP($S39:$AL39,增益!$A:$A,增益!$O:$O,0)))/100)</f>
        <v>-0.14</v>
      </c>
      <c r="BN39" s="40" cm="1">
        <f t="array" ref="BN39">$G$14+VLOOKUP($R39,武学奇术!$A:$ZZ,16,FALSE)+SUM(_xlfn.XLOOKUP($S39:$AL39,增益!$A:$A,增益!$P:$P,0))</f>
        <v>0</v>
      </c>
      <c r="BO39" s="33">
        <f>MIN(IF(VLOOKUP($R39,武学奇术!$A:$ZZ,23,FALSE)=1,100%,$B$8),100%)</f>
        <v>0.9771</v>
      </c>
      <c r="BP39" s="33" cm="1">
        <f t="array" ref="BP39">IF(VLOOKUP($R39,武学奇术!$A:$ZZ,23,FALSE)=1,100%,MIN(80%,$B$9+VLOOKUP($R39,武学奇术!$A:$ZZ,17,FALSE)+SUM(_xlfn.XLOOKUP($S39:$AL39,增益!$A:$A,增益!$Q:$Q,0)))+$B$11+SUM(_xlfn.XLOOKUP($S39:$AL39,增益!$A:$A,增益!$U:$U,0)))*IF(VLOOKUP($R39,武学奇术!$A:$ZZ,24,FALSE)=1,0,1)</f>
        <v>0.8861</v>
      </c>
      <c r="BQ39" s="33" cm="1">
        <f t="array" ref="BQ39">1+$B$13+VLOOKUP($R39,武学奇术!$A:$ZZ,18,FALSE)+SUM(_xlfn.XLOOKUP($S39:$AL39,增益!$A:$A,增益!$R:$R,0))</f>
        <v>1.98</v>
      </c>
      <c r="BR39" s="33" cm="1">
        <f t="array" ref="BR39">IF(VLOOKUP($R39,武学奇术!$A:$ZZ,24,FALSE)=1,100%,MIN(40%,$B$10+VLOOKUP($R39,武学奇术!$A:$ZZ,19,FALSE)+SUM(_xlfn.XLOOKUP($S39:$AL39,增益!$A:$A,增益!$S:$S,0)))+$B$12+SUM(_xlfn.XLOOKUP($S39:$AL39,增益!$A:$A,增益!$V:$V,0)))*IF(VLOOKUP($R39,武学奇术!$A:$ZZ,23,FALSE)=1,0,1)</f>
        <v>0.0913</v>
      </c>
      <c r="BS39" s="33" cm="1">
        <f t="array" ref="BS39">1+$B$14+VLOOKUP($R39,武学奇术!$A:$ZZ,20,FALSE)+SUM(_xlfn.XLOOKUP($S39:$AL39,增益!$A:$A,增益!$T:$T,0))</f>
        <v>1.35</v>
      </c>
      <c r="BT39" s="33">
        <f t="shared" si="10"/>
        <v>0.86580831</v>
      </c>
      <c r="BU39" s="33">
        <f t="shared" si="11"/>
        <v>0.02208246</v>
      </c>
      <c r="BV39" s="33">
        <f>IF(VLOOKUP($R39,武学奇术!$A:$ZZ,22,FALSE)=1,0,(1-$BO39))*(1-$BR39)</f>
        <v>0.02080923</v>
      </c>
      <c r="BW39" s="33" cm="1">
        <f t="array" ref="BW39">SUM(_xlfn.XLOOKUP($S39:$AL39,增益!$A:$A,增益!$W:$W,0))+$I$5</f>
        <v>0.11</v>
      </c>
      <c r="BX39" s="33" cm="1">
        <f t="array" ref="BX39">VLOOKUP($R39,武学奇术!$A:$ZZ,32,FALSE)+SUM(_xlfn.XLOOKUP($S39:$AL39,增益!$A:$A,增益!$X:$X,0))</f>
        <v>0</v>
      </c>
    </row>
    <row r="40" spans="5:76">
      <c r="L40" s="46">
        <f t="shared" si="0"/>
        <v>20786.7749573389</v>
      </c>
      <c r="M40" s="46">
        <f>((($AT40+$AU40)/2*$AN40+$AO40)*(1+$AV40)*(1+$AW40)+(($AY40+$AZ40)/2*IF($G$1="鸣金",$AP40,$AN40)+IF($G$1="鸣金",$AQ40*1.5,0))*(1+$BA40)*(1+$BB40)+(($BC40+$BD40)/2*IF($G$1="裂石",$AP40,$AN40)+IF($G$1="裂石",$AQ40*1.5,0))*(1+$BE40)*(1+$BF40)+(($BG40+$BH40)/2*IF($G$1="牵丝",$AP40,$AN40)+IF($G$1="牵丝",$AQ40*1.5,0))*(1+$BI40)*(1+$BJ40)+(($BK40+$BL40)/2*IF($G$1="破竹",$AP40,$AN40)+IF($G$1="破竹",$AQ40*1.5,0))*(1+$BM40)*(1+$BN40))*(1+$AR40)*$BQ40*$Q40*(1+IF(VLOOKUP($R40,武学奇术!$A:$ZZ,30,FALSE)="蓄力技",$B$21,0))*(1+IF(VLOOKUP($R40,武学奇术!$A:$ZZ,30,FALSE)="派生技",$B$20,0))*(1+$BW40)*(1+$BX40)</f>
        <v>21728.167489407</v>
      </c>
      <c r="N40" s="46">
        <f>(($AU40*$AN40+$AO40)*(1+$AV40)*(1+$AW40)+($AZ40*IF($G$1="鸣金",$AP40,$AN40)+IF($G$1="鸣金",$AQ40*1.5,0))*(1+$BA40)*(1+$BB40)+($BD40*IF($G$1="裂石",$AP40,$AN40)+IF($G$1="裂石",$AQ40*1.5,0))*(1+$BE40)*(1+$BF40)+($BH40*IF($G$1="牵丝",$AP40,$AN40)+IF($G$1="牵丝",$AQ40*1.5,0))*(1+$BI40)*(1+$BJ40)+($BL40*IF($G$1="破竹",$AP40,$AN40)+IF($G$1="破竹",$AQ40*1.5,0))*(1+$BM40)*(1+$BN40))*(1+$AR40)*$BS40*$Q40*(1+IF(VLOOKUP($R40,武学奇术!$A:$ZZ,30,FALSE)="蓄力技",$B$21,0))*(1+IF(VLOOKUP($R40,武学奇术!$A:$ZZ,30,FALSE)="派生技",$B$20,0))*(1+$BW40)*(1+$BX40)</f>
        <v>16851.8741915363</v>
      </c>
      <c r="O40" s="46">
        <f>((($AT40+$AU40)/2*$AN40+$AO40)*(1+$AV40)*(1+$AW40)+(($AY40+$AZ40)/2*IF($G$1="鸣金",$AP40,$AN40)+IF($G$1="鸣金",$AQ40*1.5,0))*(1+$BA40)*(1+$BB40)+(($BC40+$BD40)/2*IF($G$1="裂石",$AP40,$AN40)+IF($G$1="裂石",$AQ40*1.5,0))*(1+$BE40)*(1+$BF40)+(($BG40+$BH40)/2*IF($G$1="牵丝",$AP40,$AN40)+IF($G$1="牵丝",$AQ40*1.5,0))*(1+$BI40)*(1+$BJ40)+(($BK40+$BL40)/2*IF($G$1="破竹",$AP40,$AN40)+IF($G$1="破竹",$AQ40*1.5,0))*(1+$BM40)*(1+$BN40))*(1+$AR40)*$Q40*(1+IF(VLOOKUP($R40,武学奇术!$A:$ZZ,30,FALSE)="蓄力技",$B$21,0))*(1+IF(VLOOKUP($R40,武学奇术!$A:$ZZ,30,FALSE)="派生技",$B$20,0))*(1+$BW40)*(1+$BX40)</f>
        <v>10918.6771303553</v>
      </c>
      <c r="P40" s="46">
        <f>((($AT40*$AN40+$AO40)*(1+$AV40)*(1+$AW40)+($AY40*IF($G$1="鸣金",$AP40,$AN40)+IF($G$1="鸣金",$AQ40*1.5,0))*(1+$BA40)*(1+$BB40)+($BC40*IF($G$1="裂石",$AP40,$AN40)+IF($G$1="裂石",$AQ40*1.5,0))*(1+$BE40)*(1+$BF40)+($BG40*IF($G$1="牵丝",$AP40,$AN40)+IF($G$1="牵丝",$AQ40*1.5,0))*(1+$BI40)*(1+$BJ40)+($BK40*IF($G$1="破竹",$AP40,$AN40)+IF($G$1="破竹",$AQ40*1.5,0))*(1+$BM40)*(1+$BN40))*(1+$AR40))*$Q40*(1+IF(VLOOKUP($R40,武学奇术!$A:$ZZ,30,FALSE)="蓄力技",$B$21,0))*(1+IF(VLOOKUP($R40,武学奇术!$A:$ZZ,30,FALSE)="派生技",$B$20,0))*(1+$BW40)*(1+$BX40)</f>
        <v>9354.48448920223</v>
      </c>
      <c r="Q40" s="47">
        <f t="shared" si="13"/>
        <v>1</v>
      </c>
      <c r="R40" s="48" t="s">
        <v>140</v>
      </c>
      <c r="S40" s="48" t="s">
        <v>99</v>
      </c>
      <c r="T40" s="48" t="s">
        <v>181</v>
      </c>
      <c r="U40" s="48" t="s">
        <v>79</v>
      </c>
      <c r="V40" s="48" t="s">
        <v>90</v>
      </c>
      <c r="W40" s="48" t="s">
        <v>141</v>
      </c>
      <c r="X40" s="48" t="s">
        <v>80</v>
      </c>
      <c r="Y40" s="48" t="s">
        <v>74</v>
      </c>
      <c r="Z40" s="48" t="s">
        <v>80</v>
      </c>
      <c r="AA40" s="48" t="s">
        <v>80</v>
      </c>
      <c r="AB40" s="48" t="s">
        <v>80</v>
      </c>
      <c r="AC40" s="48" t="s">
        <v>80</v>
      </c>
      <c r="AD40" s="48" t="s">
        <v>80</v>
      </c>
      <c r="AE40" s="48" t="s">
        <v>80</v>
      </c>
      <c r="AF40" s="48" t="s">
        <v>83</v>
      </c>
      <c r="AG40" s="48" t="s">
        <v>84</v>
      </c>
      <c r="AH40" s="48" t="s">
        <v>80</v>
      </c>
      <c r="AI40" s="48" t="s">
        <v>80</v>
      </c>
      <c r="AJ40" s="48" t="s">
        <v>80</v>
      </c>
      <c r="AK40" s="48" t="s">
        <v>80</v>
      </c>
      <c r="AL40" s="48" t="s">
        <v>80</v>
      </c>
      <c r="AM40" t="str">
        <f>VLOOKUP($R40,武学奇术!$A:$ZZ,25,FALSE)</f>
        <v>陌刀</v>
      </c>
      <c r="AN40" s="33">
        <f>VLOOKUP($R40,武学奇术!$A:$ZZ,26,FALSE)</f>
        <v>0.525</v>
      </c>
      <c r="AO40" s="34">
        <f>VLOOKUP($R40,武学奇术!$A:$ZZ,27,FALSE)*(1+IF(OR($AM40=$F$4,$AM40=$F$5),$B$22,0))</f>
        <v>0</v>
      </c>
      <c r="AP40" s="33">
        <f>VLOOKUP($R40,武学奇术!$A:$ZZ,28,FALSE)</f>
        <v>0.7875</v>
      </c>
      <c r="AQ40" s="34">
        <f>VLOOKUP($R40,武学奇术!$A:$ZZ,29,FALSE)*(1+IF(OR($AM40=$F$4,$AM40=$F$5),$B$22,0))</f>
        <v>0</v>
      </c>
      <c r="AR40" s="33" cm="1">
        <f t="array" ref="AR40">$G$3+IFERROR(VLOOKUP($AM40,$F$4:$G$7,2,FALSE),0)+VLOOKUP($R40,武学奇术!$A:$ZZ,2,FALSE)+SUM(_xlfn.XLOOKUP($S40:$AL40,增益!$A:$A,增益!$B:$B,0))</f>
        <v>0.6143</v>
      </c>
      <c r="AS40" s="33" cm="1">
        <f t="array" ref="AS40">VLOOKUP($R40,武学奇术!$A:$ZZ,5,FALSE)+SUM(_xlfn.XLOOKUP($S40:$AL40,增益!$A:$A,增益!$E:$E,0))</f>
        <v>0</v>
      </c>
      <c r="AT40" cm="1">
        <f t="array" ref="AT40">$D$10*(1+$AS40)+VLOOKUP($R40,武学奇术!$A:$ZZ,3,FALSE)+SUM(_xlfn.XLOOKUP($S40:$AL40,增益!$A:$A,增益!$C:$C,0))-$I$2</f>
        <v>4026</v>
      </c>
      <c r="AU40" cm="1">
        <f t="array" ref="AU40">$E$10*(1+$AS40)+VLOOKUP($R40,武学奇术!$A:$ZZ,4,FALSE)+SUM(_xlfn.XLOOKUP($S40:$AL40,增益!$A:$A,增益!$D:$D,0))-$I$2</f>
        <v>4026</v>
      </c>
      <c r="AV40" s="40" cm="1">
        <f t="array" ref="AV40">IF($F$10-$I$3+VLOOKUP($R40,武学奇术!$A:$ZZ,6,FALSE)+SUM(_xlfn.XLOOKUP($S40:$AL40,增益!$A:$A,增益!$F:$F,0))&gt;0,($F$10-$I$3+VLOOKUP($R40,武学奇术!$A:$ZZ,6,FALSE)+SUM(_xlfn.XLOOKUP($S40:$AL40,增益!$A:$A,增益!$F:$F,0)))/200,($F$10-$I$3+VLOOKUP($R40,武学奇术!$A:$ZZ,6,FALSE)+SUM(_xlfn.XLOOKUP($S40:$AL40,增益!$A:$A,增益!$F:$F,0)))/100)</f>
        <v>0.3534</v>
      </c>
      <c r="AW40" s="40" cm="1">
        <f t="array" ref="AW40">$G$10+VLOOKUP($R40,武学奇术!$A:$ZZ,7,FALSE)+SUM(_xlfn.XLOOKUP($S40:$AL40,增益!$A:$A,增益!$G:$G,0))</f>
        <v>0.12</v>
      </c>
      <c r="AX40" s="33" cm="1">
        <f t="array" ref="AX40">VLOOKUP($R40,武学奇术!$A:$ZZ,8,FALSE)+SUM(_xlfn.XLOOKUP($S40:$AL40,增益!$A:$A,增益!$H:$H,0))</f>
        <v>0</v>
      </c>
      <c r="AY40">
        <f t="shared" si="2"/>
        <v>0</v>
      </c>
      <c r="AZ40">
        <f t="shared" si="3"/>
        <v>0</v>
      </c>
      <c r="BA40" s="40" cm="1">
        <f t="array" ref="BA40">IF($F$11-$I$4+VLOOKUP($R40,武学奇术!$A:$ZZ,9,FALSE)+SUM(_xlfn.XLOOKUP($S40:$AL40,增益!$A:$A,增益!$I:$I,0))&gt;0,($F$11-$I$4+VLOOKUP($R40,武学奇术!$A:$ZZ,9,FALSE)+SUM(_xlfn.XLOOKUP($S40:$AL40,增益!$A:$A,增益!$I:$I,0)))/200,($F$11-$I$4+VLOOKUP($R40,武学奇术!$A:$ZZ,9,FALSE)+SUM(_xlfn.XLOOKUP($S40:$AL40,增益!$A:$A,增益!$I:$I,0)))/100)</f>
        <v>-0.14</v>
      </c>
      <c r="BB40" s="40" cm="1">
        <f t="array" ref="BB40">$G$11+VLOOKUP($R40,武学奇术!$A:$ZZ,10,FALSE)+SUM(_xlfn.XLOOKUP($S40:$AL40,增益!$A:$A,增益!$J:$J,0))</f>
        <v>0</v>
      </c>
      <c r="BC40">
        <f t="shared" si="4"/>
        <v>640.3</v>
      </c>
      <c r="BD40">
        <f t="shared" si="5"/>
        <v>1770.1</v>
      </c>
      <c r="BE40" s="40" cm="1">
        <f t="array" ref="BE40">IF($F$12-$I$4+VLOOKUP($R40,武学奇术!$A:$ZZ,11,FALSE)+SUM(_xlfn.XLOOKUP($S40:$AL40,增益!$A:$A,增益!$K:$K,0))&gt;0,($F$12-$I$4+VLOOKUP($R40,武学奇术!$A:$ZZ,11,FALSE)+SUM(_xlfn.XLOOKUP($S40:$AL40,增益!$A:$A,增益!$K:$K,0)))/200,($F$12-$I$4+VLOOKUP($R40,武学奇术!$A:$ZZ,11,FALSE)+SUM(_xlfn.XLOOKUP($S40:$AL40,增益!$A:$A,增益!$K:$K,0)))/100)</f>
        <v>0.17</v>
      </c>
      <c r="BF40" s="40" cm="1">
        <f t="array" ref="BF40">$G$12+VLOOKUP($R40,武学奇术!$A:$ZZ,12,FALSE)+SUM(_xlfn.XLOOKUP($S40:$AL40,增益!$A:$A,增益!$L:$L,0))</f>
        <v>0.27</v>
      </c>
      <c r="BG40">
        <f t="shared" si="6"/>
        <v>0</v>
      </c>
      <c r="BH40">
        <f t="shared" si="7"/>
        <v>0</v>
      </c>
      <c r="BI40" s="40" cm="1">
        <f t="array" ref="BI40">IF($F$13-$I$4+VLOOKUP($R40,武学奇术!$A:$ZZ,13,FALSE)+SUM(_xlfn.XLOOKUP($S40:$AL40,增益!$A:$A,增益!$M:$M,0))&gt;0,($F$13-$I$4+VLOOKUP($R40,武学奇术!$A:$ZZ,13,FALSE)+SUM(_xlfn.XLOOKUP($S40:$AL40,增益!$A:$A,增益!$K:$K,0)))/200,($F$13-$I$4+VLOOKUP($R40,武学奇术!$A:$ZZ,13,FALSE)+SUM(_xlfn.XLOOKUP($S40:$AL40,增益!$A:$A,增益!$M:$M,0)))/100)</f>
        <v>-0.14</v>
      </c>
      <c r="BJ40" s="40" cm="1">
        <f t="array" ref="BJ40">$G$13+VLOOKUP($R40,武学奇术!$A:$ZZ,14,FALSE)+SUM(_xlfn.XLOOKUP($S40:$AL40,增益!$A:$A,增益!$N:$N,0))</f>
        <v>0</v>
      </c>
      <c r="BK40">
        <f t="shared" si="8"/>
        <v>0</v>
      </c>
      <c r="BL40">
        <f t="shared" si="9"/>
        <v>0</v>
      </c>
      <c r="BM40" s="40" cm="1">
        <f t="array" ref="BM40">IF($F$14-$I$4+VLOOKUP($R40,武学奇术!$A:$ZZ,15,FALSE)+SUM(_xlfn.XLOOKUP($S40:$AL40,增益!$A:$A,增益!$O:$O,0))&gt;0,($F$14-$I$4+VLOOKUP($R40,武学奇术!$A:$ZZ,15,FALSE)+SUM(_xlfn.XLOOKUP($S40:$AL40,增益!$A:$A,增益!$O:$O,0)))/200,($F$14-$I$4+VLOOKUP($R40,武学奇术!$A:$ZZ,15,FALSE)+SUM(_xlfn.XLOOKUP($S40:$AL40,增益!$A:$A,增益!$O:$O,0)))/100)</f>
        <v>-0.14</v>
      </c>
      <c r="BN40" s="40" cm="1">
        <f t="array" ref="BN40">$G$14+VLOOKUP($R40,武学奇术!$A:$ZZ,16,FALSE)+SUM(_xlfn.XLOOKUP($S40:$AL40,增益!$A:$A,增益!$P:$P,0))</f>
        <v>0</v>
      </c>
      <c r="BO40" s="33">
        <f>MIN(IF(VLOOKUP($R40,武学奇术!$A:$ZZ,23,FALSE)=1,100%,$B$8),100%)</f>
        <v>0.9771</v>
      </c>
      <c r="BP40" s="33" cm="1">
        <f t="array" ref="BP40">IF(VLOOKUP($R40,武学奇术!$A:$ZZ,23,FALSE)=1,100%,MIN(80%,$B$9+VLOOKUP($R40,武学奇术!$A:$ZZ,17,FALSE)+SUM(_xlfn.XLOOKUP($S40:$AL40,增益!$A:$A,增益!$Q:$Q,0)))+$B$11+SUM(_xlfn.XLOOKUP($S40:$AL40,增益!$A:$A,增益!$U:$U,0)))*IF(VLOOKUP($R40,武学奇术!$A:$ZZ,24,FALSE)=1,0,1)</f>
        <v>0.8861</v>
      </c>
      <c r="BQ40" s="33" cm="1">
        <f t="array" ref="BQ40">1+$B$13+VLOOKUP($R40,武学奇术!$A:$ZZ,18,FALSE)+SUM(_xlfn.XLOOKUP($S40:$AL40,增益!$A:$A,增益!$R:$R,0))</f>
        <v>1.99</v>
      </c>
      <c r="BR40" s="33" cm="1">
        <f t="array" ref="BR40">IF(VLOOKUP($R40,武学奇术!$A:$ZZ,24,FALSE)=1,100%,MIN(40%,$B$10+VLOOKUP($R40,武学奇术!$A:$ZZ,19,FALSE)+SUM(_xlfn.XLOOKUP($S40:$AL40,增益!$A:$A,增益!$S:$S,0)))+$B$12+SUM(_xlfn.XLOOKUP($S40:$AL40,增益!$A:$A,增益!$V:$V,0)))*IF(VLOOKUP($R40,武学奇术!$A:$ZZ,23,FALSE)=1,0,1)</f>
        <v>0.0913</v>
      </c>
      <c r="BS40" s="33" cm="1">
        <f t="array" ref="BS40">1+$B$14+VLOOKUP($R40,武学奇术!$A:$ZZ,20,FALSE)+SUM(_xlfn.XLOOKUP($S40:$AL40,增益!$A:$A,增益!$T:$T,0))</f>
        <v>1.35</v>
      </c>
      <c r="BT40" s="33">
        <f t="shared" si="10"/>
        <v>0.86580831</v>
      </c>
      <c r="BU40" s="33">
        <f t="shared" si="11"/>
        <v>0.02208246</v>
      </c>
      <c r="BV40" s="33">
        <f>IF(VLOOKUP($R40,武学奇术!$A:$ZZ,22,FALSE)=1,0,(1-$BO40))*(1-$BR40)</f>
        <v>0.02080923</v>
      </c>
      <c r="BW40" s="33" cm="1">
        <f t="array" ref="BW40">SUM(_xlfn.XLOOKUP($S40:$AL40,增益!$A:$A,增益!$W:$W,0))+$I$5</f>
        <v>0.11</v>
      </c>
      <c r="BX40" s="33" cm="1">
        <f t="array" ref="BX40">VLOOKUP($R40,武学奇术!$A:$ZZ,32,FALSE)+SUM(_xlfn.XLOOKUP($S40:$AL40,增益!$A:$A,增益!$X:$X,0))</f>
        <v>0</v>
      </c>
    </row>
    <row r="41" spans="5:76">
      <c r="L41" s="46">
        <f t="shared" si="0"/>
        <v>41076.0633643966</v>
      </c>
      <c r="M41" s="46">
        <f>((($AT41+$AU41)/2*$AN41+$AO41)*(1+$AV41)*(1+$AW41)+(($AY41+$AZ41)/2*IF($G$1="鸣金",$AP41,$AN41)+IF($G$1="鸣金",$AQ41*1.5,0))*(1+$BA41)*(1+$BB41)+(($BC41+$BD41)/2*IF($G$1="裂石",$AP41,$AN41)+IF($G$1="裂石",$AQ41*1.5,0))*(1+$BE41)*(1+$BF41)+(($BG41+$BH41)/2*IF($G$1="牵丝",$AP41,$AN41)+IF($G$1="牵丝",$AQ41*1.5,0))*(1+$BI41)*(1+$BJ41)+(($BK41+$BL41)/2*IF($G$1="破竹",$AP41,$AN41)+IF($G$1="破竹",$AQ41*1.5,0))*(1+$BM41)*(1+$BN41))*(1+$AR41)*$BQ41*$Q41*(1+IF(VLOOKUP($R41,武学奇术!$A:$ZZ,30,FALSE)="蓄力技",$B$21,0))*(1+IF(VLOOKUP($R41,武学奇术!$A:$ZZ,30,FALSE)="派生技",$B$20,0))*(1+$BW41)*(1+$BX41)</f>
        <v>41076.0633643966</v>
      </c>
      <c r="N41" s="46">
        <f>(($AU41*$AN41+$AO41)*(1+$AV41)*(1+$AW41)+($AZ41*IF($G$1="鸣金",$AP41,$AN41)+IF($G$1="鸣金",$AQ41*1.5,0))*(1+$BA41)*(1+$BB41)+($BD41*IF($G$1="裂石",$AP41,$AN41)+IF($G$1="裂石",$AQ41*1.5,0))*(1+$BE41)*(1+$BF41)+($BH41*IF($G$1="牵丝",$AP41,$AN41)+IF($G$1="牵丝",$AQ41*1.5,0))*(1+$BI41)*(1+$BJ41)+($BL41*IF($G$1="破竹",$AP41,$AN41)+IF($G$1="破竹",$AQ41*1.5,0))*(1+$BM41)*(1+$BN41))*(1+$AR41)*$BS41*$Q41*(1+IF(VLOOKUP($R41,武学奇术!$A:$ZZ,30,FALSE)="蓄力技",$B$21,0))*(1+IF(VLOOKUP($R41,武学奇术!$A:$ZZ,30,FALSE)="派生技",$B$20,0))*(1+$BW41)*(1+$BX41)</f>
        <v>30333.3735447654</v>
      </c>
      <c r="O41" s="46">
        <f>((($AT41+$AU41)/2*$AN41+$AO41)*(1+$AV41)*(1+$AW41)+(($AY41+$AZ41)/2*IF($G$1="鸣金",$AP41,$AN41)+IF($G$1="鸣金",$AQ41*1.5,0))*(1+$BA41)*(1+$BB41)+(($BC41+$BD41)/2*IF($G$1="裂石",$AP41,$AN41)+IF($G$1="裂石",$AQ41*1.5,0))*(1+$BE41)*(1+$BF41)+(($BG41+$BH41)/2*IF($G$1="牵丝",$AP41,$AN41)+IF($G$1="牵丝",$AQ41*1.5,0))*(1+$BI41)*(1+$BJ41)+(($BK41+$BL41)/2*IF($G$1="破竹",$AP41,$AN41)+IF($G$1="破竹",$AQ41*1.5,0))*(1+$BM41)*(1+$BN41))*(1+$AR41)*$Q41*(1+IF(VLOOKUP($R41,武学奇术!$A:$ZZ,30,FALSE)="蓄力技",$B$21,0))*(1+IF(VLOOKUP($R41,武学奇术!$A:$ZZ,30,FALSE)="派生技",$B$20,0))*(1+$BW41)*(1+$BX41)</f>
        <v>19653.6188346395</v>
      </c>
      <c r="P41" s="46">
        <f>((($AT41*$AN41+$AO41)*(1+$AV41)*(1+$AW41)+($AY41*IF($G$1="鸣金",$AP41,$AN41)+IF($G$1="鸣金",$AQ41*1.5,0))*(1+$BA41)*(1+$BB41)+($BC41*IF($G$1="裂石",$AP41,$AN41)+IF($G$1="裂石",$AQ41*1.5,0))*(1+$BE41)*(1+$BF41)+($BG41*IF($G$1="牵丝",$AP41,$AN41)+IF($G$1="牵丝",$AQ41*1.5,0))*(1+$BI41)*(1+$BJ41)+($BK41*IF($G$1="破竹",$AP41,$AN41)+IF($G$1="破竹",$AQ41*1.5,0))*(1+$BM41)*(1+$BN41))*(1+$AR41))*$Q41*(1+IF(VLOOKUP($R41,武学奇术!$A:$ZZ,30,FALSE)="蓄力技",$B$21,0))*(1+IF(VLOOKUP($R41,武学奇术!$A:$ZZ,30,FALSE)="派生技",$B$20,0))*(1+$BW41)*(1+$BX41)</f>
        <v>16838.072080564</v>
      </c>
      <c r="Q41" s="47">
        <f t="shared" si="13"/>
        <v>1</v>
      </c>
      <c r="R41" s="48" t="s">
        <v>144</v>
      </c>
      <c r="S41" s="48" t="s">
        <v>99</v>
      </c>
      <c r="T41" s="48" t="s">
        <v>181</v>
      </c>
      <c r="U41" s="48" t="s">
        <v>79</v>
      </c>
      <c r="V41" s="48" t="s">
        <v>90</v>
      </c>
      <c r="W41" s="48" t="s">
        <v>141</v>
      </c>
      <c r="X41" s="48" t="s">
        <v>145</v>
      </c>
      <c r="Y41" s="48" t="s">
        <v>74</v>
      </c>
      <c r="Z41" s="48" t="s">
        <v>80</v>
      </c>
      <c r="AA41" s="48" t="s">
        <v>80</v>
      </c>
      <c r="AB41" s="48" t="s">
        <v>80</v>
      </c>
      <c r="AC41" s="48" t="s">
        <v>80</v>
      </c>
      <c r="AD41" s="48" t="s">
        <v>80</v>
      </c>
      <c r="AE41" s="48" t="s">
        <v>80</v>
      </c>
      <c r="AF41" s="48" t="s">
        <v>83</v>
      </c>
      <c r="AG41" s="48" t="s">
        <v>84</v>
      </c>
      <c r="AH41" s="48" t="s">
        <v>80</v>
      </c>
      <c r="AI41" s="48" t="s">
        <v>80</v>
      </c>
      <c r="AJ41" s="48" t="s">
        <v>80</v>
      </c>
      <c r="AK41" s="48" t="s">
        <v>80</v>
      </c>
      <c r="AL41" s="48" t="s">
        <v>80</v>
      </c>
      <c r="AM41" t="str">
        <f>VLOOKUP($R41,武学奇术!$A:$ZZ,25,FALSE)</f>
        <v>陌刀</v>
      </c>
      <c r="AN41" s="33">
        <f>VLOOKUP($R41,武学奇术!$A:$ZZ,26,FALSE)</f>
        <v>0.945</v>
      </c>
      <c r="AO41" s="34">
        <f>VLOOKUP($R41,武学奇术!$A:$ZZ,27,FALSE)*(1+IF(OR($AM41=$F$4,$AM41=$F$5),$B$22,0))</f>
        <v>0</v>
      </c>
      <c r="AP41" s="33">
        <f>VLOOKUP($R41,武学奇术!$A:$ZZ,28,FALSE)</f>
        <v>1.4175</v>
      </c>
      <c r="AQ41" s="34">
        <f>VLOOKUP($R41,武学奇术!$A:$ZZ,29,FALSE)*(1+IF(OR($AM41=$F$4,$AM41=$F$5),$B$22,0))</f>
        <v>0</v>
      </c>
      <c r="AR41" s="33" cm="1">
        <f t="array" ref="AR41">$G$3+IFERROR(VLOOKUP($AM41,$F$4:$G$7,2,FALSE),0)+VLOOKUP($R41,武学奇术!$A:$ZZ,2,FALSE)+SUM(_xlfn.XLOOKUP($S41:$AL41,增益!$A:$A,增益!$B:$B,0))</f>
        <v>0.6143</v>
      </c>
      <c r="AS41" s="33" cm="1">
        <f t="array" ref="AS41">VLOOKUP($R41,武学奇术!$A:$ZZ,5,FALSE)+SUM(_xlfn.XLOOKUP($S41:$AL41,增益!$A:$A,增益!$E:$E,0))</f>
        <v>0</v>
      </c>
      <c r="AT41" cm="1">
        <f t="array" ref="AT41">$D$10*(1+$AS41)+VLOOKUP($R41,武学奇术!$A:$ZZ,3,FALSE)+SUM(_xlfn.XLOOKUP($S41:$AL41,增益!$A:$A,增益!$C:$C,0))-$I$2</f>
        <v>4026</v>
      </c>
      <c r="AU41" cm="1">
        <f t="array" ref="AU41">$E$10*(1+$AS41)+VLOOKUP($R41,武学奇术!$A:$ZZ,4,FALSE)+SUM(_xlfn.XLOOKUP($S41:$AL41,增益!$A:$A,增益!$D:$D,0))-$I$2</f>
        <v>4026</v>
      </c>
      <c r="AV41" s="40" cm="1">
        <f t="array" ref="AV41">IF($F$10-$I$3+VLOOKUP($R41,武学奇术!$A:$ZZ,6,FALSE)+SUM(_xlfn.XLOOKUP($S41:$AL41,增益!$A:$A,增益!$F:$F,0))&gt;0,($F$10-$I$3+VLOOKUP($R41,武学奇术!$A:$ZZ,6,FALSE)+SUM(_xlfn.XLOOKUP($S41:$AL41,增益!$A:$A,增益!$F:$F,0)))/200,($F$10-$I$3+VLOOKUP($R41,武学奇术!$A:$ZZ,6,FALSE)+SUM(_xlfn.XLOOKUP($S41:$AL41,增益!$A:$A,增益!$F:$F,0)))/100)</f>
        <v>0.3534</v>
      </c>
      <c r="AW41" s="40" cm="1">
        <f t="array" ref="AW41">$G$10+VLOOKUP($R41,武学奇术!$A:$ZZ,7,FALSE)+SUM(_xlfn.XLOOKUP($S41:$AL41,增益!$A:$A,增益!$G:$G,0))</f>
        <v>0.12</v>
      </c>
      <c r="AX41" s="33" cm="1">
        <f t="array" ref="AX41">VLOOKUP($R41,武学奇术!$A:$ZZ,8,FALSE)+SUM(_xlfn.XLOOKUP($S41:$AL41,增益!$A:$A,增益!$H:$H,0))</f>
        <v>0</v>
      </c>
      <c r="AY41">
        <f t="shared" si="2"/>
        <v>0</v>
      </c>
      <c r="AZ41">
        <f t="shared" si="3"/>
        <v>0</v>
      </c>
      <c r="BA41" s="40" cm="1">
        <f t="array" ref="BA41">IF($F$11-$I$4+VLOOKUP($R41,武学奇术!$A:$ZZ,9,FALSE)+SUM(_xlfn.XLOOKUP($S41:$AL41,增益!$A:$A,增益!$I:$I,0))&gt;0,($F$11-$I$4+VLOOKUP($R41,武学奇术!$A:$ZZ,9,FALSE)+SUM(_xlfn.XLOOKUP($S41:$AL41,增益!$A:$A,增益!$I:$I,0)))/200,($F$11-$I$4+VLOOKUP($R41,武学奇术!$A:$ZZ,9,FALSE)+SUM(_xlfn.XLOOKUP($S41:$AL41,增益!$A:$A,增益!$I:$I,0)))/100)</f>
        <v>-0.14</v>
      </c>
      <c r="BB41" s="40" cm="1">
        <f t="array" ref="BB41">$G$11+VLOOKUP($R41,武学奇术!$A:$ZZ,10,FALSE)+SUM(_xlfn.XLOOKUP($S41:$AL41,增益!$A:$A,增益!$J:$J,0))</f>
        <v>0</v>
      </c>
      <c r="BC41">
        <f t="shared" si="4"/>
        <v>640.3</v>
      </c>
      <c r="BD41">
        <f t="shared" si="5"/>
        <v>1770.1</v>
      </c>
      <c r="BE41" s="40" cm="1">
        <f t="array" ref="BE41">IF($F$12-$I$4+VLOOKUP($R41,武学奇术!$A:$ZZ,11,FALSE)+SUM(_xlfn.XLOOKUP($S41:$AL41,增益!$A:$A,增益!$K:$K,0))&gt;0,($F$12-$I$4+VLOOKUP($R41,武学奇术!$A:$ZZ,11,FALSE)+SUM(_xlfn.XLOOKUP($S41:$AL41,增益!$A:$A,增益!$K:$K,0)))/200,($F$12-$I$4+VLOOKUP($R41,武学奇术!$A:$ZZ,11,FALSE)+SUM(_xlfn.XLOOKUP($S41:$AL41,增益!$A:$A,增益!$K:$K,0)))/100)</f>
        <v>0.17</v>
      </c>
      <c r="BF41" s="40" cm="1">
        <f t="array" ref="BF41">$G$12+VLOOKUP($R41,武学奇术!$A:$ZZ,12,FALSE)+SUM(_xlfn.XLOOKUP($S41:$AL41,增益!$A:$A,增益!$L:$L,0))</f>
        <v>0.27</v>
      </c>
      <c r="BG41">
        <f t="shared" si="6"/>
        <v>0</v>
      </c>
      <c r="BH41">
        <f t="shared" si="7"/>
        <v>0</v>
      </c>
      <c r="BI41" s="40" cm="1">
        <f t="array" ref="BI41">IF($F$13-$I$4+VLOOKUP($R41,武学奇术!$A:$ZZ,13,FALSE)+SUM(_xlfn.XLOOKUP($S41:$AL41,增益!$A:$A,增益!$M:$M,0))&gt;0,($F$13-$I$4+VLOOKUP($R41,武学奇术!$A:$ZZ,13,FALSE)+SUM(_xlfn.XLOOKUP($S41:$AL41,增益!$A:$A,增益!$K:$K,0)))/200,($F$13-$I$4+VLOOKUP($R41,武学奇术!$A:$ZZ,13,FALSE)+SUM(_xlfn.XLOOKUP($S41:$AL41,增益!$A:$A,增益!$M:$M,0)))/100)</f>
        <v>-0.14</v>
      </c>
      <c r="BJ41" s="40" cm="1">
        <f t="array" ref="BJ41">$G$13+VLOOKUP($R41,武学奇术!$A:$ZZ,14,FALSE)+SUM(_xlfn.XLOOKUP($S41:$AL41,增益!$A:$A,增益!$N:$N,0))</f>
        <v>0</v>
      </c>
      <c r="BK41">
        <f t="shared" si="8"/>
        <v>0</v>
      </c>
      <c r="BL41">
        <f t="shared" si="9"/>
        <v>0</v>
      </c>
      <c r="BM41" s="40" cm="1">
        <f t="array" ref="BM41">IF($F$14-$I$4+VLOOKUP($R41,武学奇术!$A:$ZZ,15,FALSE)+SUM(_xlfn.XLOOKUP($S41:$AL41,增益!$A:$A,增益!$O:$O,0))&gt;0,($F$14-$I$4+VLOOKUP($R41,武学奇术!$A:$ZZ,15,FALSE)+SUM(_xlfn.XLOOKUP($S41:$AL41,增益!$A:$A,增益!$O:$O,0)))/200,($F$14-$I$4+VLOOKUP($R41,武学奇术!$A:$ZZ,15,FALSE)+SUM(_xlfn.XLOOKUP($S41:$AL41,增益!$A:$A,增益!$O:$O,0)))/100)</f>
        <v>-0.14</v>
      </c>
      <c r="BN41" s="40" cm="1">
        <f t="array" ref="BN41">$G$14+VLOOKUP($R41,武学奇术!$A:$ZZ,16,FALSE)+SUM(_xlfn.XLOOKUP($S41:$AL41,增益!$A:$A,增益!$P:$P,0))</f>
        <v>0</v>
      </c>
      <c r="BO41" s="33">
        <f>MIN(IF(VLOOKUP($R41,武学奇术!$A:$ZZ,23,FALSE)=1,100%,$B$8),100%)</f>
        <v>1</v>
      </c>
      <c r="BP41" s="33" cm="1">
        <f t="array" ref="BP41">IF(VLOOKUP($R41,武学奇术!$A:$ZZ,23,FALSE)=1,100%,MIN(80%,$B$9+VLOOKUP($R41,武学奇术!$A:$ZZ,17,FALSE)+SUM(_xlfn.XLOOKUP($S41:$AL41,增益!$A:$A,增益!$Q:$Q,0)))+$B$11+SUM(_xlfn.XLOOKUP($S41:$AL41,增益!$A:$A,增益!$U:$U,0)))*IF(VLOOKUP($R41,武学奇术!$A:$ZZ,24,FALSE)=1,0,1)</f>
        <v>1</v>
      </c>
      <c r="BQ41" s="33" cm="1">
        <f t="array" ref="BQ41">1+$B$13+VLOOKUP($R41,武学奇术!$A:$ZZ,18,FALSE)+SUM(_xlfn.XLOOKUP($S41:$AL41,增益!$A:$A,增益!$R:$R,0))</f>
        <v>2.09</v>
      </c>
      <c r="BR41" s="33" cm="1">
        <f t="array" ref="BR41">IF(VLOOKUP($R41,武学奇术!$A:$ZZ,24,FALSE)=1,100%,MIN(40%,$B$10+VLOOKUP($R41,武学奇术!$A:$ZZ,19,FALSE)+SUM(_xlfn.XLOOKUP($S41:$AL41,增益!$A:$A,增益!$S:$S,0)))+$B$12+SUM(_xlfn.XLOOKUP($S41:$AL41,增益!$A:$A,增益!$V:$V,0)))*IF(VLOOKUP($R41,武学奇术!$A:$ZZ,23,FALSE)=1,0,1)</f>
        <v>0</v>
      </c>
      <c r="BS41" s="33" cm="1">
        <f t="array" ref="BS41">1+$B$14+VLOOKUP($R41,武学奇术!$A:$ZZ,20,FALSE)+SUM(_xlfn.XLOOKUP($S41:$AL41,增益!$A:$A,增益!$T:$T,0))</f>
        <v>1.35</v>
      </c>
      <c r="BT41" s="33">
        <f t="shared" si="10"/>
        <v>1</v>
      </c>
      <c r="BU41" s="33">
        <f t="shared" si="11"/>
        <v>0</v>
      </c>
      <c r="BV41" s="33">
        <f>IF(VLOOKUP($R41,武学奇术!$A:$ZZ,22,FALSE)=1,0,(1-$BO41))*(1-$BR41)</f>
        <v>0</v>
      </c>
      <c r="BW41" s="33" cm="1">
        <f t="array" ref="BW41">SUM(_xlfn.XLOOKUP($S41:$AL41,增益!$A:$A,增益!$W:$W,0))+$I$5</f>
        <v>0.11</v>
      </c>
      <c r="BX41" s="33" cm="1">
        <f t="array" ref="BX41">VLOOKUP($R41,武学奇术!$A:$ZZ,32,FALSE)+SUM(_xlfn.XLOOKUP($S41:$AL41,增益!$A:$A,增益!$X:$X,0))</f>
        <v>0</v>
      </c>
    </row>
    <row r="42" spans="5:76">
      <c r="L42" s="46">
        <f t="shared" si="0"/>
        <v>374142.152240763</v>
      </c>
      <c r="M42" s="46">
        <f>((($AT42+$AU42)/2*$AN42+$AO42)*(1+$AV42)*(1+$AW42)+(($AY42+$AZ42)/2*IF($G$1="鸣金",$AP42,$AN42)+IF($G$1="鸣金",$AQ42*1.5,0))*(1+$BA42)*(1+$BB42)+(($BC42+$BD42)/2*IF($G$1="裂石",$AP42,$AN42)+IF($G$1="裂石",$AQ42*1.5,0))*(1+$BE42)*(1+$BF42)+(($BG42+$BH42)/2*IF($G$1="牵丝",$AP42,$AN42)+IF($G$1="牵丝",$AQ42*1.5,0))*(1+$BI42)*(1+$BJ42)+(($BK42+$BL42)/2*IF($G$1="破竹",$AP42,$AN42)+IF($G$1="破竹",$AQ42*1.5,0))*(1+$BM42)*(1+$BN42))*(1+$AR42)*$BQ42*$Q42*(1+IF(VLOOKUP($R42,武学奇术!$A:$ZZ,30,FALSE)="蓄力技",$B$21,0))*(1+IF(VLOOKUP($R42,武学奇术!$A:$ZZ,30,FALSE)="派生技",$B$20,0))*(1+$BW42)*(1+$BX42)</f>
        <v>374142.152240763</v>
      </c>
      <c r="N42" s="46">
        <f>(($AU42*$AN42+$AO42)*(1+$AV42)*(1+$AW42)+($AZ42*IF($G$1="鸣金",$AP42,$AN42)+IF($G$1="鸣金",$AQ42*1.5,0))*(1+$BA42)*(1+$BB42)+($BD42*IF($G$1="裂石",$AP42,$AN42)+IF($G$1="裂石",$AQ42*1.5,0))*(1+$BE42)*(1+$BF42)+($BH42*IF($G$1="牵丝",$AP42,$AN42)+IF($G$1="牵丝",$AQ42*1.5,0))*(1+$BI42)*(1+$BJ42)+($BL42*IF($G$1="破竹",$AP42,$AN42)+IF($G$1="破竹",$AQ42*1.5,0))*(1+$BM42)*(1+$BN42))*(1+$AR42)*$BS42*$Q42*(1+IF(VLOOKUP($R42,武学奇术!$A:$ZZ,30,FALSE)="蓄力技",$B$21,0))*(1+IF(VLOOKUP($R42,武学奇术!$A:$ZZ,30,FALSE)="派生技",$B$20,0))*(1+$BW42)*(1+$BX42)</f>
        <v>272108.70563652</v>
      </c>
      <c r="O42" s="46">
        <f>((($AT42+$AU42)/2*$AN42+$AO42)*(1+$AV42)*(1+$AW42)+(($AY42+$AZ42)/2*IF($G$1="鸣金",$AP42,$AN42)+IF($G$1="鸣金",$AQ42*1.5,0))*(1+$BA42)*(1+$BB42)+(($BC42+$BD42)/2*IF($G$1="裂石",$AP42,$AN42)+IF($G$1="裂石",$AQ42*1.5,0))*(1+$BE42)*(1+$BF42)+(($BG42+$BH42)/2*IF($G$1="牵丝",$AP42,$AN42)+IF($G$1="牵丝",$AQ42*1.5,0))*(1+$BI42)*(1+$BJ42)+(($BK42+$BL42)/2*IF($G$1="破竹",$AP42,$AN42)+IF($G$1="破竹",$AQ42*1.5,0))*(1+$BM42)*(1+$BN42))*(1+$AR42)*$Q42*(1+IF(VLOOKUP($R42,武学奇术!$A:$ZZ,30,FALSE)="蓄力技",$B$21,0))*(1+IF(VLOOKUP($R42,武学奇术!$A:$ZZ,30,FALSE)="派生技",$B$20,0))*(1+$BW42)*(1+$BX42)</f>
        <v>179015.383847255</v>
      </c>
      <c r="P42" s="46">
        <f>((($AT42*$AN42+$AO42)*(1+$AV42)*(1+$AW42)+($AY42*IF($G$1="鸣金",$AP42,$AN42)+IF($G$1="鸣金",$AQ42*1.5,0))*(1+$BA42)*(1+$BB42)+($BC42*IF($G$1="裂石",$AP42,$AN42)+IF($G$1="裂石",$AQ42*1.5,0))*(1+$BE42)*(1+$BF42)+($BG42*IF($G$1="牵丝",$AP42,$AN42)+IF($G$1="牵丝",$AQ42*1.5,0))*(1+$BI42)*(1+$BJ42)+($BK42*IF($G$1="破竹",$AP42,$AN42)+IF($G$1="破竹",$AQ42*1.5,0))*(1+$BM42)*(1+$BN42))*(1+$AR42))*$Q42*(1+IF(VLOOKUP($R42,武学奇术!$A:$ZZ,30,FALSE)="蓄力技",$B$21,0))*(1+IF(VLOOKUP($R42,武学奇术!$A:$ZZ,30,FALSE)="派生技",$B$20,0))*(1+$BW42)*(1+$BX42)</f>
        <v>156468.76351931</v>
      </c>
      <c r="Q42" s="47">
        <f t="shared" si="13"/>
        <v>1</v>
      </c>
      <c r="R42" s="48" t="s">
        <v>148</v>
      </c>
      <c r="S42" s="48" t="s">
        <v>99</v>
      </c>
      <c r="T42" s="48" t="s">
        <v>181</v>
      </c>
      <c r="U42" s="48" t="s">
        <v>79</v>
      </c>
      <c r="V42" s="48" t="s">
        <v>90</v>
      </c>
      <c r="W42" s="48" t="s">
        <v>141</v>
      </c>
      <c r="X42" s="48" t="s">
        <v>145</v>
      </c>
      <c r="Y42" s="48" t="s">
        <v>74</v>
      </c>
      <c r="Z42" s="48" t="s">
        <v>80</v>
      </c>
      <c r="AA42" s="48" t="s">
        <v>80</v>
      </c>
      <c r="AB42" s="48" t="s">
        <v>80</v>
      </c>
      <c r="AC42" s="48" t="s">
        <v>80</v>
      </c>
      <c r="AD42" s="48" t="s">
        <v>80</v>
      </c>
      <c r="AE42" s="48" t="s">
        <v>80</v>
      </c>
      <c r="AF42" s="48" t="s">
        <v>83</v>
      </c>
      <c r="AG42" s="48" t="s">
        <v>84</v>
      </c>
      <c r="AH42" s="48" t="s">
        <v>80</v>
      </c>
      <c r="AI42" s="48" t="s">
        <v>80</v>
      </c>
      <c r="AJ42" s="48" t="s">
        <v>80</v>
      </c>
      <c r="AK42" s="48" t="s">
        <v>80</v>
      </c>
      <c r="AL42" s="48" t="s">
        <v>80</v>
      </c>
      <c r="AM42" t="str">
        <f>VLOOKUP($R42,武学奇术!$A:$ZZ,25,FALSE)</f>
        <v>陌刀</v>
      </c>
      <c r="AN42" s="33">
        <f>VLOOKUP($R42,武学奇术!$A:$ZZ,26,FALSE)</f>
        <v>7.5674</v>
      </c>
      <c r="AO42" s="34">
        <f>VLOOKUP($R42,武学奇术!$A:$ZZ,27,FALSE)*(1+IF(OR($AM42=$F$4,$AM42=$F$5),$B$22,0))</f>
        <v>3348.8</v>
      </c>
      <c r="AP42" s="33">
        <f>VLOOKUP($R42,武学奇术!$A:$ZZ,28,FALSE)</f>
        <v>11.3512</v>
      </c>
      <c r="AQ42" s="34">
        <f>VLOOKUP($R42,武学奇术!$A:$ZZ,29,FALSE)*(1+IF(OR($AM42=$F$4,$AM42=$F$5),$B$22,0))</f>
        <v>1824</v>
      </c>
      <c r="AR42" s="33" cm="1">
        <f t="array" ref="AR42">$G$3+IFERROR(VLOOKUP($AM42,$F$4:$G$7,2,FALSE),0)+VLOOKUP($R42,武学奇术!$A:$ZZ,2,FALSE)+SUM(_xlfn.XLOOKUP($S42:$AL42,增益!$A:$A,增益!$B:$B,0))</f>
        <v>0.6143</v>
      </c>
      <c r="AS42" s="33" cm="1">
        <f t="array" ref="AS42">VLOOKUP($R42,武学奇术!$A:$ZZ,5,FALSE)+SUM(_xlfn.XLOOKUP($S42:$AL42,增益!$A:$A,增益!$E:$E,0))</f>
        <v>0</v>
      </c>
      <c r="AT42" cm="1">
        <f t="array" ref="AT42">$D$10*(1+$AS42)+VLOOKUP($R42,武学奇术!$A:$ZZ,3,FALSE)+SUM(_xlfn.XLOOKUP($S42:$AL42,增益!$A:$A,增益!$C:$C,0))-$I$2</f>
        <v>4026</v>
      </c>
      <c r="AU42" cm="1">
        <f t="array" ref="AU42">$E$10*(1+$AS42)+VLOOKUP($R42,武学奇术!$A:$ZZ,4,FALSE)+SUM(_xlfn.XLOOKUP($S42:$AL42,增益!$A:$A,增益!$D:$D,0))-$I$2</f>
        <v>4026</v>
      </c>
      <c r="AV42" s="40" cm="1">
        <f t="array" ref="AV42">IF($F$10-$I$3+VLOOKUP($R42,武学奇术!$A:$ZZ,6,FALSE)+SUM(_xlfn.XLOOKUP($S42:$AL42,增益!$A:$A,增益!$F:$F,0))&gt;0,($F$10-$I$3+VLOOKUP($R42,武学奇术!$A:$ZZ,6,FALSE)+SUM(_xlfn.XLOOKUP($S42:$AL42,增益!$A:$A,增益!$F:$F,0)))/200,($F$10-$I$3+VLOOKUP($R42,武学奇术!$A:$ZZ,6,FALSE)+SUM(_xlfn.XLOOKUP($S42:$AL42,增益!$A:$A,增益!$F:$F,0)))/100)</f>
        <v>0.3534</v>
      </c>
      <c r="AW42" s="40" cm="1">
        <f t="array" ref="AW42">$G$10+VLOOKUP($R42,武学奇术!$A:$ZZ,7,FALSE)+SUM(_xlfn.XLOOKUP($S42:$AL42,增益!$A:$A,增益!$G:$G,0))</f>
        <v>0.12</v>
      </c>
      <c r="AX42" s="33" cm="1">
        <f t="array" ref="AX42">VLOOKUP($R42,武学奇术!$A:$ZZ,8,FALSE)+SUM(_xlfn.XLOOKUP($S42:$AL42,增益!$A:$A,增益!$H:$H,0))</f>
        <v>0</v>
      </c>
      <c r="AY42">
        <f t="shared" si="2"/>
        <v>0</v>
      </c>
      <c r="AZ42">
        <f t="shared" si="3"/>
        <v>0</v>
      </c>
      <c r="BA42" s="40" cm="1">
        <f t="array" ref="BA42">IF($F$11-$I$4+VLOOKUP($R42,武学奇术!$A:$ZZ,9,FALSE)+SUM(_xlfn.XLOOKUP($S42:$AL42,增益!$A:$A,增益!$I:$I,0))&gt;0,($F$11-$I$4+VLOOKUP($R42,武学奇术!$A:$ZZ,9,FALSE)+SUM(_xlfn.XLOOKUP($S42:$AL42,增益!$A:$A,增益!$I:$I,0)))/200,($F$11-$I$4+VLOOKUP($R42,武学奇术!$A:$ZZ,9,FALSE)+SUM(_xlfn.XLOOKUP($S42:$AL42,增益!$A:$A,增益!$I:$I,0)))/100)</f>
        <v>-0.14</v>
      </c>
      <c r="BB42" s="40" cm="1">
        <f t="array" ref="BB42">$G$11+VLOOKUP($R42,武学奇术!$A:$ZZ,10,FALSE)+SUM(_xlfn.XLOOKUP($S42:$AL42,增益!$A:$A,增益!$J:$J,0))</f>
        <v>0</v>
      </c>
      <c r="BC42">
        <f t="shared" si="4"/>
        <v>640.3</v>
      </c>
      <c r="BD42">
        <f t="shared" si="5"/>
        <v>1770.1</v>
      </c>
      <c r="BE42" s="40" cm="1">
        <f t="array" ref="BE42">IF($F$12-$I$4+VLOOKUP($R42,武学奇术!$A:$ZZ,11,FALSE)+SUM(_xlfn.XLOOKUP($S42:$AL42,增益!$A:$A,增益!$K:$K,0))&gt;0,($F$12-$I$4+VLOOKUP($R42,武学奇术!$A:$ZZ,11,FALSE)+SUM(_xlfn.XLOOKUP($S42:$AL42,增益!$A:$A,增益!$K:$K,0)))/200,($F$12-$I$4+VLOOKUP($R42,武学奇术!$A:$ZZ,11,FALSE)+SUM(_xlfn.XLOOKUP($S42:$AL42,增益!$A:$A,增益!$K:$K,0)))/100)</f>
        <v>0.17</v>
      </c>
      <c r="BF42" s="40" cm="1">
        <f t="array" ref="BF42">$G$12+VLOOKUP($R42,武学奇术!$A:$ZZ,12,FALSE)+SUM(_xlfn.XLOOKUP($S42:$AL42,增益!$A:$A,增益!$L:$L,0))</f>
        <v>0.27</v>
      </c>
      <c r="BG42">
        <f t="shared" si="6"/>
        <v>0</v>
      </c>
      <c r="BH42">
        <f t="shared" si="7"/>
        <v>0</v>
      </c>
      <c r="BI42" s="40" cm="1">
        <f t="array" ref="BI42">IF($F$13-$I$4+VLOOKUP($R42,武学奇术!$A:$ZZ,13,FALSE)+SUM(_xlfn.XLOOKUP($S42:$AL42,增益!$A:$A,增益!$M:$M,0))&gt;0,($F$13-$I$4+VLOOKUP($R42,武学奇术!$A:$ZZ,13,FALSE)+SUM(_xlfn.XLOOKUP($S42:$AL42,增益!$A:$A,增益!$K:$K,0)))/200,($F$13-$I$4+VLOOKUP($R42,武学奇术!$A:$ZZ,13,FALSE)+SUM(_xlfn.XLOOKUP($S42:$AL42,增益!$A:$A,增益!$M:$M,0)))/100)</f>
        <v>-0.14</v>
      </c>
      <c r="BJ42" s="40" cm="1">
        <f t="array" ref="BJ42">$G$13+VLOOKUP($R42,武学奇术!$A:$ZZ,14,FALSE)+SUM(_xlfn.XLOOKUP($S42:$AL42,增益!$A:$A,增益!$N:$N,0))</f>
        <v>0</v>
      </c>
      <c r="BK42">
        <f t="shared" si="8"/>
        <v>0</v>
      </c>
      <c r="BL42">
        <f t="shared" si="9"/>
        <v>0</v>
      </c>
      <c r="BM42" s="40" cm="1">
        <f t="array" ref="BM42">IF($F$14-$I$4+VLOOKUP($R42,武学奇术!$A:$ZZ,15,FALSE)+SUM(_xlfn.XLOOKUP($S42:$AL42,增益!$A:$A,增益!$O:$O,0))&gt;0,($F$14-$I$4+VLOOKUP($R42,武学奇术!$A:$ZZ,15,FALSE)+SUM(_xlfn.XLOOKUP($S42:$AL42,增益!$A:$A,增益!$O:$O,0)))/200,($F$14-$I$4+VLOOKUP($R42,武学奇术!$A:$ZZ,15,FALSE)+SUM(_xlfn.XLOOKUP($S42:$AL42,增益!$A:$A,增益!$O:$O,0)))/100)</f>
        <v>-0.14</v>
      </c>
      <c r="BN42" s="40" cm="1">
        <f t="array" ref="BN42">$G$14+VLOOKUP($R42,武学奇术!$A:$ZZ,16,FALSE)+SUM(_xlfn.XLOOKUP($S42:$AL42,增益!$A:$A,增益!$P:$P,0))</f>
        <v>0</v>
      </c>
      <c r="BO42" s="33">
        <f>MIN(IF(VLOOKUP($R42,武学奇术!$A:$ZZ,23,FALSE)=1,100%,$B$8),100%)</f>
        <v>1</v>
      </c>
      <c r="BP42" s="33" cm="1">
        <f t="array" ref="BP42">IF(VLOOKUP($R42,武学奇术!$A:$ZZ,23,FALSE)=1,100%,MIN(80%,$B$9+VLOOKUP($R42,武学奇术!$A:$ZZ,17,FALSE)+SUM(_xlfn.XLOOKUP($S42:$AL42,增益!$A:$A,增益!$Q:$Q,0)))+$B$11+SUM(_xlfn.XLOOKUP($S42:$AL42,增益!$A:$A,增益!$U:$U,0)))*IF(VLOOKUP($R42,武学奇术!$A:$ZZ,24,FALSE)=1,0,1)</f>
        <v>1</v>
      </c>
      <c r="BQ42" s="33" cm="1">
        <f t="array" ref="BQ42">1+$B$13+VLOOKUP($R42,武学奇术!$A:$ZZ,18,FALSE)+SUM(_xlfn.XLOOKUP($S42:$AL42,增益!$A:$A,增益!$R:$R,0))</f>
        <v>2.09</v>
      </c>
      <c r="BR42" s="33" cm="1">
        <f t="array" ref="BR42">IF(VLOOKUP($R42,武学奇术!$A:$ZZ,24,FALSE)=1,100%,MIN(40%,$B$10+VLOOKUP($R42,武学奇术!$A:$ZZ,19,FALSE)+SUM(_xlfn.XLOOKUP($S42:$AL42,增益!$A:$A,增益!$S:$S,0)))+$B$12+SUM(_xlfn.XLOOKUP($S42:$AL42,增益!$A:$A,增益!$V:$V,0)))*IF(VLOOKUP($R42,武学奇术!$A:$ZZ,23,FALSE)=1,0,1)</f>
        <v>0</v>
      </c>
      <c r="BS42" s="33" cm="1">
        <f t="array" ref="BS42">1+$B$14+VLOOKUP($R42,武学奇术!$A:$ZZ,20,FALSE)+SUM(_xlfn.XLOOKUP($S42:$AL42,增益!$A:$A,增益!$T:$T,0))</f>
        <v>1.35</v>
      </c>
      <c r="BT42" s="33">
        <f t="shared" si="10"/>
        <v>1</v>
      </c>
      <c r="BU42" s="33">
        <f t="shared" si="11"/>
        <v>0</v>
      </c>
      <c r="BV42" s="33">
        <f>IF(VLOOKUP($R42,武学奇术!$A:$ZZ,22,FALSE)=1,0,(1-$BO42))*(1-$BR42)</f>
        <v>0</v>
      </c>
      <c r="BW42" s="33" cm="1">
        <f t="array" ref="BW42">SUM(_xlfn.XLOOKUP($S42:$AL42,增益!$A:$A,增益!$W:$W,0))+$I$5</f>
        <v>0.11</v>
      </c>
      <c r="BX42" s="33" cm="1">
        <f t="array" ref="BX42">VLOOKUP($R42,武学奇术!$A:$ZZ,32,FALSE)+SUM(_xlfn.XLOOKUP($S42:$AL42,增益!$A:$A,增益!$X:$X,0))</f>
        <v>0</v>
      </c>
    </row>
    <row r="43" spans="5:76">
      <c r="L43" s="46">
        <f t="shared" si="0"/>
        <v>22820.0352024426</v>
      </c>
      <c r="M43" s="46">
        <f>((($AT43+$AU43)/2*$AN43+$AO43)*(1+$AV43)*(1+$AW43)+(($AY43+$AZ43)/2*IF($G$1="鸣金",$AP43,$AN43)+IF($G$1="鸣金",$AQ43*1.5,0))*(1+$BA43)*(1+$BB43)+(($BC43+$BD43)/2*IF($G$1="裂石",$AP43,$AN43)+IF($G$1="裂石",$AQ43*1.5,0))*(1+$BE43)*(1+$BF43)+(($BG43+$BH43)/2*IF($G$1="牵丝",$AP43,$AN43)+IF($G$1="牵丝",$AQ43*1.5,0))*(1+$BI43)*(1+$BJ43)+(($BK43+$BL43)/2*IF($G$1="破竹",$AP43,$AN43)+IF($G$1="破竹",$AQ43*1.5,0))*(1+$BM43)*(1+$BN43))*(1+$AR43)*$BQ43*$Q43*(1+IF(VLOOKUP($R43,武学奇术!$A:$ZZ,30,FALSE)="蓄力技",$B$21,0))*(1+IF(VLOOKUP($R43,武学奇术!$A:$ZZ,30,FALSE)="派生技",$B$20,0))*(1+$BW43)*(1+$BX43)</f>
        <v>22820.0352024426</v>
      </c>
      <c r="N43" s="46">
        <f>(($AU43*$AN43+$AO43)*(1+$AV43)*(1+$AW43)+($AZ43*IF($G$1="鸣金",$AP43,$AN43)+IF($G$1="鸣金",$AQ43*1.5,0))*(1+$BA43)*(1+$BB43)+($BD43*IF($G$1="裂石",$AP43,$AN43)+IF($G$1="裂石",$AQ43*1.5,0))*(1+$BE43)*(1+$BF43)+($BH43*IF($G$1="牵丝",$AP43,$AN43)+IF($G$1="牵丝",$AQ43*1.5,0))*(1+$BI43)*(1+$BJ43)+($BL43*IF($G$1="破竹",$AP43,$AN43)+IF($G$1="破竹",$AQ43*1.5,0))*(1+$BM43)*(1+$BN43))*(1+$AR43)*$BS43*$Q43*(1+IF(VLOOKUP($R43,武学奇术!$A:$ZZ,30,FALSE)="蓄力技",$B$21,0))*(1+IF(VLOOKUP($R43,武学奇术!$A:$ZZ,30,FALSE)="派生技",$B$20,0))*(1+$BW43)*(1+$BX43)</f>
        <v>16851.8741915363</v>
      </c>
      <c r="O43" s="46">
        <f>((($AT43+$AU43)/2*$AN43+$AO43)*(1+$AV43)*(1+$AW43)+(($AY43+$AZ43)/2*IF($G$1="鸣金",$AP43,$AN43)+IF($G$1="鸣金",$AQ43*1.5,0))*(1+$BA43)*(1+$BB43)+(($BC43+$BD43)/2*IF($G$1="裂石",$AP43,$AN43)+IF($G$1="裂石",$AQ43*1.5,0))*(1+$BE43)*(1+$BF43)+(($BG43+$BH43)/2*IF($G$1="牵丝",$AP43,$AN43)+IF($G$1="牵丝",$AQ43*1.5,0))*(1+$BI43)*(1+$BJ43)+(($BK43+$BL43)/2*IF($G$1="破竹",$AP43,$AN43)+IF($G$1="破竹",$AQ43*1.5,0))*(1+$BM43)*(1+$BN43))*(1+$AR43)*$Q43*(1+IF(VLOOKUP($R43,武学奇术!$A:$ZZ,30,FALSE)="蓄力技",$B$21,0))*(1+IF(VLOOKUP($R43,武学奇术!$A:$ZZ,30,FALSE)="派生技",$B$20,0))*(1+$BW43)*(1+$BX43)</f>
        <v>10918.6771303553</v>
      </c>
      <c r="P43" s="46">
        <f>((($AT43*$AN43+$AO43)*(1+$AV43)*(1+$AW43)+($AY43*IF($G$1="鸣金",$AP43,$AN43)+IF($G$1="鸣金",$AQ43*1.5,0))*(1+$BA43)*(1+$BB43)+($BC43*IF($G$1="裂石",$AP43,$AN43)+IF($G$1="裂石",$AQ43*1.5,0))*(1+$BE43)*(1+$BF43)+($BG43*IF($G$1="牵丝",$AP43,$AN43)+IF($G$1="牵丝",$AQ43*1.5,0))*(1+$BI43)*(1+$BJ43)+($BK43*IF($G$1="破竹",$AP43,$AN43)+IF($G$1="破竹",$AQ43*1.5,0))*(1+$BM43)*(1+$BN43))*(1+$AR43))*$Q43*(1+IF(VLOOKUP($R43,武学奇术!$A:$ZZ,30,FALSE)="蓄力技",$B$21,0))*(1+IF(VLOOKUP($R43,武学奇术!$A:$ZZ,30,FALSE)="派生技",$B$20,0))*(1+$BW43)*(1+$BX43)</f>
        <v>9354.48448920223</v>
      </c>
      <c r="Q43" s="47">
        <f t="shared" si="13"/>
        <v>1</v>
      </c>
      <c r="R43" s="48" t="s">
        <v>154</v>
      </c>
      <c r="S43" s="48" t="s">
        <v>99</v>
      </c>
      <c r="T43" s="48" t="s">
        <v>181</v>
      </c>
      <c r="U43" s="48" t="s">
        <v>79</v>
      </c>
      <c r="V43" s="48" t="s">
        <v>90</v>
      </c>
      <c r="W43" s="48" t="s">
        <v>141</v>
      </c>
      <c r="X43" s="48" t="s">
        <v>145</v>
      </c>
      <c r="Y43" s="48" t="s">
        <v>74</v>
      </c>
      <c r="Z43" s="48" t="s">
        <v>80</v>
      </c>
      <c r="AA43" s="48" t="s">
        <v>80</v>
      </c>
      <c r="AB43" s="48" t="s">
        <v>80</v>
      </c>
      <c r="AC43" s="48" t="s">
        <v>80</v>
      </c>
      <c r="AD43" s="48" t="s">
        <v>80</v>
      </c>
      <c r="AE43" s="48" t="s">
        <v>80</v>
      </c>
      <c r="AF43" s="48" t="s">
        <v>83</v>
      </c>
      <c r="AG43" s="48" t="s">
        <v>84</v>
      </c>
      <c r="AH43" s="48" t="s">
        <v>80</v>
      </c>
      <c r="AI43" s="48" t="s">
        <v>80</v>
      </c>
      <c r="AJ43" s="48" t="s">
        <v>80</v>
      </c>
      <c r="AK43" s="48" t="s">
        <v>80</v>
      </c>
      <c r="AL43" s="48" t="s">
        <v>80</v>
      </c>
      <c r="AM43" t="str">
        <f>VLOOKUP($R43,武学奇术!$A:$ZZ,25,FALSE)</f>
        <v>陌刀</v>
      </c>
      <c r="AN43" s="33">
        <f>VLOOKUP($R43,武学奇术!$A:$ZZ,26,FALSE)</f>
        <v>0.525</v>
      </c>
      <c r="AO43" s="34">
        <f>VLOOKUP($R43,武学奇术!$A:$ZZ,27,FALSE)*(1+IF(OR($AM43=$F$4,$AM43=$F$5),$B$22,0))</f>
        <v>0</v>
      </c>
      <c r="AP43" s="33">
        <f>VLOOKUP($R43,武学奇术!$A:$ZZ,28,FALSE)</f>
        <v>0.7875</v>
      </c>
      <c r="AQ43" s="34">
        <f>VLOOKUP($R43,武学奇术!$A:$ZZ,29,FALSE)*(1+IF(OR($AM43=$F$4,$AM43=$F$5),$B$22,0))</f>
        <v>0</v>
      </c>
      <c r="AR43" s="33" cm="1">
        <f t="array" ref="AR43">$G$3+IFERROR(VLOOKUP($AM43,$F$4:$G$7,2,FALSE),0)+VLOOKUP($R43,武学奇术!$A:$ZZ,2,FALSE)+SUM(_xlfn.XLOOKUP($S43:$AL43,增益!$A:$A,增益!$B:$B,0))</f>
        <v>0.6143</v>
      </c>
      <c r="AS43" s="33" cm="1">
        <f t="array" ref="AS43">VLOOKUP($R43,武学奇术!$A:$ZZ,5,FALSE)+SUM(_xlfn.XLOOKUP($S43:$AL43,增益!$A:$A,增益!$E:$E,0))</f>
        <v>0</v>
      </c>
      <c r="AT43" cm="1">
        <f t="array" ref="AT43">$D$10*(1+$AS43)+VLOOKUP($R43,武学奇术!$A:$ZZ,3,FALSE)+SUM(_xlfn.XLOOKUP($S43:$AL43,增益!$A:$A,增益!$C:$C,0))-$I$2</f>
        <v>4026</v>
      </c>
      <c r="AU43" cm="1">
        <f t="array" ref="AU43">$E$10*(1+$AS43)+VLOOKUP($R43,武学奇术!$A:$ZZ,4,FALSE)+SUM(_xlfn.XLOOKUP($S43:$AL43,增益!$A:$A,增益!$D:$D,0))-$I$2</f>
        <v>4026</v>
      </c>
      <c r="AV43" s="40" cm="1">
        <f t="array" ref="AV43">IF($F$10-$I$3+VLOOKUP($R43,武学奇术!$A:$ZZ,6,FALSE)+SUM(_xlfn.XLOOKUP($S43:$AL43,增益!$A:$A,增益!$F:$F,0))&gt;0,($F$10-$I$3+VLOOKUP($R43,武学奇术!$A:$ZZ,6,FALSE)+SUM(_xlfn.XLOOKUP($S43:$AL43,增益!$A:$A,增益!$F:$F,0)))/200,($F$10-$I$3+VLOOKUP($R43,武学奇术!$A:$ZZ,6,FALSE)+SUM(_xlfn.XLOOKUP($S43:$AL43,增益!$A:$A,增益!$F:$F,0)))/100)</f>
        <v>0.3534</v>
      </c>
      <c r="AW43" s="40" cm="1">
        <f t="array" ref="AW43">$G$10+VLOOKUP($R43,武学奇术!$A:$ZZ,7,FALSE)+SUM(_xlfn.XLOOKUP($S43:$AL43,增益!$A:$A,增益!$G:$G,0))</f>
        <v>0.12</v>
      </c>
      <c r="AX43" s="33" cm="1">
        <f t="array" ref="AX43">VLOOKUP($R43,武学奇术!$A:$ZZ,8,FALSE)+SUM(_xlfn.XLOOKUP($S43:$AL43,增益!$A:$A,增益!$H:$H,0))</f>
        <v>0</v>
      </c>
      <c r="AY43">
        <f t="shared" si="2"/>
        <v>0</v>
      </c>
      <c r="AZ43">
        <f t="shared" si="3"/>
        <v>0</v>
      </c>
      <c r="BA43" s="40" cm="1">
        <f t="array" ref="BA43">IF($F$11-$I$4+VLOOKUP($R43,武学奇术!$A:$ZZ,9,FALSE)+SUM(_xlfn.XLOOKUP($S43:$AL43,增益!$A:$A,增益!$I:$I,0))&gt;0,($F$11-$I$4+VLOOKUP($R43,武学奇术!$A:$ZZ,9,FALSE)+SUM(_xlfn.XLOOKUP($S43:$AL43,增益!$A:$A,增益!$I:$I,0)))/200,($F$11-$I$4+VLOOKUP($R43,武学奇术!$A:$ZZ,9,FALSE)+SUM(_xlfn.XLOOKUP($S43:$AL43,增益!$A:$A,增益!$I:$I,0)))/100)</f>
        <v>-0.14</v>
      </c>
      <c r="BB43" s="40" cm="1">
        <f t="array" ref="BB43">$G$11+VLOOKUP($R43,武学奇术!$A:$ZZ,10,FALSE)+SUM(_xlfn.XLOOKUP($S43:$AL43,增益!$A:$A,增益!$J:$J,0))</f>
        <v>0</v>
      </c>
      <c r="BC43">
        <f t="shared" si="4"/>
        <v>640.3</v>
      </c>
      <c r="BD43">
        <f t="shared" si="5"/>
        <v>1770.1</v>
      </c>
      <c r="BE43" s="40" cm="1">
        <f t="array" ref="BE43">IF($F$12-$I$4+VLOOKUP($R43,武学奇术!$A:$ZZ,11,FALSE)+SUM(_xlfn.XLOOKUP($S43:$AL43,增益!$A:$A,增益!$K:$K,0))&gt;0,($F$12-$I$4+VLOOKUP($R43,武学奇术!$A:$ZZ,11,FALSE)+SUM(_xlfn.XLOOKUP($S43:$AL43,增益!$A:$A,增益!$K:$K,0)))/200,($F$12-$I$4+VLOOKUP($R43,武学奇术!$A:$ZZ,11,FALSE)+SUM(_xlfn.XLOOKUP($S43:$AL43,增益!$A:$A,增益!$K:$K,0)))/100)</f>
        <v>0.17</v>
      </c>
      <c r="BF43" s="40" cm="1">
        <f t="array" ref="BF43">$G$12+VLOOKUP($R43,武学奇术!$A:$ZZ,12,FALSE)+SUM(_xlfn.XLOOKUP($S43:$AL43,增益!$A:$A,增益!$L:$L,0))</f>
        <v>0.27</v>
      </c>
      <c r="BG43">
        <f t="shared" si="6"/>
        <v>0</v>
      </c>
      <c r="BH43">
        <f t="shared" si="7"/>
        <v>0</v>
      </c>
      <c r="BI43" s="40" cm="1">
        <f t="array" ref="BI43">IF($F$13-$I$4+VLOOKUP($R43,武学奇术!$A:$ZZ,13,FALSE)+SUM(_xlfn.XLOOKUP($S43:$AL43,增益!$A:$A,增益!$M:$M,0))&gt;0,($F$13-$I$4+VLOOKUP($R43,武学奇术!$A:$ZZ,13,FALSE)+SUM(_xlfn.XLOOKUP($S43:$AL43,增益!$A:$A,增益!$K:$K,0)))/200,($F$13-$I$4+VLOOKUP($R43,武学奇术!$A:$ZZ,13,FALSE)+SUM(_xlfn.XLOOKUP($S43:$AL43,增益!$A:$A,增益!$M:$M,0)))/100)</f>
        <v>-0.14</v>
      </c>
      <c r="BJ43" s="40" cm="1">
        <f t="array" ref="BJ43">$G$13+VLOOKUP($R43,武学奇术!$A:$ZZ,14,FALSE)+SUM(_xlfn.XLOOKUP($S43:$AL43,增益!$A:$A,增益!$N:$N,0))</f>
        <v>0</v>
      </c>
      <c r="BK43">
        <f t="shared" si="8"/>
        <v>0</v>
      </c>
      <c r="BL43">
        <f t="shared" si="9"/>
        <v>0</v>
      </c>
      <c r="BM43" s="40" cm="1">
        <f t="array" ref="BM43">IF($F$14-$I$4+VLOOKUP($R43,武学奇术!$A:$ZZ,15,FALSE)+SUM(_xlfn.XLOOKUP($S43:$AL43,增益!$A:$A,增益!$O:$O,0))&gt;0,($F$14-$I$4+VLOOKUP($R43,武学奇术!$A:$ZZ,15,FALSE)+SUM(_xlfn.XLOOKUP($S43:$AL43,增益!$A:$A,增益!$O:$O,0)))/200,($F$14-$I$4+VLOOKUP($R43,武学奇术!$A:$ZZ,15,FALSE)+SUM(_xlfn.XLOOKUP($S43:$AL43,增益!$A:$A,增益!$O:$O,0)))/100)</f>
        <v>-0.14</v>
      </c>
      <c r="BN43" s="40" cm="1">
        <f t="array" ref="BN43">$G$14+VLOOKUP($R43,武学奇术!$A:$ZZ,16,FALSE)+SUM(_xlfn.XLOOKUP($S43:$AL43,增益!$A:$A,增益!$P:$P,0))</f>
        <v>0</v>
      </c>
      <c r="BO43" s="33">
        <f>MIN(IF(VLOOKUP($R43,武学奇术!$A:$ZZ,23,FALSE)=1,100%,$B$8),100%)</f>
        <v>1</v>
      </c>
      <c r="BP43" s="33" cm="1">
        <f t="array" ref="BP43">IF(VLOOKUP($R43,武学奇术!$A:$ZZ,23,FALSE)=1,100%,MIN(80%,$B$9+VLOOKUP($R43,武学奇术!$A:$ZZ,17,FALSE)+SUM(_xlfn.XLOOKUP($S43:$AL43,增益!$A:$A,增益!$Q:$Q,0)))+$B$11+SUM(_xlfn.XLOOKUP($S43:$AL43,增益!$A:$A,增益!$U:$U,0)))*IF(VLOOKUP($R43,武学奇术!$A:$ZZ,24,FALSE)=1,0,1)</f>
        <v>1</v>
      </c>
      <c r="BQ43" s="33" cm="1">
        <f t="array" ref="BQ43">1+$B$13+VLOOKUP($R43,武学奇术!$A:$ZZ,18,FALSE)+SUM(_xlfn.XLOOKUP($S43:$AL43,增益!$A:$A,增益!$R:$R,0))</f>
        <v>2.09</v>
      </c>
      <c r="BR43" s="33" cm="1">
        <f t="array" ref="BR43">IF(VLOOKUP($R43,武学奇术!$A:$ZZ,24,FALSE)=1,100%,MIN(40%,$B$10+VLOOKUP($R43,武学奇术!$A:$ZZ,19,FALSE)+SUM(_xlfn.XLOOKUP($S43:$AL43,增益!$A:$A,增益!$S:$S,0)))+$B$12+SUM(_xlfn.XLOOKUP($S43:$AL43,增益!$A:$A,增益!$V:$V,0)))*IF(VLOOKUP($R43,武学奇术!$A:$ZZ,23,FALSE)=1,0,1)</f>
        <v>0</v>
      </c>
      <c r="BS43" s="33" cm="1">
        <f t="array" ref="BS43">1+$B$14+VLOOKUP($R43,武学奇术!$A:$ZZ,20,FALSE)+SUM(_xlfn.XLOOKUP($S43:$AL43,增益!$A:$A,增益!$T:$T,0))</f>
        <v>1.35</v>
      </c>
      <c r="BT43" s="33">
        <f t="shared" si="10"/>
        <v>1</v>
      </c>
      <c r="BU43" s="33">
        <f t="shared" si="11"/>
        <v>0</v>
      </c>
      <c r="BV43" s="33">
        <f>IF(VLOOKUP($R43,武学奇术!$A:$ZZ,22,FALSE)=1,0,(1-$BO43))*(1-$BR43)</f>
        <v>0</v>
      </c>
      <c r="BW43" s="33" cm="1">
        <f t="array" ref="BW43">SUM(_xlfn.XLOOKUP($S43:$AL43,增益!$A:$A,增益!$W:$W,0))+$I$5</f>
        <v>0.11</v>
      </c>
      <c r="BX43" s="33" cm="1">
        <f t="array" ref="BX43">VLOOKUP($R43,武学奇术!$A:$ZZ,32,FALSE)+SUM(_xlfn.XLOOKUP($S43:$AL43,增益!$A:$A,增益!$X:$X,0))</f>
        <v>0</v>
      </c>
    </row>
    <row r="44" spans="5:76">
      <c r="L44" s="46">
        <f t="shared" si="0"/>
        <v>41076.0633643966</v>
      </c>
      <c r="M44" s="46">
        <f>((($AT44+$AU44)/2*$AN44+$AO44)*(1+$AV44)*(1+$AW44)+(($AY44+$AZ44)/2*IF($G$1="鸣金",$AP44,$AN44)+IF($G$1="鸣金",$AQ44*1.5,0))*(1+$BA44)*(1+$BB44)+(($BC44+$BD44)/2*IF($G$1="裂石",$AP44,$AN44)+IF($G$1="裂石",$AQ44*1.5,0))*(1+$BE44)*(1+$BF44)+(($BG44+$BH44)/2*IF($G$1="牵丝",$AP44,$AN44)+IF($G$1="牵丝",$AQ44*1.5,0))*(1+$BI44)*(1+$BJ44)+(($BK44+$BL44)/2*IF($G$1="破竹",$AP44,$AN44)+IF($G$1="破竹",$AQ44*1.5,0))*(1+$BM44)*(1+$BN44))*(1+$AR44)*$BQ44*$Q44*(1+IF(VLOOKUP($R44,武学奇术!$A:$ZZ,30,FALSE)="蓄力技",$B$21,0))*(1+IF(VLOOKUP($R44,武学奇术!$A:$ZZ,30,FALSE)="派生技",$B$20,0))*(1+$BW44)*(1+$BX44)</f>
        <v>41076.0633643966</v>
      </c>
      <c r="N44" s="46">
        <f>(($AU44*$AN44+$AO44)*(1+$AV44)*(1+$AW44)+($AZ44*IF($G$1="鸣金",$AP44,$AN44)+IF($G$1="鸣金",$AQ44*1.5,0))*(1+$BA44)*(1+$BB44)+($BD44*IF($G$1="裂石",$AP44,$AN44)+IF($G$1="裂石",$AQ44*1.5,0))*(1+$BE44)*(1+$BF44)+($BH44*IF($G$1="牵丝",$AP44,$AN44)+IF($G$1="牵丝",$AQ44*1.5,0))*(1+$BI44)*(1+$BJ44)+($BL44*IF($G$1="破竹",$AP44,$AN44)+IF($G$1="破竹",$AQ44*1.5,0))*(1+$BM44)*(1+$BN44))*(1+$AR44)*$BS44*$Q44*(1+IF(VLOOKUP($R44,武学奇术!$A:$ZZ,30,FALSE)="蓄力技",$B$21,0))*(1+IF(VLOOKUP($R44,武学奇术!$A:$ZZ,30,FALSE)="派生技",$B$20,0))*(1+$BW44)*(1+$BX44)</f>
        <v>30333.3735447654</v>
      </c>
      <c r="O44" s="46">
        <f>((($AT44+$AU44)/2*$AN44+$AO44)*(1+$AV44)*(1+$AW44)+(($AY44+$AZ44)/2*IF($G$1="鸣金",$AP44,$AN44)+IF($G$1="鸣金",$AQ44*1.5,0))*(1+$BA44)*(1+$BB44)+(($BC44+$BD44)/2*IF($G$1="裂石",$AP44,$AN44)+IF($G$1="裂石",$AQ44*1.5,0))*(1+$BE44)*(1+$BF44)+(($BG44+$BH44)/2*IF($G$1="牵丝",$AP44,$AN44)+IF($G$1="牵丝",$AQ44*1.5,0))*(1+$BI44)*(1+$BJ44)+(($BK44+$BL44)/2*IF($G$1="破竹",$AP44,$AN44)+IF($G$1="破竹",$AQ44*1.5,0))*(1+$BM44)*(1+$BN44))*(1+$AR44)*$Q44*(1+IF(VLOOKUP($R44,武学奇术!$A:$ZZ,30,FALSE)="蓄力技",$B$21,0))*(1+IF(VLOOKUP($R44,武学奇术!$A:$ZZ,30,FALSE)="派生技",$B$20,0))*(1+$BW44)*(1+$BX44)</f>
        <v>19653.6188346395</v>
      </c>
      <c r="P44" s="46">
        <f>((($AT44*$AN44+$AO44)*(1+$AV44)*(1+$AW44)+($AY44*IF($G$1="鸣金",$AP44,$AN44)+IF($G$1="鸣金",$AQ44*1.5,0))*(1+$BA44)*(1+$BB44)+($BC44*IF($G$1="裂石",$AP44,$AN44)+IF($G$1="裂石",$AQ44*1.5,0))*(1+$BE44)*(1+$BF44)+($BG44*IF($G$1="牵丝",$AP44,$AN44)+IF($G$1="牵丝",$AQ44*1.5,0))*(1+$BI44)*(1+$BJ44)+($BK44*IF($G$1="破竹",$AP44,$AN44)+IF($G$1="破竹",$AQ44*1.5,0))*(1+$BM44)*(1+$BN44))*(1+$AR44))*$Q44*(1+IF(VLOOKUP($R44,武学奇术!$A:$ZZ,30,FALSE)="蓄力技",$B$21,0))*(1+IF(VLOOKUP($R44,武学奇术!$A:$ZZ,30,FALSE)="派生技",$B$20,0))*(1+$BW44)*(1+$BX44)</f>
        <v>16838.072080564</v>
      </c>
      <c r="Q44" s="47">
        <f t="shared" si="13"/>
        <v>1</v>
      </c>
      <c r="R44" s="48" t="s">
        <v>144</v>
      </c>
      <c r="S44" s="48" t="s">
        <v>99</v>
      </c>
      <c r="T44" s="48" t="s">
        <v>181</v>
      </c>
      <c r="U44" s="48" t="s">
        <v>79</v>
      </c>
      <c r="V44" s="48" t="s">
        <v>90</v>
      </c>
      <c r="W44" s="48" t="s">
        <v>141</v>
      </c>
      <c r="X44" s="48" t="s">
        <v>145</v>
      </c>
      <c r="Y44" s="48" t="s">
        <v>74</v>
      </c>
      <c r="Z44" s="48" t="s">
        <v>80</v>
      </c>
      <c r="AA44" s="48" t="s">
        <v>80</v>
      </c>
      <c r="AB44" s="48" t="s">
        <v>80</v>
      </c>
      <c r="AC44" s="48" t="s">
        <v>80</v>
      </c>
      <c r="AD44" s="48" t="s">
        <v>80</v>
      </c>
      <c r="AE44" s="48" t="s">
        <v>80</v>
      </c>
      <c r="AF44" s="48" t="s">
        <v>83</v>
      </c>
      <c r="AG44" s="48" t="s">
        <v>84</v>
      </c>
      <c r="AH44" s="48" t="s">
        <v>80</v>
      </c>
      <c r="AI44" s="48" t="s">
        <v>80</v>
      </c>
      <c r="AJ44" s="48" t="s">
        <v>80</v>
      </c>
      <c r="AK44" s="48" t="s">
        <v>80</v>
      </c>
      <c r="AL44" s="48" t="s">
        <v>80</v>
      </c>
      <c r="AM44" t="str">
        <f>VLOOKUP($R44,武学奇术!$A:$ZZ,25,FALSE)</f>
        <v>陌刀</v>
      </c>
      <c r="AN44" s="33">
        <f>VLOOKUP($R44,武学奇术!$A:$ZZ,26,FALSE)</f>
        <v>0.945</v>
      </c>
      <c r="AO44" s="34">
        <f>VLOOKUP($R44,武学奇术!$A:$ZZ,27,FALSE)*(1+IF(OR($AM44=$F$4,$AM44=$F$5),$B$22,0))</f>
        <v>0</v>
      </c>
      <c r="AP44" s="33">
        <f>VLOOKUP($R44,武学奇术!$A:$ZZ,28,FALSE)</f>
        <v>1.4175</v>
      </c>
      <c r="AQ44" s="34">
        <f>VLOOKUP($R44,武学奇术!$A:$ZZ,29,FALSE)*(1+IF(OR($AM44=$F$4,$AM44=$F$5),$B$22,0))</f>
        <v>0</v>
      </c>
      <c r="AR44" s="33" cm="1">
        <f t="array" ref="AR44">$G$3+IFERROR(VLOOKUP($AM44,$F$4:$G$7,2,FALSE),0)+VLOOKUP($R44,武学奇术!$A:$ZZ,2,FALSE)+SUM(_xlfn.XLOOKUP($S44:$AL44,增益!$A:$A,增益!$B:$B,0))</f>
        <v>0.6143</v>
      </c>
      <c r="AS44" s="33" cm="1">
        <f t="array" ref="AS44">VLOOKUP($R44,武学奇术!$A:$ZZ,5,FALSE)+SUM(_xlfn.XLOOKUP($S44:$AL44,增益!$A:$A,增益!$E:$E,0))</f>
        <v>0</v>
      </c>
      <c r="AT44" cm="1">
        <f t="array" ref="AT44">$D$10*(1+$AS44)+VLOOKUP($R44,武学奇术!$A:$ZZ,3,FALSE)+SUM(_xlfn.XLOOKUP($S44:$AL44,增益!$A:$A,增益!$C:$C,0))-$I$2</f>
        <v>4026</v>
      </c>
      <c r="AU44" cm="1">
        <f t="array" ref="AU44">$E$10*(1+$AS44)+VLOOKUP($R44,武学奇术!$A:$ZZ,4,FALSE)+SUM(_xlfn.XLOOKUP($S44:$AL44,增益!$A:$A,增益!$D:$D,0))-$I$2</f>
        <v>4026</v>
      </c>
      <c r="AV44" s="40" cm="1">
        <f t="array" ref="AV44">IF($F$10-$I$3+VLOOKUP($R44,武学奇术!$A:$ZZ,6,FALSE)+SUM(_xlfn.XLOOKUP($S44:$AL44,增益!$A:$A,增益!$F:$F,0))&gt;0,($F$10-$I$3+VLOOKUP($R44,武学奇术!$A:$ZZ,6,FALSE)+SUM(_xlfn.XLOOKUP($S44:$AL44,增益!$A:$A,增益!$F:$F,0)))/200,($F$10-$I$3+VLOOKUP($R44,武学奇术!$A:$ZZ,6,FALSE)+SUM(_xlfn.XLOOKUP($S44:$AL44,增益!$A:$A,增益!$F:$F,0)))/100)</f>
        <v>0.3534</v>
      </c>
      <c r="AW44" s="40" cm="1">
        <f t="array" ref="AW44">$G$10+VLOOKUP($R44,武学奇术!$A:$ZZ,7,FALSE)+SUM(_xlfn.XLOOKUP($S44:$AL44,增益!$A:$A,增益!$G:$G,0))</f>
        <v>0.12</v>
      </c>
      <c r="AX44" s="33" cm="1">
        <f t="array" ref="AX44">VLOOKUP($R44,武学奇术!$A:$ZZ,8,FALSE)+SUM(_xlfn.XLOOKUP($S44:$AL44,增益!$A:$A,增益!$H:$H,0))</f>
        <v>0</v>
      </c>
      <c r="AY44">
        <f t="shared" si="2"/>
        <v>0</v>
      </c>
      <c r="AZ44">
        <f t="shared" si="3"/>
        <v>0</v>
      </c>
      <c r="BA44" s="40" cm="1">
        <f t="array" ref="BA44">IF($F$11-$I$4+VLOOKUP($R44,武学奇术!$A:$ZZ,9,FALSE)+SUM(_xlfn.XLOOKUP($S44:$AL44,增益!$A:$A,增益!$I:$I,0))&gt;0,($F$11-$I$4+VLOOKUP($R44,武学奇术!$A:$ZZ,9,FALSE)+SUM(_xlfn.XLOOKUP($S44:$AL44,增益!$A:$A,增益!$I:$I,0)))/200,($F$11-$I$4+VLOOKUP($R44,武学奇术!$A:$ZZ,9,FALSE)+SUM(_xlfn.XLOOKUP($S44:$AL44,增益!$A:$A,增益!$I:$I,0)))/100)</f>
        <v>-0.14</v>
      </c>
      <c r="BB44" s="40" cm="1">
        <f t="array" ref="BB44">$G$11+VLOOKUP($R44,武学奇术!$A:$ZZ,10,FALSE)+SUM(_xlfn.XLOOKUP($S44:$AL44,增益!$A:$A,增益!$J:$J,0))</f>
        <v>0</v>
      </c>
      <c r="BC44">
        <f t="shared" si="4"/>
        <v>640.3</v>
      </c>
      <c r="BD44">
        <f t="shared" si="5"/>
        <v>1770.1</v>
      </c>
      <c r="BE44" s="40" cm="1">
        <f t="array" ref="BE44">IF($F$12-$I$4+VLOOKUP($R44,武学奇术!$A:$ZZ,11,FALSE)+SUM(_xlfn.XLOOKUP($S44:$AL44,增益!$A:$A,增益!$K:$K,0))&gt;0,($F$12-$I$4+VLOOKUP($R44,武学奇术!$A:$ZZ,11,FALSE)+SUM(_xlfn.XLOOKUP($S44:$AL44,增益!$A:$A,增益!$K:$K,0)))/200,($F$12-$I$4+VLOOKUP($R44,武学奇术!$A:$ZZ,11,FALSE)+SUM(_xlfn.XLOOKUP($S44:$AL44,增益!$A:$A,增益!$K:$K,0)))/100)</f>
        <v>0.17</v>
      </c>
      <c r="BF44" s="40" cm="1">
        <f t="array" ref="BF44">$G$12+VLOOKUP($R44,武学奇术!$A:$ZZ,12,FALSE)+SUM(_xlfn.XLOOKUP($S44:$AL44,增益!$A:$A,增益!$L:$L,0))</f>
        <v>0.27</v>
      </c>
      <c r="BG44">
        <f t="shared" si="6"/>
        <v>0</v>
      </c>
      <c r="BH44">
        <f t="shared" si="7"/>
        <v>0</v>
      </c>
      <c r="BI44" s="40" cm="1">
        <f t="array" ref="BI44">IF($F$13-$I$4+VLOOKUP($R44,武学奇术!$A:$ZZ,13,FALSE)+SUM(_xlfn.XLOOKUP($S44:$AL44,增益!$A:$A,增益!$M:$M,0))&gt;0,($F$13-$I$4+VLOOKUP($R44,武学奇术!$A:$ZZ,13,FALSE)+SUM(_xlfn.XLOOKUP($S44:$AL44,增益!$A:$A,增益!$K:$K,0)))/200,($F$13-$I$4+VLOOKUP($R44,武学奇术!$A:$ZZ,13,FALSE)+SUM(_xlfn.XLOOKUP($S44:$AL44,增益!$A:$A,增益!$M:$M,0)))/100)</f>
        <v>-0.14</v>
      </c>
      <c r="BJ44" s="40" cm="1">
        <f t="array" ref="BJ44">$G$13+VLOOKUP($R44,武学奇术!$A:$ZZ,14,FALSE)+SUM(_xlfn.XLOOKUP($S44:$AL44,增益!$A:$A,增益!$N:$N,0))</f>
        <v>0</v>
      </c>
      <c r="BK44">
        <f t="shared" si="8"/>
        <v>0</v>
      </c>
      <c r="BL44">
        <f t="shared" si="9"/>
        <v>0</v>
      </c>
      <c r="BM44" s="40" cm="1">
        <f t="array" ref="BM44">IF($F$14-$I$4+VLOOKUP($R44,武学奇术!$A:$ZZ,15,FALSE)+SUM(_xlfn.XLOOKUP($S44:$AL44,增益!$A:$A,增益!$O:$O,0))&gt;0,($F$14-$I$4+VLOOKUP($R44,武学奇术!$A:$ZZ,15,FALSE)+SUM(_xlfn.XLOOKUP($S44:$AL44,增益!$A:$A,增益!$O:$O,0)))/200,($F$14-$I$4+VLOOKUP($R44,武学奇术!$A:$ZZ,15,FALSE)+SUM(_xlfn.XLOOKUP($S44:$AL44,增益!$A:$A,增益!$O:$O,0)))/100)</f>
        <v>-0.14</v>
      </c>
      <c r="BN44" s="40" cm="1">
        <f t="array" ref="BN44">$G$14+VLOOKUP($R44,武学奇术!$A:$ZZ,16,FALSE)+SUM(_xlfn.XLOOKUP($S44:$AL44,增益!$A:$A,增益!$P:$P,0))</f>
        <v>0</v>
      </c>
      <c r="BO44" s="33">
        <f>MIN(IF(VLOOKUP($R44,武学奇术!$A:$ZZ,23,FALSE)=1,100%,$B$8),100%)</f>
        <v>1</v>
      </c>
      <c r="BP44" s="33" cm="1">
        <f t="array" ref="BP44">IF(VLOOKUP($R44,武学奇术!$A:$ZZ,23,FALSE)=1,100%,MIN(80%,$B$9+VLOOKUP($R44,武学奇术!$A:$ZZ,17,FALSE)+SUM(_xlfn.XLOOKUP($S44:$AL44,增益!$A:$A,增益!$Q:$Q,0)))+$B$11+SUM(_xlfn.XLOOKUP($S44:$AL44,增益!$A:$A,增益!$U:$U,0)))*IF(VLOOKUP($R44,武学奇术!$A:$ZZ,24,FALSE)=1,0,1)</f>
        <v>1</v>
      </c>
      <c r="BQ44" s="33" cm="1">
        <f t="array" ref="BQ44">1+$B$13+VLOOKUP($R44,武学奇术!$A:$ZZ,18,FALSE)+SUM(_xlfn.XLOOKUP($S44:$AL44,增益!$A:$A,增益!$R:$R,0))</f>
        <v>2.09</v>
      </c>
      <c r="BR44" s="33" cm="1">
        <f t="array" ref="BR44">IF(VLOOKUP($R44,武学奇术!$A:$ZZ,24,FALSE)=1,100%,MIN(40%,$B$10+VLOOKUP($R44,武学奇术!$A:$ZZ,19,FALSE)+SUM(_xlfn.XLOOKUP($S44:$AL44,增益!$A:$A,增益!$S:$S,0)))+$B$12+SUM(_xlfn.XLOOKUP($S44:$AL44,增益!$A:$A,增益!$V:$V,0)))*IF(VLOOKUP($R44,武学奇术!$A:$ZZ,23,FALSE)=1,0,1)</f>
        <v>0</v>
      </c>
      <c r="BS44" s="33" cm="1">
        <f t="array" ref="BS44">1+$B$14+VLOOKUP($R44,武学奇术!$A:$ZZ,20,FALSE)+SUM(_xlfn.XLOOKUP($S44:$AL44,增益!$A:$A,增益!$T:$T,0))</f>
        <v>1.35</v>
      </c>
      <c r="BT44" s="33">
        <f t="shared" si="10"/>
        <v>1</v>
      </c>
      <c r="BU44" s="33">
        <f t="shared" si="11"/>
        <v>0</v>
      </c>
      <c r="BV44" s="33">
        <f>IF(VLOOKUP($R44,武学奇术!$A:$ZZ,22,FALSE)=1,0,(1-$BO44))*(1-$BR44)</f>
        <v>0</v>
      </c>
      <c r="BW44" s="33" cm="1">
        <f t="array" ref="BW44">SUM(_xlfn.XLOOKUP($S44:$AL44,增益!$A:$A,增益!$W:$W,0))+$I$5</f>
        <v>0.11</v>
      </c>
      <c r="BX44" s="33" cm="1">
        <f t="array" ref="BX44">VLOOKUP($R44,武学奇术!$A:$ZZ,32,FALSE)+SUM(_xlfn.XLOOKUP($S44:$AL44,增益!$A:$A,增益!$X:$X,0))</f>
        <v>0</v>
      </c>
    </row>
    <row r="45" spans="5:76">
      <c r="L45" s="46">
        <f t="shared" si="0"/>
        <v>375932.306079236</v>
      </c>
      <c r="M45" s="46">
        <f>((($AT45+$AU45)/2*$AN45+$AO45)*(1+$AV45)*(1+$AW45)+(($AY45+$AZ45)/2*IF($G$1="鸣金",$AP45,$AN45)+IF($G$1="鸣金",$AQ45*1.5,0))*(1+$BA45)*(1+$BB45)+(($BC45+$BD45)/2*IF($G$1="裂石",$AP45,$AN45)+IF($G$1="裂石",$AQ45*1.5,0))*(1+$BE45)*(1+$BF45)+(($BG45+$BH45)/2*IF($G$1="牵丝",$AP45,$AN45)+IF($G$1="牵丝",$AQ45*1.5,0))*(1+$BI45)*(1+$BJ45)+(($BK45+$BL45)/2*IF($G$1="破竹",$AP45,$AN45)+IF($G$1="破竹",$AQ45*1.5,0))*(1+$BM45)*(1+$BN45))*(1+$AR45)*$BQ45*$Q45*(1+IF(VLOOKUP($R45,武学奇术!$A:$ZZ,30,FALSE)="蓄力技",$B$21,0))*(1+IF(VLOOKUP($R45,武学奇术!$A:$ZZ,30,FALSE)="派生技",$B$20,0))*(1+$BW45)*(1+$BX45)</f>
        <v>375932.306079236</v>
      </c>
      <c r="N45" s="46">
        <f>(($AU45*$AN45+$AO45)*(1+$AV45)*(1+$AW45)+($AZ45*IF($G$1="鸣金",$AP45,$AN45)+IF($G$1="鸣金",$AQ45*1.5,0))*(1+$BA45)*(1+$BB45)+($BD45*IF($G$1="裂石",$AP45,$AN45)+IF($G$1="裂石",$AQ45*1.5,0))*(1+$BE45)*(1+$BF45)+($BH45*IF($G$1="牵丝",$AP45,$AN45)+IF($G$1="牵丝",$AQ45*1.5,0))*(1+$BI45)*(1+$BJ45)+($BL45*IF($G$1="破竹",$AP45,$AN45)+IF($G$1="破竹",$AQ45*1.5,0))*(1+$BM45)*(1+$BN45))*(1+$AR45)*$BS45*$Q45*(1+IF(VLOOKUP($R45,武学奇术!$A:$ZZ,30,FALSE)="蓄力技",$B$21,0))*(1+IF(VLOOKUP($R45,武学奇术!$A:$ZZ,30,FALSE)="派生技",$B$20,0))*(1+$BW45)*(1+$BX45)</f>
        <v>272108.70563652</v>
      </c>
      <c r="O45" s="46">
        <f>((($AT45+$AU45)/2*$AN45+$AO45)*(1+$AV45)*(1+$AW45)+(($AY45+$AZ45)/2*IF($G$1="鸣金",$AP45,$AN45)+IF($G$1="鸣金",$AQ45*1.5,0))*(1+$BA45)*(1+$BB45)+(($BC45+$BD45)/2*IF($G$1="裂石",$AP45,$AN45)+IF($G$1="裂石",$AQ45*1.5,0))*(1+$BE45)*(1+$BF45)+(($BG45+$BH45)/2*IF($G$1="牵丝",$AP45,$AN45)+IF($G$1="牵丝",$AQ45*1.5,0))*(1+$BI45)*(1+$BJ45)+(($BK45+$BL45)/2*IF($G$1="破竹",$AP45,$AN45)+IF($G$1="破竹",$AQ45*1.5,0))*(1+$BM45)*(1+$BN45))*(1+$AR45)*$Q45*(1+IF(VLOOKUP($R45,武学奇术!$A:$ZZ,30,FALSE)="蓄力技",$B$21,0))*(1+IF(VLOOKUP($R45,武学奇术!$A:$ZZ,30,FALSE)="派生技",$B$20,0))*(1+$BW45)*(1+$BX45)</f>
        <v>179015.383847255</v>
      </c>
      <c r="P45" s="46">
        <f>((($AT45*$AN45+$AO45)*(1+$AV45)*(1+$AW45)+($AY45*IF($G$1="鸣金",$AP45,$AN45)+IF($G$1="鸣金",$AQ45*1.5,0))*(1+$BA45)*(1+$BB45)+($BC45*IF($G$1="裂石",$AP45,$AN45)+IF($G$1="裂石",$AQ45*1.5,0))*(1+$BE45)*(1+$BF45)+($BG45*IF($G$1="牵丝",$AP45,$AN45)+IF($G$1="牵丝",$AQ45*1.5,0))*(1+$BI45)*(1+$BJ45)+($BK45*IF($G$1="破竹",$AP45,$AN45)+IF($G$1="破竹",$AQ45*1.5,0))*(1+$BM45)*(1+$BN45))*(1+$AR45))*$Q45*(1+IF(VLOOKUP($R45,武学奇术!$A:$ZZ,30,FALSE)="蓄力技",$B$21,0))*(1+IF(VLOOKUP($R45,武学奇术!$A:$ZZ,30,FALSE)="派生技",$B$20,0))*(1+$BW45)*(1+$BX45)</f>
        <v>156468.76351931</v>
      </c>
      <c r="Q45" s="47">
        <f t="shared" si="13"/>
        <v>1</v>
      </c>
      <c r="R45" s="48" t="s">
        <v>148</v>
      </c>
      <c r="S45" s="48" t="s">
        <v>99</v>
      </c>
      <c r="T45" s="48" t="s">
        <v>182</v>
      </c>
      <c r="U45" s="48" t="s">
        <v>79</v>
      </c>
      <c r="V45" s="48" t="s">
        <v>90</v>
      </c>
      <c r="W45" s="48" t="s">
        <v>141</v>
      </c>
      <c r="X45" s="48" t="s">
        <v>145</v>
      </c>
      <c r="Y45" s="48" t="s">
        <v>74</v>
      </c>
      <c r="Z45" s="48" t="s">
        <v>80</v>
      </c>
      <c r="AA45" s="48" t="s">
        <v>80</v>
      </c>
      <c r="AB45" s="48" t="s">
        <v>80</v>
      </c>
      <c r="AC45" s="48" t="s">
        <v>80</v>
      </c>
      <c r="AD45" s="48" t="s">
        <v>80</v>
      </c>
      <c r="AE45" s="48" t="s">
        <v>80</v>
      </c>
      <c r="AF45" s="48" t="s">
        <v>83</v>
      </c>
      <c r="AG45" s="48" t="s">
        <v>84</v>
      </c>
      <c r="AH45" s="48" t="s">
        <v>80</v>
      </c>
      <c r="AI45" s="48" t="s">
        <v>80</v>
      </c>
      <c r="AJ45" s="48" t="s">
        <v>80</v>
      </c>
      <c r="AK45" s="48" t="s">
        <v>80</v>
      </c>
      <c r="AL45" s="48" t="s">
        <v>80</v>
      </c>
      <c r="AM45" t="str">
        <f>VLOOKUP($R45,武学奇术!$A:$ZZ,25,FALSE)</f>
        <v>陌刀</v>
      </c>
      <c r="AN45" s="33">
        <f>VLOOKUP($R45,武学奇术!$A:$ZZ,26,FALSE)</f>
        <v>7.5674</v>
      </c>
      <c r="AO45" s="34">
        <f>VLOOKUP($R45,武学奇术!$A:$ZZ,27,FALSE)*(1+IF(OR($AM45=$F$4,$AM45=$F$5),$B$22,0))</f>
        <v>3348.8</v>
      </c>
      <c r="AP45" s="33">
        <f>VLOOKUP($R45,武学奇术!$A:$ZZ,28,FALSE)</f>
        <v>11.3512</v>
      </c>
      <c r="AQ45" s="34">
        <f>VLOOKUP($R45,武学奇术!$A:$ZZ,29,FALSE)*(1+IF(OR($AM45=$F$4,$AM45=$F$5),$B$22,0))</f>
        <v>1824</v>
      </c>
      <c r="AR45" s="33" cm="1">
        <f t="array" ref="AR45">$G$3+IFERROR(VLOOKUP($AM45,$F$4:$G$7,2,FALSE),0)+VLOOKUP($R45,武学奇术!$A:$ZZ,2,FALSE)+SUM(_xlfn.XLOOKUP($S45:$AL45,增益!$A:$A,增益!$B:$B,0))</f>
        <v>0.6143</v>
      </c>
      <c r="AS45" s="33" cm="1">
        <f t="array" ref="AS45">VLOOKUP($R45,武学奇术!$A:$ZZ,5,FALSE)+SUM(_xlfn.XLOOKUP($S45:$AL45,增益!$A:$A,增益!$E:$E,0))</f>
        <v>0</v>
      </c>
      <c r="AT45" cm="1">
        <f t="array" ref="AT45">$D$10*(1+$AS45)+VLOOKUP($R45,武学奇术!$A:$ZZ,3,FALSE)+SUM(_xlfn.XLOOKUP($S45:$AL45,增益!$A:$A,增益!$C:$C,0))-$I$2</f>
        <v>4026</v>
      </c>
      <c r="AU45" cm="1">
        <f t="array" ref="AU45">$E$10*(1+$AS45)+VLOOKUP($R45,武学奇术!$A:$ZZ,4,FALSE)+SUM(_xlfn.XLOOKUP($S45:$AL45,增益!$A:$A,增益!$D:$D,0))-$I$2</f>
        <v>4026</v>
      </c>
      <c r="AV45" s="40" cm="1">
        <f t="array" ref="AV45">IF($F$10-$I$3+VLOOKUP($R45,武学奇术!$A:$ZZ,6,FALSE)+SUM(_xlfn.XLOOKUP($S45:$AL45,增益!$A:$A,增益!$F:$F,0))&gt;0,($F$10-$I$3+VLOOKUP($R45,武学奇术!$A:$ZZ,6,FALSE)+SUM(_xlfn.XLOOKUP($S45:$AL45,增益!$A:$A,增益!$F:$F,0)))/200,($F$10-$I$3+VLOOKUP($R45,武学奇术!$A:$ZZ,6,FALSE)+SUM(_xlfn.XLOOKUP($S45:$AL45,增益!$A:$A,增益!$F:$F,0)))/100)</f>
        <v>0.3534</v>
      </c>
      <c r="AW45" s="40" cm="1">
        <f t="array" ref="AW45">$G$10+VLOOKUP($R45,武学奇术!$A:$ZZ,7,FALSE)+SUM(_xlfn.XLOOKUP($S45:$AL45,增益!$A:$A,增益!$G:$G,0))</f>
        <v>0.12</v>
      </c>
      <c r="AX45" s="33" cm="1">
        <f t="array" ref="AX45">VLOOKUP($R45,武学奇术!$A:$ZZ,8,FALSE)+SUM(_xlfn.XLOOKUP($S45:$AL45,增益!$A:$A,增益!$H:$H,0))</f>
        <v>0</v>
      </c>
      <c r="AY45">
        <f t="shared" si="2"/>
        <v>0</v>
      </c>
      <c r="AZ45">
        <f t="shared" si="3"/>
        <v>0</v>
      </c>
      <c r="BA45" s="40" cm="1">
        <f t="array" ref="BA45">IF($F$11-$I$4+VLOOKUP($R45,武学奇术!$A:$ZZ,9,FALSE)+SUM(_xlfn.XLOOKUP($S45:$AL45,增益!$A:$A,增益!$I:$I,0))&gt;0,($F$11-$I$4+VLOOKUP($R45,武学奇术!$A:$ZZ,9,FALSE)+SUM(_xlfn.XLOOKUP($S45:$AL45,增益!$A:$A,增益!$I:$I,0)))/200,($F$11-$I$4+VLOOKUP($R45,武学奇术!$A:$ZZ,9,FALSE)+SUM(_xlfn.XLOOKUP($S45:$AL45,增益!$A:$A,增益!$I:$I,0)))/100)</f>
        <v>-0.14</v>
      </c>
      <c r="BB45" s="40" cm="1">
        <f t="array" ref="BB45">$G$11+VLOOKUP($R45,武学奇术!$A:$ZZ,10,FALSE)+SUM(_xlfn.XLOOKUP($S45:$AL45,增益!$A:$A,增益!$J:$J,0))</f>
        <v>0</v>
      </c>
      <c r="BC45">
        <f t="shared" si="4"/>
        <v>640.3</v>
      </c>
      <c r="BD45">
        <f t="shared" si="5"/>
        <v>1770.1</v>
      </c>
      <c r="BE45" s="40" cm="1">
        <f t="array" ref="BE45">IF($F$12-$I$4+VLOOKUP($R45,武学奇术!$A:$ZZ,11,FALSE)+SUM(_xlfn.XLOOKUP($S45:$AL45,增益!$A:$A,增益!$K:$K,0))&gt;0,($F$12-$I$4+VLOOKUP($R45,武学奇术!$A:$ZZ,11,FALSE)+SUM(_xlfn.XLOOKUP($S45:$AL45,增益!$A:$A,增益!$K:$K,0)))/200,($F$12-$I$4+VLOOKUP($R45,武学奇术!$A:$ZZ,11,FALSE)+SUM(_xlfn.XLOOKUP($S45:$AL45,增益!$A:$A,增益!$K:$K,0)))/100)</f>
        <v>0.17</v>
      </c>
      <c r="BF45" s="40" cm="1">
        <f t="array" ref="BF45">$G$12+VLOOKUP($R45,武学奇术!$A:$ZZ,12,FALSE)+SUM(_xlfn.XLOOKUP($S45:$AL45,增益!$A:$A,增益!$L:$L,0))</f>
        <v>0.27</v>
      </c>
      <c r="BG45">
        <f t="shared" si="6"/>
        <v>0</v>
      </c>
      <c r="BH45">
        <f t="shared" si="7"/>
        <v>0</v>
      </c>
      <c r="BI45" s="40" cm="1">
        <f t="array" ref="BI45">IF($F$13-$I$4+VLOOKUP($R45,武学奇术!$A:$ZZ,13,FALSE)+SUM(_xlfn.XLOOKUP($S45:$AL45,增益!$A:$A,增益!$M:$M,0))&gt;0,($F$13-$I$4+VLOOKUP($R45,武学奇术!$A:$ZZ,13,FALSE)+SUM(_xlfn.XLOOKUP($S45:$AL45,增益!$A:$A,增益!$K:$K,0)))/200,($F$13-$I$4+VLOOKUP($R45,武学奇术!$A:$ZZ,13,FALSE)+SUM(_xlfn.XLOOKUP($S45:$AL45,增益!$A:$A,增益!$M:$M,0)))/100)</f>
        <v>-0.14</v>
      </c>
      <c r="BJ45" s="40" cm="1">
        <f t="array" ref="BJ45">$G$13+VLOOKUP($R45,武学奇术!$A:$ZZ,14,FALSE)+SUM(_xlfn.XLOOKUP($S45:$AL45,增益!$A:$A,增益!$N:$N,0))</f>
        <v>0</v>
      </c>
      <c r="BK45">
        <f t="shared" si="8"/>
        <v>0</v>
      </c>
      <c r="BL45">
        <f t="shared" si="9"/>
        <v>0</v>
      </c>
      <c r="BM45" s="40" cm="1">
        <f t="array" ref="BM45">IF($F$14-$I$4+VLOOKUP($R45,武学奇术!$A:$ZZ,15,FALSE)+SUM(_xlfn.XLOOKUP($S45:$AL45,增益!$A:$A,增益!$O:$O,0))&gt;0,($F$14-$I$4+VLOOKUP($R45,武学奇术!$A:$ZZ,15,FALSE)+SUM(_xlfn.XLOOKUP($S45:$AL45,增益!$A:$A,增益!$O:$O,0)))/200,($F$14-$I$4+VLOOKUP($R45,武学奇术!$A:$ZZ,15,FALSE)+SUM(_xlfn.XLOOKUP($S45:$AL45,增益!$A:$A,增益!$O:$O,0)))/100)</f>
        <v>-0.14</v>
      </c>
      <c r="BN45" s="40" cm="1">
        <f t="array" ref="BN45">$G$14+VLOOKUP($R45,武学奇术!$A:$ZZ,16,FALSE)+SUM(_xlfn.XLOOKUP($S45:$AL45,增益!$A:$A,增益!$P:$P,0))</f>
        <v>0</v>
      </c>
      <c r="BO45" s="33">
        <f>MIN(IF(VLOOKUP($R45,武学奇术!$A:$ZZ,23,FALSE)=1,100%,$B$8),100%)</f>
        <v>1</v>
      </c>
      <c r="BP45" s="33" cm="1">
        <f t="array" ref="BP45">IF(VLOOKUP($R45,武学奇术!$A:$ZZ,23,FALSE)=1,100%,MIN(80%,$B$9+VLOOKUP($R45,武学奇术!$A:$ZZ,17,FALSE)+SUM(_xlfn.XLOOKUP($S45:$AL45,增益!$A:$A,增益!$Q:$Q,0)))+$B$11+SUM(_xlfn.XLOOKUP($S45:$AL45,增益!$A:$A,增益!$U:$U,0)))*IF(VLOOKUP($R45,武学奇术!$A:$ZZ,24,FALSE)=1,0,1)</f>
        <v>1</v>
      </c>
      <c r="BQ45" s="33" cm="1">
        <f t="array" ref="BQ45">1+$B$13+VLOOKUP($R45,武学奇术!$A:$ZZ,18,FALSE)+SUM(_xlfn.XLOOKUP($S45:$AL45,增益!$A:$A,增益!$R:$R,0))</f>
        <v>2.1</v>
      </c>
      <c r="BR45" s="33" cm="1">
        <f t="array" ref="BR45">IF(VLOOKUP($R45,武学奇术!$A:$ZZ,24,FALSE)=1,100%,MIN(40%,$B$10+VLOOKUP($R45,武学奇术!$A:$ZZ,19,FALSE)+SUM(_xlfn.XLOOKUP($S45:$AL45,增益!$A:$A,增益!$S:$S,0)))+$B$12+SUM(_xlfn.XLOOKUP($S45:$AL45,增益!$A:$A,增益!$V:$V,0)))*IF(VLOOKUP($R45,武学奇术!$A:$ZZ,23,FALSE)=1,0,1)</f>
        <v>0</v>
      </c>
      <c r="BS45" s="33" cm="1">
        <f t="array" ref="BS45">1+$B$14+VLOOKUP($R45,武学奇术!$A:$ZZ,20,FALSE)+SUM(_xlfn.XLOOKUP($S45:$AL45,增益!$A:$A,增益!$T:$T,0))</f>
        <v>1.35</v>
      </c>
      <c r="BT45" s="33">
        <f t="shared" si="10"/>
        <v>1</v>
      </c>
      <c r="BU45" s="33">
        <f t="shared" si="11"/>
        <v>0</v>
      </c>
      <c r="BV45" s="33">
        <f>IF(VLOOKUP($R45,武学奇术!$A:$ZZ,22,FALSE)=1,0,(1-$BO45))*(1-$BR45)</f>
        <v>0</v>
      </c>
      <c r="BW45" s="33" cm="1">
        <f t="array" ref="BW45">SUM(_xlfn.XLOOKUP($S45:$AL45,增益!$A:$A,增益!$W:$W,0))+$I$5</f>
        <v>0.11</v>
      </c>
      <c r="BX45" s="33" cm="1">
        <f t="array" ref="BX45">VLOOKUP($R45,武学奇术!$A:$ZZ,32,FALSE)+SUM(_xlfn.XLOOKUP($S45:$AL45,增益!$A:$A,增益!$X:$X,0))</f>
        <v>0</v>
      </c>
    </row>
    <row r="46" spans="5:76">
      <c r="L46" s="46">
        <f t="shared" si="0"/>
        <v>22929.2219737461</v>
      </c>
      <c r="M46" s="46">
        <f>((($AT46+$AU46)/2*$AN46+$AO46)*(1+$AV46)*(1+$AW46)+(($AY46+$AZ46)/2*IF($G$1="鸣金",$AP46,$AN46)+IF($G$1="鸣金",$AQ46*1.5,0))*(1+$BA46)*(1+$BB46)+(($BC46+$BD46)/2*IF($G$1="裂石",$AP46,$AN46)+IF($G$1="裂石",$AQ46*1.5,0))*(1+$BE46)*(1+$BF46)+(($BG46+$BH46)/2*IF($G$1="牵丝",$AP46,$AN46)+IF($G$1="牵丝",$AQ46*1.5,0))*(1+$BI46)*(1+$BJ46)+(($BK46+$BL46)/2*IF($G$1="破竹",$AP46,$AN46)+IF($G$1="破竹",$AQ46*1.5,0))*(1+$BM46)*(1+$BN46))*(1+$AR46)*$BQ46*$Q46*(1+IF(VLOOKUP($R46,武学奇术!$A:$ZZ,30,FALSE)="蓄力技",$B$21,0))*(1+IF(VLOOKUP($R46,武学奇术!$A:$ZZ,30,FALSE)="派生技",$B$20,0))*(1+$BW46)*(1+$BX46)</f>
        <v>22929.2219737461</v>
      </c>
      <c r="N46" s="46">
        <f>(($AU46*$AN46+$AO46)*(1+$AV46)*(1+$AW46)+($AZ46*IF($G$1="鸣金",$AP46,$AN46)+IF($G$1="鸣金",$AQ46*1.5,0))*(1+$BA46)*(1+$BB46)+($BD46*IF($G$1="裂石",$AP46,$AN46)+IF($G$1="裂石",$AQ46*1.5,0))*(1+$BE46)*(1+$BF46)+($BH46*IF($G$1="牵丝",$AP46,$AN46)+IF($G$1="牵丝",$AQ46*1.5,0))*(1+$BI46)*(1+$BJ46)+($BL46*IF($G$1="破竹",$AP46,$AN46)+IF($G$1="破竹",$AQ46*1.5,0))*(1+$BM46)*(1+$BN46))*(1+$AR46)*$BS46*$Q46*(1+IF(VLOOKUP($R46,武学奇术!$A:$ZZ,30,FALSE)="蓄力技",$B$21,0))*(1+IF(VLOOKUP($R46,武学奇术!$A:$ZZ,30,FALSE)="派生技",$B$20,0))*(1+$BW46)*(1+$BX46)</f>
        <v>16851.8741915363</v>
      </c>
      <c r="O46" s="46">
        <f>((($AT46+$AU46)/2*$AN46+$AO46)*(1+$AV46)*(1+$AW46)+(($AY46+$AZ46)/2*IF($G$1="鸣金",$AP46,$AN46)+IF($G$1="鸣金",$AQ46*1.5,0))*(1+$BA46)*(1+$BB46)+(($BC46+$BD46)/2*IF($G$1="裂石",$AP46,$AN46)+IF($G$1="裂石",$AQ46*1.5,0))*(1+$BE46)*(1+$BF46)+(($BG46+$BH46)/2*IF($G$1="牵丝",$AP46,$AN46)+IF($G$1="牵丝",$AQ46*1.5,0))*(1+$BI46)*(1+$BJ46)+(($BK46+$BL46)/2*IF($G$1="破竹",$AP46,$AN46)+IF($G$1="破竹",$AQ46*1.5,0))*(1+$BM46)*(1+$BN46))*(1+$AR46)*$Q46*(1+IF(VLOOKUP($R46,武学奇术!$A:$ZZ,30,FALSE)="蓄力技",$B$21,0))*(1+IF(VLOOKUP($R46,武学奇术!$A:$ZZ,30,FALSE)="派生技",$B$20,0))*(1+$BW46)*(1+$BX46)</f>
        <v>10918.6771303553</v>
      </c>
      <c r="P46" s="46">
        <f>((($AT46*$AN46+$AO46)*(1+$AV46)*(1+$AW46)+($AY46*IF($G$1="鸣金",$AP46,$AN46)+IF($G$1="鸣金",$AQ46*1.5,0))*(1+$BA46)*(1+$BB46)+($BC46*IF($G$1="裂石",$AP46,$AN46)+IF($G$1="裂石",$AQ46*1.5,0))*(1+$BE46)*(1+$BF46)+($BG46*IF($G$1="牵丝",$AP46,$AN46)+IF($G$1="牵丝",$AQ46*1.5,0))*(1+$BI46)*(1+$BJ46)+($BK46*IF($G$1="破竹",$AP46,$AN46)+IF($G$1="破竹",$AQ46*1.5,0))*(1+$BM46)*(1+$BN46))*(1+$AR46))*$Q46*(1+IF(VLOOKUP($R46,武学奇术!$A:$ZZ,30,FALSE)="蓄力技",$B$21,0))*(1+IF(VLOOKUP($R46,武学奇术!$A:$ZZ,30,FALSE)="派生技",$B$20,0))*(1+$BW46)*(1+$BX46)</f>
        <v>9354.48448920223</v>
      </c>
      <c r="Q46" s="47">
        <f t="shared" si="13"/>
        <v>1</v>
      </c>
      <c r="R46" s="48" t="s">
        <v>154</v>
      </c>
      <c r="S46" s="48" t="s">
        <v>99</v>
      </c>
      <c r="T46" s="48" t="s">
        <v>182</v>
      </c>
      <c r="U46" s="48" t="s">
        <v>79</v>
      </c>
      <c r="V46" s="48" t="s">
        <v>90</v>
      </c>
      <c r="W46" s="48" t="s">
        <v>141</v>
      </c>
      <c r="X46" s="48" t="s">
        <v>145</v>
      </c>
      <c r="Y46" s="48" t="s">
        <v>74</v>
      </c>
      <c r="Z46" s="48" t="s">
        <v>80</v>
      </c>
      <c r="AA46" s="48" t="s">
        <v>80</v>
      </c>
      <c r="AB46" s="48" t="s">
        <v>80</v>
      </c>
      <c r="AC46" s="48" t="s">
        <v>80</v>
      </c>
      <c r="AD46" s="48" t="s">
        <v>80</v>
      </c>
      <c r="AE46" s="48" t="s">
        <v>80</v>
      </c>
      <c r="AF46" s="48" t="s">
        <v>83</v>
      </c>
      <c r="AG46" s="48" t="s">
        <v>84</v>
      </c>
      <c r="AH46" s="48" t="s">
        <v>80</v>
      </c>
      <c r="AI46" s="48" t="s">
        <v>80</v>
      </c>
      <c r="AJ46" s="48" t="s">
        <v>80</v>
      </c>
      <c r="AK46" s="48" t="s">
        <v>80</v>
      </c>
      <c r="AL46" s="48" t="s">
        <v>80</v>
      </c>
      <c r="AM46" t="str">
        <f>VLOOKUP($R46,武学奇术!$A:$ZZ,25,FALSE)</f>
        <v>陌刀</v>
      </c>
      <c r="AN46" s="33">
        <f>VLOOKUP($R46,武学奇术!$A:$ZZ,26,FALSE)</f>
        <v>0.525</v>
      </c>
      <c r="AO46" s="34">
        <f>VLOOKUP($R46,武学奇术!$A:$ZZ,27,FALSE)*(1+IF(OR($AM46=$F$4,$AM46=$F$5),$B$22,0))</f>
        <v>0</v>
      </c>
      <c r="AP46" s="33">
        <f>VLOOKUP($R46,武学奇术!$A:$ZZ,28,FALSE)</f>
        <v>0.7875</v>
      </c>
      <c r="AQ46" s="34">
        <f>VLOOKUP($R46,武学奇术!$A:$ZZ,29,FALSE)*(1+IF(OR($AM46=$F$4,$AM46=$F$5),$B$22,0))</f>
        <v>0</v>
      </c>
      <c r="AR46" s="33" cm="1">
        <f t="array" ref="AR46">$G$3+IFERROR(VLOOKUP($AM46,$F$4:$G$7,2,FALSE),0)+VLOOKUP($R46,武学奇术!$A:$ZZ,2,FALSE)+SUM(_xlfn.XLOOKUP($S46:$AL46,增益!$A:$A,增益!$B:$B,0))</f>
        <v>0.6143</v>
      </c>
      <c r="AS46" s="33" cm="1">
        <f t="array" ref="AS46">VLOOKUP($R46,武学奇术!$A:$ZZ,5,FALSE)+SUM(_xlfn.XLOOKUP($S46:$AL46,增益!$A:$A,增益!$E:$E,0))</f>
        <v>0</v>
      </c>
      <c r="AT46" cm="1">
        <f t="array" ref="AT46">$D$10*(1+$AS46)+VLOOKUP($R46,武学奇术!$A:$ZZ,3,FALSE)+SUM(_xlfn.XLOOKUP($S46:$AL46,增益!$A:$A,增益!$C:$C,0))-$I$2</f>
        <v>4026</v>
      </c>
      <c r="AU46" cm="1">
        <f t="array" ref="AU46">$E$10*(1+$AS46)+VLOOKUP($R46,武学奇术!$A:$ZZ,4,FALSE)+SUM(_xlfn.XLOOKUP($S46:$AL46,增益!$A:$A,增益!$D:$D,0))-$I$2</f>
        <v>4026</v>
      </c>
      <c r="AV46" s="40" cm="1">
        <f t="array" ref="AV46">IF($F$10-$I$3+VLOOKUP($R46,武学奇术!$A:$ZZ,6,FALSE)+SUM(_xlfn.XLOOKUP($S46:$AL46,增益!$A:$A,增益!$F:$F,0))&gt;0,($F$10-$I$3+VLOOKUP($R46,武学奇术!$A:$ZZ,6,FALSE)+SUM(_xlfn.XLOOKUP($S46:$AL46,增益!$A:$A,增益!$F:$F,0)))/200,($F$10-$I$3+VLOOKUP($R46,武学奇术!$A:$ZZ,6,FALSE)+SUM(_xlfn.XLOOKUP($S46:$AL46,增益!$A:$A,增益!$F:$F,0)))/100)</f>
        <v>0.3534</v>
      </c>
      <c r="AW46" s="40" cm="1">
        <f t="array" ref="AW46">$G$10+VLOOKUP($R46,武学奇术!$A:$ZZ,7,FALSE)+SUM(_xlfn.XLOOKUP($S46:$AL46,增益!$A:$A,增益!$G:$G,0))</f>
        <v>0.12</v>
      </c>
      <c r="AX46" s="33" cm="1">
        <f t="array" ref="AX46">VLOOKUP($R46,武学奇术!$A:$ZZ,8,FALSE)+SUM(_xlfn.XLOOKUP($S46:$AL46,增益!$A:$A,增益!$H:$H,0))</f>
        <v>0</v>
      </c>
      <c r="AY46">
        <f t="shared" si="2"/>
        <v>0</v>
      </c>
      <c r="AZ46">
        <f t="shared" si="3"/>
        <v>0</v>
      </c>
      <c r="BA46" s="40" cm="1">
        <f t="array" ref="BA46">IF($F$11-$I$4+VLOOKUP($R46,武学奇术!$A:$ZZ,9,FALSE)+SUM(_xlfn.XLOOKUP($S46:$AL46,增益!$A:$A,增益!$I:$I,0))&gt;0,($F$11-$I$4+VLOOKUP($R46,武学奇术!$A:$ZZ,9,FALSE)+SUM(_xlfn.XLOOKUP($S46:$AL46,增益!$A:$A,增益!$I:$I,0)))/200,($F$11-$I$4+VLOOKUP($R46,武学奇术!$A:$ZZ,9,FALSE)+SUM(_xlfn.XLOOKUP($S46:$AL46,增益!$A:$A,增益!$I:$I,0)))/100)</f>
        <v>-0.14</v>
      </c>
      <c r="BB46" s="40" cm="1">
        <f t="array" ref="BB46">$G$11+VLOOKUP($R46,武学奇术!$A:$ZZ,10,FALSE)+SUM(_xlfn.XLOOKUP($S46:$AL46,增益!$A:$A,增益!$J:$J,0))</f>
        <v>0</v>
      </c>
      <c r="BC46">
        <f t="shared" si="4"/>
        <v>640.3</v>
      </c>
      <c r="BD46">
        <f t="shared" si="5"/>
        <v>1770.1</v>
      </c>
      <c r="BE46" s="40" cm="1">
        <f t="array" ref="BE46">IF($F$12-$I$4+VLOOKUP($R46,武学奇术!$A:$ZZ,11,FALSE)+SUM(_xlfn.XLOOKUP($S46:$AL46,增益!$A:$A,增益!$K:$K,0))&gt;0,($F$12-$I$4+VLOOKUP($R46,武学奇术!$A:$ZZ,11,FALSE)+SUM(_xlfn.XLOOKUP($S46:$AL46,增益!$A:$A,增益!$K:$K,0)))/200,($F$12-$I$4+VLOOKUP($R46,武学奇术!$A:$ZZ,11,FALSE)+SUM(_xlfn.XLOOKUP($S46:$AL46,增益!$A:$A,增益!$K:$K,0)))/100)</f>
        <v>0.17</v>
      </c>
      <c r="BF46" s="40" cm="1">
        <f t="array" ref="BF46">$G$12+VLOOKUP($R46,武学奇术!$A:$ZZ,12,FALSE)+SUM(_xlfn.XLOOKUP($S46:$AL46,增益!$A:$A,增益!$L:$L,0))</f>
        <v>0.27</v>
      </c>
      <c r="BG46">
        <f t="shared" si="6"/>
        <v>0</v>
      </c>
      <c r="BH46">
        <f t="shared" si="7"/>
        <v>0</v>
      </c>
      <c r="BI46" s="40" cm="1">
        <f t="array" ref="BI46">IF($F$13-$I$4+VLOOKUP($R46,武学奇术!$A:$ZZ,13,FALSE)+SUM(_xlfn.XLOOKUP($S46:$AL46,增益!$A:$A,增益!$M:$M,0))&gt;0,($F$13-$I$4+VLOOKUP($R46,武学奇术!$A:$ZZ,13,FALSE)+SUM(_xlfn.XLOOKUP($S46:$AL46,增益!$A:$A,增益!$K:$K,0)))/200,($F$13-$I$4+VLOOKUP($R46,武学奇术!$A:$ZZ,13,FALSE)+SUM(_xlfn.XLOOKUP($S46:$AL46,增益!$A:$A,增益!$M:$M,0)))/100)</f>
        <v>-0.14</v>
      </c>
      <c r="BJ46" s="40" cm="1">
        <f t="array" ref="BJ46">$G$13+VLOOKUP($R46,武学奇术!$A:$ZZ,14,FALSE)+SUM(_xlfn.XLOOKUP($S46:$AL46,增益!$A:$A,增益!$N:$N,0))</f>
        <v>0</v>
      </c>
      <c r="BK46">
        <f t="shared" si="8"/>
        <v>0</v>
      </c>
      <c r="BL46">
        <f t="shared" si="9"/>
        <v>0</v>
      </c>
      <c r="BM46" s="40" cm="1">
        <f t="array" ref="BM46">IF($F$14-$I$4+VLOOKUP($R46,武学奇术!$A:$ZZ,15,FALSE)+SUM(_xlfn.XLOOKUP($S46:$AL46,增益!$A:$A,增益!$O:$O,0))&gt;0,($F$14-$I$4+VLOOKUP($R46,武学奇术!$A:$ZZ,15,FALSE)+SUM(_xlfn.XLOOKUP($S46:$AL46,增益!$A:$A,增益!$O:$O,0)))/200,($F$14-$I$4+VLOOKUP($R46,武学奇术!$A:$ZZ,15,FALSE)+SUM(_xlfn.XLOOKUP($S46:$AL46,增益!$A:$A,增益!$O:$O,0)))/100)</f>
        <v>-0.14</v>
      </c>
      <c r="BN46" s="40" cm="1">
        <f t="array" ref="BN46">$G$14+VLOOKUP($R46,武学奇术!$A:$ZZ,16,FALSE)+SUM(_xlfn.XLOOKUP($S46:$AL46,增益!$A:$A,增益!$P:$P,0))</f>
        <v>0</v>
      </c>
      <c r="BO46" s="33">
        <f>MIN(IF(VLOOKUP($R46,武学奇术!$A:$ZZ,23,FALSE)=1,100%,$B$8),100%)</f>
        <v>1</v>
      </c>
      <c r="BP46" s="33" cm="1">
        <f t="array" ref="BP46">IF(VLOOKUP($R46,武学奇术!$A:$ZZ,23,FALSE)=1,100%,MIN(80%,$B$9+VLOOKUP($R46,武学奇术!$A:$ZZ,17,FALSE)+SUM(_xlfn.XLOOKUP($S46:$AL46,增益!$A:$A,增益!$Q:$Q,0)))+$B$11+SUM(_xlfn.XLOOKUP($S46:$AL46,增益!$A:$A,增益!$U:$U,0)))*IF(VLOOKUP($R46,武学奇术!$A:$ZZ,24,FALSE)=1,0,1)</f>
        <v>1</v>
      </c>
      <c r="BQ46" s="33" cm="1">
        <f t="array" ref="BQ46">1+$B$13+VLOOKUP($R46,武学奇术!$A:$ZZ,18,FALSE)+SUM(_xlfn.XLOOKUP($S46:$AL46,增益!$A:$A,增益!$R:$R,0))</f>
        <v>2.1</v>
      </c>
      <c r="BR46" s="33" cm="1">
        <f t="array" ref="BR46">IF(VLOOKUP($R46,武学奇术!$A:$ZZ,24,FALSE)=1,100%,MIN(40%,$B$10+VLOOKUP($R46,武学奇术!$A:$ZZ,19,FALSE)+SUM(_xlfn.XLOOKUP($S46:$AL46,增益!$A:$A,增益!$S:$S,0)))+$B$12+SUM(_xlfn.XLOOKUP($S46:$AL46,增益!$A:$A,增益!$V:$V,0)))*IF(VLOOKUP($R46,武学奇术!$A:$ZZ,23,FALSE)=1,0,1)</f>
        <v>0</v>
      </c>
      <c r="BS46" s="33" cm="1">
        <f t="array" ref="BS46">1+$B$14+VLOOKUP($R46,武学奇术!$A:$ZZ,20,FALSE)+SUM(_xlfn.XLOOKUP($S46:$AL46,增益!$A:$A,增益!$T:$T,0))</f>
        <v>1.35</v>
      </c>
      <c r="BT46" s="33">
        <f t="shared" si="10"/>
        <v>1</v>
      </c>
      <c r="BU46" s="33">
        <f t="shared" si="11"/>
        <v>0</v>
      </c>
      <c r="BV46" s="33">
        <f>IF(VLOOKUP($R46,武学奇术!$A:$ZZ,22,FALSE)=1,0,(1-$BO46))*(1-$BR46)</f>
        <v>0</v>
      </c>
      <c r="BW46" s="33" cm="1">
        <f t="array" ref="BW46">SUM(_xlfn.XLOOKUP($S46:$AL46,增益!$A:$A,增益!$W:$W,0))+$I$5</f>
        <v>0.11</v>
      </c>
      <c r="BX46" s="33" cm="1">
        <f t="array" ref="BX46">VLOOKUP($R46,武学奇术!$A:$ZZ,32,FALSE)+SUM(_xlfn.XLOOKUP($S46:$AL46,增益!$A:$A,增益!$X:$X,0))</f>
        <v>0</v>
      </c>
    </row>
    <row r="47" spans="5:76">
      <c r="L47" s="46">
        <f t="shared" si="0"/>
        <v>41272.599552743</v>
      </c>
      <c r="M47" s="46">
        <f>((($AT47+$AU47)/2*$AN47+$AO47)*(1+$AV47)*(1+$AW47)+(($AY47+$AZ47)/2*IF($G$1="鸣金",$AP47,$AN47)+IF($G$1="鸣金",$AQ47*1.5,0))*(1+$BA47)*(1+$BB47)+(($BC47+$BD47)/2*IF($G$1="裂石",$AP47,$AN47)+IF($G$1="裂石",$AQ47*1.5,0))*(1+$BE47)*(1+$BF47)+(($BG47+$BH47)/2*IF($G$1="牵丝",$AP47,$AN47)+IF($G$1="牵丝",$AQ47*1.5,0))*(1+$BI47)*(1+$BJ47)+(($BK47+$BL47)/2*IF($G$1="破竹",$AP47,$AN47)+IF($G$1="破竹",$AQ47*1.5,0))*(1+$BM47)*(1+$BN47))*(1+$AR47)*$BQ47*$Q47*(1+IF(VLOOKUP($R47,武学奇术!$A:$ZZ,30,FALSE)="蓄力技",$B$21,0))*(1+IF(VLOOKUP($R47,武学奇术!$A:$ZZ,30,FALSE)="派生技",$B$20,0))*(1+$BW47)*(1+$BX47)</f>
        <v>41272.599552743</v>
      </c>
      <c r="N47" s="46">
        <f>(($AU47*$AN47+$AO47)*(1+$AV47)*(1+$AW47)+($AZ47*IF($G$1="鸣金",$AP47,$AN47)+IF($G$1="鸣金",$AQ47*1.5,0))*(1+$BA47)*(1+$BB47)+($BD47*IF($G$1="裂石",$AP47,$AN47)+IF($G$1="裂石",$AQ47*1.5,0))*(1+$BE47)*(1+$BF47)+($BH47*IF($G$1="牵丝",$AP47,$AN47)+IF($G$1="牵丝",$AQ47*1.5,0))*(1+$BI47)*(1+$BJ47)+($BL47*IF($G$1="破竹",$AP47,$AN47)+IF($G$1="破竹",$AQ47*1.5,0))*(1+$BM47)*(1+$BN47))*(1+$AR47)*$BS47*$Q47*(1+IF(VLOOKUP($R47,武学奇术!$A:$ZZ,30,FALSE)="蓄力技",$B$21,0))*(1+IF(VLOOKUP($R47,武学奇术!$A:$ZZ,30,FALSE)="派生技",$B$20,0))*(1+$BW47)*(1+$BX47)</f>
        <v>30333.3735447654</v>
      </c>
      <c r="O47" s="46">
        <f>((($AT47+$AU47)/2*$AN47+$AO47)*(1+$AV47)*(1+$AW47)+(($AY47+$AZ47)/2*IF($G$1="鸣金",$AP47,$AN47)+IF($G$1="鸣金",$AQ47*1.5,0))*(1+$BA47)*(1+$BB47)+(($BC47+$BD47)/2*IF($G$1="裂石",$AP47,$AN47)+IF($G$1="裂石",$AQ47*1.5,0))*(1+$BE47)*(1+$BF47)+(($BG47+$BH47)/2*IF($G$1="牵丝",$AP47,$AN47)+IF($G$1="牵丝",$AQ47*1.5,0))*(1+$BI47)*(1+$BJ47)+(($BK47+$BL47)/2*IF($G$1="破竹",$AP47,$AN47)+IF($G$1="破竹",$AQ47*1.5,0))*(1+$BM47)*(1+$BN47))*(1+$AR47)*$Q47*(1+IF(VLOOKUP($R47,武学奇术!$A:$ZZ,30,FALSE)="蓄力技",$B$21,0))*(1+IF(VLOOKUP($R47,武学奇术!$A:$ZZ,30,FALSE)="派生技",$B$20,0))*(1+$BW47)*(1+$BX47)</f>
        <v>19653.6188346395</v>
      </c>
      <c r="P47" s="46">
        <f>((($AT47*$AN47+$AO47)*(1+$AV47)*(1+$AW47)+($AY47*IF($G$1="鸣金",$AP47,$AN47)+IF($G$1="鸣金",$AQ47*1.5,0))*(1+$BA47)*(1+$BB47)+($BC47*IF($G$1="裂石",$AP47,$AN47)+IF($G$1="裂石",$AQ47*1.5,0))*(1+$BE47)*(1+$BF47)+($BG47*IF($G$1="牵丝",$AP47,$AN47)+IF($G$1="牵丝",$AQ47*1.5,0))*(1+$BI47)*(1+$BJ47)+($BK47*IF($G$1="破竹",$AP47,$AN47)+IF($G$1="破竹",$AQ47*1.5,0))*(1+$BM47)*(1+$BN47))*(1+$AR47))*$Q47*(1+IF(VLOOKUP($R47,武学奇术!$A:$ZZ,30,FALSE)="蓄力技",$B$21,0))*(1+IF(VLOOKUP($R47,武学奇术!$A:$ZZ,30,FALSE)="派生技",$B$20,0))*(1+$BW47)*(1+$BX47)</f>
        <v>16838.072080564</v>
      </c>
      <c r="Q47" s="47">
        <f t="shared" si="13"/>
        <v>1</v>
      </c>
      <c r="R47" s="48" t="s">
        <v>144</v>
      </c>
      <c r="S47" s="48" t="s">
        <v>99</v>
      </c>
      <c r="T47" s="48" t="s">
        <v>182</v>
      </c>
      <c r="U47" s="48" t="s">
        <v>79</v>
      </c>
      <c r="V47" s="48" t="s">
        <v>90</v>
      </c>
      <c r="W47" s="48" t="s">
        <v>141</v>
      </c>
      <c r="X47" s="48" t="s">
        <v>145</v>
      </c>
      <c r="Y47" s="48" t="s">
        <v>74</v>
      </c>
      <c r="Z47" s="48" t="s">
        <v>80</v>
      </c>
      <c r="AA47" s="48" t="s">
        <v>80</v>
      </c>
      <c r="AB47" s="48" t="s">
        <v>80</v>
      </c>
      <c r="AC47" s="48" t="s">
        <v>80</v>
      </c>
      <c r="AD47" s="48" t="s">
        <v>80</v>
      </c>
      <c r="AE47" s="48" t="s">
        <v>80</v>
      </c>
      <c r="AF47" s="48" t="s">
        <v>83</v>
      </c>
      <c r="AG47" s="48" t="s">
        <v>84</v>
      </c>
      <c r="AH47" s="48" t="s">
        <v>80</v>
      </c>
      <c r="AI47" s="48" t="s">
        <v>80</v>
      </c>
      <c r="AJ47" s="48" t="s">
        <v>80</v>
      </c>
      <c r="AK47" s="48" t="s">
        <v>80</v>
      </c>
      <c r="AL47" s="48" t="s">
        <v>80</v>
      </c>
      <c r="AM47" t="str">
        <f>VLOOKUP($R47,武学奇术!$A:$ZZ,25,FALSE)</f>
        <v>陌刀</v>
      </c>
      <c r="AN47" s="33">
        <f>VLOOKUP($R47,武学奇术!$A:$ZZ,26,FALSE)</f>
        <v>0.945</v>
      </c>
      <c r="AO47" s="34">
        <f>VLOOKUP($R47,武学奇术!$A:$ZZ,27,FALSE)*(1+IF(OR($AM47=$F$4,$AM47=$F$5),$B$22,0))</f>
        <v>0</v>
      </c>
      <c r="AP47" s="33">
        <f>VLOOKUP($R47,武学奇术!$A:$ZZ,28,FALSE)</f>
        <v>1.4175</v>
      </c>
      <c r="AQ47" s="34">
        <f>VLOOKUP($R47,武学奇术!$A:$ZZ,29,FALSE)*(1+IF(OR($AM47=$F$4,$AM47=$F$5),$B$22,0))</f>
        <v>0</v>
      </c>
      <c r="AR47" s="33" cm="1">
        <f t="array" ref="AR47">$G$3+IFERROR(VLOOKUP($AM47,$F$4:$G$7,2,FALSE),0)+VLOOKUP($R47,武学奇术!$A:$ZZ,2,FALSE)+SUM(_xlfn.XLOOKUP($S47:$AL47,增益!$A:$A,增益!$B:$B,0))</f>
        <v>0.6143</v>
      </c>
      <c r="AS47" s="33" cm="1">
        <f t="array" ref="AS47">VLOOKUP($R47,武学奇术!$A:$ZZ,5,FALSE)+SUM(_xlfn.XLOOKUP($S47:$AL47,增益!$A:$A,增益!$E:$E,0))</f>
        <v>0</v>
      </c>
      <c r="AT47" cm="1">
        <f t="array" ref="AT47">$D$10*(1+$AS47)+VLOOKUP($R47,武学奇术!$A:$ZZ,3,FALSE)+SUM(_xlfn.XLOOKUP($S47:$AL47,增益!$A:$A,增益!$C:$C,0))-$I$2</f>
        <v>4026</v>
      </c>
      <c r="AU47" cm="1">
        <f t="array" ref="AU47">$E$10*(1+$AS47)+VLOOKUP($R47,武学奇术!$A:$ZZ,4,FALSE)+SUM(_xlfn.XLOOKUP($S47:$AL47,增益!$A:$A,增益!$D:$D,0))-$I$2</f>
        <v>4026</v>
      </c>
      <c r="AV47" s="40" cm="1">
        <f t="array" ref="AV47">IF($F$10-$I$3+VLOOKUP($R47,武学奇术!$A:$ZZ,6,FALSE)+SUM(_xlfn.XLOOKUP($S47:$AL47,增益!$A:$A,增益!$F:$F,0))&gt;0,($F$10-$I$3+VLOOKUP($R47,武学奇术!$A:$ZZ,6,FALSE)+SUM(_xlfn.XLOOKUP($S47:$AL47,增益!$A:$A,增益!$F:$F,0)))/200,($F$10-$I$3+VLOOKUP($R47,武学奇术!$A:$ZZ,6,FALSE)+SUM(_xlfn.XLOOKUP($S47:$AL47,增益!$A:$A,增益!$F:$F,0)))/100)</f>
        <v>0.3534</v>
      </c>
      <c r="AW47" s="40" cm="1">
        <f t="array" ref="AW47">$G$10+VLOOKUP($R47,武学奇术!$A:$ZZ,7,FALSE)+SUM(_xlfn.XLOOKUP($S47:$AL47,增益!$A:$A,增益!$G:$G,0))</f>
        <v>0.12</v>
      </c>
      <c r="AX47" s="33" cm="1">
        <f t="array" ref="AX47">VLOOKUP($R47,武学奇术!$A:$ZZ,8,FALSE)+SUM(_xlfn.XLOOKUP($S47:$AL47,增益!$A:$A,增益!$H:$H,0))</f>
        <v>0</v>
      </c>
      <c r="AY47">
        <f t="shared" si="2"/>
        <v>0</v>
      </c>
      <c r="AZ47">
        <f t="shared" si="3"/>
        <v>0</v>
      </c>
      <c r="BA47" s="40" cm="1">
        <f t="array" ref="BA47">IF($F$11-$I$4+VLOOKUP($R47,武学奇术!$A:$ZZ,9,FALSE)+SUM(_xlfn.XLOOKUP($S47:$AL47,增益!$A:$A,增益!$I:$I,0))&gt;0,($F$11-$I$4+VLOOKUP($R47,武学奇术!$A:$ZZ,9,FALSE)+SUM(_xlfn.XLOOKUP($S47:$AL47,增益!$A:$A,增益!$I:$I,0)))/200,($F$11-$I$4+VLOOKUP($R47,武学奇术!$A:$ZZ,9,FALSE)+SUM(_xlfn.XLOOKUP($S47:$AL47,增益!$A:$A,增益!$I:$I,0)))/100)</f>
        <v>-0.14</v>
      </c>
      <c r="BB47" s="40" cm="1">
        <f t="array" ref="BB47">$G$11+VLOOKUP($R47,武学奇术!$A:$ZZ,10,FALSE)+SUM(_xlfn.XLOOKUP($S47:$AL47,增益!$A:$A,增益!$J:$J,0))</f>
        <v>0</v>
      </c>
      <c r="BC47">
        <f t="shared" si="4"/>
        <v>640.3</v>
      </c>
      <c r="BD47">
        <f t="shared" si="5"/>
        <v>1770.1</v>
      </c>
      <c r="BE47" s="40" cm="1">
        <f t="array" ref="BE47">IF($F$12-$I$4+VLOOKUP($R47,武学奇术!$A:$ZZ,11,FALSE)+SUM(_xlfn.XLOOKUP($S47:$AL47,增益!$A:$A,增益!$K:$K,0))&gt;0,($F$12-$I$4+VLOOKUP($R47,武学奇术!$A:$ZZ,11,FALSE)+SUM(_xlfn.XLOOKUP($S47:$AL47,增益!$A:$A,增益!$K:$K,0)))/200,($F$12-$I$4+VLOOKUP($R47,武学奇术!$A:$ZZ,11,FALSE)+SUM(_xlfn.XLOOKUP($S47:$AL47,增益!$A:$A,增益!$K:$K,0)))/100)</f>
        <v>0.17</v>
      </c>
      <c r="BF47" s="40" cm="1">
        <f t="array" ref="BF47">$G$12+VLOOKUP($R47,武学奇术!$A:$ZZ,12,FALSE)+SUM(_xlfn.XLOOKUP($S47:$AL47,增益!$A:$A,增益!$L:$L,0))</f>
        <v>0.27</v>
      </c>
      <c r="BG47">
        <f t="shared" si="6"/>
        <v>0</v>
      </c>
      <c r="BH47">
        <f t="shared" si="7"/>
        <v>0</v>
      </c>
      <c r="BI47" s="40" cm="1">
        <f t="array" ref="BI47">IF($F$13-$I$4+VLOOKUP($R47,武学奇术!$A:$ZZ,13,FALSE)+SUM(_xlfn.XLOOKUP($S47:$AL47,增益!$A:$A,增益!$M:$M,0))&gt;0,($F$13-$I$4+VLOOKUP($R47,武学奇术!$A:$ZZ,13,FALSE)+SUM(_xlfn.XLOOKUP($S47:$AL47,增益!$A:$A,增益!$K:$K,0)))/200,($F$13-$I$4+VLOOKUP($R47,武学奇术!$A:$ZZ,13,FALSE)+SUM(_xlfn.XLOOKUP($S47:$AL47,增益!$A:$A,增益!$M:$M,0)))/100)</f>
        <v>-0.14</v>
      </c>
      <c r="BJ47" s="40" cm="1">
        <f t="array" ref="BJ47">$G$13+VLOOKUP($R47,武学奇术!$A:$ZZ,14,FALSE)+SUM(_xlfn.XLOOKUP($S47:$AL47,增益!$A:$A,增益!$N:$N,0))</f>
        <v>0</v>
      </c>
      <c r="BK47">
        <f t="shared" si="8"/>
        <v>0</v>
      </c>
      <c r="BL47">
        <f t="shared" si="9"/>
        <v>0</v>
      </c>
      <c r="BM47" s="40" cm="1">
        <f t="array" ref="BM47">IF($F$14-$I$4+VLOOKUP($R47,武学奇术!$A:$ZZ,15,FALSE)+SUM(_xlfn.XLOOKUP($S47:$AL47,增益!$A:$A,增益!$O:$O,0))&gt;0,($F$14-$I$4+VLOOKUP($R47,武学奇术!$A:$ZZ,15,FALSE)+SUM(_xlfn.XLOOKUP($S47:$AL47,增益!$A:$A,增益!$O:$O,0)))/200,($F$14-$I$4+VLOOKUP($R47,武学奇术!$A:$ZZ,15,FALSE)+SUM(_xlfn.XLOOKUP($S47:$AL47,增益!$A:$A,增益!$O:$O,0)))/100)</f>
        <v>-0.14</v>
      </c>
      <c r="BN47" s="40" cm="1">
        <f t="array" ref="BN47">$G$14+VLOOKUP($R47,武学奇术!$A:$ZZ,16,FALSE)+SUM(_xlfn.XLOOKUP($S47:$AL47,增益!$A:$A,增益!$P:$P,0))</f>
        <v>0</v>
      </c>
      <c r="BO47" s="33">
        <f>MIN(IF(VLOOKUP($R47,武学奇术!$A:$ZZ,23,FALSE)=1,100%,$B$8),100%)</f>
        <v>1</v>
      </c>
      <c r="BP47" s="33" cm="1">
        <f t="array" ref="BP47">IF(VLOOKUP($R47,武学奇术!$A:$ZZ,23,FALSE)=1,100%,MIN(80%,$B$9+VLOOKUP($R47,武学奇术!$A:$ZZ,17,FALSE)+SUM(_xlfn.XLOOKUP($S47:$AL47,增益!$A:$A,增益!$Q:$Q,0)))+$B$11+SUM(_xlfn.XLOOKUP($S47:$AL47,增益!$A:$A,增益!$U:$U,0)))*IF(VLOOKUP($R47,武学奇术!$A:$ZZ,24,FALSE)=1,0,1)</f>
        <v>1</v>
      </c>
      <c r="BQ47" s="33" cm="1">
        <f t="array" ref="BQ47">1+$B$13+VLOOKUP($R47,武学奇术!$A:$ZZ,18,FALSE)+SUM(_xlfn.XLOOKUP($S47:$AL47,增益!$A:$A,增益!$R:$R,0))</f>
        <v>2.1</v>
      </c>
      <c r="BR47" s="33" cm="1">
        <f t="array" ref="BR47">IF(VLOOKUP($R47,武学奇术!$A:$ZZ,24,FALSE)=1,100%,MIN(40%,$B$10+VLOOKUP($R47,武学奇术!$A:$ZZ,19,FALSE)+SUM(_xlfn.XLOOKUP($S47:$AL47,增益!$A:$A,增益!$S:$S,0)))+$B$12+SUM(_xlfn.XLOOKUP($S47:$AL47,增益!$A:$A,增益!$V:$V,0)))*IF(VLOOKUP($R47,武学奇术!$A:$ZZ,23,FALSE)=1,0,1)</f>
        <v>0</v>
      </c>
      <c r="BS47" s="33" cm="1">
        <f t="array" ref="BS47">1+$B$14+VLOOKUP($R47,武学奇术!$A:$ZZ,20,FALSE)+SUM(_xlfn.XLOOKUP($S47:$AL47,增益!$A:$A,增益!$T:$T,0))</f>
        <v>1.35</v>
      </c>
      <c r="BT47" s="33">
        <f t="shared" si="10"/>
        <v>1</v>
      </c>
      <c r="BU47" s="33">
        <f t="shared" si="11"/>
        <v>0</v>
      </c>
      <c r="BV47" s="33">
        <f>IF(VLOOKUP($R47,武学奇术!$A:$ZZ,22,FALSE)=1,0,(1-$BO47))*(1-$BR47)</f>
        <v>0</v>
      </c>
      <c r="BW47" s="33" cm="1">
        <f t="array" ref="BW47">SUM(_xlfn.XLOOKUP($S47:$AL47,增益!$A:$A,增益!$W:$W,0))+$I$5</f>
        <v>0.11</v>
      </c>
      <c r="BX47" s="33" cm="1">
        <f t="array" ref="BX47">VLOOKUP($R47,武学奇术!$A:$ZZ,32,FALSE)+SUM(_xlfn.XLOOKUP($S47:$AL47,增益!$A:$A,增益!$X:$X,0))</f>
        <v>0</v>
      </c>
    </row>
    <row r="48" spans="5:76">
      <c r="L48" s="46">
        <f t="shared" si="0"/>
        <v>443667.856724143</v>
      </c>
      <c r="M48" s="46">
        <f>((($AT48+$AU48)/2*$AN48+$AO48)*(1+$AV48)*(1+$AW48)+(($AY48+$AZ48)/2*IF($G$1="鸣金",$AP48,$AN48)+IF($G$1="鸣金",$AQ48*1.5,0))*(1+$BA48)*(1+$BB48)+(($BC48+$BD48)/2*IF($G$1="裂石",$AP48,$AN48)+IF($G$1="裂石",$AQ48*1.5,0))*(1+$BE48)*(1+$BF48)+(($BG48+$BH48)/2*IF($G$1="牵丝",$AP48,$AN48)+IF($G$1="牵丝",$AQ48*1.5,0))*(1+$BI48)*(1+$BJ48)+(($BK48+$BL48)/2*IF($G$1="破竹",$AP48,$AN48)+IF($G$1="破竹",$AQ48*1.5,0))*(1+$BM48)*(1+$BN48))*(1+$AR48)*$BQ48*$Q48*(1+IF(VLOOKUP($R48,武学奇术!$A:$ZZ,30,FALSE)="蓄力技",$B$21,0))*(1+IF(VLOOKUP($R48,武学奇术!$A:$ZZ,30,FALSE)="派生技",$B$20,0))*(1+$BW48)*(1+$BX48)</f>
        <v>443667.856724143</v>
      </c>
      <c r="N48" s="46">
        <f>(($AU48*$AN48+$AO48)*(1+$AV48)*(1+$AW48)+($AZ48*IF($G$1="鸣金",$AP48,$AN48)+IF($G$1="鸣金",$AQ48*1.5,0))*(1+$BA48)*(1+$BB48)+($BD48*IF($G$1="裂石",$AP48,$AN48)+IF($G$1="裂石",$AQ48*1.5,0))*(1+$BE48)*(1+$BF48)+($BH48*IF($G$1="牵丝",$AP48,$AN48)+IF($G$1="牵丝",$AQ48*1.5,0))*(1+$BI48)*(1+$BJ48)+($BL48*IF($G$1="破竹",$AP48,$AN48)+IF($G$1="破竹",$AQ48*1.5,0))*(1+$BM48)*(1+$BN48))*(1+$AR48)*$BS48*$Q48*(1+IF(VLOOKUP($R48,武学奇术!$A:$ZZ,30,FALSE)="蓄力技",$B$21,0))*(1+IF(VLOOKUP($R48,武学奇术!$A:$ZZ,30,FALSE)="派生技",$B$20,0))*(1+$BW48)*(1+$BX48)</f>
        <v>321137.301246704</v>
      </c>
      <c r="O48" s="46">
        <f>((($AT48+$AU48)/2*$AN48+$AO48)*(1+$AV48)*(1+$AW48)+(($AY48+$AZ48)/2*IF($G$1="鸣金",$AP48,$AN48)+IF($G$1="鸣金",$AQ48*1.5,0))*(1+$BA48)*(1+$BB48)+(($BC48+$BD48)/2*IF($G$1="裂石",$AP48,$AN48)+IF($G$1="裂石",$AQ48*1.5,0))*(1+$BE48)*(1+$BF48)+(($BG48+$BH48)/2*IF($G$1="牵丝",$AP48,$AN48)+IF($G$1="牵丝",$AQ48*1.5,0))*(1+$BI48)*(1+$BJ48)+(($BK48+$BL48)/2*IF($G$1="破竹",$AP48,$AN48)+IF($G$1="破竹",$AQ48*1.5,0))*(1+$BM48)*(1+$BN48))*(1+$AR48)*$Q48*(1+IF(VLOOKUP($R48,武学奇术!$A:$ZZ,30,FALSE)="蓄力技",$B$21,0))*(1+IF(VLOOKUP($R48,武学奇术!$A:$ZZ,30,FALSE)="派生技",$B$20,0))*(1+$BW48)*(1+$BX48)</f>
        <v>211270.407963878</v>
      </c>
      <c r="P48" s="46">
        <f>((($AT48*$AN48+$AO48)*(1+$AV48)*(1+$AW48)+($AY48*IF($G$1="鸣金",$AP48,$AN48)+IF($G$1="鸣金",$AQ48*1.5,0))*(1+$BA48)*(1+$BB48)+($BC48*IF($G$1="裂石",$AP48,$AN48)+IF($G$1="裂石",$AQ48*1.5,0))*(1+$BE48)*(1+$BF48)+($BG48*IF($G$1="牵丝",$AP48,$AN48)+IF($G$1="牵丝",$AQ48*1.5,0))*(1+$BI48)*(1+$BJ48)+($BK48*IF($G$1="破竹",$AP48,$AN48)+IF($G$1="破竹",$AQ48*1.5,0))*(1+$BM48)*(1+$BN48))*(1+$AR48))*$Q48*(1+IF(VLOOKUP($R48,武学奇术!$A:$ZZ,30,FALSE)="蓄力技",$B$21,0))*(1+IF(VLOOKUP($R48,武学奇术!$A:$ZZ,30,FALSE)="派生技",$B$20,0))*(1+$BW48)*(1+$BX48)</f>
        <v>184661.333522789</v>
      </c>
      <c r="Q48" s="47">
        <f t="shared" si="13"/>
        <v>1</v>
      </c>
      <c r="R48" s="48" t="s">
        <v>148</v>
      </c>
      <c r="S48" s="48" t="s">
        <v>99</v>
      </c>
      <c r="T48" s="48" t="s">
        <v>182</v>
      </c>
      <c r="U48" s="48" t="s">
        <v>79</v>
      </c>
      <c r="V48" s="48" t="s">
        <v>90</v>
      </c>
      <c r="W48" s="48" t="s">
        <v>141</v>
      </c>
      <c r="X48" s="48" t="s">
        <v>145</v>
      </c>
      <c r="Y48" s="48" t="s">
        <v>74</v>
      </c>
      <c r="Z48" s="48" t="s">
        <v>80</v>
      </c>
      <c r="AA48" s="48" t="s">
        <v>183</v>
      </c>
      <c r="AB48" s="48" t="s">
        <v>184</v>
      </c>
      <c r="AC48" s="48" t="s">
        <v>80</v>
      </c>
      <c r="AD48" s="48" t="s">
        <v>80</v>
      </c>
      <c r="AE48" s="48" t="s">
        <v>80</v>
      </c>
      <c r="AF48" s="48" t="s">
        <v>83</v>
      </c>
      <c r="AG48" s="48" t="s">
        <v>84</v>
      </c>
      <c r="AH48" s="48" t="s">
        <v>80</v>
      </c>
      <c r="AI48" s="48" t="s">
        <v>80</v>
      </c>
      <c r="AJ48" s="48" t="s">
        <v>80</v>
      </c>
      <c r="AK48" s="48" t="s">
        <v>80</v>
      </c>
      <c r="AL48" s="48" t="s">
        <v>80</v>
      </c>
      <c r="AM48" t="str">
        <f>VLOOKUP($R48,武学奇术!$A:$ZZ,25,FALSE)</f>
        <v>陌刀</v>
      </c>
      <c r="AN48" s="33">
        <f>VLOOKUP($R48,武学奇术!$A:$ZZ,26,FALSE)</f>
        <v>7.5674</v>
      </c>
      <c r="AO48" s="34">
        <f>VLOOKUP($R48,武学奇术!$A:$ZZ,27,FALSE)*(1+IF(OR($AM48=$F$4,$AM48=$F$5),$B$22,0))</f>
        <v>3348.8</v>
      </c>
      <c r="AP48" s="33">
        <f>VLOOKUP($R48,武学奇术!$A:$ZZ,28,FALSE)</f>
        <v>11.3512</v>
      </c>
      <c r="AQ48" s="34">
        <f>VLOOKUP($R48,武学奇术!$A:$ZZ,29,FALSE)*(1+IF(OR($AM48=$F$4,$AM48=$F$5),$B$22,0))</f>
        <v>1824</v>
      </c>
      <c r="AR48" s="33" cm="1">
        <f t="array" ref="AR48">$G$3+IFERROR(VLOOKUP($AM48,$F$4:$G$7,2,FALSE),0)+VLOOKUP($R48,武学奇术!$A:$ZZ,2,FALSE)+SUM(_xlfn.XLOOKUP($S48:$AL48,增益!$A:$A,增益!$B:$B,0))</f>
        <v>0.6143</v>
      </c>
      <c r="AS48" s="33" cm="1">
        <f t="array" ref="AS48">VLOOKUP($R48,武学奇术!$A:$ZZ,5,FALSE)+SUM(_xlfn.XLOOKUP($S48:$AL48,增益!$A:$A,增益!$E:$E,0))</f>
        <v>0</v>
      </c>
      <c r="AT48" cm="1">
        <f t="array" ref="AT48">$D$10*(1+$AS48)+VLOOKUP($R48,武学奇术!$A:$ZZ,3,FALSE)+SUM(_xlfn.XLOOKUP($S48:$AL48,增益!$A:$A,增益!$C:$C,0))-$I$2</f>
        <v>4026</v>
      </c>
      <c r="AU48" cm="1">
        <f t="array" ref="AU48">$E$10*(1+$AS48)+VLOOKUP($R48,武学奇术!$A:$ZZ,4,FALSE)+SUM(_xlfn.XLOOKUP($S48:$AL48,增益!$A:$A,增益!$D:$D,0))-$I$2</f>
        <v>4026</v>
      </c>
      <c r="AV48" s="40" cm="1">
        <f t="array" ref="AV48">IF($F$10-$I$3+VLOOKUP($R48,武学奇术!$A:$ZZ,6,FALSE)+SUM(_xlfn.XLOOKUP($S48:$AL48,增益!$A:$A,增益!$F:$F,0))&gt;0,($F$10-$I$3+VLOOKUP($R48,武学奇术!$A:$ZZ,6,FALSE)+SUM(_xlfn.XLOOKUP($S48:$AL48,增益!$A:$A,增益!$F:$F,0)))/200,($F$10-$I$3+VLOOKUP($R48,武学奇术!$A:$ZZ,6,FALSE)+SUM(_xlfn.XLOOKUP($S48:$AL48,增益!$A:$A,增益!$F:$F,0)))/100)</f>
        <v>0.3534</v>
      </c>
      <c r="AW48" s="40" cm="1">
        <f t="array" ref="AW48">$G$10+VLOOKUP($R48,武学奇术!$A:$ZZ,7,FALSE)+SUM(_xlfn.XLOOKUP($S48:$AL48,增益!$A:$A,增益!$G:$G,0))</f>
        <v>0.12</v>
      </c>
      <c r="AX48" s="33" cm="1">
        <f t="array" ref="AX48">VLOOKUP($R48,武学奇术!$A:$ZZ,8,FALSE)+SUM(_xlfn.XLOOKUP($S48:$AL48,增益!$A:$A,增益!$H:$H,0))</f>
        <v>0</v>
      </c>
      <c r="AY48">
        <f t="shared" si="2"/>
        <v>0</v>
      </c>
      <c r="AZ48">
        <f t="shared" si="3"/>
        <v>0</v>
      </c>
      <c r="BA48" s="40" cm="1">
        <f t="array" ref="BA48">IF($F$11-$I$4+VLOOKUP($R48,武学奇术!$A:$ZZ,9,FALSE)+SUM(_xlfn.XLOOKUP($S48:$AL48,增益!$A:$A,增益!$I:$I,0))&gt;0,($F$11-$I$4+VLOOKUP($R48,武学奇术!$A:$ZZ,9,FALSE)+SUM(_xlfn.XLOOKUP($S48:$AL48,增益!$A:$A,增益!$I:$I,0)))/200,($F$11-$I$4+VLOOKUP($R48,武学奇术!$A:$ZZ,9,FALSE)+SUM(_xlfn.XLOOKUP($S48:$AL48,增益!$A:$A,增益!$I:$I,0)))/100)</f>
        <v>-0.14</v>
      </c>
      <c r="BB48" s="40" cm="1">
        <f t="array" ref="BB48">$G$11+VLOOKUP($R48,武学奇术!$A:$ZZ,10,FALSE)+SUM(_xlfn.XLOOKUP($S48:$AL48,增益!$A:$A,增益!$J:$J,0))</f>
        <v>0.1</v>
      </c>
      <c r="BC48">
        <f t="shared" si="4"/>
        <v>640.3</v>
      </c>
      <c r="BD48">
        <f t="shared" si="5"/>
        <v>1770.1</v>
      </c>
      <c r="BE48" s="40" cm="1">
        <f t="array" ref="BE48">IF($F$12-$I$4+VLOOKUP($R48,武学奇术!$A:$ZZ,11,FALSE)+SUM(_xlfn.XLOOKUP($S48:$AL48,增益!$A:$A,增益!$K:$K,0))&gt;0,($F$12-$I$4+VLOOKUP($R48,武学奇术!$A:$ZZ,11,FALSE)+SUM(_xlfn.XLOOKUP($S48:$AL48,增益!$A:$A,增益!$K:$K,0)))/200,($F$12-$I$4+VLOOKUP($R48,武学奇术!$A:$ZZ,11,FALSE)+SUM(_xlfn.XLOOKUP($S48:$AL48,增益!$A:$A,增益!$K:$K,0)))/100)</f>
        <v>0.17</v>
      </c>
      <c r="BF48" s="40" cm="1">
        <f t="array" ref="BF48">$G$12+VLOOKUP($R48,武学奇术!$A:$ZZ,12,FALSE)+SUM(_xlfn.XLOOKUP($S48:$AL48,增益!$A:$A,增益!$L:$L,0))</f>
        <v>0.27</v>
      </c>
      <c r="BG48">
        <f t="shared" si="6"/>
        <v>0</v>
      </c>
      <c r="BH48">
        <f t="shared" si="7"/>
        <v>0</v>
      </c>
      <c r="BI48" s="40" cm="1">
        <f t="array" ref="BI48">IF($F$13-$I$4+VLOOKUP($R48,武学奇术!$A:$ZZ,13,FALSE)+SUM(_xlfn.XLOOKUP($S48:$AL48,增益!$A:$A,增益!$M:$M,0))&gt;0,($F$13-$I$4+VLOOKUP($R48,武学奇术!$A:$ZZ,13,FALSE)+SUM(_xlfn.XLOOKUP($S48:$AL48,增益!$A:$A,增益!$K:$K,0)))/200,($F$13-$I$4+VLOOKUP($R48,武学奇术!$A:$ZZ,13,FALSE)+SUM(_xlfn.XLOOKUP($S48:$AL48,增益!$A:$A,增益!$M:$M,0)))/100)</f>
        <v>-0.14</v>
      </c>
      <c r="BJ48" s="40" cm="1">
        <f t="array" ref="BJ48">$G$13+VLOOKUP($R48,武学奇术!$A:$ZZ,14,FALSE)+SUM(_xlfn.XLOOKUP($S48:$AL48,增益!$A:$A,增益!$N:$N,0))</f>
        <v>0</v>
      </c>
      <c r="BK48">
        <f t="shared" si="8"/>
        <v>0</v>
      </c>
      <c r="BL48">
        <f t="shared" si="9"/>
        <v>0</v>
      </c>
      <c r="BM48" s="40" cm="1">
        <f t="array" ref="BM48">IF($F$14-$I$4+VLOOKUP($R48,武学奇术!$A:$ZZ,15,FALSE)+SUM(_xlfn.XLOOKUP($S48:$AL48,增益!$A:$A,增益!$O:$O,0))&gt;0,($F$14-$I$4+VLOOKUP($R48,武学奇术!$A:$ZZ,15,FALSE)+SUM(_xlfn.XLOOKUP($S48:$AL48,增益!$A:$A,增益!$O:$O,0)))/200,($F$14-$I$4+VLOOKUP($R48,武学奇术!$A:$ZZ,15,FALSE)+SUM(_xlfn.XLOOKUP($S48:$AL48,增益!$A:$A,增益!$O:$O,0)))/100)</f>
        <v>-0.14</v>
      </c>
      <c r="BN48" s="40" cm="1">
        <f t="array" ref="BN48">$G$14+VLOOKUP($R48,武学奇术!$A:$ZZ,16,FALSE)+SUM(_xlfn.XLOOKUP($S48:$AL48,增益!$A:$A,增益!$P:$P,0))</f>
        <v>0</v>
      </c>
      <c r="BO48" s="33">
        <f>MIN(IF(VLOOKUP($R48,武学奇术!$A:$ZZ,23,FALSE)=1,100%,$B$8),100%)</f>
        <v>1</v>
      </c>
      <c r="BP48" s="33" cm="1">
        <f t="array" ref="BP48">IF(VLOOKUP($R48,武学奇术!$A:$ZZ,23,FALSE)=1,100%,MIN(80%,$B$9+VLOOKUP($R48,武学奇术!$A:$ZZ,17,FALSE)+SUM(_xlfn.XLOOKUP($S48:$AL48,增益!$A:$A,增益!$Q:$Q,0)))+$B$11+SUM(_xlfn.XLOOKUP($S48:$AL48,增益!$A:$A,增益!$U:$U,0)))*IF(VLOOKUP($R48,武学奇术!$A:$ZZ,24,FALSE)=1,0,1)</f>
        <v>1</v>
      </c>
      <c r="BQ48" s="33" cm="1">
        <f t="array" ref="BQ48">1+$B$13+VLOOKUP($R48,武学奇术!$A:$ZZ,18,FALSE)+SUM(_xlfn.XLOOKUP($S48:$AL48,增益!$A:$A,增益!$R:$R,0))</f>
        <v>2.1</v>
      </c>
      <c r="BR48" s="33" cm="1">
        <f t="array" ref="BR48">IF(VLOOKUP($R48,武学奇术!$A:$ZZ,24,FALSE)=1,100%,MIN(40%,$B$10+VLOOKUP($R48,武学奇术!$A:$ZZ,19,FALSE)+SUM(_xlfn.XLOOKUP($S48:$AL48,增益!$A:$A,增益!$S:$S,0)))+$B$12+SUM(_xlfn.XLOOKUP($S48:$AL48,增益!$A:$A,增益!$V:$V,0)))*IF(VLOOKUP($R48,武学奇术!$A:$ZZ,23,FALSE)=1,0,1)</f>
        <v>0</v>
      </c>
      <c r="BS48" s="33" cm="1">
        <f t="array" ref="BS48">1+$B$14+VLOOKUP($R48,武学奇术!$A:$ZZ,20,FALSE)+SUM(_xlfn.XLOOKUP($S48:$AL48,增益!$A:$A,增益!$T:$T,0))</f>
        <v>1.35</v>
      </c>
      <c r="BT48" s="33">
        <f t="shared" si="10"/>
        <v>1</v>
      </c>
      <c r="BU48" s="33">
        <f t="shared" si="11"/>
        <v>0</v>
      </c>
      <c r="BV48" s="33">
        <f>IF(VLOOKUP($R48,武学奇术!$A:$ZZ,22,FALSE)=1,0,(1-$BO48))*(1-$BR48)</f>
        <v>0</v>
      </c>
      <c r="BW48" s="33" cm="1">
        <f t="array" ref="BW48">SUM(_xlfn.XLOOKUP($S48:$AL48,增益!$A:$A,增益!$W:$W,0))+$I$5</f>
        <v>0.31</v>
      </c>
      <c r="BX48" s="33" cm="1">
        <f t="array" ref="BX48">VLOOKUP($R48,武学奇术!$A:$ZZ,32,FALSE)+SUM(_xlfn.XLOOKUP($S48:$AL48,增益!$A:$A,增益!$X:$X,0))</f>
        <v>0</v>
      </c>
    </row>
    <row r="49" spans="4:76">
      <c r="L49" s="46">
        <f t="shared" si="0"/>
        <v>27060.6133203671</v>
      </c>
      <c r="M49" s="46">
        <f>((($AT49+$AU49)/2*$AN49+$AO49)*(1+$AV49)*(1+$AW49)+(($AY49+$AZ49)/2*IF($G$1="鸣金",$AP49,$AN49)+IF($G$1="鸣金",$AQ49*1.5,0))*(1+$BA49)*(1+$BB49)+(($BC49+$BD49)/2*IF($G$1="裂石",$AP49,$AN49)+IF($G$1="裂石",$AQ49*1.5,0))*(1+$BE49)*(1+$BF49)+(($BG49+$BH49)/2*IF($G$1="牵丝",$AP49,$AN49)+IF($G$1="牵丝",$AQ49*1.5,0))*(1+$BI49)*(1+$BJ49)+(($BK49+$BL49)/2*IF($G$1="破竹",$AP49,$AN49)+IF($G$1="破竹",$AQ49*1.5,0))*(1+$BM49)*(1+$BN49))*(1+$AR49)*$BQ49*$Q49*(1+IF(VLOOKUP($R49,武学奇术!$A:$ZZ,30,FALSE)="蓄力技",$B$21,0))*(1+IF(VLOOKUP($R49,武学奇术!$A:$ZZ,30,FALSE)="派生技",$B$20,0))*(1+$BW49)*(1+$BX49)</f>
        <v>27060.6133203671</v>
      </c>
      <c r="N49" s="46">
        <f>(($AU49*$AN49+$AO49)*(1+$AV49)*(1+$AW49)+($AZ49*IF($G$1="鸣金",$AP49,$AN49)+IF($G$1="鸣金",$AQ49*1.5,0))*(1+$BA49)*(1+$BB49)+($BD49*IF($G$1="裂石",$AP49,$AN49)+IF($G$1="裂石",$AQ49*1.5,0))*(1+$BE49)*(1+$BF49)+($BH49*IF($G$1="牵丝",$AP49,$AN49)+IF($G$1="牵丝",$AQ49*1.5,0))*(1+$BI49)*(1+$BJ49)+($BL49*IF($G$1="破竹",$AP49,$AN49)+IF($G$1="破竹",$AQ49*1.5,0))*(1+$BM49)*(1+$BN49))*(1+$AR49)*$BS49*$Q49*(1+IF(VLOOKUP($R49,武学奇术!$A:$ZZ,30,FALSE)="蓄力技",$B$21,0))*(1+IF(VLOOKUP($R49,武学奇术!$A:$ZZ,30,FALSE)="派生技",$B$20,0))*(1+$BW49)*(1+$BX49)</f>
        <v>19888.2479197411</v>
      </c>
      <c r="O49" s="46">
        <f>((($AT49+$AU49)/2*$AN49+$AO49)*(1+$AV49)*(1+$AW49)+(($AY49+$AZ49)/2*IF($G$1="鸣金",$AP49,$AN49)+IF($G$1="鸣金",$AQ49*1.5,0))*(1+$BA49)*(1+$BB49)+(($BC49+$BD49)/2*IF($G$1="裂石",$AP49,$AN49)+IF($G$1="裂石",$AQ49*1.5,0))*(1+$BE49)*(1+$BF49)+(($BG49+$BH49)/2*IF($G$1="牵丝",$AP49,$AN49)+IF($G$1="牵丝",$AQ49*1.5,0))*(1+$BI49)*(1+$BJ49)+(($BK49+$BL49)/2*IF($G$1="破竹",$AP49,$AN49)+IF($G$1="破竹",$AQ49*1.5,0))*(1+$BM49)*(1+$BN49))*(1+$AR49)*$Q49*(1+IF(VLOOKUP($R49,武学奇术!$A:$ZZ,30,FALSE)="蓄力技",$B$21,0))*(1+IF(VLOOKUP($R49,武学奇术!$A:$ZZ,30,FALSE)="派生技",$B$20,0))*(1+$BW49)*(1+$BX49)</f>
        <v>12886.0063430319</v>
      </c>
      <c r="P49" s="46">
        <f>((($AT49*$AN49+$AO49)*(1+$AV49)*(1+$AW49)+($AY49*IF($G$1="鸣金",$AP49,$AN49)+IF($G$1="鸣金",$AQ49*1.5,0))*(1+$BA49)*(1+$BB49)+($BC49*IF($G$1="裂石",$AP49,$AN49)+IF($G$1="裂石",$AQ49*1.5,0))*(1+$BE49)*(1+$BF49)+($BG49*IF($G$1="牵丝",$AP49,$AN49)+IF($G$1="牵丝",$AQ49*1.5,0))*(1+$BI49)*(1+$BJ49)+($BK49*IF($G$1="破竹",$AP49,$AN49)+IF($G$1="破竹",$AQ49*1.5,0))*(1+$BM49)*(1+$BN49))*(1+$AR49))*$Q49*(1+IF(VLOOKUP($R49,武学奇术!$A:$ZZ,30,FALSE)="蓄力技",$B$21,0))*(1+IF(VLOOKUP($R49,武学奇术!$A:$ZZ,30,FALSE)="派生技",$B$20,0))*(1+$BW49)*(1+$BX49)</f>
        <v>11039.9771899594</v>
      </c>
      <c r="Q49" s="47">
        <f t="shared" si="13"/>
        <v>1</v>
      </c>
      <c r="R49" s="48" t="s">
        <v>154</v>
      </c>
      <c r="S49" s="48" t="s">
        <v>99</v>
      </c>
      <c r="T49" s="48" t="s">
        <v>182</v>
      </c>
      <c r="U49" s="48" t="s">
        <v>79</v>
      </c>
      <c r="V49" s="48" t="s">
        <v>90</v>
      </c>
      <c r="W49" s="48" t="s">
        <v>141</v>
      </c>
      <c r="X49" s="48" t="s">
        <v>145</v>
      </c>
      <c r="Y49" s="48" t="s">
        <v>74</v>
      </c>
      <c r="Z49" s="48" t="s">
        <v>80</v>
      </c>
      <c r="AA49" s="48" t="s">
        <v>183</v>
      </c>
      <c r="AB49" s="48" t="s">
        <v>184</v>
      </c>
      <c r="AC49" s="48" t="s">
        <v>80</v>
      </c>
      <c r="AD49" s="48" t="s">
        <v>80</v>
      </c>
      <c r="AE49" s="48" t="s">
        <v>80</v>
      </c>
      <c r="AF49" s="48" t="s">
        <v>83</v>
      </c>
      <c r="AG49" s="48" t="s">
        <v>84</v>
      </c>
      <c r="AH49" s="48" t="s">
        <v>80</v>
      </c>
      <c r="AI49" s="48" t="s">
        <v>80</v>
      </c>
      <c r="AJ49" s="48" t="s">
        <v>80</v>
      </c>
      <c r="AK49" s="48" t="s">
        <v>80</v>
      </c>
      <c r="AL49" s="48" t="s">
        <v>80</v>
      </c>
      <c r="AM49" t="str">
        <f>VLOOKUP($R49,武学奇术!$A:$ZZ,25,FALSE)</f>
        <v>陌刀</v>
      </c>
      <c r="AN49" s="33">
        <f>VLOOKUP($R49,武学奇术!$A:$ZZ,26,FALSE)</f>
        <v>0.525</v>
      </c>
      <c r="AO49" s="34">
        <f>VLOOKUP($R49,武学奇术!$A:$ZZ,27,FALSE)*(1+IF(OR($AM49=$F$4,$AM49=$F$5),$B$22,0))</f>
        <v>0</v>
      </c>
      <c r="AP49" s="33">
        <f>VLOOKUP($R49,武学奇术!$A:$ZZ,28,FALSE)</f>
        <v>0.7875</v>
      </c>
      <c r="AQ49" s="34">
        <f>VLOOKUP($R49,武学奇术!$A:$ZZ,29,FALSE)*(1+IF(OR($AM49=$F$4,$AM49=$F$5),$B$22,0))</f>
        <v>0</v>
      </c>
      <c r="AR49" s="33" cm="1">
        <f t="array" ref="AR49">$G$3+IFERROR(VLOOKUP($AM49,$F$4:$G$7,2,FALSE),0)+VLOOKUP($R49,武学奇术!$A:$ZZ,2,FALSE)+SUM(_xlfn.XLOOKUP($S49:$AL49,增益!$A:$A,增益!$B:$B,0))</f>
        <v>0.6143</v>
      </c>
      <c r="AS49" s="33" cm="1">
        <f t="array" ref="AS49">VLOOKUP($R49,武学奇术!$A:$ZZ,5,FALSE)+SUM(_xlfn.XLOOKUP($S49:$AL49,增益!$A:$A,增益!$E:$E,0))</f>
        <v>0</v>
      </c>
      <c r="AT49" cm="1">
        <f t="array" ref="AT49">$D$10*(1+$AS49)+VLOOKUP($R49,武学奇术!$A:$ZZ,3,FALSE)+SUM(_xlfn.XLOOKUP($S49:$AL49,增益!$A:$A,增益!$C:$C,0))-$I$2</f>
        <v>4026</v>
      </c>
      <c r="AU49" cm="1">
        <f t="array" ref="AU49">$E$10*(1+$AS49)+VLOOKUP($R49,武学奇术!$A:$ZZ,4,FALSE)+SUM(_xlfn.XLOOKUP($S49:$AL49,增益!$A:$A,增益!$D:$D,0))-$I$2</f>
        <v>4026</v>
      </c>
      <c r="AV49" s="40" cm="1">
        <f t="array" ref="AV49">IF($F$10-$I$3+VLOOKUP($R49,武学奇术!$A:$ZZ,6,FALSE)+SUM(_xlfn.XLOOKUP($S49:$AL49,增益!$A:$A,增益!$F:$F,0))&gt;0,($F$10-$I$3+VLOOKUP($R49,武学奇术!$A:$ZZ,6,FALSE)+SUM(_xlfn.XLOOKUP($S49:$AL49,增益!$A:$A,增益!$F:$F,0)))/200,($F$10-$I$3+VLOOKUP($R49,武学奇术!$A:$ZZ,6,FALSE)+SUM(_xlfn.XLOOKUP($S49:$AL49,增益!$A:$A,增益!$F:$F,0)))/100)</f>
        <v>0.3534</v>
      </c>
      <c r="AW49" s="40" cm="1">
        <f t="array" ref="AW49">$G$10+VLOOKUP($R49,武学奇术!$A:$ZZ,7,FALSE)+SUM(_xlfn.XLOOKUP($S49:$AL49,增益!$A:$A,增益!$G:$G,0))</f>
        <v>0.12</v>
      </c>
      <c r="AX49" s="33" cm="1">
        <f t="array" ref="AX49">VLOOKUP($R49,武学奇术!$A:$ZZ,8,FALSE)+SUM(_xlfn.XLOOKUP($S49:$AL49,增益!$A:$A,增益!$H:$H,0))</f>
        <v>0</v>
      </c>
      <c r="AY49">
        <f t="shared" si="2"/>
        <v>0</v>
      </c>
      <c r="AZ49">
        <f t="shared" si="3"/>
        <v>0</v>
      </c>
      <c r="BA49" s="40" cm="1">
        <f t="array" ref="BA49">IF($F$11-$I$4+VLOOKUP($R49,武学奇术!$A:$ZZ,9,FALSE)+SUM(_xlfn.XLOOKUP($S49:$AL49,增益!$A:$A,增益!$I:$I,0))&gt;0,($F$11-$I$4+VLOOKUP($R49,武学奇术!$A:$ZZ,9,FALSE)+SUM(_xlfn.XLOOKUP($S49:$AL49,增益!$A:$A,增益!$I:$I,0)))/200,($F$11-$I$4+VLOOKUP($R49,武学奇术!$A:$ZZ,9,FALSE)+SUM(_xlfn.XLOOKUP($S49:$AL49,增益!$A:$A,增益!$I:$I,0)))/100)</f>
        <v>-0.14</v>
      </c>
      <c r="BB49" s="40" cm="1">
        <f t="array" ref="BB49">$G$11+VLOOKUP($R49,武学奇术!$A:$ZZ,10,FALSE)+SUM(_xlfn.XLOOKUP($S49:$AL49,增益!$A:$A,增益!$J:$J,0))</f>
        <v>0.1</v>
      </c>
      <c r="BC49">
        <f t="shared" si="4"/>
        <v>640.3</v>
      </c>
      <c r="BD49">
        <f t="shared" si="5"/>
        <v>1770.1</v>
      </c>
      <c r="BE49" s="40" cm="1">
        <f t="array" ref="BE49">IF($F$12-$I$4+VLOOKUP($R49,武学奇术!$A:$ZZ,11,FALSE)+SUM(_xlfn.XLOOKUP($S49:$AL49,增益!$A:$A,增益!$K:$K,0))&gt;0,($F$12-$I$4+VLOOKUP($R49,武学奇术!$A:$ZZ,11,FALSE)+SUM(_xlfn.XLOOKUP($S49:$AL49,增益!$A:$A,增益!$K:$K,0)))/200,($F$12-$I$4+VLOOKUP($R49,武学奇术!$A:$ZZ,11,FALSE)+SUM(_xlfn.XLOOKUP($S49:$AL49,增益!$A:$A,增益!$K:$K,0)))/100)</f>
        <v>0.17</v>
      </c>
      <c r="BF49" s="40" cm="1">
        <f t="array" ref="BF49">$G$12+VLOOKUP($R49,武学奇术!$A:$ZZ,12,FALSE)+SUM(_xlfn.XLOOKUP($S49:$AL49,增益!$A:$A,增益!$L:$L,0))</f>
        <v>0.27</v>
      </c>
      <c r="BG49">
        <f t="shared" si="6"/>
        <v>0</v>
      </c>
      <c r="BH49">
        <f t="shared" si="7"/>
        <v>0</v>
      </c>
      <c r="BI49" s="40" cm="1">
        <f t="array" ref="BI49">IF($F$13-$I$4+VLOOKUP($R49,武学奇术!$A:$ZZ,13,FALSE)+SUM(_xlfn.XLOOKUP($S49:$AL49,增益!$A:$A,增益!$M:$M,0))&gt;0,($F$13-$I$4+VLOOKUP($R49,武学奇术!$A:$ZZ,13,FALSE)+SUM(_xlfn.XLOOKUP($S49:$AL49,增益!$A:$A,增益!$K:$K,0)))/200,($F$13-$I$4+VLOOKUP($R49,武学奇术!$A:$ZZ,13,FALSE)+SUM(_xlfn.XLOOKUP($S49:$AL49,增益!$A:$A,增益!$M:$M,0)))/100)</f>
        <v>-0.14</v>
      </c>
      <c r="BJ49" s="40" cm="1">
        <f t="array" ref="BJ49">$G$13+VLOOKUP($R49,武学奇术!$A:$ZZ,14,FALSE)+SUM(_xlfn.XLOOKUP($S49:$AL49,增益!$A:$A,增益!$N:$N,0))</f>
        <v>0</v>
      </c>
      <c r="BK49">
        <f t="shared" si="8"/>
        <v>0</v>
      </c>
      <c r="BL49">
        <f t="shared" si="9"/>
        <v>0</v>
      </c>
      <c r="BM49" s="40" cm="1">
        <f t="array" ref="BM49">IF($F$14-$I$4+VLOOKUP($R49,武学奇术!$A:$ZZ,15,FALSE)+SUM(_xlfn.XLOOKUP($S49:$AL49,增益!$A:$A,增益!$O:$O,0))&gt;0,($F$14-$I$4+VLOOKUP($R49,武学奇术!$A:$ZZ,15,FALSE)+SUM(_xlfn.XLOOKUP($S49:$AL49,增益!$A:$A,增益!$O:$O,0)))/200,($F$14-$I$4+VLOOKUP($R49,武学奇术!$A:$ZZ,15,FALSE)+SUM(_xlfn.XLOOKUP($S49:$AL49,增益!$A:$A,增益!$O:$O,0)))/100)</f>
        <v>-0.14</v>
      </c>
      <c r="BN49" s="40" cm="1">
        <f t="array" ref="BN49">$G$14+VLOOKUP($R49,武学奇术!$A:$ZZ,16,FALSE)+SUM(_xlfn.XLOOKUP($S49:$AL49,增益!$A:$A,增益!$P:$P,0))</f>
        <v>0</v>
      </c>
      <c r="BO49" s="33">
        <f>MIN(IF(VLOOKUP($R49,武学奇术!$A:$ZZ,23,FALSE)=1,100%,$B$8),100%)</f>
        <v>1</v>
      </c>
      <c r="BP49" s="33" cm="1">
        <f t="array" ref="BP49">IF(VLOOKUP($R49,武学奇术!$A:$ZZ,23,FALSE)=1,100%,MIN(80%,$B$9+VLOOKUP($R49,武学奇术!$A:$ZZ,17,FALSE)+SUM(_xlfn.XLOOKUP($S49:$AL49,增益!$A:$A,增益!$Q:$Q,0)))+$B$11+SUM(_xlfn.XLOOKUP($S49:$AL49,增益!$A:$A,增益!$U:$U,0)))*IF(VLOOKUP($R49,武学奇术!$A:$ZZ,24,FALSE)=1,0,1)</f>
        <v>1</v>
      </c>
      <c r="BQ49" s="33" cm="1">
        <f t="array" ref="BQ49">1+$B$13+VLOOKUP($R49,武学奇术!$A:$ZZ,18,FALSE)+SUM(_xlfn.XLOOKUP($S49:$AL49,增益!$A:$A,增益!$R:$R,0))</f>
        <v>2.1</v>
      </c>
      <c r="BR49" s="33" cm="1">
        <f t="array" ref="BR49">IF(VLOOKUP($R49,武学奇术!$A:$ZZ,24,FALSE)=1,100%,MIN(40%,$B$10+VLOOKUP($R49,武学奇术!$A:$ZZ,19,FALSE)+SUM(_xlfn.XLOOKUP($S49:$AL49,增益!$A:$A,增益!$S:$S,0)))+$B$12+SUM(_xlfn.XLOOKUP($S49:$AL49,增益!$A:$A,增益!$V:$V,0)))*IF(VLOOKUP($R49,武学奇术!$A:$ZZ,23,FALSE)=1,0,1)</f>
        <v>0</v>
      </c>
      <c r="BS49" s="33" cm="1">
        <f t="array" ref="BS49">1+$B$14+VLOOKUP($R49,武学奇术!$A:$ZZ,20,FALSE)+SUM(_xlfn.XLOOKUP($S49:$AL49,增益!$A:$A,增益!$T:$T,0))</f>
        <v>1.35</v>
      </c>
      <c r="BT49" s="33">
        <f t="shared" si="10"/>
        <v>1</v>
      </c>
      <c r="BU49" s="33">
        <f t="shared" si="11"/>
        <v>0</v>
      </c>
      <c r="BV49" s="33">
        <f>IF(VLOOKUP($R49,武学奇术!$A:$ZZ,22,FALSE)=1,0,(1-$BO49))*(1-$BR49)</f>
        <v>0</v>
      </c>
      <c r="BW49" s="33" cm="1">
        <f t="array" ref="BW49">SUM(_xlfn.XLOOKUP($S49:$AL49,增益!$A:$A,增益!$W:$W,0))+$I$5</f>
        <v>0.31</v>
      </c>
      <c r="BX49" s="33" cm="1">
        <f t="array" ref="BX49">VLOOKUP($R49,武学奇术!$A:$ZZ,32,FALSE)+SUM(_xlfn.XLOOKUP($S49:$AL49,增益!$A:$A,增益!$X:$X,0))</f>
        <v>0</v>
      </c>
    </row>
    <row r="50" spans="4:76">
      <c r="L50" s="46">
        <f t="shared" si="0"/>
        <v>48709.1039766607</v>
      </c>
      <c r="M50" s="46">
        <f>((($AT50+$AU50)/2*$AN50+$AO50)*(1+$AV50)*(1+$AW50)+(($AY50+$AZ50)/2*IF($G$1="鸣金",$AP50,$AN50)+IF($G$1="鸣金",$AQ50*1.5,0))*(1+$BA50)*(1+$BB50)+(($BC50+$BD50)/2*IF($G$1="裂石",$AP50,$AN50)+IF($G$1="裂石",$AQ50*1.5,0))*(1+$BE50)*(1+$BF50)+(($BG50+$BH50)/2*IF($G$1="牵丝",$AP50,$AN50)+IF($G$1="牵丝",$AQ50*1.5,0))*(1+$BI50)*(1+$BJ50)+(($BK50+$BL50)/2*IF($G$1="破竹",$AP50,$AN50)+IF($G$1="破竹",$AQ50*1.5,0))*(1+$BM50)*(1+$BN50))*(1+$AR50)*$BQ50*$Q50*(1+IF(VLOOKUP($R50,武学奇术!$A:$ZZ,30,FALSE)="蓄力技",$B$21,0))*(1+IF(VLOOKUP($R50,武学奇术!$A:$ZZ,30,FALSE)="派生技",$B$20,0))*(1+$BW50)*(1+$BX50)</f>
        <v>48709.1039766607</v>
      </c>
      <c r="N50" s="46">
        <f>(($AU50*$AN50+$AO50)*(1+$AV50)*(1+$AW50)+($AZ50*IF($G$1="鸣金",$AP50,$AN50)+IF($G$1="鸣金",$AQ50*1.5,0))*(1+$BA50)*(1+$BB50)+($BD50*IF($G$1="裂石",$AP50,$AN50)+IF($G$1="裂石",$AQ50*1.5,0))*(1+$BE50)*(1+$BF50)+($BH50*IF($G$1="牵丝",$AP50,$AN50)+IF($G$1="牵丝",$AQ50*1.5,0))*(1+$BI50)*(1+$BJ50)+($BL50*IF($G$1="破竹",$AP50,$AN50)+IF($G$1="破竹",$AQ50*1.5,0))*(1+$BM50)*(1+$BN50))*(1+$AR50)*$BS50*$Q50*(1+IF(VLOOKUP($R50,武学奇术!$A:$ZZ,30,FALSE)="蓄力技",$B$21,0))*(1+IF(VLOOKUP($R50,武学奇术!$A:$ZZ,30,FALSE)="派生技",$B$20,0))*(1+$BW50)*(1+$BX50)</f>
        <v>35798.8462555339</v>
      </c>
      <c r="O50" s="46">
        <f>((($AT50+$AU50)/2*$AN50+$AO50)*(1+$AV50)*(1+$AW50)+(($AY50+$AZ50)/2*IF($G$1="鸣金",$AP50,$AN50)+IF($G$1="鸣金",$AQ50*1.5,0))*(1+$BA50)*(1+$BB50)+(($BC50+$BD50)/2*IF($G$1="裂石",$AP50,$AN50)+IF($G$1="裂石",$AQ50*1.5,0))*(1+$BE50)*(1+$BF50)+(($BG50+$BH50)/2*IF($G$1="牵丝",$AP50,$AN50)+IF($G$1="牵丝",$AQ50*1.5,0))*(1+$BI50)*(1+$BJ50)+(($BK50+$BL50)/2*IF($G$1="破竹",$AP50,$AN50)+IF($G$1="破竹",$AQ50*1.5,0))*(1+$BM50)*(1+$BN50))*(1+$AR50)*$Q50*(1+IF(VLOOKUP($R50,武学奇术!$A:$ZZ,30,FALSE)="蓄力技",$B$21,0))*(1+IF(VLOOKUP($R50,武学奇术!$A:$ZZ,30,FALSE)="派生技",$B$20,0))*(1+$BW50)*(1+$BX50)</f>
        <v>23194.8114174575</v>
      </c>
      <c r="P50" s="46">
        <f>((($AT50*$AN50+$AO50)*(1+$AV50)*(1+$AW50)+($AY50*IF($G$1="鸣金",$AP50,$AN50)+IF($G$1="鸣金",$AQ50*1.5,0))*(1+$BA50)*(1+$BB50)+($BC50*IF($G$1="裂石",$AP50,$AN50)+IF($G$1="裂石",$AQ50*1.5,0))*(1+$BE50)*(1+$BF50)+($BG50*IF($G$1="牵丝",$AP50,$AN50)+IF($G$1="牵丝",$AQ50*1.5,0))*(1+$BI50)*(1+$BJ50)+($BK50*IF($G$1="破竹",$AP50,$AN50)+IF($G$1="破竹",$AQ50*1.5,0))*(1+$BM50)*(1+$BN50))*(1+$AR50))*$Q50*(1+IF(VLOOKUP($R50,武学奇术!$A:$ZZ,30,FALSE)="蓄力技",$B$21,0))*(1+IF(VLOOKUP($R50,武学奇术!$A:$ZZ,30,FALSE)="派生技",$B$20,0))*(1+$BW50)*(1+$BX50)</f>
        <v>19871.9589419269</v>
      </c>
      <c r="Q50" s="47">
        <f t="shared" si="13"/>
        <v>1</v>
      </c>
      <c r="R50" s="48" t="s">
        <v>144</v>
      </c>
      <c r="S50" s="48" t="s">
        <v>99</v>
      </c>
      <c r="T50" s="48" t="s">
        <v>182</v>
      </c>
      <c r="U50" s="48" t="s">
        <v>79</v>
      </c>
      <c r="V50" s="48" t="s">
        <v>90</v>
      </c>
      <c r="W50" s="48" t="s">
        <v>141</v>
      </c>
      <c r="X50" s="48" t="s">
        <v>145</v>
      </c>
      <c r="Y50" s="48" t="s">
        <v>74</v>
      </c>
      <c r="Z50" s="48" t="s">
        <v>80</v>
      </c>
      <c r="AA50" s="48" t="s">
        <v>183</v>
      </c>
      <c r="AB50" s="48" t="s">
        <v>184</v>
      </c>
      <c r="AC50" s="48" t="s">
        <v>80</v>
      </c>
      <c r="AD50" s="48" t="s">
        <v>80</v>
      </c>
      <c r="AE50" s="48" t="s">
        <v>80</v>
      </c>
      <c r="AF50" s="48" t="s">
        <v>83</v>
      </c>
      <c r="AG50" s="48" t="s">
        <v>84</v>
      </c>
      <c r="AH50" s="48" t="s">
        <v>80</v>
      </c>
      <c r="AI50" s="48" t="s">
        <v>80</v>
      </c>
      <c r="AJ50" s="48" t="s">
        <v>80</v>
      </c>
      <c r="AK50" s="48" t="s">
        <v>80</v>
      </c>
      <c r="AL50" s="48" t="s">
        <v>80</v>
      </c>
      <c r="AM50" t="str">
        <f>VLOOKUP($R50,武学奇术!$A:$ZZ,25,FALSE)</f>
        <v>陌刀</v>
      </c>
      <c r="AN50" s="33">
        <f>VLOOKUP($R50,武学奇术!$A:$ZZ,26,FALSE)</f>
        <v>0.945</v>
      </c>
      <c r="AO50" s="34">
        <f>VLOOKUP($R50,武学奇术!$A:$ZZ,27,FALSE)*(1+IF(OR($AM50=$F$4,$AM50=$F$5),$B$22,0))</f>
        <v>0</v>
      </c>
      <c r="AP50" s="33">
        <f>VLOOKUP($R50,武学奇术!$A:$ZZ,28,FALSE)</f>
        <v>1.4175</v>
      </c>
      <c r="AQ50" s="34">
        <f>VLOOKUP($R50,武学奇术!$A:$ZZ,29,FALSE)*(1+IF(OR($AM50=$F$4,$AM50=$F$5),$B$22,0))</f>
        <v>0</v>
      </c>
      <c r="AR50" s="33" cm="1">
        <f t="array" ref="AR50">$G$3+IFERROR(VLOOKUP($AM50,$F$4:$G$7,2,FALSE),0)+VLOOKUP($R50,武学奇术!$A:$ZZ,2,FALSE)+SUM(_xlfn.XLOOKUP($S50:$AL50,增益!$A:$A,增益!$B:$B,0))</f>
        <v>0.6143</v>
      </c>
      <c r="AS50" s="33" cm="1">
        <f t="array" ref="AS50">VLOOKUP($R50,武学奇术!$A:$ZZ,5,FALSE)+SUM(_xlfn.XLOOKUP($S50:$AL50,增益!$A:$A,增益!$E:$E,0))</f>
        <v>0</v>
      </c>
      <c r="AT50" cm="1">
        <f t="array" ref="AT50">$D$10*(1+$AS50)+VLOOKUP($R50,武学奇术!$A:$ZZ,3,FALSE)+SUM(_xlfn.XLOOKUP($S50:$AL50,增益!$A:$A,增益!$C:$C,0))-$I$2</f>
        <v>4026</v>
      </c>
      <c r="AU50" cm="1">
        <f t="array" ref="AU50">$E$10*(1+$AS50)+VLOOKUP($R50,武学奇术!$A:$ZZ,4,FALSE)+SUM(_xlfn.XLOOKUP($S50:$AL50,增益!$A:$A,增益!$D:$D,0))-$I$2</f>
        <v>4026</v>
      </c>
      <c r="AV50" s="40" cm="1">
        <f t="array" ref="AV50">IF($F$10-$I$3+VLOOKUP($R50,武学奇术!$A:$ZZ,6,FALSE)+SUM(_xlfn.XLOOKUP($S50:$AL50,增益!$A:$A,增益!$F:$F,0))&gt;0,($F$10-$I$3+VLOOKUP($R50,武学奇术!$A:$ZZ,6,FALSE)+SUM(_xlfn.XLOOKUP($S50:$AL50,增益!$A:$A,增益!$F:$F,0)))/200,($F$10-$I$3+VLOOKUP($R50,武学奇术!$A:$ZZ,6,FALSE)+SUM(_xlfn.XLOOKUP($S50:$AL50,增益!$A:$A,增益!$F:$F,0)))/100)</f>
        <v>0.3534</v>
      </c>
      <c r="AW50" s="40" cm="1">
        <f t="array" ref="AW50">$G$10+VLOOKUP($R50,武学奇术!$A:$ZZ,7,FALSE)+SUM(_xlfn.XLOOKUP($S50:$AL50,增益!$A:$A,增益!$G:$G,0))</f>
        <v>0.12</v>
      </c>
      <c r="AX50" s="33" cm="1">
        <f t="array" ref="AX50">VLOOKUP($R50,武学奇术!$A:$ZZ,8,FALSE)+SUM(_xlfn.XLOOKUP($S50:$AL50,增益!$A:$A,增益!$H:$H,0))</f>
        <v>0</v>
      </c>
      <c r="AY50">
        <f t="shared" si="2"/>
        <v>0</v>
      </c>
      <c r="AZ50">
        <f t="shared" si="3"/>
        <v>0</v>
      </c>
      <c r="BA50" s="40" cm="1">
        <f t="array" ref="BA50">IF($F$11-$I$4+VLOOKUP($R50,武学奇术!$A:$ZZ,9,FALSE)+SUM(_xlfn.XLOOKUP($S50:$AL50,增益!$A:$A,增益!$I:$I,0))&gt;0,($F$11-$I$4+VLOOKUP($R50,武学奇术!$A:$ZZ,9,FALSE)+SUM(_xlfn.XLOOKUP($S50:$AL50,增益!$A:$A,增益!$I:$I,0)))/200,($F$11-$I$4+VLOOKUP($R50,武学奇术!$A:$ZZ,9,FALSE)+SUM(_xlfn.XLOOKUP($S50:$AL50,增益!$A:$A,增益!$I:$I,0)))/100)</f>
        <v>-0.14</v>
      </c>
      <c r="BB50" s="40" cm="1">
        <f t="array" ref="BB50">$G$11+VLOOKUP($R50,武学奇术!$A:$ZZ,10,FALSE)+SUM(_xlfn.XLOOKUP($S50:$AL50,增益!$A:$A,增益!$J:$J,0))</f>
        <v>0.1</v>
      </c>
      <c r="BC50">
        <f t="shared" si="4"/>
        <v>640.3</v>
      </c>
      <c r="BD50">
        <f t="shared" si="5"/>
        <v>1770.1</v>
      </c>
      <c r="BE50" s="40" cm="1">
        <f t="array" ref="BE50">IF($F$12-$I$4+VLOOKUP($R50,武学奇术!$A:$ZZ,11,FALSE)+SUM(_xlfn.XLOOKUP($S50:$AL50,增益!$A:$A,增益!$K:$K,0))&gt;0,($F$12-$I$4+VLOOKUP($R50,武学奇术!$A:$ZZ,11,FALSE)+SUM(_xlfn.XLOOKUP($S50:$AL50,增益!$A:$A,增益!$K:$K,0)))/200,($F$12-$I$4+VLOOKUP($R50,武学奇术!$A:$ZZ,11,FALSE)+SUM(_xlfn.XLOOKUP($S50:$AL50,增益!$A:$A,增益!$K:$K,0)))/100)</f>
        <v>0.17</v>
      </c>
      <c r="BF50" s="40" cm="1">
        <f t="array" ref="BF50">$G$12+VLOOKUP($R50,武学奇术!$A:$ZZ,12,FALSE)+SUM(_xlfn.XLOOKUP($S50:$AL50,增益!$A:$A,增益!$L:$L,0))</f>
        <v>0.27</v>
      </c>
      <c r="BG50">
        <f t="shared" si="6"/>
        <v>0</v>
      </c>
      <c r="BH50">
        <f t="shared" si="7"/>
        <v>0</v>
      </c>
      <c r="BI50" s="40" cm="1">
        <f t="array" ref="BI50">IF($F$13-$I$4+VLOOKUP($R50,武学奇术!$A:$ZZ,13,FALSE)+SUM(_xlfn.XLOOKUP($S50:$AL50,增益!$A:$A,增益!$M:$M,0))&gt;0,($F$13-$I$4+VLOOKUP($R50,武学奇术!$A:$ZZ,13,FALSE)+SUM(_xlfn.XLOOKUP($S50:$AL50,增益!$A:$A,增益!$K:$K,0)))/200,($F$13-$I$4+VLOOKUP($R50,武学奇术!$A:$ZZ,13,FALSE)+SUM(_xlfn.XLOOKUP($S50:$AL50,增益!$A:$A,增益!$M:$M,0)))/100)</f>
        <v>-0.14</v>
      </c>
      <c r="BJ50" s="40" cm="1">
        <f t="array" ref="BJ50">$G$13+VLOOKUP($R50,武学奇术!$A:$ZZ,14,FALSE)+SUM(_xlfn.XLOOKUP($S50:$AL50,增益!$A:$A,增益!$N:$N,0))</f>
        <v>0</v>
      </c>
      <c r="BK50">
        <f t="shared" si="8"/>
        <v>0</v>
      </c>
      <c r="BL50">
        <f t="shared" si="9"/>
        <v>0</v>
      </c>
      <c r="BM50" s="40" cm="1">
        <f t="array" ref="BM50">IF($F$14-$I$4+VLOOKUP($R50,武学奇术!$A:$ZZ,15,FALSE)+SUM(_xlfn.XLOOKUP($S50:$AL50,增益!$A:$A,增益!$O:$O,0))&gt;0,($F$14-$I$4+VLOOKUP($R50,武学奇术!$A:$ZZ,15,FALSE)+SUM(_xlfn.XLOOKUP($S50:$AL50,增益!$A:$A,增益!$O:$O,0)))/200,($F$14-$I$4+VLOOKUP($R50,武学奇术!$A:$ZZ,15,FALSE)+SUM(_xlfn.XLOOKUP($S50:$AL50,增益!$A:$A,增益!$O:$O,0)))/100)</f>
        <v>-0.14</v>
      </c>
      <c r="BN50" s="40" cm="1">
        <f t="array" ref="BN50">$G$14+VLOOKUP($R50,武学奇术!$A:$ZZ,16,FALSE)+SUM(_xlfn.XLOOKUP($S50:$AL50,增益!$A:$A,增益!$P:$P,0))</f>
        <v>0</v>
      </c>
      <c r="BO50" s="33">
        <f>MIN(IF(VLOOKUP($R50,武学奇术!$A:$ZZ,23,FALSE)=1,100%,$B$8),100%)</f>
        <v>1</v>
      </c>
      <c r="BP50" s="33" cm="1">
        <f t="array" ref="BP50">IF(VLOOKUP($R50,武学奇术!$A:$ZZ,23,FALSE)=1,100%,MIN(80%,$B$9+VLOOKUP($R50,武学奇术!$A:$ZZ,17,FALSE)+SUM(_xlfn.XLOOKUP($S50:$AL50,增益!$A:$A,增益!$Q:$Q,0)))+$B$11+SUM(_xlfn.XLOOKUP($S50:$AL50,增益!$A:$A,增益!$U:$U,0)))*IF(VLOOKUP($R50,武学奇术!$A:$ZZ,24,FALSE)=1,0,1)</f>
        <v>1</v>
      </c>
      <c r="BQ50" s="33" cm="1">
        <f t="array" ref="BQ50">1+$B$13+VLOOKUP($R50,武学奇术!$A:$ZZ,18,FALSE)+SUM(_xlfn.XLOOKUP($S50:$AL50,增益!$A:$A,增益!$R:$R,0))</f>
        <v>2.1</v>
      </c>
      <c r="BR50" s="33" cm="1">
        <f t="array" ref="BR50">IF(VLOOKUP($R50,武学奇术!$A:$ZZ,24,FALSE)=1,100%,MIN(40%,$B$10+VLOOKUP($R50,武学奇术!$A:$ZZ,19,FALSE)+SUM(_xlfn.XLOOKUP($S50:$AL50,增益!$A:$A,增益!$S:$S,0)))+$B$12+SUM(_xlfn.XLOOKUP($S50:$AL50,增益!$A:$A,增益!$V:$V,0)))*IF(VLOOKUP($R50,武学奇术!$A:$ZZ,23,FALSE)=1,0,1)</f>
        <v>0</v>
      </c>
      <c r="BS50" s="33" cm="1">
        <f t="array" ref="BS50">1+$B$14+VLOOKUP($R50,武学奇术!$A:$ZZ,20,FALSE)+SUM(_xlfn.XLOOKUP($S50:$AL50,增益!$A:$A,增益!$T:$T,0))</f>
        <v>1.35</v>
      </c>
      <c r="BT50" s="33">
        <f t="shared" si="10"/>
        <v>1</v>
      </c>
      <c r="BU50" s="33">
        <f t="shared" si="11"/>
        <v>0</v>
      </c>
      <c r="BV50" s="33">
        <f>IF(VLOOKUP($R50,武学奇术!$A:$ZZ,22,FALSE)=1,0,(1-$BO50))*(1-$BR50)</f>
        <v>0</v>
      </c>
      <c r="BW50" s="33" cm="1">
        <f t="array" ref="BW50">SUM(_xlfn.XLOOKUP($S50:$AL50,增益!$A:$A,增益!$W:$W,0))+$I$5</f>
        <v>0.31</v>
      </c>
      <c r="BX50" s="33" cm="1">
        <f t="array" ref="BX50">VLOOKUP($R50,武学奇术!$A:$ZZ,32,FALSE)+SUM(_xlfn.XLOOKUP($S50:$AL50,增益!$A:$A,增益!$X:$X,0))</f>
        <v>0</v>
      </c>
    </row>
    <row r="51" spans="4:76">
      <c r="L51" s="46">
        <f t="shared" si="0"/>
        <v>443667.856724143</v>
      </c>
      <c r="M51" s="46">
        <f>((($AT51+$AU51)/2*$AN51+$AO51)*(1+$AV51)*(1+$AW51)+(($AY51+$AZ51)/2*IF($G$1="鸣金",$AP51,$AN51)+IF($G$1="鸣金",$AQ51*1.5,0))*(1+$BA51)*(1+$BB51)+(($BC51+$BD51)/2*IF($G$1="裂石",$AP51,$AN51)+IF($G$1="裂石",$AQ51*1.5,0))*(1+$BE51)*(1+$BF51)+(($BG51+$BH51)/2*IF($G$1="牵丝",$AP51,$AN51)+IF($G$1="牵丝",$AQ51*1.5,0))*(1+$BI51)*(1+$BJ51)+(($BK51+$BL51)/2*IF($G$1="破竹",$AP51,$AN51)+IF($G$1="破竹",$AQ51*1.5,0))*(1+$BM51)*(1+$BN51))*(1+$AR51)*$BQ51*$Q51*(1+IF(VLOOKUP($R51,武学奇术!$A:$ZZ,30,FALSE)="蓄力技",$B$21,0))*(1+IF(VLOOKUP($R51,武学奇术!$A:$ZZ,30,FALSE)="派生技",$B$20,0))*(1+$BW51)*(1+$BX51)</f>
        <v>443667.856724143</v>
      </c>
      <c r="N51" s="46">
        <f>(($AU51*$AN51+$AO51)*(1+$AV51)*(1+$AW51)+($AZ51*IF($G$1="鸣金",$AP51,$AN51)+IF($G$1="鸣金",$AQ51*1.5,0))*(1+$BA51)*(1+$BB51)+($BD51*IF($G$1="裂石",$AP51,$AN51)+IF($G$1="裂石",$AQ51*1.5,0))*(1+$BE51)*(1+$BF51)+($BH51*IF($G$1="牵丝",$AP51,$AN51)+IF($G$1="牵丝",$AQ51*1.5,0))*(1+$BI51)*(1+$BJ51)+($BL51*IF($G$1="破竹",$AP51,$AN51)+IF($G$1="破竹",$AQ51*1.5,0))*(1+$BM51)*(1+$BN51))*(1+$AR51)*$BS51*$Q51*(1+IF(VLOOKUP($R51,武学奇术!$A:$ZZ,30,FALSE)="蓄力技",$B$21,0))*(1+IF(VLOOKUP($R51,武学奇术!$A:$ZZ,30,FALSE)="派生技",$B$20,0))*(1+$BW51)*(1+$BX51)</f>
        <v>321137.301246704</v>
      </c>
      <c r="O51" s="46">
        <f>((($AT51+$AU51)/2*$AN51+$AO51)*(1+$AV51)*(1+$AW51)+(($AY51+$AZ51)/2*IF($G$1="鸣金",$AP51,$AN51)+IF($G$1="鸣金",$AQ51*1.5,0))*(1+$BA51)*(1+$BB51)+(($BC51+$BD51)/2*IF($G$1="裂石",$AP51,$AN51)+IF($G$1="裂石",$AQ51*1.5,0))*(1+$BE51)*(1+$BF51)+(($BG51+$BH51)/2*IF($G$1="牵丝",$AP51,$AN51)+IF($G$1="牵丝",$AQ51*1.5,0))*(1+$BI51)*(1+$BJ51)+(($BK51+$BL51)/2*IF($G$1="破竹",$AP51,$AN51)+IF($G$1="破竹",$AQ51*1.5,0))*(1+$BM51)*(1+$BN51))*(1+$AR51)*$Q51*(1+IF(VLOOKUP($R51,武学奇术!$A:$ZZ,30,FALSE)="蓄力技",$B$21,0))*(1+IF(VLOOKUP($R51,武学奇术!$A:$ZZ,30,FALSE)="派生技",$B$20,0))*(1+$BW51)*(1+$BX51)</f>
        <v>211270.407963878</v>
      </c>
      <c r="P51" s="46">
        <f>((($AT51*$AN51+$AO51)*(1+$AV51)*(1+$AW51)+($AY51*IF($G$1="鸣金",$AP51,$AN51)+IF($G$1="鸣金",$AQ51*1.5,0))*(1+$BA51)*(1+$BB51)+($BC51*IF($G$1="裂石",$AP51,$AN51)+IF($G$1="裂石",$AQ51*1.5,0))*(1+$BE51)*(1+$BF51)+($BG51*IF($G$1="牵丝",$AP51,$AN51)+IF($G$1="牵丝",$AQ51*1.5,0))*(1+$BI51)*(1+$BJ51)+($BK51*IF($G$1="破竹",$AP51,$AN51)+IF($G$1="破竹",$AQ51*1.5,0))*(1+$BM51)*(1+$BN51))*(1+$AR51))*$Q51*(1+IF(VLOOKUP($R51,武学奇术!$A:$ZZ,30,FALSE)="蓄力技",$B$21,0))*(1+IF(VLOOKUP($R51,武学奇术!$A:$ZZ,30,FALSE)="派生技",$B$20,0))*(1+$BW51)*(1+$BX51)</f>
        <v>184661.333522789</v>
      </c>
      <c r="Q51" s="47">
        <f t="shared" si="13"/>
        <v>1</v>
      </c>
      <c r="R51" s="48" t="s">
        <v>148</v>
      </c>
      <c r="S51" s="48" t="s">
        <v>99</v>
      </c>
      <c r="T51" s="48" t="s">
        <v>182</v>
      </c>
      <c r="U51" s="48" t="s">
        <v>79</v>
      </c>
      <c r="V51" s="48" t="s">
        <v>90</v>
      </c>
      <c r="W51" s="48" t="s">
        <v>141</v>
      </c>
      <c r="X51" s="48" t="s">
        <v>145</v>
      </c>
      <c r="Y51" s="48" t="s">
        <v>74</v>
      </c>
      <c r="Z51" s="48" t="s">
        <v>80</v>
      </c>
      <c r="AA51" s="48" t="s">
        <v>183</v>
      </c>
      <c r="AB51" s="48" t="s">
        <v>184</v>
      </c>
      <c r="AC51" s="48" t="s">
        <v>80</v>
      </c>
      <c r="AD51" s="48" t="s">
        <v>80</v>
      </c>
      <c r="AE51" s="48" t="s">
        <v>80</v>
      </c>
      <c r="AF51" s="48" t="s">
        <v>83</v>
      </c>
      <c r="AG51" s="48" t="s">
        <v>84</v>
      </c>
      <c r="AH51" s="48" t="s">
        <v>80</v>
      </c>
      <c r="AI51" s="48" t="s">
        <v>80</v>
      </c>
      <c r="AJ51" s="48" t="s">
        <v>80</v>
      </c>
      <c r="AK51" s="48" t="s">
        <v>80</v>
      </c>
      <c r="AL51" s="48" t="s">
        <v>80</v>
      </c>
      <c r="AM51" t="str">
        <f>VLOOKUP($R51,武学奇术!$A:$ZZ,25,FALSE)</f>
        <v>陌刀</v>
      </c>
      <c r="AN51" s="33">
        <f>VLOOKUP($R51,武学奇术!$A:$ZZ,26,FALSE)</f>
        <v>7.5674</v>
      </c>
      <c r="AO51" s="34">
        <f>VLOOKUP($R51,武学奇术!$A:$ZZ,27,FALSE)*(1+IF(OR($AM51=$F$4,$AM51=$F$5),$B$22,0))</f>
        <v>3348.8</v>
      </c>
      <c r="AP51" s="33">
        <f>VLOOKUP($R51,武学奇术!$A:$ZZ,28,FALSE)</f>
        <v>11.3512</v>
      </c>
      <c r="AQ51" s="34">
        <f>VLOOKUP($R51,武学奇术!$A:$ZZ,29,FALSE)*(1+IF(OR($AM51=$F$4,$AM51=$F$5),$B$22,0))</f>
        <v>1824</v>
      </c>
      <c r="AR51" s="33" cm="1">
        <f t="array" ref="AR51">$G$3+IFERROR(VLOOKUP($AM51,$F$4:$G$7,2,FALSE),0)+VLOOKUP($R51,武学奇术!$A:$ZZ,2,FALSE)+SUM(_xlfn.XLOOKUP($S51:$AL51,增益!$A:$A,增益!$B:$B,0))</f>
        <v>0.6143</v>
      </c>
      <c r="AS51" s="33" cm="1">
        <f t="array" ref="AS51">VLOOKUP($R51,武学奇术!$A:$ZZ,5,FALSE)+SUM(_xlfn.XLOOKUP($S51:$AL51,增益!$A:$A,增益!$E:$E,0))</f>
        <v>0</v>
      </c>
      <c r="AT51" cm="1">
        <f t="array" ref="AT51">$D$10*(1+$AS51)+VLOOKUP($R51,武学奇术!$A:$ZZ,3,FALSE)+SUM(_xlfn.XLOOKUP($S51:$AL51,增益!$A:$A,增益!$C:$C,0))-$I$2</f>
        <v>4026</v>
      </c>
      <c r="AU51" cm="1">
        <f t="array" ref="AU51">$E$10*(1+$AS51)+VLOOKUP($R51,武学奇术!$A:$ZZ,4,FALSE)+SUM(_xlfn.XLOOKUP($S51:$AL51,增益!$A:$A,增益!$D:$D,0))-$I$2</f>
        <v>4026</v>
      </c>
      <c r="AV51" s="40" cm="1">
        <f t="array" ref="AV51">IF($F$10-$I$3+VLOOKUP($R51,武学奇术!$A:$ZZ,6,FALSE)+SUM(_xlfn.XLOOKUP($S51:$AL51,增益!$A:$A,增益!$F:$F,0))&gt;0,($F$10-$I$3+VLOOKUP($R51,武学奇术!$A:$ZZ,6,FALSE)+SUM(_xlfn.XLOOKUP($S51:$AL51,增益!$A:$A,增益!$F:$F,0)))/200,($F$10-$I$3+VLOOKUP($R51,武学奇术!$A:$ZZ,6,FALSE)+SUM(_xlfn.XLOOKUP($S51:$AL51,增益!$A:$A,增益!$F:$F,0)))/100)</f>
        <v>0.3534</v>
      </c>
      <c r="AW51" s="40" cm="1">
        <f t="array" ref="AW51">$G$10+VLOOKUP($R51,武学奇术!$A:$ZZ,7,FALSE)+SUM(_xlfn.XLOOKUP($S51:$AL51,增益!$A:$A,增益!$G:$G,0))</f>
        <v>0.12</v>
      </c>
      <c r="AX51" s="33" cm="1">
        <f t="array" ref="AX51">VLOOKUP($R51,武学奇术!$A:$ZZ,8,FALSE)+SUM(_xlfn.XLOOKUP($S51:$AL51,增益!$A:$A,增益!$H:$H,0))</f>
        <v>0</v>
      </c>
      <c r="AY51">
        <f t="shared" si="2"/>
        <v>0</v>
      </c>
      <c r="AZ51">
        <f t="shared" si="3"/>
        <v>0</v>
      </c>
      <c r="BA51" s="40" cm="1">
        <f t="array" ref="BA51">IF($F$11-$I$4+VLOOKUP($R51,武学奇术!$A:$ZZ,9,FALSE)+SUM(_xlfn.XLOOKUP($S51:$AL51,增益!$A:$A,增益!$I:$I,0))&gt;0,($F$11-$I$4+VLOOKUP($R51,武学奇术!$A:$ZZ,9,FALSE)+SUM(_xlfn.XLOOKUP($S51:$AL51,增益!$A:$A,增益!$I:$I,0)))/200,($F$11-$I$4+VLOOKUP($R51,武学奇术!$A:$ZZ,9,FALSE)+SUM(_xlfn.XLOOKUP($S51:$AL51,增益!$A:$A,增益!$I:$I,0)))/100)</f>
        <v>-0.14</v>
      </c>
      <c r="BB51" s="40" cm="1">
        <f t="array" ref="BB51">$G$11+VLOOKUP($R51,武学奇术!$A:$ZZ,10,FALSE)+SUM(_xlfn.XLOOKUP($S51:$AL51,增益!$A:$A,增益!$J:$J,0))</f>
        <v>0.1</v>
      </c>
      <c r="BC51">
        <f t="shared" si="4"/>
        <v>640.3</v>
      </c>
      <c r="BD51">
        <f t="shared" si="5"/>
        <v>1770.1</v>
      </c>
      <c r="BE51" s="40" cm="1">
        <f t="array" ref="BE51">IF($F$12-$I$4+VLOOKUP($R51,武学奇术!$A:$ZZ,11,FALSE)+SUM(_xlfn.XLOOKUP($S51:$AL51,增益!$A:$A,增益!$K:$K,0))&gt;0,($F$12-$I$4+VLOOKUP($R51,武学奇术!$A:$ZZ,11,FALSE)+SUM(_xlfn.XLOOKUP($S51:$AL51,增益!$A:$A,增益!$K:$K,0)))/200,($F$12-$I$4+VLOOKUP($R51,武学奇术!$A:$ZZ,11,FALSE)+SUM(_xlfn.XLOOKUP($S51:$AL51,增益!$A:$A,增益!$K:$K,0)))/100)</f>
        <v>0.17</v>
      </c>
      <c r="BF51" s="40" cm="1">
        <f t="array" ref="BF51">$G$12+VLOOKUP($R51,武学奇术!$A:$ZZ,12,FALSE)+SUM(_xlfn.XLOOKUP($S51:$AL51,增益!$A:$A,增益!$L:$L,0))</f>
        <v>0.27</v>
      </c>
      <c r="BG51">
        <f t="shared" si="6"/>
        <v>0</v>
      </c>
      <c r="BH51">
        <f t="shared" si="7"/>
        <v>0</v>
      </c>
      <c r="BI51" s="40" cm="1">
        <f t="array" ref="BI51">IF($F$13-$I$4+VLOOKUP($R51,武学奇术!$A:$ZZ,13,FALSE)+SUM(_xlfn.XLOOKUP($S51:$AL51,增益!$A:$A,增益!$M:$M,0))&gt;0,($F$13-$I$4+VLOOKUP($R51,武学奇术!$A:$ZZ,13,FALSE)+SUM(_xlfn.XLOOKUP($S51:$AL51,增益!$A:$A,增益!$K:$K,0)))/200,($F$13-$I$4+VLOOKUP($R51,武学奇术!$A:$ZZ,13,FALSE)+SUM(_xlfn.XLOOKUP($S51:$AL51,增益!$A:$A,增益!$M:$M,0)))/100)</f>
        <v>-0.14</v>
      </c>
      <c r="BJ51" s="40" cm="1">
        <f t="array" ref="BJ51">$G$13+VLOOKUP($R51,武学奇术!$A:$ZZ,14,FALSE)+SUM(_xlfn.XLOOKUP($S51:$AL51,增益!$A:$A,增益!$N:$N,0))</f>
        <v>0</v>
      </c>
      <c r="BK51">
        <f t="shared" si="8"/>
        <v>0</v>
      </c>
      <c r="BL51">
        <f t="shared" si="9"/>
        <v>0</v>
      </c>
      <c r="BM51" s="40" cm="1">
        <f t="array" ref="BM51">IF($F$14-$I$4+VLOOKUP($R51,武学奇术!$A:$ZZ,15,FALSE)+SUM(_xlfn.XLOOKUP($S51:$AL51,增益!$A:$A,增益!$O:$O,0))&gt;0,($F$14-$I$4+VLOOKUP($R51,武学奇术!$A:$ZZ,15,FALSE)+SUM(_xlfn.XLOOKUP($S51:$AL51,增益!$A:$A,增益!$O:$O,0)))/200,($F$14-$I$4+VLOOKUP($R51,武学奇术!$A:$ZZ,15,FALSE)+SUM(_xlfn.XLOOKUP($S51:$AL51,增益!$A:$A,增益!$O:$O,0)))/100)</f>
        <v>-0.14</v>
      </c>
      <c r="BN51" s="40" cm="1">
        <f t="array" ref="BN51">$G$14+VLOOKUP($R51,武学奇术!$A:$ZZ,16,FALSE)+SUM(_xlfn.XLOOKUP($S51:$AL51,增益!$A:$A,增益!$P:$P,0))</f>
        <v>0</v>
      </c>
      <c r="BO51" s="33">
        <f>MIN(IF(VLOOKUP($R51,武学奇术!$A:$ZZ,23,FALSE)=1,100%,$B$8),100%)</f>
        <v>1</v>
      </c>
      <c r="BP51" s="33" cm="1">
        <f t="array" ref="BP51">IF(VLOOKUP($R51,武学奇术!$A:$ZZ,23,FALSE)=1,100%,MIN(80%,$B$9+VLOOKUP($R51,武学奇术!$A:$ZZ,17,FALSE)+SUM(_xlfn.XLOOKUP($S51:$AL51,增益!$A:$A,增益!$Q:$Q,0)))+$B$11+SUM(_xlfn.XLOOKUP($S51:$AL51,增益!$A:$A,增益!$U:$U,0)))*IF(VLOOKUP($R51,武学奇术!$A:$ZZ,24,FALSE)=1,0,1)</f>
        <v>1</v>
      </c>
      <c r="BQ51" s="33" cm="1">
        <f t="array" ref="BQ51">1+$B$13+VLOOKUP($R51,武学奇术!$A:$ZZ,18,FALSE)+SUM(_xlfn.XLOOKUP($S51:$AL51,增益!$A:$A,增益!$R:$R,0))</f>
        <v>2.1</v>
      </c>
      <c r="BR51" s="33" cm="1">
        <f t="array" ref="BR51">IF(VLOOKUP($R51,武学奇术!$A:$ZZ,24,FALSE)=1,100%,MIN(40%,$B$10+VLOOKUP($R51,武学奇术!$A:$ZZ,19,FALSE)+SUM(_xlfn.XLOOKUP($S51:$AL51,增益!$A:$A,增益!$S:$S,0)))+$B$12+SUM(_xlfn.XLOOKUP($S51:$AL51,增益!$A:$A,增益!$V:$V,0)))*IF(VLOOKUP($R51,武学奇术!$A:$ZZ,23,FALSE)=1,0,1)</f>
        <v>0</v>
      </c>
      <c r="BS51" s="33" cm="1">
        <f t="array" ref="BS51">1+$B$14+VLOOKUP($R51,武学奇术!$A:$ZZ,20,FALSE)+SUM(_xlfn.XLOOKUP($S51:$AL51,增益!$A:$A,增益!$T:$T,0))</f>
        <v>1.35</v>
      </c>
      <c r="BT51" s="33">
        <f t="shared" si="10"/>
        <v>1</v>
      </c>
      <c r="BU51" s="33">
        <f t="shared" si="11"/>
        <v>0</v>
      </c>
      <c r="BV51" s="33">
        <f>IF(VLOOKUP($R51,武学奇术!$A:$ZZ,22,FALSE)=1,0,(1-$BO51))*(1-$BR51)</f>
        <v>0</v>
      </c>
      <c r="BW51" s="33" cm="1">
        <f t="array" ref="BW51">SUM(_xlfn.XLOOKUP($S51:$AL51,增益!$A:$A,增益!$W:$W,0))+$I$5</f>
        <v>0.31</v>
      </c>
      <c r="BX51" s="33" cm="1">
        <f t="array" ref="BX51">VLOOKUP($R51,武学奇术!$A:$ZZ,32,FALSE)+SUM(_xlfn.XLOOKUP($S51:$AL51,增益!$A:$A,增益!$X:$X,0))</f>
        <v>0</v>
      </c>
    </row>
    <row r="52" spans="4:76">
      <c r="L52" s="46">
        <f t="shared" si="0"/>
        <v>27060.6133203671</v>
      </c>
      <c r="M52" s="46">
        <f>((($AT52+$AU52)/2*$AN52+$AO52)*(1+$AV52)*(1+$AW52)+(($AY52+$AZ52)/2*IF($G$1="鸣金",$AP52,$AN52)+IF($G$1="鸣金",$AQ52*1.5,0))*(1+$BA52)*(1+$BB52)+(($BC52+$BD52)/2*IF($G$1="裂石",$AP52,$AN52)+IF($G$1="裂石",$AQ52*1.5,0))*(1+$BE52)*(1+$BF52)+(($BG52+$BH52)/2*IF($G$1="牵丝",$AP52,$AN52)+IF($G$1="牵丝",$AQ52*1.5,0))*(1+$BI52)*(1+$BJ52)+(($BK52+$BL52)/2*IF($G$1="破竹",$AP52,$AN52)+IF($G$1="破竹",$AQ52*1.5,0))*(1+$BM52)*(1+$BN52))*(1+$AR52)*$BQ52*$Q52*(1+IF(VLOOKUP($R52,武学奇术!$A:$ZZ,30,FALSE)="蓄力技",$B$21,0))*(1+IF(VLOOKUP($R52,武学奇术!$A:$ZZ,30,FALSE)="派生技",$B$20,0))*(1+$BW52)*(1+$BX52)</f>
        <v>27060.6133203671</v>
      </c>
      <c r="N52" s="46">
        <f>(($AU52*$AN52+$AO52)*(1+$AV52)*(1+$AW52)+($AZ52*IF($G$1="鸣金",$AP52,$AN52)+IF($G$1="鸣金",$AQ52*1.5,0))*(1+$BA52)*(1+$BB52)+($BD52*IF($G$1="裂石",$AP52,$AN52)+IF($G$1="裂石",$AQ52*1.5,0))*(1+$BE52)*(1+$BF52)+($BH52*IF($G$1="牵丝",$AP52,$AN52)+IF($G$1="牵丝",$AQ52*1.5,0))*(1+$BI52)*(1+$BJ52)+($BL52*IF($G$1="破竹",$AP52,$AN52)+IF($G$1="破竹",$AQ52*1.5,0))*(1+$BM52)*(1+$BN52))*(1+$AR52)*$BS52*$Q52*(1+IF(VLOOKUP($R52,武学奇术!$A:$ZZ,30,FALSE)="蓄力技",$B$21,0))*(1+IF(VLOOKUP($R52,武学奇术!$A:$ZZ,30,FALSE)="派生技",$B$20,0))*(1+$BW52)*(1+$BX52)</f>
        <v>19888.2479197411</v>
      </c>
      <c r="O52" s="46">
        <f>((($AT52+$AU52)/2*$AN52+$AO52)*(1+$AV52)*(1+$AW52)+(($AY52+$AZ52)/2*IF($G$1="鸣金",$AP52,$AN52)+IF($G$1="鸣金",$AQ52*1.5,0))*(1+$BA52)*(1+$BB52)+(($BC52+$BD52)/2*IF($G$1="裂石",$AP52,$AN52)+IF($G$1="裂石",$AQ52*1.5,0))*(1+$BE52)*(1+$BF52)+(($BG52+$BH52)/2*IF($G$1="牵丝",$AP52,$AN52)+IF($G$1="牵丝",$AQ52*1.5,0))*(1+$BI52)*(1+$BJ52)+(($BK52+$BL52)/2*IF($G$1="破竹",$AP52,$AN52)+IF($G$1="破竹",$AQ52*1.5,0))*(1+$BM52)*(1+$BN52))*(1+$AR52)*$Q52*(1+IF(VLOOKUP($R52,武学奇术!$A:$ZZ,30,FALSE)="蓄力技",$B$21,0))*(1+IF(VLOOKUP($R52,武学奇术!$A:$ZZ,30,FALSE)="派生技",$B$20,0))*(1+$BW52)*(1+$BX52)</f>
        <v>12886.0063430319</v>
      </c>
      <c r="P52" s="46">
        <f>((($AT52*$AN52+$AO52)*(1+$AV52)*(1+$AW52)+($AY52*IF($G$1="鸣金",$AP52,$AN52)+IF($G$1="鸣金",$AQ52*1.5,0))*(1+$BA52)*(1+$BB52)+($BC52*IF($G$1="裂石",$AP52,$AN52)+IF($G$1="裂石",$AQ52*1.5,0))*(1+$BE52)*(1+$BF52)+($BG52*IF($G$1="牵丝",$AP52,$AN52)+IF($G$1="牵丝",$AQ52*1.5,0))*(1+$BI52)*(1+$BJ52)+($BK52*IF($G$1="破竹",$AP52,$AN52)+IF($G$1="破竹",$AQ52*1.5,0))*(1+$BM52)*(1+$BN52))*(1+$AR52))*$Q52*(1+IF(VLOOKUP($R52,武学奇术!$A:$ZZ,30,FALSE)="蓄力技",$B$21,0))*(1+IF(VLOOKUP($R52,武学奇术!$A:$ZZ,30,FALSE)="派生技",$B$20,0))*(1+$BW52)*(1+$BX52)</f>
        <v>11039.9771899594</v>
      </c>
      <c r="Q52" s="47">
        <f t="shared" si="13"/>
        <v>1</v>
      </c>
      <c r="R52" s="48" t="s">
        <v>154</v>
      </c>
      <c r="S52" s="48" t="s">
        <v>99</v>
      </c>
      <c r="T52" s="48" t="s">
        <v>182</v>
      </c>
      <c r="U52" s="48" t="s">
        <v>79</v>
      </c>
      <c r="V52" s="48" t="s">
        <v>90</v>
      </c>
      <c r="W52" s="48" t="s">
        <v>141</v>
      </c>
      <c r="X52" s="48" t="s">
        <v>145</v>
      </c>
      <c r="Y52" s="48" t="s">
        <v>74</v>
      </c>
      <c r="Z52" s="48" t="s">
        <v>80</v>
      </c>
      <c r="AA52" s="48" t="s">
        <v>183</v>
      </c>
      <c r="AB52" s="48" t="s">
        <v>184</v>
      </c>
      <c r="AC52" s="48" t="s">
        <v>80</v>
      </c>
      <c r="AD52" s="48" t="s">
        <v>80</v>
      </c>
      <c r="AE52" s="48" t="s">
        <v>80</v>
      </c>
      <c r="AF52" s="48" t="s">
        <v>83</v>
      </c>
      <c r="AG52" s="48" t="s">
        <v>84</v>
      </c>
      <c r="AH52" s="48" t="s">
        <v>80</v>
      </c>
      <c r="AI52" s="48" t="s">
        <v>80</v>
      </c>
      <c r="AJ52" s="48" t="s">
        <v>80</v>
      </c>
      <c r="AK52" s="48" t="s">
        <v>80</v>
      </c>
      <c r="AL52" s="48" t="s">
        <v>80</v>
      </c>
      <c r="AM52" t="str">
        <f>VLOOKUP($R52,武学奇术!$A:$ZZ,25,FALSE)</f>
        <v>陌刀</v>
      </c>
      <c r="AN52" s="33">
        <f>VLOOKUP($R52,武学奇术!$A:$ZZ,26,FALSE)</f>
        <v>0.525</v>
      </c>
      <c r="AO52" s="34">
        <f>VLOOKUP($R52,武学奇术!$A:$ZZ,27,FALSE)*(1+IF(OR($AM52=$F$4,$AM52=$F$5),$B$22,0))</f>
        <v>0</v>
      </c>
      <c r="AP52" s="33">
        <f>VLOOKUP($R52,武学奇术!$A:$ZZ,28,FALSE)</f>
        <v>0.7875</v>
      </c>
      <c r="AQ52" s="34">
        <f>VLOOKUP($R52,武学奇术!$A:$ZZ,29,FALSE)*(1+IF(OR($AM52=$F$4,$AM52=$F$5),$B$22,0))</f>
        <v>0</v>
      </c>
      <c r="AR52" s="33" cm="1">
        <f t="array" ref="AR52">$G$3+IFERROR(VLOOKUP($AM52,$F$4:$G$7,2,FALSE),0)+VLOOKUP($R52,武学奇术!$A:$ZZ,2,FALSE)+SUM(_xlfn.XLOOKUP($S52:$AL52,增益!$A:$A,增益!$B:$B,0))</f>
        <v>0.6143</v>
      </c>
      <c r="AS52" s="33" cm="1">
        <f t="array" ref="AS52">VLOOKUP($R52,武学奇术!$A:$ZZ,5,FALSE)+SUM(_xlfn.XLOOKUP($S52:$AL52,增益!$A:$A,增益!$E:$E,0))</f>
        <v>0</v>
      </c>
      <c r="AT52" cm="1">
        <f t="array" ref="AT52">$D$10*(1+$AS52)+VLOOKUP($R52,武学奇术!$A:$ZZ,3,FALSE)+SUM(_xlfn.XLOOKUP($S52:$AL52,增益!$A:$A,增益!$C:$C,0))-$I$2</f>
        <v>4026</v>
      </c>
      <c r="AU52" cm="1">
        <f t="array" ref="AU52">$E$10*(1+$AS52)+VLOOKUP($R52,武学奇术!$A:$ZZ,4,FALSE)+SUM(_xlfn.XLOOKUP($S52:$AL52,增益!$A:$A,增益!$D:$D,0))-$I$2</f>
        <v>4026</v>
      </c>
      <c r="AV52" s="40" cm="1">
        <f t="array" ref="AV52">IF($F$10-$I$3+VLOOKUP($R52,武学奇术!$A:$ZZ,6,FALSE)+SUM(_xlfn.XLOOKUP($S52:$AL52,增益!$A:$A,增益!$F:$F,0))&gt;0,($F$10-$I$3+VLOOKUP($R52,武学奇术!$A:$ZZ,6,FALSE)+SUM(_xlfn.XLOOKUP($S52:$AL52,增益!$A:$A,增益!$F:$F,0)))/200,($F$10-$I$3+VLOOKUP($R52,武学奇术!$A:$ZZ,6,FALSE)+SUM(_xlfn.XLOOKUP($S52:$AL52,增益!$A:$A,增益!$F:$F,0)))/100)</f>
        <v>0.3534</v>
      </c>
      <c r="AW52" s="40" cm="1">
        <f t="array" ref="AW52">$G$10+VLOOKUP($R52,武学奇术!$A:$ZZ,7,FALSE)+SUM(_xlfn.XLOOKUP($S52:$AL52,增益!$A:$A,增益!$G:$G,0))</f>
        <v>0.12</v>
      </c>
      <c r="AX52" s="33" cm="1">
        <f t="array" ref="AX52">VLOOKUP($R52,武学奇术!$A:$ZZ,8,FALSE)+SUM(_xlfn.XLOOKUP($S52:$AL52,增益!$A:$A,增益!$H:$H,0))</f>
        <v>0</v>
      </c>
      <c r="AY52">
        <f t="shared" si="2"/>
        <v>0</v>
      </c>
      <c r="AZ52">
        <f t="shared" si="3"/>
        <v>0</v>
      </c>
      <c r="BA52" s="40" cm="1">
        <f t="array" ref="BA52">IF($F$11-$I$4+VLOOKUP($R52,武学奇术!$A:$ZZ,9,FALSE)+SUM(_xlfn.XLOOKUP($S52:$AL52,增益!$A:$A,增益!$I:$I,0))&gt;0,($F$11-$I$4+VLOOKUP($R52,武学奇术!$A:$ZZ,9,FALSE)+SUM(_xlfn.XLOOKUP($S52:$AL52,增益!$A:$A,增益!$I:$I,0)))/200,($F$11-$I$4+VLOOKUP($R52,武学奇术!$A:$ZZ,9,FALSE)+SUM(_xlfn.XLOOKUP($S52:$AL52,增益!$A:$A,增益!$I:$I,0)))/100)</f>
        <v>-0.14</v>
      </c>
      <c r="BB52" s="40" cm="1">
        <f t="array" ref="BB52">$G$11+VLOOKUP($R52,武学奇术!$A:$ZZ,10,FALSE)+SUM(_xlfn.XLOOKUP($S52:$AL52,增益!$A:$A,增益!$J:$J,0))</f>
        <v>0.1</v>
      </c>
      <c r="BC52">
        <f t="shared" si="4"/>
        <v>640.3</v>
      </c>
      <c r="BD52">
        <f t="shared" si="5"/>
        <v>1770.1</v>
      </c>
      <c r="BE52" s="40" cm="1">
        <f t="array" ref="BE52">IF($F$12-$I$4+VLOOKUP($R52,武学奇术!$A:$ZZ,11,FALSE)+SUM(_xlfn.XLOOKUP($S52:$AL52,增益!$A:$A,增益!$K:$K,0))&gt;0,($F$12-$I$4+VLOOKUP($R52,武学奇术!$A:$ZZ,11,FALSE)+SUM(_xlfn.XLOOKUP($S52:$AL52,增益!$A:$A,增益!$K:$K,0)))/200,($F$12-$I$4+VLOOKUP($R52,武学奇术!$A:$ZZ,11,FALSE)+SUM(_xlfn.XLOOKUP($S52:$AL52,增益!$A:$A,增益!$K:$K,0)))/100)</f>
        <v>0.17</v>
      </c>
      <c r="BF52" s="40" cm="1">
        <f t="array" ref="BF52">$G$12+VLOOKUP($R52,武学奇术!$A:$ZZ,12,FALSE)+SUM(_xlfn.XLOOKUP($S52:$AL52,增益!$A:$A,增益!$L:$L,0))</f>
        <v>0.27</v>
      </c>
      <c r="BG52">
        <f t="shared" si="6"/>
        <v>0</v>
      </c>
      <c r="BH52">
        <f t="shared" si="7"/>
        <v>0</v>
      </c>
      <c r="BI52" s="40" cm="1">
        <f t="array" ref="BI52">IF($F$13-$I$4+VLOOKUP($R52,武学奇术!$A:$ZZ,13,FALSE)+SUM(_xlfn.XLOOKUP($S52:$AL52,增益!$A:$A,增益!$M:$M,0))&gt;0,($F$13-$I$4+VLOOKUP($R52,武学奇术!$A:$ZZ,13,FALSE)+SUM(_xlfn.XLOOKUP($S52:$AL52,增益!$A:$A,增益!$K:$K,0)))/200,($F$13-$I$4+VLOOKUP($R52,武学奇术!$A:$ZZ,13,FALSE)+SUM(_xlfn.XLOOKUP($S52:$AL52,增益!$A:$A,增益!$M:$M,0)))/100)</f>
        <v>-0.14</v>
      </c>
      <c r="BJ52" s="40" cm="1">
        <f t="array" ref="BJ52">$G$13+VLOOKUP($R52,武学奇术!$A:$ZZ,14,FALSE)+SUM(_xlfn.XLOOKUP($S52:$AL52,增益!$A:$A,增益!$N:$N,0))</f>
        <v>0</v>
      </c>
      <c r="BK52">
        <f t="shared" si="8"/>
        <v>0</v>
      </c>
      <c r="BL52">
        <f t="shared" si="9"/>
        <v>0</v>
      </c>
      <c r="BM52" s="40" cm="1">
        <f t="array" ref="BM52">IF($F$14-$I$4+VLOOKUP($R52,武学奇术!$A:$ZZ,15,FALSE)+SUM(_xlfn.XLOOKUP($S52:$AL52,增益!$A:$A,增益!$O:$O,0))&gt;0,($F$14-$I$4+VLOOKUP($R52,武学奇术!$A:$ZZ,15,FALSE)+SUM(_xlfn.XLOOKUP($S52:$AL52,增益!$A:$A,增益!$O:$O,0)))/200,($F$14-$I$4+VLOOKUP($R52,武学奇术!$A:$ZZ,15,FALSE)+SUM(_xlfn.XLOOKUP($S52:$AL52,增益!$A:$A,增益!$O:$O,0)))/100)</f>
        <v>-0.14</v>
      </c>
      <c r="BN52" s="40" cm="1">
        <f t="array" ref="BN52">$G$14+VLOOKUP($R52,武学奇术!$A:$ZZ,16,FALSE)+SUM(_xlfn.XLOOKUP($S52:$AL52,增益!$A:$A,增益!$P:$P,0))</f>
        <v>0</v>
      </c>
      <c r="BO52" s="33">
        <f>MIN(IF(VLOOKUP($R52,武学奇术!$A:$ZZ,23,FALSE)=1,100%,$B$8),100%)</f>
        <v>1</v>
      </c>
      <c r="BP52" s="33" cm="1">
        <f t="array" ref="BP52">IF(VLOOKUP($R52,武学奇术!$A:$ZZ,23,FALSE)=1,100%,MIN(80%,$B$9+VLOOKUP($R52,武学奇术!$A:$ZZ,17,FALSE)+SUM(_xlfn.XLOOKUP($S52:$AL52,增益!$A:$A,增益!$Q:$Q,0)))+$B$11+SUM(_xlfn.XLOOKUP($S52:$AL52,增益!$A:$A,增益!$U:$U,0)))*IF(VLOOKUP($R52,武学奇术!$A:$ZZ,24,FALSE)=1,0,1)</f>
        <v>1</v>
      </c>
      <c r="BQ52" s="33" cm="1">
        <f t="array" ref="BQ52">1+$B$13+VLOOKUP($R52,武学奇术!$A:$ZZ,18,FALSE)+SUM(_xlfn.XLOOKUP($S52:$AL52,增益!$A:$A,增益!$R:$R,0))</f>
        <v>2.1</v>
      </c>
      <c r="BR52" s="33" cm="1">
        <f t="array" ref="BR52">IF(VLOOKUP($R52,武学奇术!$A:$ZZ,24,FALSE)=1,100%,MIN(40%,$B$10+VLOOKUP($R52,武学奇术!$A:$ZZ,19,FALSE)+SUM(_xlfn.XLOOKUP($S52:$AL52,增益!$A:$A,增益!$S:$S,0)))+$B$12+SUM(_xlfn.XLOOKUP($S52:$AL52,增益!$A:$A,增益!$V:$V,0)))*IF(VLOOKUP($R52,武学奇术!$A:$ZZ,23,FALSE)=1,0,1)</f>
        <v>0</v>
      </c>
      <c r="BS52" s="33" cm="1">
        <f t="array" ref="BS52">1+$B$14+VLOOKUP($R52,武学奇术!$A:$ZZ,20,FALSE)+SUM(_xlfn.XLOOKUP($S52:$AL52,增益!$A:$A,增益!$T:$T,0))</f>
        <v>1.35</v>
      </c>
      <c r="BT52" s="33">
        <f t="shared" si="10"/>
        <v>1</v>
      </c>
      <c r="BU52" s="33">
        <f t="shared" si="11"/>
        <v>0</v>
      </c>
      <c r="BV52" s="33">
        <f>IF(VLOOKUP($R52,武学奇术!$A:$ZZ,22,FALSE)=1,0,(1-$BO52))*(1-$BR52)</f>
        <v>0</v>
      </c>
      <c r="BW52" s="33" cm="1">
        <f t="array" ref="BW52">SUM(_xlfn.XLOOKUP($S52:$AL52,增益!$A:$A,增益!$W:$W,0))+$I$5</f>
        <v>0.31</v>
      </c>
      <c r="BX52" s="33" cm="1">
        <f t="array" ref="BX52">VLOOKUP($R52,武学奇术!$A:$ZZ,32,FALSE)+SUM(_xlfn.XLOOKUP($S52:$AL52,增益!$A:$A,增益!$X:$X,0))</f>
        <v>0</v>
      </c>
    </row>
    <row r="53" spans="4:76">
      <c r="L53" s="46">
        <f t="shared" si="0"/>
        <v>48709.1039766607</v>
      </c>
      <c r="M53" s="46">
        <f>((($AT53+$AU53)/2*$AN53+$AO53)*(1+$AV53)*(1+$AW53)+(($AY53+$AZ53)/2*IF($G$1="鸣金",$AP53,$AN53)+IF($G$1="鸣金",$AQ53*1.5,0))*(1+$BA53)*(1+$BB53)+(($BC53+$BD53)/2*IF($G$1="裂石",$AP53,$AN53)+IF($G$1="裂石",$AQ53*1.5,0))*(1+$BE53)*(1+$BF53)+(($BG53+$BH53)/2*IF($G$1="牵丝",$AP53,$AN53)+IF($G$1="牵丝",$AQ53*1.5,0))*(1+$BI53)*(1+$BJ53)+(($BK53+$BL53)/2*IF($G$1="破竹",$AP53,$AN53)+IF($G$1="破竹",$AQ53*1.5,0))*(1+$BM53)*(1+$BN53))*(1+$AR53)*$BQ53*$Q53*(1+IF(VLOOKUP($R53,武学奇术!$A:$ZZ,30,FALSE)="蓄力技",$B$21,0))*(1+IF(VLOOKUP($R53,武学奇术!$A:$ZZ,30,FALSE)="派生技",$B$20,0))*(1+$BW53)*(1+$BX53)</f>
        <v>48709.1039766607</v>
      </c>
      <c r="N53" s="46">
        <f>(($AU53*$AN53+$AO53)*(1+$AV53)*(1+$AW53)+($AZ53*IF($G$1="鸣金",$AP53,$AN53)+IF($G$1="鸣金",$AQ53*1.5,0))*(1+$BA53)*(1+$BB53)+($BD53*IF($G$1="裂石",$AP53,$AN53)+IF($G$1="裂石",$AQ53*1.5,0))*(1+$BE53)*(1+$BF53)+($BH53*IF($G$1="牵丝",$AP53,$AN53)+IF($G$1="牵丝",$AQ53*1.5,0))*(1+$BI53)*(1+$BJ53)+($BL53*IF($G$1="破竹",$AP53,$AN53)+IF($G$1="破竹",$AQ53*1.5,0))*(1+$BM53)*(1+$BN53))*(1+$AR53)*$BS53*$Q53*(1+IF(VLOOKUP($R53,武学奇术!$A:$ZZ,30,FALSE)="蓄力技",$B$21,0))*(1+IF(VLOOKUP($R53,武学奇术!$A:$ZZ,30,FALSE)="派生技",$B$20,0))*(1+$BW53)*(1+$BX53)</f>
        <v>35798.8462555339</v>
      </c>
      <c r="O53" s="46">
        <f>((($AT53+$AU53)/2*$AN53+$AO53)*(1+$AV53)*(1+$AW53)+(($AY53+$AZ53)/2*IF($G$1="鸣金",$AP53,$AN53)+IF($G$1="鸣金",$AQ53*1.5,0))*(1+$BA53)*(1+$BB53)+(($BC53+$BD53)/2*IF($G$1="裂石",$AP53,$AN53)+IF($G$1="裂石",$AQ53*1.5,0))*(1+$BE53)*(1+$BF53)+(($BG53+$BH53)/2*IF($G$1="牵丝",$AP53,$AN53)+IF($G$1="牵丝",$AQ53*1.5,0))*(1+$BI53)*(1+$BJ53)+(($BK53+$BL53)/2*IF($G$1="破竹",$AP53,$AN53)+IF($G$1="破竹",$AQ53*1.5,0))*(1+$BM53)*(1+$BN53))*(1+$AR53)*$Q53*(1+IF(VLOOKUP($R53,武学奇术!$A:$ZZ,30,FALSE)="蓄力技",$B$21,0))*(1+IF(VLOOKUP($R53,武学奇术!$A:$ZZ,30,FALSE)="派生技",$B$20,0))*(1+$BW53)*(1+$BX53)</f>
        <v>23194.8114174575</v>
      </c>
      <c r="P53" s="46">
        <f>((($AT53*$AN53+$AO53)*(1+$AV53)*(1+$AW53)+($AY53*IF($G$1="鸣金",$AP53,$AN53)+IF($G$1="鸣金",$AQ53*1.5,0))*(1+$BA53)*(1+$BB53)+($BC53*IF($G$1="裂石",$AP53,$AN53)+IF($G$1="裂石",$AQ53*1.5,0))*(1+$BE53)*(1+$BF53)+($BG53*IF($G$1="牵丝",$AP53,$AN53)+IF($G$1="牵丝",$AQ53*1.5,0))*(1+$BI53)*(1+$BJ53)+($BK53*IF($G$1="破竹",$AP53,$AN53)+IF($G$1="破竹",$AQ53*1.5,0))*(1+$BM53)*(1+$BN53))*(1+$AR53))*$Q53*(1+IF(VLOOKUP($R53,武学奇术!$A:$ZZ,30,FALSE)="蓄力技",$B$21,0))*(1+IF(VLOOKUP($R53,武学奇术!$A:$ZZ,30,FALSE)="派生技",$B$20,0))*(1+$BW53)*(1+$BX53)</f>
        <v>19871.9589419269</v>
      </c>
      <c r="Q53" s="47">
        <f t="shared" si="13"/>
        <v>1</v>
      </c>
      <c r="R53" s="48" t="s">
        <v>144</v>
      </c>
      <c r="S53" s="48" t="s">
        <v>99</v>
      </c>
      <c r="T53" s="48" t="s">
        <v>182</v>
      </c>
      <c r="U53" s="48" t="s">
        <v>79</v>
      </c>
      <c r="V53" s="48" t="s">
        <v>90</v>
      </c>
      <c r="W53" s="48" t="s">
        <v>141</v>
      </c>
      <c r="X53" s="48" t="s">
        <v>145</v>
      </c>
      <c r="Y53" s="48" t="s">
        <v>74</v>
      </c>
      <c r="Z53" s="48" t="s">
        <v>80</v>
      </c>
      <c r="AA53" s="48" t="s">
        <v>183</v>
      </c>
      <c r="AB53" s="48" t="s">
        <v>184</v>
      </c>
      <c r="AC53" s="48" t="s">
        <v>80</v>
      </c>
      <c r="AD53" s="48" t="s">
        <v>80</v>
      </c>
      <c r="AE53" s="48" t="s">
        <v>80</v>
      </c>
      <c r="AF53" s="48" t="s">
        <v>83</v>
      </c>
      <c r="AG53" s="48" t="s">
        <v>84</v>
      </c>
      <c r="AH53" s="48" t="s">
        <v>80</v>
      </c>
      <c r="AI53" s="48" t="s">
        <v>80</v>
      </c>
      <c r="AJ53" s="48" t="s">
        <v>80</v>
      </c>
      <c r="AK53" s="48" t="s">
        <v>80</v>
      </c>
      <c r="AL53" s="48" t="s">
        <v>80</v>
      </c>
      <c r="AM53" t="str">
        <f>VLOOKUP($R53,武学奇术!$A:$ZZ,25,FALSE)</f>
        <v>陌刀</v>
      </c>
      <c r="AN53" s="33">
        <f>VLOOKUP($R53,武学奇术!$A:$ZZ,26,FALSE)</f>
        <v>0.945</v>
      </c>
      <c r="AO53" s="34">
        <f>VLOOKUP($R53,武学奇术!$A:$ZZ,27,FALSE)*(1+IF(OR($AM53=$F$4,$AM53=$F$5),$B$22,0))</f>
        <v>0</v>
      </c>
      <c r="AP53" s="33">
        <f>VLOOKUP($R53,武学奇术!$A:$ZZ,28,FALSE)</f>
        <v>1.4175</v>
      </c>
      <c r="AQ53" s="34">
        <f>VLOOKUP($R53,武学奇术!$A:$ZZ,29,FALSE)*(1+IF(OR($AM53=$F$4,$AM53=$F$5),$B$22,0))</f>
        <v>0</v>
      </c>
      <c r="AR53" s="33" cm="1">
        <f t="array" ref="AR53">$G$3+IFERROR(VLOOKUP($AM53,$F$4:$G$7,2,FALSE),0)+VLOOKUP($R53,武学奇术!$A:$ZZ,2,FALSE)+SUM(_xlfn.XLOOKUP($S53:$AL53,增益!$A:$A,增益!$B:$B,0))</f>
        <v>0.6143</v>
      </c>
      <c r="AS53" s="33" cm="1">
        <f t="array" ref="AS53">VLOOKUP($R53,武学奇术!$A:$ZZ,5,FALSE)+SUM(_xlfn.XLOOKUP($S53:$AL53,增益!$A:$A,增益!$E:$E,0))</f>
        <v>0</v>
      </c>
      <c r="AT53" cm="1">
        <f t="array" ref="AT53">$D$10*(1+$AS53)+VLOOKUP($R53,武学奇术!$A:$ZZ,3,FALSE)+SUM(_xlfn.XLOOKUP($S53:$AL53,增益!$A:$A,增益!$C:$C,0))-$I$2</f>
        <v>4026</v>
      </c>
      <c r="AU53" cm="1">
        <f t="array" ref="AU53">$E$10*(1+$AS53)+VLOOKUP($R53,武学奇术!$A:$ZZ,4,FALSE)+SUM(_xlfn.XLOOKUP($S53:$AL53,增益!$A:$A,增益!$D:$D,0))-$I$2</f>
        <v>4026</v>
      </c>
      <c r="AV53" s="40" cm="1">
        <f t="array" ref="AV53">IF($F$10-$I$3+VLOOKUP($R53,武学奇术!$A:$ZZ,6,FALSE)+SUM(_xlfn.XLOOKUP($S53:$AL53,增益!$A:$A,增益!$F:$F,0))&gt;0,($F$10-$I$3+VLOOKUP($R53,武学奇术!$A:$ZZ,6,FALSE)+SUM(_xlfn.XLOOKUP($S53:$AL53,增益!$A:$A,增益!$F:$F,0)))/200,($F$10-$I$3+VLOOKUP($R53,武学奇术!$A:$ZZ,6,FALSE)+SUM(_xlfn.XLOOKUP($S53:$AL53,增益!$A:$A,增益!$F:$F,0)))/100)</f>
        <v>0.3534</v>
      </c>
      <c r="AW53" s="40" cm="1">
        <f t="array" ref="AW53">$G$10+VLOOKUP($R53,武学奇术!$A:$ZZ,7,FALSE)+SUM(_xlfn.XLOOKUP($S53:$AL53,增益!$A:$A,增益!$G:$G,0))</f>
        <v>0.12</v>
      </c>
      <c r="AX53" s="33" cm="1">
        <f t="array" ref="AX53">VLOOKUP($R53,武学奇术!$A:$ZZ,8,FALSE)+SUM(_xlfn.XLOOKUP($S53:$AL53,增益!$A:$A,增益!$H:$H,0))</f>
        <v>0</v>
      </c>
      <c r="AY53">
        <f t="shared" si="2"/>
        <v>0</v>
      </c>
      <c r="AZ53">
        <f t="shared" si="3"/>
        <v>0</v>
      </c>
      <c r="BA53" s="40" cm="1">
        <f t="array" ref="BA53">IF($F$11-$I$4+VLOOKUP($R53,武学奇术!$A:$ZZ,9,FALSE)+SUM(_xlfn.XLOOKUP($S53:$AL53,增益!$A:$A,增益!$I:$I,0))&gt;0,($F$11-$I$4+VLOOKUP($R53,武学奇术!$A:$ZZ,9,FALSE)+SUM(_xlfn.XLOOKUP($S53:$AL53,增益!$A:$A,增益!$I:$I,0)))/200,($F$11-$I$4+VLOOKUP($R53,武学奇术!$A:$ZZ,9,FALSE)+SUM(_xlfn.XLOOKUP($S53:$AL53,增益!$A:$A,增益!$I:$I,0)))/100)</f>
        <v>-0.14</v>
      </c>
      <c r="BB53" s="40" cm="1">
        <f t="array" ref="BB53">$G$11+VLOOKUP($R53,武学奇术!$A:$ZZ,10,FALSE)+SUM(_xlfn.XLOOKUP($S53:$AL53,增益!$A:$A,增益!$J:$J,0))</f>
        <v>0.1</v>
      </c>
      <c r="BC53">
        <f t="shared" si="4"/>
        <v>640.3</v>
      </c>
      <c r="BD53">
        <f t="shared" si="5"/>
        <v>1770.1</v>
      </c>
      <c r="BE53" s="40" cm="1">
        <f t="array" ref="BE53">IF($F$12-$I$4+VLOOKUP($R53,武学奇术!$A:$ZZ,11,FALSE)+SUM(_xlfn.XLOOKUP($S53:$AL53,增益!$A:$A,增益!$K:$K,0))&gt;0,($F$12-$I$4+VLOOKUP($R53,武学奇术!$A:$ZZ,11,FALSE)+SUM(_xlfn.XLOOKUP($S53:$AL53,增益!$A:$A,增益!$K:$K,0)))/200,($F$12-$I$4+VLOOKUP($R53,武学奇术!$A:$ZZ,11,FALSE)+SUM(_xlfn.XLOOKUP($S53:$AL53,增益!$A:$A,增益!$K:$K,0)))/100)</f>
        <v>0.17</v>
      </c>
      <c r="BF53" s="40" cm="1">
        <f t="array" ref="BF53">$G$12+VLOOKUP($R53,武学奇术!$A:$ZZ,12,FALSE)+SUM(_xlfn.XLOOKUP($S53:$AL53,增益!$A:$A,增益!$L:$L,0))</f>
        <v>0.27</v>
      </c>
      <c r="BG53">
        <f t="shared" si="6"/>
        <v>0</v>
      </c>
      <c r="BH53">
        <f t="shared" si="7"/>
        <v>0</v>
      </c>
      <c r="BI53" s="40" cm="1">
        <f t="array" ref="BI53">IF($F$13-$I$4+VLOOKUP($R53,武学奇术!$A:$ZZ,13,FALSE)+SUM(_xlfn.XLOOKUP($S53:$AL53,增益!$A:$A,增益!$M:$M,0))&gt;0,($F$13-$I$4+VLOOKUP($R53,武学奇术!$A:$ZZ,13,FALSE)+SUM(_xlfn.XLOOKUP($S53:$AL53,增益!$A:$A,增益!$K:$K,0)))/200,($F$13-$I$4+VLOOKUP($R53,武学奇术!$A:$ZZ,13,FALSE)+SUM(_xlfn.XLOOKUP($S53:$AL53,增益!$A:$A,增益!$M:$M,0)))/100)</f>
        <v>-0.14</v>
      </c>
      <c r="BJ53" s="40" cm="1">
        <f t="array" ref="BJ53">$G$13+VLOOKUP($R53,武学奇术!$A:$ZZ,14,FALSE)+SUM(_xlfn.XLOOKUP($S53:$AL53,增益!$A:$A,增益!$N:$N,0))</f>
        <v>0</v>
      </c>
      <c r="BK53">
        <f t="shared" si="8"/>
        <v>0</v>
      </c>
      <c r="BL53">
        <f t="shared" si="9"/>
        <v>0</v>
      </c>
      <c r="BM53" s="40" cm="1">
        <f t="array" ref="BM53">IF($F$14-$I$4+VLOOKUP($R53,武学奇术!$A:$ZZ,15,FALSE)+SUM(_xlfn.XLOOKUP($S53:$AL53,增益!$A:$A,增益!$O:$O,0))&gt;0,($F$14-$I$4+VLOOKUP($R53,武学奇术!$A:$ZZ,15,FALSE)+SUM(_xlfn.XLOOKUP($S53:$AL53,增益!$A:$A,增益!$O:$O,0)))/200,($F$14-$I$4+VLOOKUP($R53,武学奇术!$A:$ZZ,15,FALSE)+SUM(_xlfn.XLOOKUP($S53:$AL53,增益!$A:$A,增益!$O:$O,0)))/100)</f>
        <v>-0.14</v>
      </c>
      <c r="BN53" s="40" cm="1">
        <f t="array" ref="BN53">$G$14+VLOOKUP($R53,武学奇术!$A:$ZZ,16,FALSE)+SUM(_xlfn.XLOOKUP($S53:$AL53,增益!$A:$A,增益!$P:$P,0))</f>
        <v>0</v>
      </c>
      <c r="BO53" s="33">
        <f>MIN(IF(VLOOKUP($R53,武学奇术!$A:$ZZ,23,FALSE)=1,100%,$B$8),100%)</f>
        <v>1</v>
      </c>
      <c r="BP53" s="33" cm="1">
        <f t="array" ref="BP53">IF(VLOOKUP($R53,武学奇术!$A:$ZZ,23,FALSE)=1,100%,MIN(80%,$B$9+VLOOKUP($R53,武学奇术!$A:$ZZ,17,FALSE)+SUM(_xlfn.XLOOKUP($S53:$AL53,增益!$A:$A,增益!$Q:$Q,0)))+$B$11+SUM(_xlfn.XLOOKUP($S53:$AL53,增益!$A:$A,增益!$U:$U,0)))*IF(VLOOKUP($R53,武学奇术!$A:$ZZ,24,FALSE)=1,0,1)</f>
        <v>1</v>
      </c>
      <c r="BQ53" s="33" cm="1">
        <f t="array" ref="BQ53">1+$B$13+VLOOKUP($R53,武学奇术!$A:$ZZ,18,FALSE)+SUM(_xlfn.XLOOKUP($S53:$AL53,增益!$A:$A,增益!$R:$R,0))</f>
        <v>2.1</v>
      </c>
      <c r="BR53" s="33" cm="1">
        <f t="array" ref="BR53">IF(VLOOKUP($R53,武学奇术!$A:$ZZ,24,FALSE)=1,100%,MIN(40%,$B$10+VLOOKUP($R53,武学奇术!$A:$ZZ,19,FALSE)+SUM(_xlfn.XLOOKUP($S53:$AL53,增益!$A:$A,增益!$S:$S,0)))+$B$12+SUM(_xlfn.XLOOKUP($S53:$AL53,增益!$A:$A,增益!$V:$V,0)))*IF(VLOOKUP($R53,武学奇术!$A:$ZZ,23,FALSE)=1,0,1)</f>
        <v>0</v>
      </c>
      <c r="BS53" s="33" cm="1">
        <f t="array" ref="BS53">1+$B$14+VLOOKUP($R53,武学奇术!$A:$ZZ,20,FALSE)+SUM(_xlfn.XLOOKUP($S53:$AL53,增益!$A:$A,增益!$T:$T,0))</f>
        <v>1.35</v>
      </c>
      <c r="BT53" s="33">
        <f t="shared" si="10"/>
        <v>1</v>
      </c>
      <c r="BU53" s="33">
        <f t="shared" si="11"/>
        <v>0</v>
      </c>
      <c r="BV53" s="33">
        <f>IF(VLOOKUP($R53,武学奇术!$A:$ZZ,22,FALSE)=1,0,(1-$BO53))*(1-$BR53)</f>
        <v>0</v>
      </c>
      <c r="BW53" s="33" cm="1">
        <f t="array" ref="BW53">SUM(_xlfn.XLOOKUP($S53:$AL53,增益!$A:$A,增益!$W:$W,0))+$I$5</f>
        <v>0.31</v>
      </c>
      <c r="BX53" s="33" cm="1">
        <f t="array" ref="BX53">VLOOKUP($R53,武学奇术!$A:$ZZ,32,FALSE)+SUM(_xlfn.XLOOKUP($S53:$AL53,增益!$A:$A,增益!$X:$X,0))</f>
        <v>0</v>
      </c>
    </row>
    <row r="54" spans="4:76">
      <c r="L54" s="46">
        <f t="shared" si="0"/>
        <v>403667.215842683</v>
      </c>
      <c r="M54" s="46">
        <f>((($AT54+$AU54)/2*$AN54+$AO54)*(1+$AV54)*(1+$AW54)+(($AY54+$AZ54)/2*IF($G$1="鸣金",$AP54,$AN54)+IF($G$1="鸣金",$AQ54*1.5,0))*(1+$BA54)*(1+$BB54)+(($BC54+$BD54)/2*IF($G$1="裂石",$AP54,$AN54)+IF($G$1="裂石",$AQ54*1.5,0))*(1+$BE54)*(1+$BF54)+(($BG54+$BH54)/2*IF($G$1="牵丝",$AP54,$AN54)+IF($G$1="牵丝",$AQ54*1.5,0))*(1+$BI54)*(1+$BJ54)+(($BK54+$BL54)/2*IF($G$1="破竹",$AP54,$AN54)+IF($G$1="破竹",$AQ54*1.5,0))*(1+$BM54)*(1+$BN54))*(1+$AR54)*$BQ54*$Q54*(1+IF(VLOOKUP($R54,武学奇术!$A:$ZZ,30,FALSE)="蓄力技",$B$21,0))*(1+IF(VLOOKUP($R54,武学奇术!$A:$ZZ,30,FALSE)="派生技",$B$20,0))*(1+$BW54)*(1+$BX54)</f>
        <v>422540.815927755</v>
      </c>
      <c r="N54" s="46">
        <f>(($AU54*$AN54+$AO54)*(1+$AV54)*(1+$AW54)+($AZ54*IF($G$1="鸣金",$AP54,$AN54)+IF($G$1="鸣金",$AQ54*1.5,0))*(1+$BA54)*(1+$BB54)+($BD54*IF($G$1="裂石",$AP54,$AN54)+IF($G$1="裂石",$AQ54*1.5,0))*(1+$BE54)*(1+$BF54)+($BH54*IF($G$1="牵丝",$AP54,$AN54)+IF($G$1="牵丝",$AQ54*1.5,0))*(1+$BI54)*(1+$BJ54)+($BL54*IF($G$1="破竹",$AP54,$AN54)+IF($G$1="破竹",$AQ54*1.5,0))*(1+$BM54)*(1+$BN54))*(1+$AR54)*$BS54*$Q54*(1+IF(VLOOKUP($R54,武学奇术!$A:$ZZ,30,FALSE)="蓄力技",$B$21,0))*(1+IF(VLOOKUP($R54,武学奇术!$A:$ZZ,30,FALSE)="派生技",$B$20,0))*(1+$BW54)*(1+$BX54)</f>
        <v>321137.301246704</v>
      </c>
      <c r="O54" s="46">
        <f>((($AT54+$AU54)/2*$AN54+$AO54)*(1+$AV54)*(1+$AW54)+(($AY54+$AZ54)/2*IF($G$1="鸣金",$AP54,$AN54)+IF($G$1="鸣金",$AQ54*1.5,0))*(1+$BA54)*(1+$BB54)+(($BC54+$BD54)/2*IF($G$1="裂石",$AP54,$AN54)+IF($G$1="裂石",$AQ54*1.5,0))*(1+$BE54)*(1+$BF54)+(($BG54+$BH54)/2*IF($G$1="牵丝",$AP54,$AN54)+IF($G$1="牵丝",$AQ54*1.5,0))*(1+$BI54)*(1+$BJ54)+(($BK54+$BL54)/2*IF($G$1="破竹",$AP54,$AN54)+IF($G$1="破竹",$AQ54*1.5,0))*(1+$BM54)*(1+$BN54))*(1+$AR54)*$Q54*(1+IF(VLOOKUP($R54,武学奇术!$A:$ZZ,30,FALSE)="蓄力技",$B$21,0))*(1+IF(VLOOKUP($R54,武学奇术!$A:$ZZ,30,FALSE)="派生技",$B$20,0))*(1+$BW54)*(1+$BX54)</f>
        <v>211270.407963878</v>
      </c>
      <c r="P54" s="46">
        <f>((($AT54*$AN54+$AO54)*(1+$AV54)*(1+$AW54)+($AY54*IF($G$1="鸣金",$AP54,$AN54)+IF($G$1="鸣金",$AQ54*1.5,0))*(1+$BA54)*(1+$BB54)+($BC54*IF($G$1="裂石",$AP54,$AN54)+IF($G$1="裂石",$AQ54*1.5,0))*(1+$BE54)*(1+$BF54)+($BG54*IF($G$1="牵丝",$AP54,$AN54)+IF($G$1="牵丝",$AQ54*1.5,0))*(1+$BI54)*(1+$BJ54)+($BK54*IF($G$1="破竹",$AP54,$AN54)+IF($G$1="破竹",$AQ54*1.5,0))*(1+$BM54)*(1+$BN54))*(1+$AR54))*$Q54*(1+IF(VLOOKUP($R54,武学奇术!$A:$ZZ,30,FALSE)="蓄力技",$B$21,0))*(1+IF(VLOOKUP($R54,武学奇术!$A:$ZZ,30,FALSE)="派生技",$B$20,0))*(1+$BW54)*(1+$BX54)</f>
        <v>184661.333522789</v>
      </c>
      <c r="Q54" s="47">
        <f t="shared" si="13"/>
        <v>1</v>
      </c>
      <c r="R54" s="48" t="s">
        <v>185</v>
      </c>
      <c r="S54" s="48" t="s">
        <v>99</v>
      </c>
      <c r="T54" s="48" t="s">
        <v>182</v>
      </c>
      <c r="U54" s="48" t="s">
        <v>79</v>
      </c>
      <c r="V54" s="48" t="s">
        <v>90</v>
      </c>
      <c r="W54" s="48" t="s">
        <v>141</v>
      </c>
      <c r="X54" s="48" t="s">
        <v>80</v>
      </c>
      <c r="Y54" s="48" t="s">
        <v>74</v>
      </c>
      <c r="Z54" s="48" t="s">
        <v>80</v>
      </c>
      <c r="AA54" s="48" t="s">
        <v>183</v>
      </c>
      <c r="AB54" s="48" t="s">
        <v>184</v>
      </c>
      <c r="AC54" s="48" t="s">
        <v>80</v>
      </c>
      <c r="AD54" s="48" t="s">
        <v>80</v>
      </c>
      <c r="AE54" s="48" t="s">
        <v>80</v>
      </c>
      <c r="AF54" s="48" t="s">
        <v>83</v>
      </c>
      <c r="AG54" s="48" t="s">
        <v>84</v>
      </c>
      <c r="AH54" s="48" t="s">
        <v>80</v>
      </c>
      <c r="AI54" s="48" t="s">
        <v>80</v>
      </c>
      <c r="AJ54" s="48" t="s">
        <v>80</v>
      </c>
      <c r="AK54" s="48" t="s">
        <v>80</v>
      </c>
      <c r="AL54" s="48" t="s">
        <v>80</v>
      </c>
      <c r="AM54" t="str">
        <f>VLOOKUP($R54,武学奇术!$A:$ZZ,25,FALSE)</f>
        <v>陌刀</v>
      </c>
      <c r="AN54" s="33">
        <f>VLOOKUP($R54,武学奇术!$A:$ZZ,26,FALSE)</f>
        <v>7.5674</v>
      </c>
      <c r="AO54" s="34">
        <f>VLOOKUP($R54,武学奇术!$A:$ZZ,27,FALSE)*(1+IF(OR($AM54=$F$4,$AM54=$F$5),$B$22,0))</f>
        <v>3348.8</v>
      </c>
      <c r="AP54" s="33">
        <f>VLOOKUP($R54,武学奇术!$A:$ZZ,28,FALSE)</f>
        <v>11.3512</v>
      </c>
      <c r="AQ54" s="34">
        <f>VLOOKUP($R54,武学奇术!$A:$ZZ,29,FALSE)*(1+IF(OR($AM54=$F$4,$AM54=$F$5),$B$22,0))</f>
        <v>1824</v>
      </c>
      <c r="AR54" s="33" cm="1">
        <f t="array" ref="AR54">$G$3+IFERROR(VLOOKUP($AM54,$F$4:$G$7,2,FALSE),0)+VLOOKUP($R54,武学奇术!$A:$ZZ,2,FALSE)+SUM(_xlfn.XLOOKUP($S54:$AL54,增益!$A:$A,增益!$B:$B,0))</f>
        <v>0.6143</v>
      </c>
      <c r="AS54" s="33" cm="1">
        <f t="array" ref="AS54">VLOOKUP($R54,武学奇术!$A:$ZZ,5,FALSE)+SUM(_xlfn.XLOOKUP($S54:$AL54,增益!$A:$A,增益!$E:$E,0))</f>
        <v>0</v>
      </c>
      <c r="AT54" cm="1">
        <f t="array" ref="AT54">$D$10*(1+$AS54)+VLOOKUP($R54,武学奇术!$A:$ZZ,3,FALSE)+SUM(_xlfn.XLOOKUP($S54:$AL54,增益!$A:$A,增益!$C:$C,0))-$I$2</f>
        <v>4026</v>
      </c>
      <c r="AU54" cm="1">
        <f t="array" ref="AU54">$E$10*(1+$AS54)+VLOOKUP($R54,武学奇术!$A:$ZZ,4,FALSE)+SUM(_xlfn.XLOOKUP($S54:$AL54,增益!$A:$A,增益!$D:$D,0))-$I$2</f>
        <v>4026</v>
      </c>
      <c r="AV54" s="40" cm="1">
        <f t="array" ref="AV54">IF($F$10-$I$3+VLOOKUP($R54,武学奇术!$A:$ZZ,6,FALSE)+SUM(_xlfn.XLOOKUP($S54:$AL54,增益!$A:$A,增益!$F:$F,0))&gt;0,($F$10-$I$3+VLOOKUP($R54,武学奇术!$A:$ZZ,6,FALSE)+SUM(_xlfn.XLOOKUP($S54:$AL54,增益!$A:$A,增益!$F:$F,0)))/200,($F$10-$I$3+VLOOKUP($R54,武学奇术!$A:$ZZ,6,FALSE)+SUM(_xlfn.XLOOKUP($S54:$AL54,增益!$A:$A,增益!$F:$F,0)))/100)</f>
        <v>0.3534</v>
      </c>
      <c r="AW54" s="40" cm="1">
        <f t="array" ref="AW54">$G$10+VLOOKUP($R54,武学奇术!$A:$ZZ,7,FALSE)+SUM(_xlfn.XLOOKUP($S54:$AL54,增益!$A:$A,增益!$G:$G,0))</f>
        <v>0.12</v>
      </c>
      <c r="AX54" s="33" cm="1">
        <f t="array" ref="AX54">VLOOKUP($R54,武学奇术!$A:$ZZ,8,FALSE)+SUM(_xlfn.XLOOKUP($S54:$AL54,增益!$A:$A,增益!$H:$H,0))</f>
        <v>0</v>
      </c>
      <c r="AY54">
        <f t="shared" si="2"/>
        <v>0</v>
      </c>
      <c r="AZ54">
        <f t="shared" si="3"/>
        <v>0</v>
      </c>
      <c r="BA54" s="40" cm="1">
        <f t="array" ref="BA54">IF($F$11-$I$4+VLOOKUP($R54,武学奇术!$A:$ZZ,9,FALSE)+SUM(_xlfn.XLOOKUP($S54:$AL54,增益!$A:$A,增益!$I:$I,0))&gt;0,($F$11-$I$4+VLOOKUP($R54,武学奇术!$A:$ZZ,9,FALSE)+SUM(_xlfn.XLOOKUP($S54:$AL54,增益!$A:$A,增益!$I:$I,0)))/200,($F$11-$I$4+VLOOKUP($R54,武学奇术!$A:$ZZ,9,FALSE)+SUM(_xlfn.XLOOKUP($S54:$AL54,增益!$A:$A,增益!$I:$I,0)))/100)</f>
        <v>-0.14</v>
      </c>
      <c r="BB54" s="40" cm="1">
        <f t="array" ref="BB54">$G$11+VLOOKUP($R54,武学奇术!$A:$ZZ,10,FALSE)+SUM(_xlfn.XLOOKUP($S54:$AL54,增益!$A:$A,增益!$J:$J,0))</f>
        <v>0.1</v>
      </c>
      <c r="BC54">
        <f t="shared" si="4"/>
        <v>640.3</v>
      </c>
      <c r="BD54">
        <f t="shared" si="5"/>
        <v>1770.1</v>
      </c>
      <c r="BE54" s="40" cm="1">
        <f t="array" ref="BE54">IF($F$12-$I$4+VLOOKUP($R54,武学奇术!$A:$ZZ,11,FALSE)+SUM(_xlfn.XLOOKUP($S54:$AL54,增益!$A:$A,增益!$K:$K,0))&gt;0,($F$12-$I$4+VLOOKUP($R54,武学奇术!$A:$ZZ,11,FALSE)+SUM(_xlfn.XLOOKUP($S54:$AL54,增益!$A:$A,增益!$K:$K,0)))/200,($F$12-$I$4+VLOOKUP($R54,武学奇术!$A:$ZZ,11,FALSE)+SUM(_xlfn.XLOOKUP($S54:$AL54,增益!$A:$A,增益!$K:$K,0)))/100)</f>
        <v>0.17</v>
      </c>
      <c r="BF54" s="40" cm="1">
        <f t="array" ref="BF54">$G$12+VLOOKUP($R54,武学奇术!$A:$ZZ,12,FALSE)+SUM(_xlfn.XLOOKUP($S54:$AL54,增益!$A:$A,增益!$L:$L,0))</f>
        <v>0.27</v>
      </c>
      <c r="BG54">
        <f t="shared" si="6"/>
        <v>0</v>
      </c>
      <c r="BH54">
        <f t="shared" si="7"/>
        <v>0</v>
      </c>
      <c r="BI54" s="40" cm="1">
        <f t="array" ref="BI54">IF($F$13-$I$4+VLOOKUP($R54,武学奇术!$A:$ZZ,13,FALSE)+SUM(_xlfn.XLOOKUP($S54:$AL54,增益!$A:$A,增益!$M:$M,0))&gt;0,($F$13-$I$4+VLOOKUP($R54,武学奇术!$A:$ZZ,13,FALSE)+SUM(_xlfn.XLOOKUP($S54:$AL54,增益!$A:$A,增益!$K:$K,0)))/200,($F$13-$I$4+VLOOKUP($R54,武学奇术!$A:$ZZ,13,FALSE)+SUM(_xlfn.XLOOKUP($S54:$AL54,增益!$A:$A,增益!$M:$M,0)))/100)</f>
        <v>-0.14</v>
      </c>
      <c r="BJ54" s="40" cm="1">
        <f t="array" ref="BJ54">$G$13+VLOOKUP($R54,武学奇术!$A:$ZZ,14,FALSE)+SUM(_xlfn.XLOOKUP($S54:$AL54,增益!$A:$A,增益!$N:$N,0))</f>
        <v>0</v>
      </c>
      <c r="BK54">
        <f t="shared" si="8"/>
        <v>0</v>
      </c>
      <c r="BL54">
        <f t="shared" si="9"/>
        <v>0</v>
      </c>
      <c r="BM54" s="40" cm="1">
        <f t="array" ref="BM54">IF($F$14-$I$4+VLOOKUP($R54,武学奇术!$A:$ZZ,15,FALSE)+SUM(_xlfn.XLOOKUP($S54:$AL54,增益!$A:$A,增益!$O:$O,0))&gt;0,($F$14-$I$4+VLOOKUP($R54,武学奇术!$A:$ZZ,15,FALSE)+SUM(_xlfn.XLOOKUP($S54:$AL54,增益!$A:$A,增益!$O:$O,0)))/200,($F$14-$I$4+VLOOKUP($R54,武学奇术!$A:$ZZ,15,FALSE)+SUM(_xlfn.XLOOKUP($S54:$AL54,增益!$A:$A,增益!$O:$O,0)))/100)</f>
        <v>-0.14</v>
      </c>
      <c r="BN54" s="40" cm="1">
        <f t="array" ref="BN54">$G$14+VLOOKUP($R54,武学奇术!$A:$ZZ,16,FALSE)+SUM(_xlfn.XLOOKUP($S54:$AL54,增益!$A:$A,增益!$P:$P,0))</f>
        <v>0</v>
      </c>
      <c r="BO54" s="33">
        <f>MIN(IF(VLOOKUP($R54,武学奇术!$A:$ZZ,23,FALSE)=1,100%,$B$8),100%)</f>
        <v>0.9771</v>
      </c>
      <c r="BP54" s="33" cm="1">
        <f t="array" ref="BP54">IF(VLOOKUP($R54,武学奇术!$A:$ZZ,23,FALSE)=1,100%,MIN(80%,$B$9+VLOOKUP($R54,武学奇术!$A:$ZZ,17,FALSE)+SUM(_xlfn.XLOOKUP($S54:$AL54,增益!$A:$A,增益!$Q:$Q,0)))+$B$11+SUM(_xlfn.XLOOKUP($S54:$AL54,增益!$A:$A,增益!$U:$U,0)))*IF(VLOOKUP($R54,武学奇术!$A:$ZZ,24,FALSE)=1,0,1)</f>
        <v>0.8861</v>
      </c>
      <c r="BQ54" s="33" cm="1">
        <f t="array" ref="BQ54">1+$B$13+VLOOKUP($R54,武学奇术!$A:$ZZ,18,FALSE)+SUM(_xlfn.XLOOKUP($S54:$AL54,增益!$A:$A,增益!$R:$R,0))</f>
        <v>2</v>
      </c>
      <c r="BR54" s="33" cm="1">
        <f t="array" ref="BR54">IF(VLOOKUP($R54,武学奇术!$A:$ZZ,24,FALSE)=1,100%,MIN(40%,$B$10+VLOOKUP($R54,武学奇术!$A:$ZZ,19,FALSE)+SUM(_xlfn.XLOOKUP($S54:$AL54,增益!$A:$A,增益!$S:$S,0)))+$B$12+SUM(_xlfn.XLOOKUP($S54:$AL54,增益!$A:$A,增益!$V:$V,0)))*IF(VLOOKUP($R54,武学奇术!$A:$ZZ,23,FALSE)=1,0,1)</f>
        <v>0.0913</v>
      </c>
      <c r="BS54" s="33" cm="1">
        <f t="array" ref="BS54">1+$B$14+VLOOKUP($R54,武学奇术!$A:$ZZ,20,FALSE)+SUM(_xlfn.XLOOKUP($S54:$AL54,增益!$A:$A,增益!$T:$T,0))</f>
        <v>1.35</v>
      </c>
      <c r="BT54" s="33">
        <f t="shared" si="10"/>
        <v>0.86580831</v>
      </c>
      <c r="BU54" s="33">
        <f t="shared" si="11"/>
        <v>0.02208246</v>
      </c>
      <c r="BV54" s="33">
        <f>IF(VLOOKUP($R54,武学奇术!$A:$ZZ,22,FALSE)=1,0,(1-$BO54))*(1-$BR54)</f>
        <v>0.02080923</v>
      </c>
      <c r="BW54" s="33" cm="1">
        <f t="array" ref="BW54">SUM(_xlfn.XLOOKUP($S54:$AL54,增益!$A:$A,增益!$W:$W,0))+$I$5</f>
        <v>0.31</v>
      </c>
      <c r="BX54" s="33" cm="1">
        <f t="array" ref="BX54">VLOOKUP($R54,武学奇术!$A:$ZZ,32,FALSE)+SUM(_xlfn.XLOOKUP($S54:$AL54,增益!$A:$A,增益!$X:$X,0))</f>
        <v>0</v>
      </c>
    </row>
    <row r="55" spans="4:76">
      <c r="L55" s="46">
        <f t="shared" si="0"/>
        <v>24643.7079282622</v>
      </c>
      <c r="M55" s="46">
        <f>((($AT55+$AU55)/2*$AN55+$AO55)*(1+$AV55)*(1+$AW55)+(($AY55+$AZ55)/2*IF($G$1="鸣金",$AP55,$AN55)+IF($G$1="鸣金",$AQ55*1.5,0))*(1+$BA55)*(1+$BB55)+(($BC55+$BD55)/2*IF($G$1="裂石",$AP55,$AN55)+IF($G$1="裂石",$AQ55*1.5,0))*(1+$BE55)*(1+$BF55)+(($BG55+$BH55)/2*IF($G$1="牵丝",$AP55,$AN55)+IF($G$1="牵丝",$AQ55*1.5,0))*(1+$BI55)*(1+$BJ55)+(($BK55+$BL55)/2*IF($G$1="破竹",$AP55,$AN55)+IF($G$1="破竹",$AQ55*1.5,0))*(1+$BM55)*(1+$BN55))*(1+$AR55)*$BQ55*$Q55*(1+IF(VLOOKUP($R55,武学奇术!$A:$ZZ,30,FALSE)="蓄力技",$B$21,0))*(1+IF(VLOOKUP($R55,武学奇术!$A:$ZZ,30,FALSE)="派生技",$B$20,0))*(1+$BW55)*(1+$BX55)</f>
        <v>25772.0126860639</v>
      </c>
      <c r="N55" s="46">
        <f>(($AU55*$AN55+$AO55)*(1+$AV55)*(1+$AW55)+($AZ55*IF($G$1="鸣金",$AP55,$AN55)+IF($G$1="鸣金",$AQ55*1.5,0))*(1+$BA55)*(1+$BB55)+($BD55*IF($G$1="裂石",$AP55,$AN55)+IF($G$1="裂石",$AQ55*1.5,0))*(1+$BE55)*(1+$BF55)+($BH55*IF($G$1="牵丝",$AP55,$AN55)+IF($G$1="牵丝",$AQ55*1.5,0))*(1+$BI55)*(1+$BJ55)+($BL55*IF($G$1="破竹",$AP55,$AN55)+IF($G$1="破竹",$AQ55*1.5,0))*(1+$BM55)*(1+$BN55))*(1+$AR55)*$BS55*$Q55*(1+IF(VLOOKUP($R55,武学奇术!$A:$ZZ,30,FALSE)="蓄力技",$B$21,0))*(1+IF(VLOOKUP($R55,武学奇术!$A:$ZZ,30,FALSE)="派生技",$B$20,0))*(1+$BW55)*(1+$BX55)</f>
        <v>19888.2479197411</v>
      </c>
      <c r="O55" s="46">
        <f>((($AT55+$AU55)/2*$AN55+$AO55)*(1+$AV55)*(1+$AW55)+(($AY55+$AZ55)/2*IF($G$1="鸣金",$AP55,$AN55)+IF($G$1="鸣金",$AQ55*1.5,0))*(1+$BA55)*(1+$BB55)+(($BC55+$BD55)/2*IF($G$1="裂石",$AP55,$AN55)+IF($G$1="裂石",$AQ55*1.5,0))*(1+$BE55)*(1+$BF55)+(($BG55+$BH55)/2*IF($G$1="牵丝",$AP55,$AN55)+IF($G$1="牵丝",$AQ55*1.5,0))*(1+$BI55)*(1+$BJ55)+(($BK55+$BL55)/2*IF($G$1="破竹",$AP55,$AN55)+IF($G$1="破竹",$AQ55*1.5,0))*(1+$BM55)*(1+$BN55))*(1+$AR55)*$Q55*(1+IF(VLOOKUP($R55,武学奇术!$A:$ZZ,30,FALSE)="蓄力技",$B$21,0))*(1+IF(VLOOKUP($R55,武学奇术!$A:$ZZ,30,FALSE)="派生技",$B$20,0))*(1+$BW55)*(1+$BX55)</f>
        <v>12886.0063430319</v>
      </c>
      <c r="P55" s="46">
        <f>((($AT55*$AN55+$AO55)*(1+$AV55)*(1+$AW55)+($AY55*IF($G$1="鸣金",$AP55,$AN55)+IF($G$1="鸣金",$AQ55*1.5,0))*(1+$BA55)*(1+$BB55)+($BC55*IF($G$1="裂石",$AP55,$AN55)+IF($G$1="裂石",$AQ55*1.5,0))*(1+$BE55)*(1+$BF55)+($BG55*IF($G$1="牵丝",$AP55,$AN55)+IF($G$1="牵丝",$AQ55*1.5,0))*(1+$BI55)*(1+$BJ55)+($BK55*IF($G$1="破竹",$AP55,$AN55)+IF($G$1="破竹",$AQ55*1.5,0))*(1+$BM55)*(1+$BN55))*(1+$AR55))*$Q55*(1+IF(VLOOKUP($R55,武学奇术!$A:$ZZ,30,FALSE)="蓄力技",$B$21,0))*(1+IF(VLOOKUP($R55,武学奇术!$A:$ZZ,30,FALSE)="派生技",$B$20,0))*(1+$BW55)*(1+$BX55)</f>
        <v>11039.9771899594</v>
      </c>
      <c r="Q55" s="47">
        <f t="shared" si="13"/>
        <v>1</v>
      </c>
      <c r="R55" s="48" t="s">
        <v>140</v>
      </c>
      <c r="S55" s="48" t="s">
        <v>99</v>
      </c>
      <c r="T55" s="48" t="s">
        <v>182</v>
      </c>
      <c r="U55" s="48" t="s">
        <v>79</v>
      </c>
      <c r="V55" s="48" t="s">
        <v>90</v>
      </c>
      <c r="W55" s="48" t="s">
        <v>141</v>
      </c>
      <c r="X55" s="48" t="s">
        <v>80</v>
      </c>
      <c r="Y55" s="48" t="s">
        <v>74</v>
      </c>
      <c r="Z55" s="48" t="s">
        <v>80</v>
      </c>
      <c r="AA55" s="48" t="s">
        <v>183</v>
      </c>
      <c r="AB55" s="48" t="s">
        <v>184</v>
      </c>
      <c r="AC55" s="48" t="s">
        <v>80</v>
      </c>
      <c r="AD55" s="48" t="s">
        <v>80</v>
      </c>
      <c r="AE55" s="48" t="s">
        <v>80</v>
      </c>
      <c r="AF55" s="48" t="s">
        <v>83</v>
      </c>
      <c r="AG55" s="48" t="s">
        <v>84</v>
      </c>
      <c r="AH55" s="48" t="s">
        <v>80</v>
      </c>
      <c r="AI55" s="48" t="s">
        <v>80</v>
      </c>
      <c r="AJ55" s="48" t="s">
        <v>80</v>
      </c>
      <c r="AK55" s="48" t="s">
        <v>80</v>
      </c>
      <c r="AL55" s="48" t="s">
        <v>80</v>
      </c>
      <c r="AM55" t="str">
        <f>VLOOKUP($R55,武学奇术!$A:$ZZ,25,FALSE)</f>
        <v>陌刀</v>
      </c>
      <c r="AN55" s="33">
        <f>VLOOKUP($R55,武学奇术!$A:$ZZ,26,FALSE)</f>
        <v>0.525</v>
      </c>
      <c r="AO55" s="34">
        <f>VLOOKUP($R55,武学奇术!$A:$ZZ,27,FALSE)*(1+IF(OR($AM55=$F$4,$AM55=$F$5),$B$22,0))</f>
        <v>0</v>
      </c>
      <c r="AP55" s="33">
        <f>VLOOKUP($R55,武学奇术!$A:$ZZ,28,FALSE)</f>
        <v>0.7875</v>
      </c>
      <c r="AQ55" s="34">
        <f>VLOOKUP($R55,武学奇术!$A:$ZZ,29,FALSE)*(1+IF(OR($AM55=$F$4,$AM55=$F$5),$B$22,0))</f>
        <v>0</v>
      </c>
      <c r="AR55" s="33" cm="1">
        <f t="array" ref="AR55">$G$3+IFERROR(VLOOKUP($AM55,$F$4:$G$7,2,FALSE),0)+VLOOKUP($R55,武学奇术!$A:$ZZ,2,FALSE)+SUM(_xlfn.XLOOKUP($S55:$AL55,增益!$A:$A,增益!$B:$B,0))</f>
        <v>0.6143</v>
      </c>
      <c r="AS55" s="33" cm="1">
        <f t="array" ref="AS55">VLOOKUP($R55,武学奇术!$A:$ZZ,5,FALSE)+SUM(_xlfn.XLOOKUP($S55:$AL55,增益!$A:$A,增益!$E:$E,0))</f>
        <v>0</v>
      </c>
      <c r="AT55" cm="1">
        <f t="array" ref="AT55">$D$10*(1+$AS55)+VLOOKUP($R55,武学奇术!$A:$ZZ,3,FALSE)+SUM(_xlfn.XLOOKUP($S55:$AL55,增益!$A:$A,增益!$C:$C,0))-$I$2</f>
        <v>4026</v>
      </c>
      <c r="AU55" cm="1">
        <f t="array" ref="AU55">$E$10*(1+$AS55)+VLOOKUP($R55,武学奇术!$A:$ZZ,4,FALSE)+SUM(_xlfn.XLOOKUP($S55:$AL55,增益!$A:$A,增益!$D:$D,0))-$I$2</f>
        <v>4026</v>
      </c>
      <c r="AV55" s="40" cm="1">
        <f t="array" ref="AV55">IF($F$10-$I$3+VLOOKUP($R55,武学奇术!$A:$ZZ,6,FALSE)+SUM(_xlfn.XLOOKUP($S55:$AL55,增益!$A:$A,增益!$F:$F,0))&gt;0,($F$10-$I$3+VLOOKUP($R55,武学奇术!$A:$ZZ,6,FALSE)+SUM(_xlfn.XLOOKUP($S55:$AL55,增益!$A:$A,增益!$F:$F,0)))/200,($F$10-$I$3+VLOOKUP($R55,武学奇术!$A:$ZZ,6,FALSE)+SUM(_xlfn.XLOOKUP($S55:$AL55,增益!$A:$A,增益!$F:$F,0)))/100)</f>
        <v>0.3534</v>
      </c>
      <c r="AW55" s="40" cm="1">
        <f t="array" ref="AW55">$G$10+VLOOKUP($R55,武学奇术!$A:$ZZ,7,FALSE)+SUM(_xlfn.XLOOKUP($S55:$AL55,增益!$A:$A,增益!$G:$G,0))</f>
        <v>0.12</v>
      </c>
      <c r="AX55" s="33" cm="1">
        <f t="array" ref="AX55">VLOOKUP($R55,武学奇术!$A:$ZZ,8,FALSE)+SUM(_xlfn.XLOOKUP($S55:$AL55,增益!$A:$A,增益!$H:$H,0))</f>
        <v>0</v>
      </c>
      <c r="AY55">
        <f t="shared" si="2"/>
        <v>0</v>
      </c>
      <c r="AZ55">
        <f t="shared" si="3"/>
        <v>0</v>
      </c>
      <c r="BA55" s="40" cm="1">
        <f t="array" ref="BA55">IF($F$11-$I$4+VLOOKUP($R55,武学奇术!$A:$ZZ,9,FALSE)+SUM(_xlfn.XLOOKUP($S55:$AL55,增益!$A:$A,增益!$I:$I,0))&gt;0,($F$11-$I$4+VLOOKUP($R55,武学奇术!$A:$ZZ,9,FALSE)+SUM(_xlfn.XLOOKUP($S55:$AL55,增益!$A:$A,增益!$I:$I,0)))/200,($F$11-$I$4+VLOOKUP($R55,武学奇术!$A:$ZZ,9,FALSE)+SUM(_xlfn.XLOOKUP($S55:$AL55,增益!$A:$A,增益!$I:$I,0)))/100)</f>
        <v>-0.14</v>
      </c>
      <c r="BB55" s="40" cm="1">
        <f t="array" ref="BB55">$G$11+VLOOKUP($R55,武学奇术!$A:$ZZ,10,FALSE)+SUM(_xlfn.XLOOKUP($S55:$AL55,增益!$A:$A,增益!$J:$J,0))</f>
        <v>0.1</v>
      </c>
      <c r="BC55">
        <f t="shared" si="4"/>
        <v>640.3</v>
      </c>
      <c r="BD55">
        <f t="shared" si="5"/>
        <v>1770.1</v>
      </c>
      <c r="BE55" s="40" cm="1">
        <f t="array" ref="BE55">IF($F$12-$I$4+VLOOKUP($R55,武学奇术!$A:$ZZ,11,FALSE)+SUM(_xlfn.XLOOKUP($S55:$AL55,增益!$A:$A,增益!$K:$K,0))&gt;0,($F$12-$I$4+VLOOKUP($R55,武学奇术!$A:$ZZ,11,FALSE)+SUM(_xlfn.XLOOKUP($S55:$AL55,增益!$A:$A,增益!$K:$K,0)))/200,($F$12-$I$4+VLOOKUP($R55,武学奇术!$A:$ZZ,11,FALSE)+SUM(_xlfn.XLOOKUP($S55:$AL55,增益!$A:$A,增益!$K:$K,0)))/100)</f>
        <v>0.17</v>
      </c>
      <c r="BF55" s="40" cm="1">
        <f t="array" ref="BF55">$G$12+VLOOKUP($R55,武学奇术!$A:$ZZ,12,FALSE)+SUM(_xlfn.XLOOKUP($S55:$AL55,增益!$A:$A,增益!$L:$L,0))</f>
        <v>0.27</v>
      </c>
      <c r="BG55">
        <f t="shared" si="6"/>
        <v>0</v>
      </c>
      <c r="BH55">
        <f t="shared" si="7"/>
        <v>0</v>
      </c>
      <c r="BI55" s="40" cm="1">
        <f t="array" ref="BI55">IF($F$13-$I$4+VLOOKUP($R55,武学奇术!$A:$ZZ,13,FALSE)+SUM(_xlfn.XLOOKUP($S55:$AL55,增益!$A:$A,增益!$M:$M,0))&gt;0,($F$13-$I$4+VLOOKUP($R55,武学奇术!$A:$ZZ,13,FALSE)+SUM(_xlfn.XLOOKUP($S55:$AL55,增益!$A:$A,增益!$K:$K,0)))/200,($F$13-$I$4+VLOOKUP($R55,武学奇术!$A:$ZZ,13,FALSE)+SUM(_xlfn.XLOOKUP($S55:$AL55,增益!$A:$A,增益!$M:$M,0)))/100)</f>
        <v>-0.14</v>
      </c>
      <c r="BJ55" s="40" cm="1">
        <f t="array" ref="BJ55">$G$13+VLOOKUP($R55,武学奇术!$A:$ZZ,14,FALSE)+SUM(_xlfn.XLOOKUP($S55:$AL55,增益!$A:$A,增益!$N:$N,0))</f>
        <v>0</v>
      </c>
      <c r="BK55">
        <f t="shared" si="8"/>
        <v>0</v>
      </c>
      <c r="BL55">
        <f t="shared" si="9"/>
        <v>0</v>
      </c>
      <c r="BM55" s="40" cm="1">
        <f t="array" ref="BM55">IF($F$14-$I$4+VLOOKUP($R55,武学奇术!$A:$ZZ,15,FALSE)+SUM(_xlfn.XLOOKUP($S55:$AL55,增益!$A:$A,增益!$O:$O,0))&gt;0,($F$14-$I$4+VLOOKUP($R55,武学奇术!$A:$ZZ,15,FALSE)+SUM(_xlfn.XLOOKUP($S55:$AL55,增益!$A:$A,增益!$O:$O,0)))/200,($F$14-$I$4+VLOOKUP($R55,武学奇术!$A:$ZZ,15,FALSE)+SUM(_xlfn.XLOOKUP($S55:$AL55,增益!$A:$A,增益!$O:$O,0)))/100)</f>
        <v>-0.14</v>
      </c>
      <c r="BN55" s="40" cm="1">
        <f t="array" ref="BN55">$G$14+VLOOKUP($R55,武学奇术!$A:$ZZ,16,FALSE)+SUM(_xlfn.XLOOKUP($S55:$AL55,增益!$A:$A,增益!$P:$P,0))</f>
        <v>0</v>
      </c>
      <c r="BO55" s="33">
        <f>MIN(IF(VLOOKUP($R55,武学奇术!$A:$ZZ,23,FALSE)=1,100%,$B$8),100%)</f>
        <v>0.9771</v>
      </c>
      <c r="BP55" s="33" cm="1">
        <f t="array" ref="BP55">IF(VLOOKUP($R55,武学奇术!$A:$ZZ,23,FALSE)=1,100%,MIN(80%,$B$9+VLOOKUP($R55,武学奇术!$A:$ZZ,17,FALSE)+SUM(_xlfn.XLOOKUP($S55:$AL55,增益!$A:$A,增益!$Q:$Q,0)))+$B$11+SUM(_xlfn.XLOOKUP($S55:$AL55,增益!$A:$A,增益!$U:$U,0)))*IF(VLOOKUP($R55,武学奇术!$A:$ZZ,24,FALSE)=1,0,1)</f>
        <v>0.8861</v>
      </c>
      <c r="BQ55" s="33" cm="1">
        <f t="array" ref="BQ55">1+$B$13+VLOOKUP($R55,武学奇术!$A:$ZZ,18,FALSE)+SUM(_xlfn.XLOOKUP($S55:$AL55,增益!$A:$A,增益!$R:$R,0))</f>
        <v>2</v>
      </c>
      <c r="BR55" s="33" cm="1">
        <f t="array" ref="BR55">IF(VLOOKUP($R55,武学奇术!$A:$ZZ,24,FALSE)=1,100%,MIN(40%,$B$10+VLOOKUP($R55,武学奇术!$A:$ZZ,19,FALSE)+SUM(_xlfn.XLOOKUP($S55:$AL55,增益!$A:$A,增益!$S:$S,0)))+$B$12+SUM(_xlfn.XLOOKUP($S55:$AL55,增益!$A:$A,增益!$V:$V,0)))*IF(VLOOKUP($R55,武学奇术!$A:$ZZ,23,FALSE)=1,0,1)</f>
        <v>0.0913</v>
      </c>
      <c r="BS55" s="33" cm="1">
        <f t="array" ref="BS55">1+$B$14+VLOOKUP($R55,武学奇术!$A:$ZZ,20,FALSE)+SUM(_xlfn.XLOOKUP($S55:$AL55,增益!$A:$A,增益!$T:$T,0))</f>
        <v>1.35</v>
      </c>
      <c r="BT55" s="33">
        <f t="shared" si="10"/>
        <v>0.86580831</v>
      </c>
      <c r="BU55" s="33">
        <f t="shared" si="11"/>
        <v>0.02208246</v>
      </c>
      <c r="BV55" s="33">
        <f>IF(VLOOKUP($R55,武学奇术!$A:$ZZ,22,FALSE)=1,0,(1-$BO55))*(1-$BR55)</f>
        <v>0.02080923</v>
      </c>
      <c r="BW55" s="33" cm="1">
        <f t="array" ref="BW55">SUM(_xlfn.XLOOKUP($S55:$AL55,增益!$A:$A,增益!$W:$W,0))+$I$5</f>
        <v>0.31</v>
      </c>
      <c r="BX55" s="33" cm="1">
        <f t="array" ref="BX55">VLOOKUP($R55,武学奇术!$A:$ZZ,32,FALSE)+SUM(_xlfn.XLOOKUP($S55:$AL55,增益!$A:$A,增益!$X:$X,0))</f>
        <v>0</v>
      </c>
    </row>
    <row r="56" spans="4:76">
      <c r="L56" s="46">
        <f t="shared" si="0"/>
        <v>44358.674270872</v>
      </c>
      <c r="M56" s="46">
        <f>((($AT56+$AU56)/2*$AN56+$AO56)*(1+$AV56)*(1+$AW56)+(($AY56+$AZ56)/2*IF($G$1="鸣金",$AP56,$AN56)+IF($G$1="鸣金",$AQ56*1.5,0))*(1+$BA56)*(1+$BB56)+(($BC56+$BD56)/2*IF($G$1="裂石",$AP56,$AN56)+IF($G$1="裂石",$AQ56*1.5,0))*(1+$BE56)*(1+$BF56)+(($BG56+$BH56)/2*IF($G$1="牵丝",$AP56,$AN56)+IF($G$1="牵丝",$AQ56*1.5,0))*(1+$BI56)*(1+$BJ56)+(($BK56+$BL56)/2*IF($G$1="破竹",$AP56,$AN56)+IF($G$1="破竹",$AQ56*1.5,0))*(1+$BM56)*(1+$BN56))*(1+$AR56)*$BQ56*$Q56*(1+IF(VLOOKUP($R56,武学奇术!$A:$ZZ,30,FALSE)="蓄力技",$B$21,0))*(1+IF(VLOOKUP($R56,武学奇术!$A:$ZZ,30,FALSE)="派生技",$B$20,0))*(1+$BW56)*(1+$BX56)</f>
        <v>46389.622834915</v>
      </c>
      <c r="N56" s="46">
        <f>(($AU56*$AN56+$AO56)*(1+$AV56)*(1+$AW56)+($AZ56*IF($G$1="鸣金",$AP56,$AN56)+IF($G$1="鸣金",$AQ56*1.5,0))*(1+$BA56)*(1+$BB56)+($BD56*IF($G$1="裂石",$AP56,$AN56)+IF($G$1="裂石",$AQ56*1.5,0))*(1+$BE56)*(1+$BF56)+($BH56*IF($G$1="牵丝",$AP56,$AN56)+IF($G$1="牵丝",$AQ56*1.5,0))*(1+$BI56)*(1+$BJ56)+($BL56*IF($G$1="破竹",$AP56,$AN56)+IF($G$1="破竹",$AQ56*1.5,0))*(1+$BM56)*(1+$BN56))*(1+$AR56)*$BS56*$Q56*(1+IF(VLOOKUP($R56,武学奇术!$A:$ZZ,30,FALSE)="蓄力技",$B$21,0))*(1+IF(VLOOKUP($R56,武学奇术!$A:$ZZ,30,FALSE)="派生技",$B$20,0))*(1+$BW56)*(1+$BX56)</f>
        <v>35798.8462555339</v>
      </c>
      <c r="O56" s="46">
        <f>((($AT56+$AU56)/2*$AN56+$AO56)*(1+$AV56)*(1+$AW56)+(($AY56+$AZ56)/2*IF($G$1="鸣金",$AP56,$AN56)+IF($G$1="鸣金",$AQ56*1.5,0))*(1+$BA56)*(1+$BB56)+(($BC56+$BD56)/2*IF($G$1="裂石",$AP56,$AN56)+IF($G$1="裂石",$AQ56*1.5,0))*(1+$BE56)*(1+$BF56)+(($BG56+$BH56)/2*IF($G$1="牵丝",$AP56,$AN56)+IF($G$1="牵丝",$AQ56*1.5,0))*(1+$BI56)*(1+$BJ56)+(($BK56+$BL56)/2*IF($G$1="破竹",$AP56,$AN56)+IF($G$1="破竹",$AQ56*1.5,0))*(1+$BM56)*(1+$BN56))*(1+$AR56)*$Q56*(1+IF(VLOOKUP($R56,武学奇术!$A:$ZZ,30,FALSE)="蓄力技",$B$21,0))*(1+IF(VLOOKUP($R56,武学奇术!$A:$ZZ,30,FALSE)="派生技",$B$20,0))*(1+$BW56)*(1+$BX56)</f>
        <v>23194.8114174575</v>
      </c>
      <c r="P56" s="46">
        <f>((($AT56*$AN56+$AO56)*(1+$AV56)*(1+$AW56)+($AY56*IF($G$1="鸣金",$AP56,$AN56)+IF($G$1="鸣金",$AQ56*1.5,0))*(1+$BA56)*(1+$BB56)+($BC56*IF($G$1="裂石",$AP56,$AN56)+IF($G$1="裂石",$AQ56*1.5,0))*(1+$BE56)*(1+$BF56)+($BG56*IF($G$1="牵丝",$AP56,$AN56)+IF($G$1="牵丝",$AQ56*1.5,0))*(1+$BI56)*(1+$BJ56)+($BK56*IF($G$1="破竹",$AP56,$AN56)+IF($G$1="破竹",$AQ56*1.5,0))*(1+$BM56)*(1+$BN56))*(1+$AR56))*$Q56*(1+IF(VLOOKUP($R56,武学奇术!$A:$ZZ,30,FALSE)="蓄力技",$B$21,0))*(1+IF(VLOOKUP($R56,武学奇术!$A:$ZZ,30,FALSE)="派生技",$B$20,0))*(1+$BW56)*(1+$BX56)</f>
        <v>19871.9589419269</v>
      </c>
      <c r="Q56" s="47">
        <f t="shared" si="13"/>
        <v>1</v>
      </c>
      <c r="R56" s="48" t="s">
        <v>169</v>
      </c>
      <c r="S56" s="48" t="s">
        <v>99</v>
      </c>
      <c r="T56" s="48" t="s">
        <v>182</v>
      </c>
      <c r="U56" s="48" t="s">
        <v>79</v>
      </c>
      <c r="V56" s="48" t="s">
        <v>90</v>
      </c>
      <c r="W56" s="48" t="s">
        <v>141</v>
      </c>
      <c r="X56" s="48" t="s">
        <v>80</v>
      </c>
      <c r="Y56" s="48" t="s">
        <v>74</v>
      </c>
      <c r="Z56" s="48" t="s">
        <v>80</v>
      </c>
      <c r="AA56" s="48" t="s">
        <v>183</v>
      </c>
      <c r="AB56" s="48" t="s">
        <v>184</v>
      </c>
      <c r="AC56" s="48" t="s">
        <v>80</v>
      </c>
      <c r="AD56" s="48" t="s">
        <v>80</v>
      </c>
      <c r="AE56" s="48" t="s">
        <v>80</v>
      </c>
      <c r="AF56" s="48" t="s">
        <v>83</v>
      </c>
      <c r="AG56" s="48" t="s">
        <v>84</v>
      </c>
      <c r="AH56" s="48" t="s">
        <v>80</v>
      </c>
      <c r="AI56" s="48" t="s">
        <v>80</v>
      </c>
      <c r="AJ56" s="48" t="s">
        <v>80</v>
      </c>
      <c r="AK56" s="48" t="s">
        <v>80</v>
      </c>
      <c r="AL56" s="48" t="s">
        <v>80</v>
      </c>
      <c r="AM56" t="str">
        <f>VLOOKUP($R56,武学奇术!$A:$ZZ,25,FALSE)</f>
        <v>陌刀</v>
      </c>
      <c r="AN56" s="33">
        <f>VLOOKUP($R56,武学奇术!$A:$ZZ,26,FALSE)</f>
        <v>0.945</v>
      </c>
      <c r="AO56" s="34">
        <f>VLOOKUP($R56,武学奇术!$A:$ZZ,27,FALSE)*(1+IF(OR($AM56=$F$4,$AM56=$F$5),$B$22,0))</f>
        <v>0</v>
      </c>
      <c r="AP56" s="33">
        <f>VLOOKUP($R56,武学奇术!$A:$ZZ,28,FALSE)</f>
        <v>1.4175</v>
      </c>
      <c r="AQ56" s="34">
        <f>VLOOKUP($R56,武学奇术!$A:$ZZ,29,FALSE)*(1+IF(OR($AM56=$F$4,$AM56=$F$5),$B$22,0))</f>
        <v>0</v>
      </c>
      <c r="AR56" s="33" cm="1">
        <f t="array" ref="AR56">$G$3+IFERROR(VLOOKUP($AM56,$F$4:$G$7,2,FALSE),0)+VLOOKUP($R56,武学奇术!$A:$ZZ,2,FALSE)+SUM(_xlfn.XLOOKUP($S56:$AL56,增益!$A:$A,增益!$B:$B,0))</f>
        <v>0.6143</v>
      </c>
      <c r="AS56" s="33" cm="1">
        <f t="array" ref="AS56">VLOOKUP($R56,武学奇术!$A:$ZZ,5,FALSE)+SUM(_xlfn.XLOOKUP($S56:$AL56,增益!$A:$A,增益!$E:$E,0))</f>
        <v>0</v>
      </c>
      <c r="AT56" cm="1">
        <f t="array" ref="AT56">$D$10*(1+$AS56)+VLOOKUP($R56,武学奇术!$A:$ZZ,3,FALSE)+SUM(_xlfn.XLOOKUP($S56:$AL56,增益!$A:$A,增益!$C:$C,0))-$I$2</f>
        <v>4026</v>
      </c>
      <c r="AU56" cm="1">
        <f t="array" ref="AU56">$E$10*(1+$AS56)+VLOOKUP($R56,武学奇术!$A:$ZZ,4,FALSE)+SUM(_xlfn.XLOOKUP($S56:$AL56,增益!$A:$A,增益!$D:$D,0))-$I$2</f>
        <v>4026</v>
      </c>
      <c r="AV56" s="40" cm="1">
        <f t="array" ref="AV56">IF($F$10-$I$3+VLOOKUP($R56,武学奇术!$A:$ZZ,6,FALSE)+SUM(_xlfn.XLOOKUP($S56:$AL56,增益!$A:$A,增益!$F:$F,0))&gt;0,($F$10-$I$3+VLOOKUP($R56,武学奇术!$A:$ZZ,6,FALSE)+SUM(_xlfn.XLOOKUP($S56:$AL56,增益!$A:$A,增益!$F:$F,0)))/200,($F$10-$I$3+VLOOKUP($R56,武学奇术!$A:$ZZ,6,FALSE)+SUM(_xlfn.XLOOKUP($S56:$AL56,增益!$A:$A,增益!$F:$F,0)))/100)</f>
        <v>0.3534</v>
      </c>
      <c r="AW56" s="40" cm="1">
        <f t="array" ref="AW56">$G$10+VLOOKUP($R56,武学奇术!$A:$ZZ,7,FALSE)+SUM(_xlfn.XLOOKUP($S56:$AL56,增益!$A:$A,增益!$G:$G,0))</f>
        <v>0.12</v>
      </c>
      <c r="AX56" s="33" cm="1">
        <f t="array" ref="AX56">VLOOKUP($R56,武学奇术!$A:$ZZ,8,FALSE)+SUM(_xlfn.XLOOKUP($S56:$AL56,增益!$A:$A,增益!$H:$H,0))</f>
        <v>0</v>
      </c>
      <c r="AY56">
        <f t="shared" si="2"/>
        <v>0</v>
      </c>
      <c r="AZ56">
        <f t="shared" si="3"/>
        <v>0</v>
      </c>
      <c r="BA56" s="40" cm="1">
        <f t="array" ref="BA56">IF($F$11-$I$4+VLOOKUP($R56,武学奇术!$A:$ZZ,9,FALSE)+SUM(_xlfn.XLOOKUP($S56:$AL56,增益!$A:$A,增益!$I:$I,0))&gt;0,($F$11-$I$4+VLOOKUP($R56,武学奇术!$A:$ZZ,9,FALSE)+SUM(_xlfn.XLOOKUP($S56:$AL56,增益!$A:$A,增益!$I:$I,0)))/200,($F$11-$I$4+VLOOKUP($R56,武学奇术!$A:$ZZ,9,FALSE)+SUM(_xlfn.XLOOKUP($S56:$AL56,增益!$A:$A,增益!$I:$I,0)))/100)</f>
        <v>-0.14</v>
      </c>
      <c r="BB56" s="40" cm="1">
        <f t="array" ref="BB56">$G$11+VLOOKUP($R56,武学奇术!$A:$ZZ,10,FALSE)+SUM(_xlfn.XLOOKUP($S56:$AL56,增益!$A:$A,增益!$J:$J,0))</f>
        <v>0.1</v>
      </c>
      <c r="BC56">
        <f t="shared" si="4"/>
        <v>640.3</v>
      </c>
      <c r="BD56">
        <f t="shared" si="5"/>
        <v>1770.1</v>
      </c>
      <c r="BE56" s="40" cm="1">
        <f t="array" ref="BE56">IF($F$12-$I$4+VLOOKUP($R56,武学奇术!$A:$ZZ,11,FALSE)+SUM(_xlfn.XLOOKUP($S56:$AL56,增益!$A:$A,增益!$K:$K,0))&gt;0,($F$12-$I$4+VLOOKUP($R56,武学奇术!$A:$ZZ,11,FALSE)+SUM(_xlfn.XLOOKUP($S56:$AL56,增益!$A:$A,增益!$K:$K,0)))/200,($F$12-$I$4+VLOOKUP($R56,武学奇术!$A:$ZZ,11,FALSE)+SUM(_xlfn.XLOOKUP($S56:$AL56,增益!$A:$A,增益!$K:$K,0)))/100)</f>
        <v>0.17</v>
      </c>
      <c r="BF56" s="40" cm="1">
        <f t="array" ref="BF56">$G$12+VLOOKUP($R56,武学奇术!$A:$ZZ,12,FALSE)+SUM(_xlfn.XLOOKUP($S56:$AL56,增益!$A:$A,增益!$L:$L,0))</f>
        <v>0.27</v>
      </c>
      <c r="BG56">
        <f t="shared" si="6"/>
        <v>0</v>
      </c>
      <c r="BH56">
        <f t="shared" si="7"/>
        <v>0</v>
      </c>
      <c r="BI56" s="40" cm="1">
        <f t="array" ref="BI56">IF($F$13-$I$4+VLOOKUP($R56,武学奇术!$A:$ZZ,13,FALSE)+SUM(_xlfn.XLOOKUP($S56:$AL56,增益!$A:$A,增益!$M:$M,0))&gt;0,($F$13-$I$4+VLOOKUP($R56,武学奇术!$A:$ZZ,13,FALSE)+SUM(_xlfn.XLOOKUP($S56:$AL56,增益!$A:$A,增益!$K:$K,0)))/200,($F$13-$I$4+VLOOKUP($R56,武学奇术!$A:$ZZ,13,FALSE)+SUM(_xlfn.XLOOKUP($S56:$AL56,增益!$A:$A,增益!$M:$M,0)))/100)</f>
        <v>-0.14</v>
      </c>
      <c r="BJ56" s="40" cm="1">
        <f t="array" ref="BJ56">$G$13+VLOOKUP($R56,武学奇术!$A:$ZZ,14,FALSE)+SUM(_xlfn.XLOOKUP($S56:$AL56,增益!$A:$A,增益!$N:$N,0))</f>
        <v>0</v>
      </c>
      <c r="BK56">
        <f t="shared" si="8"/>
        <v>0</v>
      </c>
      <c r="BL56">
        <f t="shared" si="9"/>
        <v>0</v>
      </c>
      <c r="BM56" s="40" cm="1">
        <f t="array" ref="BM56">IF($F$14-$I$4+VLOOKUP($R56,武学奇术!$A:$ZZ,15,FALSE)+SUM(_xlfn.XLOOKUP($S56:$AL56,增益!$A:$A,增益!$O:$O,0))&gt;0,($F$14-$I$4+VLOOKUP($R56,武学奇术!$A:$ZZ,15,FALSE)+SUM(_xlfn.XLOOKUP($S56:$AL56,增益!$A:$A,增益!$O:$O,0)))/200,($F$14-$I$4+VLOOKUP($R56,武学奇术!$A:$ZZ,15,FALSE)+SUM(_xlfn.XLOOKUP($S56:$AL56,增益!$A:$A,增益!$O:$O,0)))/100)</f>
        <v>-0.14</v>
      </c>
      <c r="BN56" s="40" cm="1">
        <f t="array" ref="BN56">$G$14+VLOOKUP($R56,武学奇术!$A:$ZZ,16,FALSE)+SUM(_xlfn.XLOOKUP($S56:$AL56,增益!$A:$A,增益!$P:$P,0))</f>
        <v>0</v>
      </c>
      <c r="BO56" s="33">
        <f>MIN(IF(VLOOKUP($R56,武学奇术!$A:$ZZ,23,FALSE)=1,100%,$B$8),100%)</f>
        <v>0.9771</v>
      </c>
      <c r="BP56" s="33" cm="1">
        <f t="array" ref="BP56">IF(VLOOKUP($R56,武学奇术!$A:$ZZ,23,FALSE)=1,100%,MIN(80%,$B$9+VLOOKUP($R56,武学奇术!$A:$ZZ,17,FALSE)+SUM(_xlfn.XLOOKUP($S56:$AL56,增益!$A:$A,增益!$Q:$Q,0)))+$B$11+SUM(_xlfn.XLOOKUP($S56:$AL56,增益!$A:$A,增益!$U:$U,0)))*IF(VLOOKUP($R56,武学奇术!$A:$ZZ,24,FALSE)=1,0,1)</f>
        <v>0.8861</v>
      </c>
      <c r="BQ56" s="33" cm="1">
        <f t="array" ref="BQ56">1+$B$13+VLOOKUP($R56,武学奇术!$A:$ZZ,18,FALSE)+SUM(_xlfn.XLOOKUP($S56:$AL56,增益!$A:$A,增益!$R:$R,0))</f>
        <v>2</v>
      </c>
      <c r="BR56" s="33" cm="1">
        <f t="array" ref="BR56">IF(VLOOKUP($R56,武学奇术!$A:$ZZ,24,FALSE)=1,100%,MIN(40%,$B$10+VLOOKUP($R56,武学奇术!$A:$ZZ,19,FALSE)+SUM(_xlfn.XLOOKUP($S56:$AL56,增益!$A:$A,增益!$S:$S,0)))+$B$12+SUM(_xlfn.XLOOKUP($S56:$AL56,增益!$A:$A,增益!$V:$V,0)))*IF(VLOOKUP($R56,武学奇术!$A:$ZZ,23,FALSE)=1,0,1)</f>
        <v>0.0913</v>
      </c>
      <c r="BS56" s="33" cm="1">
        <f t="array" ref="BS56">1+$B$14+VLOOKUP($R56,武学奇术!$A:$ZZ,20,FALSE)+SUM(_xlfn.XLOOKUP($S56:$AL56,增益!$A:$A,增益!$T:$T,0))</f>
        <v>1.35</v>
      </c>
      <c r="BT56" s="33">
        <f t="shared" si="10"/>
        <v>0.86580831</v>
      </c>
      <c r="BU56" s="33">
        <f t="shared" si="11"/>
        <v>0.02208246</v>
      </c>
      <c r="BV56" s="33">
        <f>IF(VLOOKUP($R56,武学奇术!$A:$ZZ,22,FALSE)=1,0,(1-$BO56))*(1-$BR56)</f>
        <v>0.02080923</v>
      </c>
      <c r="BW56" s="33" cm="1">
        <f t="array" ref="BW56">SUM(_xlfn.XLOOKUP($S56:$AL56,增益!$A:$A,增益!$W:$W,0))+$I$5</f>
        <v>0.31</v>
      </c>
      <c r="BX56" s="33" cm="1">
        <f t="array" ref="BX56">VLOOKUP($R56,武学奇术!$A:$ZZ,32,FALSE)+SUM(_xlfn.XLOOKUP($S56:$AL56,增益!$A:$A,增益!$X:$X,0))</f>
        <v>0</v>
      </c>
    </row>
    <row r="57" spans="4:76">
      <c r="D57" s="4"/>
      <c r="E57" s="4"/>
      <c r="L57" s="46">
        <f t="shared" si="0"/>
        <v>403667.215842683</v>
      </c>
      <c r="M57" s="46">
        <f>((($AT57+$AU57)/2*$AN57+$AO57)*(1+$AV57)*(1+$AW57)+(($AY57+$AZ57)/2*IF($G$1="鸣金",$AP57,$AN57)+IF($G$1="鸣金",$AQ57*1.5,0))*(1+$BA57)*(1+$BB57)+(($BC57+$BD57)/2*IF($G$1="裂石",$AP57,$AN57)+IF($G$1="裂石",$AQ57*1.5,0))*(1+$BE57)*(1+$BF57)+(($BG57+$BH57)/2*IF($G$1="牵丝",$AP57,$AN57)+IF($G$1="牵丝",$AQ57*1.5,0))*(1+$BI57)*(1+$BJ57)+(($BK57+$BL57)/2*IF($G$1="破竹",$AP57,$AN57)+IF($G$1="破竹",$AQ57*1.5,0))*(1+$BM57)*(1+$BN57))*(1+$AR57)*$BQ57*$Q57*(1+IF(VLOOKUP($R57,武学奇术!$A:$ZZ,30,FALSE)="蓄力技",$B$21,0))*(1+IF(VLOOKUP($R57,武学奇术!$A:$ZZ,30,FALSE)="派生技",$B$20,0))*(1+$BW57)*(1+$BX57)</f>
        <v>422540.815927755</v>
      </c>
      <c r="N57" s="46">
        <f>(($AU57*$AN57+$AO57)*(1+$AV57)*(1+$AW57)+($AZ57*IF($G$1="鸣金",$AP57,$AN57)+IF($G$1="鸣金",$AQ57*1.5,0))*(1+$BA57)*(1+$BB57)+($BD57*IF($G$1="裂石",$AP57,$AN57)+IF($G$1="裂石",$AQ57*1.5,0))*(1+$BE57)*(1+$BF57)+($BH57*IF($G$1="牵丝",$AP57,$AN57)+IF($G$1="牵丝",$AQ57*1.5,0))*(1+$BI57)*(1+$BJ57)+($BL57*IF($G$1="破竹",$AP57,$AN57)+IF($G$1="破竹",$AQ57*1.5,0))*(1+$BM57)*(1+$BN57))*(1+$AR57)*$BS57*$Q57*(1+IF(VLOOKUP($R57,武学奇术!$A:$ZZ,30,FALSE)="蓄力技",$B$21,0))*(1+IF(VLOOKUP($R57,武学奇术!$A:$ZZ,30,FALSE)="派生技",$B$20,0))*(1+$BW57)*(1+$BX57)</f>
        <v>321137.301246704</v>
      </c>
      <c r="O57" s="46">
        <f>((($AT57+$AU57)/2*$AN57+$AO57)*(1+$AV57)*(1+$AW57)+(($AY57+$AZ57)/2*IF($G$1="鸣金",$AP57,$AN57)+IF($G$1="鸣金",$AQ57*1.5,0))*(1+$BA57)*(1+$BB57)+(($BC57+$BD57)/2*IF($G$1="裂石",$AP57,$AN57)+IF($G$1="裂石",$AQ57*1.5,0))*(1+$BE57)*(1+$BF57)+(($BG57+$BH57)/2*IF($G$1="牵丝",$AP57,$AN57)+IF($G$1="牵丝",$AQ57*1.5,0))*(1+$BI57)*(1+$BJ57)+(($BK57+$BL57)/2*IF($G$1="破竹",$AP57,$AN57)+IF($G$1="破竹",$AQ57*1.5,0))*(1+$BM57)*(1+$BN57))*(1+$AR57)*$Q57*(1+IF(VLOOKUP($R57,武学奇术!$A:$ZZ,30,FALSE)="蓄力技",$B$21,0))*(1+IF(VLOOKUP($R57,武学奇术!$A:$ZZ,30,FALSE)="派生技",$B$20,0))*(1+$BW57)*(1+$BX57)</f>
        <v>211270.407963878</v>
      </c>
      <c r="P57" s="46">
        <f>((($AT57*$AN57+$AO57)*(1+$AV57)*(1+$AW57)+($AY57*IF($G$1="鸣金",$AP57,$AN57)+IF($G$1="鸣金",$AQ57*1.5,0))*(1+$BA57)*(1+$BB57)+($BC57*IF($G$1="裂石",$AP57,$AN57)+IF($G$1="裂石",$AQ57*1.5,0))*(1+$BE57)*(1+$BF57)+($BG57*IF($G$1="牵丝",$AP57,$AN57)+IF($G$1="牵丝",$AQ57*1.5,0))*(1+$BI57)*(1+$BJ57)+($BK57*IF($G$1="破竹",$AP57,$AN57)+IF($G$1="破竹",$AQ57*1.5,0))*(1+$BM57)*(1+$BN57))*(1+$AR57))*$Q57*(1+IF(VLOOKUP($R57,武学奇术!$A:$ZZ,30,FALSE)="蓄力技",$B$21,0))*(1+IF(VLOOKUP($R57,武学奇术!$A:$ZZ,30,FALSE)="派生技",$B$20,0))*(1+$BW57)*(1+$BX57)</f>
        <v>184661.333522789</v>
      </c>
      <c r="Q57" s="47">
        <f t="shared" si="13"/>
        <v>1</v>
      </c>
      <c r="R57" s="48" t="s">
        <v>185</v>
      </c>
      <c r="S57" s="48" t="s">
        <v>99</v>
      </c>
      <c r="T57" s="48" t="s">
        <v>182</v>
      </c>
      <c r="U57" s="48" t="s">
        <v>79</v>
      </c>
      <c r="V57" s="48" t="s">
        <v>90</v>
      </c>
      <c r="W57" s="48" t="s">
        <v>141</v>
      </c>
      <c r="X57" s="48" t="s">
        <v>80</v>
      </c>
      <c r="Y57" s="48" t="s">
        <v>74</v>
      </c>
      <c r="Z57" s="48" t="s">
        <v>80</v>
      </c>
      <c r="AA57" s="48" t="s">
        <v>183</v>
      </c>
      <c r="AB57" s="48" t="s">
        <v>184</v>
      </c>
      <c r="AC57" s="48" t="s">
        <v>80</v>
      </c>
      <c r="AD57" s="48" t="s">
        <v>80</v>
      </c>
      <c r="AE57" s="48" t="s">
        <v>80</v>
      </c>
      <c r="AF57" s="48" t="s">
        <v>83</v>
      </c>
      <c r="AG57" s="48" t="s">
        <v>84</v>
      </c>
      <c r="AH57" s="48" t="s">
        <v>80</v>
      </c>
      <c r="AI57" s="48" t="s">
        <v>80</v>
      </c>
      <c r="AJ57" s="48" t="s">
        <v>80</v>
      </c>
      <c r="AK57" s="48" t="s">
        <v>80</v>
      </c>
      <c r="AL57" s="48" t="s">
        <v>80</v>
      </c>
      <c r="AM57" t="str">
        <f>VLOOKUP($R57,武学奇术!$A:$ZZ,25,FALSE)</f>
        <v>陌刀</v>
      </c>
      <c r="AN57" s="33">
        <f>VLOOKUP($R57,武学奇术!$A:$ZZ,26,FALSE)</f>
        <v>7.5674</v>
      </c>
      <c r="AO57" s="34">
        <f>VLOOKUP($R57,武学奇术!$A:$ZZ,27,FALSE)*(1+IF(OR($AM57=$F$4,$AM57=$F$5),$B$22,0))</f>
        <v>3348.8</v>
      </c>
      <c r="AP57" s="33">
        <f>VLOOKUP($R57,武学奇术!$A:$ZZ,28,FALSE)</f>
        <v>11.3512</v>
      </c>
      <c r="AQ57" s="34">
        <f>VLOOKUP($R57,武学奇术!$A:$ZZ,29,FALSE)*(1+IF(OR($AM57=$F$4,$AM57=$F$5),$B$22,0))</f>
        <v>1824</v>
      </c>
      <c r="AR57" s="33" cm="1">
        <f t="array" ref="AR57">$G$3+IFERROR(VLOOKUP($AM57,$F$4:$G$7,2,FALSE),0)+VLOOKUP($R57,武学奇术!$A:$ZZ,2,FALSE)+SUM(_xlfn.XLOOKUP($S57:$AL57,增益!$A:$A,增益!$B:$B,0))</f>
        <v>0.6143</v>
      </c>
      <c r="AS57" s="33" cm="1">
        <f t="array" ref="AS57">VLOOKUP($R57,武学奇术!$A:$ZZ,5,FALSE)+SUM(_xlfn.XLOOKUP($S57:$AL57,增益!$A:$A,增益!$E:$E,0))</f>
        <v>0</v>
      </c>
      <c r="AT57" cm="1">
        <f t="array" ref="AT57">$D$10*(1+$AS57)+VLOOKUP($R57,武学奇术!$A:$ZZ,3,FALSE)+SUM(_xlfn.XLOOKUP($S57:$AL57,增益!$A:$A,增益!$C:$C,0))-$I$2</f>
        <v>4026</v>
      </c>
      <c r="AU57" cm="1">
        <f t="array" ref="AU57">$E$10*(1+$AS57)+VLOOKUP($R57,武学奇术!$A:$ZZ,4,FALSE)+SUM(_xlfn.XLOOKUP($S57:$AL57,增益!$A:$A,增益!$D:$D,0))-$I$2</f>
        <v>4026</v>
      </c>
      <c r="AV57" s="40" cm="1">
        <f t="array" ref="AV57">IF($F$10-$I$3+VLOOKUP($R57,武学奇术!$A:$ZZ,6,FALSE)+SUM(_xlfn.XLOOKUP($S57:$AL57,增益!$A:$A,增益!$F:$F,0))&gt;0,($F$10-$I$3+VLOOKUP($R57,武学奇术!$A:$ZZ,6,FALSE)+SUM(_xlfn.XLOOKUP($S57:$AL57,增益!$A:$A,增益!$F:$F,0)))/200,($F$10-$I$3+VLOOKUP($R57,武学奇术!$A:$ZZ,6,FALSE)+SUM(_xlfn.XLOOKUP($S57:$AL57,增益!$A:$A,增益!$F:$F,0)))/100)</f>
        <v>0.3534</v>
      </c>
      <c r="AW57" s="40" cm="1">
        <f t="array" ref="AW57">$G$10+VLOOKUP($R57,武学奇术!$A:$ZZ,7,FALSE)+SUM(_xlfn.XLOOKUP($S57:$AL57,增益!$A:$A,增益!$G:$G,0))</f>
        <v>0.12</v>
      </c>
      <c r="AX57" s="33" cm="1">
        <f t="array" ref="AX57">VLOOKUP($R57,武学奇术!$A:$ZZ,8,FALSE)+SUM(_xlfn.XLOOKUP($S57:$AL57,增益!$A:$A,增益!$H:$H,0))</f>
        <v>0</v>
      </c>
      <c r="AY57">
        <f t="shared" si="2"/>
        <v>0</v>
      </c>
      <c r="AZ57">
        <f t="shared" si="3"/>
        <v>0</v>
      </c>
      <c r="BA57" s="40" cm="1">
        <f t="array" ref="BA57">IF($F$11-$I$4+VLOOKUP($R57,武学奇术!$A:$ZZ,9,FALSE)+SUM(_xlfn.XLOOKUP($S57:$AL57,增益!$A:$A,增益!$I:$I,0))&gt;0,($F$11-$I$4+VLOOKUP($R57,武学奇术!$A:$ZZ,9,FALSE)+SUM(_xlfn.XLOOKUP($S57:$AL57,增益!$A:$A,增益!$I:$I,0)))/200,($F$11-$I$4+VLOOKUP($R57,武学奇术!$A:$ZZ,9,FALSE)+SUM(_xlfn.XLOOKUP($S57:$AL57,增益!$A:$A,增益!$I:$I,0)))/100)</f>
        <v>-0.14</v>
      </c>
      <c r="BB57" s="40" cm="1">
        <f t="array" ref="BB57">$G$11+VLOOKUP($R57,武学奇术!$A:$ZZ,10,FALSE)+SUM(_xlfn.XLOOKUP($S57:$AL57,增益!$A:$A,增益!$J:$J,0))</f>
        <v>0.1</v>
      </c>
      <c r="BC57">
        <f t="shared" si="4"/>
        <v>640.3</v>
      </c>
      <c r="BD57">
        <f t="shared" si="5"/>
        <v>1770.1</v>
      </c>
      <c r="BE57" s="40" cm="1">
        <f t="array" ref="BE57">IF($F$12-$I$4+VLOOKUP($R57,武学奇术!$A:$ZZ,11,FALSE)+SUM(_xlfn.XLOOKUP($S57:$AL57,增益!$A:$A,增益!$K:$K,0))&gt;0,($F$12-$I$4+VLOOKUP($R57,武学奇术!$A:$ZZ,11,FALSE)+SUM(_xlfn.XLOOKUP($S57:$AL57,增益!$A:$A,增益!$K:$K,0)))/200,($F$12-$I$4+VLOOKUP($R57,武学奇术!$A:$ZZ,11,FALSE)+SUM(_xlfn.XLOOKUP($S57:$AL57,增益!$A:$A,增益!$K:$K,0)))/100)</f>
        <v>0.17</v>
      </c>
      <c r="BF57" s="40" cm="1">
        <f t="array" ref="BF57">$G$12+VLOOKUP($R57,武学奇术!$A:$ZZ,12,FALSE)+SUM(_xlfn.XLOOKUP($S57:$AL57,增益!$A:$A,增益!$L:$L,0))</f>
        <v>0.27</v>
      </c>
      <c r="BG57">
        <f t="shared" si="6"/>
        <v>0</v>
      </c>
      <c r="BH57">
        <f t="shared" si="7"/>
        <v>0</v>
      </c>
      <c r="BI57" s="40" cm="1">
        <f t="array" ref="BI57">IF($F$13-$I$4+VLOOKUP($R57,武学奇术!$A:$ZZ,13,FALSE)+SUM(_xlfn.XLOOKUP($S57:$AL57,增益!$A:$A,增益!$M:$M,0))&gt;0,($F$13-$I$4+VLOOKUP($R57,武学奇术!$A:$ZZ,13,FALSE)+SUM(_xlfn.XLOOKUP($S57:$AL57,增益!$A:$A,增益!$K:$K,0)))/200,($F$13-$I$4+VLOOKUP($R57,武学奇术!$A:$ZZ,13,FALSE)+SUM(_xlfn.XLOOKUP($S57:$AL57,增益!$A:$A,增益!$M:$M,0)))/100)</f>
        <v>-0.14</v>
      </c>
      <c r="BJ57" s="40" cm="1">
        <f t="array" ref="BJ57">$G$13+VLOOKUP($R57,武学奇术!$A:$ZZ,14,FALSE)+SUM(_xlfn.XLOOKUP($S57:$AL57,增益!$A:$A,增益!$N:$N,0))</f>
        <v>0</v>
      </c>
      <c r="BK57">
        <f t="shared" si="8"/>
        <v>0</v>
      </c>
      <c r="BL57">
        <f t="shared" si="9"/>
        <v>0</v>
      </c>
      <c r="BM57" s="40" cm="1">
        <f t="array" ref="BM57">IF($F$14-$I$4+VLOOKUP($R57,武学奇术!$A:$ZZ,15,FALSE)+SUM(_xlfn.XLOOKUP($S57:$AL57,增益!$A:$A,增益!$O:$O,0))&gt;0,($F$14-$I$4+VLOOKUP($R57,武学奇术!$A:$ZZ,15,FALSE)+SUM(_xlfn.XLOOKUP($S57:$AL57,增益!$A:$A,增益!$O:$O,0)))/200,($F$14-$I$4+VLOOKUP($R57,武学奇术!$A:$ZZ,15,FALSE)+SUM(_xlfn.XLOOKUP($S57:$AL57,增益!$A:$A,增益!$O:$O,0)))/100)</f>
        <v>-0.14</v>
      </c>
      <c r="BN57" s="40" cm="1">
        <f t="array" ref="BN57">$G$14+VLOOKUP($R57,武学奇术!$A:$ZZ,16,FALSE)+SUM(_xlfn.XLOOKUP($S57:$AL57,增益!$A:$A,增益!$P:$P,0))</f>
        <v>0</v>
      </c>
      <c r="BO57" s="33">
        <f>MIN(IF(VLOOKUP($R57,武学奇术!$A:$ZZ,23,FALSE)=1,100%,$B$8),100%)</f>
        <v>0.9771</v>
      </c>
      <c r="BP57" s="33" cm="1">
        <f t="array" ref="BP57">IF(VLOOKUP($R57,武学奇术!$A:$ZZ,23,FALSE)=1,100%,MIN(80%,$B$9+VLOOKUP($R57,武学奇术!$A:$ZZ,17,FALSE)+SUM(_xlfn.XLOOKUP($S57:$AL57,增益!$A:$A,增益!$Q:$Q,0)))+$B$11+SUM(_xlfn.XLOOKUP($S57:$AL57,增益!$A:$A,增益!$U:$U,0)))*IF(VLOOKUP($R57,武学奇术!$A:$ZZ,24,FALSE)=1,0,1)</f>
        <v>0.8861</v>
      </c>
      <c r="BQ57" s="33" cm="1">
        <f t="array" ref="BQ57">1+$B$13+VLOOKUP($R57,武学奇术!$A:$ZZ,18,FALSE)+SUM(_xlfn.XLOOKUP($S57:$AL57,增益!$A:$A,增益!$R:$R,0))</f>
        <v>2</v>
      </c>
      <c r="BR57" s="33" cm="1">
        <f t="array" ref="BR57">IF(VLOOKUP($R57,武学奇术!$A:$ZZ,24,FALSE)=1,100%,MIN(40%,$B$10+VLOOKUP($R57,武学奇术!$A:$ZZ,19,FALSE)+SUM(_xlfn.XLOOKUP($S57:$AL57,增益!$A:$A,增益!$S:$S,0)))+$B$12+SUM(_xlfn.XLOOKUP($S57:$AL57,增益!$A:$A,增益!$V:$V,0)))*IF(VLOOKUP($R57,武学奇术!$A:$ZZ,23,FALSE)=1,0,1)</f>
        <v>0.0913</v>
      </c>
      <c r="BS57" s="33" cm="1">
        <f t="array" ref="BS57">1+$B$14+VLOOKUP($R57,武学奇术!$A:$ZZ,20,FALSE)+SUM(_xlfn.XLOOKUP($S57:$AL57,增益!$A:$A,增益!$T:$T,0))</f>
        <v>1.35</v>
      </c>
      <c r="BT57" s="33">
        <f t="shared" si="10"/>
        <v>0.86580831</v>
      </c>
      <c r="BU57" s="33">
        <f t="shared" si="11"/>
        <v>0.02208246</v>
      </c>
      <c r="BV57" s="33">
        <f>IF(VLOOKUP($R57,武学奇术!$A:$ZZ,22,FALSE)=1,0,(1-$BO57))*(1-$BR57)</f>
        <v>0.02080923</v>
      </c>
      <c r="BW57" s="33" cm="1">
        <f t="array" ref="BW57">SUM(_xlfn.XLOOKUP($S57:$AL57,增益!$A:$A,增益!$W:$W,0))+$I$5</f>
        <v>0.31</v>
      </c>
      <c r="BX57" s="33" cm="1">
        <f t="array" ref="BX57">VLOOKUP($R57,武学奇术!$A:$ZZ,32,FALSE)+SUM(_xlfn.XLOOKUP($S57:$AL57,增益!$A:$A,增益!$X:$X,0))</f>
        <v>0</v>
      </c>
    </row>
    <row r="58" spans="4:76">
      <c r="L58" s="46">
        <f t="shared" si="0"/>
        <v>24643.7079282622</v>
      </c>
      <c r="M58" s="46">
        <f>((($AT58+$AU58)/2*$AN58+$AO58)*(1+$AV58)*(1+$AW58)+(($AY58+$AZ58)/2*IF($G$1="鸣金",$AP58,$AN58)+IF($G$1="鸣金",$AQ58*1.5,0))*(1+$BA58)*(1+$BB58)+(($BC58+$BD58)/2*IF($G$1="裂石",$AP58,$AN58)+IF($G$1="裂石",$AQ58*1.5,0))*(1+$BE58)*(1+$BF58)+(($BG58+$BH58)/2*IF($G$1="牵丝",$AP58,$AN58)+IF($G$1="牵丝",$AQ58*1.5,0))*(1+$BI58)*(1+$BJ58)+(($BK58+$BL58)/2*IF($G$1="破竹",$AP58,$AN58)+IF($G$1="破竹",$AQ58*1.5,0))*(1+$BM58)*(1+$BN58))*(1+$AR58)*$BQ58*$Q58*(1+IF(VLOOKUP($R58,武学奇术!$A:$ZZ,30,FALSE)="蓄力技",$B$21,0))*(1+IF(VLOOKUP($R58,武学奇术!$A:$ZZ,30,FALSE)="派生技",$B$20,0))*(1+$BW58)*(1+$BX58)</f>
        <v>25772.0126860639</v>
      </c>
      <c r="N58" s="46">
        <f>(($AU58*$AN58+$AO58)*(1+$AV58)*(1+$AW58)+($AZ58*IF($G$1="鸣金",$AP58,$AN58)+IF($G$1="鸣金",$AQ58*1.5,0))*(1+$BA58)*(1+$BB58)+($BD58*IF($G$1="裂石",$AP58,$AN58)+IF($G$1="裂石",$AQ58*1.5,0))*(1+$BE58)*(1+$BF58)+($BH58*IF($G$1="牵丝",$AP58,$AN58)+IF($G$1="牵丝",$AQ58*1.5,0))*(1+$BI58)*(1+$BJ58)+($BL58*IF($G$1="破竹",$AP58,$AN58)+IF($G$1="破竹",$AQ58*1.5,0))*(1+$BM58)*(1+$BN58))*(1+$AR58)*$BS58*$Q58*(1+IF(VLOOKUP($R58,武学奇术!$A:$ZZ,30,FALSE)="蓄力技",$B$21,0))*(1+IF(VLOOKUP($R58,武学奇术!$A:$ZZ,30,FALSE)="派生技",$B$20,0))*(1+$BW58)*(1+$BX58)</f>
        <v>19888.2479197411</v>
      </c>
      <c r="O58" s="46">
        <f>((($AT58+$AU58)/2*$AN58+$AO58)*(1+$AV58)*(1+$AW58)+(($AY58+$AZ58)/2*IF($G$1="鸣金",$AP58,$AN58)+IF($G$1="鸣金",$AQ58*1.5,0))*(1+$BA58)*(1+$BB58)+(($BC58+$BD58)/2*IF($G$1="裂石",$AP58,$AN58)+IF($G$1="裂石",$AQ58*1.5,0))*(1+$BE58)*(1+$BF58)+(($BG58+$BH58)/2*IF($G$1="牵丝",$AP58,$AN58)+IF($G$1="牵丝",$AQ58*1.5,0))*(1+$BI58)*(1+$BJ58)+(($BK58+$BL58)/2*IF($G$1="破竹",$AP58,$AN58)+IF($G$1="破竹",$AQ58*1.5,0))*(1+$BM58)*(1+$BN58))*(1+$AR58)*$Q58*(1+IF(VLOOKUP($R58,武学奇术!$A:$ZZ,30,FALSE)="蓄力技",$B$21,0))*(1+IF(VLOOKUP($R58,武学奇术!$A:$ZZ,30,FALSE)="派生技",$B$20,0))*(1+$BW58)*(1+$BX58)</f>
        <v>12886.0063430319</v>
      </c>
      <c r="P58" s="46">
        <f>((($AT58*$AN58+$AO58)*(1+$AV58)*(1+$AW58)+($AY58*IF($G$1="鸣金",$AP58,$AN58)+IF($G$1="鸣金",$AQ58*1.5,0))*(1+$BA58)*(1+$BB58)+($BC58*IF($G$1="裂石",$AP58,$AN58)+IF($G$1="裂石",$AQ58*1.5,0))*(1+$BE58)*(1+$BF58)+($BG58*IF($G$1="牵丝",$AP58,$AN58)+IF($G$1="牵丝",$AQ58*1.5,0))*(1+$BI58)*(1+$BJ58)+($BK58*IF($G$1="破竹",$AP58,$AN58)+IF($G$1="破竹",$AQ58*1.5,0))*(1+$BM58)*(1+$BN58))*(1+$AR58))*$Q58*(1+IF(VLOOKUP($R58,武学奇术!$A:$ZZ,30,FALSE)="蓄力技",$B$21,0))*(1+IF(VLOOKUP($R58,武学奇术!$A:$ZZ,30,FALSE)="派生技",$B$20,0))*(1+$BW58)*(1+$BX58)</f>
        <v>11039.9771899594</v>
      </c>
      <c r="Q58" s="47">
        <f t="shared" si="13"/>
        <v>1</v>
      </c>
      <c r="R58" s="48" t="s">
        <v>140</v>
      </c>
      <c r="S58" s="48" t="s">
        <v>99</v>
      </c>
      <c r="T58" s="48" t="s">
        <v>182</v>
      </c>
      <c r="U58" s="48" t="s">
        <v>79</v>
      </c>
      <c r="V58" s="48" t="s">
        <v>90</v>
      </c>
      <c r="W58" s="48" t="s">
        <v>141</v>
      </c>
      <c r="X58" s="48" t="s">
        <v>80</v>
      </c>
      <c r="Y58" s="48" t="s">
        <v>74</v>
      </c>
      <c r="Z58" s="48" t="s">
        <v>80</v>
      </c>
      <c r="AA58" s="48" t="s">
        <v>183</v>
      </c>
      <c r="AB58" s="48" t="s">
        <v>184</v>
      </c>
      <c r="AC58" s="48" t="s">
        <v>80</v>
      </c>
      <c r="AD58" s="48" t="s">
        <v>80</v>
      </c>
      <c r="AE58" s="48" t="s">
        <v>80</v>
      </c>
      <c r="AF58" s="48" t="s">
        <v>83</v>
      </c>
      <c r="AG58" s="48" t="s">
        <v>84</v>
      </c>
      <c r="AH58" s="48" t="s">
        <v>80</v>
      </c>
      <c r="AI58" s="48" t="s">
        <v>80</v>
      </c>
      <c r="AJ58" s="48" t="s">
        <v>80</v>
      </c>
      <c r="AK58" s="48" t="s">
        <v>80</v>
      </c>
      <c r="AL58" s="48" t="s">
        <v>80</v>
      </c>
      <c r="AM58" t="str">
        <f>VLOOKUP($R58,武学奇术!$A:$ZZ,25,FALSE)</f>
        <v>陌刀</v>
      </c>
      <c r="AN58" s="33">
        <f>VLOOKUP($R58,武学奇术!$A:$ZZ,26,FALSE)</f>
        <v>0.525</v>
      </c>
      <c r="AO58" s="34">
        <f>VLOOKUP($R58,武学奇术!$A:$ZZ,27,FALSE)*(1+IF(OR($AM58=$F$4,$AM58=$F$5),$B$22,0))</f>
        <v>0</v>
      </c>
      <c r="AP58" s="33">
        <f>VLOOKUP($R58,武学奇术!$A:$ZZ,28,FALSE)</f>
        <v>0.7875</v>
      </c>
      <c r="AQ58" s="34">
        <f>VLOOKUP($R58,武学奇术!$A:$ZZ,29,FALSE)*(1+IF(OR($AM58=$F$4,$AM58=$F$5),$B$22,0))</f>
        <v>0</v>
      </c>
      <c r="AR58" s="33" cm="1">
        <f t="array" ref="AR58">$G$3+IFERROR(VLOOKUP($AM58,$F$4:$G$7,2,FALSE),0)+VLOOKUP($R58,武学奇术!$A:$ZZ,2,FALSE)+SUM(_xlfn.XLOOKUP($S58:$AL58,增益!$A:$A,增益!$B:$B,0))</f>
        <v>0.6143</v>
      </c>
      <c r="AS58" s="33" cm="1">
        <f t="array" ref="AS58">VLOOKUP($R58,武学奇术!$A:$ZZ,5,FALSE)+SUM(_xlfn.XLOOKUP($S58:$AL58,增益!$A:$A,增益!$E:$E,0))</f>
        <v>0</v>
      </c>
      <c r="AT58" cm="1">
        <f t="array" ref="AT58">$D$10*(1+$AS58)+VLOOKUP($R58,武学奇术!$A:$ZZ,3,FALSE)+SUM(_xlfn.XLOOKUP($S58:$AL58,增益!$A:$A,增益!$C:$C,0))-$I$2</f>
        <v>4026</v>
      </c>
      <c r="AU58" cm="1">
        <f t="array" ref="AU58">$E$10*(1+$AS58)+VLOOKUP($R58,武学奇术!$A:$ZZ,4,FALSE)+SUM(_xlfn.XLOOKUP($S58:$AL58,增益!$A:$A,增益!$D:$D,0))-$I$2</f>
        <v>4026</v>
      </c>
      <c r="AV58" s="40" cm="1">
        <f t="array" ref="AV58">IF($F$10-$I$3+VLOOKUP($R58,武学奇术!$A:$ZZ,6,FALSE)+SUM(_xlfn.XLOOKUP($S58:$AL58,增益!$A:$A,增益!$F:$F,0))&gt;0,($F$10-$I$3+VLOOKUP($R58,武学奇术!$A:$ZZ,6,FALSE)+SUM(_xlfn.XLOOKUP($S58:$AL58,增益!$A:$A,增益!$F:$F,0)))/200,($F$10-$I$3+VLOOKUP($R58,武学奇术!$A:$ZZ,6,FALSE)+SUM(_xlfn.XLOOKUP($S58:$AL58,增益!$A:$A,增益!$F:$F,0)))/100)</f>
        <v>0.3534</v>
      </c>
      <c r="AW58" s="40" cm="1">
        <f t="array" ref="AW58">$G$10+VLOOKUP($R58,武学奇术!$A:$ZZ,7,FALSE)+SUM(_xlfn.XLOOKUP($S58:$AL58,增益!$A:$A,增益!$G:$G,0))</f>
        <v>0.12</v>
      </c>
      <c r="AX58" s="33" cm="1">
        <f t="array" ref="AX58">VLOOKUP($R58,武学奇术!$A:$ZZ,8,FALSE)+SUM(_xlfn.XLOOKUP($S58:$AL58,增益!$A:$A,增益!$H:$H,0))</f>
        <v>0</v>
      </c>
      <c r="AY58">
        <f t="shared" si="2"/>
        <v>0</v>
      </c>
      <c r="AZ58">
        <f t="shared" si="3"/>
        <v>0</v>
      </c>
      <c r="BA58" s="40" cm="1">
        <f t="array" ref="BA58">IF($F$11-$I$4+VLOOKUP($R58,武学奇术!$A:$ZZ,9,FALSE)+SUM(_xlfn.XLOOKUP($S58:$AL58,增益!$A:$A,增益!$I:$I,0))&gt;0,($F$11-$I$4+VLOOKUP($R58,武学奇术!$A:$ZZ,9,FALSE)+SUM(_xlfn.XLOOKUP($S58:$AL58,增益!$A:$A,增益!$I:$I,0)))/200,($F$11-$I$4+VLOOKUP($R58,武学奇术!$A:$ZZ,9,FALSE)+SUM(_xlfn.XLOOKUP($S58:$AL58,增益!$A:$A,增益!$I:$I,0)))/100)</f>
        <v>-0.14</v>
      </c>
      <c r="BB58" s="40" cm="1">
        <f t="array" ref="BB58">$G$11+VLOOKUP($R58,武学奇术!$A:$ZZ,10,FALSE)+SUM(_xlfn.XLOOKUP($S58:$AL58,增益!$A:$A,增益!$J:$J,0))</f>
        <v>0.1</v>
      </c>
      <c r="BC58">
        <f t="shared" si="4"/>
        <v>640.3</v>
      </c>
      <c r="BD58">
        <f t="shared" si="5"/>
        <v>1770.1</v>
      </c>
      <c r="BE58" s="40" cm="1">
        <f t="array" ref="BE58">IF($F$12-$I$4+VLOOKUP($R58,武学奇术!$A:$ZZ,11,FALSE)+SUM(_xlfn.XLOOKUP($S58:$AL58,增益!$A:$A,增益!$K:$K,0))&gt;0,($F$12-$I$4+VLOOKUP($R58,武学奇术!$A:$ZZ,11,FALSE)+SUM(_xlfn.XLOOKUP($S58:$AL58,增益!$A:$A,增益!$K:$K,0)))/200,($F$12-$I$4+VLOOKUP($R58,武学奇术!$A:$ZZ,11,FALSE)+SUM(_xlfn.XLOOKUP($S58:$AL58,增益!$A:$A,增益!$K:$K,0)))/100)</f>
        <v>0.17</v>
      </c>
      <c r="BF58" s="40" cm="1">
        <f t="array" ref="BF58">$G$12+VLOOKUP($R58,武学奇术!$A:$ZZ,12,FALSE)+SUM(_xlfn.XLOOKUP($S58:$AL58,增益!$A:$A,增益!$L:$L,0))</f>
        <v>0.27</v>
      </c>
      <c r="BG58">
        <f t="shared" si="6"/>
        <v>0</v>
      </c>
      <c r="BH58">
        <f t="shared" si="7"/>
        <v>0</v>
      </c>
      <c r="BI58" s="40" cm="1">
        <f t="array" ref="BI58">IF($F$13-$I$4+VLOOKUP($R58,武学奇术!$A:$ZZ,13,FALSE)+SUM(_xlfn.XLOOKUP($S58:$AL58,增益!$A:$A,增益!$M:$M,0))&gt;0,($F$13-$I$4+VLOOKUP($R58,武学奇术!$A:$ZZ,13,FALSE)+SUM(_xlfn.XLOOKUP($S58:$AL58,增益!$A:$A,增益!$K:$K,0)))/200,($F$13-$I$4+VLOOKUP($R58,武学奇术!$A:$ZZ,13,FALSE)+SUM(_xlfn.XLOOKUP($S58:$AL58,增益!$A:$A,增益!$M:$M,0)))/100)</f>
        <v>-0.14</v>
      </c>
      <c r="BJ58" s="40" cm="1">
        <f t="array" ref="BJ58">$G$13+VLOOKUP($R58,武学奇术!$A:$ZZ,14,FALSE)+SUM(_xlfn.XLOOKUP($S58:$AL58,增益!$A:$A,增益!$N:$N,0))</f>
        <v>0</v>
      </c>
      <c r="BK58">
        <f t="shared" si="8"/>
        <v>0</v>
      </c>
      <c r="BL58">
        <f t="shared" si="9"/>
        <v>0</v>
      </c>
      <c r="BM58" s="40" cm="1">
        <f t="array" ref="BM58">IF($F$14-$I$4+VLOOKUP($R58,武学奇术!$A:$ZZ,15,FALSE)+SUM(_xlfn.XLOOKUP($S58:$AL58,增益!$A:$A,增益!$O:$O,0))&gt;0,($F$14-$I$4+VLOOKUP($R58,武学奇术!$A:$ZZ,15,FALSE)+SUM(_xlfn.XLOOKUP($S58:$AL58,增益!$A:$A,增益!$O:$O,0)))/200,($F$14-$I$4+VLOOKUP($R58,武学奇术!$A:$ZZ,15,FALSE)+SUM(_xlfn.XLOOKUP($S58:$AL58,增益!$A:$A,增益!$O:$O,0)))/100)</f>
        <v>-0.14</v>
      </c>
      <c r="BN58" s="40" cm="1">
        <f t="array" ref="BN58">$G$14+VLOOKUP($R58,武学奇术!$A:$ZZ,16,FALSE)+SUM(_xlfn.XLOOKUP($S58:$AL58,增益!$A:$A,增益!$P:$P,0))</f>
        <v>0</v>
      </c>
      <c r="BO58" s="33">
        <f>MIN(IF(VLOOKUP($R58,武学奇术!$A:$ZZ,23,FALSE)=1,100%,$B$8),100%)</f>
        <v>0.9771</v>
      </c>
      <c r="BP58" s="33" cm="1">
        <f t="array" ref="BP58">IF(VLOOKUP($R58,武学奇术!$A:$ZZ,23,FALSE)=1,100%,MIN(80%,$B$9+VLOOKUP($R58,武学奇术!$A:$ZZ,17,FALSE)+SUM(_xlfn.XLOOKUP($S58:$AL58,增益!$A:$A,增益!$Q:$Q,0)))+$B$11+SUM(_xlfn.XLOOKUP($S58:$AL58,增益!$A:$A,增益!$U:$U,0)))*IF(VLOOKUP($R58,武学奇术!$A:$ZZ,24,FALSE)=1,0,1)</f>
        <v>0.8861</v>
      </c>
      <c r="BQ58" s="33" cm="1">
        <f t="array" ref="BQ58">1+$B$13+VLOOKUP($R58,武学奇术!$A:$ZZ,18,FALSE)+SUM(_xlfn.XLOOKUP($S58:$AL58,增益!$A:$A,增益!$R:$R,0))</f>
        <v>2</v>
      </c>
      <c r="BR58" s="33" cm="1">
        <f t="array" ref="BR58">IF(VLOOKUP($R58,武学奇术!$A:$ZZ,24,FALSE)=1,100%,MIN(40%,$B$10+VLOOKUP($R58,武学奇术!$A:$ZZ,19,FALSE)+SUM(_xlfn.XLOOKUP($S58:$AL58,增益!$A:$A,增益!$S:$S,0)))+$B$12+SUM(_xlfn.XLOOKUP($S58:$AL58,增益!$A:$A,增益!$V:$V,0)))*IF(VLOOKUP($R58,武学奇术!$A:$ZZ,23,FALSE)=1,0,1)</f>
        <v>0.0913</v>
      </c>
      <c r="BS58" s="33" cm="1">
        <f t="array" ref="BS58">1+$B$14+VLOOKUP($R58,武学奇术!$A:$ZZ,20,FALSE)+SUM(_xlfn.XLOOKUP($S58:$AL58,增益!$A:$A,增益!$T:$T,0))</f>
        <v>1.35</v>
      </c>
      <c r="BT58" s="33">
        <f t="shared" si="10"/>
        <v>0.86580831</v>
      </c>
      <c r="BU58" s="33">
        <f t="shared" si="11"/>
        <v>0.02208246</v>
      </c>
      <c r="BV58" s="33">
        <f>IF(VLOOKUP($R58,武学奇术!$A:$ZZ,22,FALSE)=1,0,(1-$BO58))*(1-$BR58)</f>
        <v>0.02080923</v>
      </c>
      <c r="BW58" s="33" cm="1">
        <f t="array" ref="BW58">SUM(_xlfn.XLOOKUP($S58:$AL58,增益!$A:$A,增益!$W:$W,0))+$I$5</f>
        <v>0.31</v>
      </c>
      <c r="BX58" s="33" cm="1">
        <f t="array" ref="BX58">VLOOKUP($R58,武学奇术!$A:$ZZ,32,FALSE)+SUM(_xlfn.XLOOKUP($S58:$AL58,增益!$A:$A,增益!$X:$X,0))</f>
        <v>0</v>
      </c>
    </row>
    <row r="59" spans="4:76">
      <c r="L59" s="46">
        <f t="shared" si="0"/>
        <v>44358.674270872</v>
      </c>
      <c r="M59" s="46">
        <f>((($AT59+$AU59)/2*$AN59+$AO59)*(1+$AV59)*(1+$AW59)+(($AY59+$AZ59)/2*IF($G$1="鸣金",$AP59,$AN59)+IF($G$1="鸣金",$AQ59*1.5,0))*(1+$BA59)*(1+$BB59)+(($BC59+$BD59)/2*IF($G$1="裂石",$AP59,$AN59)+IF($G$1="裂石",$AQ59*1.5,0))*(1+$BE59)*(1+$BF59)+(($BG59+$BH59)/2*IF($G$1="牵丝",$AP59,$AN59)+IF($G$1="牵丝",$AQ59*1.5,0))*(1+$BI59)*(1+$BJ59)+(($BK59+$BL59)/2*IF($G$1="破竹",$AP59,$AN59)+IF($G$1="破竹",$AQ59*1.5,0))*(1+$BM59)*(1+$BN59))*(1+$AR59)*$BQ59*$Q59*(1+IF(VLOOKUP($R59,武学奇术!$A:$ZZ,30,FALSE)="蓄力技",$B$21,0))*(1+IF(VLOOKUP($R59,武学奇术!$A:$ZZ,30,FALSE)="派生技",$B$20,0))*(1+$BW59)*(1+$BX59)</f>
        <v>46389.622834915</v>
      </c>
      <c r="N59" s="46">
        <f>(($AU59*$AN59+$AO59)*(1+$AV59)*(1+$AW59)+($AZ59*IF($G$1="鸣金",$AP59,$AN59)+IF($G$1="鸣金",$AQ59*1.5,0))*(1+$BA59)*(1+$BB59)+($BD59*IF($G$1="裂石",$AP59,$AN59)+IF($G$1="裂石",$AQ59*1.5,0))*(1+$BE59)*(1+$BF59)+($BH59*IF($G$1="牵丝",$AP59,$AN59)+IF($G$1="牵丝",$AQ59*1.5,0))*(1+$BI59)*(1+$BJ59)+($BL59*IF($G$1="破竹",$AP59,$AN59)+IF($G$1="破竹",$AQ59*1.5,0))*(1+$BM59)*(1+$BN59))*(1+$AR59)*$BS59*$Q59*(1+IF(VLOOKUP($R59,武学奇术!$A:$ZZ,30,FALSE)="蓄力技",$B$21,0))*(1+IF(VLOOKUP($R59,武学奇术!$A:$ZZ,30,FALSE)="派生技",$B$20,0))*(1+$BW59)*(1+$BX59)</f>
        <v>35798.8462555339</v>
      </c>
      <c r="O59" s="46">
        <f>((($AT59+$AU59)/2*$AN59+$AO59)*(1+$AV59)*(1+$AW59)+(($AY59+$AZ59)/2*IF($G$1="鸣金",$AP59,$AN59)+IF($G$1="鸣金",$AQ59*1.5,0))*(1+$BA59)*(1+$BB59)+(($BC59+$BD59)/2*IF($G$1="裂石",$AP59,$AN59)+IF($G$1="裂石",$AQ59*1.5,0))*(1+$BE59)*(1+$BF59)+(($BG59+$BH59)/2*IF($G$1="牵丝",$AP59,$AN59)+IF($G$1="牵丝",$AQ59*1.5,0))*(1+$BI59)*(1+$BJ59)+(($BK59+$BL59)/2*IF($G$1="破竹",$AP59,$AN59)+IF($G$1="破竹",$AQ59*1.5,0))*(1+$BM59)*(1+$BN59))*(1+$AR59)*$Q59*(1+IF(VLOOKUP($R59,武学奇术!$A:$ZZ,30,FALSE)="蓄力技",$B$21,0))*(1+IF(VLOOKUP($R59,武学奇术!$A:$ZZ,30,FALSE)="派生技",$B$20,0))*(1+$BW59)*(1+$BX59)</f>
        <v>23194.8114174575</v>
      </c>
      <c r="P59" s="46">
        <f>((($AT59*$AN59+$AO59)*(1+$AV59)*(1+$AW59)+($AY59*IF($G$1="鸣金",$AP59,$AN59)+IF($G$1="鸣金",$AQ59*1.5,0))*(1+$BA59)*(1+$BB59)+($BC59*IF($G$1="裂石",$AP59,$AN59)+IF($G$1="裂石",$AQ59*1.5,0))*(1+$BE59)*(1+$BF59)+($BG59*IF($G$1="牵丝",$AP59,$AN59)+IF($G$1="牵丝",$AQ59*1.5,0))*(1+$BI59)*(1+$BJ59)+($BK59*IF($G$1="破竹",$AP59,$AN59)+IF($G$1="破竹",$AQ59*1.5,0))*(1+$BM59)*(1+$BN59))*(1+$AR59))*$Q59*(1+IF(VLOOKUP($R59,武学奇术!$A:$ZZ,30,FALSE)="蓄力技",$B$21,0))*(1+IF(VLOOKUP($R59,武学奇术!$A:$ZZ,30,FALSE)="派生技",$B$20,0))*(1+$BW59)*(1+$BX59)</f>
        <v>19871.9589419269</v>
      </c>
      <c r="Q59" s="47">
        <f t="shared" si="13"/>
        <v>1</v>
      </c>
      <c r="R59" s="48" t="s">
        <v>169</v>
      </c>
      <c r="S59" s="48" t="s">
        <v>99</v>
      </c>
      <c r="T59" s="48" t="s">
        <v>182</v>
      </c>
      <c r="U59" s="48" t="s">
        <v>79</v>
      </c>
      <c r="V59" s="48" t="s">
        <v>90</v>
      </c>
      <c r="W59" s="48" t="s">
        <v>141</v>
      </c>
      <c r="X59" s="48" t="s">
        <v>80</v>
      </c>
      <c r="Y59" s="48" t="s">
        <v>74</v>
      </c>
      <c r="Z59" s="48" t="s">
        <v>80</v>
      </c>
      <c r="AA59" s="48" t="s">
        <v>183</v>
      </c>
      <c r="AB59" s="48" t="s">
        <v>184</v>
      </c>
      <c r="AC59" s="48" t="s">
        <v>80</v>
      </c>
      <c r="AD59" s="48" t="s">
        <v>80</v>
      </c>
      <c r="AE59" s="48" t="s">
        <v>80</v>
      </c>
      <c r="AF59" s="48" t="s">
        <v>83</v>
      </c>
      <c r="AG59" s="48" t="s">
        <v>84</v>
      </c>
      <c r="AH59" s="48" t="s">
        <v>80</v>
      </c>
      <c r="AI59" s="48" t="s">
        <v>80</v>
      </c>
      <c r="AJ59" s="48" t="s">
        <v>80</v>
      </c>
      <c r="AK59" s="48" t="s">
        <v>80</v>
      </c>
      <c r="AL59" s="48" t="s">
        <v>80</v>
      </c>
      <c r="AM59" t="str">
        <f>VLOOKUP($R59,武学奇术!$A:$ZZ,25,FALSE)</f>
        <v>陌刀</v>
      </c>
      <c r="AN59" s="33">
        <f>VLOOKUP($R59,武学奇术!$A:$ZZ,26,FALSE)</f>
        <v>0.945</v>
      </c>
      <c r="AO59" s="34">
        <f>VLOOKUP($R59,武学奇术!$A:$ZZ,27,FALSE)*(1+IF(OR($AM59=$F$4,$AM59=$F$5),$B$22,0))</f>
        <v>0</v>
      </c>
      <c r="AP59" s="33">
        <f>VLOOKUP($R59,武学奇术!$A:$ZZ,28,FALSE)</f>
        <v>1.4175</v>
      </c>
      <c r="AQ59" s="34">
        <f>VLOOKUP($R59,武学奇术!$A:$ZZ,29,FALSE)*(1+IF(OR($AM59=$F$4,$AM59=$F$5),$B$22,0))</f>
        <v>0</v>
      </c>
      <c r="AR59" s="33" cm="1">
        <f t="array" ref="AR59">$G$3+IFERROR(VLOOKUP($AM59,$F$4:$G$7,2,FALSE),0)+VLOOKUP($R59,武学奇术!$A:$ZZ,2,FALSE)+SUM(_xlfn.XLOOKUP($S59:$AL59,增益!$A:$A,增益!$B:$B,0))</f>
        <v>0.6143</v>
      </c>
      <c r="AS59" s="33" cm="1">
        <f t="array" ref="AS59">VLOOKUP($R59,武学奇术!$A:$ZZ,5,FALSE)+SUM(_xlfn.XLOOKUP($S59:$AL59,增益!$A:$A,增益!$E:$E,0))</f>
        <v>0</v>
      </c>
      <c r="AT59" cm="1">
        <f t="array" ref="AT59">$D$10*(1+$AS59)+VLOOKUP($R59,武学奇术!$A:$ZZ,3,FALSE)+SUM(_xlfn.XLOOKUP($S59:$AL59,增益!$A:$A,增益!$C:$C,0))-$I$2</f>
        <v>4026</v>
      </c>
      <c r="AU59" cm="1">
        <f t="array" ref="AU59">$E$10*(1+$AS59)+VLOOKUP($R59,武学奇术!$A:$ZZ,4,FALSE)+SUM(_xlfn.XLOOKUP($S59:$AL59,增益!$A:$A,增益!$D:$D,0))-$I$2</f>
        <v>4026</v>
      </c>
      <c r="AV59" s="40" cm="1">
        <f t="array" ref="AV59">IF($F$10-$I$3+VLOOKUP($R59,武学奇术!$A:$ZZ,6,FALSE)+SUM(_xlfn.XLOOKUP($S59:$AL59,增益!$A:$A,增益!$F:$F,0))&gt;0,($F$10-$I$3+VLOOKUP($R59,武学奇术!$A:$ZZ,6,FALSE)+SUM(_xlfn.XLOOKUP($S59:$AL59,增益!$A:$A,增益!$F:$F,0)))/200,($F$10-$I$3+VLOOKUP($R59,武学奇术!$A:$ZZ,6,FALSE)+SUM(_xlfn.XLOOKUP($S59:$AL59,增益!$A:$A,增益!$F:$F,0)))/100)</f>
        <v>0.3534</v>
      </c>
      <c r="AW59" s="40" cm="1">
        <f t="array" ref="AW59">$G$10+VLOOKUP($R59,武学奇术!$A:$ZZ,7,FALSE)+SUM(_xlfn.XLOOKUP($S59:$AL59,增益!$A:$A,增益!$G:$G,0))</f>
        <v>0.12</v>
      </c>
      <c r="AX59" s="33" cm="1">
        <f t="array" ref="AX59">VLOOKUP($R59,武学奇术!$A:$ZZ,8,FALSE)+SUM(_xlfn.XLOOKUP($S59:$AL59,增益!$A:$A,增益!$H:$H,0))</f>
        <v>0</v>
      </c>
      <c r="AY59">
        <f t="shared" si="2"/>
        <v>0</v>
      </c>
      <c r="AZ59">
        <f t="shared" si="3"/>
        <v>0</v>
      </c>
      <c r="BA59" s="40" cm="1">
        <f t="array" ref="BA59">IF($F$11-$I$4+VLOOKUP($R59,武学奇术!$A:$ZZ,9,FALSE)+SUM(_xlfn.XLOOKUP($S59:$AL59,增益!$A:$A,增益!$I:$I,0))&gt;0,($F$11-$I$4+VLOOKUP($R59,武学奇术!$A:$ZZ,9,FALSE)+SUM(_xlfn.XLOOKUP($S59:$AL59,增益!$A:$A,增益!$I:$I,0)))/200,($F$11-$I$4+VLOOKUP($R59,武学奇术!$A:$ZZ,9,FALSE)+SUM(_xlfn.XLOOKUP($S59:$AL59,增益!$A:$A,增益!$I:$I,0)))/100)</f>
        <v>-0.14</v>
      </c>
      <c r="BB59" s="40" cm="1">
        <f t="array" ref="BB59">$G$11+VLOOKUP($R59,武学奇术!$A:$ZZ,10,FALSE)+SUM(_xlfn.XLOOKUP($S59:$AL59,增益!$A:$A,增益!$J:$J,0))</f>
        <v>0.1</v>
      </c>
      <c r="BC59">
        <f t="shared" si="4"/>
        <v>640.3</v>
      </c>
      <c r="BD59">
        <f t="shared" si="5"/>
        <v>1770.1</v>
      </c>
      <c r="BE59" s="40" cm="1">
        <f t="array" ref="BE59">IF($F$12-$I$4+VLOOKUP($R59,武学奇术!$A:$ZZ,11,FALSE)+SUM(_xlfn.XLOOKUP($S59:$AL59,增益!$A:$A,增益!$K:$K,0))&gt;0,($F$12-$I$4+VLOOKUP($R59,武学奇术!$A:$ZZ,11,FALSE)+SUM(_xlfn.XLOOKUP($S59:$AL59,增益!$A:$A,增益!$K:$K,0)))/200,($F$12-$I$4+VLOOKUP($R59,武学奇术!$A:$ZZ,11,FALSE)+SUM(_xlfn.XLOOKUP($S59:$AL59,增益!$A:$A,增益!$K:$K,0)))/100)</f>
        <v>0.17</v>
      </c>
      <c r="BF59" s="40" cm="1">
        <f t="array" ref="BF59">$G$12+VLOOKUP($R59,武学奇术!$A:$ZZ,12,FALSE)+SUM(_xlfn.XLOOKUP($S59:$AL59,增益!$A:$A,增益!$L:$L,0))</f>
        <v>0.27</v>
      </c>
      <c r="BG59">
        <f t="shared" si="6"/>
        <v>0</v>
      </c>
      <c r="BH59">
        <f t="shared" si="7"/>
        <v>0</v>
      </c>
      <c r="BI59" s="40" cm="1">
        <f t="array" ref="BI59">IF($F$13-$I$4+VLOOKUP($R59,武学奇术!$A:$ZZ,13,FALSE)+SUM(_xlfn.XLOOKUP($S59:$AL59,增益!$A:$A,增益!$M:$M,0))&gt;0,($F$13-$I$4+VLOOKUP($R59,武学奇术!$A:$ZZ,13,FALSE)+SUM(_xlfn.XLOOKUP($S59:$AL59,增益!$A:$A,增益!$K:$K,0)))/200,($F$13-$I$4+VLOOKUP($R59,武学奇术!$A:$ZZ,13,FALSE)+SUM(_xlfn.XLOOKUP($S59:$AL59,增益!$A:$A,增益!$M:$M,0)))/100)</f>
        <v>-0.14</v>
      </c>
      <c r="BJ59" s="40" cm="1">
        <f t="array" ref="BJ59">$G$13+VLOOKUP($R59,武学奇术!$A:$ZZ,14,FALSE)+SUM(_xlfn.XLOOKUP($S59:$AL59,增益!$A:$A,增益!$N:$N,0))</f>
        <v>0</v>
      </c>
      <c r="BK59">
        <f t="shared" si="8"/>
        <v>0</v>
      </c>
      <c r="BL59">
        <f t="shared" si="9"/>
        <v>0</v>
      </c>
      <c r="BM59" s="40" cm="1">
        <f t="array" ref="BM59">IF($F$14-$I$4+VLOOKUP($R59,武学奇术!$A:$ZZ,15,FALSE)+SUM(_xlfn.XLOOKUP($S59:$AL59,增益!$A:$A,增益!$O:$O,0))&gt;0,($F$14-$I$4+VLOOKUP($R59,武学奇术!$A:$ZZ,15,FALSE)+SUM(_xlfn.XLOOKUP($S59:$AL59,增益!$A:$A,增益!$O:$O,0)))/200,($F$14-$I$4+VLOOKUP($R59,武学奇术!$A:$ZZ,15,FALSE)+SUM(_xlfn.XLOOKUP($S59:$AL59,增益!$A:$A,增益!$O:$O,0)))/100)</f>
        <v>-0.14</v>
      </c>
      <c r="BN59" s="40" cm="1">
        <f t="array" ref="BN59">$G$14+VLOOKUP($R59,武学奇术!$A:$ZZ,16,FALSE)+SUM(_xlfn.XLOOKUP($S59:$AL59,增益!$A:$A,增益!$P:$P,0))</f>
        <v>0</v>
      </c>
      <c r="BO59" s="33">
        <f>MIN(IF(VLOOKUP($R59,武学奇术!$A:$ZZ,23,FALSE)=1,100%,$B$8),100%)</f>
        <v>0.9771</v>
      </c>
      <c r="BP59" s="33" cm="1">
        <f t="array" ref="BP59">IF(VLOOKUP($R59,武学奇术!$A:$ZZ,23,FALSE)=1,100%,MIN(80%,$B$9+VLOOKUP($R59,武学奇术!$A:$ZZ,17,FALSE)+SUM(_xlfn.XLOOKUP($S59:$AL59,增益!$A:$A,增益!$Q:$Q,0)))+$B$11+SUM(_xlfn.XLOOKUP($S59:$AL59,增益!$A:$A,增益!$U:$U,0)))*IF(VLOOKUP($R59,武学奇术!$A:$ZZ,24,FALSE)=1,0,1)</f>
        <v>0.8861</v>
      </c>
      <c r="BQ59" s="33" cm="1">
        <f t="array" ref="BQ59">1+$B$13+VLOOKUP($R59,武学奇术!$A:$ZZ,18,FALSE)+SUM(_xlfn.XLOOKUP($S59:$AL59,增益!$A:$A,增益!$R:$R,0))</f>
        <v>2</v>
      </c>
      <c r="BR59" s="33" cm="1">
        <f t="array" ref="BR59">IF(VLOOKUP($R59,武学奇术!$A:$ZZ,24,FALSE)=1,100%,MIN(40%,$B$10+VLOOKUP($R59,武学奇术!$A:$ZZ,19,FALSE)+SUM(_xlfn.XLOOKUP($S59:$AL59,增益!$A:$A,增益!$S:$S,0)))+$B$12+SUM(_xlfn.XLOOKUP($S59:$AL59,增益!$A:$A,增益!$V:$V,0)))*IF(VLOOKUP($R59,武学奇术!$A:$ZZ,23,FALSE)=1,0,1)</f>
        <v>0.0913</v>
      </c>
      <c r="BS59" s="33" cm="1">
        <f t="array" ref="BS59">1+$B$14+VLOOKUP($R59,武学奇术!$A:$ZZ,20,FALSE)+SUM(_xlfn.XLOOKUP($S59:$AL59,增益!$A:$A,增益!$T:$T,0))</f>
        <v>1.35</v>
      </c>
      <c r="BT59" s="33">
        <f t="shared" si="10"/>
        <v>0.86580831</v>
      </c>
      <c r="BU59" s="33">
        <f t="shared" si="11"/>
        <v>0.02208246</v>
      </c>
      <c r="BV59" s="33">
        <f>IF(VLOOKUP($R59,武学奇术!$A:$ZZ,22,FALSE)=1,0,(1-$BO59))*(1-$BR59)</f>
        <v>0.02080923</v>
      </c>
      <c r="BW59" s="33" cm="1">
        <f t="array" ref="BW59">SUM(_xlfn.XLOOKUP($S59:$AL59,增益!$A:$A,增益!$W:$W,0))+$I$5</f>
        <v>0.31</v>
      </c>
      <c r="BX59" s="33" cm="1">
        <f t="array" ref="BX59">VLOOKUP($R59,武学奇术!$A:$ZZ,32,FALSE)+SUM(_xlfn.XLOOKUP($S59:$AL59,增益!$A:$A,增益!$X:$X,0))</f>
        <v>0</v>
      </c>
    </row>
    <row r="60" spans="4:76">
      <c r="L60" s="46">
        <f t="shared" si="0"/>
        <v>375083.768705187</v>
      </c>
      <c r="M60" s="46">
        <f>((($AT60+$AU60)/2*$AN60+$AO60)*(1+$AV60)*(1+$AW60)+(($AY60+$AZ60)/2*IF($G$1="鸣金",$AP60,$AN60)+IF($G$1="鸣金",$AQ60*1.5,0))*(1+$BA60)*(1+$BB60)+(($BC60+$BD60)/2*IF($G$1="裂石",$AP60,$AN60)+IF($G$1="裂石",$AQ60*1.5,0))*(1+$BE60)*(1+$BF60)+(($BG60+$BH60)/2*IF($G$1="牵丝",$AP60,$AN60)+IF($G$1="牵丝",$AQ60*1.5,0))*(1+$BI60)*(1+$BJ60)+(($BK60+$BL60)/2*IF($G$1="破竹",$AP60,$AN60)+IF($G$1="破竹",$AQ60*1.5,0))*(1+$BM60)*(1+$BN60))*(1+$AR60)*$BQ60*$Q60*(1+IF(VLOOKUP($R60,武学奇术!$A:$ZZ,30,FALSE)="蓄力技",$B$21,0))*(1+IF(VLOOKUP($R60,武学奇术!$A:$ZZ,30,FALSE)="派生技",$B$20,0))*(1+$BW60)*(1+$BX60)</f>
        <v>392746.584167473</v>
      </c>
      <c r="N60" s="46">
        <f>(($AU60*$AN60+$AO60)*(1+$AV60)*(1+$AW60)+($AZ60*IF($G$1="鸣金",$AP60,$AN60)+IF($G$1="鸣金",$AQ60*1.5,0))*(1+$BA60)*(1+$BB60)+($BD60*IF($G$1="裂石",$AP60,$AN60)+IF($G$1="裂石",$AQ60*1.5,0))*(1+$BE60)*(1+$BF60)+($BH60*IF($G$1="牵丝",$AP60,$AN60)+IF($G$1="牵丝",$AQ60*1.5,0))*(1+$BI60)*(1+$BJ60)+($BL60*IF($G$1="破竹",$AP60,$AN60)+IF($G$1="破竹",$AQ60*1.5,0))*(1+$BM60)*(1+$BN60))*(1+$AR60)*$BS60*$Q60*(1+IF(VLOOKUP($R60,武学奇术!$A:$ZZ,30,FALSE)="蓄力技",$B$21,0))*(1+IF(VLOOKUP($R60,武学奇术!$A:$ZZ,30,FALSE)="派生技",$B$20,0))*(1+$BW60)*(1+$BX60)</f>
        <v>296911.493794345</v>
      </c>
      <c r="O60" s="46">
        <f>((($AT60+$AU60)/2*$AN60+$AO60)*(1+$AV60)*(1+$AW60)+(($AY60+$AZ60)/2*IF($G$1="鸣金",$AP60,$AN60)+IF($G$1="鸣金",$AQ60*1.5,0))*(1+$BA60)*(1+$BB60)+(($BC60+$BD60)/2*IF($G$1="裂石",$AP60,$AN60)+IF($G$1="裂石",$AQ60*1.5,0))*(1+$BE60)*(1+$BF60)+(($BG60+$BH60)/2*IF($G$1="牵丝",$AP60,$AN60)+IF($G$1="牵丝",$AQ60*1.5,0))*(1+$BI60)*(1+$BJ60)+(($BK60+$BL60)/2*IF($G$1="破竹",$AP60,$AN60)+IF($G$1="破竹",$AQ60*1.5,0))*(1+$BM60)*(1+$BN60))*(1+$AR60)*$Q60*(1+IF(VLOOKUP($R60,武学奇术!$A:$ZZ,30,FALSE)="蓄力技",$B$21,0))*(1+IF(VLOOKUP($R60,武学奇术!$A:$ZZ,30,FALSE)="派生技",$B$20,0))*(1+$BW60)*(1+$BX60)</f>
        <v>196373.292083736</v>
      </c>
      <c r="P60" s="46">
        <f>((($AT60*$AN60+$AO60)*(1+$AV60)*(1+$AW60)+($AY60*IF($G$1="鸣金",$AP60,$AN60)+IF($G$1="鸣金",$AQ60*1.5,0))*(1+$BA60)*(1+$BB60)+($BC60*IF($G$1="裂石",$AP60,$AN60)+IF($G$1="裂石",$AQ60*1.5,0))*(1+$BE60)*(1+$BF60)+($BG60*IF($G$1="牵丝",$AP60,$AN60)+IF($G$1="牵丝",$AQ60*1.5,0))*(1+$BI60)*(1+$BJ60)+($BK60*IF($G$1="破竹",$AP60,$AN60)+IF($G$1="破竹",$AQ60*1.5,0))*(1+$BM60)*(1+$BN60))*(1+$AR60))*$Q60*(1+IF(VLOOKUP($R60,武学奇术!$A:$ZZ,30,FALSE)="蓄力技",$B$21,0))*(1+IF(VLOOKUP($R60,武学奇术!$A:$ZZ,30,FALSE)="派生技",$B$20,0))*(1+$BW60)*(1+$BX60)</f>
        <v>172812.14431981</v>
      </c>
      <c r="Q60" s="47">
        <f t="shared" si="13"/>
        <v>1</v>
      </c>
      <c r="R60" s="48" t="s">
        <v>185</v>
      </c>
      <c r="S60" s="48" t="s">
        <v>99</v>
      </c>
      <c r="T60" s="48" t="s">
        <v>182</v>
      </c>
      <c r="U60" s="48" t="s">
        <v>79</v>
      </c>
      <c r="V60" s="48" t="s">
        <v>80</v>
      </c>
      <c r="W60" s="48" t="s">
        <v>141</v>
      </c>
      <c r="X60" s="48" t="s">
        <v>80</v>
      </c>
      <c r="Y60" s="48" t="s">
        <v>74</v>
      </c>
      <c r="Z60" s="48" t="s">
        <v>80</v>
      </c>
      <c r="AA60" s="48" t="s">
        <v>183</v>
      </c>
      <c r="AB60" s="48" t="s">
        <v>184</v>
      </c>
      <c r="AC60" s="48" t="s">
        <v>80</v>
      </c>
      <c r="AD60" s="48" t="s">
        <v>80</v>
      </c>
      <c r="AE60" s="48" t="s">
        <v>80</v>
      </c>
      <c r="AF60" s="48" t="s">
        <v>83</v>
      </c>
      <c r="AG60" s="48" t="s">
        <v>84</v>
      </c>
      <c r="AH60" s="48" t="s">
        <v>80</v>
      </c>
      <c r="AI60" s="48" t="s">
        <v>80</v>
      </c>
      <c r="AJ60" s="48" t="s">
        <v>80</v>
      </c>
      <c r="AK60" s="48" t="s">
        <v>80</v>
      </c>
      <c r="AL60" s="48" t="s">
        <v>80</v>
      </c>
      <c r="AM60" t="str">
        <f>VLOOKUP($R60,武学奇术!$A:$ZZ,25,FALSE)</f>
        <v>陌刀</v>
      </c>
      <c r="AN60" s="33">
        <f>VLOOKUP($R60,武学奇术!$A:$ZZ,26,FALSE)</f>
        <v>7.5674</v>
      </c>
      <c r="AO60" s="34">
        <f>VLOOKUP($R60,武学奇术!$A:$ZZ,27,FALSE)*(1+IF(OR($AM60=$F$4,$AM60=$F$5),$B$22,0))</f>
        <v>3348.8</v>
      </c>
      <c r="AP60" s="33">
        <f>VLOOKUP($R60,武学奇术!$A:$ZZ,28,FALSE)</f>
        <v>11.3512</v>
      </c>
      <c r="AQ60" s="34">
        <f>VLOOKUP($R60,武学奇术!$A:$ZZ,29,FALSE)*(1+IF(OR($AM60=$F$4,$AM60=$F$5),$B$22,0))</f>
        <v>1824</v>
      </c>
      <c r="AR60" s="33" cm="1">
        <f t="array" ref="AR60">$G$3+IFERROR(VLOOKUP($AM60,$F$4:$G$7,2,FALSE),0)+VLOOKUP($R60,武学奇术!$A:$ZZ,2,FALSE)+SUM(_xlfn.XLOOKUP($S60:$AL60,增益!$A:$A,增益!$B:$B,0))</f>
        <v>0.5343</v>
      </c>
      <c r="AS60" s="33" cm="1">
        <f t="array" ref="AS60">VLOOKUP($R60,武学奇术!$A:$ZZ,5,FALSE)+SUM(_xlfn.XLOOKUP($S60:$AL60,增益!$A:$A,增益!$E:$E,0))</f>
        <v>0</v>
      </c>
      <c r="AT60" cm="1">
        <f t="array" ref="AT60">$D$10*(1+$AS60)+VLOOKUP($R60,武学奇术!$A:$ZZ,3,FALSE)+SUM(_xlfn.XLOOKUP($S60:$AL60,增益!$A:$A,增益!$C:$C,0))-$I$2</f>
        <v>4026</v>
      </c>
      <c r="AU60" cm="1">
        <f t="array" ref="AU60">$E$10*(1+$AS60)+VLOOKUP($R60,武学奇术!$A:$ZZ,4,FALSE)+SUM(_xlfn.XLOOKUP($S60:$AL60,增益!$A:$A,增益!$D:$D,0))-$I$2</f>
        <v>4026</v>
      </c>
      <c r="AV60" s="40" cm="1">
        <f t="array" ref="AV60">IF($F$10-$I$3+VLOOKUP($R60,武学奇术!$A:$ZZ,6,FALSE)+SUM(_xlfn.XLOOKUP($S60:$AL60,增益!$A:$A,增益!$F:$F,0))&gt;0,($F$10-$I$3+VLOOKUP($R60,武学奇术!$A:$ZZ,6,FALSE)+SUM(_xlfn.XLOOKUP($S60:$AL60,增益!$A:$A,增益!$F:$F,0)))/200,($F$10-$I$3+VLOOKUP($R60,武学奇术!$A:$ZZ,6,FALSE)+SUM(_xlfn.XLOOKUP($S60:$AL60,增益!$A:$A,增益!$F:$F,0)))/100)</f>
        <v>0.3534</v>
      </c>
      <c r="AW60" s="40" cm="1">
        <f t="array" ref="AW60">$G$10+VLOOKUP($R60,武学奇术!$A:$ZZ,7,FALSE)+SUM(_xlfn.XLOOKUP($S60:$AL60,增益!$A:$A,增益!$G:$G,0))</f>
        <v>0.12</v>
      </c>
      <c r="AX60" s="33" cm="1">
        <f t="array" ref="AX60">VLOOKUP($R60,武学奇术!$A:$ZZ,8,FALSE)+SUM(_xlfn.XLOOKUP($S60:$AL60,增益!$A:$A,增益!$H:$H,0))</f>
        <v>0</v>
      </c>
      <c r="AY60">
        <f t="shared" si="2"/>
        <v>0</v>
      </c>
      <c r="AZ60">
        <f t="shared" si="3"/>
        <v>0</v>
      </c>
      <c r="BA60" s="40" cm="1">
        <f t="array" ref="BA60">IF($F$11-$I$4+VLOOKUP($R60,武学奇术!$A:$ZZ,9,FALSE)+SUM(_xlfn.XLOOKUP($S60:$AL60,增益!$A:$A,增益!$I:$I,0))&gt;0,($F$11-$I$4+VLOOKUP($R60,武学奇术!$A:$ZZ,9,FALSE)+SUM(_xlfn.XLOOKUP($S60:$AL60,增益!$A:$A,增益!$I:$I,0)))/200,($F$11-$I$4+VLOOKUP($R60,武学奇术!$A:$ZZ,9,FALSE)+SUM(_xlfn.XLOOKUP($S60:$AL60,增益!$A:$A,增益!$I:$I,0)))/100)</f>
        <v>-0.3</v>
      </c>
      <c r="BB60" s="40" cm="1">
        <f t="array" ref="BB60">$G$11+VLOOKUP($R60,武学奇术!$A:$ZZ,10,FALSE)+SUM(_xlfn.XLOOKUP($S60:$AL60,增益!$A:$A,增益!$J:$J,0))</f>
        <v>0.1</v>
      </c>
      <c r="BC60">
        <f t="shared" si="4"/>
        <v>640.3</v>
      </c>
      <c r="BD60">
        <f t="shared" si="5"/>
        <v>1770.1</v>
      </c>
      <c r="BE60" s="40" cm="1">
        <f t="array" ref="BE60">IF($F$12-$I$4+VLOOKUP($R60,武学奇术!$A:$ZZ,11,FALSE)+SUM(_xlfn.XLOOKUP($S60:$AL60,增益!$A:$A,增益!$K:$K,0))&gt;0,($F$12-$I$4+VLOOKUP($R60,武学奇术!$A:$ZZ,11,FALSE)+SUM(_xlfn.XLOOKUP($S60:$AL60,增益!$A:$A,增益!$K:$K,0)))/200,($F$12-$I$4+VLOOKUP($R60,武学奇术!$A:$ZZ,11,FALSE)+SUM(_xlfn.XLOOKUP($S60:$AL60,增益!$A:$A,增益!$K:$K,0)))/100)</f>
        <v>0.09</v>
      </c>
      <c r="BF60" s="40" cm="1">
        <f t="array" ref="BF60">$G$12+VLOOKUP($R60,武学奇术!$A:$ZZ,12,FALSE)+SUM(_xlfn.XLOOKUP($S60:$AL60,增益!$A:$A,增益!$L:$L,0))</f>
        <v>0.27</v>
      </c>
      <c r="BG60">
        <f t="shared" si="6"/>
        <v>0</v>
      </c>
      <c r="BH60">
        <f t="shared" si="7"/>
        <v>0</v>
      </c>
      <c r="BI60" s="40" cm="1">
        <f t="array" ref="BI60">IF($F$13-$I$4+VLOOKUP($R60,武学奇术!$A:$ZZ,13,FALSE)+SUM(_xlfn.XLOOKUP($S60:$AL60,增益!$A:$A,增益!$M:$M,0))&gt;0,($F$13-$I$4+VLOOKUP($R60,武学奇术!$A:$ZZ,13,FALSE)+SUM(_xlfn.XLOOKUP($S60:$AL60,增益!$A:$A,增益!$K:$K,0)))/200,($F$13-$I$4+VLOOKUP($R60,武学奇术!$A:$ZZ,13,FALSE)+SUM(_xlfn.XLOOKUP($S60:$AL60,增益!$A:$A,增益!$M:$M,0)))/100)</f>
        <v>-0.3</v>
      </c>
      <c r="BJ60" s="40" cm="1">
        <f t="array" ref="BJ60">$G$13+VLOOKUP($R60,武学奇术!$A:$ZZ,14,FALSE)+SUM(_xlfn.XLOOKUP($S60:$AL60,增益!$A:$A,增益!$N:$N,0))</f>
        <v>0</v>
      </c>
      <c r="BK60">
        <f t="shared" si="8"/>
        <v>0</v>
      </c>
      <c r="BL60">
        <f t="shared" si="9"/>
        <v>0</v>
      </c>
      <c r="BM60" s="40" cm="1">
        <f t="array" ref="BM60">IF($F$14-$I$4+VLOOKUP($R60,武学奇术!$A:$ZZ,15,FALSE)+SUM(_xlfn.XLOOKUP($S60:$AL60,增益!$A:$A,增益!$O:$O,0))&gt;0,($F$14-$I$4+VLOOKUP($R60,武学奇术!$A:$ZZ,15,FALSE)+SUM(_xlfn.XLOOKUP($S60:$AL60,增益!$A:$A,增益!$O:$O,0)))/200,($F$14-$I$4+VLOOKUP($R60,武学奇术!$A:$ZZ,15,FALSE)+SUM(_xlfn.XLOOKUP($S60:$AL60,增益!$A:$A,增益!$O:$O,0)))/100)</f>
        <v>-0.3</v>
      </c>
      <c r="BN60" s="40" cm="1">
        <f t="array" ref="BN60">$G$14+VLOOKUP($R60,武学奇术!$A:$ZZ,16,FALSE)+SUM(_xlfn.XLOOKUP($S60:$AL60,增益!$A:$A,增益!$P:$P,0))</f>
        <v>0</v>
      </c>
      <c r="BO60" s="33">
        <f>MIN(IF(VLOOKUP($R60,武学奇术!$A:$ZZ,23,FALSE)=1,100%,$B$8),100%)</f>
        <v>0.9771</v>
      </c>
      <c r="BP60" s="33" cm="1">
        <f t="array" ref="BP60">IF(VLOOKUP($R60,武学奇术!$A:$ZZ,23,FALSE)=1,100%,MIN(80%,$B$9+VLOOKUP($R60,武学奇术!$A:$ZZ,17,FALSE)+SUM(_xlfn.XLOOKUP($S60:$AL60,增益!$A:$A,增益!$Q:$Q,0)))+$B$11+SUM(_xlfn.XLOOKUP($S60:$AL60,增益!$A:$A,增益!$U:$U,0)))*IF(VLOOKUP($R60,武学奇术!$A:$ZZ,24,FALSE)=1,0,1)</f>
        <v>0.8861</v>
      </c>
      <c r="BQ60" s="33" cm="1">
        <f t="array" ref="BQ60">1+$B$13+VLOOKUP($R60,武学奇术!$A:$ZZ,18,FALSE)+SUM(_xlfn.XLOOKUP($S60:$AL60,增益!$A:$A,增益!$R:$R,0))</f>
        <v>2</v>
      </c>
      <c r="BR60" s="33" cm="1">
        <f t="array" ref="BR60">IF(VLOOKUP($R60,武学奇术!$A:$ZZ,24,FALSE)=1,100%,MIN(40%,$B$10+VLOOKUP($R60,武学奇术!$A:$ZZ,19,FALSE)+SUM(_xlfn.XLOOKUP($S60:$AL60,增益!$A:$A,增益!$S:$S,0)))+$B$12+SUM(_xlfn.XLOOKUP($S60:$AL60,增益!$A:$A,增益!$V:$V,0)))*IF(VLOOKUP($R60,武学奇术!$A:$ZZ,23,FALSE)=1,0,1)</f>
        <v>0.0913</v>
      </c>
      <c r="BS60" s="33" cm="1">
        <f t="array" ref="BS60">1+$B$14+VLOOKUP($R60,武学奇术!$A:$ZZ,20,FALSE)+SUM(_xlfn.XLOOKUP($S60:$AL60,增益!$A:$A,增益!$T:$T,0))</f>
        <v>1.35</v>
      </c>
      <c r="BT60" s="33">
        <f t="shared" si="10"/>
        <v>0.86580831</v>
      </c>
      <c r="BU60" s="33">
        <f t="shared" si="11"/>
        <v>0.02208246</v>
      </c>
      <c r="BV60" s="33">
        <f>IF(VLOOKUP($R60,武学奇术!$A:$ZZ,22,FALSE)=1,0,(1-$BO60))*(1-$BR60)</f>
        <v>0.02080923</v>
      </c>
      <c r="BW60" s="33" cm="1">
        <f t="array" ref="BW60">SUM(_xlfn.XLOOKUP($S60:$AL60,增益!$A:$A,增益!$W:$W,0))+$I$5</f>
        <v>0.31</v>
      </c>
      <c r="BX60" s="33" cm="1">
        <f t="array" ref="BX60">VLOOKUP($R60,武学奇术!$A:$ZZ,32,FALSE)+SUM(_xlfn.XLOOKUP($S60:$AL60,增益!$A:$A,增益!$X:$X,0))</f>
        <v>0</v>
      </c>
    </row>
    <row r="61" spans="4:76">
      <c r="L61" s="46">
        <f t="shared" si="0"/>
        <v>30300.9338351519</v>
      </c>
      <c r="M61" s="46">
        <f>((($AT61+$AU61)/2*$AN61+$AO61)*(1+$AV61)*(1+$AW61)+(($AY61+$AZ61)/2*IF($G$1="鸣金",$AP61,$AN61)+IF($G$1="鸣金",$AQ61*1.5,0))*(1+$BA61)*(1+$BB61)+(($BC61+$BD61)/2*IF($G$1="裂石",$AP61,$AN61)+IF($G$1="裂石",$AQ61*1.5,0))*(1+$BE61)*(1+$BF61)+(($BG61+$BH61)/2*IF($G$1="牵丝",$AP61,$AN61)+IF($G$1="牵丝",$AQ61*1.5,0))*(1+$BI61)*(1+$BJ61)+(($BK61+$BL61)/2*IF($G$1="破竹",$AP61,$AN61)+IF($G$1="破竹",$AQ61*1.5,0))*(1+$BM61)*(1+$BN61))*(1+$AR61)*$BQ61*$Q61*(1+IF(VLOOKUP($R61,武学奇术!$A:$ZZ,30,FALSE)="蓄力技",$B$21,0))*(1+IF(VLOOKUP($R61,武学奇术!$A:$ZZ,30,FALSE)="派生技",$B$20,0))*(1+$BW61)*(1+$BX61)</f>
        <v>31647.2836301143</v>
      </c>
      <c r="N61" s="46">
        <f>(($AU61*$AN61+$AO61)*(1+$AV61)*(1+$AW61)+($AZ61*IF($G$1="鸣金",$AP61,$AN61)+IF($G$1="鸣金",$AQ61*1.5,0))*(1+$BA61)*(1+$BB61)+($BD61*IF($G$1="裂石",$AP61,$AN61)+IF($G$1="裂石",$AQ61*1.5,0))*(1+$BE61)*(1+$BF61)+($BH61*IF($G$1="牵丝",$AP61,$AN61)+IF($G$1="牵丝",$AQ61*1.5,0))*(1+$BI61)*(1+$BJ61)+($BL61*IF($G$1="破竹",$AP61,$AN61)+IF($G$1="破竹",$AQ61*1.5,0))*(1+$BM61)*(1+$BN61))*(1+$AR61)*$BS61*$Q61*(1+IF(VLOOKUP($R61,武学奇术!$A:$ZZ,30,FALSE)="蓄力技",$B$21,0))*(1+IF(VLOOKUP($R61,武学奇术!$A:$ZZ,30,FALSE)="派生技",$B$20,0))*(1+$BW61)*(1+$BX61)</f>
        <v>24597.8506681518</v>
      </c>
      <c r="O61" s="46">
        <f>((($AT61+$AU61)/2*$AN61+$AO61)*(1+$AV61)*(1+$AW61)+(($AY61+$AZ61)/2*IF($G$1="鸣金",$AP61,$AN61)+IF($G$1="鸣金",$AQ61*1.5,0))*(1+$BA61)*(1+$BB61)+(($BC61+$BD61)/2*IF($G$1="裂石",$AP61,$AN61)+IF($G$1="裂石",$AQ61*1.5,0))*(1+$BE61)*(1+$BF61)+(($BG61+$BH61)/2*IF($G$1="牵丝",$AP61,$AN61)+IF($G$1="牵丝",$AQ61*1.5,0))*(1+$BI61)*(1+$BJ61)+(($BK61+$BL61)/2*IF($G$1="破竹",$AP61,$AN61)+IF($G$1="破竹",$AQ61*1.5,0))*(1+$BM61)*(1+$BN61))*(1+$AR61)*$Q61*(1+IF(VLOOKUP($R61,武学奇术!$A:$ZZ,30,FALSE)="蓄力技",$B$21,0))*(1+IF(VLOOKUP($R61,武学奇术!$A:$ZZ,30,FALSE)="派生技",$B$20,0))*(1+$BW61)*(1+$BX61)</f>
        <v>16229.3762205714</v>
      </c>
      <c r="P61" s="46">
        <f>((($AT61*$AN61+$AO61)*(1+$AV61)*(1+$AW61)+($AY61*IF($G$1="鸣金",$AP61,$AN61)+IF($G$1="鸣金",$AQ61*1.5,0))*(1+$BA61)*(1+$BB61)+($BC61*IF($G$1="裂石",$AP61,$AN61)+IF($G$1="裂石",$AQ61*1.5,0))*(1+$BE61)*(1+$BF61)+($BG61*IF($G$1="牵丝",$AP61,$AN61)+IF($G$1="牵丝",$AQ61*1.5,0))*(1+$BI61)*(1+$BJ61)+($BK61*IF($G$1="破竹",$AP61,$AN61)+IF($G$1="破竹",$AQ61*1.5,0))*(1+$BM61)*(1+$BN61))*(1+$AR61))*$Q61*(1+IF(VLOOKUP($R61,武学奇术!$A:$ZZ,30,FALSE)="蓄力技",$B$21,0))*(1+IF(VLOOKUP($R61,武学奇术!$A:$ZZ,30,FALSE)="派生技",$B$20,0))*(1+$BW61)*(1+$BX61)</f>
        <v>14238.122316586</v>
      </c>
      <c r="Q61" s="47">
        <f t="shared" si="13"/>
        <v>1</v>
      </c>
      <c r="R61" s="48" t="s">
        <v>175</v>
      </c>
      <c r="S61" s="48" t="s">
        <v>99</v>
      </c>
      <c r="T61" s="48" t="s">
        <v>182</v>
      </c>
      <c r="U61" s="48" t="s">
        <v>80</v>
      </c>
      <c r="V61" s="48" t="s">
        <v>80</v>
      </c>
      <c r="W61" s="48" t="s">
        <v>91</v>
      </c>
      <c r="X61" s="48" t="s">
        <v>80</v>
      </c>
      <c r="Y61" s="48" t="s">
        <v>80</v>
      </c>
      <c r="Z61" s="48" t="s">
        <v>80</v>
      </c>
      <c r="AA61" s="48" t="s">
        <v>80</v>
      </c>
      <c r="AB61" s="48" t="s">
        <v>80</v>
      </c>
      <c r="AC61" s="48" t="s">
        <v>80</v>
      </c>
      <c r="AD61" s="48" t="s">
        <v>80</v>
      </c>
      <c r="AE61" s="48" t="s">
        <v>80</v>
      </c>
      <c r="AF61" s="48" t="s">
        <v>83</v>
      </c>
      <c r="AG61" s="48" t="s">
        <v>84</v>
      </c>
      <c r="AH61" s="48" t="s">
        <v>80</v>
      </c>
      <c r="AI61" s="48" t="s">
        <v>80</v>
      </c>
      <c r="AJ61" s="48" t="s">
        <v>80</v>
      </c>
      <c r="AK61" s="48" t="s">
        <v>80</v>
      </c>
      <c r="AL61" s="48" t="s">
        <v>80</v>
      </c>
      <c r="AM61" t="str">
        <f>VLOOKUP($R61,武学奇术!$A:$ZZ,25,FALSE)</f>
        <v>横刀</v>
      </c>
      <c r="AN61" s="33">
        <f>VLOOKUP($R61,武学奇术!$A:$ZZ,26,FALSE)</f>
        <v>1.2338</v>
      </c>
      <c r="AO61" s="34">
        <f>VLOOKUP($R61,武学奇术!$A:$ZZ,27,FALSE)*(1+IF(OR($AM61=$F$4,$AM61=$F$5),$B$22,0))</f>
        <v>547.2</v>
      </c>
      <c r="AP61" s="33">
        <f>VLOOKUP($R61,武学奇术!$A:$ZZ,28,FALSE)</f>
        <v>1.8507</v>
      </c>
      <c r="AQ61" s="34">
        <f>VLOOKUP($R61,武学奇术!$A:$ZZ,29,FALSE)*(1+IF(OR($AM61=$F$4,$AM61=$F$5),$B$22,0))</f>
        <v>297.6</v>
      </c>
      <c r="AR61" s="33" cm="1">
        <f t="array" ref="AR61">$G$3+IFERROR(VLOOKUP($AM61,$F$4:$G$7,2,FALSE),0)+VLOOKUP($R61,武学奇术!$A:$ZZ,2,FALSE)+SUM(_xlfn.XLOOKUP($S61:$AL61,增益!$A:$A,增益!$B:$B,0))</f>
        <v>0.3689</v>
      </c>
      <c r="AS61" s="33" cm="1">
        <f t="array" ref="AS61">VLOOKUP($R61,武学奇术!$A:$ZZ,5,FALSE)+SUM(_xlfn.XLOOKUP($S61:$AL61,增益!$A:$A,增益!$E:$E,0))</f>
        <v>0</v>
      </c>
      <c r="AT61" cm="1">
        <f t="array" ref="AT61">$D$10*(1+$AS61)+VLOOKUP($R61,武学奇术!$A:$ZZ,3,FALSE)+SUM(_xlfn.XLOOKUP($S61:$AL61,增益!$A:$A,增益!$C:$C,0))-$I$2</f>
        <v>4026</v>
      </c>
      <c r="AU61" cm="1">
        <f t="array" ref="AU61">$E$10*(1+$AS61)+VLOOKUP($R61,武学奇术!$A:$ZZ,4,FALSE)+SUM(_xlfn.XLOOKUP($S61:$AL61,增益!$A:$A,增益!$D:$D,0))-$I$2</f>
        <v>4026</v>
      </c>
      <c r="AV61" s="40" cm="1">
        <f t="array" ref="AV61">IF($F$10-$I$3+VLOOKUP($R61,武学奇术!$A:$ZZ,6,FALSE)+SUM(_xlfn.XLOOKUP($S61:$AL61,增益!$A:$A,增益!$F:$F,0))&gt;0,($F$10-$I$3+VLOOKUP($R61,武学奇术!$A:$ZZ,6,FALSE)+SUM(_xlfn.XLOOKUP($S61:$AL61,增益!$A:$A,增益!$F:$F,0)))/200,($F$10-$I$3+VLOOKUP($R61,武学奇术!$A:$ZZ,6,FALSE)+SUM(_xlfn.XLOOKUP($S61:$AL61,增益!$A:$A,增益!$F:$F,0)))/100)</f>
        <v>0.3284</v>
      </c>
      <c r="AW61" s="40" cm="1">
        <f t="array" ref="AW61">$G$10+VLOOKUP($R61,武学奇术!$A:$ZZ,7,FALSE)+SUM(_xlfn.XLOOKUP($S61:$AL61,增益!$A:$A,增益!$G:$G,0))</f>
        <v>0</v>
      </c>
      <c r="AX61" s="33" cm="1">
        <f t="array" ref="AX61">VLOOKUP($R61,武学奇术!$A:$ZZ,8,FALSE)+SUM(_xlfn.XLOOKUP($S61:$AL61,增益!$A:$A,增益!$H:$H,0))</f>
        <v>0</v>
      </c>
      <c r="AY61">
        <f t="shared" si="2"/>
        <v>0</v>
      </c>
      <c r="AZ61">
        <f t="shared" si="3"/>
        <v>0</v>
      </c>
      <c r="BA61" s="40" cm="1">
        <f t="array" ref="BA61">IF($F$11-$I$4+VLOOKUP($R61,武学奇术!$A:$ZZ,9,FALSE)+SUM(_xlfn.XLOOKUP($S61:$AL61,增益!$A:$A,增益!$I:$I,0))&gt;0,($F$11-$I$4+VLOOKUP($R61,武学奇术!$A:$ZZ,9,FALSE)+SUM(_xlfn.XLOOKUP($S61:$AL61,增益!$A:$A,增益!$I:$I,0)))/200,($F$11-$I$4+VLOOKUP($R61,武学奇术!$A:$ZZ,9,FALSE)+SUM(_xlfn.XLOOKUP($S61:$AL61,增益!$A:$A,增益!$I:$I,0)))/100)</f>
        <v>-0.3</v>
      </c>
      <c r="BB61" s="40" cm="1">
        <f t="array" ref="BB61">$G$11+VLOOKUP($R61,武学奇术!$A:$ZZ,10,FALSE)+SUM(_xlfn.XLOOKUP($S61:$AL61,增益!$A:$A,增益!$J:$J,0))</f>
        <v>0</v>
      </c>
      <c r="BC61">
        <f t="shared" si="4"/>
        <v>640.3</v>
      </c>
      <c r="BD61">
        <f t="shared" si="5"/>
        <v>1770.1</v>
      </c>
      <c r="BE61" s="40" cm="1">
        <f t="array" ref="BE61">IF($F$12-$I$4+VLOOKUP($R61,武学奇术!$A:$ZZ,11,FALSE)+SUM(_xlfn.XLOOKUP($S61:$AL61,增益!$A:$A,增益!$K:$K,0))&gt;0,($F$12-$I$4+VLOOKUP($R61,武学奇术!$A:$ZZ,11,FALSE)+SUM(_xlfn.XLOOKUP($S61:$AL61,增益!$A:$A,增益!$K:$K,0)))/200,($F$12-$I$4+VLOOKUP($R61,武学奇术!$A:$ZZ,11,FALSE)+SUM(_xlfn.XLOOKUP($S61:$AL61,增益!$A:$A,增益!$K:$K,0)))/100)</f>
        <v>0.09</v>
      </c>
      <c r="BF61" s="40" cm="1">
        <f t="array" ref="BF61">$G$12+VLOOKUP($R61,武学奇术!$A:$ZZ,12,FALSE)+SUM(_xlfn.XLOOKUP($S61:$AL61,增益!$A:$A,增益!$L:$L,0))</f>
        <v>0.15</v>
      </c>
      <c r="BG61">
        <f t="shared" si="6"/>
        <v>0</v>
      </c>
      <c r="BH61">
        <f t="shared" si="7"/>
        <v>0</v>
      </c>
      <c r="BI61" s="40" cm="1">
        <f t="array" ref="BI61">IF($F$13-$I$4+VLOOKUP($R61,武学奇术!$A:$ZZ,13,FALSE)+SUM(_xlfn.XLOOKUP($S61:$AL61,增益!$A:$A,增益!$M:$M,0))&gt;0,($F$13-$I$4+VLOOKUP($R61,武学奇术!$A:$ZZ,13,FALSE)+SUM(_xlfn.XLOOKUP($S61:$AL61,增益!$A:$A,增益!$K:$K,0)))/200,($F$13-$I$4+VLOOKUP($R61,武学奇术!$A:$ZZ,13,FALSE)+SUM(_xlfn.XLOOKUP($S61:$AL61,增益!$A:$A,增益!$M:$M,0)))/100)</f>
        <v>-0.3</v>
      </c>
      <c r="BJ61" s="40" cm="1">
        <f t="array" ref="BJ61">$G$13+VLOOKUP($R61,武学奇术!$A:$ZZ,14,FALSE)+SUM(_xlfn.XLOOKUP($S61:$AL61,增益!$A:$A,增益!$N:$N,0))</f>
        <v>0</v>
      </c>
      <c r="BK61">
        <f t="shared" si="8"/>
        <v>0</v>
      </c>
      <c r="BL61">
        <f t="shared" si="9"/>
        <v>0</v>
      </c>
      <c r="BM61" s="40" cm="1">
        <f t="array" ref="BM61">IF($F$14-$I$4+VLOOKUP($R61,武学奇术!$A:$ZZ,15,FALSE)+SUM(_xlfn.XLOOKUP($S61:$AL61,增益!$A:$A,增益!$O:$O,0))&gt;0,($F$14-$I$4+VLOOKUP($R61,武学奇术!$A:$ZZ,15,FALSE)+SUM(_xlfn.XLOOKUP($S61:$AL61,增益!$A:$A,增益!$O:$O,0)))/200,($F$14-$I$4+VLOOKUP($R61,武学奇术!$A:$ZZ,15,FALSE)+SUM(_xlfn.XLOOKUP($S61:$AL61,增益!$A:$A,增益!$O:$O,0)))/100)</f>
        <v>-0.3</v>
      </c>
      <c r="BN61" s="40" cm="1">
        <f t="array" ref="BN61">$G$14+VLOOKUP($R61,武学奇术!$A:$ZZ,16,FALSE)+SUM(_xlfn.XLOOKUP($S61:$AL61,增益!$A:$A,增益!$P:$P,0))</f>
        <v>0</v>
      </c>
      <c r="BO61" s="33">
        <f>MIN(IF(VLOOKUP($R61,武学奇术!$A:$ZZ,23,FALSE)=1,100%,$B$8),100%)</f>
        <v>0.9771</v>
      </c>
      <c r="BP61" s="33" cm="1">
        <f t="array" ref="BP61">IF(VLOOKUP($R61,武学奇术!$A:$ZZ,23,FALSE)=1,100%,MIN(80%,$B$9+VLOOKUP($R61,武学奇术!$A:$ZZ,17,FALSE)+SUM(_xlfn.XLOOKUP($S61:$AL61,增益!$A:$A,增益!$Q:$Q,0)))+$B$11+SUM(_xlfn.XLOOKUP($S61:$AL61,增益!$A:$A,增益!$U:$U,0)))*IF(VLOOKUP($R61,武学奇术!$A:$ZZ,24,FALSE)=1,0,1)</f>
        <v>0.8861</v>
      </c>
      <c r="BQ61" s="33" cm="1">
        <f t="array" ref="BQ61">1+$B$13+VLOOKUP($R61,武学奇术!$A:$ZZ,18,FALSE)+SUM(_xlfn.XLOOKUP($S61:$AL61,增益!$A:$A,增益!$R:$R,0))</f>
        <v>1.95</v>
      </c>
      <c r="BR61" s="33" cm="1">
        <f t="array" ref="BR61">IF(VLOOKUP($R61,武学奇术!$A:$ZZ,24,FALSE)=1,100%,MIN(40%,$B$10+VLOOKUP($R61,武学奇术!$A:$ZZ,19,FALSE)+SUM(_xlfn.XLOOKUP($S61:$AL61,增益!$A:$A,增益!$S:$S,0)))+$B$12+SUM(_xlfn.XLOOKUP($S61:$AL61,增益!$A:$A,增益!$V:$V,0)))*IF(VLOOKUP($R61,武学奇术!$A:$ZZ,23,FALSE)=1,0,1)</f>
        <v>0.0913</v>
      </c>
      <c r="BS61" s="33" cm="1">
        <f t="array" ref="BS61">1+$B$14+VLOOKUP($R61,武学奇术!$A:$ZZ,20,FALSE)+SUM(_xlfn.XLOOKUP($S61:$AL61,增益!$A:$A,增益!$T:$T,0))</f>
        <v>1.35</v>
      </c>
      <c r="BT61" s="33">
        <f t="shared" si="10"/>
        <v>0.86580831</v>
      </c>
      <c r="BU61" s="33">
        <f t="shared" si="11"/>
        <v>0.02208246</v>
      </c>
      <c r="BV61" s="33">
        <f>IF(VLOOKUP($R61,武学奇术!$A:$ZZ,22,FALSE)=1,0,(1-$BO61))*(1-$BR61)</f>
        <v>0.02080923</v>
      </c>
      <c r="BW61" s="33" cm="1">
        <f t="array" ref="BW61">SUM(_xlfn.XLOOKUP($S61:$AL61,增益!$A:$A,增益!$W:$W,0))+$I$5</f>
        <v>0.11</v>
      </c>
      <c r="BX61" s="33" cm="1">
        <f t="array" ref="BX61">VLOOKUP($R61,武学奇术!$A:$ZZ,32,FALSE)+SUM(_xlfn.XLOOKUP($S61:$AL61,增益!$A:$A,增益!$X:$X,0))</f>
        <v>0</v>
      </c>
    </row>
    <row r="62" spans="4:76">
      <c r="L62" s="46">
        <f t="shared" si="0"/>
        <v>92811.457821205</v>
      </c>
      <c r="M62" s="46">
        <f>((($AT62+$AU62)/2*$AN62+$AO62)*(1+$AV62)*(1+$AW62)+(($AY62+$AZ62)/2*IF($G$1="鸣金",$AP62,$AN62)+IF($G$1="鸣金",$AQ62*1.5,0))*(1+$BA62)*(1+$BB62)+(($BC62+$BD62)/2*IF($G$1="裂石",$AP62,$AN62)+IF($G$1="裂石",$AQ62*1.5,0))*(1+$BE62)*(1+$BF62)+(($BG62+$BH62)/2*IF($G$1="牵丝",$AP62,$AN62)+IF($G$1="牵丝",$AQ62*1.5,0))*(1+$BI62)*(1+$BJ62)+(($BK62+$BL62)/2*IF($G$1="破竹",$AP62,$AN62)+IF($G$1="破竹",$AQ62*1.5,0))*(1+$BM62)*(1+$BN62))*(1+$AR62)*$BQ62*$Q62*(1+IF(VLOOKUP($R62,武学奇术!$A:$ZZ,30,FALSE)="蓄力技",$B$21,0))*(1+IF(VLOOKUP($R62,武学奇术!$A:$ZZ,30,FALSE)="派生技",$B$20,0))*(1+$BW62)*(1+$BX62)</f>
        <v>96935.2066625429</v>
      </c>
      <c r="N62" s="46">
        <f>(($AU62*$AN62+$AO62)*(1+$AV62)*(1+$AW62)+($AZ62*IF($G$1="鸣金",$AP62,$AN62)+IF($G$1="鸣金",$AQ62*1.5,0))*(1+$BA62)*(1+$BB62)+($BD62*IF($G$1="裂石",$AP62,$AN62)+IF($G$1="裂石",$AQ62*1.5,0))*(1+$BE62)*(1+$BF62)+($BH62*IF($G$1="牵丝",$AP62,$AN62)+IF($G$1="牵丝",$AQ62*1.5,0))*(1+$BI62)*(1+$BJ62)+($BL62*IF($G$1="破竹",$AP62,$AN62)+IF($G$1="破竹",$AQ62*1.5,0))*(1+$BM62)*(1+$BN62))*(1+$AR62)*$BS62*$Q62*(1+IF(VLOOKUP($R62,武学奇术!$A:$ZZ,30,FALSE)="蓄力技",$B$21,0))*(1+IF(VLOOKUP($R62,武学奇术!$A:$ZZ,30,FALSE)="派生技",$B$20,0))*(1+$BW62)*(1+$BX62)</f>
        <v>75344.2395283134</v>
      </c>
      <c r="O62" s="46">
        <f>((($AT62+$AU62)/2*$AN62+$AO62)*(1+$AV62)*(1+$AW62)+(($AY62+$AZ62)/2*IF($G$1="鸣金",$AP62,$AN62)+IF($G$1="鸣金",$AQ62*1.5,0))*(1+$BA62)*(1+$BB62)+(($BC62+$BD62)/2*IF($G$1="裂石",$AP62,$AN62)+IF($G$1="裂石",$AQ62*1.5,0))*(1+$BE62)*(1+$BF62)+(($BG62+$BH62)/2*IF($G$1="牵丝",$AP62,$AN62)+IF($G$1="牵丝",$AQ62*1.5,0))*(1+$BI62)*(1+$BJ62)+(($BK62+$BL62)/2*IF($G$1="破竹",$AP62,$AN62)+IF($G$1="破竹",$AQ62*1.5,0))*(1+$BM62)*(1+$BN62))*(1+$AR62)*$Q62*(1+IF(VLOOKUP($R62,武学奇术!$A:$ZZ,30,FALSE)="蓄力技",$B$21,0))*(1+IF(VLOOKUP($R62,武学奇术!$A:$ZZ,30,FALSE)="派生技",$B$20,0))*(1+$BW62)*(1+$BX62)</f>
        <v>49710.3623910476</v>
      </c>
      <c r="P62" s="46">
        <f>((($AT62*$AN62+$AO62)*(1+$AV62)*(1+$AW62)+($AY62*IF($G$1="鸣金",$AP62,$AN62)+IF($G$1="鸣金",$AQ62*1.5,0))*(1+$BA62)*(1+$BB62)+($BC62*IF($G$1="裂石",$AP62,$AN62)+IF($G$1="裂石",$AQ62*1.5,0))*(1+$BE62)*(1+$BF62)+($BG62*IF($G$1="牵丝",$AP62,$AN62)+IF($G$1="牵丝",$AQ62*1.5,0))*(1+$BI62)*(1+$BJ62)+($BK62*IF($G$1="破竹",$AP62,$AN62)+IF($G$1="破竹",$AQ62*1.5,0))*(1+$BM62)*(1+$BN62))*(1+$AR62))*$Q62*(1+IF(VLOOKUP($R62,武学奇术!$A:$ZZ,30,FALSE)="蓄力技",$B$21,0))*(1+IF(VLOOKUP($R62,武学奇术!$A:$ZZ,30,FALSE)="派生技",$B$20,0))*(1+$BW62)*(1+$BX62)</f>
        <v>43610.1769833446</v>
      </c>
      <c r="Q62" s="47">
        <f t="shared" si="13"/>
        <v>1</v>
      </c>
      <c r="R62" s="48" t="s">
        <v>116</v>
      </c>
      <c r="S62" s="48" t="s">
        <v>99</v>
      </c>
      <c r="T62" s="48" t="s">
        <v>182</v>
      </c>
      <c r="U62" s="48" t="s">
        <v>80</v>
      </c>
      <c r="V62" s="48" t="s">
        <v>80</v>
      </c>
      <c r="W62" s="48" t="s">
        <v>91</v>
      </c>
      <c r="X62" s="48" t="s">
        <v>80</v>
      </c>
      <c r="Y62" s="48" t="s">
        <v>80</v>
      </c>
      <c r="Z62" s="48" t="s">
        <v>80</v>
      </c>
      <c r="AA62" s="48" t="s">
        <v>80</v>
      </c>
      <c r="AB62" s="48" t="s">
        <v>80</v>
      </c>
      <c r="AC62" s="48" t="s">
        <v>80</v>
      </c>
      <c r="AD62" s="48" t="s">
        <v>80</v>
      </c>
      <c r="AE62" s="48" t="s">
        <v>80</v>
      </c>
      <c r="AF62" s="48" t="s">
        <v>83</v>
      </c>
      <c r="AG62" s="48" t="s">
        <v>84</v>
      </c>
      <c r="AH62" s="48" t="s">
        <v>80</v>
      </c>
      <c r="AI62" s="48" t="s">
        <v>80</v>
      </c>
      <c r="AJ62" s="48" t="s">
        <v>80</v>
      </c>
      <c r="AK62" s="48" t="s">
        <v>80</v>
      </c>
      <c r="AL62" s="48" t="s">
        <v>80</v>
      </c>
      <c r="AM62" t="str">
        <f>VLOOKUP($R62,武学奇术!$A:$ZZ,25,FALSE)</f>
        <v>横刀</v>
      </c>
      <c r="AN62" s="33">
        <f>VLOOKUP($R62,武学奇术!$A:$ZZ,26,FALSE)</f>
        <v>3.7797</v>
      </c>
      <c r="AO62" s="34">
        <f>VLOOKUP($R62,武学奇术!$A:$ZZ,27,FALSE)*(1+IF(OR($AM62=$F$4,$AM62=$F$5),$B$22,0))</f>
        <v>1672</v>
      </c>
      <c r="AP62" s="33">
        <f>VLOOKUP($R62,武学奇术!$A:$ZZ,28,FALSE)</f>
        <v>5.6696</v>
      </c>
      <c r="AQ62" s="34">
        <f>VLOOKUP($R62,武学奇术!$A:$ZZ,29,FALSE)*(1+IF(OR($AM62=$F$4,$AM62=$F$5),$B$22,0))</f>
        <v>912</v>
      </c>
      <c r="AR62" s="33" cm="1">
        <f t="array" ref="AR62">$G$3+IFERROR(VLOOKUP($AM62,$F$4:$G$7,2,FALSE),0)+VLOOKUP($R62,武学奇术!$A:$ZZ,2,FALSE)+SUM(_xlfn.XLOOKUP($S62:$AL62,增益!$A:$A,增益!$B:$B,0))</f>
        <v>0.3689</v>
      </c>
      <c r="AS62" s="33" cm="1">
        <f t="array" ref="AS62">VLOOKUP($R62,武学奇术!$A:$ZZ,5,FALSE)+SUM(_xlfn.XLOOKUP($S62:$AL62,增益!$A:$A,增益!$E:$E,0))</f>
        <v>0</v>
      </c>
      <c r="AT62" cm="1">
        <f t="array" ref="AT62">$D$10*(1+$AS62)+VLOOKUP($R62,武学奇术!$A:$ZZ,3,FALSE)+SUM(_xlfn.XLOOKUP($S62:$AL62,增益!$A:$A,增益!$C:$C,0))-$I$2</f>
        <v>4026</v>
      </c>
      <c r="AU62" cm="1">
        <f t="array" ref="AU62">$E$10*(1+$AS62)+VLOOKUP($R62,武学奇术!$A:$ZZ,4,FALSE)+SUM(_xlfn.XLOOKUP($S62:$AL62,增益!$A:$A,增益!$D:$D,0))-$I$2</f>
        <v>4026</v>
      </c>
      <c r="AV62" s="40" cm="1">
        <f t="array" ref="AV62">IF($F$10-$I$3+VLOOKUP($R62,武学奇术!$A:$ZZ,6,FALSE)+SUM(_xlfn.XLOOKUP($S62:$AL62,增益!$A:$A,增益!$F:$F,0))&gt;0,($F$10-$I$3+VLOOKUP($R62,武学奇术!$A:$ZZ,6,FALSE)+SUM(_xlfn.XLOOKUP($S62:$AL62,增益!$A:$A,增益!$F:$F,0)))/200,($F$10-$I$3+VLOOKUP($R62,武学奇术!$A:$ZZ,6,FALSE)+SUM(_xlfn.XLOOKUP($S62:$AL62,增益!$A:$A,增益!$F:$F,0)))/100)</f>
        <v>0.3284</v>
      </c>
      <c r="AW62" s="40" cm="1">
        <f t="array" ref="AW62">$G$10+VLOOKUP($R62,武学奇术!$A:$ZZ,7,FALSE)+SUM(_xlfn.XLOOKUP($S62:$AL62,增益!$A:$A,增益!$G:$G,0))</f>
        <v>0</v>
      </c>
      <c r="AX62" s="33" cm="1">
        <f t="array" ref="AX62">VLOOKUP($R62,武学奇术!$A:$ZZ,8,FALSE)+SUM(_xlfn.XLOOKUP($S62:$AL62,增益!$A:$A,增益!$H:$H,0))</f>
        <v>0</v>
      </c>
      <c r="AY62">
        <f t="shared" si="2"/>
        <v>0</v>
      </c>
      <c r="AZ62">
        <f t="shared" si="3"/>
        <v>0</v>
      </c>
      <c r="BA62" s="40" cm="1">
        <f t="array" ref="BA62">IF($F$11-$I$4+VLOOKUP($R62,武学奇术!$A:$ZZ,9,FALSE)+SUM(_xlfn.XLOOKUP($S62:$AL62,增益!$A:$A,增益!$I:$I,0))&gt;0,($F$11-$I$4+VLOOKUP($R62,武学奇术!$A:$ZZ,9,FALSE)+SUM(_xlfn.XLOOKUP($S62:$AL62,增益!$A:$A,增益!$I:$I,0)))/200,($F$11-$I$4+VLOOKUP($R62,武学奇术!$A:$ZZ,9,FALSE)+SUM(_xlfn.XLOOKUP($S62:$AL62,增益!$A:$A,增益!$I:$I,0)))/100)</f>
        <v>-0.3</v>
      </c>
      <c r="BB62" s="40" cm="1">
        <f t="array" ref="BB62">$G$11+VLOOKUP($R62,武学奇术!$A:$ZZ,10,FALSE)+SUM(_xlfn.XLOOKUP($S62:$AL62,增益!$A:$A,增益!$J:$J,0))</f>
        <v>0</v>
      </c>
      <c r="BC62">
        <f t="shared" si="4"/>
        <v>640.3</v>
      </c>
      <c r="BD62">
        <f t="shared" si="5"/>
        <v>1770.1</v>
      </c>
      <c r="BE62" s="40" cm="1">
        <f t="array" ref="BE62">IF($F$12-$I$4+VLOOKUP($R62,武学奇术!$A:$ZZ,11,FALSE)+SUM(_xlfn.XLOOKUP($S62:$AL62,增益!$A:$A,增益!$K:$K,0))&gt;0,($F$12-$I$4+VLOOKUP($R62,武学奇术!$A:$ZZ,11,FALSE)+SUM(_xlfn.XLOOKUP($S62:$AL62,增益!$A:$A,增益!$K:$K,0)))/200,($F$12-$I$4+VLOOKUP($R62,武学奇术!$A:$ZZ,11,FALSE)+SUM(_xlfn.XLOOKUP($S62:$AL62,增益!$A:$A,增益!$K:$K,0)))/100)</f>
        <v>0.09</v>
      </c>
      <c r="BF62" s="40" cm="1">
        <f t="array" ref="BF62">$G$12+VLOOKUP($R62,武学奇术!$A:$ZZ,12,FALSE)+SUM(_xlfn.XLOOKUP($S62:$AL62,增益!$A:$A,增益!$L:$L,0))</f>
        <v>0.15</v>
      </c>
      <c r="BG62">
        <f t="shared" si="6"/>
        <v>0</v>
      </c>
      <c r="BH62">
        <f t="shared" si="7"/>
        <v>0</v>
      </c>
      <c r="BI62" s="40" cm="1">
        <f t="array" ref="BI62">IF($F$13-$I$4+VLOOKUP($R62,武学奇术!$A:$ZZ,13,FALSE)+SUM(_xlfn.XLOOKUP($S62:$AL62,增益!$A:$A,增益!$M:$M,0))&gt;0,($F$13-$I$4+VLOOKUP($R62,武学奇术!$A:$ZZ,13,FALSE)+SUM(_xlfn.XLOOKUP($S62:$AL62,增益!$A:$A,增益!$K:$K,0)))/200,($F$13-$I$4+VLOOKUP($R62,武学奇术!$A:$ZZ,13,FALSE)+SUM(_xlfn.XLOOKUP($S62:$AL62,增益!$A:$A,增益!$M:$M,0)))/100)</f>
        <v>-0.3</v>
      </c>
      <c r="BJ62" s="40" cm="1">
        <f t="array" ref="BJ62">$G$13+VLOOKUP($R62,武学奇术!$A:$ZZ,14,FALSE)+SUM(_xlfn.XLOOKUP($S62:$AL62,增益!$A:$A,增益!$N:$N,0))</f>
        <v>0</v>
      </c>
      <c r="BK62">
        <f t="shared" si="8"/>
        <v>0</v>
      </c>
      <c r="BL62">
        <f t="shared" si="9"/>
        <v>0</v>
      </c>
      <c r="BM62" s="40" cm="1">
        <f t="array" ref="BM62">IF($F$14-$I$4+VLOOKUP($R62,武学奇术!$A:$ZZ,15,FALSE)+SUM(_xlfn.XLOOKUP($S62:$AL62,增益!$A:$A,增益!$O:$O,0))&gt;0,($F$14-$I$4+VLOOKUP($R62,武学奇术!$A:$ZZ,15,FALSE)+SUM(_xlfn.XLOOKUP($S62:$AL62,增益!$A:$A,增益!$O:$O,0)))/200,($F$14-$I$4+VLOOKUP($R62,武学奇术!$A:$ZZ,15,FALSE)+SUM(_xlfn.XLOOKUP($S62:$AL62,增益!$A:$A,增益!$O:$O,0)))/100)</f>
        <v>-0.3</v>
      </c>
      <c r="BN62" s="40" cm="1">
        <f t="array" ref="BN62">$G$14+VLOOKUP($R62,武学奇术!$A:$ZZ,16,FALSE)+SUM(_xlfn.XLOOKUP($S62:$AL62,增益!$A:$A,增益!$P:$P,0))</f>
        <v>0</v>
      </c>
      <c r="BO62" s="33">
        <f>MIN(IF(VLOOKUP($R62,武学奇术!$A:$ZZ,23,FALSE)=1,100%,$B$8),100%)</f>
        <v>0.9771</v>
      </c>
      <c r="BP62" s="33" cm="1">
        <f t="array" ref="BP62">IF(VLOOKUP($R62,武学奇术!$A:$ZZ,23,FALSE)=1,100%,MIN(80%,$B$9+VLOOKUP($R62,武学奇术!$A:$ZZ,17,FALSE)+SUM(_xlfn.XLOOKUP($S62:$AL62,增益!$A:$A,增益!$Q:$Q,0)))+$B$11+SUM(_xlfn.XLOOKUP($S62:$AL62,增益!$A:$A,增益!$U:$U,0)))*IF(VLOOKUP($R62,武学奇术!$A:$ZZ,24,FALSE)=1,0,1)</f>
        <v>0.8861</v>
      </c>
      <c r="BQ62" s="33" cm="1">
        <f t="array" ref="BQ62">1+$B$13+VLOOKUP($R62,武学奇术!$A:$ZZ,18,FALSE)+SUM(_xlfn.XLOOKUP($S62:$AL62,增益!$A:$A,增益!$R:$R,0))</f>
        <v>1.95</v>
      </c>
      <c r="BR62" s="33" cm="1">
        <f t="array" ref="BR62">IF(VLOOKUP($R62,武学奇术!$A:$ZZ,24,FALSE)=1,100%,MIN(40%,$B$10+VLOOKUP($R62,武学奇术!$A:$ZZ,19,FALSE)+SUM(_xlfn.XLOOKUP($S62:$AL62,增益!$A:$A,增益!$S:$S,0)))+$B$12+SUM(_xlfn.XLOOKUP($S62:$AL62,增益!$A:$A,增益!$V:$V,0)))*IF(VLOOKUP($R62,武学奇术!$A:$ZZ,23,FALSE)=1,0,1)</f>
        <v>0.0913</v>
      </c>
      <c r="BS62" s="33" cm="1">
        <f t="array" ref="BS62">1+$B$14+VLOOKUP($R62,武学奇术!$A:$ZZ,20,FALSE)+SUM(_xlfn.XLOOKUP($S62:$AL62,增益!$A:$A,增益!$T:$T,0))</f>
        <v>1.35</v>
      </c>
      <c r="BT62" s="33">
        <f t="shared" si="10"/>
        <v>0.86580831</v>
      </c>
      <c r="BU62" s="33">
        <f t="shared" si="11"/>
        <v>0.02208246</v>
      </c>
      <c r="BV62" s="33">
        <f>IF(VLOOKUP($R62,武学奇术!$A:$ZZ,22,FALSE)=1,0,(1-$BO62))*(1-$BR62)</f>
        <v>0.02080923</v>
      </c>
      <c r="BW62" s="33" cm="1">
        <f t="array" ref="BW62">SUM(_xlfn.XLOOKUP($S62:$AL62,增益!$A:$A,增益!$W:$W,0))+$I$5</f>
        <v>0.11</v>
      </c>
      <c r="BX62" s="33" cm="1">
        <f t="array" ref="BX62">VLOOKUP($R62,武学奇术!$A:$ZZ,32,FALSE)+SUM(_xlfn.XLOOKUP($S62:$AL62,增益!$A:$A,增益!$X:$X,0))</f>
        <v>0</v>
      </c>
    </row>
    <row r="63" spans="4:76">
      <c r="L63" s="46">
        <f t="shared" si="0"/>
        <v>64050.2953708675</v>
      </c>
      <c r="M63" s="46">
        <f>((($AT63+$AU63)/2*$AN63+$AO63)*(1+$AV63)*(1+$AW63)+(($AY63+$AZ63)/2*IF($G$1="鸣金",$AP63,$AN63)+IF($G$1="鸣金",$AQ63*1.5,0))*(1+$BA63)*(1+$BB63)+(($BC63+$BD63)/2*IF($G$1="裂石",$AP63,$AN63)+IF($G$1="裂石",$AQ63*1.5,0))*(1+$BE63)*(1+$BF63)+(($BG63+$BH63)/2*IF($G$1="牵丝",$AP63,$AN63)+IF($G$1="牵丝",$AQ63*1.5,0))*(1+$BI63)*(1+$BJ63)+(($BK63+$BL63)/2*IF($G$1="破竹",$AP63,$AN63)+IF($G$1="破竹",$AQ63*1.5,0))*(1+$BM63)*(1+$BN63))*(1+$AR63)*$BQ63*$Q63*(1+IF(VLOOKUP($R63,武学奇术!$A:$ZZ,30,FALSE)="蓄力技",$B$21,0))*(1+IF(VLOOKUP($R63,武学奇术!$A:$ZZ,30,FALSE)="派生技",$B$20,0))*(1+$BW63)*(1+$BX63)</f>
        <v>67066.5106062678</v>
      </c>
      <c r="N63" s="46">
        <f>(($AU63*$AN63+$AO63)*(1+$AV63)*(1+$AW63)+($AZ63*IF($G$1="鸣金",$AP63,$AN63)+IF($G$1="鸣金",$AQ63*1.5,0))*(1+$BA63)*(1+$BB63)+($BD63*IF($G$1="裂石",$AP63,$AN63)+IF($G$1="裂石",$AQ63*1.5,0))*(1+$BE63)*(1+$BF63)+($BH63*IF($G$1="牵丝",$AP63,$AN63)+IF($G$1="牵丝",$AQ63*1.5,0))*(1+$BI63)*(1+$BJ63)+($BL63*IF($G$1="破竹",$AP63,$AN63)+IF($G$1="破竹",$AQ63*1.5,0))*(1+$BM63)*(1+$BN63))*(1+$AR63)*$BS63*$Q63*(1+IF(VLOOKUP($R63,武学奇术!$A:$ZZ,30,FALSE)="蓄力技",$B$21,0))*(1+IF(VLOOKUP($R63,武学奇术!$A:$ZZ,30,FALSE)="派生技",$B$20,0))*(1+$BW63)*(1+$BX63)</f>
        <v>50700.6080875944</v>
      </c>
      <c r="O63" s="46">
        <f>((($AT63+$AU63)/2*$AN63+$AO63)*(1+$AV63)*(1+$AW63)+(($AY63+$AZ63)/2*IF($G$1="鸣金",$AP63,$AN63)+IF($G$1="鸣金",$AQ63*1.5,0))*(1+$BA63)*(1+$BB63)+(($BC63+$BD63)/2*IF($G$1="裂石",$AP63,$AN63)+IF($G$1="裂石",$AQ63*1.5,0))*(1+$BE63)*(1+$BF63)+(($BG63+$BH63)/2*IF($G$1="牵丝",$AP63,$AN63)+IF($G$1="牵丝",$AQ63*1.5,0))*(1+$BI63)*(1+$BJ63)+(($BK63+$BL63)/2*IF($G$1="破竹",$AP63,$AN63)+IF($G$1="破竹",$AQ63*1.5,0))*(1+$BM63)*(1+$BN63))*(1+$AR63)*$Q63*(1+IF(VLOOKUP($R63,武学奇术!$A:$ZZ,30,FALSE)="蓄力技",$B$21,0))*(1+IF(VLOOKUP($R63,武学奇术!$A:$ZZ,30,FALSE)="派生技",$B$20,0))*(1+$BW63)*(1+$BX63)</f>
        <v>33533.2553031339</v>
      </c>
      <c r="P63" s="46">
        <f>((($AT63*$AN63+$AO63)*(1+$AV63)*(1+$AW63)+($AY63*IF($G$1="鸣金",$AP63,$AN63)+IF($G$1="鸣金",$AQ63*1.5,0))*(1+$BA63)*(1+$BB63)+($BC63*IF($G$1="裂石",$AP63,$AN63)+IF($G$1="裂石",$AQ63*1.5,0))*(1+$BE63)*(1+$BF63)+($BG63*IF($G$1="牵丝",$AP63,$AN63)+IF($G$1="牵丝",$AQ63*1.5,0))*(1+$BI63)*(1+$BJ63)+($BK63*IF($G$1="破竹",$AP63,$AN63)+IF($G$1="破竹",$AQ63*1.5,0))*(1+$BM63)*(1+$BN63))*(1+$AR63))*$Q63*(1+IF(VLOOKUP($R63,武学奇术!$A:$ZZ,30,FALSE)="蓄力技",$B$21,0))*(1+IF(VLOOKUP($R63,武学奇术!$A:$ZZ,30,FALSE)="派生技",$B$20,0))*(1+$BW63)*(1+$BX63)</f>
        <v>29510.5046154571</v>
      </c>
      <c r="Q63" s="47">
        <f t="shared" si="13"/>
        <v>1</v>
      </c>
      <c r="R63" s="48" t="s">
        <v>119</v>
      </c>
      <c r="S63" s="48" t="s">
        <v>99</v>
      </c>
      <c r="T63" s="48" t="s">
        <v>182</v>
      </c>
      <c r="U63" s="48" t="s">
        <v>79</v>
      </c>
      <c r="V63" s="48" t="s">
        <v>80</v>
      </c>
      <c r="W63" s="48" t="s">
        <v>141</v>
      </c>
      <c r="X63" s="48" t="s">
        <v>80</v>
      </c>
      <c r="Y63" s="48" t="s">
        <v>74</v>
      </c>
      <c r="Z63" s="48" t="s">
        <v>80</v>
      </c>
      <c r="AA63" s="48" t="s">
        <v>80</v>
      </c>
      <c r="AB63" s="48" t="s">
        <v>80</v>
      </c>
      <c r="AC63" s="48" t="s">
        <v>80</v>
      </c>
      <c r="AD63" s="48" t="s">
        <v>80</v>
      </c>
      <c r="AE63" s="48" t="s">
        <v>80</v>
      </c>
      <c r="AF63" s="48" t="s">
        <v>83</v>
      </c>
      <c r="AG63" s="48" t="s">
        <v>84</v>
      </c>
      <c r="AH63" s="48" t="s">
        <v>80</v>
      </c>
      <c r="AI63" s="48" t="s">
        <v>80</v>
      </c>
      <c r="AJ63" s="48" t="s">
        <v>80</v>
      </c>
      <c r="AK63" s="48" t="s">
        <v>80</v>
      </c>
      <c r="AL63" s="48" t="s">
        <v>80</v>
      </c>
      <c r="AM63" t="str">
        <f>VLOOKUP($R63,武学奇术!$A:$ZZ,25,FALSE)</f>
        <v>横刀</v>
      </c>
      <c r="AN63" s="33">
        <f>VLOOKUP($R63,武学奇术!$A:$ZZ,26,FALSE)</f>
        <v>2.1324</v>
      </c>
      <c r="AO63" s="34">
        <f>VLOOKUP($R63,武学奇术!$A:$ZZ,27,FALSE)*(1+IF(OR($AM63=$F$4,$AM63=$F$5),$B$22,0))</f>
        <v>944</v>
      </c>
      <c r="AP63" s="33">
        <f>VLOOKUP($R63,武学奇术!$A:$ZZ,28,FALSE)</f>
        <v>3.1986</v>
      </c>
      <c r="AQ63" s="34">
        <f>VLOOKUP($R63,武学奇术!$A:$ZZ,29,FALSE)*(1+IF(OR($AM63=$F$4,$AM63=$F$5),$B$22,0))</f>
        <v>515.2</v>
      </c>
      <c r="AR63" s="33" cm="1">
        <f t="array" ref="AR63">$G$3+IFERROR(VLOOKUP($AM63,$F$4:$G$7,2,FALSE),0)+VLOOKUP($R63,武学奇术!$A:$ZZ,2,FALSE)+SUM(_xlfn.XLOOKUP($S63:$AL63,增益!$A:$A,增益!$B:$B,0))</f>
        <v>0.4489</v>
      </c>
      <c r="AS63" s="33" cm="1">
        <f t="array" ref="AS63">VLOOKUP($R63,武学奇术!$A:$ZZ,5,FALSE)+SUM(_xlfn.XLOOKUP($S63:$AL63,增益!$A:$A,增益!$E:$E,0))</f>
        <v>0</v>
      </c>
      <c r="AT63" cm="1">
        <f t="array" ref="AT63">$D$10*(1+$AS63)+VLOOKUP($R63,武学奇术!$A:$ZZ,3,FALSE)+SUM(_xlfn.XLOOKUP($S63:$AL63,增益!$A:$A,增益!$C:$C,0))-$I$2</f>
        <v>4026</v>
      </c>
      <c r="AU63" cm="1">
        <f t="array" ref="AU63">$E$10*(1+$AS63)+VLOOKUP($R63,武学奇术!$A:$ZZ,4,FALSE)+SUM(_xlfn.XLOOKUP($S63:$AL63,增益!$A:$A,增益!$D:$D,0))-$I$2</f>
        <v>4026</v>
      </c>
      <c r="AV63" s="40" cm="1">
        <f t="array" ref="AV63">IF($F$10-$I$3+VLOOKUP($R63,武学奇术!$A:$ZZ,6,FALSE)+SUM(_xlfn.XLOOKUP($S63:$AL63,增益!$A:$A,增益!$F:$F,0))&gt;0,($F$10-$I$3+VLOOKUP($R63,武学奇术!$A:$ZZ,6,FALSE)+SUM(_xlfn.XLOOKUP($S63:$AL63,增益!$A:$A,增益!$F:$F,0)))/200,($F$10-$I$3+VLOOKUP($R63,武学奇术!$A:$ZZ,6,FALSE)+SUM(_xlfn.XLOOKUP($S63:$AL63,增益!$A:$A,增益!$F:$F,0)))/100)</f>
        <v>0.3534</v>
      </c>
      <c r="AW63" s="40" cm="1">
        <f t="array" ref="AW63">$G$10+VLOOKUP($R63,武学奇术!$A:$ZZ,7,FALSE)+SUM(_xlfn.XLOOKUP($S63:$AL63,增益!$A:$A,增益!$G:$G,0))</f>
        <v>0.12</v>
      </c>
      <c r="AX63" s="33" cm="1">
        <f t="array" ref="AX63">VLOOKUP($R63,武学奇术!$A:$ZZ,8,FALSE)+SUM(_xlfn.XLOOKUP($S63:$AL63,增益!$A:$A,增益!$H:$H,0))</f>
        <v>0</v>
      </c>
      <c r="AY63">
        <f t="shared" si="2"/>
        <v>0</v>
      </c>
      <c r="AZ63">
        <f t="shared" si="3"/>
        <v>0</v>
      </c>
      <c r="BA63" s="40" cm="1">
        <f t="array" ref="BA63">IF($F$11-$I$4+VLOOKUP($R63,武学奇术!$A:$ZZ,9,FALSE)+SUM(_xlfn.XLOOKUP($S63:$AL63,增益!$A:$A,增益!$I:$I,0))&gt;0,($F$11-$I$4+VLOOKUP($R63,武学奇术!$A:$ZZ,9,FALSE)+SUM(_xlfn.XLOOKUP($S63:$AL63,增益!$A:$A,增益!$I:$I,0)))/200,($F$11-$I$4+VLOOKUP($R63,武学奇术!$A:$ZZ,9,FALSE)+SUM(_xlfn.XLOOKUP($S63:$AL63,增益!$A:$A,增益!$I:$I,0)))/100)</f>
        <v>-0.3</v>
      </c>
      <c r="BB63" s="40" cm="1">
        <f t="array" ref="BB63">$G$11+VLOOKUP($R63,武学奇术!$A:$ZZ,10,FALSE)+SUM(_xlfn.XLOOKUP($S63:$AL63,增益!$A:$A,增益!$J:$J,0))</f>
        <v>0</v>
      </c>
      <c r="BC63">
        <f t="shared" si="4"/>
        <v>640.3</v>
      </c>
      <c r="BD63">
        <f t="shared" si="5"/>
        <v>1770.1</v>
      </c>
      <c r="BE63" s="40" cm="1">
        <f t="array" ref="BE63">IF($F$12-$I$4+VLOOKUP($R63,武学奇术!$A:$ZZ,11,FALSE)+SUM(_xlfn.XLOOKUP($S63:$AL63,增益!$A:$A,增益!$K:$K,0))&gt;0,($F$12-$I$4+VLOOKUP($R63,武学奇术!$A:$ZZ,11,FALSE)+SUM(_xlfn.XLOOKUP($S63:$AL63,增益!$A:$A,增益!$K:$K,0)))/200,($F$12-$I$4+VLOOKUP($R63,武学奇术!$A:$ZZ,11,FALSE)+SUM(_xlfn.XLOOKUP($S63:$AL63,增益!$A:$A,增益!$K:$K,0)))/100)</f>
        <v>0.09</v>
      </c>
      <c r="BF63" s="40" cm="1">
        <f t="array" ref="BF63">$G$12+VLOOKUP($R63,武学奇术!$A:$ZZ,12,FALSE)+SUM(_xlfn.XLOOKUP($S63:$AL63,增益!$A:$A,增益!$L:$L,0))</f>
        <v>0.27</v>
      </c>
      <c r="BG63">
        <f t="shared" si="6"/>
        <v>0</v>
      </c>
      <c r="BH63">
        <f t="shared" si="7"/>
        <v>0</v>
      </c>
      <c r="BI63" s="40" cm="1">
        <f t="array" ref="BI63">IF($F$13-$I$4+VLOOKUP($R63,武学奇术!$A:$ZZ,13,FALSE)+SUM(_xlfn.XLOOKUP($S63:$AL63,增益!$A:$A,增益!$M:$M,0))&gt;0,($F$13-$I$4+VLOOKUP($R63,武学奇术!$A:$ZZ,13,FALSE)+SUM(_xlfn.XLOOKUP($S63:$AL63,增益!$A:$A,增益!$K:$K,0)))/200,($F$13-$I$4+VLOOKUP($R63,武学奇术!$A:$ZZ,13,FALSE)+SUM(_xlfn.XLOOKUP($S63:$AL63,增益!$A:$A,增益!$M:$M,0)))/100)</f>
        <v>-0.3</v>
      </c>
      <c r="BJ63" s="40" cm="1">
        <f t="array" ref="BJ63">$G$13+VLOOKUP($R63,武学奇术!$A:$ZZ,14,FALSE)+SUM(_xlfn.XLOOKUP($S63:$AL63,增益!$A:$A,增益!$N:$N,0))</f>
        <v>0</v>
      </c>
      <c r="BK63">
        <f t="shared" si="8"/>
        <v>0</v>
      </c>
      <c r="BL63">
        <f t="shared" si="9"/>
        <v>0</v>
      </c>
      <c r="BM63" s="40" cm="1">
        <f t="array" ref="BM63">IF($F$14-$I$4+VLOOKUP($R63,武学奇术!$A:$ZZ,15,FALSE)+SUM(_xlfn.XLOOKUP($S63:$AL63,增益!$A:$A,增益!$O:$O,0))&gt;0,($F$14-$I$4+VLOOKUP($R63,武学奇术!$A:$ZZ,15,FALSE)+SUM(_xlfn.XLOOKUP($S63:$AL63,增益!$A:$A,增益!$O:$O,0)))/200,($F$14-$I$4+VLOOKUP($R63,武学奇术!$A:$ZZ,15,FALSE)+SUM(_xlfn.XLOOKUP($S63:$AL63,增益!$A:$A,增益!$O:$O,0)))/100)</f>
        <v>-0.3</v>
      </c>
      <c r="BN63" s="40" cm="1">
        <f t="array" ref="BN63">$G$14+VLOOKUP($R63,武学奇术!$A:$ZZ,16,FALSE)+SUM(_xlfn.XLOOKUP($S63:$AL63,增益!$A:$A,增益!$P:$P,0))</f>
        <v>0</v>
      </c>
      <c r="BO63" s="33">
        <f>MIN(IF(VLOOKUP($R63,武学奇术!$A:$ZZ,23,FALSE)=1,100%,$B$8),100%)</f>
        <v>0.9771</v>
      </c>
      <c r="BP63" s="33" cm="1">
        <f t="array" ref="BP63">IF(VLOOKUP($R63,武学奇术!$A:$ZZ,23,FALSE)=1,100%,MIN(80%,$B$9+VLOOKUP($R63,武学奇术!$A:$ZZ,17,FALSE)+SUM(_xlfn.XLOOKUP($S63:$AL63,增益!$A:$A,增益!$Q:$Q,0)))+$B$11+SUM(_xlfn.XLOOKUP($S63:$AL63,增益!$A:$A,增益!$U:$U,0)))*IF(VLOOKUP($R63,武学奇术!$A:$ZZ,24,FALSE)=1,0,1)</f>
        <v>0.8861</v>
      </c>
      <c r="BQ63" s="33" cm="1">
        <f t="array" ref="BQ63">1+$B$13+VLOOKUP($R63,武学奇术!$A:$ZZ,18,FALSE)+SUM(_xlfn.XLOOKUP($S63:$AL63,增益!$A:$A,增益!$R:$R,0))</f>
        <v>2</v>
      </c>
      <c r="BR63" s="33" cm="1">
        <f t="array" ref="BR63">IF(VLOOKUP($R63,武学奇术!$A:$ZZ,24,FALSE)=1,100%,MIN(40%,$B$10+VLOOKUP($R63,武学奇术!$A:$ZZ,19,FALSE)+SUM(_xlfn.XLOOKUP($S63:$AL63,增益!$A:$A,增益!$S:$S,0)))+$B$12+SUM(_xlfn.XLOOKUP($S63:$AL63,增益!$A:$A,增益!$V:$V,0)))*IF(VLOOKUP($R63,武学奇术!$A:$ZZ,23,FALSE)=1,0,1)</f>
        <v>0.0913</v>
      </c>
      <c r="BS63" s="33" cm="1">
        <f t="array" ref="BS63">1+$B$14+VLOOKUP($R63,武学奇术!$A:$ZZ,20,FALSE)+SUM(_xlfn.XLOOKUP($S63:$AL63,增益!$A:$A,增益!$T:$T,0))</f>
        <v>1.35</v>
      </c>
      <c r="BT63" s="33">
        <f t="shared" si="10"/>
        <v>0.86580831</v>
      </c>
      <c r="BU63" s="33">
        <f t="shared" si="11"/>
        <v>0.02208246</v>
      </c>
      <c r="BV63" s="33">
        <f>IF(VLOOKUP($R63,武学奇术!$A:$ZZ,22,FALSE)=1,0,(1-$BO63))*(1-$BR63)</f>
        <v>0.02080923</v>
      </c>
      <c r="BW63" s="33" cm="1">
        <f t="array" ref="BW63">SUM(_xlfn.XLOOKUP($S63:$AL63,增益!$A:$A,增益!$W:$W,0))+$I$5</f>
        <v>0.11</v>
      </c>
      <c r="BX63" s="33" cm="1">
        <f t="array" ref="BX63">VLOOKUP($R63,武学奇术!$A:$ZZ,32,FALSE)+SUM(_xlfn.XLOOKUP($S63:$AL63,增益!$A:$A,增益!$X:$X,0))</f>
        <v>0</v>
      </c>
    </row>
    <row r="64" spans="4:76">
      <c r="L64" s="46">
        <f t="shared" si="0"/>
        <v>41931.3947483213</v>
      </c>
      <c r="M64" s="46">
        <f>((($AT64+$AU64)/2*$AN64+$AO64)*(1+$AV64)*(1+$AW64)+(($AY64+$AZ64)/2*IF($G$1="鸣金",$AP64,$AN64)+IF($G$1="鸣金",$AQ64*1.5,0))*(1+$BA64)*(1+$BB64)+(($BC64+$BD64)/2*IF($G$1="裂石",$AP64,$AN64)+IF($G$1="裂石",$AQ64*1.5,0))*(1+$BE64)*(1+$BF64)+(($BG64+$BH64)/2*IF($G$1="牵丝",$AP64,$AN64)+IF($G$1="牵丝",$AQ64*1.5,0))*(1+$BI64)*(1+$BJ64)+(($BK64+$BL64)/2*IF($G$1="破竹",$AP64,$AN64)+IF($G$1="破竹",$AQ64*1.5,0))*(1+$BM64)*(1+$BN64))*(1+$AR64)*$BQ64*$Q64*(1+IF(VLOOKUP($R64,武学奇术!$A:$ZZ,30,FALSE)="蓄力技",$B$21,0))*(1+IF(VLOOKUP($R64,武学奇术!$A:$ZZ,30,FALSE)="派生技",$B$20,0))*(1+$BW64)*(1+$BX64)</f>
        <v>43851.2110492413</v>
      </c>
      <c r="N64" s="46">
        <f>(($AU64*$AN64+$AO64)*(1+$AV64)*(1+$AW64)+($AZ64*IF($G$1="鸣金",$AP64,$AN64)+IF($G$1="鸣金",$AQ64*1.5,0))*(1+$BA64)*(1+$BB64)+($BD64*IF($G$1="裂石",$AP64,$AN64)+IF($G$1="裂石",$AQ64*1.5,0))*(1+$BE64)*(1+$BF64)+($BH64*IF($G$1="牵丝",$AP64,$AN64)+IF($G$1="牵丝",$AQ64*1.5,0))*(1+$BI64)*(1+$BJ64)+($BL64*IF($G$1="破竹",$AP64,$AN64)+IF($G$1="破竹",$AQ64*1.5,0))*(1+$BM64)*(1+$BN64))*(1+$AR64)*$BS64*$Q64*(1+IF(VLOOKUP($R64,武学奇术!$A:$ZZ,30,FALSE)="蓄力技",$B$21,0))*(1+IF(VLOOKUP($R64,武学奇术!$A:$ZZ,30,FALSE)="派生技",$B$20,0))*(1+$BW64)*(1+$BX64)</f>
        <v>33839.9552860611</v>
      </c>
      <c r="O64" s="46">
        <f>((($AT64+$AU64)/2*$AN64+$AO64)*(1+$AV64)*(1+$AW64)+(($AY64+$AZ64)/2*IF($G$1="鸣金",$AP64,$AN64)+IF($G$1="鸣金",$AQ64*1.5,0))*(1+$BA64)*(1+$BB64)+(($BC64+$BD64)/2*IF($G$1="裂石",$AP64,$AN64)+IF($G$1="裂石",$AQ64*1.5,0))*(1+$BE64)*(1+$BF64)+(($BG64+$BH64)/2*IF($G$1="牵丝",$AP64,$AN64)+IF($G$1="牵丝",$AQ64*1.5,0))*(1+$BI64)*(1+$BJ64)+(($BK64+$BL64)/2*IF($G$1="破竹",$AP64,$AN64)+IF($G$1="破竹",$AQ64*1.5,0))*(1+$BM64)*(1+$BN64))*(1+$AR64)*$Q64*(1+IF(VLOOKUP($R64,武学奇术!$A:$ZZ,30,FALSE)="蓄力技",$B$21,0))*(1+IF(VLOOKUP($R64,武学奇术!$A:$ZZ,30,FALSE)="派生技",$B$20,0))*(1+$BW64)*(1+$BX64)</f>
        <v>21925.6055246207</v>
      </c>
      <c r="P64" s="46">
        <f>((($AT64*$AN64+$AO64)*(1+$AV64)*(1+$AW64)+($AY64*IF($G$1="鸣金",$AP64,$AN64)+IF($G$1="鸣金",$AQ64*1.5,0))*(1+$BA64)*(1+$BB64)+($BC64*IF($G$1="裂石",$AP64,$AN64)+IF($G$1="裂石",$AQ64*1.5,0))*(1+$BE64)*(1+$BF64)+($BG64*IF($G$1="牵丝",$AP64,$AN64)+IF($G$1="牵丝",$AQ64*1.5,0))*(1+$BI64)*(1+$BJ64)+($BK64*IF($G$1="破竹",$AP64,$AN64)+IF($G$1="破竹",$AQ64*1.5,0))*(1+$BM64)*(1+$BN64))*(1+$AR64))*$Q64*(1+IF(VLOOKUP($R64,武学奇术!$A:$ZZ,30,FALSE)="蓄力技",$B$21,0))*(1+IF(VLOOKUP($R64,武学奇术!$A:$ZZ,30,FALSE)="派生技",$B$20,0))*(1+$BW64)*(1+$BX64)</f>
        <v>18784.5775040109</v>
      </c>
      <c r="Q64" s="47">
        <f t="shared" si="13"/>
        <v>1</v>
      </c>
      <c r="R64" s="48" t="s">
        <v>122</v>
      </c>
      <c r="S64" s="48" t="s">
        <v>99</v>
      </c>
      <c r="T64" s="48" t="s">
        <v>182</v>
      </c>
      <c r="U64" s="48" t="s">
        <v>79</v>
      </c>
      <c r="V64" s="48" t="s">
        <v>90</v>
      </c>
      <c r="W64" s="48" t="s">
        <v>141</v>
      </c>
      <c r="X64" s="48" t="s">
        <v>80</v>
      </c>
      <c r="Y64" s="48" t="s">
        <v>74</v>
      </c>
      <c r="Z64" s="48" t="s">
        <v>80</v>
      </c>
      <c r="AA64" s="48" t="s">
        <v>80</v>
      </c>
      <c r="AB64" s="48" t="s">
        <v>80</v>
      </c>
      <c r="AC64" s="48" t="s">
        <v>80</v>
      </c>
      <c r="AD64" s="48" t="s">
        <v>80</v>
      </c>
      <c r="AE64" s="48" t="s">
        <v>80</v>
      </c>
      <c r="AF64" s="48" t="s">
        <v>83</v>
      </c>
      <c r="AG64" s="48" t="s">
        <v>84</v>
      </c>
      <c r="AH64" s="48" t="s">
        <v>80</v>
      </c>
      <c r="AI64" s="48" t="s">
        <v>80</v>
      </c>
      <c r="AJ64" s="48" t="s">
        <v>80</v>
      </c>
      <c r="AK64" s="48" t="s">
        <v>80</v>
      </c>
      <c r="AL64" s="48" t="s">
        <v>80</v>
      </c>
      <c r="AM64" t="str">
        <f>VLOOKUP($R64,武学奇术!$A:$ZZ,25,FALSE)</f>
        <v>横刀</v>
      </c>
      <c r="AN64" s="33">
        <f>VLOOKUP($R64,武学奇术!$A:$ZZ,26,FALSE)</f>
        <v>1.47</v>
      </c>
      <c r="AO64" s="34">
        <f>VLOOKUP($R64,武学奇术!$A:$ZZ,27,FALSE)*(1+IF(OR($AM64=$F$4,$AM64=$F$5),$B$22,0))</f>
        <v>0</v>
      </c>
      <c r="AP64" s="33">
        <f>VLOOKUP($R64,武学奇术!$A:$ZZ,28,FALSE)</f>
        <v>2.205</v>
      </c>
      <c r="AQ64" s="34">
        <f>VLOOKUP($R64,武学奇术!$A:$ZZ,29,FALSE)*(1+IF(OR($AM64=$F$4,$AM64=$F$5),$B$22,0))</f>
        <v>0</v>
      </c>
      <c r="AR64" s="33" cm="1">
        <f t="array" ref="AR64">$G$3+IFERROR(VLOOKUP($AM64,$F$4:$G$7,2,FALSE),0)+VLOOKUP($R64,武学奇术!$A:$ZZ,2,FALSE)+SUM(_xlfn.XLOOKUP($S64:$AL64,增益!$A:$A,增益!$B:$B,0))</f>
        <v>0.5289</v>
      </c>
      <c r="AS64" s="33" cm="1">
        <f t="array" ref="AS64">VLOOKUP($R64,武学奇术!$A:$ZZ,5,FALSE)+SUM(_xlfn.XLOOKUP($S64:$AL64,增益!$A:$A,增益!$E:$E,0))</f>
        <v>0</v>
      </c>
      <c r="AT64" cm="1">
        <f t="array" ref="AT64">$D$10*(1+$AS64)+VLOOKUP($R64,武学奇术!$A:$ZZ,3,FALSE)+SUM(_xlfn.XLOOKUP($S64:$AL64,增益!$A:$A,增益!$C:$C,0))-$I$2</f>
        <v>4026</v>
      </c>
      <c r="AU64" cm="1">
        <f t="array" ref="AU64">$E$10*(1+$AS64)+VLOOKUP($R64,武学奇术!$A:$ZZ,4,FALSE)+SUM(_xlfn.XLOOKUP($S64:$AL64,增益!$A:$A,增益!$D:$D,0))-$I$2</f>
        <v>4026</v>
      </c>
      <c r="AV64" s="40" cm="1">
        <f t="array" ref="AV64">IF($F$10-$I$3+VLOOKUP($R64,武学奇术!$A:$ZZ,6,FALSE)+SUM(_xlfn.XLOOKUP($S64:$AL64,增益!$A:$A,增益!$F:$F,0))&gt;0,($F$10-$I$3+VLOOKUP($R64,武学奇术!$A:$ZZ,6,FALSE)+SUM(_xlfn.XLOOKUP($S64:$AL64,增益!$A:$A,增益!$F:$F,0)))/200,($F$10-$I$3+VLOOKUP($R64,武学奇术!$A:$ZZ,6,FALSE)+SUM(_xlfn.XLOOKUP($S64:$AL64,增益!$A:$A,增益!$F:$F,0)))/100)</f>
        <v>0.3534</v>
      </c>
      <c r="AW64" s="40" cm="1">
        <f t="array" ref="AW64">$G$10+VLOOKUP($R64,武学奇术!$A:$ZZ,7,FALSE)+SUM(_xlfn.XLOOKUP($S64:$AL64,增益!$A:$A,增益!$G:$G,0))</f>
        <v>0.12</v>
      </c>
      <c r="AX64" s="33" cm="1">
        <f t="array" ref="AX64">VLOOKUP($R64,武学奇术!$A:$ZZ,8,FALSE)+SUM(_xlfn.XLOOKUP($S64:$AL64,增益!$A:$A,增益!$H:$H,0))</f>
        <v>0</v>
      </c>
      <c r="AY64">
        <f t="shared" si="2"/>
        <v>0</v>
      </c>
      <c r="AZ64">
        <f t="shared" si="3"/>
        <v>0</v>
      </c>
      <c r="BA64" s="40" cm="1">
        <f t="array" ref="BA64">IF($F$11-$I$4+VLOOKUP($R64,武学奇术!$A:$ZZ,9,FALSE)+SUM(_xlfn.XLOOKUP($S64:$AL64,增益!$A:$A,增益!$I:$I,0))&gt;0,($F$11-$I$4+VLOOKUP($R64,武学奇术!$A:$ZZ,9,FALSE)+SUM(_xlfn.XLOOKUP($S64:$AL64,增益!$A:$A,增益!$I:$I,0)))/200,($F$11-$I$4+VLOOKUP($R64,武学奇术!$A:$ZZ,9,FALSE)+SUM(_xlfn.XLOOKUP($S64:$AL64,增益!$A:$A,增益!$I:$I,0)))/100)</f>
        <v>-0.14</v>
      </c>
      <c r="BB64" s="40" cm="1">
        <f t="array" ref="BB64">$G$11+VLOOKUP($R64,武学奇术!$A:$ZZ,10,FALSE)+SUM(_xlfn.XLOOKUP($S64:$AL64,增益!$A:$A,增益!$J:$J,0))</f>
        <v>0</v>
      </c>
      <c r="BC64">
        <f t="shared" si="4"/>
        <v>640.3</v>
      </c>
      <c r="BD64">
        <f t="shared" si="5"/>
        <v>1770.1</v>
      </c>
      <c r="BE64" s="40" cm="1">
        <f t="array" ref="BE64">IF($F$12-$I$4+VLOOKUP($R64,武学奇术!$A:$ZZ,11,FALSE)+SUM(_xlfn.XLOOKUP($S64:$AL64,增益!$A:$A,增益!$K:$K,0))&gt;0,($F$12-$I$4+VLOOKUP($R64,武学奇术!$A:$ZZ,11,FALSE)+SUM(_xlfn.XLOOKUP($S64:$AL64,增益!$A:$A,增益!$K:$K,0)))/200,($F$12-$I$4+VLOOKUP($R64,武学奇术!$A:$ZZ,11,FALSE)+SUM(_xlfn.XLOOKUP($S64:$AL64,增益!$A:$A,增益!$K:$K,0)))/100)</f>
        <v>0.17</v>
      </c>
      <c r="BF64" s="40" cm="1">
        <f t="array" ref="BF64">$G$12+VLOOKUP($R64,武学奇术!$A:$ZZ,12,FALSE)+SUM(_xlfn.XLOOKUP($S64:$AL64,增益!$A:$A,增益!$L:$L,0))</f>
        <v>0.27</v>
      </c>
      <c r="BG64">
        <f t="shared" si="6"/>
        <v>0</v>
      </c>
      <c r="BH64">
        <f t="shared" si="7"/>
        <v>0</v>
      </c>
      <c r="BI64" s="40" cm="1">
        <f t="array" ref="BI64">IF($F$13-$I$4+VLOOKUP($R64,武学奇术!$A:$ZZ,13,FALSE)+SUM(_xlfn.XLOOKUP($S64:$AL64,增益!$A:$A,增益!$M:$M,0))&gt;0,($F$13-$I$4+VLOOKUP($R64,武学奇术!$A:$ZZ,13,FALSE)+SUM(_xlfn.XLOOKUP($S64:$AL64,增益!$A:$A,增益!$K:$K,0)))/200,($F$13-$I$4+VLOOKUP($R64,武学奇术!$A:$ZZ,13,FALSE)+SUM(_xlfn.XLOOKUP($S64:$AL64,增益!$A:$A,增益!$M:$M,0)))/100)</f>
        <v>-0.14</v>
      </c>
      <c r="BJ64" s="40" cm="1">
        <f t="array" ref="BJ64">$G$13+VLOOKUP($R64,武学奇术!$A:$ZZ,14,FALSE)+SUM(_xlfn.XLOOKUP($S64:$AL64,增益!$A:$A,增益!$N:$N,0))</f>
        <v>0</v>
      </c>
      <c r="BK64">
        <f t="shared" si="8"/>
        <v>0</v>
      </c>
      <c r="BL64">
        <f t="shared" si="9"/>
        <v>0</v>
      </c>
      <c r="BM64" s="40" cm="1">
        <f t="array" ref="BM64">IF($F$14-$I$4+VLOOKUP($R64,武学奇术!$A:$ZZ,15,FALSE)+SUM(_xlfn.XLOOKUP($S64:$AL64,增益!$A:$A,增益!$O:$O,0))&gt;0,($F$14-$I$4+VLOOKUP($R64,武学奇术!$A:$ZZ,15,FALSE)+SUM(_xlfn.XLOOKUP($S64:$AL64,增益!$A:$A,增益!$O:$O,0)))/200,($F$14-$I$4+VLOOKUP($R64,武学奇术!$A:$ZZ,15,FALSE)+SUM(_xlfn.XLOOKUP($S64:$AL64,增益!$A:$A,增益!$O:$O,0)))/100)</f>
        <v>-0.14</v>
      </c>
      <c r="BN64" s="40" cm="1">
        <f t="array" ref="BN64">$G$14+VLOOKUP($R64,武学奇术!$A:$ZZ,16,FALSE)+SUM(_xlfn.XLOOKUP($S64:$AL64,增益!$A:$A,增益!$P:$P,0))</f>
        <v>0</v>
      </c>
      <c r="BO64" s="33">
        <f>MIN(IF(VLOOKUP($R64,武学奇术!$A:$ZZ,23,FALSE)=1,100%,$B$8),100%)</f>
        <v>0.9771</v>
      </c>
      <c r="BP64" s="33" cm="1">
        <f t="array" ref="BP64">IF(VLOOKUP($R64,武学奇术!$A:$ZZ,23,FALSE)=1,100%,MIN(80%,$B$9+VLOOKUP($R64,武学奇术!$A:$ZZ,17,FALSE)+SUM(_xlfn.XLOOKUP($S64:$AL64,增益!$A:$A,增益!$Q:$Q,0)))+$B$11+SUM(_xlfn.XLOOKUP($S64:$AL64,增益!$A:$A,增益!$U:$U,0)))*IF(VLOOKUP($R64,武学奇术!$A:$ZZ,24,FALSE)=1,0,1)</f>
        <v>0.8861</v>
      </c>
      <c r="BQ64" s="33" cm="1">
        <f t="array" ref="BQ64">1+$B$13+VLOOKUP($R64,武学奇术!$A:$ZZ,18,FALSE)+SUM(_xlfn.XLOOKUP($S64:$AL64,增益!$A:$A,增益!$R:$R,0))</f>
        <v>2</v>
      </c>
      <c r="BR64" s="33" cm="1">
        <f t="array" ref="BR64">IF(VLOOKUP($R64,武学奇术!$A:$ZZ,24,FALSE)=1,100%,MIN(40%,$B$10+VLOOKUP($R64,武学奇术!$A:$ZZ,19,FALSE)+SUM(_xlfn.XLOOKUP($S64:$AL64,增益!$A:$A,增益!$S:$S,0)))+$B$12+SUM(_xlfn.XLOOKUP($S64:$AL64,增益!$A:$A,增益!$V:$V,0)))*IF(VLOOKUP($R64,武学奇术!$A:$ZZ,23,FALSE)=1,0,1)</f>
        <v>0.0913</v>
      </c>
      <c r="BS64" s="33" cm="1">
        <f t="array" ref="BS64">1+$B$14+VLOOKUP($R64,武学奇术!$A:$ZZ,20,FALSE)+SUM(_xlfn.XLOOKUP($S64:$AL64,增益!$A:$A,增益!$T:$T,0))</f>
        <v>1.35</v>
      </c>
      <c r="BT64" s="33">
        <f t="shared" si="10"/>
        <v>0.86580831</v>
      </c>
      <c r="BU64" s="33">
        <f t="shared" si="11"/>
        <v>0.02208246</v>
      </c>
      <c r="BV64" s="33">
        <f>IF(VLOOKUP($R64,武学奇术!$A:$ZZ,22,FALSE)=1,0,(1-$BO64))*(1-$BR64)</f>
        <v>0.02080923</v>
      </c>
      <c r="BW64" s="33" cm="1">
        <f t="array" ref="BW64">SUM(_xlfn.XLOOKUP($S64:$AL64,增益!$A:$A,增益!$W:$W,0))+$I$5</f>
        <v>0.11</v>
      </c>
      <c r="BX64" s="33" cm="1">
        <f t="array" ref="BX64">VLOOKUP($R64,武学奇术!$A:$ZZ,32,FALSE)+SUM(_xlfn.XLOOKUP($S64:$AL64,增益!$A:$A,增益!$X:$X,0))</f>
        <v>0</v>
      </c>
    </row>
    <row r="65" spans="1:76">
      <c r="L65" s="46">
        <f t="shared" si="0"/>
        <v>20881.3097712756</v>
      </c>
      <c r="M65" s="46">
        <f>((($AT65+$AU65)/2*$AN65+$AO65)*(1+$AV65)*(1+$AW65)+(($AY65+$AZ65)/2*IF($G$1="鸣金",$AP65,$AN65)+IF($G$1="鸣金",$AQ65*1.5,0))*(1+$BA65)*(1+$BB65)+(($BC65+$BD65)/2*IF($G$1="裂石",$AP65,$AN65)+IF($G$1="裂石",$AQ65*1.5,0))*(1+$BE65)*(1+$BF65)+(($BG65+$BH65)/2*IF($G$1="牵丝",$AP65,$AN65)+IF($G$1="牵丝",$AQ65*1.5,0))*(1+$BI65)*(1+$BJ65)+(($BK65+$BL65)/2*IF($G$1="破竹",$AP65,$AN65)+IF($G$1="破竹",$AQ65*1.5,0))*(1+$BM65)*(1+$BN65))*(1+$AR65)*$BQ65*$Q65*(1+IF(VLOOKUP($R65,武学奇术!$A:$ZZ,30,FALSE)="蓄力技",$B$21,0))*(1+IF(VLOOKUP($R65,武学奇术!$A:$ZZ,30,FALSE)="派生技",$B$20,0))*(1+$BW65)*(1+$BX65)</f>
        <v>21837.3542607106</v>
      </c>
      <c r="N65" s="46">
        <f>(($AU65*$AN65+$AO65)*(1+$AV65)*(1+$AW65)+($AZ65*IF($G$1="鸣金",$AP65,$AN65)+IF($G$1="鸣金",$AQ65*1.5,0))*(1+$BA65)*(1+$BB65)+($BD65*IF($G$1="裂石",$AP65,$AN65)+IF($G$1="裂石",$AQ65*1.5,0))*(1+$BE65)*(1+$BF65)+($BH65*IF($G$1="牵丝",$AP65,$AN65)+IF($G$1="牵丝",$AQ65*1.5,0))*(1+$BI65)*(1+$BJ65)+($BL65*IF($G$1="破竹",$AP65,$AN65)+IF($G$1="破竹",$AQ65*1.5,0))*(1+$BM65)*(1+$BN65))*(1+$AR65)*$BS65*$Q65*(1+IF(VLOOKUP($R65,武学奇术!$A:$ZZ,30,FALSE)="蓄力技",$B$21,0))*(1+IF(VLOOKUP($R65,武学奇术!$A:$ZZ,30,FALSE)="派生技",$B$20,0))*(1+$BW65)*(1+$BX65)</f>
        <v>16851.8741915363</v>
      </c>
      <c r="O65" s="46">
        <f>((($AT65+$AU65)/2*$AN65+$AO65)*(1+$AV65)*(1+$AW65)+(($AY65+$AZ65)/2*IF($G$1="鸣金",$AP65,$AN65)+IF($G$1="鸣金",$AQ65*1.5,0))*(1+$BA65)*(1+$BB65)+(($BC65+$BD65)/2*IF($G$1="裂石",$AP65,$AN65)+IF($G$1="裂石",$AQ65*1.5,0))*(1+$BE65)*(1+$BF65)+(($BG65+$BH65)/2*IF($G$1="牵丝",$AP65,$AN65)+IF($G$1="牵丝",$AQ65*1.5,0))*(1+$BI65)*(1+$BJ65)+(($BK65+$BL65)/2*IF($G$1="破竹",$AP65,$AN65)+IF($G$1="破竹",$AQ65*1.5,0))*(1+$BM65)*(1+$BN65))*(1+$AR65)*$Q65*(1+IF(VLOOKUP($R65,武学奇术!$A:$ZZ,30,FALSE)="蓄力技",$B$21,0))*(1+IF(VLOOKUP($R65,武学奇术!$A:$ZZ,30,FALSE)="派生技",$B$20,0))*(1+$BW65)*(1+$BX65)</f>
        <v>10918.6771303553</v>
      </c>
      <c r="P65" s="46">
        <f>((($AT65*$AN65+$AO65)*(1+$AV65)*(1+$AW65)+($AY65*IF($G$1="鸣金",$AP65,$AN65)+IF($G$1="鸣金",$AQ65*1.5,0))*(1+$BA65)*(1+$BB65)+($BC65*IF($G$1="裂石",$AP65,$AN65)+IF($G$1="裂石",$AQ65*1.5,0))*(1+$BE65)*(1+$BF65)+($BG65*IF($G$1="牵丝",$AP65,$AN65)+IF($G$1="牵丝",$AQ65*1.5,0))*(1+$BI65)*(1+$BJ65)+($BK65*IF($G$1="破竹",$AP65,$AN65)+IF($G$1="破竹",$AQ65*1.5,0))*(1+$BM65)*(1+$BN65))*(1+$AR65))*$Q65*(1+IF(VLOOKUP($R65,武学奇术!$A:$ZZ,30,FALSE)="蓄力技",$B$21,0))*(1+IF(VLOOKUP($R65,武学奇术!$A:$ZZ,30,FALSE)="派生技",$B$20,0))*(1+$BW65)*(1+$BX65)</f>
        <v>9354.48448920223</v>
      </c>
      <c r="Q65" s="47">
        <f t="shared" si="13"/>
        <v>1</v>
      </c>
      <c r="R65" s="48" t="s">
        <v>140</v>
      </c>
      <c r="S65" s="48" t="s">
        <v>99</v>
      </c>
      <c r="T65" s="48" t="s">
        <v>182</v>
      </c>
      <c r="U65" s="48" t="s">
        <v>79</v>
      </c>
      <c r="V65" s="48" t="s">
        <v>90</v>
      </c>
      <c r="W65" s="48" t="s">
        <v>141</v>
      </c>
      <c r="X65" s="48" t="s">
        <v>80</v>
      </c>
      <c r="Y65" s="48" t="s">
        <v>74</v>
      </c>
      <c r="Z65" s="48" t="s">
        <v>80</v>
      </c>
      <c r="AA65" s="48" t="s">
        <v>80</v>
      </c>
      <c r="AB65" s="48" t="s">
        <v>80</v>
      </c>
      <c r="AC65" s="48" t="s">
        <v>80</v>
      </c>
      <c r="AD65" s="48" t="s">
        <v>80</v>
      </c>
      <c r="AE65" s="48" t="s">
        <v>80</v>
      </c>
      <c r="AF65" s="48" t="s">
        <v>83</v>
      </c>
      <c r="AG65" s="48" t="s">
        <v>84</v>
      </c>
      <c r="AH65" s="48" t="s">
        <v>80</v>
      </c>
      <c r="AI65" s="48" t="s">
        <v>80</v>
      </c>
      <c r="AJ65" s="48" t="s">
        <v>80</v>
      </c>
      <c r="AK65" s="48" t="s">
        <v>80</v>
      </c>
      <c r="AL65" s="48" t="s">
        <v>80</v>
      </c>
      <c r="AM65" t="str">
        <f>VLOOKUP($R65,武学奇术!$A:$ZZ,25,FALSE)</f>
        <v>陌刀</v>
      </c>
      <c r="AN65" s="33">
        <f>VLOOKUP($R65,武学奇术!$A:$ZZ,26,FALSE)</f>
        <v>0.525</v>
      </c>
      <c r="AO65" s="34">
        <f>VLOOKUP($R65,武学奇术!$A:$ZZ,27,FALSE)*(1+IF(OR($AM65=$F$4,$AM65=$F$5),$B$22,0))</f>
        <v>0</v>
      </c>
      <c r="AP65" s="33">
        <f>VLOOKUP($R65,武学奇术!$A:$ZZ,28,FALSE)</f>
        <v>0.7875</v>
      </c>
      <c r="AQ65" s="34">
        <f>VLOOKUP($R65,武学奇术!$A:$ZZ,29,FALSE)*(1+IF(OR($AM65=$F$4,$AM65=$F$5),$B$22,0))</f>
        <v>0</v>
      </c>
      <c r="AR65" s="33" cm="1">
        <f t="array" ref="AR65">$G$3+IFERROR(VLOOKUP($AM65,$F$4:$G$7,2,FALSE),0)+VLOOKUP($R65,武学奇术!$A:$ZZ,2,FALSE)+SUM(_xlfn.XLOOKUP($S65:$AL65,增益!$A:$A,增益!$B:$B,0))</f>
        <v>0.6143</v>
      </c>
      <c r="AS65" s="33" cm="1">
        <f t="array" ref="AS65">VLOOKUP($R65,武学奇术!$A:$ZZ,5,FALSE)+SUM(_xlfn.XLOOKUP($S65:$AL65,增益!$A:$A,增益!$E:$E,0))</f>
        <v>0</v>
      </c>
      <c r="AT65" cm="1">
        <f t="array" ref="AT65">$D$10*(1+$AS65)+VLOOKUP($R65,武学奇术!$A:$ZZ,3,FALSE)+SUM(_xlfn.XLOOKUP($S65:$AL65,增益!$A:$A,增益!$C:$C,0))-$I$2</f>
        <v>4026</v>
      </c>
      <c r="AU65" cm="1">
        <f t="array" ref="AU65">$E$10*(1+$AS65)+VLOOKUP($R65,武学奇术!$A:$ZZ,4,FALSE)+SUM(_xlfn.XLOOKUP($S65:$AL65,增益!$A:$A,增益!$D:$D,0))-$I$2</f>
        <v>4026</v>
      </c>
      <c r="AV65" s="40" cm="1">
        <f t="array" ref="AV65">IF($F$10-$I$3+VLOOKUP($R65,武学奇术!$A:$ZZ,6,FALSE)+SUM(_xlfn.XLOOKUP($S65:$AL65,增益!$A:$A,增益!$F:$F,0))&gt;0,($F$10-$I$3+VLOOKUP($R65,武学奇术!$A:$ZZ,6,FALSE)+SUM(_xlfn.XLOOKUP($S65:$AL65,增益!$A:$A,增益!$F:$F,0)))/200,($F$10-$I$3+VLOOKUP($R65,武学奇术!$A:$ZZ,6,FALSE)+SUM(_xlfn.XLOOKUP($S65:$AL65,增益!$A:$A,增益!$F:$F,0)))/100)</f>
        <v>0.3534</v>
      </c>
      <c r="AW65" s="40" cm="1">
        <f t="array" ref="AW65">$G$10+VLOOKUP($R65,武学奇术!$A:$ZZ,7,FALSE)+SUM(_xlfn.XLOOKUP($S65:$AL65,增益!$A:$A,增益!$G:$G,0))</f>
        <v>0.12</v>
      </c>
      <c r="AX65" s="33" cm="1">
        <f t="array" ref="AX65">VLOOKUP($R65,武学奇术!$A:$ZZ,8,FALSE)+SUM(_xlfn.XLOOKUP($S65:$AL65,增益!$A:$A,增益!$H:$H,0))</f>
        <v>0</v>
      </c>
      <c r="AY65">
        <f t="shared" si="2"/>
        <v>0</v>
      </c>
      <c r="AZ65">
        <f t="shared" si="3"/>
        <v>0</v>
      </c>
      <c r="BA65" s="40" cm="1">
        <f t="array" ref="BA65">IF($F$11-$I$4+VLOOKUP($R65,武学奇术!$A:$ZZ,9,FALSE)+SUM(_xlfn.XLOOKUP($S65:$AL65,增益!$A:$A,增益!$I:$I,0))&gt;0,($F$11-$I$4+VLOOKUP($R65,武学奇术!$A:$ZZ,9,FALSE)+SUM(_xlfn.XLOOKUP($S65:$AL65,增益!$A:$A,增益!$I:$I,0)))/200,($F$11-$I$4+VLOOKUP($R65,武学奇术!$A:$ZZ,9,FALSE)+SUM(_xlfn.XLOOKUP($S65:$AL65,增益!$A:$A,增益!$I:$I,0)))/100)</f>
        <v>-0.14</v>
      </c>
      <c r="BB65" s="40" cm="1">
        <f t="array" ref="BB65">$G$11+VLOOKUP($R65,武学奇术!$A:$ZZ,10,FALSE)+SUM(_xlfn.XLOOKUP($S65:$AL65,增益!$A:$A,增益!$J:$J,0))</f>
        <v>0</v>
      </c>
      <c r="BC65">
        <f t="shared" si="4"/>
        <v>640.3</v>
      </c>
      <c r="BD65">
        <f t="shared" si="5"/>
        <v>1770.1</v>
      </c>
      <c r="BE65" s="40" cm="1">
        <f t="array" ref="BE65">IF($F$12-$I$4+VLOOKUP($R65,武学奇术!$A:$ZZ,11,FALSE)+SUM(_xlfn.XLOOKUP($S65:$AL65,增益!$A:$A,增益!$K:$K,0))&gt;0,($F$12-$I$4+VLOOKUP($R65,武学奇术!$A:$ZZ,11,FALSE)+SUM(_xlfn.XLOOKUP($S65:$AL65,增益!$A:$A,增益!$K:$K,0)))/200,($F$12-$I$4+VLOOKUP($R65,武学奇术!$A:$ZZ,11,FALSE)+SUM(_xlfn.XLOOKUP($S65:$AL65,增益!$A:$A,增益!$K:$K,0)))/100)</f>
        <v>0.17</v>
      </c>
      <c r="BF65" s="40" cm="1">
        <f t="array" ref="BF65">$G$12+VLOOKUP($R65,武学奇术!$A:$ZZ,12,FALSE)+SUM(_xlfn.XLOOKUP($S65:$AL65,增益!$A:$A,增益!$L:$L,0))</f>
        <v>0.27</v>
      </c>
      <c r="BG65">
        <f t="shared" si="6"/>
        <v>0</v>
      </c>
      <c r="BH65">
        <f t="shared" si="7"/>
        <v>0</v>
      </c>
      <c r="BI65" s="40" cm="1">
        <f t="array" ref="BI65">IF($F$13-$I$4+VLOOKUP($R65,武学奇术!$A:$ZZ,13,FALSE)+SUM(_xlfn.XLOOKUP($S65:$AL65,增益!$A:$A,增益!$M:$M,0))&gt;0,($F$13-$I$4+VLOOKUP($R65,武学奇术!$A:$ZZ,13,FALSE)+SUM(_xlfn.XLOOKUP($S65:$AL65,增益!$A:$A,增益!$K:$K,0)))/200,($F$13-$I$4+VLOOKUP($R65,武学奇术!$A:$ZZ,13,FALSE)+SUM(_xlfn.XLOOKUP($S65:$AL65,增益!$A:$A,增益!$M:$M,0)))/100)</f>
        <v>-0.14</v>
      </c>
      <c r="BJ65" s="40" cm="1">
        <f t="array" ref="BJ65">$G$13+VLOOKUP($R65,武学奇术!$A:$ZZ,14,FALSE)+SUM(_xlfn.XLOOKUP($S65:$AL65,增益!$A:$A,增益!$N:$N,0))</f>
        <v>0</v>
      </c>
      <c r="BK65">
        <f t="shared" si="8"/>
        <v>0</v>
      </c>
      <c r="BL65">
        <f t="shared" si="9"/>
        <v>0</v>
      </c>
      <c r="BM65" s="40" cm="1">
        <f t="array" ref="BM65">IF($F$14-$I$4+VLOOKUP($R65,武学奇术!$A:$ZZ,15,FALSE)+SUM(_xlfn.XLOOKUP($S65:$AL65,增益!$A:$A,增益!$O:$O,0))&gt;0,($F$14-$I$4+VLOOKUP($R65,武学奇术!$A:$ZZ,15,FALSE)+SUM(_xlfn.XLOOKUP($S65:$AL65,增益!$A:$A,增益!$O:$O,0)))/200,($F$14-$I$4+VLOOKUP($R65,武学奇术!$A:$ZZ,15,FALSE)+SUM(_xlfn.XLOOKUP($S65:$AL65,增益!$A:$A,增益!$O:$O,0)))/100)</f>
        <v>-0.14</v>
      </c>
      <c r="BN65" s="40" cm="1">
        <f t="array" ref="BN65">$G$14+VLOOKUP($R65,武学奇术!$A:$ZZ,16,FALSE)+SUM(_xlfn.XLOOKUP($S65:$AL65,增益!$A:$A,增益!$P:$P,0))</f>
        <v>0</v>
      </c>
      <c r="BO65" s="33">
        <f>MIN(IF(VLOOKUP($R65,武学奇术!$A:$ZZ,23,FALSE)=1,100%,$B$8),100%)</f>
        <v>0.9771</v>
      </c>
      <c r="BP65" s="33" cm="1">
        <f t="array" ref="BP65">IF(VLOOKUP($R65,武学奇术!$A:$ZZ,23,FALSE)=1,100%,MIN(80%,$B$9+VLOOKUP($R65,武学奇术!$A:$ZZ,17,FALSE)+SUM(_xlfn.XLOOKUP($S65:$AL65,增益!$A:$A,增益!$Q:$Q,0)))+$B$11+SUM(_xlfn.XLOOKUP($S65:$AL65,增益!$A:$A,增益!$U:$U,0)))*IF(VLOOKUP($R65,武学奇术!$A:$ZZ,24,FALSE)=1,0,1)</f>
        <v>0.8861</v>
      </c>
      <c r="BQ65" s="33" cm="1">
        <f t="array" ref="BQ65">1+$B$13+VLOOKUP($R65,武学奇术!$A:$ZZ,18,FALSE)+SUM(_xlfn.XLOOKUP($S65:$AL65,增益!$A:$A,增益!$R:$R,0))</f>
        <v>2</v>
      </c>
      <c r="BR65" s="33" cm="1">
        <f t="array" ref="BR65">IF(VLOOKUP($R65,武学奇术!$A:$ZZ,24,FALSE)=1,100%,MIN(40%,$B$10+VLOOKUP($R65,武学奇术!$A:$ZZ,19,FALSE)+SUM(_xlfn.XLOOKUP($S65:$AL65,增益!$A:$A,增益!$S:$S,0)))+$B$12+SUM(_xlfn.XLOOKUP($S65:$AL65,增益!$A:$A,增益!$V:$V,0)))*IF(VLOOKUP($R65,武学奇术!$A:$ZZ,23,FALSE)=1,0,1)</f>
        <v>0.0913</v>
      </c>
      <c r="BS65" s="33" cm="1">
        <f t="array" ref="BS65">1+$B$14+VLOOKUP($R65,武学奇术!$A:$ZZ,20,FALSE)+SUM(_xlfn.XLOOKUP($S65:$AL65,增益!$A:$A,增益!$T:$T,0))</f>
        <v>1.35</v>
      </c>
      <c r="BT65" s="33">
        <f t="shared" si="10"/>
        <v>0.86580831</v>
      </c>
      <c r="BU65" s="33">
        <f t="shared" si="11"/>
        <v>0.02208246</v>
      </c>
      <c r="BV65" s="33">
        <f>IF(VLOOKUP($R65,武学奇术!$A:$ZZ,22,FALSE)=1,0,(1-$BO65))*(1-$BR65)</f>
        <v>0.02080923</v>
      </c>
      <c r="BW65" s="33" cm="1">
        <f t="array" ref="BW65">SUM(_xlfn.XLOOKUP($S65:$AL65,增益!$A:$A,增益!$W:$W,0))+$I$5</f>
        <v>0.11</v>
      </c>
      <c r="BX65" s="33" cm="1">
        <f t="array" ref="BX65">VLOOKUP($R65,武学奇术!$A:$ZZ,32,FALSE)+SUM(_xlfn.XLOOKUP($S65:$AL65,增益!$A:$A,增益!$X:$X,0))</f>
        <v>0</v>
      </c>
    </row>
    <row r="66" spans="1:76">
      <c r="L66" s="46">
        <f t="shared" ref="L66:L129" si="14">($M66*$BT66+$N66*$BR66+$O66*$BU66+$P66*$BV66)</f>
        <v>41272.599552743</v>
      </c>
      <c r="M66" s="46">
        <f>((($AT66+$AU66)/2*$AN66+$AO66)*(1+$AV66)*(1+$AW66)+(($AY66+$AZ66)/2*IF($G$1="鸣金",$AP66,$AN66)+IF($G$1="鸣金",$AQ66*1.5,0))*(1+$BA66)*(1+$BB66)+(($BC66+$BD66)/2*IF($G$1="裂石",$AP66,$AN66)+IF($G$1="裂石",$AQ66*1.5,0))*(1+$BE66)*(1+$BF66)+(($BG66+$BH66)/2*IF($G$1="牵丝",$AP66,$AN66)+IF($G$1="牵丝",$AQ66*1.5,0))*(1+$BI66)*(1+$BJ66)+(($BK66+$BL66)/2*IF($G$1="破竹",$AP66,$AN66)+IF($G$1="破竹",$AQ66*1.5,0))*(1+$BM66)*(1+$BN66))*(1+$AR66)*$BQ66*$Q66*(1+IF(VLOOKUP($R66,武学奇术!$A:$ZZ,30,FALSE)="蓄力技",$B$21,0))*(1+IF(VLOOKUP($R66,武学奇术!$A:$ZZ,30,FALSE)="派生技",$B$20,0))*(1+$BW66)*(1+$BX66)</f>
        <v>41272.599552743</v>
      </c>
      <c r="N66" s="46">
        <f>(($AU66*$AN66+$AO66)*(1+$AV66)*(1+$AW66)+($AZ66*IF($G$1="鸣金",$AP66,$AN66)+IF($G$1="鸣金",$AQ66*1.5,0))*(1+$BA66)*(1+$BB66)+($BD66*IF($G$1="裂石",$AP66,$AN66)+IF($G$1="裂石",$AQ66*1.5,0))*(1+$BE66)*(1+$BF66)+($BH66*IF($G$1="牵丝",$AP66,$AN66)+IF($G$1="牵丝",$AQ66*1.5,0))*(1+$BI66)*(1+$BJ66)+($BL66*IF($G$1="破竹",$AP66,$AN66)+IF($G$1="破竹",$AQ66*1.5,0))*(1+$BM66)*(1+$BN66))*(1+$AR66)*$BS66*$Q66*(1+IF(VLOOKUP($R66,武学奇术!$A:$ZZ,30,FALSE)="蓄力技",$B$21,0))*(1+IF(VLOOKUP($R66,武学奇术!$A:$ZZ,30,FALSE)="派生技",$B$20,0))*(1+$BW66)*(1+$BX66)</f>
        <v>30333.3735447654</v>
      </c>
      <c r="O66" s="46">
        <f>((($AT66+$AU66)/2*$AN66+$AO66)*(1+$AV66)*(1+$AW66)+(($AY66+$AZ66)/2*IF($G$1="鸣金",$AP66,$AN66)+IF($G$1="鸣金",$AQ66*1.5,0))*(1+$BA66)*(1+$BB66)+(($BC66+$BD66)/2*IF($G$1="裂石",$AP66,$AN66)+IF($G$1="裂石",$AQ66*1.5,0))*(1+$BE66)*(1+$BF66)+(($BG66+$BH66)/2*IF($G$1="牵丝",$AP66,$AN66)+IF($G$1="牵丝",$AQ66*1.5,0))*(1+$BI66)*(1+$BJ66)+(($BK66+$BL66)/2*IF($G$1="破竹",$AP66,$AN66)+IF($G$1="破竹",$AQ66*1.5,0))*(1+$BM66)*(1+$BN66))*(1+$AR66)*$Q66*(1+IF(VLOOKUP($R66,武学奇术!$A:$ZZ,30,FALSE)="蓄力技",$B$21,0))*(1+IF(VLOOKUP($R66,武学奇术!$A:$ZZ,30,FALSE)="派生技",$B$20,0))*(1+$BW66)*(1+$BX66)</f>
        <v>19653.6188346395</v>
      </c>
      <c r="P66" s="46">
        <f>((($AT66*$AN66+$AO66)*(1+$AV66)*(1+$AW66)+($AY66*IF($G$1="鸣金",$AP66,$AN66)+IF($G$1="鸣金",$AQ66*1.5,0))*(1+$BA66)*(1+$BB66)+($BC66*IF($G$1="裂石",$AP66,$AN66)+IF($G$1="裂石",$AQ66*1.5,0))*(1+$BE66)*(1+$BF66)+($BG66*IF($G$1="牵丝",$AP66,$AN66)+IF($G$1="牵丝",$AQ66*1.5,0))*(1+$BI66)*(1+$BJ66)+($BK66*IF($G$1="破竹",$AP66,$AN66)+IF($G$1="破竹",$AQ66*1.5,0))*(1+$BM66)*(1+$BN66))*(1+$AR66))*$Q66*(1+IF(VLOOKUP($R66,武学奇术!$A:$ZZ,30,FALSE)="蓄力技",$B$21,0))*(1+IF(VLOOKUP($R66,武学奇术!$A:$ZZ,30,FALSE)="派生技",$B$20,0))*(1+$BW66)*(1+$BX66)</f>
        <v>16838.072080564</v>
      </c>
      <c r="Q66" s="47">
        <f t="shared" si="13"/>
        <v>1</v>
      </c>
      <c r="R66" s="48" t="s">
        <v>144</v>
      </c>
      <c r="S66" s="48" t="s">
        <v>99</v>
      </c>
      <c r="T66" s="48" t="s">
        <v>182</v>
      </c>
      <c r="U66" s="48" t="s">
        <v>79</v>
      </c>
      <c r="V66" s="48" t="s">
        <v>90</v>
      </c>
      <c r="W66" s="48" t="s">
        <v>141</v>
      </c>
      <c r="X66" s="48" t="s">
        <v>145</v>
      </c>
      <c r="Y66" s="48" t="s">
        <v>74</v>
      </c>
      <c r="Z66" s="48" t="s">
        <v>80</v>
      </c>
      <c r="AA66" s="48" t="s">
        <v>80</v>
      </c>
      <c r="AB66" s="48" t="s">
        <v>80</v>
      </c>
      <c r="AC66" s="48" t="s">
        <v>80</v>
      </c>
      <c r="AD66" s="48" t="s">
        <v>80</v>
      </c>
      <c r="AE66" s="48" t="s">
        <v>80</v>
      </c>
      <c r="AF66" s="48" t="s">
        <v>83</v>
      </c>
      <c r="AG66" s="48" t="s">
        <v>84</v>
      </c>
      <c r="AH66" s="48" t="s">
        <v>80</v>
      </c>
      <c r="AI66" s="48" t="s">
        <v>80</v>
      </c>
      <c r="AJ66" s="48" t="s">
        <v>80</v>
      </c>
      <c r="AK66" s="48" t="s">
        <v>80</v>
      </c>
      <c r="AL66" s="48" t="s">
        <v>80</v>
      </c>
      <c r="AM66" t="str">
        <f>VLOOKUP($R66,武学奇术!$A:$ZZ,25,FALSE)</f>
        <v>陌刀</v>
      </c>
      <c r="AN66" s="33">
        <f>VLOOKUP($R66,武学奇术!$A:$ZZ,26,FALSE)</f>
        <v>0.945</v>
      </c>
      <c r="AO66" s="34">
        <f>VLOOKUP($R66,武学奇术!$A:$ZZ,27,FALSE)*(1+IF(OR($AM66=$F$4,$AM66=$F$5),$B$22,0))</f>
        <v>0</v>
      </c>
      <c r="AP66" s="33">
        <f>VLOOKUP($R66,武学奇术!$A:$ZZ,28,FALSE)</f>
        <v>1.4175</v>
      </c>
      <c r="AQ66" s="34">
        <f>VLOOKUP($R66,武学奇术!$A:$ZZ,29,FALSE)*(1+IF(OR($AM66=$F$4,$AM66=$F$5),$B$22,0))</f>
        <v>0</v>
      </c>
      <c r="AR66" s="33" cm="1">
        <f t="array" ref="AR66">$G$3+IFERROR(VLOOKUP($AM66,$F$4:$G$7,2,FALSE),0)+VLOOKUP($R66,武学奇术!$A:$ZZ,2,FALSE)+SUM(_xlfn.XLOOKUP($S66:$AL66,增益!$A:$A,增益!$B:$B,0))</f>
        <v>0.6143</v>
      </c>
      <c r="AS66" s="33" cm="1">
        <f t="array" ref="AS66">VLOOKUP($R66,武学奇术!$A:$ZZ,5,FALSE)+SUM(_xlfn.XLOOKUP($S66:$AL66,增益!$A:$A,增益!$E:$E,0))</f>
        <v>0</v>
      </c>
      <c r="AT66" cm="1">
        <f t="array" ref="AT66">$D$10*(1+$AS66)+VLOOKUP($R66,武学奇术!$A:$ZZ,3,FALSE)+SUM(_xlfn.XLOOKUP($S66:$AL66,增益!$A:$A,增益!$C:$C,0))-$I$2</f>
        <v>4026</v>
      </c>
      <c r="AU66" cm="1">
        <f t="array" ref="AU66">$E$10*(1+$AS66)+VLOOKUP($R66,武学奇术!$A:$ZZ,4,FALSE)+SUM(_xlfn.XLOOKUP($S66:$AL66,增益!$A:$A,增益!$D:$D,0))-$I$2</f>
        <v>4026</v>
      </c>
      <c r="AV66" s="40" cm="1">
        <f t="array" ref="AV66">IF($F$10-$I$3+VLOOKUP($R66,武学奇术!$A:$ZZ,6,FALSE)+SUM(_xlfn.XLOOKUP($S66:$AL66,增益!$A:$A,增益!$F:$F,0))&gt;0,($F$10-$I$3+VLOOKUP($R66,武学奇术!$A:$ZZ,6,FALSE)+SUM(_xlfn.XLOOKUP($S66:$AL66,增益!$A:$A,增益!$F:$F,0)))/200,($F$10-$I$3+VLOOKUP($R66,武学奇术!$A:$ZZ,6,FALSE)+SUM(_xlfn.XLOOKUP($S66:$AL66,增益!$A:$A,增益!$F:$F,0)))/100)</f>
        <v>0.3534</v>
      </c>
      <c r="AW66" s="40" cm="1">
        <f t="array" ref="AW66">$G$10+VLOOKUP($R66,武学奇术!$A:$ZZ,7,FALSE)+SUM(_xlfn.XLOOKUP($S66:$AL66,增益!$A:$A,增益!$G:$G,0))</f>
        <v>0.12</v>
      </c>
      <c r="AX66" s="33" cm="1">
        <f t="array" ref="AX66">VLOOKUP($R66,武学奇术!$A:$ZZ,8,FALSE)+SUM(_xlfn.XLOOKUP($S66:$AL66,增益!$A:$A,增益!$H:$H,0))</f>
        <v>0</v>
      </c>
      <c r="AY66">
        <f t="shared" ref="AY66:AY129" si="15">$D$11*(1+$AX66)</f>
        <v>0</v>
      </c>
      <c r="AZ66">
        <f t="shared" ref="AZ66:AZ129" si="16">$E$11*(1+$AX66)</f>
        <v>0</v>
      </c>
      <c r="BA66" s="40" cm="1">
        <f t="array" ref="BA66">IF($F$11-$I$4+VLOOKUP($R66,武学奇术!$A:$ZZ,9,FALSE)+SUM(_xlfn.XLOOKUP($S66:$AL66,增益!$A:$A,增益!$I:$I,0))&gt;0,($F$11-$I$4+VLOOKUP($R66,武学奇术!$A:$ZZ,9,FALSE)+SUM(_xlfn.XLOOKUP($S66:$AL66,增益!$A:$A,增益!$I:$I,0)))/200,($F$11-$I$4+VLOOKUP($R66,武学奇术!$A:$ZZ,9,FALSE)+SUM(_xlfn.XLOOKUP($S66:$AL66,增益!$A:$A,增益!$I:$I,0)))/100)</f>
        <v>-0.14</v>
      </c>
      <c r="BB66" s="40" cm="1">
        <f t="array" ref="BB66">$G$11+VLOOKUP($R66,武学奇术!$A:$ZZ,10,FALSE)+SUM(_xlfn.XLOOKUP($S66:$AL66,增益!$A:$A,增益!$J:$J,0))</f>
        <v>0</v>
      </c>
      <c r="BC66">
        <f t="shared" ref="BC66:BC129" si="17">$D$12*(1+$AX66)</f>
        <v>640.3</v>
      </c>
      <c r="BD66">
        <f t="shared" ref="BD66:BD129" si="18">$E$12*(1+$AX66)</f>
        <v>1770.1</v>
      </c>
      <c r="BE66" s="40" cm="1">
        <f t="array" ref="BE66">IF($F$12-$I$4+VLOOKUP($R66,武学奇术!$A:$ZZ,11,FALSE)+SUM(_xlfn.XLOOKUP($S66:$AL66,增益!$A:$A,增益!$K:$K,0))&gt;0,($F$12-$I$4+VLOOKUP($R66,武学奇术!$A:$ZZ,11,FALSE)+SUM(_xlfn.XLOOKUP($S66:$AL66,增益!$A:$A,增益!$K:$K,0)))/200,($F$12-$I$4+VLOOKUP($R66,武学奇术!$A:$ZZ,11,FALSE)+SUM(_xlfn.XLOOKUP($S66:$AL66,增益!$A:$A,增益!$K:$K,0)))/100)</f>
        <v>0.17</v>
      </c>
      <c r="BF66" s="40" cm="1">
        <f t="array" ref="BF66">$G$12+VLOOKUP($R66,武学奇术!$A:$ZZ,12,FALSE)+SUM(_xlfn.XLOOKUP($S66:$AL66,增益!$A:$A,增益!$L:$L,0))</f>
        <v>0.27</v>
      </c>
      <c r="BG66">
        <f t="shared" ref="BG66:BG129" si="19">$D$13*(1+$AX66)</f>
        <v>0</v>
      </c>
      <c r="BH66">
        <f t="shared" ref="BH66:BH129" si="20">$E$13*(1+$AX66)</f>
        <v>0</v>
      </c>
      <c r="BI66" s="40" cm="1">
        <f t="array" ref="BI66">IF($F$13-$I$4+VLOOKUP($R66,武学奇术!$A:$ZZ,13,FALSE)+SUM(_xlfn.XLOOKUP($S66:$AL66,增益!$A:$A,增益!$M:$M,0))&gt;0,($F$13-$I$4+VLOOKUP($R66,武学奇术!$A:$ZZ,13,FALSE)+SUM(_xlfn.XLOOKUP($S66:$AL66,增益!$A:$A,增益!$K:$K,0)))/200,($F$13-$I$4+VLOOKUP($R66,武学奇术!$A:$ZZ,13,FALSE)+SUM(_xlfn.XLOOKUP($S66:$AL66,增益!$A:$A,增益!$M:$M,0)))/100)</f>
        <v>-0.14</v>
      </c>
      <c r="BJ66" s="40" cm="1">
        <f t="array" ref="BJ66">$G$13+VLOOKUP($R66,武学奇术!$A:$ZZ,14,FALSE)+SUM(_xlfn.XLOOKUP($S66:$AL66,增益!$A:$A,增益!$N:$N,0))</f>
        <v>0</v>
      </c>
      <c r="BK66">
        <f t="shared" ref="BK66:BK129" si="21">$D$14*(1+$AX66)</f>
        <v>0</v>
      </c>
      <c r="BL66">
        <f t="shared" ref="BL66:BL129" si="22">$E$14*(1+$AX66)</f>
        <v>0</v>
      </c>
      <c r="BM66" s="40" cm="1">
        <f t="array" ref="BM66">IF($F$14-$I$4+VLOOKUP($R66,武学奇术!$A:$ZZ,15,FALSE)+SUM(_xlfn.XLOOKUP($S66:$AL66,增益!$A:$A,增益!$O:$O,0))&gt;0,($F$14-$I$4+VLOOKUP($R66,武学奇术!$A:$ZZ,15,FALSE)+SUM(_xlfn.XLOOKUP($S66:$AL66,增益!$A:$A,增益!$O:$O,0)))/200,($F$14-$I$4+VLOOKUP($R66,武学奇术!$A:$ZZ,15,FALSE)+SUM(_xlfn.XLOOKUP($S66:$AL66,增益!$A:$A,增益!$O:$O,0)))/100)</f>
        <v>-0.14</v>
      </c>
      <c r="BN66" s="40" cm="1">
        <f t="array" ref="BN66">$G$14+VLOOKUP($R66,武学奇术!$A:$ZZ,16,FALSE)+SUM(_xlfn.XLOOKUP($S66:$AL66,增益!$A:$A,增益!$P:$P,0))</f>
        <v>0</v>
      </c>
      <c r="BO66" s="33">
        <f>MIN(IF(VLOOKUP($R66,武学奇术!$A:$ZZ,23,FALSE)=1,100%,$B$8),100%)</f>
        <v>1</v>
      </c>
      <c r="BP66" s="33" cm="1">
        <f t="array" ref="BP66">IF(VLOOKUP($R66,武学奇术!$A:$ZZ,23,FALSE)=1,100%,MIN(80%,$B$9+VLOOKUP($R66,武学奇术!$A:$ZZ,17,FALSE)+SUM(_xlfn.XLOOKUP($S66:$AL66,增益!$A:$A,增益!$Q:$Q,0)))+$B$11+SUM(_xlfn.XLOOKUP($S66:$AL66,增益!$A:$A,增益!$U:$U,0)))*IF(VLOOKUP($R66,武学奇术!$A:$ZZ,24,FALSE)=1,0,1)</f>
        <v>1</v>
      </c>
      <c r="BQ66" s="33" cm="1">
        <f t="array" ref="BQ66">1+$B$13+VLOOKUP($R66,武学奇术!$A:$ZZ,18,FALSE)+SUM(_xlfn.XLOOKUP($S66:$AL66,增益!$A:$A,增益!$R:$R,0))</f>
        <v>2.1</v>
      </c>
      <c r="BR66" s="33" cm="1">
        <f t="array" ref="BR66">IF(VLOOKUP($R66,武学奇术!$A:$ZZ,24,FALSE)=1,100%,MIN(40%,$B$10+VLOOKUP($R66,武学奇术!$A:$ZZ,19,FALSE)+SUM(_xlfn.XLOOKUP($S66:$AL66,增益!$A:$A,增益!$S:$S,0)))+$B$12+SUM(_xlfn.XLOOKUP($S66:$AL66,增益!$A:$A,增益!$V:$V,0)))*IF(VLOOKUP($R66,武学奇术!$A:$ZZ,23,FALSE)=1,0,1)</f>
        <v>0</v>
      </c>
      <c r="BS66" s="33" cm="1">
        <f t="array" ref="BS66">1+$B$14+VLOOKUP($R66,武学奇术!$A:$ZZ,20,FALSE)+SUM(_xlfn.XLOOKUP($S66:$AL66,增益!$A:$A,增益!$T:$T,0))</f>
        <v>1.35</v>
      </c>
      <c r="BT66" s="33">
        <f t="shared" ref="BT66:BT129" si="23">MIN((1-BR66)*BO66,BO66*BP66)</f>
        <v>1</v>
      </c>
      <c r="BU66" s="33">
        <f t="shared" ref="BU66:BU129" si="24">1-BR66-BT66-BV66</f>
        <v>0</v>
      </c>
      <c r="BV66" s="33">
        <f>IF(VLOOKUP($R66,武学奇术!$A:$ZZ,22,FALSE)=1,0,(1-$BO66))*(1-$BR66)</f>
        <v>0</v>
      </c>
      <c r="BW66" s="33" cm="1">
        <f t="array" ref="BW66">SUM(_xlfn.XLOOKUP($S66:$AL66,增益!$A:$A,增益!$W:$W,0))+$I$5</f>
        <v>0.11</v>
      </c>
      <c r="BX66" s="33" cm="1">
        <f t="array" ref="BX66">VLOOKUP($R66,武学奇术!$A:$ZZ,32,FALSE)+SUM(_xlfn.XLOOKUP($S66:$AL66,增益!$A:$A,增益!$X:$X,0))</f>
        <v>0</v>
      </c>
    </row>
    <row r="67" spans="1:76">
      <c r="L67" s="46">
        <f t="shared" si="14"/>
        <v>375932.306079236</v>
      </c>
      <c r="M67" s="46">
        <f>((($AT67+$AU67)/2*$AN67+$AO67)*(1+$AV67)*(1+$AW67)+(($AY67+$AZ67)/2*IF($G$1="鸣金",$AP67,$AN67)+IF($G$1="鸣金",$AQ67*1.5,0))*(1+$BA67)*(1+$BB67)+(($BC67+$BD67)/2*IF($G$1="裂石",$AP67,$AN67)+IF($G$1="裂石",$AQ67*1.5,0))*(1+$BE67)*(1+$BF67)+(($BG67+$BH67)/2*IF($G$1="牵丝",$AP67,$AN67)+IF($G$1="牵丝",$AQ67*1.5,0))*(1+$BI67)*(1+$BJ67)+(($BK67+$BL67)/2*IF($G$1="破竹",$AP67,$AN67)+IF($G$1="破竹",$AQ67*1.5,0))*(1+$BM67)*(1+$BN67))*(1+$AR67)*$BQ67*$Q67*(1+IF(VLOOKUP($R67,武学奇术!$A:$ZZ,30,FALSE)="蓄力技",$B$21,0))*(1+IF(VLOOKUP($R67,武学奇术!$A:$ZZ,30,FALSE)="派生技",$B$20,0))*(1+$BW67)*(1+$BX67)</f>
        <v>375932.306079236</v>
      </c>
      <c r="N67" s="46">
        <f>(($AU67*$AN67+$AO67)*(1+$AV67)*(1+$AW67)+($AZ67*IF($G$1="鸣金",$AP67,$AN67)+IF($G$1="鸣金",$AQ67*1.5,0))*(1+$BA67)*(1+$BB67)+($BD67*IF($G$1="裂石",$AP67,$AN67)+IF($G$1="裂石",$AQ67*1.5,0))*(1+$BE67)*(1+$BF67)+($BH67*IF($G$1="牵丝",$AP67,$AN67)+IF($G$1="牵丝",$AQ67*1.5,0))*(1+$BI67)*(1+$BJ67)+($BL67*IF($G$1="破竹",$AP67,$AN67)+IF($G$1="破竹",$AQ67*1.5,0))*(1+$BM67)*(1+$BN67))*(1+$AR67)*$BS67*$Q67*(1+IF(VLOOKUP($R67,武学奇术!$A:$ZZ,30,FALSE)="蓄力技",$B$21,0))*(1+IF(VLOOKUP($R67,武学奇术!$A:$ZZ,30,FALSE)="派生技",$B$20,0))*(1+$BW67)*(1+$BX67)</f>
        <v>272108.70563652</v>
      </c>
      <c r="O67" s="46">
        <f>((($AT67+$AU67)/2*$AN67+$AO67)*(1+$AV67)*(1+$AW67)+(($AY67+$AZ67)/2*IF($G$1="鸣金",$AP67,$AN67)+IF($G$1="鸣金",$AQ67*1.5,0))*(1+$BA67)*(1+$BB67)+(($BC67+$BD67)/2*IF($G$1="裂石",$AP67,$AN67)+IF($G$1="裂石",$AQ67*1.5,0))*(1+$BE67)*(1+$BF67)+(($BG67+$BH67)/2*IF($G$1="牵丝",$AP67,$AN67)+IF($G$1="牵丝",$AQ67*1.5,0))*(1+$BI67)*(1+$BJ67)+(($BK67+$BL67)/2*IF($G$1="破竹",$AP67,$AN67)+IF($G$1="破竹",$AQ67*1.5,0))*(1+$BM67)*(1+$BN67))*(1+$AR67)*$Q67*(1+IF(VLOOKUP($R67,武学奇术!$A:$ZZ,30,FALSE)="蓄力技",$B$21,0))*(1+IF(VLOOKUP($R67,武学奇术!$A:$ZZ,30,FALSE)="派生技",$B$20,0))*(1+$BW67)*(1+$BX67)</f>
        <v>179015.383847255</v>
      </c>
      <c r="P67" s="46">
        <f>((($AT67*$AN67+$AO67)*(1+$AV67)*(1+$AW67)+($AY67*IF($G$1="鸣金",$AP67,$AN67)+IF($G$1="鸣金",$AQ67*1.5,0))*(1+$BA67)*(1+$BB67)+($BC67*IF($G$1="裂石",$AP67,$AN67)+IF($G$1="裂石",$AQ67*1.5,0))*(1+$BE67)*(1+$BF67)+($BG67*IF($G$1="牵丝",$AP67,$AN67)+IF($G$1="牵丝",$AQ67*1.5,0))*(1+$BI67)*(1+$BJ67)+($BK67*IF($G$1="破竹",$AP67,$AN67)+IF($G$1="破竹",$AQ67*1.5,0))*(1+$BM67)*(1+$BN67))*(1+$AR67))*$Q67*(1+IF(VLOOKUP($R67,武学奇术!$A:$ZZ,30,FALSE)="蓄力技",$B$21,0))*(1+IF(VLOOKUP($R67,武学奇术!$A:$ZZ,30,FALSE)="派生技",$B$20,0))*(1+$BW67)*(1+$BX67)</f>
        <v>156468.76351931</v>
      </c>
      <c r="Q67" s="47">
        <f t="shared" si="13"/>
        <v>1</v>
      </c>
      <c r="R67" s="48" t="s">
        <v>148</v>
      </c>
      <c r="S67" s="48" t="s">
        <v>99</v>
      </c>
      <c r="T67" s="48" t="s">
        <v>182</v>
      </c>
      <c r="U67" s="48" t="s">
        <v>79</v>
      </c>
      <c r="V67" s="48" t="s">
        <v>90</v>
      </c>
      <c r="W67" s="48" t="s">
        <v>141</v>
      </c>
      <c r="X67" s="48" t="s">
        <v>145</v>
      </c>
      <c r="Y67" s="48" t="s">
        <v>74</v>
      </c>
      <c r="Z67" s="48" t="s">
        <v>80</v>
      </c>
      <c r="AA67" s="48" t="s">
        <v>80</v>
      </c>
      <c r="AB67" s="48" t="s">
        <v>80</v>
      </c>
      <c r="AC67" s="48" t="s">
        <v>80</v>
      </c>
      <c r="AD67" s="48" t="s">
        <v>80</v>
      </c>
      <c r="AE67" s="48" t="s">
        <v>80</v>
      </c>
      <c r="AF67" s="48" t="s">
        <v>83</v>
      </c>
      <c r="AG67" s="48" t="s">
        <v>84</v>
      </c>
      <c r="AH67" s="48" t="s">
        <v>80</v>
      </c>
      <c r="AI67" s="48" t="s">
        <v>80</v>
      </c>
      <c r="AJ67" s="48" t="s">
        <v>80</v>
      </c>
      <c r="AK67" s="48" t="s">
        <v>80</v>
      </c>
      <c r="AL67" s="48" t="s">
        <v>80</v>
      </c>
      <c r="AM67" t="str">
        <f>VLOOKUP($R67,武学奇术!$A:$ZZ,25,FALSE)</f>
        <v>陌刀</v>
      </c>
      <c r="AN67" s="33">
        <f>VLOOKUP($R67,武学奇术!$A:$ZZ,26,FALSE)</f>
        <v>7.5674</v>
      </c>
      <c r="AO67" s="34">
        <f>VLOOKUP($R67,武学奇术!$A:$ZZ,27,FALSE)*(1+IF(OR($AM67=$F$4,$AM67=$F$5),$B$22,0))</f>
        <v>3348.8</v>
      </c>
      <c r="AP67" s="33">
        <f>VLOOKUP($R67,武学奇术!$A:$ZZ,28,FALSE)</f>
        <v>11.3512</v>
      </c>
      <c r="AQ67" s="34">
        <f>VLOOKUP($R67,武学奇术!$A:$ZZ,29,FALSE)*(1+IF(OR($AM67=$F$4,$AM67=$F$5),$B$22,0))</f>
        <v>1824</v>
      </c>
      <c r="AR67" s="33" cm="1">
        <f t="array" ref="AR67">$G$3+IFERROR(VLOOKUP($AM67,$F$4:$G$7,2,FALSE),0)+VLOOKUP($R67,武学奇术!$A:$ZZ,2,FALSE)+SUM(_xlfn.XLOOKUP($S67:$AL67,增益!$A:$A,增益!$B:$B,0))</f>
        <v>0.6143</v>
      </c>
      <c r="AS67" s="33" cm="1">
        <f t="array" ref="AS67">VLOOKUP($R67,武学奇术!$A:$ZZ,5,FALSE)+SUM(_xlfn.XLOOKUP($S67:$AL67,增益!$A:$A,增益!$E:$E,0))</f>
        <v>0</v>
      </c>
      <c r="AT67" cm="1">
        <f t="array" ref="AT67">$D$10*(1+$AS67)+VLOOKUP($R67,武学奇术!$A:$ZZ,3,FALSE)+SUM(_xlfn.XLOOKUP($S67:$AL67,增益!$A:$A,增益!$C:$C,0))-$I$2</f>
        <v>4026</v>
      </c>
      <c r="AU67" cm="1">
        <f t="array" ref="AU67">$E$10*(1+$AS67)+VLOOKUP($R67,武学奇术!$A:$ZZ,4,FALSE)+SUM(_xlfn.XLOOKUP($S67:$AL67,增益!$A:$A,增益!$D:$D,0))-$I$2</f>
        <v>4026</v>
      </c>
      <c r="AV67" s="40" cm="1">
        <f t="array" ref="AV67">IF($F$10-$I$3+VLOOKUP($R67,武学奇术!$A:$ZZ,6,FALSE)+SUM(_xlfn.XLOOKUP($S67:$AL67,增益!$A:$A,增益!$F:$F,0))&gt;0,($F$10-$I$3+VLOOKUP($R67,武学奇术!$A:$ZZ,6,FALSE)+SUM(_xlfn.XLOOKUP($S67:$AL67,增益!$A:$A,增益!$F:$F,0)))/200,($F$10-$I$3+VLOOKUP($R67,武学奇术!$A:$ZZ,6,FALSE)+SUM(_xlfn.XLOOKUP($S67:$AL67,增益!$A:$A,增益!$F:$F,0)))/100)</f>
        <v>0.3534</v>
      </c>
      <c r="AW67" s="40" cm="1">
        <f t="array" ref="AW67">$G$10+VLOOKUP($R67,武学奇术!$A:$ZZ,7,FALSE)+SUM(_xlfn.XLOOKUP($S67:$AL67,增益!$A:$A,增益!$G:$G,0))</f>
        <v>0.12</v>
      </c>
      <c r="AX67" s="33" cm="1">
        <f t="array" ref="AX67">VLOOKUP($R67,武学奇术!$A:$ZZ,8,FALSE)+SUM(_xlfn.XLOOKUP($S67:$AL67,增益!$A:$A,增益!$H:$H,0))</f>
        <v>0</v>
      </c>
      <c r="AY67">
        <f t="shared" si="15"/>
        <v>0</v>
      </c>
      <c r="AZ67">
        <f t="shared" si="16"/>
        <v>0</v>
      </c>
      <c r="BA67" s="40" cm="1">
        <f t="array" ref="BA67">IF($F$11-$I$4+VLOOKUP($R67,武学奇术!$A:$ZZ,9,FALSE)+SUM(_xlfn.XLOOKUP($S67:$AL67,增益!$A:$A,增益!$I:$I,0))&gt;0,($F$11-$I$4+VLOOKUP($R67,武学奇术!$A:$ZZ,9,FALSE)+SUM(_xlfn.XLOOKUP($S67:$AL67,增益!$A:$A,增益!$I:$I,0)))/200,($F$11-$I$4+VLOOKUP($R67,武学奇术!$A:$ZZ,9,FALSE)+SUM(_xlfn.XLOOKUP($S67:$AL67,增益!$A:$A,增益!$I:$I,0)))/100)</f>
        <v>-0.14</v>
      </c>
      <c r="BB67" s="40" cm="1">
        <f t="array" ref="BB67">$G$11+VLOOKUP($R67,武学奇术!$A:$ZZ,10,FALSE)+SUM(_xlfn.XLOOKUP($S67:$AL67,增益!$A:$A,增益!$J:$J,0))</f>
        <v>0</v>
      </c>
      <c r="BC67">
        <f t="shared" si="17"/>
        <v>640.3</v>
      </c>
      <c r="BD67">
        <f t="shared" si="18"/>
        <v>1770.1</v>
      </c>
      <c r="BE67" s="40" cm="1">
        <f t="array" ref="BE67">IF($F$12-$I$4+VLOOKUP($R67,武学奇术!$A:$ZZ,11,FALSE)+SUM(_xlfn.XLOOKUP($S67:$AL67,增益!$A:$A,增益!$K:$K,0))&gt;0,($F$12-$I$4+VLOOKUP($R67,武学奇术!$A:$ZZ,11,FALSE)+SUM(_xlfn.XLOOKUP($S67:$AL67,增益!$A:$A,增益!$K:$K,0)))/200,($F$12-$I$4+VLOOKUP($R67,武学奇术!$A:$ZZ,11,FALSE)+SUM(_xlfn.XLOOKUP($S67:$AL67,增益!$A:$A,增益!$K:$K,0)))/100)</f>
        <v>0.17</v>
      </c>
      <c r="BF67" s="40" cm="1">
        <f t="array" ref="BF67">$G$12+VLOOKUP($R67,武学奇术!$A:$ZZ,12,FALSE)+SUM(_xlfn.XLOOKUP($S67:$AL67,增益!$A:$A,增益!$L:$L,0))</f>
        <v>0.27</v>
      </c>
      <c r="BG67">
        <f t="shared" si="19"/>
        <v>0</v>
      </c>
      <c r="BH67">
        <f t="shared" si="20"/>
        <v>0</v>
      </c>
      <c r="BI67" s="40" cm="1">
        <f t="array" ref="BI67">IF($F$13-$I$4+VLOOKUP($R67,武学奇术!$A:$ZZ,13,FALSE)+SUM(_xlfn.XLOOKUP($S67:$AL67,增益!$A:$A,增益!$M:$M,0))&gt;0,($F$13-$I$4+VLOOKUP($R67,武学奇术!$A:$ZZ,13,FALSE)+SUM(_xlfn.XLOOKUP($S67:$AL67,增益!$A:$A,增益!$K:$K,0)))/200,($F$13-$I$4+VLOOKUP($R67,武学奇术!$A:$ZZ,13,FALSE)+SUM(_xlfn.XLOOKUP($S67:$AL67,增益!$A:$A,增益!$M:$M,0)))/100)</f>
        <v>-0.14</v>
      </c>
      <c r="BJ67" s="40" cm="1">
        <f t="array" ref="BJ67">$G$13+VLOOKUP($R67,武学奇术!$A:$ZZ,14,FALSE)+SUM(_xlfn.XLOOKUP($S67:$AL67,增益!$A:$A,增益!$N:$N,0))</f>
        <v>0</v>
      </c>
      <c r="BK67">
        <f t="shared" si="21"/>
        <v>0</v>
      </c>
      <c r="BL67">
        <f t="shared" si="22"/>
        <v>0</v>
      </c>
      <c r="BM67" s="40" cm="1">
        <f t="array" ref="BM67">IF($F$14-$I$4+VLOOKUP($R67,武学奇术!$A:$ZZ,15,FALSE)+SUM(_xlfn.XLOOKUP($S67:$AL67,增益!$A:$A,增益!$O:$O,0))&gt;0,($F$14-$I$4+VLOOKUP($R67,武学奇术!$A:$ZZ,15,FALSE)+SUM(_xlfn.XLOOKUP($S67:$AL67,增益!$A:$A,增益!$O:$O,0)))/200,($F$14-$I$4+VLOOKUP($R67,武学奇术!$A:$ZZ,15,FALSE)+SUM(_xlfn.XLOOKUP($S67:$AL67,增益!$A:$A,增益!$O:$O,0)))/100)</f>
        <v>-0.14</v>
      </c>
      <c r="BN67" s="40" cm="1">
        <f t="array" ref="BN67">$G$14+VLOOKUP($R67,武学奇术!$A:$ZZ,16,FALSE)+SUM(_xlfn.XLOOKUP($S67:$AL67,增益!$A:$A,增益!$P:$P,0))</f>
        <v>0</v>
      </c>
      <c r="BO67" s="33">
        <f>MIN(IF(VLOOKUP($R67,武学奇术!$A:$ZZ,23,FALSE)=1,100%,$B$8),100%)</f>
        <v>1</v>
      </c>
      <c r="BP67" s="33" cm="1">
        <f t="array" ref="BP67">IF(VLOOKUP($R67,武学奇术!$A:$ZZ,23,FALSE)=1,100%,MIN(80%,$B$9+VLOOKUP($R67,武学奇术!$A:$ZZ,17,FALSE)+SUM(_xlfn.XLOOKUP($S67:$AL67,增益!$A:$A,增益!$Q:$Q,0)))+$B$11+SUM(_xlfn.XLOOKUP($S67:$AL67,增益!$A:$A,增益!$U:$U,0)))*IF(VLOOKUP($R67,武学奇术!$A:$ZZ,24,FALSE)=1,0,1)</f>
        <v>1</v>
      </c>
      <c r="BQ67" s="33" cm="1">
        <f t="array" ref="BQ67">1+$B$13+VLOOKUP($R67,武学奇术!$A:$ZZ,18,FALSE)+SUM(_xlfn.XLOOKUP($S67:$AL67,增益!$A:$A,增益!$R:$R,0))</f>
        <v>2.1</v>
      </c>
      <c r="BR67" s="33" cm="1">
        <f t="array" ref="BR67">IF(VLOOKUP($R67,武学奇术!$A:$ZZ,24,FALSE)=1,100%,MIN(40%,$B$10+VLOOKUP($R67,武学奇术!$A:$ZZ,19,FALSE)+SUM(_xlfn.XLOOKUP($S67:$AL67,增益!$A:$A,增益!$S:$S,0)))+$B$12+SUM(_xlfn.XLOOKUP($S67:$AL67,增益!$A:$A,增益!$V:$V,0)))*IF(VLOOKUP($R67,武学奇术!$A:$ZZ,23,FALSE)=1,0,1)</f>
        <v>0</v>
      </c>
      <c r="BS67" s="33" cm="1">
        <f t="array" ref="BS67">1+$B$14+VLOOKUP($R67,武学奇术!$A:$ZZ,20,FALSE)+SUM(_xlfn.XLOOKUP($S67:$AL67,增益!$A:$A,增益!$T:$T,0))</f>
        <v>1.35</v>
      </c>
      <c r="BT67" s="33">
        <f t="shared" si="23"/>
        <v>1</v>
      </c>
      <c r="BU67" s="33">
        <f t="shared" si="24"/>
        <v>0</v>
      </c>
      <c r="BV67" s="33">
        <f>IF(VLOOKUP($R67,武学奇术!$A:$ZZ,22,FALSE)=1,0,(1-$BO67))*(1-$BR67)</f>
        <v>0</v>
      </c>
      <c r="BW67" s="33" cm="1">
        <f t="array" ref="BW67">SUM(_xlfn.XLOOKUP($S67:$AL67,增益!$A:$A,增益!$W:$W,0))+$I$5</f>
        <v>0.11</v>
      </c>
      <c r="BX67" s="33" cm="1">
        <f t="array" ref="BX67">VLOOKUP($R67,武学奇术!$A:$ZZ,32,FALSE)+SUM(_xlfn.XLOOKUP($S67:$AL67,增益!$A:$A,增益!$X:$X,0))</f>
        <v>0</v>
      </c>
    </row>
    <row r="68" spans="1:76">
      <c r="L68" s="46">
        <f t="shared" si="14"/>
        <v>68787.6659212384</v>
      </c>
      <c r="M68" s="46">
        <f>((($AT68+$AU68)/2*$AN68+$AO68)*(1+$AV68)*(1+$AW68)+(($AY68+$AZ68)/2*IF($G$1="鸣金",$AP68,$AN68)+IF($G$1="鸣金",$AQ68*1.5,0))*(1+$BA68)*(1+$BB68)+(($BC68+$BD68)/2*IF($G$1="裂石",$AP68,$AN68)+IF($G$1="裂石",$AQ68*1.5,0))*(1+$BE68)*(1+$BF68)+(($BG68+$BH68)/2*IF($G$1="牵丝",$AP68,$AN68)+IF($G$1="牵丝",$AQ68*1.5,0))*(1+$BI68)*(1+$BJ68)+(($BK68+$BL68)/2*IF($G$1="破竹",$AP68,$AN68)+IF($G$1="破竹",$AQ68*1.5,0))*(1+$BM68)*(1+$BN68))*(1+$AR68)*$BQ68*$Q68*(1+IF(VLOOKUP($R68,武学奇术!$A:$ZZ,30,FALSE)="蓄力技",$B$21,0))*(1+IF(VLOOKUP($R68,武学奇术!$A:$ZZ,30,FALSE)="派生技",$B$20,0))*(1+$BW68)*(1+$BX68)</f>
        <v>68787.6659212384</v>
      </c>
      <c r="N68" s="46">
        <f>(($AU68*$AN68+$AO68)*(1+$AV68)*(1+$AW68)+($AZ68*IF($G$1="鸣金",$AP68,$AN68)+IF($G$1="鸣金",$AQ68*1.5,0))*(1+$BA68)*(1+$BB68)+($BD68*IF($G$1="裂石",$AP68,$AN68)+IF($G$1="裂石",$AQ68*1.5,0))*(1+$BE68)*(1+$BF68)+($BH68*IF($G$1="牵丝",$AP68,$AN68)+IF($G$1="牵丝",$AQ68*1.5,0))*(1+$BI68)*(1+$BJ68)+($BL68*IF($G$1="破竹",$AP68,$AN68)+IF($G$1="破竹",$AQ68*1.5,0))*(1+$BM68)*(1+$BN68))*(1+$AR68)*$BS68*$Q68*(1+IF(VLOOKUP($R68,武学奇术!$A:$ZZ,30,FALSE)="蓄力技",$B$21,0))*(1+IF(VLOOKUP($R68,武学奇术!$A:$ZZ,30,FALSE)="派生技",$B$20,0))*(1+$BW68)*(1+$BX68)</f>
        <v>50555.6225746089</v>
      </c>
      <c r="O68" s="46">
        <f>((($AT68+$AU68)/2*$AN68+$AO68)*(1+$AV68)*(1+$AW68)+(($AY68+$AZ68)/2*IF($G$1="鸣金",$AP68,$AN68)+IF($G$1="鸣金",$AQ68*1.5,0))*(1+$BA68)*(1+$BB68)+(($BC68+$BD68)/2*IF($G$1="裂石",$AP68,$AN68)+IF($G$1="裂石",$AQ68*1.5,0))*(1+$BE68)*(1+$BF68)+(($BG68+$BH68)/2*IF($G$1="牵丝",$AP68,$AN68)+IF($G$1="牵丝",$AQ68*1.5,0))*(1+$BI68)*(1+$BJ68)+(($BK68+$BL68)/2*IF($G$1="破竹",$AP68,$AN68)+IF($G$1="破竹",$AQ68*1.5,0))*(1+$BM68)*(1+$BN68))*(1+$AR68)*$Q68*(1+IF(VLOOKUP($R68,武学奇术!$A:$ZZ,30,FALSE)="蓄力技",$B$21,0))*(1+IF(VLOOKUP($R68,武学奇术!$A:$ZZ,30,FALSE)="派生技",$B$20,0))*(1+$BW68)*(1+$BX68)</f>
        <v>32756.0313910659</v>
      </c>
      <c r="P68" s="46">
        <f>((($AT68*$AN68+$AO68)*(1+$AV68)*(1+$AW68)+($AY68*IF($G$1="鸣金",$AP68,$AN68)+IF($G$1="鸣金",$AQ68*1.5,0))*(1+$BA68)*(1+$BB68)+($BC68*IF($G$1="裂石",$AP68,$AN68)+IF($G$1="裂石",$AQ68*1.5,0))*(1+$BE68)*(1+$BF68)+($BG68*IF($G$1="牵丝",$AP68,$AN68)+IF($G$1="牵丝",$AQ68*1.5,0))*(1+$BI68)*(1+$BJ68)+($BK68*IF($G$1="破竹",$AP68,$AN68)+IF($G$1="破竹",$AQ68*1.5,0))*(1+$BM68)*(1+$BN68))*(1+$AR68))*$Q68*(1+IF(VLOOKUP($R68,武学奇术!$A:$ZZ,30,FALSE)="蓄力技",$B$21,0))*(1+IF(VLOOKUP($R68,武学奇术!$A:$ZZ,30,FALSE)="派生技",$B$20,0))*(1+$BW68)*(1+$BX68)</f>
        <v>28063.4534676067</v>
      </c>
      <c r="Q68" s="47">
        <f t="shared" ref="Q68:Q70" si="25">IF($E$24="陌刀",3,0)</f>
        <v>3</v>
      </c>
      <c r="R68" s="48" t="s">
        <v>154</v>
      </c>
      <c r="S68" s="48" t="s">
        <v>99</v>
      </c>
      <c r="T68" s="48" t="s">
        <v>182</v>
      </c>
      <c r="U68" s="48" t="s">
        <v>79</v>
      </c>
      <c r="V68" s="48" t="s">
        <v>90</v>
      </c>
      <c r="W68" s="48" t="s">
        <v>141</v>
      </c>
      <c r="X68" s="48" t="s">
        <v>145</v>
      </c>
      <c r="Y68" s="48" t="s">
        <v>74</v>
      </c>
      <c r="Z68" s="48" t="s">
        <v>80</v>
      </c>
      <c r="AA68" s="48" t="s">
        <v>80</v>
      </c>
      <c r="AB68" s="48" t="s">
        <v>80</v>
      </c>
      <c r="AC68" s="48" t="s">
        <v>80</v>
      </c>
      <c r="AD68" s="48" t="s">
        <v>80</v>
      </c>
      <c r="AE68" s="48" t="s">
        <v>80</v>
      </c>
      <c r="AF68" s="48" t="s">
        <v>83</v>
      </c>
      <c r="AG68" s="48" t="s">
        <v>84</v>
      </c>
      <c r="AH68" s="48" t="s">
        <v>80</v>
      </c>
      <c r="AI68" s="48" t="s">
        <v>80</v>
      </c>
      <c r="AJ68" s="48" t="s">
        <v>80</v>
      </c>
      <c r="AK68" s="48" t="s">
        <v>80</v>
      </c>
      <c r="AL68" s="48" t="s">
        <v>80</v>
      </c>
      <c r="AM68" t="str">
        <f>VLOOKUP($R68,武学奇术!$A:$ZZ,25,FALSE)</f>
        <v>陌刀</v>
      </c>
      <c r="AN68" s="33">
        <f>VLOOKUP($R68,武学奇术!$A:$ZZ,26,FALSE)</f>
        <v>0.525</v>
      </c>
      <c r="AO68" s="34">
        <f>VLOOKUP($R68,武学奇术!$A:$ZZ,27,FALSE)*(1+IF(OR($AM68=$F$4,$AM68=$F$5),$B$22,0))</f>
        <v>0</v>
      </c>
      <c r="AP68" s="33">
        <f>VLOOKUP($R68,武学奇术!$A:$ZZ,28,FALSE)</f>
        <v>0.7875</v>
      </c>
      <c r="AQ68" s="34">
        <f>VLOOKUP($R68,武学奇术!$A:$ZZ,29,FALSE)*(1+IF(OR($AM68=$F$4,$AM68=$F$5),$B$22,0))</f>
        <v>0</v>
      </c>
      <c r="AR68" s="33" cm="1">
        <f t="array" ref="AR68">$G$3+IFERROR(VLOOKUP($AM68,$F$4:$G$7,2,FALSE),0)+VLOOKUP($R68,武学奇术!$A:$ZZ,2,FALSE)+SUM(_xlfn.XLOOKUP($S68:$AL68,增益!$A:$A,增益!$B:$B,0))</f>
        <v>0.6143</v>
      </c>
      <c r="AS68" s="33" cm="1">
        <f t="array" ref="AS68">VLOOKUP($R68,武学奇术!$A:$ZZ,5,FALSE)+SUM(_xlfn.XLOOKUP($S68:$AL68,增益!$A:$A,增益!$E:$E,0))</f>
        <v>0</v>
      </c>
      <c r="AT68" cm="1">
        <f t="array" ref="AT68">$D$10*(1+$AS68)+VLOOKUP($R68,武学奇术!$A:$ZZ,3,FALSE)+SUM(_xlfn.XLOOKUP($S68:$AL68,增益!$A:$A,增益!$C:$C,0))-$I$2</f>
        <v>4026</v>
      </c>
      <c r="AU68" cm="1">
        <f t="array" ref="AU68">$E$10*(1+$AS68)+VLOOKUP($R68,武学奇术!$A:$ZZ,4,FALSE)+SUM(_xlfn.XLOOKUP($S68:$AL68,增益!$A:$A,增益!$D:$D,0))-$I$2</f>
        <v>4026</v>
      </c>
      <c r="AV68" s="40" cm="1">
        <f t="array" ref="AV68">IF($F$10-$I$3+VLOOKUP($R68,武学奇术!$A:$ZZ,6,FALSE)+SUM(_xlfn.XLOOKUP($S68:$AL68,增益!$A:$A,增益!$F:$F,0))&gt;0,($F$10-$I$3+VLOOKUP($R68,武学奇术!$A:$ZZ,6,FALSE)+SUM(_xlfn.XLOOKUP($S68:$AL68,增益!$A:$A,增益!$F:$F,0)))/200,($F$10-$I$3+VLOOKUP($R68,武学奇术!$A:$ZZ,6,FALSE)+SUM(_xlfn.XLOOKUP($S68:$AL68,增益!$A:$A,增益!$F:$F,0)))/100)</f>
        <v>0.3534</v>
      </c>
      <c r="AW68" s="40" cm="1">
        <f t="array" ref="AW68">$G$10+VLOOKUP($R68,武学奇术!$A:$ZZ,7,FALSE)+SUM(_xlfn.XLOOKUP($S68:$AL68,增益!$A:$A,增益!$G:$G,0))</f>
        <v>0.12</v>
      </c>
      <c r="AX68" s="33" cm="1">
        <f t="array" ref="AX68">VLOOKUP($R68,武学奇术!$A:$ZZ,8,FALSE)+SUM(_xlfn.XLOOKUP($S68:$AL68,增益!$A:$A,增益!$H:$H,0))</f>
        <v>0</v>
      </c>
      <c r="AY68">
        <f t="shared" si="15"/>
        <v>0</v>
      </c>
      <c r="AZ68">
        <f t="shared" si="16"/>
        <v>0</v>
      </c>
      <c r="BA68" s="40" cm="1">
        <f t="array" ref="BA68">IF($F$11-$I$4+VLOOKUP($R68,武学奇术!$A:$ZZ,9,FALSE)+SUM(_xlfn.XLOOKUP($S68:$AL68,增益!$A:$A,增益!$I:$I,0))&gt;0,($F$11-$I$4+VLOOKUP($R68,武学奇术!$A:$ZZ,9,FALSE)+SUM(_xlfn.XLOOKUP($S68:$AL68,增益!$A:$A,增益!$I:$I,0)))/200,($F$11-$I$4+VLOOKUP($R68,武学奇术!$A:$ZZ,9,FALSE)+SUM(_xlfn.XLOOKUP($S68:$AL68,增益!$A:$A,增益!$I:$I,0)))/100)</f>
        <v>-0.14</v>
      </c>
      <c r="BB68" s="40" cm="1">
        <f t="array" ref="BB68">$G$11+VLOOKUP($R68,武学奇术!$A:$ZZ,10,FALSE)+SUM(_xlfn.XLOOKUP($S68:$AL68,增益!$A:$A,增益!$J:$J,0))</f>
        <v>0</v>
      </c>
      <c r="BC68">
        <f t="shared" si="17"/>
        <v>640.3</v>
      </c>
      <c r="BD68">
        <f t="shared" si="18"/>
        <v>1770.1</v>
      </c>
      <c r="BE68" s="40" cm="1">
        <f t="array" ref="BE68">IF($F$12-$I$4+VLOOKUP($R68,武学奇术!$A:$ZZ,11,FALSE)+SUM(_xlfn.XLOOKUP($S68:$AL68,增益!$A:$A,增益!$K:$K,0))&gt;0,($F$12-$I$4+VLOOKUP($R68,武学奇术!$A:$ZZ,11,FALSE)+SUM(_xlfn.XLOOKUP($S68:$AL68,增益!$A:$A,增益!$K:$K,0)))/200,($F$12-$I$4+VLOOKUP($R68,武学奇术!$A:$ZZ,11,FALSE)+SUM(_xlfn.XLOOKUP($S68:$AL68,增益!$A:$A,增益!$K:$K,0)))/100)</f>
        <v>0.17</v>
      </c>
      <c r="BF68" s="40" cm="1">
        <f t="array" ref="BF68">$G$12+VLOOKUP($R68,武学奇术!$A:$ZZ,12,FALSE)+SUM(_xlfn.XLOOKUP($S68:$AL68,增益!$A:$A,增益!$L:$L,0))</f>
        <v>0.27</v>
      </c>
      <c r="BG68">
        <f t="shared" si="19"/>
        <v>0</v>
      </c>
      <c r="BH68">
        <f t="shared" si="20"/>
        <v>0</v>
      </c>
      <c r="BI68" s="40" cm="1">
        <f t="array" ref="BI68">IF($F$13-$I$4+VLOOKUP($R68,武学奇术!$A:$ZZ,13,FALSE)+SUM(_xlfn.XLOOKUP($S68:$AL68,增益!$A:$A,增益!$M:$M,0))&gt;0,($F$13-$I$4+VLOOKUP($R68,武学奇术!$A:$ZZ,13,FALSE)+SUM(_xlfn.XLOOKUP($S68:$AL68,增益!$A:$A,增益!$K:$K,0)))/200,($F$13-$I$4+VLOOKUP($R68,武学奇术!$A:$ZZ,13,FALSE)+SUM(_xlfn.XLOOKUP($S68:$AL68,增益!$A:$A,增益!$M:$M,0)))/100)</f>
        <v>-0.14</v>
      </c>
      <c r="BJ68" s="40" cm="1">
        <f t="array" ref="BJ68">$G$13+VLOOKUP($R68,武学奇术!$A:$ZZ,14,FALSE)+SUM(_xlfn.XLOOKUP($S68:$AL68,增益!$A:$A,增益!$N:$N,0))</f>
        <v>0</v>
      </c>
      <c r="BK68">
        <f t="shared" si="21"/>
        <v>0</v>
      </c>
      <c r="BL68">
        <f t="shared" si="22"/>
        <v>0</v>
      </c>
      <c r="BM68" s="40" cm="1">
        <f t="array" ref="BM68">IF($F$14-$I$4+VLOOKUP($R68,武学奇术!$A:$ZZ,15,FALSE)+SUM(_xlfn.XLOOKUP($S68:$AL68,增益!$A:$A,增益!$O:$O,0))&gt;0,($F$14-$I$4+VLOOKUP($R68,武学奇术!$A:$ZZ,15,FALSE)+SUM(_xlfn.XLOOKUP($S68:$AL68,增益!$A:$A,增益!$O:$O,0)))/200,($F$14-$I$4+VLOOKUP($R68,武学奇术!$A:$ZZ,15,FALSE)+SUM(_xlfn.XLOOKUP($S68:$AL68,增益!$A:$A,增益!$O:$O,0)))/100)</f>
        <v>-0.14</v>
      </c>
      <c r="BN68" s="40" cm="1">
        <f t="array" ref="BN68">$G$14+VLOOKUP($R68,武学奇术!$A:$ZZ,16,FALSE)+SUM(_xlfn.XLOOKUP($S68:$AL68,增益!$A:$A,增益!$P:$P,0))</f>
        <v>0</v>
      </c>
      <c r="BO68" s="33">
        <f>MIN(IF(VLOOKUP($R68,武学奇术!$A:$ZZ,23,FALSE)=1,100%,$B$8),100%)</f>
        <v>1</v>
      </c>
      <c r="BP68" s="33" cm="1">
        <f t="array" ref="BP68">IF(VLOOKUP($R68,武学奇术!$A:$ZZ,23,FALSE)=1,100%,MIN(80%,$B$9+VLOOKUP($R68,武学奇术!$A:$ZZ,17,FALSE)+SUM(_xlfn.XLOOKUP($S68:$AL68,增益!$A:$A,增益!$Q:$Q,0)))+$B$11+SUM(_xlfn.XLOOKUP($S68:$AL68,增益!$A:$A,增益!$U:$U,0)))*IF(VLOOKUP($R68,武学奇术!$A:$ZZ,24,FALSE)=1,0,1)</f>
        <v>1</v>
      </c>
      <c r="BQ68" s="33" cm="1">
        <f t="array" ref="BQ68">1+$B$13+VLOOKUP($R68,武学奇术!$A:$ZZ,18,FALSE)+SUM(_xlfn.XLOOKUP($S68:$AL68,增益!$A:$A,增益!$R:$R,0))</f>
        <v>2.1</v>
      </c>
      <c r="BR68" s="33" cm="1">
        <f t="array" ref="BR68">IF(VLOOKUP($R68,武学奇术!$A:$ZZ,24,FALSE)=1,100%,MIN(40%,$B$10+VLOOKUP($R68,武学奇术!$A:$ZZ,19,FALSE)+SUM(_xlfn.XLOOKUP($S68:$AL68,增益!$A:$A,增益!$S:$S,0)))+$B$12+SUM(_xlfn.XLOOKUP($S68:$AL68,增益!$A:$A,增益!$V:$V,0)))*IF(VLOOKUP($R68,武学奇术!$A:$ZZ,23,FALSE)=1,0,1)</f>
        <v>0</v>
      </c>
      <c r="BS68" s="33" cm="1">
        <f t="array" ref="BS68">1+$B$14+VLOOKUP($R68,武学奇术!$A:$ZZ,20,FALSE)+SUM(_xlfn.XLOOKUP($S68:$AL68,增益!$A:$A,增益!$T:$T,0))</f>
        <v>1.35</v>
      </c>
      <c r="BT68" s="33">
        <f t="shared" si="23"/>
        <v>1</v>
      </c>
      <c r="BU68" s="33">
        <f t="shared" si="24"/>
        <v>0</v>
      </c>
      <c r="BV68" s="33">
        <f>IF(VLOOKUP($R68,武学奇术!$A:$ZZ,22,FALSE)=1,0,(1-$BO68))*(1-$BR68)</f>
        <v>0</v>
      </c>
      <c r="BW68" s="33" cm="1">
        <f t="array" ref="BW68">SUM(_xlfn.XLOOKUP($S68:$AL68,增益!$A:$A,增益!$W:$W,0))+$I$5</f>
        <v>0.11</v>
      </c>
      <c r="BX68" s="33" cm="1">
        <f t="array" ref="BX68">VLOOKUP($R68,武学奇术!$A:$ZZ,32,FALSE)+SUM(_xlfn.XLOOKUP($S68:$AL68,增益!$A:$A,增益!$X:$X,0))</f>
        <v>0</v>
      </c>
    </row>
    <row r="69" spans="1:76">
      <c r="L69" s="46">
        <f t="shared" si="14"/>
        <v>123817.798658229</v>
      </c>
      <c r="M69" s="46">
        <f>((($AT69+$AU69)/2*$AN69+$AO69)*(1+$AV69)*(1+$AW69)+(($AY69+$AZ69)/2*IF($G$1="鸣金",$AP69,$AN69)+IF($G$1="鸣金",$AQ69*1.5,0))*(1+$BA69)*(1+$BB69)+(($BC69+$BD69)/2*IF($G$1="裂石",$AP69,$AN69)+IF($G$1="裂石",$AQ69*1.5,0))*(1+$BE69)*(1+$BF69)+(($BG69+$BH69)/2*IF($G$1="牵丝",$AP69,$AN69)+IF($G$1="牵丝",$AQ69*1.5,0))*(1+$BI69)*(1+$BJ69)+(($BK69+$BL69)/2*IF($G$1="破竹",$AP69,$AN69)+IF($G$1="破竹",$AQ69*1.5,0))*(1+$BM69)*(1+$BN69))*(1+$AR69)*$BQ69*$Q69*(1+IF(VLOOKUP($R69,武学奇术!$A:$ZZ,30,FALSE)="蓄力技",$B$21,0))*(1+IF(VLOOKUP($R69,武学奇术!$A:$ZZ,30,FALSE)="派生技",$B$20,0))*(1+$BW69)*(1+$BX69)</f>
        <v>123817.798658229</v>
      </c>
      <c r="N69" s="46">
        <f>(($AU69*$AN69+$AO69)*(1+$AV69)*(1+$AW69)+($AZ69*IF($G$1="鸣金",$AP69,$AN69)+IF($G$1="鸣金",$AQ69*1.5,0))*(1+$BA69)*(1+$BB69)+($BD69*IF($G$1="裂石",$AP69,$AN69)+IF($G$1="裂石",$AQ69*1.5,0))*(1+$BE69)*(1+$BF69)+($BH69*IF($G$1="牵丝",$AP69,$AN69)+IF($G$1="牵丝",$AQ69*1.5,0))*(1+$BI69)*(1+$BJ69)+($BL69*IF($G$1="破竹",$AP69,$AN69)+IF($G$1="破竹",$AQ69*1.5,0))*(1+$BM69)*(1+$BN69))*(1+$AR69)*$BS69*$Q69*(1+IF(VLOOKUP($R69,武学奇术!$A:$ZZ,30,FALSE)="蓄力技",$B$21,0))*(1+IF(VLOOKUP($R69,武学奇术!$A:$ZZ,30,FALSE)="派生技",$B$20,0))*(1+$BW69)*(1+$BX69)</f>
        <v>91000.1206342961</v>
      </c>
      <c r="O69" s="46">
        <f>((($AT69+$AU69)/2*$AN69+$AO69)*(1+$AV69)*(1+$AW69)+(($AY69+$AZ69)/2*IF($G$1="鸣金",$AP69,$AN69)+IF($G$1="鸣金",$AQ69*1.5,0))*(1+$BA69)*(1+$BB69)+(($BC69+$BD69)/2*IF($G$1="裂石",$AP69,$AN69)+IF($G$1="裂石",$AQ69*1.5,0))*(1+$BE69)*(1+$BF69)+(($BG69+$BH69)/2*IF($G$1="牵丝",$AP69,$AN69)+IF($G$1="牵丝",$AQ69*1.5,0))*(1+$BI69)*(1+$BJ69)+(($BK69+$BL69)/2*IF($G$1="破竹",$AP69,$AN69)+IF($G$1="破竹",$AQ69*1.5,0))*(1+$BM69)*(1+$BN69))*(1+$AR69)*$Q69*(1+IF(VLOOKUP($R69,武学奇术!$A:$ZZ,30,FALSE)="蓄力技",$B$21,0))*(1+IF(VLOOKUP($R69,武学奇术!$A:$ZZ,30,FALSE)="派生技",$B$20,0))*(1+$BW69)*(1+$BX69)</f>
        <v>58960.8565039186</v>
      </c>
      <c r="P69" s="46">
        <f>((($AT69*$AN69+$AO69)*(1+$AV69)*(1+$AW69)+($AY69*IF($G$1="鸣金",$AP69,$AN69)+IF($G$1="鸣金",$AQ69*1.5,0))*(1+$BA69)*(1+$BB69)+($BC69*IF($G$1="裂石",$AP69,$AN69)+IF($G$1="裂石",$AQ69*1.5,0))*(1+$BE69)*(1+$BF69)+($BG69*IF($G$1="牵丝",$AP69,$AN69)+IF($G$1="牵丝",$AQ69*1.5,0))*(1+$BI69)*(1+$BJ69)+($BK69*IF($G$1="破竹",$AP69,$AN69)+IF($G$1="破竹",$AQ69*1.5,0))*(1+$BM69)*(1+$BN69))*(1+$AR69))*$Q69*(1+IF(VLOOKUP($R69,武学奇术!$A:$ZZ,30,FALSE)="蓄力技",$B$21,0))*(1+IF(VLOOKUP($R69,武学奇术!$A:$ZZ,30,FALSE)="派生技",$B$20,0))*(1+$BW69)*(1+$BX69)</f>
        <v>50514.216241692</v>
      </c>
      <c r="Q69" s="47">
        <f t="shared" si="25"/>
        <v>3</v>
      </c>
      <c r="R69" s="48" t="s">
        <v>144</v>
      </c>
      <c r="S69" s="48" t="s">
        <v>99</v>
      </c>
      <c r="T69" s="48" t="s">
        <v>182</v>
      </c>
      <c r="U69" s="48" t="s">
        <v>79</v>
      </c>
      <c r="V69" s="48" t="s">
        <v>90</v>
      </c>
      <c r="W69" s="48" t="s">
        <v>141</v>
      </c>
      <c r="X69" s="48" t="s">
        <v>145</v>
      </c>
      <c r="Y69" s="48" t="s">
        <v>74</v>
      </c>
      <c r="Z69" s="48" t="s">
        <v>80</v>
      </c>
      <c r="AA69" s="48" t="s">
        <v>80</v>
      </c>
      <c r="AB69" s="48" t="s">
        <v>80</v>
      </c>
      <c r="AC69" s="48" t="s">
        <v>80</v>
      </c>
      <c r="AD69" s="48" t="s">
        <v>80</v>
      </c>
      <c r="AE69" s="48" t="s">
        <v>80</v>
      </c>
      <c r="AF69" s="48" t="s">
        <v>83</v>
      </c>
      <c r="AG69" s="48" t="s">
        <v>84</v>
      </c>
      <c r="AH69" s="48" t="s">
        <v>80</v>
      </c>
      <c r="AI69" s="48" t="s">
        <v>80</v>
      </c>
      <c r="AJ69" s="48" t="s">
        <v>80</v>
      </c>
      <c r="AK69" s="48" t="s">
        <v>80</v>
      </c>
      <c r="AL69" s="48" t="s">
        <v>80</v>
      </c>
      <c r="AM69" t="str">
        <f>VLOOKUP($R69,武学奇术!$A:$ZZ,25,FALSE)</f>
        <v>陌刀</v>
      </c>
      <c r="AN69" s="33">
        <f>VLOOKUP($R69,武学奇术!$A:$ZZ,26,FALSE)</f>
        <v>0.945</v>
      </c>
      <c r="AO69" s="34">
        <f>VLOOKUP($R69,武学奇术!$A:$ZZ,27,FALSE)*(1+IF(OR($AM69=$F$4,$AM69=$F$5),$B$22,0))</f>
        <v>0</v>
      </c>
      <c r="AP69" s="33">
        <f>VLOOKUP($R69,武学奇术!$A:$ZZ,28,FALSE)</f>
        <v>1.4175</v>
      </c>
      <c r="AQ69" s="34">
        <f>VLOOKUP($R69,武学奇术!$A:$ZZ,29,FALSE)*(1+IF(OR($AM69=$F$4,$AM69=$F$5),$B$22,0))</f>
        <v>0</v>
      </c>
      <c r="AR69" s="33" cm="1">
        <f t="array" ref="AR69">$G$3+IFERROR(VLOOKUP($AM69,$F$4:$G$7,2,FALSE),0)+VLOOKUP($R69,武学奇术!$A:$ZZ,2,FALSE)+SUM(_xlfn.XLOOKUP($S69:$AL69,增益!$A:$A,增益!$B:$B,0))</f>
        <v>0.6143</v>
      </c>
      <c r="AS69" s="33" cm="1">
        <f t="array" ref="AS69">VLOOKUP($R69,武学奇术!$A:$ZZ,5,FALSE)+SUM(_xlfn.XLOOKUP($S69:$AL69,增益!$A:$A,增益!$E:$E,0))</f>
        <v>0</v>
      </c>
      <c r="AT69" cm="1">
        <f t="array" ref="AT69">$D$10*(1+$AS69)+VLOOKUP($R69,武学奇术!$A:$ZZ,3,FALSE)+SUM(_xlfn.XLOOKUP($S69:$AL69,增益!$A:$A,增益!$C:$C,0))-$I$2</f>
        <v>4026</v>
      </c>
      <c r="AU69" cm="1">
        <f t="array" ref="AU69">$E$10*(1+$AS69)+VLOOKUP($R69,武学奇术!$A:$ZZ,4,FALSE)+SUM(_xlfn.XLOOKUP($S69:$AL69,增益!$A:$A,增益!$D:$D,0))-$I$2</f>
        <v>4026</v>
      </c>
      <c r="AV69" s="40" cm="1">
        <f t="array" ref="AV69">IF($F$10-$I$3+VLOOKUP($R69,武学奇术!$A:$ZZ,6,FALSE)+SUM(_xlfn.XLOOKUP($S69:$AL69,增益!$A:$A,增益!$F:$F,0))&gt;0,($F$10-$I$3+VLOOKUP($R69,武学奇术!$A:$ZZ,6,FALSE)+SUM(_xlfn.XLOOKUP($S69:$AL69,增益!$A:$A,增益!$F:$F,0)))/200,($F$10-$I$3+VLOOKUP($R69,武学奇术!$A:$ZZ,6,FALSE)+SUM(_xlfn.XLOOKUP($S69:$AL69,增益!$A:$A,增益!$F:$F,0)))/100)</f>
        <v>0.3534</v>
      </c>
      <c r="AW69" s="40" cm="1">
        <f t="array" ref="AW69">$G$10+VLOOKUP($R69,武学奇术!$A:$ZZ,7,FALSE)+SUM(_xlfn.XLOOKUP($S69:$AL69,增益!$A:$A,增益!$G:$G,0))</f>
        <v>0.12</v>
      </c>
      <c r="AX69" s="33" cm="1">
        <f t="array" ref="AX69">VLOOKUP($R69,武学奇术!$A:$ZZ,8,FALSE)+SUM(_xlfn.XLOOKUP($S69:$AL69,增益!$A:$A,增益!$H:$H,0))</f>
        <v>0</v>
      </c>
      <c r="AY69">
        <f t="shared" si="15"/>
        <v>0</v>
      </c>
      <c r="AZ69">
        <f t="shared" si="16"/>
        <v>0</v>
      </c>
      <c r="BA69" s="40" cm="1">
        <f t="array" ref="BA69">IF($F$11-$I$4+VLOOKUP($R69,武学奇术!$A:$ZZ,9,FALSE)+SUM(_xlfn.XLOOKUP($S69:$AL69,增益!$A:$A,增益!$I:$I,0))&gt;0,($F$11-$I$4+VLOOKUP($R69,武学奇术!$A:$ZZ,9,FALSE)+SUM(_xlfn.XLOOKUP($S69:$AL69,增益!$A:$A,增益!$I:$I,0)))/200,($F$11-$I$4+VLOOKUP($R69,武学奇术!$A:$ZZ,9,FALSE)+SUM(_xlfn.XLOOKUP($S69:$AL69,增益!$A:$A,增益!$I:$I,0)))/100)</f>
        <v>-0.14</v>
      </c>
      <c r="BB69" s="40" cm="1">
        <f t="array" ref="BB69">$G$11+VLOOKUP($R69,武学奇术!$A:$ZZ,10,FALSE)+SUM(_xlfn.XLOOKUP($S69:$AL69,增益!$A:$A,增益!$J:$J,0))</f>
        <v>0</v>
      </c>
      <c r="BC69">
        <f t="shared" si="17"/>
        <v>640.3</v>
      </c>
      <c r="BD69">
        <f t="shared" si="18"/>
        <v>1770.1</v>
      </c>
      <c r="BE69" s="40" cm="1">
        <f t="array" ref="BE69">IF($F$12-$I$4+VLOOKUP($R69,武学奇术!$A:$ZZ,11,FALSE)+SUM(_xlfn.XLOOKUP($S69:$AL69,增益!$A:$A,增益!$K:$K,0))&gt;0,($F$12-$I$4+VLOOKUP($R69,武学奇术!$A:$ZZ,11,FALSE)+SUM(_xlfn.XLOOKUP($S69:$AL69,增益!$A:$A,增益!$K:$K,0)))/200,($F$12-$I$4+VLOOKUP($R69,武学奇术!$A:$ZZ,11,FALSE)+SUM(_xlfn.XLOOKUP($S69:$AL69,增益!$A:$A,增益!$K:$K,0)))/100)</f>
        <v>0.17</v>
      </c>
      <c r="BF69" s="40" cm="1">
        <f t="array" ref="BF69">$G$12+VLOOKUP($R69,武学奇术!$A:$ZZ,12,FALSE)+SUM(_xlfn.XLOOKUP($S69:$AL69,增益!$A:$A,增益!$L:$L,0))</f>
        <v>0.27</v>
      </c>
      <c r="BG69">
        <f t="shared" si="19"/>
        <v>0</v>
      </c>
      <c r="BH69">
        <f t="shared" si="20"/>
        <v>0</v>
      </c>
      <c r="BI69" s="40" cm="1">
        <f t="array" ref="BI69">IF($F$13-$I$4+VLOOKUP($R69,武学奇术!$A:$ZZ,13,FALSE)+SUM(_xlfn.XLOOKUP($S69:$AL69,增益!$A:$A,增益!$M:$M,0))&gt;0,($F$13-$I$4+VLOOKUP($R69,武学奇术!$A:$ZZ,13,FALSE)+SUM(_xlfn.XLOOKUP($S69:$AL69,增益!$A:$A,增益!$K:$K,0)))/200,($F$13-$I$4+VLOOKUP($R69,武学奇术!$A:$ZZ,13,FALSE)+SUM(_xlfn.XLOOKUP($S69:$AL69,增益!$A:$A,增益!$M:$M,0)))/100)</f>
        <v>-0.14</v>
      </c>
      <c r="BJ69" s="40" cm="1">
        <f t="array" ref="BJ69">$G$13+VLOOKUP($R69,武学奇术!$A:$ZZ,14,FALSE)+SUM(_xlfn.XLOOKUP($S69:$AL69,增益!$A:$A,增益!$N:$N,0))</f>
        <v>0</v>
      </c>
      <c r="BK69">
        <f t="shared" si="21"/>
        <v>0</v>
      </c>
      <c r="BL69">
        <f t="shared" si="22"/>
        <v>0</v>
      </c>
      <c r="BM69" s="40" cm="1">
        <f t="array" ref="BM69">IF($F$14-$I$4+VLOOKUP($R69,武学奇术!$A:$ZZ,15,FALSE)+SUM(_xlfn.XLOOKUP($S69:$AL69,增益!$A:$A,增益!$O:$O,0))&gt;0,($F$14-$I$4+VLOOKUP($R69,武学奇术!$A:$ZZ,15,FALSE)+SUM(_xlfn.XLOOKUP($S69:$AL69,增益!$A:$A,增益!$O:$O,0)))/200,($F$14-$I$4+VLOOKUP($R69,武学奇术!$A:$ZZ,15,FALSE)+SUM(_xlfn.XLOOKUP($S69:$AL69,增益!$A:$A,增益!$O:$O,0)))/100)</f>
        <v>-0.14</v>
      </c>
      <c r="BN69" s="40" cm="1">
        <f t="array" ref="BN69">$G$14+VLOOKUP($R69,武学奇术!$A:$ZZ,16,FALSE)+SUM(_xlfn.XLOOKUP($S69:$AL69,增益!$A:$A,增益!$P:$P,0))</f>
        <v>0</v>
      </c>
      <c r="BO69" s="33">
        <f>MIN(IF(VLOOKUP($R69,武学奇术!$A:$ZZ,23,FALSE)=1,100%,$B$8),100%)</f>
        <v>1</v>
      </c>
      <c r="BP69" s="33" cm="1">
        <f t="array" ref="BP69">IF(VLOOKUP($R69,武学奇术!$A:$ZZ,23,FALSE)=1,100%,MIN(80%,$B$9+VLOOKUP($R69,武学奇术!$A:$ZZ,17,FALSE)+SUM(_xlfn.XLOOKUP($S69:$AL69,增益!$A:$A,增益!$Q:$Q,0)))+$B$11+SUM(_xlfn.XLOOKUP($S69:$AL69,增益!$A:$A,增益!$U:$U,0)))*IF(VLOOKUP($R69,武学奇术!$A:$ZZ,24,FALSE)=1,0,1)</f>
        <v>1</v>
      </c>
      <c r="BQ69" s="33" cm="1">
        <f t="array" ref="BQ69">1+$B$13+VLOOKUP($R69,武学奇术!$A:$ZZ,18,FALSE)+SUM(_xlfn.XLOOKUP($S69:$AL69,增益!$A:$A,增益!$R:$R,0))</f>
        <v>2.1</v>
      </c>
      <c r="BR69" s="33" cm="1">
        <f t="array" ref="BR69">IF(VLOOKUP($R69,武学奇术!$A:$ZZ,24,FALSE)=1,100%,MIN(40%,$B$10+VLOOKUP($R69,武学奇术!$A:$ZZ,19,FALSE)+SUM(_xlfn.XLOOKUP($S69:$AL69,增益!$A:$A,增益!$S:$S,0)))+$B$12+SUM(_xlfn.XLOOKUP($S69:$AL69,增益!$A:$A,增益!$V:$V,0)))*IF(VLOOKUP($R69,武学奇术!$A:$ZZ,23,FALSE)=1,0,1)</f>
        <v>0</v>
      </c>
      <c r="BS69" s="33" cm="1">
        <f t="array" ref="BS69">1+$B$14+VLOOKUP($R69,武学奇术!$A:$ZZ,20,FALSE)+SUM(_xlfn.XLOOKUP($S69:$AL69,增益!$A:$A,增益!$T:$T,0))</f>
        <v>1.35</v>
      </c>
      <c r="BT69" s="33">
        <f t="shared" si="23"/>
        <v>1</v>
      </c>
      <c r="BU69" s="33">
        <f t="shared" si="24"/>
        <v>0</v>
      </c>
      <c r="BV69" s="33">
        <f>IF(VLOOKUP($R69,武学奇术!$A:$ZZ,22,FALSE)=1,0,(1-$BO69))*(1-$BR69)</f>
        <v>0</v>
      </c>
      <c r="BW69" s="33" cm="1">
        <f t="array" ref="BW69">SUM(_xlfn.XLOOKUP($S69:$AL69,增益!$A:$A,增益!$W:$W,0))+$I$5</f>
        <v>0.11</v>
      </c>
      <c r="BX69" s="33" cm="1">
        <f t="array" ref="BX69">VLOOKUP($R69,武学奇术!$A:$ZZ,32,FALSE)+SUM(_xlfn.XLOOKUP($S69:$AL69,增益!$A:$A,增益!$X:$X,0))</f>
        <v>0</v>
      </c>
    </row>
    <row r="70" spans="1:76">
      <c r="L70" s="46">
        <f t="shared" si="14"/>
        <v>1127796.91823771</v>
      </c>
      <c r="M70" s="46">
        <f>((($AT70+$AU70)/2*$AN70+$AO70)*(1+$AV70)*(1+$AW70)+(($AY70+$AZ70)/2*IF($G$1="鸣金",$AP70,$AN70)+IF($G$1="鸣金",$AQ70*1.5,0))*(1+$BA70)*(1+$BB70)+(($BC70+$BD70)/2*IF($G$1="裂石",$AP70,$AN70)+IF($G$1="裂石",$AQ70*1.5,0))*(1+$BE70)*(1+$BF70)+(($BG70+$BH70)/2*IF($G$1="牵丝",$AP70,$AN70)+IF($G$1="牵丝",$AQ70*1.5,0))*(1+$BI70)*(1+$BJ70)+(($BK70+$BL70)/2*IF($G$1="破竹",$AP70,$AN70)+IF($G$1="破竹",$AQ70*1.5,0))*(1+$BM70)*(1+$BN70))*(1+$AR70)*$BQ70*$Q70*(1+IF(VLOOKUP($R70,武学奇术!$A:$ZZ,30,FALSE)="蓄力技",$B$21,0))*(1+IF(VLOOKUP($R70,武学奇术!$A:$ZZ,30,FALSE)="派生技",$B$20,0))*(1+$BW70)*(1+$BX70)</f>
        <v>1127796.91823771</v>
      </c>
      <c r="N70" s="46">
        <f>(($AU70*$AN70+$AO70)*(1+$AV70)*(1+$AW70)+($AZ70*IF($G$1="鸣金",$AP70,$AN70)+IF($G$1="鸣金",$AQ70*1.5,0))*(1+$BA70)*(1+$BB70)+($BD70*IF($G$1="裂石",$AP70,$AN70)+IF($G$1="裂石",$AQ70*1.5,0))*(1+$BE70)*(1+$BF70)+($BH70*IF($G$1="牵丝",$AP70,$AN70)+IF($G$1="牵丝",$AQ70*1.5,0))*(1+$BI70)*(1+$BJ70)+($BL70*IF($G$1="破竹",$AP70,$AN70)+IF($G$1="破竹",$AQ70*1.5,0))*(1+$BM70)*(1+$BN70))*(1+$AR70)*$BS70*$Q70*(1+IF(VLOOKUP($R70,武学奇术!$A:$ZZ,30,FALSE)="蓄力技",$B$21,0))*(1+IF(VLOOKUP($R70,武学奇术!$A:$ZZ,30,FALSE)="派生技",$B$20,0))*(1+$BW70)*(1+$BX70)</f>
        <v>816326.116909561</v>
      </c>
      <c r="O70" s="46">
        <f>((($AT70+$AU70)/2*$AN70+$AO70)*(1+$AV70)*(1+$AW70)+(($AY70+$AZ70)/2*IF($G$1="鸣金",$AP70,$AN70)+IF($G$1="鸣金",$AQ70*1.5,0))*(1+$BA70)*(1+$BB70)+(($BC70+$BD70)/2*IF($G$1="裂石",$AP70,$AN70)+IF($G$1="裂石",$AQ70*1.5,0))*(1+$BE70)*(1+$BF70)+(($BG70+$BH70)/2*IF($G$1="牵丝",$AP70,$AN70)+IF($G$1="牵丝",$AQ70*1.5,0))*(1+$BI70)*(1+$BJ70)+(($BK70+$BL70)/2*IF($G$1="破竹",$AP70,$AN70)+IF($G$1="破竹",$AQ70*1.5,0))*(1+$BM70)*(1+$BN70))*(1+$AR70)*$Q70*(1+IF(VLOOKUP($R70,武学奇术!$A:$ZZ,30,FALSE)="蓄力技",$B$21,0))*(1+IF(VLOOKUP($R70,武学奇术!$A:$ZZ,30,FALSE)="派生技",$B$20,0))*(1+$BW70)*(1+$BX70)</f>
        <v>537046.151541765</v>
      </c>
      <c r="P70" s="46">
        <f>((($AT70*$AN70+$AO70)*(1+$AV70)*(1+$AW70)+($AY70*IF($G$1="鸣金",$AP70,$AN70)+IF($G$1="鸣金",$AQ70*1.5,0))*(1+$BA70)*(1+$BB70)+($BC70*IF($G$1="裂石",$AP70,$AN70)+IF($G$1="裂石",$AQ70*1.5,0))*(1+$BE70)*(1+$BF70)+($BG70*IF($G$1="牵丝",$AP70,$AN70)+IF($G$1="牵丝",$AQ70*1.5,0))*(1+$BI70)*(1+$BJ70)+($BK70*IF($G$1="破竹",$AP70,$AN70)+IF($G$1="破竹",$AQ70*1.5,0))*(1+$BM70)*(1+$BN70))*(1+$AR70))*$Q70*(1+IF(VLOOKUP($R70,武学奇术!$A:$ZZ,30,FALSE)="蓄力技",$B$21,0))*(1+IF(VLOOKUP($R70,武学奇术!$A:$ZZ,30,FALSE)="派生技",$B$20,0))*(1+$BW70)*(1+$BX70)</f>
        <v>469406.29055793</v>
      </c>
      <c r="Q70" s="47">
        <f t="shared" si="25"/>
        <v>3</v>
      </c>
      <c r="R70" s="48" t="s">
        <v>148</v>
      </c>
      <c r="S70" s="48" t="s">
        <v>99</v>
      </c>
      <c r="T70" s="48" t="s">
        <v>182</v>
      </c>
      <c r="U70" s="48" t="s">
        <v>79</v>
      </c>
      <c r="V70" s="48" t="s">
        <v>90</v>
      </c>
      <c r="W70" s="48" t="s">
        <v>141</v>
      </c>
      <c r="X70" s="48" t="s">
        <v>145</v>
      </c>
      <c r="Y70" s="48" t="s">
        <v>74</v>
      </c>
      <c r="Z70" s="48" t="s">
        <v>80</v>
      </c>
      <c r="AA70" s="48" t="s">
        <v>80</v>
      </c>
      <c r="AB70" s="48" t="s">
        <v>80</v>
      </c>
      <c r="AC70" s="48" t="s">
        <v>80</v>
      </c>
      <c r="AD70" s="48" t="s">
        <v>80</v>
      </c>
      <c r="AE70" s="48" t="s">
        <v>80</v>
      </c>
      <c r="AF70" s="48" t="s">
        <v>83</v>
      </c>
      <c r="AG70" s="48" t="s">
        <v>84</v>
      </c>
      <c r="AH70" s="48" t="s">
        <v>80</v>
      </c>
      <c r="AI70" s="48" t="s">
        <v>80</v>
      </c>
      <c r="AJ70" s="48" t="s">
        <v>80</v>
      </c>
      <c r="AK70" s="48" t="s">
        <v>80</v>
      </c>
      <c r="AL70" s="48" t="s">
        <v>80</v>
      </c>
      <c r="AM70" t="str">
        <f>VLOOKUP($R70,武学奇术!$A:$ZZ,25,FALSE)</f>
        <v>陌刀</v>
      </c>
      <c r="AN70" s="33">
        <f>VLOOKUP($R70,武学奇术!$A:$ZZ,26,FALSE)</f>
        <v>7.5674</v>
      </c>
      <c r="AO70" s="34">
        <f>VLOOKUP($R70,武学奇术!$A:$ZZ,27,FALSE)*(1+IF(OR($AM70=$F$4,$AM70=$F$5),$B$22,0))</f>
        <v>3348.8</v>
      </c>
      <c r="AP70" s="33">
        <f>VLOOKUP($R70,武学奇术!$A:$ZZ,28,FALSE)</f>
        <v>11.3512</v>
      </c>
      <c r="AQ70" s="34">
        <f>VLOOKUP($R70,武学奇术!$A:$ZZ,29,FALSE)*(1+IF(OR($AM70=$F$4,$AM70=$F$5),$B$22,0))</f>
        <v>1824</v>
      </c>
      <c r="AR70" s="33" cm="1">
        <f t="array" ref="AR70">$G$3+IFERROR(VLOOKUP($AM70,$F$4:$G$7,2,FALSE),0)+VLOOKUP($R70,武学奇术!$A:$ZZ,2,FALSE)+SUM(_xlfn.XLOOKUP($S70:$AL70,增益!$A:$A,增益!$B:$B,0))</f>
        <v>0.6143</v>
      </c>
      <c r="AS70" s="33" cm="1">
        <f t="array" ref="AS70">VLOOKUP($R70,武学奇术!$A:$ZZ,5,FALSE)+SUM(_xlfn.XLOOKUP($S70:$AL70,增益!$A:$A,增益!$E:$E,0))</f>
        <v>0</v>
      </c>
      <c r="AT70" cm="1">
        <f t="array" ref="AT70">$D$10*(1+$AS70)+VLOOKUP($R70,武学奇术!$A:$ZZ,3,FALSE)+SUM(_xlfn.XLOOKUP($S70:$AL70,增益!$A:$A,增益!$C:$C,0))-$I$2</f>
        <v>4026</v>
      </c>
      <c r="AU70" cm="1">
        <f t="array" ref="AU70">$E$10*(1+$AS70)+VLOOKUP($R70,武学奇术!$A:$ZZ,4,FALSE)+SUM(_xlfn.XLOOKUP($S70:$AL70,增益!$A:$A,增益!$D:$D,0))-$I$2</f>
        <v>4026</v>
      </c>
      <c r="AV70" s="40" cm="1">
        <f t="array" ref="AV70">IF($F$10-$I$3+VLOOKUP($R70,武学奇术!$A:$ZZ,6,FALSE)+SUM(_xlfn.XLOOKUP($S70:$AL70,增益!$A:$A,增益!$F:$F,0))&gt;0,($F$10-$I$3+VLOOKUP($R70,武学奇术!$A:$ZZ,6,FALSE)+SUM(_xlfn.XLOOKUP($S70:$AL70,增益!$A:$A,增益!$F:$F,0)))/200,($F$10-$I$3+VLOOKUP($R70,武学奇术!$A:$ZZ,6,FALSE)+SUM(_xlfn.XLOOKUP($S70:$AL70,增益!$A:$A,增益!$F:$F,0)))/100)</f>
        <v>0.3534</v>
      </c>
      <c r="AW70" s="40" cm="1">
        <f t="array" ref="AW70">$G$10+VLOOKUP($R70,武学奇术!$A:$ZZ,7,FALSE)+SUM(_xlfn.XLOOKUP($S70:$AL70,增益!$A:$A,增益!$G:$G,0))</f>
        <v>0.12</v>
      </c>
      <c r="AX70" s="33" cm="1">
        <f t="array" ref="AX70">VLOOKUP($R70,武学奇术!$A:$ZZ,8,FALSE)+SUM(_xlfn.XLOOKUP($S70:$AL70,增益!$A:$A,增益!$H:$H,0))</f>
        <v>0</v>
      </c>
      <c r="AY70">
        <f t="shared" si="15"/>
        <v>0</v>
      </c>
      <c r="AZ70">
        <f t="shared" si="16"/>
        <v>0</v>
      </c>
      <c r="BA70" s="40" cm="1">
        <f t="array" ref="BA70">IF($F$11-$I$4+VLOOKUP($R70,武学奇术!$A:$ZZ,9,FALSE)+SUM(_xlfn.XLOOKUP($S70:$AL70,增益!$A:$A,增益!$I:$I,0))&gt;0,($F$11-$I$4+VLOOKUP($R70,武学奇术!$A:$ZZ,9,FALSE)+SUM(_xlfn.XLOOKUP($S70:$AL70,增益!$A:$A,增益!$I:$I,0)))/200,($F$11-$I$4+VLOOKUP($R70,武学奇术!$A:$ZZ,9,FALSE)+SUM(_xlfn.XLOOKUP($S70:$AL70,增益!$A:$A,增益!$I:$I,0)))/100)</f>
        <v>-0.14</v>
      </c>
      <c r="BB70" s="40" cm="1">
        <f t="array" ref="BB70">$G$11+VLOOKUP($R70,武学奇术!$A:$ZZ,10,FALSE)+SUM(_xlfn.XLOOKUP($S70:$AL70,增益!$A:$A,增益!$J:$J,0))</f>
        <v>0</v>
      </c>
      <c r="BC70">
        <f t="shared" si="17"/>
        <v>640.3</v>
      </c>
      <c r="BD70">
        <f t="shared" si="18"/>
        <v>1770.1</v>
      </c>
      <c r="BE70" s="40" cm="1">
        <f t="array" ref="BE70">IF($F$12-$I$4+VLOOKUP($R70,武学奇术!$A:$ZZ,11,FALSE)+SUM(_xlfn.XLOOKUP($S70:$AL70,增益!$A:$A,增益!$K:$K,0))&gt;0,($F$12-$I$4+VLOOKUP($R70,武学奇术!$A:$ZZ,11,FALSE)+SUM(_xlfn.XLOOKUP($S70:$AL70,增益!$A:$A,增益!$K:$K,0)))/200,($F$12-$I$4+VLOOKUP($R70,武学奇术!$A:$ZZ,11,FALSE)+SUM(_xlfn.XLOOKUP($S70:$AL70,增益!$A:$A,增益!$K:$K,0)))/100)</f>
        <v>0.17</v>
      </c>
      <c r="BF70" s="40" cm="1">
        <f t="array" ref="BF70">$G$12+VLOOKUP($R70,武学奇术!$A:$ZZ,12,FALSE)+SUM(_xlfn.XLOOKUP($S70:$AL70,增益!$A:$A,增益!$L:$L,0))</f>
        <v>0.27</v>
      </c>
      <c r="BG70">
        <f t="shared" si="19"/>
        <v>0</v>
      </c>
      <c r="BH70">
        <f t="shared" si="20"/>
        <v>0</v>
      </c>
      <c r="BI70" s="40" cm="1">
        <f t="array" ref="BI70">IF($F$13-$I$4+VLOOKUP($R70,武学奇术!$A:$ZZ,13,FALSE)+SUM(_xlfn.XLOOKUP($S70:$AL70,增益!$A:$A,增益!$M:$M,0))&gt;0,($F$13-$I$4+VLOOKUP($R70,武学奇术!$A:$ZZ,13,FALSE)+SUM(_xlfn.XLOOKUP($S70:$AL70,增益!$A:$A,增益!$K:$K,0)))/200,($F$13-$I$4+VLOOKUP($R70,武学奇术!$A:$ZZ,13,FALSE)+SUM(_xlfn.XLOOKUP($S70:$AL70,增益!$A:$A,增益!$M:$M,0)))/100)</f>
        <v>-0.14</v>
      </c>
      <c r="BJ70" s="40" cm="1">
        <f t="array" ref="BJ70">$G$13+VLOOKUP($R70,武学奇术!$A:$ZZ,14,FALSE)+SUM(_xlfn.XLOOKUP($S70:$AL70,增益!$A:$A,增益!$N:$N,0))</f>
        <v>0</v>
      </c>
      <c r="BK70">
        <f t="shared" si="21"/>
        <v>0</v>
      </c>
      <c r="BL70">
        <f t="shared" si="22"/>
        <v>0</v>
      </c>
      <c r="BM70" s="40" cm="1">
        <f t="array" ref="BM70">IF($F$14-$I$4+VLOOKUP($R70,武学奇术!$A:$ZZ,15,FALSE)+SUM(_xlfn.XLOOKUP($S70:$AL70,增益!$A:$A,增益!$O:$O,0))&gt;0,($F$14-$I$4+VLOOKUP($R70,武学奇术!$A:$ZZ,15,FALSE)+SUM(_xlfn.XLOOKUP($S70:$AL70,增益!$A:$A,增益!$O:$O,0)))/200,($F$14-$I$4+VLOOKUP($R70,武学奇术!$A:$ZZ,15,FALSE)+SUM(_xlfn.XLOOKUP($S70:$AL70,增益!$A:$A,增益!$O:$O,0)))/100)</f>
        <v>-0.14</v>
      </c>
      <c r="BN70" s="40" cm="1">
        <f t="array" ref="BN70">$G$14+VLOOKUP($R70,武学奇术!$A:$ZZ,16,FALSE)+SUM(_xlfn.XLOOKUP($S70:$AL70,增益!$A:$A,增益!$P:$P,0))</f>
        <v>0</v>
      </c>
      <c r="BO70" s="33">
        <f>MIN(IF(VLOOKUP($R70,武学奇术!$A:$ZZ,23,FALSE)=1,100%,$B$8),100%)</f>
        <v>1</v>
      </c>
      <c r="BP70" s="33" cm="1">
        <f t="array" ref="BP70">IF(VLOOKUP($R70,武学奇术!$A:$ZZ,23,FALSE)=1,100%,MIN(80%,$B$9+VLOOKUP($R70,武学奇术!$A:$ZZ,17,FALSE)+SUM(_xlfn.XLOOKUP($S70:$AL70,增益!$A:$A,增益!$Q:$Q,0)))+$B$11+SUM(_xlfn.XLOOKUP($S70:$AL70,增益!$A:$A,增益!$U:$U,0)))*IF(VLOOKUP($R70,武学奇术!$A:$ZZ,24,FALSE)=1,0,1)</f>
        <v>1</v>
      </c>
      <c r="BQ70" s="33" cm="1">
        <f t="array" ref="BQ70">1+$B$13+VLOOKUP($R70,武学奇术!$A:$ZZ,18,FALSE)+SUM(_xlfn.XLOOKUP($S70:$AL70,增益!$A:$A,增益!$R:$R,0))</f>
        <v>2.1</v>
      </c>
      <c r="BR70" s="33" cm="1">
        <f t="array" ref="BR70">IF(VLOOKUP($R70,武学奇术!$A:$ZZ,24,FALSE)=1,100%,MIN(40%,$B$10+VLOOKUP($R70,武学奇术!$A:$ZZ,19,FALSE)+SUM(_xlfn.XLOOKUP($S70:$AL70,增益!$A:$A,增益!$S:$S,0)))+$B$12+SUM(_xlfn.XLOOKUP($S70:$AL70,增益!$A:$A,增益!$V:$V,0)))*IF(VLOOKUP($R70,武学奇术!$A:$ZZ,23,FALSE)=1,0,1)</f>
        <v>0</v>
      </c>
      <c r="BS70" s="33" cm="1">
        <f t="array" ref="BS70">1+$B$14+VLOOKUP($R70,武学奇术!$A:$ZZ,20,FALSE)+SUM(_xlfn.XLOOKUP($S70:$AL70,增益!$A:$A,增益!$T:$T,0))</f>
        <v>1.35</v>
      </c>
      <c r="BT70" s="33">
        <f t="shared" si="23"/>
        <v>1</v>
      </c>
      <c r="BU70" s="33">
        <f t="shared" si="24"/>
        <v>0</v>
      </c>
      <c r="BV70" s="33">
        <f>IF(VLOOKUP($R70,武学奇术!$A:$ZZ,22,FALSE)=1,0,(1-$BO70))*(1-$BR70)</f>
        <v>0</v>
      </c>
      <c r="BW70" s="33" cm="1">
        <f t="array" ref="BW70">SUM(_xlfn.XLOOKUP($S70:$AL70,增益!$A:$A,增益!$W:$W,0))+$I$5</f>
        <v>0.11</v>
      </c>
      <c r="BX70" s="33" cm="1">
        <f t="array" ref="BX70">VLOOKUP($R70,武学奇术!$A:$ZZ,32,FALSE)+SUM(_xlfn.XLOOKUP($S70:$AL70,增益!$A:$A,增益!$X:$X,0))</f>
        <v>0</v>
      </c>
    </row>
    <row r="71" spans="1:76">
      <c r="L71" s="46">
        <f t="shared" si="14"/>
        <v>116997.301963716</v>
      </c>
      <c r="M71" s="46">
        <f>((($AT71+$AU71)/2*$AN71+$AO71)*(1+$AV71)*(1+$AW71)+(($AY71+$AZ71)/2*IF($G$1="鸣金",$AP71,$AN71)+IF($G$1="鸣金",$AQ71*1.5,0))*(1+$BA71)*(1+$BB71)+(($BC71+$BD71)/2*IF($G$1="裂石",$AP71,$AN71)+IF($G$1="裂石",$AQ71*1.5,0))*(1+$BE71)*(1+$BF71)+(($BG71+$BH71)/2*IF($G$1="牵丝",$AP71,$AN71)+IF($G$1="牵丝",$AQ71*1.5,0))*(1+$BI71)*(1+$BJ71)+(($BK71+$BL71)/2*IF($G$1="破竹",$AP71,$AN71)+IF($G$1="破竹",$AQ71*1.5,0))*(1+$BM71)*(1+$BN71))*(1+$AR71)*$BQ71*$Q71*(1+IF(VLOOKUP($R71,武学奇术!$A:$ZZ,30,FALSE)="蓄力技",$B$21,0))*(1+IF(VLOOKUP($R71,武学奇术!$A:$ZZ,30,FALSE)="派生技",$B$20,0))*(1+$BW71)*(1+$BX71)</f>
        <v>122441.438706953</v>
      </c>
      <c r="N71" s="46">
        <f>(($AU71*$AN71+$AO71)*(1+$AV71)*(1+$AW71)+($AZ71*IF($G$1="鸣金",$AP71,$AN71)+IF($G$1="鸣金",$AQ71*1.5,0))*(1+$BA71)*(1+$BB71)+($BD71*IF($G$1="裂石",$AP71,$AN71)+IF($G$1="裂石",$AQ71*1.5,0))*(1+$BE71)*(1+$BF71)+($BH71*IF($G$1="牵丝",$AP71,$AN71)+IF($G$1="牵丝",$AQ71*1.5,0))*(1+$BI71)*(1+$BJ71)+($BL71*IF($G$1="破竹",$AP71,$AN71)+IF($G$1="破竹",$AQ71*1.5,0))*(1+$BM71)*(1+$BN71))*(1+$AR71)*$BS71*$Q71*(1+IF(VLOOKUP($R71,武学奇术!$A:$ZZ,30,FALSE)="蓄力技",$B$21,0))*(1+IF(VLOOKUP($R71,武学奇术!$A:$ZZ,30,FALSE)="派生技",$B$20,0))*(1+$BW71)*(1+$BX71)</f>
        <v>93386.0465000419</v>
      </c>
      <c r="O71" s="46">
        <f>((($AT71+$AU71)/2*$AN71+$AO71)*(1+$AV71)*(1+$AW71)+(($AY71+$AZ71)/2*IF($G$1="鸣金",$AP71,$AN71)+IF($G$1="鸣金",$AQ71*1.5,0))*(1+$BA71)*(1+$BB71)+(($BC71+$BD71)/2*IF($G$1="裂石",$AP71,$AN71)+IF($G$1="裂石",$AQ71*1.5,0))*(1+$BE71)*(1+$BF71)+(($BG71+$BH71)/2*IF($G$1="牵丝",$AP71,$AN71)+IF($G$1="牵丝",$AQ71*1.5,0))*(1+$BI71)*(1+$BJ71)+(($BK71+$BL71)/2*IF($G$1="破竹",$AP71,$AN71)+IF($G$1="破竹",$AQ71*1.5,0))*(1+$BM71)*(1+$BN71))*(1+$AR71)*$Q71*(1+IF(VLOOKUP($R71,武学奇术!$A:$ZZ,30,FALSE)="蓄力技",$B$21,0))*(1+IF(VLOOKUP($R71,武学奇术!$A:$ZZ,30,FALSE)="派生技",$B$20,0))*(1+$BW71)*(1+$BX71)</f>
        <v>61220.7193534765</v>
      </c>
      <c r="P71" s="46">
        <f>((($AT71*$AN71+$AO71)*(1+$AV71)*(1+$AW71)+($AY71*IF($G$1="鸣金",$AP71,$AN71)+IF($G$1="鸣金",$AQ71*1.5,0))*(1+$BA71)*(1+$BB71)+($BC71*IF($G$1="裂石",$AP71,$AN71)+IF($G$1="裂石",$AQ71*1.5,0))*(1+$BE71)*(1+$BF71)+($BG71*IF($G$1="牵丝",$AP71,$AN71)+IF($G$1="牵丝",$AQ71*1.5,0))*(1+$BI71)*(1+$BJ71)+($BK71*IF($G$1="破竹",$AP71,$AN71)+IF($G$1="破竹",$AQ71*1.5,0))*(1+$BM71)*(1+$BN71))*(1+$AR71))*$Q71*(1+IF(VLOOKUP($R71,武学奇术!$A:$ZZ,30,FALSE)="蓄力技",$B$21,0))*(1+IF(VLOOKUP($R71,武学奇术!$A:$ZZ,30,FALSE)="派生技",$B$20,0))*(1+$BW71)*(1+$BX71)</f>
        <v>53266.5894476628</v>
      </c>
      <c r="Q71" s="47">
        <f t="shared" ref="Q71:Q75" si="26">IF($E$24="陌刀",1,0)</f>
        <v>1</v>
      </c>
      <c r="R71" s="48" t="s">
        <v>172</v>
      </c>
      <c r="S71" s="48" t="s">
        <v>99</v>
      </c>
      <c r="T71" s="48" t="s">
        <v>182</v>
      </c>
      <c r="U71" s="48" t="s">
        <v>79</v>
      </c>
      <c r="V71" s="48" t="s">
        <v>90</v>
      </c>
      <c r="W71" s="48" t="s">
        <v>141</v>
      </c>
      <c r="X71" s="48" t="s">
        <v>80</v>
      </c>
      <c r="Y71" s="48" t="s">
        <v>74</v>
      </c>
      <c r="Z71" s="48" t="s">
        <v>80</v>
      </c>
      <c r="AA71" s="48" t="s">
        <v>80</v>
      </c>
      <c r="AB71" s="48" t="s">
        <v>80</v>
      </c>
      <c r="AC71" s="48" t="s">
        <v>80</v>
      </c>
      <c r="AD71" s="48" t="s">
        <v>80</v>
      </c>
      <c r="AE71" s="48" t="s">
        <v>80</v>
      </c>
      <c r="AF71" s="48" t="s">
        <v>83</v>
      </c>
      <c r="AG71" s="48" t="s">
        <v>84</v>
      </c>
      <c r="AH71" s="48" t="s">
        <v>80</v>
      </c>
      <c r="AI71" s="48" t="s">
        <v>80</v>
      </c>
      <c r="AJ71" s="48" t="s">
        <v>80</v>
      </c>
      <c r="AK71" s="48" t="s">
        <v>80</v>
      </c>
      <c r="AL71" s="48" t="s">
        <v>80</v>
      </c>
      <c r="AM71" t="str">
        <f>VLOOKUP($R71,武学奇术!$A:$ZZ,25,FALSE)</f>
        <v>陌刀</v>
      </c>
      <c r="AN71" s="33">
        <f>VLOOKUP($R71,武学奇术!$A:$ZZ,26,FALSE)</f>
        <v>3.5256</v>
      </c>
      <c r="AO71" s="34">
        <f>VLOOKUP($R71,武学奇术!$A:$ZZ,27,FALSE)*(1+IF(OR($AM71=$F$4,$AM71=$F$5),$B$22,0))</f>
        <v>846.144</v>
      </c>
      <c r="AP71" s="33">
        <f>VLOOKUP($R71,武学奇术!$A:$ZZ,28,FALSE)</f>
        <v>5.2884</v>
      </c>
      <c r="AQ71" s="34">
        <f>VLOOKUP($R71,武学奇术!$A:$ZZ,29,FALSE)*(1+IF(OR($AM71=$F$4,$AM71=$F$5),$B$22,0))</f>
        <v>851.2</v>
      </c>
      <c r="AR71" s="33" cm="1">
        <f t="array" ref="AR71">$G$3+IFERROR(VLOOKUP($AM71,$F$4:$G$7,2,FALSE),0)+VLOOKUP($R71,武学奇术!$A:$ZZ,2,FALSE)+SUM(_xlfn.XLOOKUP($S71:$AL71,增益!$A:$A,增益!$B:$B,0))</f>
        <v>0.6143</v>
      </c>
      <c r="AS71" s="33" cm="1">
        <f t="array" ref="AS71">VLOOKUP($R71,武学奇术!$A:$ZZ,5,FALSE)+SUM(_xlfn.XLOOKUP($S71:$AL71,增益!$A:$A,增益!$E:$E,0))</f>
        <v>0</v>
      </c>
      <c r="AT71" cm="1">
        <f t="array" ref="AT71">$D$10*(1+$AS71)+VLOOKUP($R71,武学奇术!$A:$ZZ,3,FALSE)+SUM(_xlfn.XLOOKUP($S71:$AL71,增益!$A:$A,增益!$C:$C,0))-$I$2</f>
        <v>4026</v>
      </c>
      <c r="AU71" cm="1">
        <f t="array" ref="AU71">$E$10*(1+$AS71)+VLOOKUP($R71,武学奇术!$A:$ZZ,4,FALSE)+SUM(_xlfn.XLOOKUP($S71:$AL71,增益!$A:$A,增益!$D:$D,0))-$I$2</f>
        <v>4026</v>
      </c>
      <c r="AV71" s="40" cm="1">
        <f t="array" ref="AV71">IF($F$10-$I$3+VLOOKUP($R71,武学奇术!$A:$ZZ,6,FALSE)+SUM(_xlfn.XLOOKUP($S71:$AL71,增益!$A:$A,增益!$F:$F,0))&gt;0,($F$10-$I$3+VLOOKUP($R71,武学奇术!$A:$ZZ,6,FALSE)+SUM(_xlfn.XLOOKUP($S71:$AL71,增益!$A:$A,增益!$F:$F,0)))/200,($F$10-$I$3+VLOOKUP($R71,武学奇术!$A:$ZZ,6,FALSE)+SUM(_xlfn.XLOOKUP($S71:$AL71,增益!$A:$A,增益!$F:$F,0)))/100)</f>
        <v>0.3534</v>
      </c>
      <c r="AW71" s="40" cm="1">
        <f t="array" ref="AW71">$G$10+VLOOKUP($R71,武学奇术!$A:$ZZ,7,FALSE)+SUM(_xlfn.XLOOKUP($S71:$AL71,增益!$A:$A,增益!$G:$G,0))</f>
        <v>0.12</v>
      </c>
      <c r="AX71" s="33" cm="1">
        <f t="array" ref="AX71">VLOOKUP($R71,武学奇术!$A:$ZZ,8,FALSE)+SUM(_xlfn.XLOOKUP($S71:$AL71,增益!$A:$A,增益!$H:$H,0))</f>
        <v>0</v>
      </c>
      <c r="AY71">
        <f t="shared" si="15"/>
        <v>0</v>
      </c>
      <c r="AZ71">
        <f t="shared" si="16"/>
        <v>0</v>
      </c>
      <c r="BA71" s="40" cm="1">
        <f t="array" ref="BA71">IF($F$11-$I$4+VLOOKUP($R71,武学奇术!$A:$ZZ,9,FALSE)+SUM(_xlfn.XLOOKUP($S71:$AL71,增益!$A:$A,增益!$I:$I,0))&gt;0,($F$11-$I$4+VLOOKUP($R71,武学奇术!$A:$ZZ,9,FALSE)+SUM(_xlfn.XLOOKUP($S71:$AL71,增益!$A:$A,增益!$I:$I,0)))/200,($F$11-$I$4+VLOOKUP($R71,武学奇术!$A:$ZZ,9,FALSE)+SUM(_xlfn.XLOOKUP($S71:$AL71,增益!$A:$A,增益!$I:$I,0)))/100)</f>
        <v>-0.14</v>
      </c>
      <c r="BB71" s="40" cm="1">
        <f t="array" ref="BB71">$G$11+VLOOKUP($R71,武学奇术!$A:$ZZ,10,FALSE)+SUM(_xlfn.XLOOKUP($S71:$AL71,增益!$A:$A,增益!$J:$J,0))</f>
        <v>0</v>
      </c>
      <c r="BC71">
        <f t="shared" si="17"/>
        <v>640.3</v>
      </c>
      <c r="BD71">
        <f t="shared" si="18"/>
        <v>1770.1</v>
      </c>
      <c r="BE71" s="40" cm="1">
        <f t="array" ref="BE71">IF($F$12-$I$4+VLOOKUP($R71,武学奇术!$A:$ZZ,11,FALSE)+SUM(_xlfn.XLOOKUP($S71:$AL71,增益!$A:$A,增益!$K:$K,0))&gt;0,($F$12-$I$4+VLOOKUP($R71,武学奇术!$A:$ZZ,11,FALSE)+SUM(_xlfn.XLOOKUP($S71:$AL71,增益!$A:$A,增益!$K:$K,0)))/200,($F$12-$I$4+VLOOKUP($R71,武学奇术!$A:$ZZ,11,FALSE)+SUM(_xlfn.XLOOKUP($S71:$AL71,增益!$A:$A,增益!$K:$K,0)))/100)</f>
        <v>0.17</v>
      </c>
      <c r="BF71" s="40" cm="1">
        <f t="array" ref="BF71">$G$12+VLOOKUP($R71,武学奇术!$A:$ZZ,12,FALSE)+SUM(_xlfn.XLOOKUP($S71:$AL71,增益!$A:$A,增益!$L:$L,0))</f>
        <v>0.27</v>
      </c>
      <c r="BG71">
        <f t="shared" si="19"/>
        <v>0</v>
      </c>
      <c r="BH71">
        <f t="shared" si="20"/>
        <v>0</v>
      </c>
      <c r="BI71" s="40" cm="1">
        <f t="array" ref="BI71">IF($F$13-$I$4+VLOOKUP($R71,武学奇术!$A:$ZZ,13,FALSE)+SUM(_xlfn.XLOOKUP($S71:$AL71,增益!$A:$A,增益!$M:$M,0))&gt;0,($F$13-$I$4+VLOOKUP($R71,武学奇术!$A:$ZZ,13,FALSE)+SUM(_xlfn.XLOOKUP($S71:$AL71,增益!$A:$A,增益!$K:$K,0)))/200,($F$13-$I$4+VLOOKUP($R71,武学奇术!$A:$ZZ,13,FALSE)+SUM(_xlfn.XLOOKUP($S71:$AL71,增益!$A:$A,增益!$M:$M,0)))/100)</f>
        <v>-0.14</v>
      </c>
      <c r="BJ71" s="40" cm="1">
        <f t="array" ref="BJ71">$G$13+VLOOKUP($R71,武学奇术!$A:$ZZ,14,FALSE)+SUM(_xlfn.XLOOKUP($S71:$AL71,增益!$A:$A,增益!$N:$N,0))</f>
        <v>0</v>
      </c>
      <c r="BK71">
        <f t="shared" si="21"/>
        <v>0</v>
      </c>
      <c r="BL71">
        <f t="shared" si="22"/>
        <v>0</v>
      </c>
      <c r="BM71" s="40" cm="1">
        <f t="array" ref="BM71">IF($F$14-$I$4+VLOOKUP($R71,武学奇术!$A:$ZZ,15,FALSE)+SUM(_xlfn.XLOOKUP($S71:$AL71,增益!$A:$A,增益!$O:$O,0))&gt;0,($F$14-$I$4+VLOOKUP($R71,武学奇术!$A:$ZZ,15,FALSE)+SUM(_xlfn.XLOOKUP($S71:$AL71,增益!$A:$A,增益!$O:$O,0)))/200,($F$14-$I$4+VLOOKUP($R71,武学奇术!$A:$ZZ,15,FALSE)+SUM(_xlfn.XLOOKUP($S71:$AL71,增益!$A:$A,增益!$O:$O,0)))/100)</f>
        <v>-0.14</v>
      </c>
      <c r="BN71" s="40" cm="1">
        <f t="array" ref="BN71">$G$14+VLOOKUP($R71,武学奇术!$A:$ZZ,16,FALSE)+SUM(_xlfn.XLOOKUP($S71:$AL71,增益!$A:$A,增益!$P:$P,0))</f>
        <v>0</v>
      </c>
      <c r="BO71" s="33">
        <f>MIN(IF(VLOOKUP($R71,武学奇术!$A:$ZZ,23,FALSE)=1,100%,$B$8),100%)</f>
        <v>0.9771</v>
      </c>
      <c r="BP71" s="33" cm="1">
        <f t="array" ref="BP71">IF(VLOOKUP($R71,武学奇术!$A:$ZZ,23,FALSE)=1,100%,MIN(80%,$B$9+VLOOKUP($R71,武学奇术!$A:$ZZ,17,FALSE)+SUM(_xlfn.XLOOKUP($S71:$AL71,增益!$A:$A,增益!$Q:$Q,0)))+$B$11+SUM(_xlfn.XLOOKUP($S71:$AL71,增益!$A:$A,增益!$U:$U,0)))*IF(VLOOKUP($R71,武学奇术!$A:$ZZ,24,FALSE)=1,0,1)</f>
        <v>0.8861</v>
      </c>
      <c r="BQ71" s="33" cm="1">
        <f t="array" ref="BQ71">1+$B$13+VLOOKUP($R71,武学奇术!$A:$ZZ,18,FALSE)+SUM(_xlfn.XLOOKUP($S71:$AL71,增益!$A:$A,增益!$R:$R,0))</f>
        <v>2</v>
      </c>
      <c r="BR71" s="33" cm="1">
        <f t="array" ref="BR71">IF(VLOOKUP($R71,武学奇术!$A:$ZZ,24,FALSE)=1,100%,MIN(40%,$B$10+VLOOKUP($R71,武学奇术!$A:$ZZ,19,FALSE)+SUM(_xlfn.XLOOKUP($S71:$AL71,增益!$A:$A,增益!$S:$S,0)))+$B$12+SUM(_xlfn.XLOOKUP($S71:$AL71,增益!$A:$A,增益!$V:$V,0)))*IF(VLOOKUP($R71,武学奇术!$A:$ZZ,23,FALSE)=1,0,1)</f>
        <v>0.0913</v>
      </c>
      <c r="BS71" s="33" cm="1">
        <f t="array" ref="BS71">1+$B$14+VLOOKUP($R71,武学奇术!$A:$ZZ,20,FALSE)+SUM(_xlfn.XLOOKUP($S71:$AL71,增益!$A:$A,增益!$T:$T,0))</f>
        <v>1.35</v>
      </c>
      <c r="BT71" s="33">
        <f t="shared" si="23"/>
        <v>0.86580831</v>
      </c>
      <c r="BU71" s="33">
        <f t="shared" si="24"/>
        <v>0.02208246</v>
      </c>
      <c r="BV71" s="33">
        <f>IF(VLOOKUP($R71,武学奇术!$A:$ZZ,22,FALSE)=1,0,(1-$BO71))*(1-$BR71)</f>
        <v>0.02080923</v>
      </c>
      <c r="BW71" s="33" cm="1">
        <f t="array" ref="BW71">SUM(_xlfn.XLOOKUP($S71:$AL71,增益!$A:$A,增益!$W:$W,0))+$I$5</f>
        <v>0.11</v>
      </c>
      <c r="BX71" s="33" cm="1">
        <f t="array" ref="BX71">VLOOKUP($R71,武学奇术!$A:$ZZ,32,FALSE)+SUM(_xlfn.XLOOKUP($S71:$AL71,增益!$A:$A,增益!$X:$X,0))</f>
        <v>0</v>
      </c>
    </row>
    <row r="72" spans="1:76">
      <c r="L72" s="46">
        <f t="shared" si="14"/>
        <v>34725.4611142604</v>
      </c>
      <c r="M72" s="46">
        <f>((($AT72+$AU72)/2*$AN72+$AO72)*(1+$AV72)*(1+$AW72)+(($AY72+$AZ72)/2*IF($G$1="鸣金",$AP72,$AN72)+IF($G$1="鸣金",$AQ72*1.5,0))*(1+$BA72)*(1+$BB72)+(($BC72+$BD72)/2*IF($G$1="裂石",$AP72,$AN72)+IF($G$1="裂石",$AQ72*1.5,0))*(1+$BE72)*(1+$BF72)+(($BG72+$BH72)/2*IF($G$1="牵丝",$AP72,$AN72)+IF($G$1="牵丝",$AQ72*1.5,0))*(1+$BI72)*(1+$BJ72)+(($BK72+$BL72)/2*IF($G$1="破竹",$AP72,$AN72)+IF($G$1="破竹",$AQ72*1.5,0))*(1+$BM72)*(1+$BN72))*(1+$AR72)*$BQ72*$Q72*(1+IF(VLOOKUP($R72,武学奇术!$A:$ZZ,30,FALSE)="蓄力技",$B$21,0))*(1+IF(VLOOKUP($R72,武学奇术!$A:$ZZ,30,FALSE)="派生技",$B$20,0))*(1+$BW72)*(1+$BX72)</f>
        <v>34725.4611142604</v>
      </c>
      <c r="N72" s="46">
        <f>(($AU72*$AN72+$AO72)*(1+$AV72)*(1+$AW72)+($AZ72*IF($G$1="鸣金",$AP72,$AN72)+IF($G$1="鸣金",$AQ72*1.5,0))*(1+$BA72)*(1+$BB72)+($BD72*IF($G$1="裂石",$AP72,$AN72)+IF($G$1="裂石",$AQ72*1.5,0))*(1+$BE72)*(1+$BF72)+($BH72*IF($G$1="牵丝",$AP72,$AN72)+IF($G$1="牵丝",$AQ72*1.5,0))*(1+$BI72)*(1+$BJ72)+($BL72*IF($G$1="破竹",$AP72,$AN72)+IF($G$1="破竹",$AQ72*1.5,0))*(1+$BM72)*(1+$BN72))*(1+$AR72)*$BS72*$Q72*(1+IF(VLOOKUP($R72,武学奇术!$A:$ZZ,30,FALSE)="蓄力技",$B$21,0))*(1+IF(VLOOKUP($R72,武学奇术!$A:$ZZ,30,FALSE)="派生技",$B$20,0))*(1+$BW72)*(1+$BX72)</f>
        <v>25521.5420135337</v>
      </c>
      <c r="O72" s="46">
        <f>((($AT72+$AU72)/2*$AN72+$AO72)*(1+$AV72)*(1+$AW72)+(($AY72+$AZ72)/2*IF($G$1="鸣金",$AP72,$AN72)+IF($G$1="鸣金",$AQ72*1.5,0))*(1+$BA72)*(1+$BB72)+(($BC72+$BD72)/2*IF($G$1="裂石",$AP72,$AN72)+IF($G$1="裂石",$AQ72*1.5,0))*(1+$BE72)*(1+$BF72)+(($BG72+$BH72)/2*IF($G$1="牵丝",$AP72,$AN72)+IF($G$1="牵丝",$AQ72*1.5,0))*(1+$BI72)*(1+$BJ72)+(($BK72+$BL72)/2*IF($G$1="破竹",$AP72,$AN72)+IF($G$1="破竹",$AQ72*1.5,0))*(1+$BM72)*(1+$BN72))*(1+$AR72)*$Q72*(1+IF(VLOOKUP($R72,武学奇术!$A:$ZZ,30,FALSE)="蓄力技",$B$21,0))*(1+IF(VLOOKUP($R72,武学奇术!$A:$ZZ,30,FALSE)="派生技",$B$20,0))*(1+$BW72)*(1+$BX72)</f>
        <v>16535.9338639335</v>
      </c>
      <c r="P72" s="46">
        <f>((($AT72*$AN72+$AO72)*(1+$AV72)*(1+$AW72)+($AY72*IF($G$1="鸣金",$AP72,$AN72)+IF($G$1="鸣金",$AQ72*1.5,0))*(1+$BA72)*(1+$BB72)+($BC72*IF($G$1="裂石",$AP72,$AN72)+IF($G$1="裂石",$AQ72*1.5,0))*(1+$BE72)*(1+$BF72)+($BG72*IF($G$1="牵丝",$AP72,$AN72)+IF($G$1="牵丝",$AQ72*1.5,0))*(1+$BI72)*(1+$BJ72)+($BK72*IF($G$1="破竹",$AP72,$AN72)+IF($G$1="破竹",$AQ72*1.5,0))*(1+$BM72)*(1+$BN72))*(1+$AR72))*$Q72*(1+IF(VLOOKUP($R72,武学奇术!$A:$ZZ,30,FALSE)="蓄力技",$B$21,0))*(1+IF(VLOOKUP($R72,武学奇术!$A:$ZZ,30,FALSE)="派生技",$B$20,0))*(1+$BW72)*(1+$BX72)</f>
        <v>14167.0217919161</v>
      </c>
      <c r="Q72" s="47">
        <f t="shared" si="26"/>
        <v>1</v>
      </c>
      <c r="R72" s="48" t="s">
        <v>187</v>
      </c>
      <c r="S72" s="48" t="s">
        <v>99</v>
      </c>
      <c r="T72" s="48" t="s">
        <v>182</v>
      </c>
      <c r="U72" s="48" t="s">
        <v>79</v>
      </c>
      <c r="V72" s="48" t="s">
        <v>90</v>
      </c>
      <c r="W72" s="48" t="s">
        <v>141</v>
      </c>
      <c r="X72" s="48" t="s">
        <v>145</v>
      </c>
      <c r="Y72" s="48" t="s">
        <v>74</v>
      </c>
      <c r="Z72" s="48" t="s">
        <v>80</v>
      </c>
      <c r="AA72" s="48" t="s">
        <v>80</v>
      </c>
      <c r="AB72" s="48" t="s">
        <v>80</v>
      </c>
      <c r="AC72" s="48" t="s">
        <v>80</v>
      </c>
      <c r="AD72" s="48" t="s">
        <v>80</v>
      </c>
      <c r="AE72" s="48" t="s">
        <v>80</v>
      </c>
      <c r="AF72" s="48" t="s">
        <v>83</v>
      </c>
      <c r="AG72" s="48" t="s">
        <v>84</v>
      </c>
      <c r="AH72" s="48" t="s">
        <v>80</v>
      </c>
      <c r="AI72" s="48" t="s">
        <v>80</v>
      </c>
      <c r="AJ72" s="48" t="s">
        <v>80</v>
      </c>
      <c r="AK72" s="48" t="s">
        <v>80</v>
      </c>
      <c r="AL72" s="48" t="s">
        <v>80</v>
      </c>
      <c r="AM72" t="str">
        <f>VLOOKUP($R72,武学奇术!$A:$ZZ,25,FALSE)</f>
        <v>陌刀</v>
      </c>
      <c r="AN72" s="33">
        <f>VLOOKUP($R72,武学奇术!$A:$ZZ,26,FALSE)</f>
        <v>1.05</v>
      </c>
      <c r="AO72" s="34">
        <f>VLOOKUP($R72,武学奇术!$A:$ZZ,27,FALSE)*(1+IF(OR($AM72=$F$4,$AM72=$F$5),$B$22,0))</f>
        <v>0</v>
      </c>
      <c r="AP72" s="33">
        <f>VLOOKUP($R72,武学奇术!$A:$ZZ,28,FALSE)</f>
        <v>1.575</v>
      </c>
      <c r="AQ72" s="34">
        <f>VLOOKUP($R72,武学奇术!$A:$ZZ,29,FALSE)*(1+IF(OR($AM72=$F$4,$AM72=$F$5),$B$22,0))</f>
        <v>0</v>
      </c>
      <c r="AR72" s="33" cm="1">
        <f t="array" ref="AR72">$G$3+IFERROR(VLOOKUP($AM72,$F$4:$G$7,2,FALSE),0)+VLOOKUP($R72,武学奇术!$A:$ZZ,2,FALSE)+SUM(_xlfn.XLOOKUP($S72:$AL72,增益!$A:$A,增益!$B:$B,0))</f>
        <v>0.6143</v>
      </c>
      <c r="AS72" s="33" cm="1">
        <f t="array" ref="AS72">VLOOKUP($R72,武学奇术!$A:$ZZ,5,FALSE)+SUM(_xlfn.XLOOKUP($S72:$AL72,增益!$A:$A,增益!$E:$E,0))</f>
        <v>0</v>
      </c>
      <c r="AT72" cm="1">
        <f t="array" ref="AT72">$D$10*(1+$AS72)+VLOOKUP($R72,武学奇术!$A:$ZZ,3,FALSE)+SUM(_xlfn.XLOOKUP($S72:$AL72,增益!$A:$A,增益!$C:$C,0))-$I$2</f>
        <v>4026</v>
      </c>
      <c r="AU72" cm="1">
        <f t="array" ref="AU72">$E$10*(1+$AS72)+VLOOKUP($R72,武学奇术!$A:$ZZ,4,FALSE)+SUM(_xlfn.XLOOKUP($S72:$AL72,增益!$A:$A,增益!$D:$D,0))-$I$2</f>
        <v>4026</v>
      </c>
      <c r="AV72" s="40" cm="1">
        <f t="array" ref="AV72">IF($F$10-$I$3+VLOOKUP($R72,武学奇术!$A:$ZZ,6,FALSE)+SUM(_xlfn.XLOOKUP($S72:$AL72,增益!$A:$A,增益!$F:$F,0))&gt;0,($F$10-$I$3+VLOOKUP($R72,武学奇术!$A:$ZZ,6,FALSE)+SUM(_xlfn.XLOOKUP($S72:$AL72,增益!$A:$A,增益!$F:$F,0)))/200,($F$10-$I$3+VLOOKUP($R72,武学奇术!$A:$ZZ,6,FALSE)+SUM(_xlfn.XLOOKUP($S72:$AL72,增益!$A:$A,增益!$F:$F,0)))/100)</f>
        <v>0.3534</v>
      </c>
      <c r="AW72" s="40" cm="1">
        <f t="array" ref="AW72">$G$10+VLOOKUP($R72,武学奇术!$A:$ZZ,7,FALSE)+SUM(_xlfn.XLOOKUP($S72:$AL72,增益!$A:$A,增益!$G:$G,0))</f>
        <v>0.12</v>
      </c>
      <c r="AX72" s="33" cm="1">
        <f t="array" ref="AX72">VLOOKUP($R72,武学奇术!$A:$ZZ,8,FALSE)+SUM(_xlfn.XLOOKUP($S72:$AL72,增益!$A:$A,增益!$H:$H,0))</f>
        <v>0</v>
      </c>
      <c r="AY72">
        <f t="shared" si="15"/>
        <v>0</v>
      </c>
      <c r="AZ72">
        <f t="shared" si="16"/>
        <v>0</v>
      </c>
      <c r="BA72" s="40" cm="1">
        <f t="array" ref="BA72">IF($F$11-$I$4+VLOOKUP($R72,武学奇术!$A:$ZZ,9,FALSE)+SUM(_xlfn.XLOOKUP($S72:$AL72,增益!$A:$A,增益!$I:$I,0))&gt;0,($F$11-$I$4+VLOOKUP($R72,武学奇术!$A:$ZZ,9,FALSE)+SUM(_xlfn.XLOOKUP($S72:$AL72,增益!$A:$A,增益!$I:$I,0)))/200,($F$11-$I$4+VLOOKUP($R72,武学奇术!$A:$ZZ,9,FALSE)+SUM(_xlfn.XLOOKUP($S72:$AL72,增益!$A:$A,增益!$I:$I,0)))/100)</f>
        <v>-0.14</v>
      </c>
      <c r="BB72" s="40" cm="1">
        <f t="array" ref="BB72">$G$11+VLOOKUP($R72,武学奇术!$A:$ZZ,10,FALSE)+SUM(_xlfn.XLOOKUP($S72:$AL72,增益!$A:$A,增益!$J:$J,0))</f>
        <v>0</v>
      </c>
      <c r="BC72">
        <f t="shared" si="17"/>
        <v>640.3</v>
      </c>
      <c r="BD72">
        <f t="shared" si="18"/>
        <v>1770.1</v>
      </c>
      <c r="BE72" s="40" cm="1">
        <f t="array" ref="BE72">IF($F$12-$I$4+VLOOKUP($R72,武学奇术!$A:$ZZ,11,FALSE)+SUM(_xlfn.XLOOKUP($S72:$AL72,增益!$A:$A,增益!$K:$K,0))&gt;0,($F$12-$I$4+VLOOKUP($R72,武学奇术!$A:$ZZ,11,FALSE)+SUM(_xlfn.XLOOKUP($S72:$AL72,增益!$A:$A,增益!$K:$K,0)))/200,($F$12-$I$4+VLOOKUP($R72,武学奇术!$A:$ZZ,11,FALSE)+SUM(_xlfn.XLOOKUP($S72:$AL72,增益!$A:$A,增益!$K:$K,0)))/100)</f>
        <v>0.17</v>
      </c>
      <c r="BF72" s="40" cm="1">
        <f t="array" ref="BF72">$G$12+VLOOKUP($R72,武学奇术!$A:$ZZ,12,FALSE)+SUM(_xlfn.XLOOKUP($S72:$AL72,增益!$A:$A,增益!$L:$L,0))</f>
        <v>0.27</v>
      </c>
      <c r="BG72">
        <f t="shared" si="19"/>
        <v>0</v>
      </c>
      <c r="BH72">
        <f t="shared" si="20"/>
        <v>0</v>
      </c>
      <c r="BI72" s="40" cm="1">
        <f t="array" ref="BI72">IF($F$13-$I$4+VLOOKUP($R72,武学奇术!$A:$ZZ,13,FALSE)+SUM(_xlfn.XLOOKUP($S72:$AL72,增益!$A:$A,增益!$M:$M,0))&gt;0,($F$13-$I$4+VLOOKUP($R72,武学奇术!$A:$ZZ,13,FALSE)+SUM(_xlfn.XLOOKUP($S72:$AL72,增益!$A:$A,增益!$K:$K,0)))/200,($F$13-$I$4+VLOOKUP($R72,武学奇术!$A:$ZZ,13,FALSE)+SUM(_xlfn.XLOOKUP($S72:$AL72,增益!$A:$A,增益!$M:$M,0)))/100)</f>
        <v>-0.14</v>
      </c>
      <c r="BJ72" s="40" cm="1">
        <f t="array" ref="BJ72">$G$13+VLOOKUP($R72,武学奇术!$A:$ZZ,14,FALSE)+SUM(_xlfn.XLOOKUP($S72:$AL72,增益!$A:$A,增益!$N:$N,0))</f>
        <v>0</v>
      </c>
      <c r="BK72">
        <f t="shared" si="21"/>
        <v>0</v>
      </c>
      <c r="BL72">
        <f t="shared" si="22"/>
        <v>0</v>
      </c>
      <c r="BM72" s="40" cm="1">
        <f t="array" ref="BM72">IF($F$14-$I$4+VLOOKUP($R72,武学奇术!$A:$ZZ,15,FALSE)+SUM(_xlfn.XLOOKUP($S72:$AL72,增益!$A:$A,增益!$O:$O,0))&gt;0,($F$14-$I$4+VLOOKUP($R72,武学奇术!$A:$ZZ,15,FALSE)+SUM(_xlfn.XLOOKUP($S72:$AL72,增益!$A:$A,增益!$O:$O,0)))/200,($F$14-$I$4+VLOOKUP($R72,武学奇术!$A:$ZZ,15,FALSE)+SUM(_xlfn.XLOOKUP($S72:$AL72,增益!$A:$A,增益!$O:$O,0)))/100)</f>
        <v>-0.14</v>
      </c>
      <c r="BN72" s="40" cm="1">
        <f t="array" ref="BN72">$G$14+VLOOKUP($R72,武学奇术!$A:$ZZ,16,FALSE)+SUM(_xlfn.XLOOKUP($S72:$AL72,增益!$A:$A,增益!$P:$P,0))</f>
        <v>0</v>
      </c>
      <c r="BO72" s="33">
        <f>MIN(IF(VLOOKUP($R72,武学奇术!$A:$ZZ,23,FALSE)=1,100%,$B$8),100%)</f>
        <v>1</v>
      </c>
      <c r="BP72" s="33" cm="1">
        <f t="array" ref="BP72">IF(VLOOKUP($R72,武学奇术!$A:$ZZ,23,FALSE)=1,100%,MIN(80%,$B$9+VLOOKUP($R72,武学奇术!$A:$ZZ,17,FALSE)+SUM(_xlfn.XLOOKUP($S72:$AL72,增益!$A:$A,增益!$Q:$Q,0)))+$B$11+SUM(_xlfn.XLOOKUP($S72:$AL72,增益!$A:$A,增益!$U:$U,0)))*IF(VLOOKUP($R72,武学奇术!$A:$ZZ,24,FALSE)=1,0,1)</f>
        <v>1</v>
      </c>
      <c r="BQ72" s="33" cm="1">
        <f t="array" ref="BQ72">1+$B$13+VLOOKUP($R72,武学奇术!$A:$ZZ,18,FALSE)+SUM(_xlfn.XLOOKUP($S72:$AL72,增益!$A:$A,增益!$R:$R,0))</f>
        <v>2.1</v>
      </c>
      <c r="BR72" s="33" cm="1">
        <f t="array" ref="BR72">IF(VLOOKUP($R72,武学奇术!$A:$ZZ,24,FALSE)=1,100%,MIN(40%,$B$10+VLOOKUP($R72,武学奇术!$A:$ZZ,19,FALSE)+SUM(_xlfn.XLOOKUP($S72:$AL72,增益!$A:$A,增益!$S:$S,0)))+$B$12+SUM(_xlfn.XLOOKUP($S72:$AL72,增益!$A:$A,增益!$V:$V,0)))*IF(VLOOKUP($R72,武学奇术!$A:$ZZ,23,FALSE)=1,0,1)</f>
        <v>0</v>
      </c>
      <c r="BS72" s="33" cm="1">
        <f t="array" ref="BS72">1+$B$14+VLOOKUP($R72,武学奇术!$A:$ZZ,20,FALSE)+SUM(_xlfn.XLOOKUP($S72:$AL72,增益!$A:$A,增益!$T:$T,0))</f>
        <v>1.35</v>
      </c>
      <c r="BT72" s="33">
        <f t="shared" si="23"/>
        <v>1</v>
      </c>
      <c r="BU72" s="33">
        <f t="shared" si="24"/>
        <v>0</v>
      </c>
      <c r="BV72" s="33">
        <f>IF(VLOOKUP($R72,武学奇术!$A:$ZZ,22,FALSE)=1,0,(1-$BO72))*(1-$BR72)</f>
        <v>0</v>
      </c>
      <c r="BW72" s="33" cm="1">
        <f t="array" ref="BW72">SUM(_xlfn.XLOOKUP($S72:$AL72,增益!$A:$A,增益!$W:$W,0))+$I$5</f>
        <v>0.11</v>
      </c>
      <c r="BX72" s="33" cm="1">
        <f t="array" ref="BX72">VLOOKUP($R72,武学奇术!$A:$ZZ,32,FALSE)+SUM(_xlfn.XLOOKUP($S72:$AL72,增益!$A:$A,增益!$X:$X,0))</f>
        <v>0</v>
      </c>
    </row>
    <row r="73" spans="1:76">
      <c r="L73" s="46">
        <f t="shared" si="14"/>
        <v>20881.3097712756</v>
      </c>
      <c r="M73" s="46">
        <f>((($AT73+$AU73)/2*$AN73+$AO73)*(1+$AV73)*(1+$AW73)+(($AY73+$AZ73)/2*IF($G$1="鸣金",$AP73,$AN73)+IF($G$1="鸣金",$AQ73*1.5,0))*(1+$BA73)*(1+$BB73)+(($BC73+$BD73)/2*IF($G$1="裂石",$AP73,$AN73)+IF($G$1="裂石",$AQ73*1.5,0))*(1+$BE73)*(1+$BF73)+(($BG73+$BH73)/2*IF($G$1="牵丝",$AP73,$AN73)+IF($G$1="牵丝",$AQ73*1.5,0))*(1+$BI73)*(1+$BJ73)+(($BK73+$BL73)/2*IF($G$1="破竹",$AP73,$AN73)+IF($G$1="破竹",$AQ73*1.5,0))*(1+$BM73)*(1+$BN73))*(1+$AR73)*$BQ73*$Q73*(1+IF(VLOOKUP($R73,武学奇术!$A:$ZZ,30,FALSE)="蓄力技",$B$21,0))*(1+IF(VLOOKUP($R73,武学奇术!$A:$ZZ,30,FALSE)="派生技",$B$20,0))*(1+$BW73)*(1+$BX73)</f>
        <v>21837.3542607106</v>
      </c>
      <c r="N73" s="46">
        <f>(($AU73*$AN73+$AO73)*(1+$AV73)*(1+$AW73)+($AZ73*IF($G$1="鸣金",$AP73,$AN73)+IF($G$1="鸣金",$AQ73*1.5,0))*(1+$BA73)*(1+$BB73)+($BD73*IF($G$1="裂石",$AP73,$AN73)+IF($G$1="裂石",$AQ73*1.5,0))*(1+$BE73)*(1+$BF73)+($BH73*IF($G$1="牵丝",$AP73,$AN73)+IF($G$1="牵丝",$AQ73*1.5,0))*(1+$BI73)*(1+$BJ73)+($BL73*IF($G$1="破竹",$AP73,$AN73)+IF($G$1="破竹",$AQ73*1.5,0))*(1+$BM73)*(1+$BN73))*(1+$AR73)*$BS73*$Q73*(1+IF(VLOOKUP($R73,武学奇术!$A:$ZZ,30,FALSE)="蓄力技",$B$21,0))*(1+IF(VLOOKUP($R73,武学奇术!$A:$ZZ,30,FALSE)="派生技",$B$20,0))*(1+$BW73)*(1+$BX73)</f>
        <v>16851.8741915363</v>
      </c>
      <c r="O73" s="46">
        <f>((($AT73+$AU73)/2*$AN73+$AO73)*(1+$AV73)*(1+$AW73)+(($AY73+$AZ73)/2*IF($G$1="鸣金",$AP73,$AN73)+IF($G$1="鸣金",$AQ73*1.5,0))*(1+$BA73)*(1+$BB73)+(($BC73+$BD73)/2*IF($G$1="裂石",$AP73,$AN73)+IF($G$1="裂石",$AQ73*1.5,0))*(1+$BE73)*(1+$BF73)+(($BG73+$BH73)/2*IF($G$1="牵丝",$AP73,$AN73)+IF($G$1="牵丝",$AQ73*1.5,0))*(1+$BI73)*(1+$BJ73)+(($BK73+$BL73)/2*IF($G$1="破竹",$AP73,$AN73)+IF($G$1="破竹",$AQ73*1.5,0))*(1+$BM73)*(1+$BN73))*(1+$AR73)*$Q73*(1+IF(VLOOKUP($R73,武学奇术!$A:$ZZ,30,FALSE)="蓄力技",$B$21,0))*(1+IF(VLOOKUP($R73,武学奇术!$A:$ZZ,30,FALSE)="派生技",$B$20,0))*(1+$BW73)*(1+$BX73)</f>
        <v>10918.6771303553</v>
      </c>
      <c r="P73" s="46">
        <f>((($AT73*$AN73+$AO73)*(1+$AV73)*(1+$AW73)+($AY73*IF($G$1="鸣金",$AP73,$AN73)+IF($G$1="鸣金",$AQ73*1.5,0))*(1+$BA73)*(1+$BB73)+($BC73*IF($G$1="裂石",$AP73,$AN73)+IF($G$1="裂石",$AQ73*1.5,0))*(1+$BE73)*(1+$BF73)+($BG73*IF($G$1="牵丝",$AP73,$AN73)+IF($G$1="牵丝",$AQ73*1.5,0))*(1+$BI73)*(1+$BJ73)+($BK73*IF($G$1="破竹",$AP73,$AN73)+IF($G$1="破竹",$AQ73*1.5,0))*(1+$BM73)*(1+$BN73))*(1+$AR73))*$Q73*(1+IF(VLOOKUP($R73,武学奇术!$A:$ZZ,30,FALSE)="蓄力技",$B$21,0))*(1+IF(VLOOKUP($R73,武学奇术!$A:$ZZ,30,FALSE)="派生技",$B$20,0))*(1+$BW73)*(1+$BX73)</f>
        <v>9354.48448920223</v>
      </c>
      <c r="Q73" s="47">
        <f t="shared" si="26"/>
        <v>1</v>
      </c>
      <c r="R73" s="48" t="s">
        <v>140</v>
      </c>
      <c r="S73" s="48" t="s">
        <v>99</v>
      </c>
      <c r="T73" s="48" t="s">
        <v>182</v>
      </c>
      <c r="U73" s="48" t="s">
        <v>79</v>
      </c>
      <c r="V73" s="48" t="s">
        <v>90</v>
      </c>
      <c r="W73" s="48" t="s">
        <v>141</v>
      </c>
      <c r="X73" s="48" t="s">
        <v>80</v>
      </c>
      <c r="Y73" s="48" t="s">
        <v>74</v>
      </c>
      <c r="Z73" s="48" t="s">
        <v>80</v>
      </c>
      <c r="AA73" s="48" t="s">
        <v>80</v>
      </c>
      <c r="AB73" s="48" t="s">
        <v>80</v>
      </c>
      <c r="AC73" s="48" t="s">
        <v>80</v>
      </c>
      <c r="AD73" s="48" t="s">
        <v>80</v>
      </c>
      <c r="AE73" s="48" t="s">
        <v>80</v>
      </c>
      <c r="AF73" s="48" t="s">
        <v>83</v>
      </c>
      <c r="AG73" s="48" t="s">
        <v>84</v>
      </c>
      <c r="AH73" s="48" t="s">
        <v>80</v>
      </c>
      <c r="AI73" s="48" t="s">
        <v>80</v>
      </c>
      <c r="AJ73" s="48" t="s">
        <v>80</v>
      </c>
      <c r="AK73" s="48" t="s">
        <v>80</v>
      </c>
      <c r="AL73" s="48" t="s">
        <v>80</v>
      </c>
      <c r="AM73" t="str">
        <f>VLOOKUP($R73,武学奇术!$A:$ZZ,25,FALSE)</f>
        <v>陌刀</v>
      </c>
      <c r="AN73" s="33">
        <f>VLOOKUP($R73,武学奇术!$A:$ZZ,26,FALSE)</f>
        <v>0.525</v>
      </c>
      <c r="AO73" s="34">
        <f>VLOOKUP($R73,武学奇术!$A:$ZZ,27,FALSE)*(1+IF(OR($AM73=$F$4,$AM73=$F$5),$B$22,0))</f>
        <v>0</v>
      </c>
      <c r="AP73" s="33">
        <f>VLOOKUP($R73,武学奇术!$A:$ZZ,28,FALSE)</f>
        <v>0.7875</v>
      </c>
      <c r="AQ73" s="34">
        <f>VLOOKUP($R73,武学奇术!$A:$ZZ,29,FALSE)*(1+IF(OR($AM73=$F$4,$AM73=$F$5),$B$22,0))</f>
        <v>0</v>
      </c>
      <c r="AR73" s="33" cm="1">
        <f t="array" ref="AR73">$G$3+IFERROR(VLOOKUP($AM73,$F$4:$G$7,2,FALSE),0)+VLOOKUP($R73,武学奇术!$A:$ZZ,2,FALSE)+SUM(_xlfn.XLOOKUP($S73:$AL73,增益!$A:$A,增益!$B:$B,0))</f>
        <v>0.6143</v>
      </c>
      <c r="AS73" s="33" cm="1">
        <f t="array" ref="AS73">VLOOKUP($R73,武学奇术!$A:$ZZ,5,FALSE)+SUM(_xlfn.XLOOKUP($S73:$AL73,增益!$A:$A,增益!$E:$E,0))</f>
        <v>0</v>
      </c>
      <c r="AT73" cm="1">
        <f t="array" ref="AT73">$D$10*(1+$AS73)+VLOOKUP($R73,武学奇术!$A:$ZZ,3,FALSE)+SUM(_xlfn.XLOOKUP($S73:$AL73,增益!$A:$A,增益!$C:$C,0))-$I$2</f>
        <v>4026</v>
      </c>
      <c r="AU73" cm="1">
        <f t="array" ref="AU73">$E$10*(1+$AS73)+VLOOKUP($R73,武学奇术!$A:$ZZ,4,FALSE)+SUM(_xlfn.XLOOKUP($S73:$AL73,增益!$A:$A,增益!$D:$D,0))-$I$2</f>
        <v>4026</v>
      </c>
      <c r="AV73" s="40" cm="1">
        <f t="array" ref="AV73">IF($F$10-$I$3+VLOOKUP($R73,武学奇术!$A:$ZZ,6,FALSE)+SUM(_xlfn.XLOOKUP($S73:$AL73,增益!$A:$A,增益!$F:$F,0))&gt;0,($F$10-$I$3+VLOOKUP($R73,武学奇术!$A:$ZZ,6,FALSE)+SUM(_xlfn.XLOOKUP($S73:$AL73,增益!$A:$A,增益!$F:$F,0)))/200,($F$10-$I$3+VLOOKUP($R73,武学奇术!$A:$ZZ,6,FALSE)+SUM(_xlfn.XLOOKUP($S73:$AL73,增益!$A:$A,增益!$F:$F,0)))/100)</f>
        <v>0.3534</v>
      </c>
      <c r="AW73" s="40" cm="1">
        <f t="array" ref="AW73">$G$10+VLOOKUP($R73,武学奇术!$A:$ZZ,7,FALSE)+SUM(_xlfn.XLOOKUP($S73:$AL73,增益!$A:$A,增益!$G:$G,0))</f>
        <v>0.12</v>
      </c>
      <c r="AX73" s="33" cm="1">
        <f t="array" ref="AX73">VLOOKUP($R73,武学奇术!$A:$ZZ,8,FALSE)+SUM(_xlfn.XLOOKUP($S73:$AL73,增益!$A:$A,增益!$H:$H,0))</f>
        <v>0</v>
      </c>
      <c r="AY73">
        <f t="shared" si="15"/>
        <v>0</v>
      </c>
      <c r="AZ73">
        <f t="shared" si="16"/>
        <v>0</v>
      </c>
      <c r="BA73" s="40" cm="1">
        <f t="array" ref="BA73">IF($F$11-$I$4+VLOOKUP($R73,武学奇术!$A:$ZZ,9,FALSE)+SUM(_xlfn.XLOOKUP($S73:$AL73,增益!$A:$A,增益!$I:$I,0))&gt;0,($F$11-$I$4+VLOOKUP($R73,武学奇术!$A:$ZZ,9,FALSE)+SUM(_xlfn.XLOOKUP($S73:$AL73,增益!$A:$A,增益!$I:$I,0)))/200,($F$11-$I$4+VLOOKUP($R73,武学奇术!$A:$ZZ,9,FALSE)+SUM(_xlfn.XLOOKUP($S73:$AL73,增益!$A:$A,增益!$I:$I,0)))/100)</f>
        <v>-0.14</v>
      </c>
      <c r="BB73" s="40" cm="1">
        <f t="array" ref="BB73">$G$11+VLOOKUP($R73,武学奇术!$A:$ZZ,10,FALSE)+SUM(_xlfn.XLOOKUP($S73:$AL73,增益!$A:$A,增益!$J:$J,0))</f>
        <v>0</v>
      </c>
      <c r="BC73">
        <f t="shared" si="17"/>
        <v>640.3</v>
      </c>
      <c r="BD73">
        <f t="shared" si="18"/>
        <v>1770.1</v>
      </c>
      <c r="BE73" s="40" cm="1">
        <f t="array" ref="BE73">IF($F$12-$I$4+VLOOKUP($R73,武学奇术!$A:$ZZ,11,FALSE)+SUM(_xlfn.XLOOKUP($S73:$AL73,增益!$A:$A,增益!$K:$K,0))&gt;0,($F$12-$I$4+VLOOKUP($R73,武学奇术!$A:$ZZ,11,FALSE)+SUM(_xlfn.XLOOKUP($S73:$AL73,增益!$A:$A,增益!$K:$K,0)))/200,($F$12-$I$4+VLOOKUP($R73,武学奇术!$A:$ZZ,11,FALSE)+SUM(_xlfn.XLOOKUP($S73:$AL73,增益!$A:$A,增益!$K:$K,0)))/100)</f>
        <v>0.17</v>
      </c>
      <c r="BF73" s="40" cm="1">
        <f t="array" ref="BF73">$G$12+VLOOKUP($R73,武学奇术!$A:$ZZ,12,FALSE)+SUM(_xlfn.XLOOKUP($S73:$AL73,增益!$A:$A,增益!$L:$L,0))</f>
        <v>0.27</v>
      </c>
      <c r="BG73">
        <f t="shared" si="19"/>
        <v>0</v>
      </c>
      <c r="BH73">
        <f t="shared" si="20"/>
        <v>0</v>
      </c>
      <c r="BI73" s="40" cm="1">
        <f t="array" ref="BI73">IF($F$13-$I$4+VLOOKUP($R73,武学奇术!$A:$ZZ,13,FALSE)+SUM(_xlfn.XLOOKUP($S73:$AL73,增益!$A:$A,增益!$M:$M,0))&gt;0,($F$13-$I$4+VLOOKUP($R73,武学奇术!$A:$ZZ,13,FALSE)+SUM(_xlfn.XLOOKUP($S73:$AL73,增益!$A:$A,增益!$K:$K,0)))/200,($F$13-$I$4+VLOOKUP($R73,武学奇术!$A:$ZZ,13,FALSE)+SUM(_xlfn.XLOOKUP($S73:$AL73,增益!$A:$A,增益!$M:$M,0)))/100)</f>
        <v>-0.14</v>
      </c>
      <c r="BJ73" s="40" cm="1">
        <f t="array" ref="BJ73">$G$13+VLOOKUP($R73,武学奇术!$A:$ZZ,14,FALSE)+SUM(_xlfn.XLOOKUP($S73:$AL73,增益!$A:$A,增益!$N:$N,0))</f>
        <v>0</v>
      </c>
      <c r="BK73">
        <f t="shared" si="21"/>
        <v>0</v>
      </c>
      <c r="BL73">
        <f t="shared" si="22"/>
        <v>0</v>
      </c>
      <c r="BM73" s="40" cm="1">
        <f t="array" ref="BM73">IF($F$14-$I$4+VLOOKUP($R73,武学奇术!$A:$ZZ,15,FALSE)+SUM(_xlfn.XLOOKUP($S73:$AL73,增益!$A:$A,增益!$O:$O,0))&gt;0,($F$14-$I$4+VLOOKUP($R73,武学奇术!$A:$ZZ,15,FALSE)+SUM(_xlfn.XLOOKUP($S73:$AL73,增益!$A:$A,增益!$O:$O,0)))/200,($F$14-$I$4+VLOOKUP($R73,武学奇术!$A:$ZZ,15,FALSE)+SUM(_xlfn.XLOOKUP($S73:$AL73,增益!$A:$A,增益!$O:$O,0)))/100)</f>
        <v>-0.14</v>
      </c>
      <c r="BN73" s="40" cm="1">
        <f t="array" ref="BN73">$G$14+VLOOKUP($R73,武学奇术!$A:$ZZ,16,FALSE)+SUM(_xlfn.XLOOKUP($S73:$AL73,增益!$A:$A,增益!$P:$P,0))</f>
        <v>0</v>
      </c>
      <c r="BO73" s="33">
        <f>MIN(IF(VLOOKUP($R73,武学奇术!$A:$ZZ,23,FALSE)=1,100%,$B$8),100%)</f>
        <v>0.9771</v>
      </c>
      <c r="BP73" s="33" cm="1">
        <f t="array" ref="BP73">IF(VLOOKUP($R73,武学奇术!$A:$ZZ,23,FALSE)=1,100%,MIN(80%,$B$9+VLOOKUP($R73,武学奇术!$A:$ZZ,17,FALSE)+SUM(_xlfn.XLOOKUP($S73:$AL73,增益!$A:$A,增益!$Q:$Q,0)))+$B$11+SUM(_xlfn.XLOOKUP($S73:$AL73,增益!$A:$A,增益!$U:$U,0)))*IF(VLOOKUP($R73,武学奇术!$A:$ZZ,24,FALSE)=1,0,1)</f>
        <v>0.8861</v>
      </c>
      <c r="BQ73" s="33" cm="1">
        <f t="array" ref="BQ73">1+$B$13+VLOOKUP($R73,武学奇术!$A:$ZZ,18,FALSE)+SUM(_xlfn.XLOOKUP($S73:$AL73,增益!$A:$A,增益!$R:$R,0))</f>
        <v>2</v>
      </c>
      <c r="BR73" s="33" cm="1">
        <f t="array" ref="BR73">IF(VLOOKUP($R73,武学奇术!$A:$ZZ,24,FALSE)=1,100%,MIN(40%,$B$10+VLOOKUP($R73,武学奇术!$A:$ZZ,19,FALSE)+SUM(_xlfn.XLOOKUP($S73:$AL73,增益!$A:$A,增益!$S:$S,0)))+$B$12+SUM(_xlfn.XLOOKUP($S73:$AL73,增益!$A:$A,增益!$V:$V,0)))*IF(VLOOKUP($R73,武学奇术!$A:$ZZ,23,FALSE)=1,0,1)</f>
        <v>0.0913</v>
      </c>
      <c r="BS73" s="33" cm="1">
        <f t="array" ref="BS73">1+$B$14+VLOOKUP($R73,武学奇术!$A:$ZZ,20,FALSE)+SUM(_xlfn.XLOOKUP($S73:$AL73,增益!$A:$A,增益!$T:$T,0))</f>
        <v>1.35</v>
      </c>
      <c r="BT73" s="33">
        <f t="shared" si="23"/>
        <v>0.86580831</v>
      </c>
      <c r="BU73" s="33">
        <f t="shared" si="24"/>
        <v>0.02208246</v>
      </c>
      <c r="BV73" s="33">
        <f>IF(VLOOKUP($R73,武学奇术!$A:$ZZ,22,FALSE)=1,0,(1-$BO73))*(1-$BR73)</f>
        <v>0.02080923</v>
      </c>
      <c r="BW73" s="33" cm="1">
        <f t="array" ref="BW73">SUM(_xlfn.XLOOKUP($S73:$AL73,增益!$A:$A,增益!$W:$W,0))+$I$5</f>
        <v>0.11</v>
      </c>
      <c r="BX73" s="33" cm="1">
        <f t="array" ref="BX73">VLOOKUP($R73,武学奇术!$A:$ZZ,32,FALSE)+SUM(_xlfn.XLOOKUP($S73:$AL73,增益!$A:$A,增益!$X:$X,0))</f>
        <v>0</v>
      </c>
    </row>
    <row r="74" spans="1:76">
      <c r="L74" s="46">
        <f t="shared" si="14"/>
        <v>37586.3575882962</v>
      </c>
      <c r="M74" s="46">
        <f>((($AT74+$AU74)/2*$AN74+$AO74)*(1+$AV74)*(1+$AW74)+(($AY74+$AZ74)/2*IF($G$1="鸣金",$AP74,$AN74)+IF($G$1="鸣金",$AQ74*1.5,0))*(1+$BA74)*(1+$BB74)+(($BC74+$BD74)/2*IF($G$1="裂石",$AP74,$AN74)+IF($G$1="裂石",$AQ74*1.5,0))*(1+$BE74)*(1+$BF74)+(($BG74+$BH74)/2*IF($G$1="牵丝",$AP74,$AN74)+IF($G$1="牵丝",$AQ74*1.5,0))*(1+$BI74)*(1+$BJ74)+(($BK74+$BL74)/2*IF($G$1="破竹",$AP74,$AN74)+IF($G$1="破竹",$AQ74*1.5,0))*(1+$BM74)*(1+$BN74))*(1+$AR74)*$BQ74*$Q74*(1+IF(VLOOKUP($R74,武学奇术!$A:$ZZ,30,FALSE)="蓄力技",$B$21,0))*(1+IF(VLOOKUP($R74,武学奇术!$A:$ZZ,30,FALSE)="派生技",$B$20,0))*(1+$BW74)*(1+$BX74)</f>
        <v>39307.2376692791</v>
      </c>
      <c r="N74" s="46">
        <f>(($AU74*$AN74+$AO74)*(1+$AV74)*(1+$AW74)+($AZ74*IF($G$1="鸣金",$AP74,$AN74)+IF($G$1="鸣金",$AQ74*1.5,0))*(1+$BA74)*(1+$BB74)+($BD74*IF($G$1="裂石",$AP74,$AN74)+IF($G$1="裂石",$AQ74*1.5,0))*(1+$BE74)*(1+$BF74)+($BH74*IF($G$1="牵丝",$AP74,$AN74)+IF($G$1="牵丝",$AQ74*1.5,0))*(1+$BI74)*(1+$BJ74)+($BL74*IF($G$1="破竹",$AP74,$AN74)+IF($G$1="破竹",$AQ74*1.5,0))*(1+$BM74)*(1+$BN74))*(1+$AR74)*$BS74*$Q74*(1+IF(VLOOKUP($R74,武学奇术!$A:$ZZ,30,FALSE)="蓄力技",$B$21,0))*(1+IF(VLOOKUP($R74,武学奇术!$A:$ZZ,30,FALSE)="派生技",$B$20,0))*(1+$BW74)*(1+$BX74)</f>
        <v>30333.3735447654</v>
      </c>
      <c r="O74" s="46">
        <f>((($AT74+$AU74)/2*$AN74+$AO74)*(1+$AV74)*(1+$AW74)+(($AY74+$AZ74)/2*IF($G$1="鸣金",$AP74,$AN74)+IF($G$1="鸣金",$AQ74*1.5,0))*(1+$BA74)*(1+$BB74)+(($BC74+$BD74)/2*IF($G$1="裂石",$AP74,$AN74)+IF($G$1="裂石",$AQ74*1.5,0))*(1+$BE74)*(1+$BF74)+(($BG74+$BH74)/2*IF($G$1="牵丝",$AP74,$AN74)+IF($G$1="牵丝",$AQ74*1.5,0))*(1+$BI74)*(1+$BJ74)+(($BK74+$BL74)/2*IF($G$1="破竹",$AP74,$AN74)+IF($G$1="破竹",$AQ74*1.5,0))*(1+$BM74)*(1+$BN74))*(1+$AR74)*$Q74*(1+IF(VLOOKUP($R74,武学奇术!$A:$ZZ,30,FALSE)="蓄力技",$B$21,0))*(1+IF(VLOOKUP($R74,武学奇术!$A:$ZZ,30,FALSE)="派生技",$B$20,0))*(1+$BW74)*(1+$BX74)</f>
        <v>19653.6188346395</v>
      </c>
      <c r="P74" s="46">
        <f>((($AT74*$AN74+$AO74)*(1+$AV74)*(1+$AW74)+($AY74*IF($G$1="鸣金",$AP74,$AN74)+IF($G$1="鸣金",$AQ74*1.5,0))*(1+$BA74)*(1+$BB74)+($BC74*IF($G$1="裂石",$AP74,$AN74)+IF($G$1="裂石",$AQ74*1.5,0))*(1+$BE74)*(1+$BF74)+($BG74*IF($G$1="牵丝",$AP74,$AN74)+IF($G$1="牵丝",$AQ74*1.5,0))*(1+$BI74)*(1+$BJ74)+($BK74*IF($G$1="破竹",$AP74,$AN74)+IF($G$1="破竹",$AQ74*1.5,0))*(1+$BM74)*(1+$BN74))*(1+$AR74))*$Q74*(1+IF(VLOOKUP($R74,武学奇术!$A:$ZZ,30,FALSE)="蓄力技",$B$21,0))*(1+IF(VLOOKUP($R74,武学奇术!$A:$ZZ,30,FALSE)="派生技",$B$20,0))*(1+$BW74)*(1+$BX74)</f>
        <v>16838.072080564</v>
      </c>
      <c r="Q74" s="47">
        <f t="shared" si="26"/>
        <v>1</v>
      </c>
      <c r="R74" s="48" t="s">
        <v>169</v>
      </c>
      <c r="S74" s="48" t="s">
        <v>99</v>
      </c>
      <c r="T74" s="48" t="s">
        <v>182</v>
      </c>
      <c r="U74" s="48" t="s">
        <v>79</v>
      </c>
      <c r="V74" s="48" t="s">
        <v>90</v>
      </c>
      <c r="W74" s="48" t="s">
        <v>141</v>
      </c>
      <c r="X74" s="48" t="s">
        <v>80</v>
      </c>
      <c r="Y74" s="48" t="s">
        <v>74</v>
      </c>
      <c r="Z74" s="48" t="s">
        <v>80</v>
      </c>
      <c r="AA74" s="48" t="s">
        <v>80</v>
      </c>
      <c r="AB74" s="48" t="s">
        <v>80</v>
      </c>
      <c r="AC74" s="48" t="s">
        <v>80</v>
      </c>
      <c r="AD74" s="48" t="s">
        <v>80</v>
      </c>
      <c r="AE74" s="48" t="s">
        <v>80</v>
      </c>
      <c r="AF74" s="48" t="s">
        <v>83</v>
      </c>
      <c r="AG74" s="48" t="s">
        <v>84</v>
      </c>
      <c r="AH74" s="48" t="s">
        <v>80</v>
      </c>
      <c r="AI74" s="48" t="s">
        <v>80</v>
      </c>
      <c r="AJ74" s="48" t="s">
        <v>80</v>
      </c>
      <c r="AK74" s="48" t="s">
        <v>80</v>
      </c>
      <c r="AL74" s="48" t="s">
        <v>80</v>
      </c>
      <c r="AM74" t="str">
        <f>VLOOKUP($R74,武学奇术!$A:$ZZ,25,FALSE)</f>
        <v>陌刀</v>
      </c>
      <c r="AN74" s="33">
        <f>VLOOKUP($R74,武学奇术!$A:$ZZ,26,FALSE)</f>
        <v>0.945</v>
      </c>
      <c r="AO74" s="34">
        <f>VLOOKUP($R74,武学奇术!$A:$ZZ,27,FALSE)*(1+IF(OR($AM74=$F$4,$AM74=$F$5),$B$22,0))</f>
        <v>0</v>
      </c>
      <c r="AP74" s="33">
        <f>VLOOKUP($R74,武学奇术!$A:$ZZ,28,FALSE)</f>
        <v>1.4175</v>
      </c>
      <c r="AQ74" s="34">
        <f>VLOOKUP($R74,武学奇术!$A:$ZZ,29,FALSE)*(1+IF(OR($AM74=$F$4,$AM74=$F$5),$B$22,0))</f>
        <v>0</v>
      </c>
      <c r="AR74" s="33" cm="1">
        <f t="array" ref="AR74">$G$3+IFERROR(VLOOKUP($AM74,$F$4:$G$7,2,FALSE),0)+VLOOKUP($R74,武学奇术!$A:$ZZ,2,FALSE)+SUM(_xlfn.XLOOKUP($S74:$AL74,增益!$A:$A,增益!$B:$B,0))</f>
        <v>0.6143</v>
      </c>
      <c r="AS74" s="33" cm="1">
        <f t="array" ref="AS74">VLOOKUP($R74,武学奇术!$A:$ZZ,5,FALSE)+SUM(_xlfn.XLOOKUP($S74:$AL74,增益!$A:$A,增益!$E:$E,0))</f>
        <v>0</v>
      </c>
      <c r="AT74" cm="1">
        <f t="array" ref="AT74">$D$10*(1+$AS74)+VLOOKUP($R74,武学奇术!$A:$ZZ,3,FALSE)+SUM(_xlfn.XLOOKUP($S74:$AL74,增益!$A:$A,增益!$C:$C,0))-$I$2</f>
        <v>4026</v>
      </c>
      <c r="AU74" cm="1">
        <f t="array" ref="AU74">$E$10*(1+$AS74)+VLOOKUP($R74,武学奇术!$A:$ZZ,4,FALSE)+SUM(_xlfn.XLOOKUP($S74:$AL74,增益!$A:$A,增益!$D:$D,0))-$I$2</f>
        <v>4026</v>
      </c>
      <c r="AV74" s="40" cm="1">
        <f t="array" ref="AV74">IF($F$10-$I$3+VLOOKUP($R74,武学奇术!$A:$ZZ,6,FALSE)+SUM(_xlfn.XLOOKUP($S74:$AL74,增益!$A:$A,增益!$F:$F,0))&gt;0,($F$10-$I$3+VLOOKUP($R74,武学奇术!$A:$ZZ,6,FALSE)+SUM(_xlfn.XLOOKUP($S74:$AL74,增益!$A:$A,增益!$F:$F,0)))/200,($F$10-$I$3+VLOOKUP($R74,武学奇术!$A:$ZZ,6,FALSE)+SUM(_xlfn.XLOOKUP($S74:$AL74,增益!$A:$A,增益!$F:$F,0)))/100)</f>
        <v>0.3534</v>
      </c>
      <c r="AW74" s="40" cm="1">
        <f t="array" ref="AW74">$G$10+VLOOKUP($R74,武学奇术!$A:$ZZ,7,FALSE)+SUM(_xlfn.XLOOKUP($S74:$AL74,增益!$A:$A,增益!$G:$G,0))</f>
        <v>0.12</v>
      </c>
      <c r="AX74" s="33" cm="1">
        <f t="array" ref="AX74">VLOOKUP($R74,武学奇术!$A:$ZZ,8,FALSE)+SUM(_xlfn.XLOOKUP($S74:$AL74,增益!$A:$A,增益!$H:$H,0))</f>
        <v>0</v>
      </c>
      <c r="AY74">
        <f t="shared" si="15"/>
        <v>0</v>
      </c>
      <c r="AZ74">
        <f t="shared" si="16"/>
        <v>0</v>
      </c>
      <c r="BA74" s="40" cm="1">
        <f t="array" ref="BA74">IF($F$11-$I$4+VLOOKUP($R74,武学奇术!$A:$ZZ,9,FALSE)+SUM(_xlfn.XLOOKUP($S74:$AL74,增益!$A:$A,增益!$I:$I,0))&gt;0,($F$11-$I$4+VLOOKUP($R74,武学奇术!$A:$ZZ,9,FALSE)+SUM(_xlfn.XLOOKUP($S74:$AL74,增益!$A:$A,增益!$I:$I,0)))/200,($F$11-$I$4+VLOOKUP($R74,武学奇术!$A:$ZZ,9,FALSE)+SUM(_xlfn.XLOOKUP($S74:$AL74,增益!$A:$A,增益!$I:$I,0)))/100)</f>
        <v>-0.14</v>
      </c>
      <c r="BB74" s="40" cm="1">
        <f t="array" ref="BB74">$G$11+VLOOKUP($R74,武学奇术!$A:$ZZ,10,FALSE)+SUM(_xlfn.XLOOKUP($S74:$AL74,增益!$A:$A,增益!$J:$J,0))</f>
        <v>0</v>
      </c>
      <c r="BC74">
        <f t="shared" si="17"/>
        <v>640.3</v>
      </c>
      <c r="BD74">
        <f t="shared" si="18"/>
        <v>1770.1</v>
      </c>
      <c r="BE74" s="40" cm="1">
        <f t="array" ref="BE74">IF($F$12-$I$4+VLOOKUP($R74,武学奇术!$A:$ZZ,11,FALSE)+SUM(_xlfn.XLOOKUP($S74:$AL74,增益!$A:$A,增益!$K:$K,0))&gt;0,($F$12-$I$4+VLOOKUP($R74,武学奇术!$A:$ZZ,11,FALSE)+SUM(_xlfn.XLOOKUP($S74:$AL74,增益!$A:$A,增益!$K:$K,0)))/200,($F$12-$I$4+VLOOKUP($R74,武学奇术!$A:$ZZ,11,FALSE)+SUM(_xlfn.XLOOKUP($S74:$AL74,增益!$A:$A,增益!$K:$K,0)))/100)</f>
        <v>0.17</v>
      </c>
      <c r="BF74" s="40" cm="1">
        <f t="array" ref="BF74">$G$12+VLOOKUP($R74,武学奇术!$A:$ZZ,12,FALSE)+SUM(_xlfn.XLOOKUP($S74:$AL74,增益!$A:$A,增益!$L:$L,0))</f>
        <v>0.27</v>
      </c>
      <c r="BG74">
        <f t="shared" si="19"/>
        <v>0</v>
      </c>
      <c r="BH74">
        <f t="shared" si="20"/>
        <v>0</v>
      </c>
      <c r="BI74" s="40" cm="1">
        <f t="array" ref="BI74">IF($F$13-$I$4+VLOOKUP($R74,武学奇术!$A:$ZZ,13,FALSE)+SUM(_xlfn.XLOOKUP($S74:$AL74,增益!$A:$A,增益!$M:$M,0))&gt;0,($F$13-$I$4+VLOOKUP($R74,武学奇术!$A:$ZZ,13,FALSE)+SUM(_xlfn.XLOOKUP($S74:$AL74,增益!$A:$A,增益!$K:$K,0)))/200,($F$13-$I$4+VLOOKUP($R74,武学奇术!$A:$ZZ,13,FALSE)+SUM(_xlfn.XLOOKUP($S74:$AL74,增益!$A:$A,增益!$M:$M,0)))/100)</f>
        <v>-0.14</v>
      </c>
      <c r="BJ74" s="40" cm="1">
        <f t="array" ref="BJ74">$G$13+VLOOKUP($R74,武学奇术!$A:$ZZ,14,FALSE)+SUM(_xlfn.XLOOKUP($S74:$AL74,增益!$A:$A,增益!$N:$N,0))</f>
        <v>0</v>
      </c>
      <c r="BK74">
        <f t="shared" si="21"/>
        <v>0</v>
      </c>
      <c r="BL74">
        <f t="shared" si="22"/>
        <v>0</v>
      </c>
      <c r="BM74" s="40" cm="1">
        <f t="array" ref="BM74">IF($F$14-$I$4+VLOOKUP($R74,武学奇术!$A:$ZZ,15,FALSE)+SUM(_xlfn.XLOOKUP($S74:$AL74,增益!$A:$A,增益!$O:$O,0))&gt;0,($F$14-$I$4+VLOOKUP($R74,武学奇术!$A:$ZZ,15,FALSE)+SUM(_xlfn.XLOOKUP($S74:$AL74,增益!$A:$A,增益!$O:$O,0)))/200,($F$14-$I$4+VLOOKUP($R74,武学奇术!$A:$ZZ,15,FALSE)+SUM(_xlfn.XLOOKUP($S74:$AL74,增益!$A:$A,增益!$O:$O,0)))/100)</f>
        <v>-0.14</v>
      </c>
      <c r="BN74" s="40" cm="1">
        <f t="array" ref="BN74">$G$14+VLOOKUP($R74,武学奇术!$A:$ZZ,16,FALSE)+SUM(_xlfn.XLOOKUP($S74:$AL74,增益!$A:$A,增益!$P:$P,0))</f>
        <v>0</v>
      </c>
      <c r="BO74" s="33">
        <f>MIN(IF(VLOOKUP($R74,武学奇术!$A:$ZZ,23,FALSE)=1,100%,$B$8),100%)</f>
        <v>0.9771</v>
      </c>
      <c r="BP74" s="33" cm="1">
        <f t="array" ref="BP74">IF(VLOOKUP($R74,武学奇术!$A:$ZZ,23,FALSE)=1,100%,MIN(80%,$B$9+VLOOKUP($R74,武学奇术!$A:$ZZ,17,FALSE)+SUM(_xlfn.XLOOKUP($S74:$AL74,增益!$A:$A,增益!$Q:$Q,0)))+$B$11+SUM(_xlfn.XLOOKUP($S74:$AL74,增益!$A:$A,增益!$U:$U,0)))*IF(VLOOKUP($R74,武学奇术!$A:$ZZ,24,FALSE)=1,0,1)</f>
        <v>0.8861</v>
      </c>
      <c r="BQ74" s="33" cm="1">
        <f t="array" ref="BQ74">1+$B$13+VLOOKUP($R74,武学奇术!$A:$ZZ,18,FALSE)+SUM(_xlfn.XLOOKUP($S74:$AL74,增益!$A:$A,增益!$R:$R,0))</f>
        <v>2</v>
      </c>
      <c r="BR74" s="33" cm="1">
        <f t="array" ref="BR74">IF(VLOOKUP($R74,武学奇术!$A:$ZZ,24,FALSE)=1,100%,MIN(40%,$B$10+VLOOKUP($R74,武学奇术!$A:$ZZ,19,FALSE)+SUM(_xlfn.XLOOKUP($S74:$AL74,增益!$A:$A,增益!$S:$S,0)))+$B$12+SUM(_xlfn.XLOOKUP($S74:$AL74,增益!$A:$A,增益!$V:$V,0)))*IF(VLOOKUP($R74,武学奇术!$A:$ZZ,23,FALSE)=1,0,1)</f>
        <v>0.0913</v>
      </c>
      <c r="BS74" s="33" cm="1">
        <f t="array" ref="BS74">1+$B$14+VLOOKUP($R74,武学奇术!$A:$ZZ,20,FALSE)+SUM(_xlfn.XLOOKUP($S74:$AL74,增益!$A:$A,增益!$T:$T,0))</f>
        <v>1.35</v>
      </c>
      <c r="BT74" s="33">
        <f t="shared" si="23"/>
        <v>0.86580831</v>
      </c>
      <c r="BU74" s="33">
        <f t="shared" si="24"/>
        <v>0.02208246</v>
      </c>
      <c r="BV74" s="33">
        <f>IF(VLOOKUP($R74,武学奇术!$A:$ZZ,22,FALSE)=1,0,(1-$BO74))*(1-$BR74)</f>
        <v>0.02080923</v>
      </c>
      <c r="BW74" s="33" cm="1">
        <f t="array" ref="BW74">SUM(_xlfn.XLOOKUP($S74:$AL74,增益!$A:$A,增益!$W:$W,0))+$I$5</f>
        <v>0.11</v>
      </c>
      <c r="BX74" s="33" cm="1">
        <f t="array" ref="BX74">VLOOKUP($R74,武学奇术!$A:$ZZ,32,FALSE)+SUM(_xlfn.XLOOKUP($S74:$AL74,增益!$A:$A,增益!$X:$X,0))</f>
        <v>0</v>
      </c>
    </row>
    <row r="75" spans="1:76">
      <c r="L75" s="46">
        <f t="shared" si="14"/>
        <v>259106.756481299</v>
      </c>
      <c r="M75" s="46">
        <f>((($AT75+$AU75)/2*$AN75+$AO75)*(1+$AV75)*(1+$AW75)+(($AY75+$AZ75)/2*IF($G$1="鸣金",$AP75,$AN75)+IF($G$1="鸣金",$AQ75*1.5,0))*(1+$BA75)*(1+$BB75)+(($BC75+$BD75)/2*IF($G$1="裂石",$AP75,$AN75)+IF($G$1="裂石",$AQ75*1.5,0))*(1+$BE75)*(1+$BF75)+(($BG75+$BH75)/2*IF($G$1="牵丝",$AP75,$AN75)+IF($G$1="牵丝",$AQ75*1.5,0))*(1+$BI75)*(1+$BJ75)+(($BK75+$BL75)/2*IF($G$1="破竹",$AP75,$AN75)+IF($G$1="破竹",$AQ75*1.5,0))*(1+$BM75)*(1+$BN75))*(1+$AR75)*$BQ75*$Q75*(1+IF(VLOOKUP($R75,武学奇术!$A:$ZZ,30,FALSE)="蓄力技",$B$21,0))*(1+IF(VLOOKUP($R75,武学奇术!$A:$ZZ,30,FALSE)="派生技",$B$20,0))*(1+$BW75)*(1+$BX75)</f>
        <v>271221.285554689</v>
      </c>
      <c r="N75" s="46">
        <f>(($AU75*$AN75+$AO75)*(1+$AV75)*(1+$AW75)+($AZ75*IF($G$1="鸣金",$AP75,$AN75)+IF($G$1="鸣金",$AQ75*1.5,0))*(1+$BA75)*(1+$BB75)+($BD75*IF($G$1="裂石",$AP75,$AN75)+IF($G$1="裂石",$AQ75*1.5,0))*(1+$BE75)*(1+$BF75)+($BH75*IF($G$1="牵丝",$AP75,$AN75)+IF($G$1="牵丝",$AQ75*1.5,0))*(1+$BI75)*(1+$BJ75)+($BL75*IF($G$1="破竹",$AP75,$AN75)+IF($G$1="破竹",$AQ75*1.5,0))*(1+$BM75)*(1+$BN75))*(1+$AR75)*$BS75*$Q75*(1+IF(VLOOKUP($R75,武学奇术!$A:$ZZ,30,FALSE)="蓄力技",$B$21,0))*(1+IF(VLOOKUP($R75,武学奇术!$A:$ZZ,30,FALSE)="派生技",$B$20,0))*(1+$BW75)*(1+$BX75)</f>
        <v>206133.427517984</v>
      </c>
      <c r="O75" s="46">
        <f>((($AT75+$AU75)/2*$AN75+$AO75)*(1+$AV75)*(1+$AW75)+(($AY75+$AZ75)/2*IF($G$1="鸣金",$AP75,$AN75)+IF($G$1="鸣金",$AQ75*1.5,0))*(1+$BA75)*(1+$BB75)+(($BC75+$BD75)/2*IF($G$1="裂石",$AP75,$AN75)+IF($G$1="裂石",$AQ75*1.5,0))*(1+$BE75)*(1+$BF75)+(($BG75+$BH75)/2*IF($G$1="牵丝",$AP75,$AN75)+IF($G$1="牵丝",$AQ75*1.5,0))*(1+$BI75)*(1+$BJ75)+(($BK75+$BL75)/2*IF($G$1="破竹",$AP75,$AN75)+IF($G$1="破竹",$AQ75*1.5,0))*(1+$BM75)*(1+$BN75))*(1+$AR75)*$Q75*(1+IF(VLOOKUP($R75,武学奇术!$A:$ZZ,30,FALSE)="蓄力技",$B$21,0))*(1+IF(VLOOKUP($R75,武学奇术!$A:$ZZ,30,FALSE)="派生技",$B$20,0))*(1+$BW75)*(1+$BX75)</f>
        <v>135610.642777344</v>
      </c>
      <c r="P75" s="46">
        <f>((($AT75*$AN75+$AO75)*(1+$AV75)*(1+$AW75)+($AY75*IF($G$1="鸣金",$AP75,$AN75)+IF($G$1="鸣金",$AQ75*1.5,0))*(1+$BA75)*(1+$BB75)+($BC75*IF($G$1="裂石",$AP75,$AN75)+IF($G$1="裂石",$AQ75*1.5,0))*(1+$BE75)*(1+$BF75)+($BG75*IF($G$1="牵丝",$AP75,$AN75)+IF($G$1="牵丝",$AQ75*1.5,0))*(1+$BI75)*(1+$BJ75)+($BK75*IF($G$1="破竹",$AP75,$AN75)+IF($G$1="破竹",$AQ75*1.5,0))*(1+$BM75)*(1+$BN75))*(1+$AR75))*$Q75*(1+IF(VLOOKUP($R75,武学奇术!$A:$ZZ,30,FALSE)="蓄力技",$B$21,0))*(1+IF(VLOOKUP($R75,武学奇术!$A:$ZZ,30,FALSE)="派生技",$B$20,0))*(1+$BW75)*(1+$BX75)</f>
        <v>118529.85776359</v>
      </c>
      <c r="Q75" s="47">
        <f t="shared" si="26"/>
        <v>1</v>
      </c>
      <c r="R75" s="48" t="s">
        <v>171</v>
      </c>
      <c r="S75" s="48" t="s">
        <v>99</v>
      </c>
      <c r="T75" s="48" t="s">
        <v>182</v>
      </c>
      <c r="U75" s="48" t="s">
        <v>79</v>
      </c>
      <c r="V75" s="48" t="s">
        <v>90</v>
      </c>
      <c r="W75" s="48" t="s">
        <v>141</v>
      </c>
      <c r="X75" s="48" t="s">
        <v>80</v>
      </c>
      <c r="Y75" s="48" t="s">
        <v>74</v>
      </c>
      <c r="Z75" s="48" t="s">
        <v>80</v>
      </c>
      <c r="AA75" s="48" t="s">
        <v>80</v>
      </c>
      <c r="AB75" s="48" t="s">
        <v>80</v>
      </c>
      <c r="AC75" s="48" t="s">
        <v>80</v>
      </c>
      <c r="AD75" s="48" t="s">
        <v>80</v>
      </c>
      <c r="AE75" s="48" t="s">
        <v>80</v>
      </c>
      <c r="AF75" s="48" t="s">
        <v>83</v>
      </c>
      <c r="AG75" s="48" t="s">
        <v>84</v>
      </c>
      <c r="AH75" s="48" t="s">
        <v>80</v>
      </c>
      <c r="AI75" s="48" t="s">
        <v>80</v>
      </c>
      <c r="AJ75" s="48" t="s">
        <v>80</v>
      </c>
      <c r="AK75" s="48" t="s">
        <v>80</v>
      </c>
      <c r="AL75" s="48" t="s">
        <v>80</v>
      </c>
      <c r="AM75" t="str">
        <f>VLOOKUP($R75,武学奇术!$A:$ZZ,25,FALSE)</f>
        <v>陌刀</v>
      </c>
      <c r="AN75" s="33">
        <f>VLOOKUP($R75,武学奇术!$A:$ZZ,26,FALSE)</f>
        <v>5.733</v>
      </c>
      <c r="AO75" s="34">
        <f>VLOOKUP($R75,武学奇术!$A:$ZZ,27,FALSE)*(1+IF(OR($AM75=$F$4,$AM75=$F$5),$B$22,0))</f>
        <v>2536</v>
      </c>
      <c r="AP75" s="33">
        <f>VLOOKUP($R75,武学奇术!$A:$ZZ,28,FALSE)</f>
        <v>8.5994</v>
      </c>
      <c r="AQ75" s="34">
        <f>VLOOKUP($R75,武学奇术!$A:$ZZ,29,FALSE)*(1+IF(OR($AM75=$F$4,$AM75=$F$5),$B$22,0))</f>
        <v>1380.8</v>
      </c>
      <c r="AR75" s="33" cm="1">
        <f t="array" ref="AR75">$G$3+IFERROR(VLOOKUP($AM75,$F$4:$G$7,2,FALSE),0)+VLOOKUP($R75,武学奇术!$A:$ZZ,2,FALSE)+SUM(_xlfn.XLOOKUP($S75:$AL75,增益!$A:$A,增益!$B:$B,0))</f>
        <v>0.6143</v>
      </c>
      <c r="AS75" s="33" cm="1">
        <f t="array" ref="AS75">VLOOKUP($R75,武学奇术!$A:$ZZ,5,FALSE)+SUM(_xlfn.XLOOKUP($S75:$AL75,增益!$A:$A,增益!$E:$E,0))</f>
        <v>0</v>
      </c>
      <c r="AT75" cm="1">
        <f t="array" ref="AT75">$D$10*(1+$AS75)+VLOOKUP($R75,武学奇术!$A:$ZZ,3,FALSE)+SUM(_xlfn.XLOOKUP($S75:$AL75,增益!$A:$A,增益!$C:$C,0))-$I$2</f>
        <v>4026</v>
      </c>
      <c r="AU75" cm="1">
        <f t="array" ref="AU75">$E$10*(1+$AS75)+VLOOKUP($R75,武学奇术!$A:$ZZ,4,FALSE)+SUM(_xlfn.XLOOKUP($S75:$AL75,增益!$A:$A,增益!$D:$D,0))-$I$2</f>
        <v>4026</v>
      </c>
      <c r="AV75" s="40" cm="1">
        <f t="array" ref="AV75">IF($F$10-$I$3+VLOOKUP($R75,武学奇术!$A:$ZZ,6,FALSE)+SUM(_xlfn.XLOOKUP($S75:$AL75,增益!$A:$A,增益!$F:$F,0))&gt;0,($F$10-$I$3+VLOOKUP($R75,武学奇术!$A:$ZZ,6,FALSE)+SUM(_xlfn.XLOOKUP($S75:$AL75,增益!$A:$A,增益!$F:$F,0)))/200,($F$10-$I$3+VLOOKUP($R75,武学奇术!$A:$ZZ,6,FALSE)+SUM(_xlfn.XLOOKUP($S75:$AL75,增益!$A:$A,增益!$F:$F,0)))/100)</f>
        <v>0.3534</v>
      </c>
      <c r="AW75" s="40" cm="1">
        <f t="array" ref="AW75">$G$10+VLOOKUP($R75,武学奇术!$A:$ZZ,7,FALSE)+SUM(_xlfn.XLOOKUP($S75:$AL75,增益!$A:$A,增益!$G:$G,0))</f>
        <v>0.12</v>
      </c>
      <c r="AX75" s="33" cm="1">
        <f t="array" ref="AX75">VLOOKUP($R75,武学奇术!$A:$ZZ,8,FALSE)+SUM(_xlfn.XLOOKUP($S75:$AL75,增益!$A:$A,增益!$H:$H,0))</f>
        <v>0</v>
      </c>
      <c r="AY75">
        <f t="shared" si="15"/>
        <v>0</v>
      </c>
      <c r="AZ75">
        <f t="shared" si="16"/>
        <v>0</v>
      </c>
      <c r="BA75" s="40" cm="1">
        <f t="array" ref="BA75">IF($F$11-$I$4+VLOOKUP($R75,武学奇术!$A:$ZZ,9,FALSE)+SUM(_xlfn.XLOOKUP($S75:$AL75,增益!$A:$A,增益!$I:$I,0))&gt;0,($F$11-$I$4+VLOOKUP($R75,武学奇术!$A:$ZZ,9,FALSE)+SUM(_xlfn.XLOOKUP($S75:$AL75,增益!$A:$A,增益!$I:$I,0)))/200,($F$11-$I$4+VLOOKUP($R75,武学奇术!$A:$ZZ,9,FALSE)+SUM(_xlfn.XLOOKUP($S75:$AL75,增益!$A:$A,增益!$I:$I,0)))/100)</f>
        <v>-0.14</v>
      </c>
      <c r="BB75" s="40" cm="1">
        <f t="array" ref="BB75">$G$11+VLOOKUP($R75,武学奇术!$A:$ZZ,10,FALSE)+SUM(_xlfn.XLOOKUP($S75:$AL75,增益!$A:$A,增益!$J:$J,0))</f>
        <v>0</v>
      </c>
      <c r="BC75">
        <f t="shared" si="17"/>
        <v>640.3</v>
      </c>
      <c r="BD75">
        <f t="shared" si="18"/>
        <v>1770.1</v>
      </c>
      <c r="BE75" s="40" cm="1">
        <f t="array" ref="BE75">IF($F$12-$I$4+VLOOKUP($R75,武学奇术!$A:$ZZ,11,FALSE)+SUM(_xlfn.XLOOKUP($S75:$AL75,增益!$A:$A,增益!$K:$K,0))&gt;0,($F$12-$I$4+VLOOKUP($R75,武学奇术!$A:$ZZ,11,FALSE)+SUM(_xlfn.XLOOKUP($S75:$AL75,增益!$A:$A,增益!$K:$K,0)))/200,($F$12-$I$4+VLOOKUP($R75,武学奇术!$A:$ZZ,11,FALSE)+SUM(_xlfn.XLOOKUP($S75:$AL75,增益!$A:$A,增益!$K:$K,0)))/100)</f>
        <v>0.17</v>
      </c>
      <c r="BF75" s="40" cm="1">
        <f t="array" ref="BF75">$G$12+VLOOKUP($R75,武学奇术!$A:$ZZ,12,FALSE)+SUM(_xlfn.XLOOKUP($S75:$AL75,增益!$A:$A,增益!$L:$L,0))</f>
        <v>0.27</v>
      </c>
      <c r="BG75">
        <f t="shared" si="19"/>
        <v>0</v>
      </c>
      <c r="BH75">
        <f t="shared" si="20"/>
        <v>0</v>
      </c>
      <c r="BI75" s="40" cm="1">
        <f t="array" ref="BI75">IF($F$13-$I$4+VLOOKUP($R75,武学奇术!$A:$ZZ,13,FALSE)+SUM(_xlfn.XLOOKUP($S75:$AL75,增益!$A:$A,增益!$M:$M,0))&gt;0,($F$13-$I$4+VLOOKUP($R75,武学奇术!$A:$ZZ,13,FALSE)+SUM(_xlfn.XLOOKUP($S75:$AL75,增益!$A:$A,增益!$K:$K,0)))/200,($F$13-$I$4+VLOOKUP($R75,武学奇术!$A:$ZZ,13,FALSE)+SUM(_xlfn.XLOOKUP($S75:$AL75,增益!$A:$A,增益!$M:$M,0)))/100)</f>
        <v>-0.14</v>
      </c>
      <c r="BJ75" s="40" cm="1">
        <f t="array" ref="BJ75">$G$13+VLOOKUP($R75,武学奇术!$A:$ZZ,14,FALSE)+SUM(_xlfn.XLOOKUP($S75:$AL75,增益!$A:$A,增益!$N:$N,0))</f>
        <v>0</v>
      </c>
      <c r="BK75">
        <f t="shared" si="21"/>
        <v>0</v>
      </c>
      <c r="BL75">
        <f t="shared" si="22"/>
        <v>0</v>
      </c>
      <c r="BM75" s="40" cm="1">
        <f t="array" ref="BM75">IF($F$14-$I$4+VLOOKUP($R75,武学奇术!$A:$ZZ,15,FALSE)+SUM(_xlfn.XLOOKUP($S75:$AL75,增益!$A:$A,增益!$O:$O,0))&gt;0,($F$14-$I$4+VLOOKUP($R75,武学奇术!$A:$ZZ,15,FALSE)+SUM(_xlfn.XLOOKUP($S75:$AL75,增益!$A:$A,增益!$O:$O,0)))/200,($F$14-$I$4+VLOOKUP($R75,武学奇术!$A:$ZZ,15,FALSE)+SUM(_xlfn.XLOOKUP($S75:$AL75,增益!$A:$A,增益!$O:$O,0)))/100)</f>
        <v>-0.14</v>
      </c>
      <c r="BN75" s="40" cm="1">
        <f t="array" ref="BN75">$G$14+VLOOKUP($R75,武学奇术!$A:$ZZ,16,FALSE)+SUM(_xlfn.XLOOKUP($S75:$AL75,增益!$A:$A,增益!$P:$P,0))</f>
        <v>0</v>
      </c>
      <c r="BO75" s="33">
        <f>MIN(IF(VLOOKUP($R75,武学奇术!$A:$ZZ,23,FALSE)=1,100%,$B$8),100%)</f>
        <v>0.9771</v>
      </c>
      <c r="BP75" s="33" cm="1">
        <f t="array" ref="BP75">IF(VLOOKUP($R75,武学奇术!$A:$ZZ,23,FALSE)=1,100%,MIN(80%,$B$9+VLOOKUP($R75,武学奇术!$A:$ZZ,17,FALSE)+SUM(_xlfn.XLOOKUP($S75:$AL75,增益!$A:$A,增益!$Q:$Q,0)))+$B$11+SUM(_xlfn.XLOOKUP($S75:$AL75,增益!$A:$A,增益!$U:$U,0)))*IF(VLOOKUP($R75,武学奇术!$A:$ZZ,24,FALSE)=1,0,1)</f>
        <v>0.8861</v>
      </c>
      <c r="BQ75" s="33" cm="1">
        <f t="array" ref="BQ75">1+$B$13+VLOOKUP($R75,武学奇术!$A:$ZZ,18,FALSE)+SUM(_xlfn.XLOOKUP($S75:$AL75,增益!$A:$A,增益!$R:$R,0))</f>
        <v>2</v>
      </c>
      <c r="BR75" s="33" cm="1">
        <f t="array" ref="BR75">IF(VLOOKUP($R75,武学奇术!$A:$ZZ,24,FALSE)=1,100%,MIN(40%,$B$10+VLOOKUP($R75,武学奇术!$A:$ZZ,19,FALSE)+SUM(_xlfn.XLOOKUP($S75:$AL75,增益!$A:$A,增益!$S:$S,0)))+$B$12+SUM(_xlfn.XLOOKUP($S75:$AL75,增益!$A:$A,增益!$V:$V,0)))*IF(VLOOKUP($R75,武学奇术!$A:$ZZ,23,FALSE)=1,0,1)</f>
        <v>0.0913</v>
      </c>
      <c r="BS75" s="33" cm="1">
        <f t="array" ref="BS75">1+$B$14+VLOOKUP($R75,武学奇术!$A:$ZZ,20,FALSE)+SUM(_xlfn.XLOOKUP($S75:$AL75,增益!$A:$A,增益!$T:$T,0))</f>
        <v>1.35</v>
      </c>
      <c r="BT75" s="33">
        <f t="shared" si="23"/>
        <v>0.86580831</v>
      </c>
      <c r="BU75" s="33">
        <f t="shared" si="24"/>
        <v>0.02208246</v>
      </c>
      <c r="BV75" s="33">
        <f>IF(VLOOKUP($R75,武学奇术!$A:$ZZ,22,FALSE)=1,0,(1-$BO75))*(1-$BR75)</f>
        <v>0.02080923</v>
      </c>
      <c r="BW75" s="33" cm="1">
        <f t="array" ref="BW75">SUM(_xlfn.XLOOKUP($S75:$AL75,增益!$A:$A,增益!$W:$W,0))+$I$5</f>
        <v>0.11</v>
      </c>
      <c r="BX75" s="33" cm="1">
        <f t="array" ref="BX75">VLOOKUP($R75,武学奇术!$A:$ZZ,32,FALSE)+SUM(_xlfn.XLOOKUP($S75:$AL75,增益!$A:$A,增益!$X:$X,0))</f>
        <v>0</v>
      </c>
    </row>
    <row r="76" spans="1:76">
      <c r="L76" s="46">
        <f t="shared" si="14"/>
        <v>120751.771936079</v>
      </c>
      <c r="M76" s="46">
        <f>((($AT76+$AU76)/2*$AN76+$AO76)*(1+$AV76)*(1+$AW76)+(($AY76+$AZ76)/2*IF($G$1="鸣金",$AP76,$AN76)+IF($G$1="鸣金",$AQ76*1.5,0))*(1+$BA76)*(1+$BB76)+(($BC76+$BD76)/2*IF($G$1="裂石",$AP76,$AN76)+IF($G$1="裂石",$AQ76*1.5,0))*(1+$BE76)*(1+$BF76)+(($BG76+$BH76)/2*IF($G$1="牵丝",$AP76,$AN76)+IF($G$1="牵丝",$AQ76*1.5,0))*(1+$BI76)*(1+$BJ76)+(($BK76+$BL76)/2*IF($G$1="破竹",$AP76,$AN76)+IF($G$1="破竹",$AQ76*1.5,0))*(1+$BM76)*(1+$BN76))*(1+$AR76)*$BQ76*$Q76*(1+IF(VLOOKUP($R76,武学奇术!$A:$ZZ,30,FALSE)="蓄力技",$B$21,0))*(1+IF(VLOOKUP($R76,武学奇术!$A:$ZZ,30,FALSE)="派生技",$B$20,0))*(1+$BW76)*(1+$BX76)</f>
        <v>125995.355942438</v>
      </c>
      <c r="N76" s="46">
        <f>(($AU76*$AN76+$AO76)*(1+$AV76)*(1+$AW76)+($AZ76*IF($G$1="鸣金",$AP76,$AN76)+IF($G$1="鸣金",$AQ76*1.5,0))*(1+$BA76)*(1+$BB76)+($BD76*IF($G$1="裂石",$AP76,$AN76)+IF($G$1="裂石",$AQ76*1.5,0))*(1+$BE76)*(1+$BF76)+($BH76*IF($G$1="牵丝",$AP76,$AN76)+IF($G$1="牵丝",$AQ76*1.5,0))*(1+$BI76)*(1+$BJ76)+($BL76*IF($G$1="破竹",$AP76,$AN76)+IF($G$1="破竹",$AQ76*1.5,0))*(1+$BM76)*(1+$BN76))*(1+$AR76)*$BS76*$Q76*(1+IF(VLOOKUP($R76,武学奇术!$A:$ZZ,30,FALSE)="蓄力技",$B$21,0))*(1+IF(VLOOKUP($R76,武学奇术!$A:$ZZ,30,FALSE)="派生技",$B$20,0))*(1+$BW76)*(1+$BX76)</f>
        <v>99465.8081265339</v>
      </c>
      <c r="O76" s="46">
        <f>((($AT76+$AU76)/2*$AN76+$AO76)*(1+$AV76)*(1+$AW76)+(($AY76+$AZ76)/2*IF($G$1="鸣金",$AP76,$AN76)+IF($G$1="鸣金",$AQ76*1.5,0))*(1+$BA76)*(1+$BB76)+(($BC76+$BD76)/2*IF($G$1="裂石",$AP76,$AN76)+IF($G$1="裂石",$AQ76*1.5,0))*(1+$BE76)*(1+$BF76)+(($BG76+$BH76)/2*IF($G$1="牵丝",$AP76,$AN76)+IF($G$1="牵丝",$AQ76*1.5,0))*(1+$BI76)*(1+$BJ76)+(($BK76+$BL76)/2*IF($G$1="破竹",$AP76,$AN76)+IF($G$1="破竹",$AQ76*1.5,0))*(1+$BM76)*(1+$BN76))*(1+$AR76)*$Q76*(1+IF(VLOOKUP($R76,武学奇术!$A:$ZZ,30,FALSE)="蓄力技",$B$21,0))*(1+IF(VLOOKUP($R76,武学奇术!$A:$ZZ,30,FALSE)="派生技",$B$20,0))*(1+$BW76)*(1+$BX76)</f>
        <v>64613.0030474043</v>
      </c>
      <c r="P76" s="46">
        <f>((($AT76*$AN76+$AO76)*(1+$AV76)*(1+$AW76)+($AY76*IF($G$1="鸣金",$AP76,$AN76)+IF($G$1="鸣金",$AQ76*1.5,0))*(1+$BA76)*(1+$BB76)+($BC76*IF($G$1="裂石",$AP76,$AN76)+IF($G$1="裂石",$AQ76*1.5,0))*(1+$BE76)*(1+$BF76)+($BG76*IF($G$1="牵丝",$AP76,$AN76)+IF($G$1="牵丝",$AQ76*1.5,0))*(1+$BI76)*(1+$BJ76)+($BK76*IF($G$1="破竹",$AP76,$AN76)+IF($G$1="破竹",$AQ76*1.5,0))*(1+$BM76)*(1+$BN76))*(1+$AR76))*$Q76*(1+IF(VLOOKUP($R76,武学奇术!$A:$ZZ,30,FALSE)="蓄力技",$B$21,0))*(1+IF(VLOOKUP($R76,武学奇术!$A:$ZZ,30,FALSE)="派生技",$B$20,0))*(1+$BW76)*(1+$BX76)</f>
        <v>55547.6297047834</v>
      </c>
      <c r="Q76" s="47">
        <f>IF($E$24="陌刀",2,0)</f>
        <v>2</v>
      </c>
      <c r="R76" s="48" t="s">
        <v>106</v>
      </c>
      <c r="S76" s="48" t="s">
        <v>99</v>
      </c>
      <c r="T76" s="48" t="s">
        <v>182</v>
      </c>
      <c r="U76" s="48" t="s">
        <v>79</v>
      </c>
      <c r="V76" s="48" t="s">
        <v>90</v>
      </c>
      <c r="W76" s="48" t="s">
        <v>91</v>
      </c>
      <c r="X76" s="48" t="s">
        <v>80</v>
      </c>
      <c r="Y76" s="48" t="s">
        <v>80</v>
      </c>
      <c r="Z76" s="48" t="s">
        <v>80</v>
      </c>
      <c r="AA76" s="48" t="s">
        <v>80</v>
      </c>
      <c r="AB76" s="48" t="s">
        <v>80</v>
      </c>
      <c r="AC76" s="48" t="s">
        <v>80</v>
      </c>
      <c r="AD76" s="48" t="s">
        <v>80</v>
      </c>
      <c r="AE76" s="48" t="s">
        <v>80</v>
      </c>
      <c r="AF76" s="48" t="s">
        <v>83</v>
      </c>
      <c r="AG76" s="48" t="s">
        <v>84</v>
      </c>
      <c r="AH76" s="48" t="s">
        <v>80</v>
      </c>
      <c r="AI76" s="48" t="s">
        <v>80</v>
      </c>
      <c r="AJ76" s="48" t="s">
        <v>80</v>
      </c>
      <c r="AK76" s="48" t="s">
        <v>80</v>
      </c>
      <c r="AL76" s="48" t="s">
        <v>80</v>
      </c>
      <c r="AM76" t="str">
        <f>VLOOKUP($R76,武学奇术!$A:$ZZ,25,FALSE)</f>
        <v>群体奇术</v>
      </c>
      <c r="AN76" s="33">
        <f>VLOOKUP($R76,武学奇术!$A:$ZZ,26,FALSE)</f>
        <v>2.3774</v>
      </c>
      <c r="AO76" s="34">
        <f>VLOOKUP($R76,武学奇术!$A:$ZZ,27,FALSE)*(1+IF(OR($AM76=$F$4,$AM76=$F$5),$B$22,0))</f>
        <v>476</v>
      </c>
      <c r="AP76" s="33">
        <f>VLOOKUP($R76,武学奇术!$A:$ZZ,28,FALSE)</f>
        <v>3.5661</v>
      </c>
      <c r="AQ76" s="34">
        <f>VLOOKUP($R76,武学奇术!$A:$ZZ,29,FALSE)*(1+IF(OR($AM76=$F$4,$AM76=$F$5),$B$22,0))</f>
        <v>0</v>
      </c>
      <c r="AR76" s="33" cm="1">
        <f t="array" ref="AR76">$G$3+IFERROR(VLOOKUP($AM76,$F$4:$G$7,2,FALSE),0)+VLOOKUP($R76,武学奇术!$A:$ZZ,2,FALSE)+SUM(_xlfn.XLOOKUP($S76:$AL76,增益!$A:$A,增益!$B:$B,0))</f>
        <v>0.3642</v>
      </c>
      <c r="AS76" s="33" cm="1">
        <f t="array" ref="AS76">VLOOKUP($R76,武学奇术!$A:$ZZ,5,FALSE)+SUM(_xlfn.XLOOKUP($S76:$AL76,增益!$A:$A,增益!$E:$E,0))</f>
        <v>0</v>
      </c>
      <c r="AT76" cm="1">
        <f t="array" ref="AT76">$D$10*(1+$AS76)+VLOOKUP($R76,武学奇术!$A:$ZZ,3,FALSE)+SUM(_xlfn.XLOOKUP($S76:$AL76,增益!$A:$A,增益!$C:$C,0))-$I$2</f>
        <v>4026</v>
      </c>
      <c r="AU76" cm="1">
        <f t="array" ref="AU76">$E$10*(1+$AS76)+VLOOKUP($R76,武学奇术!$A:$ZZ,4,FALSE)+SUM(_xlfn.XLOOKUP($S76:$AL76,增益!$A:$A,增益!$D:$D,0))-$I$2</f>
        <v>4026</v>
      </c>
      <c r="AV76" s="40" cm="1">
        <f t="array" ref="AV76">IF($F$10-$I$3+VLOOKUP($R76,武学奇术!$A:$ZZ,6,FALSE)+SUM(_xlfn.XLOOKUP($S76:$AL76,增益!$A:$A,增益!$F:$F,0))&gt;0,($F$10-$I$3+VLOOKUP($R76,武学奇术!$A:$ZZ,6,FALSE)+SUM(_xlfn.XLOOKUP($S76:$AL76,增益!$A:$A,增益!$F:$F,0)))/200,($F$10-$I$3+VLOOKUP($R76,武学奇术!$A:$ZZ,6,FALSE)+SUM(_xlfn.XLOOKUP($S76:$AL76,增益!$A:$A,增益!$F:$F,0)))/100)</f>
        <v>0.3284</v>
      </c>
      <c r="AW76" s="40" cm="1">
        <f t="array" ref="AW76">$G$10+VLOOKUP($R76,武学奇术!$A:$ZZ,7,FALSE)+SUM(_xlfn.XLOOKUP($S76:$AL76,增益!$A:$A,增益!$G:$G,0))</f>
        <v>0.12</v>
      </c>
      <c r="AX76" s="33" cm="1">
        <f t="array" ref="AX76">VLOOKUP($R76,武学奇术!$A:$ZZ,8,FALSE)+SUM(_xlfn.XLOOKUP($S76:$AL76,增益!$A:$A,增益!$H:$H,0))</f>
        <v>0</v>
      </c>
      <c r="AY76">
        <f t="shared" si="15"/>
        <v>0</v>
      </c>
      <c r="AZ76">
        <f t="shared" si="16"/>
        <v>0</v>
      </c>
      <c r="BA76" s="40" cm="1">
        <f t="array" ref="BA76">IF($F$11-$I$4+VLOOKUP($R76,武学奇术!$A:$ZZ,9,FALSE)+SUM(_xlfn.XLOOKUP($S76:$AL76,增益!$A:$A,增益!$I:$I,0))&gt;0,($F$11-$I$4+VLOOKUP($R76,武学奇术!$A:$ZZ,9,FALSE)+SUM(_xlfn.XLOOKUP($S76:$AL76,增益!$A:$A,增益!$I:$I,0)))/200,($F$11-$I$4+VLOOKUP($R76,武学奇术!$A:$ZZ,9,FALSE)+SUM(_xlfn.XLOOKUP($S76:$AL76,增益!$A:$A,增益!$I:$I,0)))/100)</f>
        <v>-0.14</v>
      </c>
      <c r="BB76" s="40" cm="1">
        <f t="array" ref="BB76">$G$11+VLOOKUP($R76,武学奇术!$A:$ZZ,10,FALSE)+SUM(_xlfn.XLOOKUP($S76:$AL76,增益!$A:$A,增益!$J:$J,0))</f>
        <v>0</v>
      </c>
      <c r="BC76">
        <f t="shared" si="17"/>
        <v>640.3</v>
      </c>
      <c r="BD76">
        <f t="shared" si="18"/>
        <v>1770.1</v>
      </c>
      <c r="BE76" s="40" cm="1">
        <f t="array" ref="BE76">IF($F$12-$I$4+VLOOKUP($R76,武学奇术!$A:$ZZ,11,FALSE)+SUM(_xlfn.XLOOKUP($S76:$AL76,增益!$A:$A,增益!$K:$K,0))&gt;0,($F$12-$I$4+VLOOKUP($R76,武学奇术!$A:$ZZ,11,FALSE)+SUM(_xlfn.XLOOKUP($S76:$AL76,增益!$A:$A,增益!$K:$K,0)))/200,($F$12-$I$4+VLOOKUP($R76,武学奇术!$A:$ZZ,11,FALSE)+SUM(_xlfn.XLOOKUP($S76:$AL76,增益!$A:$A,增益!$K:$K,0)))/100)</f>
        <v>0.17</v>
      </c>
      <c r="BF76" s="40" cm="1">
        <f t="array" ref="BF76">$G$12+VLOOKUP($R76,武学奇术!$A:$ZZ,12,FALSE)+SUM(_xlfn.XLOOKUP($S76:$AL76,增益!$A:$A,增益!$L:$L,0))</f>
        <v>0.27</v>
      </c>
      <c r="BG76">
        <f t="shared" si="19"/>
        <v>0</v>
      </c>
      <c r="BH76">
        <f t="shared" si="20"/>
        <v>0</v>
      </c>
      <c r="BI76" s="40" cm="1">
        <f t="array" ref="BI76">IF($F$13-$I$4+VLOOKUP($R76,武学奇术!$A:$ZZ,13,FALSE)+SUM(_xlfn.XLOOKUP($S76:$AL76,增益!$A:$A,增益!$M:$M,0))&gt;0,($F$13-$I$4+VLOOKUP($R76,武学奇术!$A:$ZZ,13,FALSE)+SUM(_xlfn.XLOOKUP($S76:$AL76,增益!$A:$A,增益!$K:$K,0)))/200,($F$13-$I$4+VLOOKUP($R76,武学奇术!$A:$ZZ,13,FALSE)+SUM(_xlfn.XLOOKUP($S76:$AL76,增益!$A:$A,增益!$M:$M,0)))/100)</f>
        <v>-0.14</v>
      </c>
      <c r="BJ76" s="40" cm="1">
        <f t="array" ref="BJ76">$G$13+VLOOKUP($R76,武学奇术!$A:$ZZ,14,FALSE)+SUM(_xlfn.XLOOKUP($S76:$AL76,增益!$A:$A,增益!$N:$N,0))</f>
        <v>0</v>
      </c>
      <c r="BK76">
        <f t="shared" si="21"/>
        <v>0</v>
      </c>
      <c r="BL76">
        <f t="shared" si="22"/>
        <v>0</v>
      </c>
      <c r="BM76" s="40" cm="1">
        <f t="array" ref="BM76">IF($F$14-$I$4+VLOOKUP($R76,武学奇术!$A:$ZZ,15,FALSE)+SUM(_xlfn.XLOOKUP($S76:$AL76,增益!$A:$A,增益!$O:$O,0))&gt;0,($F$14-$I$4+VLOOKUP($R76,武学奇术!$A:$ZZ,15,FALSE)+SUM(_xlfn.XLOOKUP($S76:$AL76,增益!$A:$A,增益!$O:$O,0)))/200,($F$14-$I$4+VLOOKUP($R76,武学奇术!$A:$ZZ,15,FALSE)+SUM(_xlfn.XLOOKUP($S76:$AL76,增益!$A:$A,增益!$O:$O,0)))/100)</f>
        <v>-0.14</v>
      </c>
      <c r="BN76" s="40" cm="1">
        <f t="array" ref="BN76">$G$14+VLOOKUP($R76,武学奇术!$A:$ZZ,16,FALSE)+SUM(_xlfn.XLOOKUP($S76:$AL76,增益!$A:$A,增益!$P:$P,0))</f>
        <v>0</v>
      </c>
      <c r="BO76" s="33">
        <f>MIN(IF(VLOOKUP($R76,武学奇术!$A:$ZZ,23,FALSE)=1,100%,$B$8),100%)</f>
        <v>0.9771</v>
      </c>
      <c r="BP76" s="33" cm="1">
        <f t="array" ref="BP76">IF(VLOOKUP($R76,武学奇术!$A:$ZZ,23,FALSE)=1,100%,MIN(80%,$B$9+VLOOKUP($R76,武学奇术!$A:$ZZ,17,FALSE)+SUM(_xlfn.XLOOKUP($S76:$AL76,增益!$A:$A,增益!$Q:$Q,0)))+$B$11+SUM(_xlfn.XLOOKUP($S76:$AL76,增益!$A:$A,增益!$U:$U,0)))*IF(VLOOKUP($R76,武学奇术!$A:$ZZ,24,FALSE)=1,0,1)</f>
        <v>0.8861</v>
      </c>
      <c r="BQ76" s="33" cm="1">
        <f t="array" ref="BQ76">1+$B$13+VLOOKUP($R76,武学奇术!$A:$ZZ,18,FALSE)+SUM(_xlfn.XLOOKUP($S76:$AL76,增益!$A:$A,增益!$R:$R,0))</f>
        <v>1.95</v>
      </c>
      <c r="BR76" s="33" cm="1">
        <f t="array" ref="BR76">IF(VLOOKUP($R76,武学奇术!$A:$ZZ,24,FALSE)=1,100%,MIN(40%,$B$10+VLOOKUP($R76,武学奇术!$A:$ZZ,19,FALSE)+SUM(_xlfn.XLOOKUP($S76:$AL76,增益!$A:$A,增益!$S:$S,0)))+$B$12+SUM(_xlfn.XLOOKUP($S76:$AL76,增益!$A:$A,增益!$V:$V,0)))*IF(VLOOKUP($R76,武学奇术!$A:$ZZ,23,FALSE)=1,0,1)</f>
        <v>0.0913</v>
      </c>
      <c r="BS76" s="33" cm="1">
        <f t="array" ref="BS76">1+$B$14+VLOOKUP($R76,武学奇术!$A:$ZZ,20,FALSE)+SUM(_xlfn.XLOOKUP($S76:$AL76,增益!$A:$A,增益!$T:$T,0))</f>
        <v>1.35</v>
      </c>
      <c r="BT76" s="33">
        <f t="shared" si="23"/>
        <v>0.86580831</v>
      </c>
      <c r="BU76" s="33">
        <f t="shared" si="24"/>
        <v>0.02208246</v>
      </c>
      <c r="BV76" s="33">
        <f>IF(VLOOKUP($R76,武学奇术!$A:$ZZ,22,FALSE)=1,0,(1-$BO76))*(1-$BR76)</f>
        <v>0.02080923</v>
      </c>
      <c r="BW76" s="33" cm="1">
        <f t="array" ref="BW76">SUM(_xlfn.XLOOKUP($S76:$AL76,增益!$A:$A,增益!$W:$W,0))+$I$5</f>
        <v>0.11</v>
      </c>
      <c r="BX76" s="33" cm="1">
        <f t="array" ref="BX76">VLOOKUP($R76,武学奇术!$A:$ZZ,32,FALSE)+SUM(_xlfn.XLOOKUP($S76:$AL76,增益!$A:$A,增益!$X:$X,0))</f>
        <v>0</v>
      </c>
    </row>
    <row r="77" spans="1:76">
      <c r="L77" s="46">
        <f t="shared" si="14"/>
        <v>213763.271940897</v>
      </c>
      <c r="M77" s="46">
        <f>((($AT77+$AU77)/2*$AN77+$AO77)*(1+$AV77)*(1+$AW77)+(($AY77+$AZ77)/2*IF($G$1="鸣金",$AP77,$AN77)+IF($G$1="鸣金",$AQ77*1.5,0))*(1+$BA77)*(1+$BB77)+(($BC77+$BD77)/2*IF($G$1="裂石",$AP77,$AN77)+IF($G$1="裂石",$AQ77*1.5,0))*(1+$BE77)*(1+$BF77)+(($BG77+$BH77)/2*IF($G$1="牵丝",$AP77,$AN77)+IF($G$1="牵丝",$AQ77*1.5,0))*(1+$BI77)*(1+$BJ77)+(($BK77+$BL77)/2*IF($G$1="破竹",$AP77,$AN77)+IF($G$1="破竹",$AQ77*1.5,0))*(1+$BM77)*(1+$BN77))*(1+$AR77)*$BQ77*$Q77*(1+IF(VLOOKUP($R77,武学奇术!$A:$ZZ,30,FALSE)="蓄力技",$B$21,0))*(1+IF(VLOOKUP($R77,武学奇术!$A:$ZZ,30,FALSE)="派生技",$B$20,0))*(1+$BW77)*(1+$BX77)</f>
        <v>223045.832817019</v>
      </c>
      <c r="N77" s="46">
        <f>(($AU77*$AN77+$AO77)*(1+$AV77)*(1+$AW77)+($AZ77*IF($G$1="鸣金",$AP77,$AN77)+IF($G$1="鸣金",$AQ77*1.5,0))*(1+$BA77)*(1+$BB77)+($BD77*IF($G$1="裂石",$AP77,$AN77)+IF($G$1="裂石",$AQ77*1.5,0))*(1+$BE77)*(1+$BF77)+($BH77*IF($G$1="牵丝",$AP77,$AN77)+IF($G$1="牵丝",$AQ77*1.5,0))*(1+$BI77)*(1+$BJ77)+($BL77*IF($G$1="破竹",$AP77,$AN77)+IF($G$1="破竹",$AQ77*1.5,0))*(1+$BM77)*(1+$BN77))*(1+$AR77)*$BS77*$Q77*(1+IF(VLOOKUP($R77,武学奇术!$A:$ZZ,30,FALSE)="蓄力技",$B$21,0))*(1+IF(VLOOKUP($R77,武学奇术!$A:$ZZ,30,FALSE)="派生技",$B$20,0))*(1+$BW77)*(1+$BX77)</f>
        <v>176081.36303481</v>
      </c>
      <c r="O77" s="46">
        <f>((($AT77+$AU77)/2*$AN77+$AO77)*(1+$AV77)*(1+$AW77)+(($AY77+$AZ77)/2*IF($G$1="鸣金",$AP77,$AN77)+IF($G$1="鸣金",$AQ77*1.5,0))*(1+$BA77)*(1+$BB77)+(($BC77+$BD77)/2*IF($G$1="裂石",$AP77,$AN77)+IF($G$1="裂石",$AQ77*1.5,0))*(1+$BE77)*(1+$BF77)+(($BG77+$BH77)/2*IF($G$1="牵丝",$AP77,$AN77)+IF($G$1="牵丝",$AQ77*1.5,0))*(1+$BI77)*(1+$BJ77)+(($BK77+$BL77)/2*IF($G$1="破竹",$AP77,$AN77)+IF($G$1="破竹",$AQ77*1.5,0))*(1+$BM77)*(1+$BN77))*(1+$AR77)*$Q77*(1+IF(VLOOKUP($R77,武学奇术!$A:$ZZ,30,FALSE)="蓄力技",$B$21,0))*(1+IF(VLOOKUP($R77,武学奇术!$A:$ZZ,30,FALSE)="派生技",$B$20,0))*(1+$BW77)*(1+$BX77)</f>
        <v>114382.478367702</v>
      </c>
      <c r="P77" s="46">
        <f>((($AT77*$AN77+$AO77)*(1+$AV77)*(1+$AW77)+($AY77*IF($G$1="鸣金",$AP77,$AN77)+IF($G$1="鸣金",$AQ77*1.5,0))*(1+$BA77)*(1+$BB77)+($BC77*IF($G$1="裂石",$AP77,$AN77)+IF($G$1="裂石",$AQ77*1.5,0))*(1+$BE77)*(1+$BF77)+($BG77*IF($G$1="牵丝",$AP77,$AN77)+IF($G$1="牵丝",$AQ77*1.5,0))*(1+$BI77)*(1+$BJ77)+($BK77*IF($G$1="破竹",$AP77,$AN77)+IF($G$1="破竹",$AQ77*1.5,0))*(1+$BM77)*(1+$BN77))*(1+$AR77))*$Q77*(1+IF(VLOOKUP($R77,武学奇术!$A:$ZZ,30,FALSE)="蓄力技",$B$21,0))*(1+IF(VLOOKUP($R77,武学奇术!$A:$ZZ,30,FALSE)="派生技",$B$20,0))*(1+$BW77)*(1+$BX77)</f>
        <v>98334.3174503598</v>
      </c>
      <c r="Q77" s="47">
        <f>IF($E$24="陌刀",3,0)</f>
        <v>3</v>
      </c>
      <c r="R77" s="48" t="s">
        <v>106</v>
      </c>
      <c r="S77" s="48" t="s">
        <v>99</v>
      </c>
      <c r="T77" s="48" t="s">
        <v>182</v>
      </c>
      <c r="U77" s="48" t="s">
        <v>79</v>
      </c>
      <c r="V77" s="48" t="s">
        <v>90</v>
      </c>
      <c r="W77" s="48" t="s">
        <v>91</v>
      </c>
      <c r="X77" s="48" t="s">
        <v>80</v>
      </c>
      <c r="Y77" s="48" t="s">
        <v>80</v>
      </c>
      <c r="Z77" s="48" t="s">
        <v>80</v>
      </c>
      <c r="AA77" s="48" t="s">
        <v>183</v>
      </c>
      <c r="AB77" s="48" t="s">
        <v>184</v>
      </c>
      <c r="AC77" s="48" t="s">
        <v>80</v>
      </c>
      <c r="AD77" s="48" t="s">
        <v>80</v>
      </c>
      <c r="AE77" s="48" t="s">
        <v>80</v>
      </c>
      <c r="AF77" s="48" t="s">
        <v>83</v>
      </c>
      <c r="AG77" s="48" t="s">
        <v>84</v>
      </c>
      <c r="AH77" s="48" t="s">
        <v>80</v>
      </c>
      <c r="AI77" s="48" t="s">
        <v>80</v>
      </c>
      <c r="AJ77" s="48" t="s">
        <v>80</v>
      </c>
      <c r="AK77" s="48" t="s">
        <v>80</v>
      </c>
      <c r="AL77" s="48" t="s">
        <v>80</v>
      </c>
      <c r="AM77" t="str">
        <f>VLOOKUP($R77,武学奇术!$A:$ZZ,25,FALSE)</f>
        <v>群体奇术</v>
      </c>
      <c r="AN77" s="33">
        <f>VLOOKUP($R77,武学奇术!$A:$ZZ,26,FALSE)</f>
        <v>2.3774</v>
      </c>
      <c r="AO77" s="34">
        <f>VLOOKUP($R77,武学奇术!$A:$ZZ,27,FALSE)*(1+IF(OR($AM77=$F$4,$AM77=$F$5),$B$22,0))</f>
        <v>476</v>
      </c>
      <c r="AP77" s="33">
        <f>VLOOKUP($R77,武学奇术!$A:$ZZ,28,FALSE)</f>
        <v>3.5661</v>
      </c>
      <c r="AQ77" s="34">
        <f>VLOOKUP($R77,武学奇术!$A:$ZZ,29,FALSE)*(1+IF(OR($AM77=$F$4,$AM77=$F$5),$B$22,0))</f>
        <v>0</v>
      </c>
      <c r="AR77" s="33" cm="1">
        <f t="array" ref="AR77">$G$3+IFERROR(VLOOKUP($AM77,$F$4:$G$7,2,FALSE),0)+VLOOKUP($R77,武学奇术!$A:$ZZ,2,FALSE)+SUM(_xlfn.XLOOKUP($S77:$AL77,增益!$A:$A,增益!$B:$B,0))</f>
        <v>0.3642</v>
      </c>
      <c r="AS77" s="33" cm="1">
        <f t="array" ref="AS77">VLOOKUP($R77,武学奇术!$A:$ZZ,5,FALSE)+SUM(_xlfn.XLOOKUP($S77:$AL77,增益!$A:$A,增益!$E:$E,0))</f>
        <v>0</v>
      </c>
      <c r="AT77" cm="1">
        <f t="array" ref="AT77">$D$10*(1+$AS77)+VLOOKUP($R77,武学奇术!$A:$ZZ,3,FALSE)+SUM(_xlfn.XLOOKUP($S77:$AL77,增益!$A:$A,增益!$C:$C,0))-$I$2</f>
        <v>4026</v>
      </c>
      <c r="AU77" cm="1">
        <f t="array" ref="AU77">$E$10*(1+$AS77)+VLOOKUP($R77,武学奇术!$A:$ZZ,4,FALSE)+SUM(_xlfn.XLOOKUP($S77:$AL77,增益!$A:$A,增益!$D:$D,0))-$I$2</f>
        <v>4026</v>
      </c>
      <c r="AV77" s="40" cm="1">
        <f t="array" ref="AV77">IF($F$10-$I$3+VLOOKUP($R77,武学奇术!$A:$ZZ,6,FALSE)+SUM(_xlfn.XLOOKUP($S77:$AL77,增益!$A:$A,增益!$F:$F,0))&gt;0,($F$10-$I$3+VLOOKUP($R77,武学奇术!$A:$ZZ,6,FALSE)+SUM(_xlfn.XLOOKUP($S77:$AL77,增益!$A:$A,增益!$F:$F,0)))/200,($F$10-$I$3+VLOOKUP($R77,武学奇术!$A:$ZZ,6,FALSE)+SUM(_xlfn.XLOOKUP($S77:$AL77,增益!$A:$A,增益!$F:$F,0)))/100)</f>
        <v>0.3284</v>
      </c>
      <c r="AW77" s="40" cm="1">
        <f t="array" ref="AW77">$G$10+VLOOKUP($R77,武学奇术!$A:$ZZ,7,FALSE)+SUM(_xlfn.XLOOKUP($S77:$AL77,增益!$A:$A,增益!$G:$G,0))</f>
        <v>0.12</v>
      </c>
      <c r="AX77" s="33" cm="1">
        <f t="array" ref="AX77">VLOOKUP($R77,武学奇术!$A:$ZZ,8,FALSE)+SUM(_xlfn.XLOOKUP($S77:$AL77,增益!$A:$A,增益!$H:$H,0))</f>
        <v>0</v>
      </c>
      <c r="AY77">
        <f t="shared" si="15"/>
        <v>0</v>
      </c>
      <c r="AZ77">
        <f t="shared" si="16"/>
        <v>0</v>
      </c>
      <c r="BA77" s="40" cm="1">
        <f t="array" ref="BA77">IF($F$11-$I$4+VLOOKUP($R77,武学奇术!$A:$ZZ,9,FALSE)+SUM(_xlfn.XLOOKUP($S77:$AL77,增益!$A:$A,增益!$I:$I,0))&gt;0,($F$11-$I$4+VLOOKUP($R77,武学奇术!$A:$ZZ,9,FALSE)+SUM(_xlfn.XLOOKUP($S77:$AL77,增益!$A:$A,增益!$I:$I,0)))/200,($F$11-$I$4+VLOOKUP($R77,武学奇术!$A:$ZZ,9,FALSE)+SUM(_xlfn.XLOOKUP($S77:$AL77,增益!$A:$A,增益!$I:$I,0)))/100)</f>
        <v>-0.14</v>
      </c>
      <c r="BB77" s="40" cm="1">
        <f t="array" ref="BB77">$G$11+VLOOKUP($R77,武学奇术!$A:$ZZ,10,FALSE)+SUM(_xlfn.XLOOKUP($S77:$AL77,增益!$A:$A,增益!$J:$J,0))</f>
        <v>0.1</v>
      </c>
      <c r="BC77">
        <f t="shared" si="17"/>
        <v>640.3</v>
      </c>
      <c r="BD77">
        <f t="shared" si="18"/>
        <v>1770.1</v>
      </c>
      <c r="BE77" s="40" cm="1">
        <f t="array" ref="BE77">IF($F$12-$I$4+VLOOKUP($R77,武学奇术!$A:$ZZ,11,FALSE)+SUM(_xlfn.XLOOKUP($S77:$AL77,增益!$A:$A,增益!$K:$K,0))&gt;0,($F$12-$I$4+VLOOKUP($R77,武学奇术!$A:$ZZ,11,FALSE)+SUM(_xlfn.XLOOKUP($S77:$AL77,增益!$A:$A,增益!$K:$K,0)))/200,($F$12-$I$4+VLOOKUP($R77,武学奇术!$A:$ZZ,11,FALSE)+SUM(_xlfn.XLOOKUP($S77:$AL77,增益!$A:$A,增益!$K:$K,0)))/100)</f>
        <v>0.17</v>
      </c>
      <c r="BF77" s="40" cm="1">
        <f t="array" ref="BF77">$G$12+VLOOKUP($R77,武学奇术!$A:$ZZ,12,FALSE)+SUM(_xlfn.XLOOKUP($S77:$AL77,增益!$A:$A,增益!$L:$L,0))</f>
        <v>0.27</v>
      </c>
      <c r="BG77">
        <f t="shared" si="19"/>
        <v>0</v>
      </c>
      <c r="BH77">
        <f t="shared" si="20"/>
        <v>0</v>
      </c>
      <c r="BI77" s="40" cm="1">
        <f t="array" ref="BI77">IF($F$13-$I$4+VLOOKUP($R77,武学奇术!$A:$ZZ,13,FALSE)+SUM(_xlfn.XLOOKUP($S77:$AL77,增益!$A:$A,增益!$M:$M,0))&gt;0,($F$13-$I$4+VLOOKUP($R77,武学奇术!$A:$ZZ,13,FALSE)+SUM(_xlfn.XLOOKUP($S77:$AL77,增益!$A:$A,增益!$K:$K,0)))/200,($F$13-$I$4+VLOOKUP($R77,武学奇术!$A:$ZZ,13,FALSE)+SUM(_xlfn.XLOOKUP($S77:$AL77,增益!$A:$A,增益!$M:$M,0)))/100)</f>
        <v>-0.14</v>
      </c>
      <c r="BJ77" s="40" cm="1">
        <f t="array" ref="BJ77">$G$13+VLOOKUP($R77,武学奇术!$A:$ZZ,14,FALSE)+SUM(_xlfn.XLOOKUP($S77:$AL77,增益!$A:$A,增益!$N:$N,0))</f>
        <v>0</v>
      </c>
      <c r="BK77">
        <f t="shared" si="21"/>
        <v>0</v>
      </c>
      <c r="BL77">
        <f t="shared" si="22"/>
        <v>0</v>
      </c>
      <c r="BM77" s="40" cm="1">
        <f t="array" ref="BM77">IF($F$14-$I$4+VLOOKUP($R77,武学奇术!$A:$ZZ,15,FALSE)+SUM(_xlfn.XLOOKUP($S77:$AL77,增益!$A:$A,增益!$O:$O,0))&gt;0,($F$14-$I$4+VLOOKUP($R77,武学奇术!$A:$ZZ,15,FALSE)+SUM(_xlfn.XLOOKUP($S77:$AL77,增益!$A:$A,增益!$O:$O,0)))/200,($F$14-$I$4+VLOOKUP($R77,武学奇术!$A:$ZZ,15,FALSE)+SUM(_xlfn.XLOOKUP($S77:$AL77,增益!$A:$A,增益!$O:$O,0)))/100)</f>
        <v>-0.14</v>
      </c>
      <c r="BN77" s="40" cm="1">
        <f t="array" ref="BN77">$G$14+VLOOKUP($R77,武学奇术!$A:$ZZ,16,FALSE)+SUM(_xlfn.XLOOKUP($S77:$AL77,增益!$A:$A,增益!$P:$P,0))</f>
        <v>0</v>
      </c>
      <c r="BO77" s="33">
        <f>MIN(IF(VLOOKUP($R77,武学奇术!$A:$ZZ,23,FALSE)=1,100%,$B$8),100%)</f>
        <v>0.9771</v>
      </c>
      <c r="BP77" s="33" cm="1">
        <f t="array" ref="BP77">IF(VLOOKUP($R77,武学奇术!$A:$ZZ,23,FALSE)=1,100%,MIN(80%,$B$9+VLOOKUP($R77,武学奇术!$A:$ZZ,17,FALSE)+SUM(_xlfn.XLOOKUP($S77:$AL77,增益!$A:$A,增益!$Q:$Q,0)))+$B$11+SUM(_xlfn.XLOOKUP($S77:$AL77,增益!$A:$A,增益!$U:$U,0)))*IF(VLOOKUP($R77,武学奇术!$A:$ZZ,24,FALSE)=1,0,1)</f>
        <v>0.8861</v>
      </c>
      <c r="BQ77" s="33" cm="1">
        <f t="array" ref="BQ77">1+$B$13+VLOOKUP($R77,武学奇术!$A:$ZZ,18,FALSE)+SUM(_xlfn.XLOOKUP($S77:$AL77,增益!$A:$A,增益!$R:$R,0))</f>
        <v>1.95</v>
      </c>
      <c r="BR77" s="33" cm="1">
        <f t="array" ref="BR77">IF(VLOOKUP($R77,武学奇术!$A:$ZZ,24,FALSE)=1,100%,MIN(40%,$B$10+VLOOKUP($R77,武学奇术!$A:$ZZ,19,FALSE)+SUM(_xlfn.XLOOKUP($S77:$AL77,增益!$A:$A,增益!$S:$S,0)))+$B$12+SUM(_xlfn.XLOOKUP($S77:$AL77,增益!$A:$A,增益!$V:$V,0)))*IF(VLOOKUP($R77,武学奇术!$A:$ZZ,23,FALSE)=1,0,1)</f>
        <v>0.0913</v>
      </c>
      <c r="BS77" s="33" cm="1">
        <f t="array" ref="BS77">1+$B$14+VLOOKUP($R77,武学奇术!$A:$ZZ,20,FALSE)+SUM(_xlfn.XLOOKUP($S77:$AL77,增益!$A:$A,增益!$T:$T,0))</f>
        <v>1.35</v>
      </c>
      <c r="BT77" s="33">
        <f t="shared" si="23"/>
        <v>0.86580831</v>
      </c>
      <c r="BU77" s="33">
        <f t="shared" si="24"/>
        <v>0.02208246</v>
      </c>
      <c r="BV77" s="33">
        <f>IF(VLOOKUP($R77,武学奇术!$A:$ZZ,22,FALSE)=1,0,(1-$BO77))*(1-$BR77)</f>
        <v>0.02080923</v>
      </c>
      <c r="BW77" s="33" cm="1">
        <f t="array" ref="BW77">SUM(_xlfn.XLOOKUP($S77:$AL77,增益!$A:$A,增益!$W:$W,0))+$I$5</f>
        <v>0.31</v>
      </c>
      <c r="BX77" s="33" cm="1">
        <f t="array" ref="BX77">VLOOKUP($R77,武学奇术!$A:$ZZ,32,FALSE)+SUM(_xlfn.XLOOKUP($S77:$AL77,增益!$A:$A,增益!$X:$X,0))</f>
        <v>0</v>
      </c>
    </row>
    <row r="78" spans="1:76">
      <c r="A78" s="4"/>
      <c r="B78" s="4"/>
      <c r="L78" s="46">
        <f t="shared" si="14"/>
        <v>30300.9338351519</v>
      </c>
      <c r="M78" s="46">
        <f>((($AT78+$AU78)/2*$AN78+$AO78)*(1+$AV78)*(1+$AW78)+(($AY78+$AZ78)/2*IF($G$1="鸣金",$AP78,$AN78)+IF($G$1="鸣金",$AQ78*1.5,0))*(1+$BA78)*(1+$BB78)+(($BC78+$BD78)/2*IF($G$1="裂石",$AP78,$AN78)+IF($G$1="裂石",$AQ78*1.5,0))*(1+$BE78)*(1+$BF78)+(($BG78+$BH78)/2*IF($G$1="牵丝",$AP78,$AN78)+IF($G$1="牵丝",$AQ78*1.5,0))*(1+$BI78)*(1+$BJ78)+(($BK78+$BL78)/2*IF($G$1="破竹",$AP78,$AN78)+IF($G$1="破竹",$AQ78*1.5,0))*(1+$BM78)*(1+$BN78))*(1+$AR78)*$BQ78*$Q78*(1+IF(VLOOKUP($R78,武学奇术!$A:$ZZ,30,FALSE)="蓄力技",$B$21,0))*(1+IF(VLOOKUP($R78,武学奇术!$A:$ZZ,30,FALSE)="派生技",$B$20,0))*(1+$BW78)*(1+$BX78)</f>
        <v>31647.2836301143</v>
      </c>
      <c r="N78" s="46">
        <f>(($AU78*$AN78+$AO78)*(1+$AV78)*(1+$AW78)+($AZ78*IF($G$1="鸣金",$AP78,$AN78)+IF($G$1="鸣金",$AQ78*1.5,0))*(1+$BA78)*(1+$BB78)+($BD78*IF($G$1="裂石",$AP78,$AN78)+IF($G$1="裂石",$AQ78*1.5,0))*(1+$BE78)*(1+$BF78)+($BH78*IF($G$1="牵丝",$AP78,$AN78)+IF($G$1="牵丝",$AQ78*1.5,0))*(1+$BI78)*(1+$BJ78)+($BL78*IF($G$1="破竹",$AP78,$AN78)+IF($G$1="破竹",$AQ78*1.5,0))*(1+$BM78)*(1+$BN78))*(1+$AR78)*$BS78*$Q78*(1+IF(VLOOKUP($R78,武学奇术!$A:$ZZ,30,FALSE)="蓄力技",$B$21,0))*(1+IF(VLOOKUP($R78,武学奇术!$A:$ZZ,30,FALSE)="派生技",$B$20,0))*(1+$BW78)*(1+$BX78)</f>
        <v>24597.8506681518</v>
      </c>
      <c r="O78" s="46">
        <f>((($AT78+$AU78)/2*$AN78+$AO78)*(1+$AV78)*(1+$AW78)+(($AY78+$AZ78)/2*IF($G$1="鸣金",$AP78,$AN78)+IF($G$1="鸣金",$AQ78*1.5,0))*(1+$BA78)*(1+$BB78)+(($BC78+$BD78)/2*IF($G$1="裂石",$AP78,$AN78)+IF($G$1="裂石",$AQ78*1.5,0))*(1+$BE78)*(1+$BF78)+(($BG78+$BH78)/2*IF($G$1="牵丝",$AP78,$AN78)+IF($G$1="牵丝",$AQ78*1.5,0))*(1+$BI78)*(1+$BJ78)+(($BK78+$BL78)/2*IF($G$1="破竹",$AP78,$AN78)+IF($G$1="破竹",$AQ78*1.5,0))*(1+$BM78)*(1+$BN78))*(1+$AR78)*$Q78*(1+IF(VLOOKUP($R78,武学奇术!$A:$ZZ,30,FALSE)="蓄力技",$B$21,0))*(1+IF(VLOOKUP($R78,武学奇术!$A:$ZZ,30,FALSE)="派生技",$B$20,0))*(1+$BW78)*(1+$BX78)</f>
        <v>16229.3762205714</v>
      </c>
      <c r="P78" s="46">
        <f>((($AT78*$AN78+$AO78)*(1+$AV78)*(1+$AW78)+($AY78*IF($G$1="鸣金",$AP78,$AN78)+IF($G$1="鸣金",$AQ78*1.5,0))*(1+$BA78)*(1+$BB78)+($BC78*IF($G$1="裂石",$AP78,$AN78)+IF($G$1="裂石",$AQ78*1.5,0))*(1+$BE78)*(1+$BF78)+($BG78*IF($G$1="牵丝",$AP78,$AN78)+IF($G$1="牵丝",$AQ78*1.5,0))*(1+$BI78)*(1+$BJ78)+($BK78*IF($G$1="破竹",$AP78,$AN78)+IF($G$1="破竹",$AQ78*1.5,0))*(1+$BM78)*(1+$BN78))*(1+$AR78))*$Q78*(1+IF(VLOOKUP($R78,武学奇术!$A:$ZZ,30,FALSE)="蓄力技",$B$21,0))*(1+IF(VLOOKUP($R78,武学奇术!$A:$ZZ,30,FALSE)="派生技",$B$20,0))*(1+$BW78)*(1+$BX78)</f>
        <v>14238.122316586</v>
      </c>
      <c r="Q78" s="47">
        <f t="shared" ref="Q78:Q87" si="27">IF($E$24="陌刀",1,0)</f>
        <v>1</v>
      </c>
      <c r="R78" s="48" t="s">
        <v>175</v>
      </c>
      <c r="S78" s="48" t="s">
        <v>99</v>
      </c>
      <c r="T78" s="48" t="s">
        <v>182</v>
      </c>
      <c r="U78" s="48" t="s">
        <v>80</v>
      </c>
      <c r="V78" s="48" t="s">
        <v>80</v>
      </c>
      <c r="W78" s="48" t="s">
        <v>91</v>
      </c>
      <c r="X78" s="48" t="s">
        <v>80</v>
      </c>
      <c r="Y78" s="48" t="s">
        <v>80</v>
      </c>
      <c r="Z78" s="48" t="s">
        <v>80</v>
      </c>
      <c r="AA78" s="48" t="s">
        <v>80</v>
      </c>
      <c r="AB78" s="48" t="s">
        <v>80</v>
      </c>
      <c r="AC78" s="48" t="s">
        <v>80</v>
      </c>
      <c r="AD78" s="48" t="s">
        <v>80</v>
      </c>
      <c r="AE78" s="48" t="s">
        <v>80</v>
      </c>
      <c r="AF78" s="48" t="s">
        <v>83</v>
      </c>
      <c r="AG78" s="48" t="s">
        <v>84</v>
      </c>
      <c r="AH78" s="48" t="s">
        <v>80</v>
      </c>
      <c r="AI78" s="48" t="s">
        <v>80</v>
      </c>
      <c r="AJ78" s="48" t="s">
        <v>80</v>
      </c>
      <c r="AK78" s="48" t="s">
        <v>80</v>
      </c>
      <c r="AL78" s="48" t="s">
        <v>80</v>
      </c>
      <c r="AM78" t="str">
        <f>VLOOKUP($R78,武学奇术!$A:$ZZ,25,FALSE)</f>
        <v>横刀</v>
      </c>
      <c r="AN78" s="33">
        <f>VLOOKUP($R78,武学奇术!$A:$ZZ,26,FALSE)</f>
        <v>1.2338</v>
      </c>
      <c r="AO78" s="34">
        <f>VLOOKUP($R78,武学奇术!$A:$ZZ,27,FALSE)*(1+IF(OR($AM78=$F$4,$AM78=$F$5),$B$22,0))</f>
        <v>547.2</v>
      </c>
      <c r="AP78" s="33">
        <f>VLOOKUP($R78,武学奇术!$A:$ZZ,28,FALSE)</f>
        <v>1.8507</v>
      </c>
      <c r="AQ78" s="34">
        <f>VLOOKUP($R78,武学奇术!$A:$ZZ,29,FALSE)*(1+IF(OR($AM78=$F$4,$AM78=$F$5),$B$22,0))</f>
        <v>297.6</v>
      </c>
      <c r="AR78" s="33" cm="1">
        <f t="array" ref="AR78">$G$3+IFERROR(VLOOKUP($AM78,$F$4:$G$7,2,FALSE),0)+VLOOKUP($R78,武学奇术!$A:$ZZ,2,FALSE)+SUM(_xlfn.XLOOKUP($S78:$AL78,增益!$A:$A,增益!$B:$B,0))</f>
        <v>0.3689</v>
      </c>
      <c r="AS78" s="33" cm="1">
        <f t="array" ref="AS78">VLOOKUP($R78,武学奇术!$A:$ZZ,5,FALSE)+SUM(_xlfn.XLOOKUP($S78:$AL78,增益!$A:$A,增益!$E:$E,0))</f>
        <v>0</v>
      </c>
      <c r="AT78" cm="1">
        <f t="array" ref="AT78">$D$10*(1+$AS78)+VLOOKUP($R78,武学奇术!$A:$ZZ,3,FALSE)+SUM(_xlfn.XLOOKUP($S78:$AL78,增益!$A:$A,增益!$C:$C,0))-$I$2</f>
        <v>4026</v>
      </c>
      <c r="AU78" cm="1">
        <f t="array" ref="AU78">$E$10*(1+$AS78)+VLOOKUP($R78,武学奇术!$A:$ZZ,4,FALSE)+SUM(_xlfn.XLOOKUP($S78:$AL78,增益!$A:$A,增益!$D:$D,0))-$I$2</f>
        <v>4026</v>
      </c>
      <c r="AV78" s="40" cm="1">
        <f t="array" ref="AV78">IF($F$10-$I$3+VLOOKUP($R78,武学奇术!$A:$ZZ,6,FALSE)+SUM(_xlfn.XLOOKUP($S78:$AL78,增益!$A:$A,增益!$F:$F,0))&gt;0,($F$10-$I$3+VLOOKUP($R78,武学奇术!$A:$ZZ,6,FALSE)+SUM(_xlfn.XLOOKUP($S78:$AL78,增益!$A:$A,增益!$F:$F,0)))/200,($F$10-$I$3+VLOOKUP($R78,武学奇术!$A:$ZZ,6,FALSE)+SUM(_xlfn.XLOOKUP($S78:$AL78,增益!$A:$A,增益!$F:$F,0)))/100)</f>
        <v>0.3284</v>
      </c>
      <c r="AW78" s="40" cm="1">
        <f t="array" ref="AW78">$G$10+VLOOKUP($R78,武学奇术!$A:$ZZ,7,FALSE)+SUM(_xlfn.XLOOKUP($S78:$AL78,增益!$A:$A,增益!$G:$G,0))</f>
        <v>0</v>
      </c>
      <c r="AX78" s="33" cm="1">
        <f t="array" ref="AX78">VLOOKUP($R78,武学奇术!$A:$ZZ,8,FALSE)+SUM(_xlfn.XLOOKUP($S78:$AL78,增益!$A:$A,增益!$H:$H,0))</f>
        <v>0</v>
      </c>
      <c r="AY78">
        <f t="shared" si="15"/>
        <v>0</v>
      </c>
      <c r="AZ78">
        <f t="shared" si="16"/>
        <v>0</v>
      </c>
      <c r="BA78" s="40" cm="1">
        <f t="array" ref="BA78">IF($F$11-$I$4+VLOOKUP($R78,武学奇术!$A:$ZZ,9,FALSE)+SUM(_xlfn.XLOOKUP($S78:$AL78,增益!$A:$A,增益!$I:$I,0))&gt;0,($F$11-$I$4+VLOOKUP($R78,武学奇术!$A:$ZZ,9,FALSE)+SUM(_xlfn.XLOOKUP($S78:$AL78,增益!$A:$A,增益!$I:$I,0)))/200,($F$11-$I$4+VLOOKUP($R78,武学奇术!$A:$ZZ,9,FALSE)+SUM(_xlfn.XLOOKUP($S78:$AL78,增益!$A:$A,增益!$I:$I,0)))/100)</f>
        <v>-0.3</v>
      </c>
      <c r="BB78" s="40" cm="1">
        <f t="array" ref="BB78">$G$11+VLOOKUP($R78,武学奇术!$A:$ZZ,10,FALSE)+SUM(_xlfn.XLOOKUP($S78:$AL78,增益!$A:$A,增益!$J:$J,0))</f>
        <v>0</v>
      </c>
      <c r="BC78">
        <f t="shared" si="17"/>
        <v>640.3</v>
      </c>
      <c r="BD78">
        <f t="shared" si="18"/>
        <v>1770.1</v>
      </c>
      <c r="BE78" s="40" cm="1">
        <f t="array" ref="BE78">IF($F$12-$I$4+VLOOKUP($R78,武学奇术!$A:$ZZ,11,FALSE)+SUM(_xlfn.XLOOKUP($S78:$AL78,增益!$A:$A,增益!$K:$K,0))&gt;0,($F$12-$I$4+VLOOKUP($R78,武学奇术!$A:$ZZ,11,FALSE)+SUM(_xlfn.XLOOKUP($S78:$AL78,增益!$A:$A,增益!$K:$K,0)))/200,($F$12-$I$4+VLOOKUP($R78,武学奇术!$A:$ZZ,11,FALSE)+SUM(_xlfn.XLOOKUP($S78:$AL78,增益!$A:$A,增益!$K:$K,0)))/100)</f>
        <v>0.09</v>
      </c>
      <c r="BF78" s="40" cm="1">
        <f t="array" ref="BF78">$G$12+VLOOKUP($R78,武学奇术!$A:$ZZ,12,FALSE)+SUM(_xlfn.XLOOKUP($S78:$AL78,增益!$A:$A,增益!$L:$L,0))</f>
        <v>0.15</v>
      </c>
      <c r="BG78">
        <f t="shared" si="19"/>
        <v>0</v>
      </c>
      <c r="BH78">
        <f t="shared" si="20"/>
        <v>0</v>
      </c>
      <c r="BI78" s="40" cm="1">
        <f t="array" ref="BI78">IF($F$13-$I$4+VLOOKUP($R78,武学奇术!$A:$ZZ,13,FALSE)+SUM(_xlfn.XLOOKUP($S78:$AL78,增益!$A:$A,增益!$M:$M,0))&gt;0,($F$13-$I$4+VLOOKUP($R78,武学奇术!$A:$ZZ,13,FALSE)+SUM(_xlfn.XLOOKUP($S78:$AL78,增益!$A:$A,增益!$K:$K,0)))/200,($F$13-$I$4+VLOOKUP($R78,武学奇术!$A:$ZZ,13,FALSE)+SUM(_xlfn.XLOOKUP($S78:$AL78,增益!$A:$A,增益!$M:$M,0)))/100)</f>
        <v>-0.3</v>
      </c>
      <c r="BJ78" s="40" cm="1">
        <f t="array" ref="BJ78">$G$13+VLOOKUP($R78,武学奇术!$A:$ZZ,14,FALSE)+SUM(_xlfn.XLOOKUP($S78:$AL78,增益!$A:$A,增益!$N:$N,0))</f>
        <v>0</v>
      </c>
      <c r="BK78">
        <f t="shared" si="21"/>
        <v>0</v>
      </c>
      <c r="BL78">
        <f t="shared" si="22"/>
        <v>0</v>
      </c>
      <c r="BM78" s="40" cm="1">
        <f t="array" ref="BM78">IF($F$14-$I$4+VLOOKUP($R78,武学奇术!$A:$ZZ,15,FALSE)+SUM(_xlfn.XLOOKUP($S78:$AL78,增益!$A:$A,增益!$O:$O,0))&gt;0,($F$14-$I$4+VLOOKUP($R78,武学奇术!$A:$ZZ,15,FALSE)+SUM(_xlfn.XLOOKUP($S78:$AL78,增益!$A:$A,增益!$O:$O,0)))/200,($F$14-$I$4+VLOOKUP($R78,武学奇术!$A:$ZZ,15,FALSE)+SUM(_xlfn.XLOOKUP($S78:$AL78,增益!$A:$A,增益!$O:$O,0)))/100)</f>
        <v>-0.3</v>
      </c>
      <c r="BN78" s="40" cm="1">
        <f t="array" ref="BN78">$G$14+VLOOKUP($R78,武学奇术!$A:$ZZ,16,FALSE)+SUM(_xlfn.XLOOKUP($S78:$AL78,增益!$A:$A,增益!$P:$P,0))</f>
        <v>0</v>
      </c>
      <c r="BO78" s="33">
        <f>MIN(IF(VLOOKUP($R78,武学奇术!$A:$ZZ,23,FALSE)=1,100%,$B$8),100%)</f>
        <v>0.9771</v>
      </c>
      <c r="BP78" s="33" cm="1">
        <f t="array" ref="BP78">IF(VLOOKUP($R78,武学奇术!$A:$ZZ,23,FALSE)=1,100%,MIN(80%,$B$9+VLOOKUP($R78,武学奇术!$A:$ZZ,17,FALSE)+SUM(_xlfn.XLOOKUP($S78:$AL78,增益!$A:$A,增益!$Q:$Q,0)))+$B$11+SUM(_xlfn.XLOOKUP($S78:$AL78,增益!$A:$A,增益!$U:$U,0)))*IF(VLOOKUP($R78,武学奇术!$A:$ZZ,24,FALSE)=1,0,1)</f>
        <v>0.8861</v>
      </c>
      <c r="BQ78" s="33" cm="1">
        <f t="array" ref="BQ78">1+$B$13+VLOOKUP($R78,武学奇术!$A:$ZZ,18,FALSE)+SUM(_xlfn.XLOOKUP($S78:$AL78,增益!$A:$A,增益!$R:$R,0))</f>
        <v>1.95</v>
      </c>
      <c r="BR78" s="33" cm="1">
        <f t="array" ref="BR78">IF(VLOOKUP($R78,武学奇术!$A:$ZZ,24,FALSE)=1,100%,MIN(40%,$B$10+VLOOKUP($R78,武学奇术!$A:$ZZ,19,FALSE)+SUM(_xlfn.XLOOKUP($S78:$AL78,增益!$A:$A,增益!$S:$S,0)))+$B$12+SUM(_xlfn.XLOOKUP($S78:$AL78,增益!$A:$A,增益!$V:$V,0)))*IF(VLOOKUP($R78,武学奇术!$A:$ZZ,23,FALSE)=1,0,1)</f>
        <v>0.0913</v>
      </c>
      <c r="BS78" s="33" cm="1">
        <f t="array" ref="BS78">1+$B$14+VLOOKUP($R78,武学奇术!$A:$ZZ,20,FALSE)+SUM(_xlfn.XLOOKUP($S78:$AL78,增益!$A:$A,增益!$T:$T,0))</f>
        <v>1.35</v>
      </c>
      <c r="BT78" s="33">
        <f t="shared" si="23"/>
        <v>0.86580831</v>
      </c>
      <c r="BU78" s="33">
        <f t="shared" si="24"/>
        <v>0.02208246</v>
      </c>
      <c r="BV78" s="33">
        <f>IF(VLOOKUP($R78,武学奇术!$A:$ZZ,22,FALSE)=1,0,(1-$BO78))*(1-$BR78)</f>
        <v>0.02080923</v>
      </c>
      <c r="BW78" s="33" cm="1">
        <f t="array" ref="BW78">SUM(_xlfn.XLOOKUP($S78:$AL78,增益!$A:$A,增益!$W:$W,0))+$I$5</f>
        <v>0.11</v>
      </c>
      <c r="BX78" s="33" cm="1">
        <f t="array" ref="BX78">VLOOKUP($R78,武学奇术!$A:$ZZ,32,FALSE)+SUM(_xlfn.XLOOKUP($S78:$AL78,增益!$A:$A,增益!$X:$X,0))</f>
        <v>0</v>
      </c>
    </row>
    <row r="79" spans="1:76">
      <c r="A79" s="4"/>
      <c r="B79" s="4"/>
      <c r="L79" s="46">
        <f t="shared" si="14"/>
        <v>92811.457821205</v>
      </c>
      <c r="M79" s="46">
        <f>((($AT79+$AU79)/2*$AN79+$AO79)*(1+$AV79)*(1+$AW79)+(($AY79+$AZ79)/2*IF($G$1="鸣金",$AP79,$AN79)+IF($G$1="鸣金",$AQ79*1.5,0))*(1+$BA79)*(1+$BB79)+(($BC79+$BD79)/2*IF($G$1="裂石",$AP79,$AN79)+IF($G$1="裂石",$AQ79*1.5,0))*(1+$BE79)*(1+$BF79)+(($BG79+$BH79)/2*IF($G$1="牵丝",$AP79,$AN79)+IF($G$1="牵丝",$AQ79*1.5,0))*(1+$BI79)*(1+$BJ79)+(($BK79+$BL79)/2*IF($G$1="破竹",$AP79,$AN79)+IF($G$1="破竹",$AQ79*1.5,0))*(1+$BM79)*(1+$BN79))*(1+$AR79)*$BQ79*$Q79*(1+IF(VLOOKUP($R79,武学奇术!$A:$ZZ,30,FALSE)="蓄力技",$B$21,0))*(1+IF(VLOOKUP($R79,武学奇术!$A:$ZZ,30,FALSE)="派生技",$B$20,0))*(1+$BW79)*(1+$BX79)</f>
        <v>96935.2066625429</v>
      </c>
      <c r="N79" s="46">
        <f>(($AU79*$AN79+$AO79)*(1+$AV79)*(1+$AW79)+($AZ79*IF($G$1="鸣金",$AP79,$AN79)+IF($G$1="鸣金",$AQ79*1.5,0))*(1+$BA79)*(1+$BB79)+($BD79*IF($G$1="裂石",$AP79,$AN79)+IF($G$1="裂石",$AQ79*1.5,0))*(1+$BE79)*(1+$BF79)+($BH79*IF($G$1="牵丝",$AP79,$AN79)+IF($G$1="牵丝",$AQ79*1.5,0))*(1+$BI79)*(1+$BJ79)+($BL79*IF($G$1="破竹",$AP79,$AN79)+IF($G$1="破竹",$AQ79*1.5,0))*(1+$BM79)*(1+$BN79))*(1+$AR79)*$BS79*$Q79*(1+IF(VLOOKUP($R79,武学奇术!$A:$ZZ,30,FALSE)="蓄力技",$B$21,0))*(1+IF(VLOOKUP($R79,武学奇术!$A:$ZZ,30,FALSE)="派生技",$B$20,0))*(1+$BW79)*(1+$BX79)</f>
        <v>75344.2395283134</v>
      </c>
      <c r="O79" s="46">
        <f>((($AT79+$AU79)/2*$AN79+$AO79)*(1+$AV79)*(1+$AW79)+(($AY79+$AZ79)/2*IF($G$1="鸣金",$AP79,$AN79)+IF($G$1="鸣金",$AQ79*1.5,0))*(1+$BA79)*(1+$BB79)+(($BC79+$BD79)/2*IF($G$1="裂石",$AP79,$AN79)+IF($G$1="裂石",$AQ79*1.5,0))*(1+$BE79)*(1+$BF79)+(($BG79+$BH79)/2*IF($G$1="牵丝",$AP79,$AN79)+IF($G$1="牵丝",$AQ79*1.5,0))*(1+$BI79)*(1+$BJ79)+(($BK79+$BL79)/2*IF($G$1="破竹",$AP79,$AN79)+IF($G$1="破竹",$AQ79*1.5,0))*(1+$BM79)*(1+$BN79))*(1+$AR79)*$Q79*(1+IF(VLOOKUP($R79,武学奇术!$A:$ZZ,30,FALSE)="蓄力技",$B$21,0))*(1+IF(VLOOKUP($R79,武学奇术!$A:$ZZ,30,FALSE)="派生技",$B$20,0))*(1+$BW79)*(1+$BX79)</f>
        <v>49710.3623910476</v>
      </c>
      <c r="P79" s="46">
        <f>((($AT79*$AN79+$AO79)*(1+$AV79)*(1+$AW79)+($AY79*IF($G$1="鸣金",$AP79,$AN79)+IF($G$1="鸣金",$AQ79*1.5,0))*(1+$BA79)*(1+$BB79)+($BC79*IF($G$1="裂石",$AP79,$AN79)+IF($G$1="裂石",$AQ79*1.5,0))*(1+$BE79)*(1+$BF79)+($BG79*IF($G$1="牵丝",$AP79,$AN79)+IF($G$1="牵丝",$AQ79*1.5,0))*(1+$BI79)*(1+$BJ79)+($BK79*IF($G$1="破竹",$AP79,$AN79)+IF($G$1="破竹",$AQ79*1.5,0))*(1+$BM79)*(1+$BN79))*(1+$AR79))*$Q79*(1+IF(VLOOKUP($R79,武学奇术!$A:$ZZ,30,FALSE)="蓄力技",$B$21,0))*(1+IF(VLOOKUP($R79,武学奇术!$A:$ZZ,30,FALSE)="派生技",$B$20,0))*(1+$BW79)*(1+$BX79)</f>
        <v>43610.1769833446</v>
      </c>
      <c r="Q79" s="47">
        <f t="shared" si="27"/>
        <v>1</v>
      </c>
      <c r="R79" s="48" t="s">
        <v>116</v>
      </c>
      <c r="S79" s="48" t="s">
        <v>99</v>
      </c>
      <c r="T79" s="48" t="s">
        <v>182</v>
      </c>
      <c r="U79" s="48" t="s">
        <v>80</v>
      </c>
      <c r="V79" s="48" t="s">
        <v>80</v>
      </c>
      <c r="W79" s="48" t="s">
        <v>91</v>
      </c>
      <c r="X79" s="48" t="s">
        <v>80</v>
      </c>
      <c r="Y79" s="48" t="s">
        <v>80</v>
      </c>
      <c r="Z79" s="48" t="s">
        <v>80</v>
      </c>
      <c r="AA79" s="48" t="s">
        <v>80</v>
      </c>
      <c r="AB79" s="48" t="s">
        <v>80</v>
      </c>
      <c r="AC79" s="48" t="s">
        <v>80</v>
      </c>
      <c r="AD79" s="48" t="s">
        <v>80</v>
      </c>
      <c r="AE79" s="48" t="s">
        <v>80</v>
      </c>
      <c r="AF79" s="48" t="s">
        <v>83</v>
      </c>
      <c r="AG79" s="48" t="s">
        <v>84</v>
      </c>
      <c r="AH79" s="48" t="s">
        <v>80</v>
      </c>
      <c r="AI79" s="48" t="s">
        <v>80</v>
      </c>
      <c r="AJ79" s="48" t="s">
        <v>80</v>
      </c>
      <c r="AK79" s="48" t="s">
        <v>80</v>
      </c>
      <c r="AL79" s="48" t="s">
        <v>80</v>
      </c>
      <c r="AM79" t="str">
        <f>VLOOKUP($R79,武学奇术!$A:$ZZ,25,FALSE)</f>
        <v>横刀</v>
      </c>
      <c r="AN79" s="33">
        <f>VLOOKUP($R79,武学奇术!$A:$ZZ,26,FALSE)</f>
        <v>3.7797</v>
      </c>
      <c r="AO79" s="34">
        <f>VLOOKUP($R79,武学奇术!$A:$ZZ,27,FALSE)*(1+IF(OR($AM79=$F$4,$AM79=$F$5),$B$22,0))</f>
        <v>1672</v>
      </c>
      <c r="AP79" s="33">
        <f>VLOOKUP($R79,武学奇术!$A:$ZZ,28,FALSE)</f>
        <v>5.6696</v>
      </c>
      <c r="AQ79" s="34">
        <f>VLOOKUP($R79,武学奇术!$A:$ZZ,29,FALSE)*(1+IF(OR($AM79=$F$4,$AM79=$F$5),$B$22,0))</f>
        <v>912</v>
      </c>
      <c r="AR79" s="33" cm="1">
        <f t="array" ref="AR79">$G$3+IFERROR(VLOOKUP($AM79,$F$4:$G$7,2,FALSE),0)+VLOOKUP($R79,武学奇术!$A:$ZZ,2,FALSE)+SUM(_xlfn.XLOOKUP($S79:$AL79,增益!$A:$A,增益!$B:$B,0))</f>
        <v>0.3689</v>
      </c>
      <c r="AS79" s="33" cm="1">
        <f t="array" ref="AS79">VLOOKUP($R79,武学奇术!$A:$ZZ,5,FALSE)+SUM(_xlfn.XLOOKUP($S79:$AL79,增益!$A:$A,增益!$E:$E,0))</f>
        <v>0</v>
      </c>
      <c r="AT79" cm="1">
        <f t="array" ref="AT79">$D$10*(1+$AS79)+VLOOKUP($R79,武学奇术!$A:$ZZ,3,FALSE)+SUM(_xlfn.XLOOKUP($S79:$AL79,增益!$A:$A,增益!$C:$C,0))-$I$2</f>
        <v>4026</v>
      </c>
      <c r="AU79" cm="1">
        <f t="array" ref="AU79">$E$10*(1+$AS79)+VLOOKUP($R79,武学奇术!$A:$ZZ,4,FALSE)+SUM(_xlfn.XLOOKUP($S79:$AL79,增益!$A:$A,增益!$D:$D,0))-$I$2</f>
        <v>4026</v>
      </c>
      <c r="AV79" s="40" cm="1">
        <f t="array" ref="AV79">IF($F$10-$I$3+VLOOKUP($R79,武学奇术!$A:$ZZ,6,FALSE)+SUM(_xlfn.XLOOKUP($S79:$AL79,增益!$A:$A,增益!$F:$F,0))&gt;0,($F$10-$I$3+VLOOKUP($R79,武学奇术!$A:$ZZ,6,FALSE)+SUM(_xlfn.XLOOKUP($S79:$AL79,增益!$A:$A,增益!$F:$F,0)))/200,($F$10-$I$3+VLOOKUP($R79,武学奇术!$A:$ZZ,6,FALSE)+SUM(_xlfn.XLOOKUP($S79:$AL79,增益!$A:$A,增益!$F:$F,0)))/100)</f>
        <v>0.3284</v>
      </c>
      <c r="AW79" s="40" cm="1">
        <f t="array" ref="AW79">$G$10+VLOOKUP($R79,武学奇术!$A:$ZZ,7,FALSE)+SUM(_xlfn.XLOOKUP($S79:$AL79,增益!$A:$A,增益!$G:$G,0))</f>
        <v>0</v>
      </c>
      <c r="AX79" s="33" cm="1">
        <f t="array" ref="AX79">VLOOKUP($R79,武学奇术!$A:$ZZ,8,FALSE)+SUM(_xlfn.XLOOKUP($S79:$AL79,增益!$A:$A,增益!$H:$H,0))</f>
        <v>0</v>
      </c>
      <c r="AY79">
        <f t="shared" si="15"/>
        <v>0</v>
      </c>
      <c r="AZ79">
        <f t="shared" si="16"/>
        <v>0</v>
      </c>
      <c r="BA79" s="40" cm="1">
        <f t="array" ref="BA79">IF($F$11-$I$4+VLOOKUP($R79,武学奇术!$A:$ZZ,9,FALSE)+SUM(_xlfn.XLOOKUP($S79:$AL79,增益!$A:$A,增益!$I:$I,0))&gt;0,($F$11-$I$4+VLOOKUP($R79,武学奇术!$A:$ZZ,9,FALSE)+SUM(_xlfn.XLOOKUP($S79:$AL79,增益!$A:$A,增益!$I:$I,0)))/200,($F$11-$I$4+VLOOKUP($R79,武学奇术!$A:$ZZ,9,FALSE)+SUM(_xlfn.XLOOKUP($S79:$AL79,增益!$A:$A,增益!$I:$I,0)))/100)</f>
        <v>-0.3</v>
      </c>
      <c r="BB79" s="40" cm="1">
        <f t="array" ref="BB79">$G$11+VLOOKUP($R79,武学奇术!$A:$ZZ,10,FALSE)+SUM(_xlfn.XLOOKUP($S79:$AL79,增益!$A:$A,增益!$J:$J,0))</f>
        <v>0</v>
      </c>
      <c r="BC79">
        <f t="shared" si="17"/>
        <v>640.3</v>
      </c>
      <c r="BD79">
        <f t="shared" si="18"/>
        <v>1770.1</v>
      </c>
      <c r="BE79" s="40" cm="1">
        <f t="array" ref="BE79">IF($F$12-$I$4+VLOOKUP($R79,武学奇术!$A:$ZZ,11,FALSE)+SUM(_xlfn.XLOOKUP($S79:$AL79,增益!$A:$A,增益!$K:$K,0))&gt;0,($F$12-$I$4+VLOOKUP($R79,武学奇术!$A:$ZZ,11,FALSE)+SUM(_xlfn.XLOOKUP($S79:$AL79,增益!$A:$A,增益!$K:$K,0)))/200,($F$12-$I$4+VLOOKUP($R79,武学奇术!$A:$ZZ,11,FALSE)+SUM(_xlfn.XLOOKUP($S79:$AL79,增益!$A:$A,增益!$K:$K,0)))/100)</f>
        <v>0.09</v>
      </c>
      <c r="BF79" s="40" cm="1">
        <f t="array" ref="BF79">$G$12+VLOOKUP($R79,武学奇术!$A:$ZZ,12,FALSE)+SUM(_xlfn.XLOOKUP($S79:$AL79,增益!$A:$A,增益!$L:$L,0))</f>
        <v>0.15</v>
      </c>
      <c r="BG79">
        <f t="shared" si="19"/>
        <v>0</v>
      </c>
      <c r="BH79">
        <f t="shared" si="20"/>
        <v>0</v>
      </c>
      <c r="BI79" s="40" cm="1">
        <f t="array" ref="BI79">IF($F$13-$I$4+VLOOKUP($R79,武学奇术!$A:$ZZ,13,FALSE)+SUM(_xlfn.XLOOKUP($S79:$AL79,增益!$A:$A,增益!$M:$M,0))&gt;0,($F$13-$I$4+VLOOKUP($R79,武学奇术!$A:$ZZ,13,FALSE)+SUM(_xlfn.XLOOKUP($S79:$AL79,增益!$A:$A,增益!$K:$K,0)))/200,($F$13-$I$4+VLOOKUP($R79,武学奇术!$A:$ZZ,13,FALSE)+SUM(_xlfn.XLOOKUP($S79:$AL79,增益!$A:$A,增益!$M:$M,0)))/100)</f>
        <v>-0.3</v>
      </c>
      <c r="BJ79" s="40" cm="1">
        <f t="array" ref="BJ79">$G$13+VLOOKUP($R79,武学奇术!$A:$ZZ,14,FALSE)+SUM(_xlfn.XLOOKUP($S79:$AL79,增益!$A:$A,增益!$N:$N,0))</f>
        <v>0</v>
      </c>
      <c r="BK79">
        <f t="shared" si="21"/>
        <v>0</v>
      </c>
      <c r="BL79">
        <f t="shared" si="22"/>
        <v>0</v>
      </c>
      <c r="BM79" s="40" cm="1">
        <f t="array" ref="BM79">IF($F$14-$I$4+VLOOKUP($R79,武学奇术!$A:$ZZ,15,FALSE)+SUM(_xlfn.XLOOKUP($S79:$AL79,增益!$A:$A,增益!$O:$O,0))&gt;0,($F$14-$I$4+VLOOKUP($R79,武学奇术!$A:$ZZ,15,FALSE)+SUM(_xlfn.XLOOKUP($S79:$AL79,增益!$A:$A,增益!$O:$O,0)))/200,($F$14-$I$4+VLOOKUP($R79,武学奇术!$A:$ZZ,15,FALSE)+SUM(_xlfn.XLOOKUP($S79:$AL79,增益!$A:$A,增益!$O:$O,0)))/100)</f>
        <v>-0.3</v>
      </c>
      <c r="BN79" s="40" cm="1">
        <f t="array" ref="BN79">$G$14+VLOOKUP($R79,武学奇术!$A:$ZZ,16,FALSE)+SUM(_xlfn.XLOOKUP($S79:$AL79,增益!$A:$A,增益!$P:$P,0))</f>
        <v>0</v>
      </c>
      <c r="BO79" s="33">
        <f>MIN(IF(VLOOKUP($R79,武学奇术!$A:$ZZ,23,FALSE)=1,100%,$B$8),100%)</f>
        <v>0.9771</v>
      </c>
      <c r="BP79" s="33" cm="1">
        <f t="array" ref="BP79">IF(VLOOKUP($R79,武学奇术!$A:$ZZ,23,FALSE)=1,100%,MIN(80%,$B$9+VLOOKUP($R79,武学奇术!$A:$ZZ,17,FALSE)+SUM(_xlfn.XLOOKUP($S79:$AL79,增益!$A:$A,增益!$Q:$Q,0)))+$B$11+SUM(_xlfn.XLOOKUP($S79:$AL79,增益!$A:$A,增益!$U:$U,0)))*IF(VLOOKUP($R79,武学奇术!$A:$ZZ,24,FALSE)=1,0,1)</f>
        <v>0.8861</v>
      </c>
      <c r="BQ79" s="33" cm="1">
        <f t="array" ref="BQ79">1+$B$13+VLOOKUP($R79,武学奇术!$A:$ZZ,18,FALSE)+SUM(_xlfn.XLOOKUP($S79:$AL79,增益!$A:$A,增益!$R:$R,0))</f>
        <v>1.95</v>
      </c>
      <c r="BR79" s="33" cm="1">
        <f t="array" ref="BR79">IF(VLOOKUP($R79,武学奇术!$A:$ZZ,24,FALSE)=1,100%,MIN(40%,$B$10+VLOOKUP($R79,武学奇术!$A:$ZZ,19,FALSE)+SUM(_xlfn.XLOOKUP($S79:$AL79,增益!$A:$A,增益!$S:$S,0)))+$B$12+SUM(_xlfn.XLOOKUP($S79:$AL79,增益!$A:$A,增益!$V:$V,0)))*IF(VLOOKUP($R79,武学奇术!$A:$ZZ,23,FALSE)=1,0,1)</f>
        <v>0.0913</v>
      </c>
      <c r="BS79" s="33" cm="1">
        <f t="array" ref="BS79">1+$B$14+VLOOKUP($R79,武学奇术!$A:$ZZ,20,FALSE)+SUM(_xlfn.XLOOKUP($S79:$AL79,增益!$A:$A,增益!$T:$T,0))</f>
        <v>1.35</v>
      </c>
      <c r="BT79" s="33">
        <f t="shared" si="23"/>
        <v>0.86580831</v>
      </c>
      <c r="BU79" s="33">
        <f t="shared" si="24"/>
        <v>0.02208246</v>
      </c>
      <c r="BV79" s="33">
        <f>IF(VLOOKUP($R79,武学奇术!$A:$ZZ,22,FALSE)=1,0,(1-$BO79))*(1-$BR79)</f>
        <v>0.02080923</v>
      </c>
      <c r="BW79" s="33" cm="1">
        <f t="array" ref="BW79">SUM(_xlfn.XLOOKUP($S79:$AL79,增益!$A:$A,增益!$W:$W,0))+$I$5</f>
        <v>0.11</v>
      </c>
      <c r="BX79" s="33" cm="1">
        <f t="array" ref="BX79">VLOOKUP($R79,武学奇术!$A:$ZZ,32,FALSE)+SUM(_xlfn.XLOOKUP($S79:$AL79,增益!$A:$A,增益!$X:$X,0))</f>
        <v>0</v>
      </c>
    </row>
    <row r="80" spans="1:76">
      <c r="A80" s="4"/>
      <c r="B80" s="4"/>
      <c r="C80" s="47"/>
      <c r="L80" s="46">
        <f t="shared" si="14"/>
        <v>64050.2953708675</v>
      </c>
      <c r="M80" s="46">
        <f>((($AT80+$AU80)/2*$AN80+$AO80)*(1+$AV80)*(1+$AW80)+(($AY80+$AZ80)/2*IF($G$1="鸣金",$AP80,$AN80)+IF($G$1="鸣金",$AQ80*1.5,0))*(1+$BA80)*(1+$BB80)+(($BC80+$BD80)/2*IF($G$1="裂石",$AP80,$AN80)+IF($G$1="裂石",$AQ80*1.5,0))*(1+$BE80)*(1+$BF80)+(($BG80+$BH80)/2*IF($G$1="牵丝",$AP80,$AN80)+IF($G$1="牵丝",$AQ80*1.5,0))*(1+$BI80)*(1+$BJ80)+(($BK80+$BL80)/2*IF($G$1="破竹",$AP80,$AN80)+IF($G$1="破竹",$AQ80*1.5,0))*(1+$BM80)*(1+$BN80))*(1+$AR80)*$BQ80*$Q80*(1+IF(VLOOKUP($R80,武学奇术!$A:$ZZ,30,FALSE)="蓄力技",$B$21,0))*(1+IF(VLOOKUP($R80,武学奇术!$A:$ZZ,30,FALSE)="派生技",$B$20,0))*(1+$BW80)*(1+$BX80)</f>
        <v>67066.5106062678</v>
      </c>
      <c r="N80" s="46">
        <f>(($AU80*$AN80+$AO80)*(1+$AV80)*(1+$AW80)+($AZ80*IF($G$1="鸣金",$AP80,$AN80)+IF($G$1="鸣金",$AQ80*1.5,0))*(1+$BA80)*(1+$BB80)+($BD80*IF($G$1="裂石",$AP80,$AN80)+IF($G$1="裂石",$AQ80*1.5,0))*(1+$BE80)*(1+$BF80)+($BH80*IF($G$1="牵丝",$AP80,$AN80)+IF($G$1="牵丝",$AQ80*1.5,0))*(1+$BI80)*(1+$BJ80)+($BL80*IF($G$1="破竹",$AP80,$AN80)+IF($G$1="破竹",$AQ80*1.5,0))*(1+$BM80)*(1+$BN80))*(1+$AR80)*$BS80*$Q80*(1+IF(VLOOKUP($R80,武学奇术!$A:$ZZ,30,FALSE)="蓄力技",$B$21,0))*(1+IF(VLOOKUP($R80,武学奇术!$A:$ZZ,30,FALSE)="派生技",$B$20,0))*(1+$BW80)*(1+$BX80)</f>
        <v>50700.6080875944</v>
      </c>
      <c r="O80" s="46">
        <f>((($AT80+$AU80)/2*$AN80+$AO80)*(1+$AV80)*(1+$AW80)+(($AY80+$AZ80)/2*IF($G$1="鸣金",$AP80,$AN80)+IF($G$1="鸣金",$AQ80*1.5,0))*(1+$BA80)*(1+$BB80)+(($BC80+$BD80)/2*IF($G$1="裂石",$AP80,$AN80)+IF($G$1="裂石",$AQ80*1.5,0))*(1+$BE80)*(1+$BF80)+(($BG80+$BH80)/2*IF($G$1="牵丝",$AP80,$AN80)+IF($G$1="牵丝",$AQ80*1.5,0))*(1+$BI80)*(1+$BJ80)+(($BK80+$BL80)/2*IF($G$1="破竹",$AP80,$AN80)+IF($G$1="破竹",$AQ80*1.5,0))*(1+$BM80)*(1+$BN80))*(1+$AR80)*$Q80*(1+IF(VLOOKUP($R80,武学奇术!$A:$ZZ,30,FALSE)="蓄力技",$B$21,0))*(1+IF(VLOOKUP($R80,武学奇术!$A:$ZZ,30,FALSE)="派生技",$B$20,0))*(1+$BW80)*(1+$BX80)</f>
        <v>33533.2553031339</v>
      </c>
      <c r="P80" s="46">
        <f>((($AT80*$AN80+$AO80)*(1+$AV80)*(1+$AW80)+($AY80*IF($G$1="鸣金",$AP80,$AN80)+IF($G$1="鸣金",$AQ80*1.5,0))*(1+$BA80)*(1+$BB80)+($BC80*IF($G$1="裂石",$AP80,$AN80)+IF($G$1="裂石",$AQ80*1.5,0))*(1+$BE80)*(1+$BF80)+($BG80*IF($G$1="牵丝",$AP80,$AN80)+IF($G$1="牵丝",$AQ80*1.5,0))*(1+$BI80)*(1+$BJ80)+($BK80*IF($G$1="破竹",$AP80,$AN80)+IF($G$1="破竹",$AQ80*1.5,0))*(1+$BM80)*(1+$BN80))*(1+$AR80))*$Q80*(1+IF(VLOOKUP($R80,武学奇术!$A:$ZZ,30,FALSE)="蓄力技",$B$21,0))*(1+IF(VLOOKUP($R80,武学奇术!$A:$ZZ,30,FALSE)="派生技",$B$20,0))*(1+$BW80)*(1+$BX80)</f>
        <v>29510.5046154571</v>
      </c>
      <c r="Q80" s="47">
        <f t="shared" si="27"/>
        <v>1</v>
      </c>
      <c r="R80" s="48" t="s">
        <v>119</v>
      </c>
      <c r="S80" s="48" t="s">
        <v>99</v>
      </c>
      <c r="T80" s="48" t="s">
        <v>182</v>
      </c>
      <c r="U80" s="48" t="s">
        <v>79</v>
      </c>
      <c r="V80" s="48" t="s">
        <v>80</v>
      </c>
      <c r="W80" s="48" t="s">
        <v>141</v>
      </c>
      <c r="X80" s="48" t="s">
        <v>80</v>
      </c>
      <c r="Y80" s="48" t="s">
        <v>74</v>
      </c>
      <c r="Z80" s="48" t="s">
        <v>80</v>
      </c>
      <c r="AA80" s="48" t="s">
        <v>80</v>
      </c>
      <c r="AB80" s="48" t="s">
        <v>80</v>
      </c>
      <c r="AC80" s="48" t="s">
        <v>80</v>
      </c>
      <c r="AD80" s="48" t="s">
        <v>80</v>
      </c>
      <c r="AE80" s="48" t="s">
        <v>80</v>
      </c>
      <c r="AF80" s="48" t="s">
        <v>83</v>
      </c>
      <c r="AG80" s="48" t="s">
        <v>84</v>
      </c>
      <c r="AH80" s="48" t="s">
        <v>80</v>
      </c>
      <c r="AI80" s="48" t="s">
        <v>80</v>
      </c>
      <c r="AJ80" s="48" t="s">
        <v>80</v>
      </c>
      <c r="AK80" s="48" t="s">
        <v>80</v>
      </c>
      <c r="AL80" s="48" t="s">
        <v>80</v>
      </c>
      <c r="AM80" t="str">
        <f>VLOOKUP($R80,武学奇术!$A:$ZZ,25,FALSE)</f>
        <v>横刀</v>
      </c>
      <c r="AN80" s="33">
        <f>VLOOKUP($R80,武学奇术!$A:$ZZ,26,FALSE)</f>
        <v>2.1324</v>
      </c>
      <c r="AO80" s="34">
        <f>VLOOKUP($R80,武学奇术!$A:$ZZ,27,FALSE)*(1+IF(OR($AM80=$F$4,$AM80=$F$5),$B$22,0))</f>
        <v>944</v>
      </c>
      <c r="AP80" s="33">
        <f>VLOOKUP($R80,武学奇术!$A:$ZZ,28,FALSE)</f>
        <v>3.1986</v>
      </c>
      <c r="AQ80" s="34">
        <f>VLOOKUP($R80,武学奇术!$A:$ZZ,29,FALSE)*(1+IF(OR($AM80=$F$4,$AM80=$F$5),$B$22,0))</f>
        <v>515.2</v>
      </c>
      <c r="AR80" s="33" cm="1">
        <f t="array" ref="AR80">$G$3+IFERROR(VLOOKUP($AM80,$F$4:$G$7,2,FALSE),0)+VLOOKUP($R80,武学奇术!$A:$ZZ,2,FALSE)+SUM(_xlfn.XLOOKUP($S80:$AL80,增益!$A:$A,增益!$B:$B,0))</f>
        <v>0.4489</v>
      </c>
      <c r="AS80" s="33" cm="1">
        <f t="array" ref="AS80">VLOOKUP($R80,武学奇术!$A:$ZZ,5,FALSE)+SUM(_xlfn.XLOOKUP($S80:$AL80,增益!$A:$A,增益!$E:$E,0))</f>
        <v>0</v>
      </c>
      <c r="AT80" cm="1">
        <f t="array" ref="AT80">$D$10*(1+$AS80)+VLOOKUP($R80,武学奇术!$A:$ZZ,3,FALSE)+SUM(_xlfn.XLOOKUP($S80:$AL80,增益!$A:$A,增益!$C:$C,0))-$I$2</f>
        <v>4026</v>
      </c>
      <c r="AU80" cm="1">
        <f t="array" ref="AU80">$E$10*(1+$AS80)+VLOOKUP($R80,武学奇术!$A:$ZZ,4,FALSE)+SUM(_xlfn.XLOOKUP($S80:$AL80,增益!$A:$A,增益!$D:$D,0))-$I$2</f>
        <v>4026</v>
      </c>
      <c r="AV80" s="40" cm="1">
        <f t="array" ref="AV80">IF($F$10-$I$3+VLOOKUP($R80,武学奇术!$A:$ZZ,6,FALSE)+SUM(_xlfn.XLOOKUP($S80:$AL80,增益!$A:$A,增益!$F:$F,0))&gt;0,($F$10-$I$3+VLOOKUP($R80,武学奇术!$A:$ZZ,6,FALSE)+SUM(_xlfn.XLOOKUP($S80:$AL80,增益!$A:$A,增益!$F:$F,0)))/200,($F$10-$I$3+VLOOKUP($R80,武学奇术!$A:$ZZ,6,FALSE)+SUM(_xlfn.XLOOKUP($S80:$AL80,增益!$A:$A,增益!$F:$F,0)))/100)</f>
        <v>0.3534</v>
      </c>
      <c r="AW80" s="40" cm="1">
        <f t="array" ref="AW80">$G$10+VLOOKUP($R80,武学奇术!$A:$ZZ,7,FALSE)+SUM(_xlfn.XLOOKUP($S80:$AL80,增益!$A:$A,增益!$G:$G,0))</f>
        <v>0.12</v>
      </c>
      <c r="AX80" s="33" cm="1">
        <f t="array" ref="AX80">VLOOKUP($R80,武学奇术!$A:$ZZ,8,FALSE)+SUM(_xlfn.XLOOKUP($S80:$AL80,增益!$A:$A,增益!$H:$H,0))</f>
        <v>0</v>
      </c>
      <c r="AY80">
        <f t="shared" si="15"/>
        <v>0</v>
      </c>
      <c r="AZ80">
        <f t="shared" si="16"/>
        <v>0</v>
      </c>
      <c r="BA80" s="40" cm="1">
        <f t="array" ref="BA80">IF($F$11-$I$4+VLOOKUP($R80,武学奇术!$A:$ZZ,9,FALSE)+SUM(_xlfn.XLOOKUP($S80:$AL80,增益!$A:$A,增益!$I:$I,0))&gt;0,($F$11-$I$4+VLOOKUP($R80,武学奇术!$A:$ZZ,9,FALSE)+SUM(_xlfn.XLOOKUP($S80:$AL80,增益!$A:$A,增益!$I:$I,0)))/200,($F$11-$I$4+VLOOKUP($R80,武学奇术!$A:$ZZ,9,FALSE)+SUM(_xlfn.XLOOKUP($S80:$AL80,增益!$A:$A,增益!$I:$I,0)))/100)</f>
        <v>-0.3</v>
      </c>
      <c r="BB80" s="40" cm="1">
        <f t="array" ref="BB80">$G$11+VLOOKUP($R80,武学奇术!$A:$ZZ,10,FALSE)+SUM(_xlfn.XLOOKUP($S80:$AL80,增益!$A:$A,增益!$J:$J,0))</f>
        <v>0</v>
      </c>
      <c r="BC80">
        <f t="shared" si="17"/>
        <v>640.3</v>
      </c>
      <c r="BD80">
        <f t="shared" si="18"/>
        <v>1770.1</v>
      </c>
      <c r="BE80" s="40" cm="1">
        <f t="array" ref="BE80">IF($F$12-$I$4+VLOOKUP($R80,武学奇术!$A:$ZZ,11,FALSE)+SUM(_xlfn.XLOOKUP($S80:$AL80,增益!$A:$A,增益!$K:$K,0))&gt;0,($F$12-$I$4+VLOOKUP($R80,武学奇术!$A:$ZZ,11,FALSE)+SUM(_xlfn.XLOOKUP($S80:$AL80,增益!$A:$A,增益!$K:$K,0)))/200,($F$12-$I$4+VLOOKUP($R80,武学奇术!$A:$ZZ,11,FALSE)+SUM(_xlfn.XLOOKUP($S80:$AL80,增益!$A:$A,增益!$K:$K,0)))/100)</f>
        <v>0.09</v>
      </c>
      <c r="BF80" s="40" cm="1">
        <f t="array" ref="BF80">$G$12+VLOOKUP($R80,武学奇术!$A:$ZZ,12,FALSE)+SUM(_xlfn.XLOOKUP($S80:$AL80,增益!$A:$A,增益!$L:$L,0))</f>
        <v>0.27</v>
      </c>
      <c r="BG80">
        <f t="shared" si="19"/>
        <v>0</v>
      </c>
      <c r="BH80">
        <f t="shared" si="20"/>
        <v>0</v>
      </c>
      <c r="BI80" s="40" cm="1">
        <f t="array" ref="BI80">IF($F$13-$I$4+VLOOKUP($R80,武学奇术!$A:$ZZ,13,FALSE)+SUM(_xlfn.XLOOKUP($S80:$AL80,增益!$A:$A,增益!$M:$M,0))&gt;0,($F$13-$I$4+VLOOKUP($R80,武学奇术!$A:$ZZ,13,FALSE)+SUM(_xlfn.XLOOKUP($S80:$AL80,增益!$A:$A,增益!$K:$K,0)))/200,($F$13-$I$4+VLOOKUP($R80,武学奇术!$A:$ZZ,13,FALSE)+SUM(_xlfn.XLOOKUP($S80:$AL80,增益!$A:$A,增益!$M:$M,0)))/100)</f>
        <v>-0.3</v>
      </c>
      <c r="BJ80" s="40" cm="1">
        <f t="array" ref="BJ80">$G$13+VLOOKUP($R80,武学奇术!$A:$ZZ,14,FALSE)+SUM(_xlfn.XLOOKUP($S80:$AL80,增益!$A:$A,增益!$N:$N,0))</f>
        <v>0</v>
      </c>
      <c r="BK80">
        <f t="shared" si="21"/>
        <v>0</v>
      </c>
      <c r="BL80">
        <f t="shared" si="22"/>
        <v>0</v>
      </c>
      <c r="BM80" s="40" cm="1">
        <f t="array" ref="BM80">IF($F$14-$I$4+VLOOKUP($R80,武学奇术!$A:$ZZ,15,FALSE)+SUM(_xlfn.XLOOKUP($S80:$AL80,增益!$A:$A,增益!$O:$O,0))&gt;0,($F$14-$I$4+VLOOKUP($R80,武学奇术!$A:$ZZ,15,FALSE)+SUM(_xlfn.XLOOKUP($S80:$AL80,增益!$A:$A,增益!$O:$O,0)))/200,($F$14-$I$4+VLOOKUP($R80,武学奇术!$A:$ZZ,15,FALSE)+SUM(_xlfn.XLOOKUP($S80:$AL80,增益!$A:$A,增益!$O:$O,0)))/100)</f>
        <v>-0.3</v>
      </c>
      <c r="BN80" s="40" cm="1">
        <f t="array" ref="BN80">$G$14+VLOOKUP($R80,武学奇术!$A:$ZZ,16,FALSE)+SUM(_xlfn.XLOOKUP($S80:$AL80,增益!$A:$A,增益!$P:$P,0))</f>
        <v>0</v>
      </c>
      <c r="BO80" s="33">
        <f>MIN(IF(VLOOKUP($R80,武学奇术!$A:$ZZ,23,FALSE)=1,100%,$B$8),100%)</f>
        <v>0.9771</v>
      </c>
      <c r="BP80" s="33" cm="1">
        <f t="array" ref="BP80">IF(VLOOKUP($R80,武学奇术!$A:$ZZ,23,FALSE)=1,100%,MIN(80%,$B$9+VLOOKUP($R80,武学奇术!$A:$ZZ,17,FALSE)+SUM(_xlfn.XLOOKUP($S80:$AL80,增益!$A:$A,增益!$Q:$Q,0)))+$B$11+SUM(_xlfn.XLOOKUP($S80:$AL80,增益!$A:$A,增益!$U:$U,0)))*IF(VLOOKUP($R80,武学奇术!$A:$ZZ,24,FALSE)=1,0,1)</f>
        <v>0.8861</v>
      </c>
      <c r="BQ80" s="33" cm="1">
        <f t="array" ref="BQ80">1+$B$13+VLOOKUP($R80,武学奇术!$A:$ZZ,18,FALSE)+SUM(_xlfn.XLOOKUP($S80:$AL80,增益!$A:$A,增益!$R:$R,0))</f>
        <v>2</v>
      </c>
      <c r="BR80" s="33" cm="1">
        <f t="array" ref="BR80">IF(VLOOKUP($R80,武学奇术!$A:$ZZ,24,FALSE)=1,100%,MIN(40%,$B$10+VLOOKUP($R80,武学奇术!$A:$ZZ,19,FALSE)+SUM(_xlfn.XLOOKUP($S80:$AL80,增益!$A:$A,增益!$S:$S,0)))+$B$12+SUM(_xlfn.XLOOKUP($S80:$AL80,增益!$A:$A,增益!$V:$V,0)))*IF(VLOOKUP($R80,武学奇术!$A:$ZZ,23,FALSE)=1,0,1)</f>
        <v>0.0913</v>
      </c>
      <c r="BS80" s="33" cm="1">
        <f t="array" ref="BS80">1+$B$14+VLOOKUP($R80,武学奇术!$A:$ZZ,20,FALSE)+SUM(_xlfn.XLOOKUP($S80:$AL80,增益!$A:$A,增益!$T:$T,0))</f>
        <v>1.35</v>
      </c>
      <c r="BT80" s="33">
        <f t="shared" si="23"/>
        <v>0.86580831</v>
      </c>
      <c r="BU80" s="33">
        <f t="shared" si="24"/>
        <v>0.02208246</v>
      </c>
      <c r="BV80" s="33">
        <f>IF(VLOOKUP($R80,武学奇术!$A:$ZZ,22,FALSE)=1,0,(1-$BO80))*(1-$BR80)</f>
        <v>0.02080923</v>
      </c>
      <c r="BW80" s="33" cm="1">
        <f t="array" ref="BW80">SUM(_xlfn.XLOOKUP($S80:$AL80,增益!$A:$A,增益!$W:$W,0))+$I$5</f>
        <v>0.11</v>
      </c>
      <c r="BX80" s="33" cm="1">
        <f t="array" ref="BX80">VLOOKUP($R80,武学奇术!$A:$ZZ,32,FALSE)+SUM(_xlfn.XLOOKUP($S80:$AL80,增益!$A:$A,增益!$X:$X,0))</f>
        <v>0</v>
      </c>
    </row>
    <row r="81" spans="1:76">
      <c r="L81" s="46">
        <f t="shared" si="14"/>
        <v>41931.3947483213</v>
      </c>
      <c r="M81" s="46">
        <f>((($AT81+$AU81)/2*$AN81+$AO81)*(1+$AV81)*(1+$AW81)+(($AY81+$AZ81)/2*IF($G$1="鸣金",$AP81,$AN81)+IF($G$1="鸣金",$AQ81*1.5,0))*(1+$BA81)*(1+$BB81)+(($BC81+$BD81)/2*IF($G$1="裂石",$AP81,$AN81)+IF($G$1="裂石",$AQ81*1.5,0))*(1+$BE81)*(1+$BF81)+(($BG81+$BH81)/2*IF($G$1="牵丝",$AP81,$AN81)+IF($G$1="牵丝",$AQ81*1.5,0))*(1+$BI81)*(1+$BJ81)+(($BK81+$BL81)/2*IF($G$1="破竹",$AP81,$AN81)+IF($G$1="破竹",$AQ81*1.5,0))*(1+$BM81)*(1+$BN81))*(1+$AR81)*$BQ81*$Q81*(1+IF(VLOOKUP($R81,武学奇术!$A:$ZZ,30,FALSE)="蓄力技",$B$21,0))*(1+IF(VLOOKUP($R81,武学奇术!$A:$ZZ,30,FALSE)="派生技",$B$20,0))*(1+$BW81)*(1+$BX81)</f>
        <v>43851.2110492413</v>
      </c>
      <c r="N81" s="46">
        <f>(($AU81*$AN81+$AO81)*(1+$AV81)*(1+$AW81)+($AZ81*IF($G$1="鸣金",$AP81,$AN81)+IF($G$1="鸣金",$AQ81*1.5,0))*(1+$BA81)*(1+$BB81)+($BD81*IF($G$1="裂石",$AP81,$AN81)+IF($G$1="裂石",$AQ81*1.5,0))*(1+$BE81)*(1+$BF81)+($BH81*IF($G$1="牵丝",$AP81,$AN81)+IF($G$1="牵丝",$AQ81*1.5,0))*(1+$BI81)*(1+$BJ81)+($BL81*IF($G$1="破竹",$AP81,$AN81)+IF($G$1="破竹",$AQ81*1.5,0))*(1+$BM81)*(1+$BN81))*(1+$AR81)*$BS81*$Q81*(1+IF(VLOOKUP($R81,武学奇术!$A:$ZZ,30,FALSE)="蓄力技",$B$21,0))*(1+IF(VLOOKUP($R81,武学奇术!$A:$ZZ,30,FALSE)="派生技",$B$20,0))*(1+$BW81)*(1+$BX81)</f>
        <v>33839.9552860611</v>
      </c>
      <c r="O81" s="46">
        <f>((($AT81+$AU81)/2*$AN81+$AO81)*(1+$AV81)*(1+$AW81)+(($AY81+$AZ81)/2*IF($G$1="鸣金",$AP81,$AN81)+IF($G$1="鸣金",$AQ81*1.5,0))*(1+$BA81)*(1+$BB81)+(($BC81+$BD81)/2*IF($G$1="裂石",$AP81,$AN81)+IF($G$1="裂石",$AQ81*1.5,0))*(1+$BE81)*(1+$BF81)+(($BG81+$BH81)/2*IF($G$1="牵丝",$AP81,$AN81)+IF($G$1="牵丝",$AQ81*1.5,0))*(1+$BI81)*(1+$BJ81)+(($BK81+$BL81)/2*IF($G$1="破竹",$AP81,$AN81)+IF($G$1="破竹",$AQ81*1.5,0))*(1+$BM81)*(1+$BN81))*(1+$AR81)*$Q81*(1+IF(VLOOKUP($R81,武学奇术!$A:$ZZ,30,FALSE)="蓄力技",$B$21,0))*(1+IF(VLOOKUP($R81,武学奇术!$A:$ZZ,30,FALSE)="派生技",$B$20,0))*(1+$BW81)*(1+$BX81)</f>
        <v>21925.6055246207</v>
      </c>
      <c r="P81" s="46">
        <f>((($AT81*$AN81+$AO81)*(1+$AV81)*(1+$AW81)+($AY81*IF($G$1="鸣金",$AP81,$AN81)+IF($G$1="鸣金",$AQ81*1.5,0))*(1+$BA81)*(1+$BB81)+($BC81*IF($G$1="裂石",$AP81,$AN81)+IF($G$1="裂石",$AQ81*1.5,0))*(1+$BE81)*(1+$BF81)+($BG81*IF($G$1="牵丝",$AP81,$AN81)+IF($G$1="牵丝",$AQ81*1.5,0))*(1+$BI81)*(1+$BJ81)+($BK81*IF($G$1="破竹",$AP81,$AN81)+IF($G$1="破竹",$AQ81*1.5,0))*(1+$BM81)*(1+$BN81))*(1+$AR81))*$Q81*(1+IF(VLOOKUP($R81,武学奇术!$A:$ZZ,30,FALSE)="蓄力技",$B$21,0))*(1+IF(VLOOKUP($R81,武学奇术!$A:$ZZ,30,FALSE)="派生技",$B$20,0))*(1+$BW81)*(1+$BX81)</f>
        <v>18784.5775040109</v>
      </c>
      <c r="Q81" s="47">
        <f t="shared" si="27"/>
        <v>1</v>
      </c>
      <c r="R81" s="48" t="s">
        <v>122</v>
      </c>
      <c r="S81" s="48" t="s">
        <v>99</v>
      </c>
      <c r="T81" s="48" t="s">
        <v>182</v>
      </c>
      <c r="U81" s="48" t="s">
        <v>79</v>
      </c>
      <c r="V81" s="48" t="s">
        <v>90</v>
      </c>
      <c r="W81" s="48" t="s">
        <v>141</v>
      </c>
      <c r="X81" s="48" t="s">
        <v>80</v>
      </c>
      <c r="Y81" s="48" t="s">
        <v>74</v>
      </c>
      <c r="Z81" s="48" t="s">
        <v>80</v>
      </c>
      <c r="AA81" s="48" t="s">
        <v>80</v>
      </c>
      <c r="AB81" s="48" t="s">
        <v>80</v>
      </c>
      <c r="AC81" s="48" t="s">
        <v>80</v>
      </c>
      <c r="AD81" s="48" t="s">
        <v>80</v>
      </c>
      <c r="AE81" s="48" t="s">
        <v>80</v>
      </c>
      <c r="AF81" s="48" t="s">
        <v>83</v>
      </c>
      <c r="AG81" s="48" t="s">
        <v>84</v>
      </c>
      <c r="AH81" s="48" t="s">
        <v>80</v>
      </c>
      <c r="AI81" s="48" t="s">
        <v>80</v>
      </c>
      <c r="AJ81" s="48" t="s">
        <v>80</v>
      </c>
      <c r="AK81" s="48" t="s">
        <v>80</v>
      </c>
      <c r="AL81" s="48" t="s">
        <v>80</v>
      </c>
      <c r="AM81" t="str">
        <f>VLOOKUP($R81,武学奇术!$A:$ZZ,25,FALSE)</f>
        <v>横刀</v>
      </c>
      <c r="AN81" s="33">
        <f>VLOOKUP($R81,武学奇术!$A:$ZZ,26,FALSE)</f>
        <v>1.47</v>
      </c>
      <c r="AO81" s="34">
        <f>VLOOKUP($R81,武学奇术!$A:$ZZ,27,FALSE)*(1+IF(OR($AM81=$F$4,$AM81=$F$5),$B$22,0))</f>
        <v>0</v>
      </c>
      <c r="AP81" s="33">
        <f>VLOOKUP($R81,武学奇术!$A:$ZZ,28,FALSE)</f>
        <v>2.205</v>
      </c>
      <c r="AQ81" s="34">
        <f>VLOOKUP($R81,武学奇术!$A:$ZZ,29,FALSE)*(1+IF(OR($AM81=$F$4,$AM81=$F$5),$B$22,0))</f>
        <v>0</v>
      </c>
      <c r="AR81" s="33" cm="1">
        <f t="array" ref="AR81">$G$3+IFERROR(VLOOKUP($AM81,$F$4:$G$7,2,FALSE),0)+VLOOKUP($R81,武学奇术!$A:$ZZ,2,FALSE)+SUM(_xlfn.XLOOKUP($S81:$AL81,增益!$A:$A,增益!$B:$B,0))</f>
        <v>0.5289</v>
      </c>
      <c r="AS81" s="33" cm="1">
        <f t="array" ref="AS81">VLOOKUP($R81,武学奇术!$A:$ZZ,5,FALSE)+SUM(_xlfn.XLOOKUP($S81:$AL81,增益!$A:$A,增益!$E:$E,0))</f>
        <v>0</v>
      </c>
      <c r="AT81" cm="1">
        <f t="array" ref="AT81">$D$10*(1+$AS81)+VLOOKUP($R81,武学奇术!$A:$ZZ,3,FALSE)+SUM(_xlfn.XLOOKUP($S81:$AL81,增益!$A:$A,增益!$C:$C,0))-$I$2</f>
        <v>4026</v>
      </c>
      <c r="AU81" cm="1">
        <f t="array" ref="AU81">$E$10*(1+$AS81)+VLOOKUP($R81,武学奇术!$A:$ZZ,4,FALSE)+SUM(_xlfn.XLOOKUP($S81:$AL81,增益!$A:$A,增益!$D:$D,0))-$I$2</f>
        <v>4026</v>
      </c>
      <c r="AV81" s="40" cm="1">
        <f t="array" ref="AV81">IF($F$10-$I$3+VLOOKUP($R81,武学奇术!$A:$ZZ,6,FALSE)+SUM(_xlfn.XLOOKUP($S81:$AL81,增益!$A:$A,增益!$F:$F,0))&gt;0,($F$10-$I$3+VLOOKUP($R81,武学奇术!$A:$ZZ,6,FALSE)+SUM(_xlfn.XLOOKUP($S81:$AL81,增益!$A:$A,增益!$F:$F,0)))/200,($F$10-$I$3+VLOOKUP($R81,武学奇术!$A:$ZZ,6,FALSE)+SUM(_xlfn.XLOOKUP($S81:$AL81,增益!$A:$A,增益!$F:$F,0)))/100)</f>
        <v>0.3534</v>
      </c>
      <c r="AW81" s="40" cm="1">
        <f t="array" ref="AW81">$G$10+VLOOKUP($R81,武学奇术!$A:$ZZ,7,FALSE)+SUM(_xlfn.XLOOKUP($S81:$AL81,增益!$A:$A,增益!$G:$G,0))</f>
        <v>0.12</v>
      </c>
      <c r="AX81" s="33" cm="1">
        <f t="array" ref="AX81">VLOOKUP($R81,武学奇术!$A:$ZZ,8,FALSE)+SUM(_xlfn.XLOOKUP($S81:$AL81,增益!$A:$A,增益!$H:$H,0))</f>
        <v>0</v>
      </c>
      <c r="AY81">
        <f t="shared" si="15"/>
        <v>0</v>
      </c>
      <c r="AZ81">
        <f t="shared" si="16"/>
        <v>0</v>
      </c>
      <c r="BA81" s="40" cm="1">
        <f t="array" ref="BA81">IF($F$11-$I$4+VLOOKUP($R81,武学奇术!$A:$ZZ,9,FALSE)+SUM(_xlfn.XLOOKUP($S81:$AL81,增益!$A:$A,增益!$I:$I,0))&gt;0,($F$11-$I$4+VLOOKUP($R81,武学奇术!$A:$ZZ,9,FALSE)+SUM(_xlfn.XLOOKUP($S81:$AL81,增益!$A:$A,增益!$I:$I,0)))/200,($F$11-$I$4+VLOOKUP($R81,武学奇术!$A:$ZZ,9,FALSE)+SUM(_xlfn.XLOOKUP($S81:$AL81,增益!$A:$A,增益!$I:$I,0)))/100)</f>
        <v>-0.14</v>
      </c>
      <c r="BB81" s="40" cm="1">
        <f t="array" ref="BB81">$G$11+VLOOKUP($R81,武学奇术!$A:$ZZ,10,FALSE)+SUM(_xlfn.XLOOKUP($S81:$AL81,增益!$A:$A,增益!$J:$J,0))</f>
        <v>0</v>
      </c>
      <c r="BC81">
        <f t="shared" si="17"/>
        <v>640.3</v>
      </c>
      <c r="BD81">
        <f t="shared" si="18"/>
        <v>1770.1</v>
      </c>
      <c r="BE81" s="40" cm="1">
        <f t="array" ref="BE81">IF($F$12-$I$4+VLOOKUP($R81,武学奇术!$A:$ZZ,11,FALSE)+SUM(_xlfn.XLOOKUP($S81:$AL81,增益!$A:$A,增益!$K:$K,0))&gt;0,($F$12-$I$4+VLOOKUP($R81,武学奇术!$A:$ZZ,11,FALSE)+SUM(_xlfn.XLOOKUP($S81:$AL81,增益!$A:$A,增益!$K:$K,0)))/200,($F$12-$I$4+VLOOKUP($R81,武学奇术!$A:$ZZ,11,FALSE)+SUM(_xlfn.XLOOKUP($S81:$AL81,增益!$A:$A,增益!$K:$K,0)))/100)</f>
        <v>0.17</v>
      </c>
      <c r="BF81" s="40" cm="1">
        <f t="array" ref="BF81">$G$12+VLOOKUP($R81,武学奇术!$A:$ZZ,12,FALSE)+SUM(_xlfn.XLOOKUP($S81:$AL81,增益!$A:$A,增益!$L:$L,0))</f>
        <v>0.27</v>
      </c>
      <c r="BG81">
        <f t="shared" si="19"/>
        <v>0</v>
      </c>
      <c r="BH81">
        <f t="shared" si="20"/>
        <v>0</v>
      </c>
      <c r="BI81" s="40" cm="1">
        <f t="array" ref="BI81">IF($F$13-$I$4+VLOOKUP($R81,武学奇术!$A:$ZZ,13,FALSE)+SUM(_xlfn.XLOOKUP($S81:$AL81,增益!$A:$A,增益!$M:$M,0))&gt;0,($F$13-$I$4+VLOOKUP($R81,武学奇术!$A:$ZZ,13,FALSE)+SUM(_xlfn.XLOOKUP($S81:$AL81,增益!$A:$A,增益!$K:$K,0)))/200,($F$13-$I$4+VLOOKUP($R81,武学奇术!$A:$ZZ,13,FALSE)+SUM(_xlfn.XLOOKUP($S81:$AL81,增益!$A:$A,增益!$M:$M,0)))/100)</f>
        <v>-0.14</v>
      </c>
      <c r="BJ81" s="40" cm="1">
        <f t="array" ref="BJ81">$G$13+VLOOKUP($R81,武学奇术!$A:$ZZ,14,FALSE)+SUM(_xlfn.XLOOKUP($S81:$AL81,增益!$A:$A,增益!$N:$N,0))</f>
        <v>0</v>
      </c>
      <c r="BK81">
        <f t="shared" si="21"/>
        <v>0</v>
      </c>
      <c r="BL81">
        <f t="shared" si="22"/>
        <v>0</v>
      </c>
      <c r="BM81" s="40" cm="1">
        <f t="array" ref="BM81">IF($F$14-$I$4+VLOOKUP($R81,武学奇术!$A:$ZZ,15,FALSE)+SUM(_xlfn.XLOOKUP($S81:$AL81,增益!$A:$A,增益!$O:$O,0))&gt;0,($F$14-$I$4+VLOOKUP($R81,武学奇术!$A:$ZZ,15,FALSE)+SUM(_xlfn.XLOOKUP($S81:$AL81,增益!$A:$A,增益!$O:$O,0)))/200,($F$14-$I$4+VLOOKUP($R81,武学奇术!$A:$ZZ,15,FALSE)+SUM(_xlfn.XLOOKUP($S81:$AL81,增益!$A:$A,增益!$O:$O,0)))/100)</f>
        <v>-0.14</v>
      </c>
      <c r="BN81" s="40" cm="1">
        <f t="array" ref="BN81">$G$14+VLOOKUP($R81,武学奇术!$A:$ZZ,16,FALSE)+SUM(_xlfn.XLOOKUP($S81:$AL81,增益!$A:$A,增益!$P:$P,0))</f>
        <v>0</v>
      </c>
      <c r="BO81" s="33">
        <f>MIN(IF(VLOOKUP($R81,武学奇术!$A:$ZZ,23,FALSE)=1,100%,$B$8),100%)</f>
        <v>0.9771</v>
      </c>
      <c r="BP81" s="33" cm="1">
        <f t="array" ref="BP81">IF(VLOOKUP($R81,武学奇术!$A:$ZZ,23,FALSE)=1,100%,MIN(80%,$B$9+VLOOKUP($R81,武学奇术!$A:$ZZ,17,FALSE)+SUM(_xlfn.XLOOKUP($S81:$AL81,增益!$A:$A,增益!$Q:$Q,0)))+$B$11+SUM(_xlfn.XLOOKUP($S81:$AL81,增益!$A:$A,增益!$U:$U,0)))*IF(VLOOKUP($R81,武学奇术!$A:$ZZ,24,FALSE)=1,0,1)</f>
        <v>0.8861</v>
      </c>
      <c r="BQ81" s="33" cm="1">
        <f t="array" ref="BQ81">1+$B$13+VLOOKUP($R81,武学奇术!$A:$ZZ,18,FALSE)+SUM(_xlfn.XLOOKUP($S81:$AL81,增益!$A:$A,增益!$R:$R,0))</f>
        <v>2</v>
      </c>
      <c r="BR81" s="33" cm="1">
        <f t="array" ref="BR81">IF(VLOOKUP($R81,武学奇术!$A:$ZZ,24,FALSE)=1,100%,MIN(40%,$B$10+VLOOKUP($R81,武学奇术!$A:$ZZ,19,FALSE)+SUM(_xlfn.XLOOKUP($S81:$AL81,增益!$A:$A,增益!$S:$S,0)))+$B$12+SUM(_xlfn.XLOOKUP($S81:$AL81,增益!$A:$A,增益!$V:$V,0)))*IF(VLOOKUP($R81,武学奇术!$A:$ZZ,23,FALSE)=1,0,1)</f>
        <v>0.0913</v>
      </c>
      <c r="BS81" s="33" cm="1">
        <f t="array" ref="BS81">1+$B$14+VLOOKUP($R81,武学奇术!$A:$ZZ,20,FALSE)+SUM(_xlfn.XLOOKUP($S81:$AL81,增益!$A:$A,增益!$T:$T,0))</f>
        <v>1.35</v>
      </c>
      <c r="BT81" s="33">
        <f t="shared" si="23"/>
        <v>0.86580831</v>
      </c>
      <c r="BU81" s="33">
        <f t="shared" si="24"/>
        <v>0.02208246</v>
      </c>
      <c r="BV81" s="33">
        <f>IF(VLOOKUP($R81,武学奇术!$A:$ZZ,22,FALSE)=1,0,(1-$BO81))*(1-$BR81)</f>
        <v>0.02080923</v>
      </c>
      <c r="BW81" s="33" cm="1">
        <f t="array" ref="BW81">SUM(_xlfn.XLOOKUP($S81:$AL81,增益!$A:$A,增益!$W:$W,0))+$I$5</f>
        <v>0.11</v>
      </c>
      <c r="BX81" s="33" cm="1">
        <f t="array" ref="BX81">VLOOKUP($R81,武学奇术!$A:$ZZ,32,FALSE)+SUM(_xlfn.XLOOKUP($S81:$AL81,增益!$A:$A,增益!$X:$X,0))</f>
        <v>0</v>
      </c>
    </row>
    <row r="82" spans="1:76">
      <c r="A82" s="4"/>
      <c r="B82" s="4"/>
      <c r="L82" s="46">
        <f t="shared" si="14"/>
        <v>20881.3097712756</v>
      </c>
      <c r="M82" s="46">
        <f>((($AT82+$AU82)/2*$AN82+$AO82)*(1+$AV82)*(1+$AW82)+(($AY82+$AZ82)/2*IF($G$1="鸣金",$AP82,$AN82)+IF($G$1="鸣金",$AQ82*1.5,0))*(1+$BA82)*(1+$BB82)+(($BC82+$BD82)/2*IF($G$1="裂石",$AP82,$AN82)+IF($G$1="裂石",$AQ82*1.5,0))*(1+$BE82)*(1+$BF82)+(($BG82+$BH82)/2*IF($G$1="牵丝",$AP82,$AN82)+IF($G$1="牵丝",$AQ82*1.5,0))*(1+$BI82)*(1+$BJ82)+(($BK82+$BL82)/2*IF($G$1="破竹",$AP82,$AN82)+IF($G$1="破竹",$AQ82*1.5,0))*(1+$BM82)*(1+$BN82))*(1+$AR82)*$BQ82*$Q82*(1+IF(VLOOKUP($R82,武学奇术!$A:$ZZ,30,FALSE)="蓄力技",$B$21,0))*(1+IF(VLOOKUP($R82,武学奇术!$A:$ZZ,30,FALSE)="派生技",$B$20,0))*(1+$BW82)*(1+$BX82)</f>
        <v>21837.3542607106</v>
      </c>
      <c r="N82" s="46">
        <f>(($AU82*$AN82+$AO82)*(1+$AV82)*(1+$AW82)+($AZ82*IF($G$1="鸣金",$AP82,$AN82)+IF($G$1="鸣金",$AQ82*1.5,0))*(1+$BA82)*(1+$BB82)+($BD82*IF($G$1="裂石",$AP82,$AN82)+IF($G$1="裂石",$AQ82*1.5,0))*(1+$BE82)*(1+$BF82)+($BH82*IF($G$1="牵丝",$AP82,$AN82)+IF($G$1="牵丝",$AQ82*1.5,0))*(1+$BI82)*(1+$BJ82)+($BL82*IF($G$1="破竹",$AP82,$AN82)+IF($G$1="破竹",$AQ82*1.5,0))*(1+$BM82)*(1+$BN82))*(1+$AR82)*$BS82*$Q82*(1+IF(VLOOKUP($R82,武学奇术!$A:$ZZ,30,FALSE)="蓄力技",$B$21,0))*(1+IF(VLOOKUP($R82,武学奇术!$A:$ZZ,30,FALSE)="派生技",$B$20,0))*(1+$BW82)*(1+$BX82)</f>
        <v>16851.8741915363</v>
      </c>
      <c r="O82" s="46">
        <f>((($AT82+$AU82)/2*$AN82+$AO82)*(1+$AV82)*(1+$AW82)+(($AY82+$AZ82)/2*IF($G$1="鸣金",$AP82,$AN82)+IF($G$1="鸣金",$AQ82*1.5,0))*(1+$BA82)*(1+$BB82)+(($BC82+$BD82)/2*IF($G$1="裂石",$AP82,$AN82)+IF($G$1="裂石",$AQ82*1.5,0))*(1+$BE82)*(1+$BF82)+(($BG82+$BH82)/2*IF($G$1="牵丝",$AP82,$AN82)+IF($G$1="牵丝",$AQ82*1.5,0))*(1+$BI82)*(1+$BJ82)+(($BK82+$BL82)/2*IF($G$1="破竹",$AP82,$AN82)+IF($G$1="破竹",$AQ82*1.5,0))*(1+$BM82)*(1+$BN82))*(1+$AR82)*$Q82*(1+IF(VLOOKUP($R82,武学奇术!$A:$ZZ,30,FALSE)="蓄力技",$B$21,0))*(1+IF(VLOOKUP($R82,武学奇术!$A:$ZZ,30,FALSE)="派生技",$B$20,0))*(1+$BW82)*(1+$BX82)</f>
        <v>10918.6771303553</v>
      </c>
      <c r="P82" s="46">
        <f>((($AT82*$AN82+$AO82)*(1+$AV82)*(1+$AW82)+($AY82*IF($G$1="鸣金",$AP82,$AN82)+IF($G$1="鸣金",$AQ82*1.5,0))*(1+$BA82)*(1+$BB82)+($BC82*IF($G$1="裂石",$AP82,$AN82)+IF($G$1="裂石",$AQ82*1.5,0))*(1+$BE82)*(1+$BF82)+($BG82*IF($G$1="牵丝",$AP82,$AN82)+IF($G$1="牵丝",$AQ82*1.5,0))*(1+$BI82)*(1+$BJ82)+($BK82*IF($G$1="破竹",$AP82,$AN82)+IF($G$1="破竹",$AQ82*1.5,0))*(1+$BM82)*(1+$BN82))*(1+$AR82))*$Q82*(1+IF(VLOOKUP($R82,武学奇术!$A:$ZZ,30,FALSE)="蓄力技",$B$21,0))*(1+IF(VLOOKUP($R82,武学奇术!$A:$ZZ,30,FALSE)="派生技",$B$20,0))*(1+$BW82)*(1+$BX82)</f>
        <v>9354.48448920223</v>
      </c>
      <c r="Q82" s="47">
        <f t="shared" si="27"/>
        <v>1</v>
      </c>
      <c r="R82" s="48" t="s">
        <v>140</v>
      </c>
      <c r="S82" s="48" t="s">
        <v>99</v>
      </c>
      <c r="T82" s="48" t="s">
        <v>182</v>
      </c>
      <c r="U82" s="48" t="s">
        <v>79</v>
      </c>
      <c r="V82" s="48" t="s">
        <v>90</v>
      </c>
      <c r="W82" s="48" t="s">
        <v>141</v>
      </c>
      <c r="X82" s="48" t="s">
        <v>80</v>
      </c>
      <c r="Y82" s="48" t="s">
        <v>74</v>
      </c>
      <c r="Z82" s="48" t="s">
        <v>80</v>
      </c>
      <c r="AA82" s="48" t="s">
        <v>80</v>
      </c>
      <c r="AB82" s="48" t="s">
        <v>80</v>
      </c>
      <c r="AC82" s="48" t="s">
        <v>80</v>
      </c>
      <c r="AD82" s="48" t="s">
        <v>80</v>
      </c>
      <c r="AE82" s="48" t="s">
        <v>80</v>
      </c>
      <c r="AF82" s="48" t="s">
        <v>83</v>
      </c>
      <c r="AG82" s="48" t="s">
        <v>84</v>
      </c>
      <c r="AH82" s="48" t="s">
        <v>80</v>
      </c>
      <c r="AI82" s="48" t="s">
        <v>80</v>
      </c>
      <c r="AJ82" s="48" t="s">
        <v>80</v>
      </c>
      <c r="AK82" s="48" t="s">
        <v>80</v>
      </c>
      <c r="AL82" s="48" t="s">
        <v>80</v>
      </c>
      <c r="AM82" t="str">
        <f>VLOOKUP($R82,武学奇术!$A:$ZZ,25,FALSE)</f>
        <v>陌刀</v>
      </c>
      <c r="AN82" s="33">
        <f>VLOOKUP($R82,武学奇术!$A:$ZZ,26,FALSE)</f>
        <v>0.525</v>
      </c>
      <c r="AO82" s="34">
        <f>VLOOKUP($R82,武学奇术!$A:$ZZ,27,FALSE)*(1+IF(OR($AM82=$F$4,$AM82=$F$5),$B$22,0))</f>
        <v>0</v>
      </c>
      <c r="AP82" s="33">
        <f>VLOOKUP($R82,武学奇术!$A:$ZZ,28,FALSE)</f>
        <v>0.7875</v>
      </c>
      <c r="AQ82" s="34">
        <f>VLOOKUP($R82,武学奇术!$A:$ZZ,29,FALSE)*(1+IF(OR($AM82=$F$4,$AM82=$F$5),$B$22,0))</f>
        <v>0</v>
      </c>
      <c r="AR82" s="33" cm="1">
        <f t="array" ref="AR82">$G$3+IFERROR(VLOOKUP($AM82,$F$4:$G$7,2,FALSE),0)+VLOOKUP($R82,武学奇术!$A:$ZZ,2,FALSE)+SUM(_xlfn.XLOOKUP($S82:$AL82,增益!$A:$A,增益!$B:$B,0))</f>
        <v>0.6143</v>
      </c>
      <c r="AS82" s="33" cm="1">
        <f t="array" ref="AS82">VLOOKUP($R82,武学奇术!$A:$ZZ,5,FALSE)+SUM(_xlfn.XLOOKUP($S82:$AL82,增益!$A:$A,增益!$E:$E,0))</f>
        <v>0</v>
      </c>
      <c r="AT82" cm="1">
        <f t="array" ref="AT82">$D$10*(1+$AS82)+VLOOKUP($R82,武学奇术!$A:$ZZ,3,FALSE)+SUM(_xlfn.XLOOKUP($S82:$AL82,增益!$A:$A,增益!$C:$C,0))-$I$2</f>
        <v>4026</v>
      </c>
      <c r="AU82" cm="1">
        <f t="array" ref="AU82">$E$10*(1+$AS82)+VLOOKUP($R82,武学奇术!$A:$ZZ,4,FALSE)+SUM(_xlfn.XLOOKUP($S82:$AL82,增益!$A:$A,增益!$D:$D,0))-$I$2</f>
        <v>4026</v>
      </c>
      <c r="AV82" s="40" cm="1">
        <f t="array" ref="AV82">IF($F$10-$I$3+VLOOKUP($R82,武学奇术!$A:$ZZ,6,FALSE)+SUM(_xlfn.XLOOKUP($S82:$AL82,增益!$A:$A,增益!$F:$F,0))&gt;0,($F$10-$I$3+VLOOKUP($R82,武学奇术!$A:$ZZ,6,FALSE)+SUM(_xlfn.XLOOKUP($S82:$AL82,增益!$A:$A,增益!$F:$F,0)))/200,($F$10-$I$3+VLOOKUP($R82,武学奇术!$A:$ZZ,6,FALSE)+SUM(_xlfn.XLOOKUP($S82:$AL82,增益!$A:$A,增益!$F:$F,0)))/100)</f>
        <v>0.3534</v>
      </c>
      <c r="AW82" s="40" cm="1">
        <f t="array" ref="AW82">$G$10+VLOOKUP($R82,武学奇术!$A:$ZZ,7,FALSE)+SUM(_xlfn.XLOOKUP($S82:$AL82,增益!$A:$A,增益!$G:$G,0))</f>
        <v>0.12</v>
      </c>
      <c r="AX82" s="33" cm="1">
        <f t="array" ref="AX82">VLOOKUP($R82,武学奇术!$A:$ZZ,8,FALSE)+SUM(_xlfn.XLOOKUP($S82:$AL82,增益!$A:$A,增益!$H:$H,0))</f>
        <v>0</v>
      </c>
      <c r="AY82">
        <f t="shared" si="15"/>
        <v>0</v>
      </c>
      <c r="AZ82">
        <f t="shared" si="16"/>
        <v>0</v>
      </c>
      <c r="BA82" s="40" cm="1">
        <f t="array" ref="BA82">IF($F$11-$I$4+VLOOKUP($R82,武学奇术!$A:$ZZ,9,FALSE)+SUM(_xlfn.XLOOKUP($S82:$AL82,增益!$A:$A,增益!$I:$I,0))&gt;0,($F$11-$I$4+VLOOKUP($R82,武学奇术!$A:$ZZ,9,FALSE)+SUM(_xlfn.XLOOKUP($S82:$AL82,增益!$A:$A,增益!$I:$I,0)))/200,($F$11-$I$4+VLOOKUP($R82,武学奇术!$A:$ZZ,9,FALSE)+SUM(_xlfn.XLOOKUP($S82:$AL82,增益!$A:$A,增益!$I:$I,0)))/100)</f>
        <v>-0.14</v>
      </c>
      <c r="BB82" s="40" cm="1">
        <f t="array" ref="BB82">$G$11+VLOOKUP($R82,武学奇术!$A:$ZZ,10,FALSE)+SUM(_xlfn.XLOOKUP($S82:$AL82,增益!$A:$A,增益!$J:$J,0))</f>
        <v>0</v>
      </c>
      <c r="BC82">
        <f t="shared" si="17"/>
        <v>640.3</v>
      </c>
      <c r="BD82">
        <f t="shared" si="18"/>
        <v>1770.1</v>
      </c>
      <c r="BE82" s="40" cm="1">
        <f t="array" ref="BE82">IF($F$12-$I$4+VLOOKUP($R82,武学奇术!$A:$ZZ,11,FALSE)+SUM(_xlfn.XLOOKUP($S82:$AL82,增益!$A:$A,增益!$K:$K,0))&gt;0,($F$12-$I$4+VLOOKUP($R82,武学奇术!$A:$ZZ,11,FALSE)+SUM(_xlfn.XLOOKUP($S82:$AL82,增益!$A:$A,增益!$K:$K,0)))/200,($F$12-$I$4+VLOOKUP($R82,武学奇术!$A:$ZZ,11,FALSE)+SUM(_xlfn.XLOOKUP($S82:$AL82,增益!$A:$A,增益!$K:$K,0)))/100)</f>
        <v>0.17</v>
      </c>
      <c r="BF82" s="40" cm="1">
        <f t="array" ref="BF82">$G$12+VLOOKUP($R82,武学奇术!$A:$ZZ,12,FALSE)+SUM(_xlfn.XLOOKUP($S82:$AL82,增益!$A:$A,增益!$L:$L,0))</f>
        <v>0.27</v>
      </c>
      <c r="BG82">
        <f t="shared" si="19"/>
        <v>0</v>
      </c>
      <c r="BH82">
        <f t="shared" si="20"/>
        <v>0</v>
      </c>
      <c r="BI82" s="40" cm="1">
        <f t="array" ref="BI82">IF($F$13-$I$4+VLOOKUP($R82,武学奇术!$A:$ZZ,13,FALSE)+SUM(_xlfn.XLOOKUP($S82:$AL82,增益!$A:$A,增益!$M:$M,0))&gt;0,($F$13-$I$4+VLOOKUP($R82,武学奇术!$A:$ZZ,13,FALSE)+SUM(_xlfn.XLOOKUP($S82:$AL82,增益!$A:$A,增益!$K:$K,0)))/200,($F$13-$I$4+VLOOKUP($R82,武学奇术!$A:$ZZ,13,FALSE)+SUM(_xlfn.XLOOKUP($S82:$AL82,增益!$A:$A,增益!$M:$M,0)))/100)</f>
        <v>-0.14</v>
      </c>
      <c r="BJ82" s="40" cm="1">
        <f t="array" ref="BJ82">$G$13+VLOOKUP($R82,武学奇术!$A:$ZZ,14,FALSE)+SUM(_xlfn.XLOOKUP($S82:$AL82,增益!$A:$A,增益!$N:$N,0))</f>
        <v>0</v>
      </c>
      <c r="BK82">
        <f t="shared" si="21"/>
        <v>0</v>
      </c>
      <c r="BL82">
        <f t="shared" si="22"/>
        <v>0</v>
      </c>
      <c r="BM82" s="40" cm="1">
        <f t="array" ref="BM82">IF($F$14-$I$4+VLOOKUP($R82,武学奇术!$A:$ZZ,15,FALSE)+SUM(_xlfn.XLOOKUP($S82:$AL82,增益!$A:$A,增益!$O:$O,0))&gt;0,($F$14-$I$4+VLOOKUP($R82,武学奇术!$A:$ZZ,15,FALSE)+SUM(_xlfn.XLOOKUP($S82:$AL82,增益!$A:$A,增益!$O:$O,0)))/200,($F$14-$I$4+VLOOKUP($R82,武学奇术!$A:$ZZ,15,FALSE)+SUM(_xlfn.XLOOKUP($S82:$AL82,增益!$A:$A,增益!$O:$O,0)))/100)</f>
        <v>-0.14</v>
      </c>
      <c r="BN82" s="40" cm="1">
        <f t="array" ref="BN82">$G$14+VLOOKUP($R82,武学奇术!$A:$ZZ,16,FALSE)+SUM(_xlfn.XLOOKUP($S82:$AL82,增益!$A:$A,增益!$P:$P,0))</f>
        <v>0</v>
      </c>
      <c r="BO82" s="33">
        <f>MIN(IF(VLOOKUP($R82,武学奇术!$A:$ZZ,23,FALSE)=1,100%,$B$8),100%)</f>
        <v>0.9771</v>
      </c>
      <c r="BP82" s="33" cm="1">
        <f t="array" ref="BP82">IF(VLOOKUP($R82,武学奇术!$A:$ZZ,23,FALSE)=1,100%,MIN(80%,$B$9+VLOOKUP($R82,武学奇术!$A:$ZZ,17,FALSE)+SUM(_xlfn.XLOOKUP($S82:$AL82,增益!$A:$A,增益!$Q:$Q,0)))+$B$11+SUM(_xlfn.XLOOKUP($S82:$AL82,增益!$A:$A,增益!$U:$U,0)))*IF(VLOOKUP($R82,武学奇术!$A:$ZZ,24,FALSE)=1,0,1)</f>
        <v>0.8861</v>
      </c>
      <c r="BQ82" s="33" cm="1">
        <f t="array" ref="BQ82">1+$B$13+VLOOKUP($R82,武学奇术!$A:$ZZ,18,FALSE)+SUM(_xlfn.XLOOKUP($S82:$AL82,增益!$A:$A,增益!$R:$R,0))</f>
        <v>2</v>
      </c>
      <c r="BR82" s="33" cm="1">
        <f t="array" ref="BR82">IF(VLOOKUP($R82,武学奇术!$A:$ZZ,24,FALSE)=1,100%,MIN(40%,$B$10+VLOOKUP($R82,武学奇术!$A:$ZZ,19,FALSE)+SUM(_xlfn.XLOOKUP($S82:$AL82,增益!$A:$A,增益!$S:$S,0)))+$B$12+SUM(_xlfn.XLOOKUP($S82:$AL82,增益!$A:$A,增益!$V:$V,0)))*IF(VLOOKUP($R82,武学奇术!$A:$ZZ,23,FALSE)=1,0,1)</f>
        <v>0.0913</v>
      </c>
      <c r="BS82" s="33" cm="1">
        <f t="array" ref="BS82">1+$B$14+VLOOKUP($R82,武学奇术!$A:$ZZ,20,FALSE)+SUM(_xlfn.XLOOKUP($S82:$AL82,增益!$A:$A,增益!$T:$T,0))</f>
        <v>1.35</v>
      </c>
      <c r="BT82" s="33">
        <f t="shared" si="23"/>
        <v>0.86580831</v>
      </c>
      <c r="BU82" s="33">
        <f t="shared" si="24"/>
        <v>0.02208246</v>
      </c>
      <c r="BV82" s="33">
        <f>IF(VLOOKUP($R82,武学奇术!$A:$ZZ,22,FALSE)=1,0,(1-$BO82))*(1-$BR82)</f>
        <v>0.02080923</v>
      </c>
      <c r="BW82" s="33" cm="1">
        <f t="array" ref="BW82">SUM(_xlfn.XLOOKUP($S82:$AL82,增益!$A:$A,增益!$W:$W,0))+$I$5</f>
        <v>0.11</v>
      </c>
      <c r="BX82" s="33" cm="1">
        <f t="array" ref="BX82">VLOOKUP($R82,武学奇术!$A:$ZZ,32,FALSE)+SUM(_xlfn.XLOOKUP($S82:$AL82,增益!$A:$A,增益!$X:$X,0))</f>
        <v>0</v>
      </c>
    </row>
    <row r="83" spans="1:76">
      <c r="A83" s="4"/>
      <c r="B83" s="4"/>
      <c r="L83" s="46">
        <f t="shared" si="14"/>
        <v>41272.599552743</v>
      </c>
      <c r="M83" s="46">
        <f>((($AT83+$AU83)/2*$AN83+$AO83)*(1+$AV83)*(1+$AW83)+(($AY83+$AZ83)/2*IF($G$1="鸣金",$AP83,$AN83)+IF($G$1="鸣金",$AQ83*1.5,0))*(1+$BA83)*(1+$BB83)+(($BC83+$BD83)/2*IF($G$1="裂石",$AP83,$AN83)+IF($G$1="裂石",$AQ83*1.5,0))*(1+$BE83)*(1+$BF83)+(($BG83+$BH83)/2*IF($G$1="牵丝",$AP83,$AN83)+IF($G$1="牵丝",$AQ83*1.5,0))*(1+$BI83)*(1+$BJ83)+(($BK83+$BL83)/2*IF($G$1="破竹",$AP83,$AN83)+IF($G$1="破竹",$AQ83*1.5,0))*(1+$BM83)*(1+$BN83))*(1+$AR83)*$BQ83*$Q83*(1+IF(VLOOKUP($R83,武学奇术!$A:$ZZ,30,FALSE)="蓄力技",$B$21,0))*(1+IF(VLOOKUP($R83,武学奇术!$A:$ZZ,30,FALSE)="派生技",$B$20,0))*(1+$BW83)*(1+$BX83)</f>
        <v>41272.599552743</v>
      </c>
      <c r="N83" s="46">
        <f>(($AU83*$AN83+$AO83)*(1+$AV83)*(1+$AW83)+($AZ83*IF($G$1="鸣金",$AP83,$AN83)+IF($G$1="鸣金",$AQ83*1.5,0))*(1+$BA83)*(1+$BB83)+($BD83*IF($G$1="裂石",$AP83,$AN83)+IF($G$1="裂石",$AQ83*1.5,0))*(1+$BE83)*(1+$BF83)+($BH83*IF($G$1="牵丝",$AP83,$AN83)+IF($G$1="牵丝",$AQ83*1.5,0))*(1+$BI83)*(1+$BJ83)+($BL83*IF($G$1="破竹",$AP83,$AN83)+IF($G$1="破竹",$AQ83*1.5,0))*(1+$BM83)*(1+$BN83))*(1+$AR83)*$BS83*$Q83*(1+IF(VLOOKUP($R83,武学奇术!$A:$ZZ,30,FALSE)="蓄力技",$B$21,0))*(1+IF(VLOOKUP($R83,武学奇术!$A:$ZZ,30,FALSE)="派生技",$B$20,0))*(1+$BW83)*(1+$BX83)</f>
        <v>30333.3735447654</v>
      </c>
      <c r="O83" s="46">
        <f>((($AT83+$AU83)/2*$AN83+$AO83)*(1+$AV83)*(1+$AW83)+(($AY83+$AZ83)/2*IF($G$1="鸣金",$AP83,$AN83)+IF($G$1="鸣金",$AQ83*1.5,0))*(1+$BA83)*(1+$BB83)+(($BC83+$BD83)/2*IF($G$1="裂石",$AP83,$AN83)+IF($G$1="裂石",$AQ83*1.5,0))*(1+$BE83)*(1+$BF83)+(($BG83+$BH83)/2*IF($G$1="牵丝",$AP83,$AN83)+IF($G$1="牵丝",$AQ83*1.5,0))*(1+$BI83)*(1+$BJ83)+(($BK83+$BL83)/2*IF($G$1="破竹",$AP83,$AN83)+IF($G$1="破竹",$AQ83*1.5,0))*(1+$BM83)*(1+$BN83))*(1+$AR83)*$Q83*(1+IF(VLOOKUP($R83,武学奇术!$A:$ZZ,30,FALSE)="蓄力技",$B$21,0))*(1+IF(VLOOKUP($R83,武学奇术!$A:$ZZ,30,FALSE)="派生技",$B$20,0))*(1+$BW83)*(1+$BX83)</f>
        <v>19653.6188346395</v>
      </c>
      <c r="P83" s="46">
        <f>((($AT83*$AN83+$AO83)*(1+$AV83)*(1+$AW83)+($AY83*IF($G$1="鸣金",$AP83,$AN83)+IF($G$1="鸣金",$AQ83*1.5,0))*(1+$BA83)*(1+$BB83)+($BC83*IF($G$1="裂石",$AP83,$AN83)+IF($G$1="裂石",$AQ83*1.5,0))*(1+$BE83)*(1+$BF83)+($BG83*IF($G$1="牵丝",$AP83,$AN83)+IF($G$1="牵丝",$AQ83*1.5,0))*(1+$BI83)*(1+$BJ83)+($BK83*IF($G$1="破竹",$AP83,$AN83)+IF($G$1="破竹",$AQ83*1.5,0))*(1+$BM83)*(1+$BN83))*(1+$AR83))*$Q83*(1+IF(VLOOKUP($R83,武学奇术!$A:$ZZ,30,FALSE)="蓄力技",$B$21,0))*(1+IF(VLOOKUP($R83,武学奇术!$A:$ZZ,30,FALSE)="派生技",$B$20,0))*(1+$BW83)*(1+$BX83)</f>
        <v>16838.072080564</v>
      </c>
      <c r="Q83" s="47">
        <f t="shared" si="27"/>
        <v>1</v>
      </c>
      <c r="R83" s="48" t="s">
        <v>144</v>
      </c>
      <c r="S83" s="48" t="s">
        <v>99</v>
      </c>
      <c r="T83" s="48" t="s">
        <v>182</v>
      </c>
      <c r="U83" s="48" t="s">
        <v>79</v>
      </c>
      <c r="V83" s="48" t="s">
        <v>90</v>
      </c>
      <c r="W83" s="48" t="s">
        <v>141</v>
      </c>
      <c r="X83" s="48" t="s">
        <v>145</v>
      </c>
      <c r="Y83" s="48" t="s">
        <v>74</v>
      </c>
      <c r="Z83" s="48" t="s">
        <v>80</v>
      </c>
      <c r="AA83" s="48" t="s">
        <v>80</v>
      </c>
      <c r="AB83" s="48" t="s">
        <v>80</v>
      </c>
      <c r="AC83" s="48" t="s">
        <v>80</v>
      </c>
      <c r="AD83" s="48" t="s">
        <v>80</v>
      </c>
      <c r="AE83" s="48" t="s">
        <v>80</v>
      </c>
      <c r="AF83" s="48" t="s">
        <v>83</v>
      </c>
      <c r="AG83" s="48" t="s">
        <v>84</v>
      </c>
      <c r="AH83" s="48" t="s">
        <v>80</v>
      </c>
      <c r="AI83" s="48" t="s">
        <v>80</v>
      </c>
      <c r="AJ83" s="48" t="s">
        <v>80</v>
      </c>
      <c r="AK83" s="48" t="s">
        <v>80</v>
      </c>
      <c r="AL83" s="48" t="s">
        <v>80</v>
      </c>
      <c r="AM83" t="str">
        <f>VLOOKUP($R83,武学奇术!$A:$ZZ,25,FALSE)</f>
        <v>陌刀</v>
      </c>
      <c r="AN83" s="33">
        <f>VLOOKUP($R83,武学奇术!$A:$ZZ,26,FALSE)</f>
        <v>0.945</v>
      </c>
      <c r="AO83" s="34">
        <f>VLOOKUP($R83,武学奇术!$A:$ZZ,27,FALSE)*(1+IF(OR($AM83=$F$4,$AM83=$F$5),$B$22,0))</f>
        <v>0</v>
      </c>
      <c r="AP83" s="33">
        <f>VLOOKUP($R83,武学奇术!$A:$ZZ,28,FALSE)</f>
        <v>1.4175</v>
      </c>
      <c r="AQ83" s="34">
        <f>VLOOKUP($R83,武学奇术!$A:$ZZ,29,FALSE)*(1+IF(OR($AM83=$F$4,$AM83=$F$5),$B$22,0))</f>
        <v>0</v>
      </c>
      <c r="AR83" s="33" cm="1">
        <f t="array" ref="AR83">$G$3+IFERROR(VLOOKUP($AM83,$F$4:$G$7,2,FALSE),0)+VLOOKUP($R83,武学奇术!$A:$ZZ,2,FALSE)+SUM(_xlfn.XLOOKUP($S83:$AL83,增益!$A:$A,增益!$B:$B,0))</f>
        <v>0.6143</v>
      </c>
      <c r="AS83" s="33" cm="1">
        <f t="array" ref="AS83">VLOOKUP($R83,武学奇术!$A:$ZZ,5,FALSE)+SUM(_xlfn.XLOOKUP($S83:$AL83,增益!$A:$A,增益!$E:$E,0))</f>
        <v>0</v>
      </c>
      <c r="AT83" cm="1">
        <f t="array" ref="AT83">$D$10*(1+$AS83)+VLOOKUP($R83,武学奇术!$A:$ZZ,3,FALSE)+SUM(_xlfn.XLOOKUP($S83:$AL83,增益!$A:$A,增益!$C:$C,0))-$I$2</f>
        <v>4026</v>
      </c>
      <c r="AU83" cm="1">
        <f t="array" ref="AU83">$E$10*(1+$AS83)+VLOOKUP($R83,武学奇术!$A:$ZZ,4,FALSE)+SUM(_xlfn.XLOOKUP($S83:$AL83,增益!$A:$A,增益!$D:$D,0))-$I$2</f>
        <v>4026</v>
      </c>
      <c r="AV83" s="40" cm="1">
        <f t="array" ref="AV83">IF($F$10-$I$3+VLOOKUP($R83,武学奇术!$A:$ZZ,6,FALSE)+SUM(_xlfn.XLOOKUP($S83:$AL83,增益!$A:$A,增益!$F:$F,0))&gt;0,($F$10-$I$3+VLOOKUP($R83,武学奇术!$A:$ZZ,6,FALSE)+SUM(_xlfn.XLOOKUP($S83:$AL83,增益!$A:$A,增益!$F:$F,0)))/200,($F$10-$I$3+VLOOKUP($R83,武学奇术!$A:$ZZ,6,FALSE)+SUM(_xlfn.XLOOKUP($S83:$AL83,增益!$A:$A,增益!$F:$F,0)))/100)</f>
        <v>0.3534</v>
      </c>
      <c r="AW83" s="40" cm="1">
        <f t="array" ref="AW83">$G$10+VLOOKUP($R83,武学奇术!$A:$ZZ,7,FALSE)+SUM(_xlfn.XLOOKUP($S83:$AL83,增益!$A:$A,增益!$G:$G,0))</f>
        <v>0.12</v>
      </c>
      <c r="AX83" s="33" cm="1">
        <f t="array" ref="AX83">VLOOKUP($R83,武学奇术!$A:$ZZ,8,FALSE)+SUM(_xlfn.XLOOKUP($S83:$AL83,增益!$A:$A,增益!$H:$H,0))</f>
        <v>0</v>
      </c>
      <c r="AY83">
        <f t="shared" si="15"/>
        <v>0</v>
      </c>
      <c r="AZ83">
        <f t="shared" si="16"/>
        <v>0</v>
      </c>
      <c r="BA83" s="40" cm="1">
        <f t="array" ref="BA83">IF($F$11-$I$4+VLOOKUP($R83,武学奇术!$A:$ZZ,9,FALSE)+SUM(_xlfn.XLOOKUP($S83:$AL83,增益!$A:$A,增益!$I:$I,0))&gt;0,($F$11-$I$4+VLOOKUP($R83,武学奇术!$A:$ZZ,9,FALSE)+SUM(_xlfn.XLOOKUP($S83:$AL83,增益!$A:$A,增益!$I:$I,0)))/200,($F$11-$I$4+VLOOKUP($R83,武学奇术!$A:$ZZ,9,FALSE)+SUM(_xlfn.XLOOKUP($S83:$AL83,增益!$A:$A,增益!$I:$I,0)))/100)</f>
        <v>-0.14</v>
      </c>
      <c r="BB83" s="40" cm="1">
        <f t="array" ref="BB83">$G$11+VLOOKUP($R83,武学奇术!$A:$ZZ,10,FALSE)+SUM(_xlfn.XLOOKUP($S83:$AL83,增益!$A:$A,增益!$J:$J,0))</f>
        <v>0</v>
      </c>
      <c r="BC83">
        <f t="shared" si="17"/>
        <v>640.3</v>
      </c>
      <c r="BD83">
        <f t="shared" si="18"/>
        <v>1770.1</v>
      </c>
      <c r="BE83" s="40" cm="1">
        <f t="array" ref="BE83">IF($F$12-$I$4+VLOOKUP($R83,武学奇术!$A:$ZZ,11,FALSE)+SUM(_xlfn.XLOOKUP($S83:$AL83,增益!$A:$A,增益!$K:$K,0))&gt;0,($F$12-$I$4+VLOOKUP($R83,武学奇术!$A:$ZZ,11,FALSE)+SUM(_xlfn.XLOOKUP($S83:$AL83,增益!$A:$A,增益!$K:$K,0)))/200,($F$12-$I$4+VLOOKUP($R83,武学奇术!$A:$ZZ,11,FALSE)+SUM(_xlfn.XLOOKUP($S83:$AL83,增益!$A:$A,增益!$K:$K,0)))/100)</f>
        <v>0.17</v>
      </c>
      <c r="BF83" s="40" cm="1">
        <f t="array" ref="BF83">$G$12+VLOOKUP($R83,武学奇术!$A:$ZZ,12,FALSE)+SUM(_xlfn.XLOOKUP($S83:$AL83,增益!$A:$A,增益!$L:$L,0))</f>
        <v>0.27</v>
      </c>
      <c r="BG83">
        <f t="shared" si="19"/>
        <v>0</v>
      </c>
      <c r="BH83">
        <f t="shared" si="20"/>
        <v>0</v>
      </c>
      <c r="BI83" s="40" cm="1">
        <f t="array" ref="BI83">IF($F$13-$I$4+VLOOKUP($R83,武学奇术!$A:$ZZ,13,FALSE)+SUM(_xlfn.XLOOKUP($S83:$AL83,增益!$A:$A,增益!$M:$M,0))&gt;0,($F$13-$I$4+VLOOKUP($R83,武学奇术!$A:$ZZ,13,FALSE)+SUM(_xlfn.XLOOKUP($S83:$AL83,增益!$A:$A,增益!$K:$K,0)))/200,($F$13-$I$4+VLOOKUP($R83,武学奇术!$A:$ZZ,13,FALSE)+SUM(_xlfn.XLOOKUP($S83:$AL83,增益!$A:$A,增益!$M:$M,0)))/100)</f>
        <v>-0.14</v>
      </c>
      <c r="BJ83" s="40" cm="1">
        <f t="array" ref="BJ83">$G$13+VLOOKUP($R83,武学奇术!$A:$ZZ,14,FALSE)+SUM(_xlfn.XLOOKUP($S83:$AL83,增益!$A:$A,增益!$N:$N,0))</f>
        <v>0</v>
      </c>
      <c r="BK83">
        <f t="shared" si="21"/>
        <v>0</v>
      </c>
      <c r="BL83">
        <f t="shared" si="22"/>
        <v>0</v>
      </c>
      <c r="BM83" s="40" cm="1">
        <f t="array" ref="BM83">IF($F$14-$I$4+VLOOKUP($R83,武学奇术!$A:$ZZ,15,FALSE)+SUM(_xlfn.XLOOKUP($S83:$AL83,增益!$A:$A,增益!$O:$O,0))&gt;0,($F$14-$I$4+VLOOKUP($R83,武学奇术!$A:$ZZ,15,FALSE)+SUM(_xlfn.XLOOKUP($S83:$AL83,增益!$A:$A,增益!$O:$O,0)))/200,($F$14-$I$4+VLOOKUP($R83,武学奇术!$A:$ZZ,15,FALSE)+SUM(_xlfn.XLOOKUP($S83:$AL83,增益!$A:$A,增益!$O:$O,0)))/100)</f>
        <v>-0.14</v>
      </c>
      <c r="BN83" s="40" cm="1">
        <f t="array" ref="BN83">$G$14+VLOOKUP($R83,武学奇术!$A:$ZZ,16,FALSE)+SUM(_xlfn.XLOOKUP($S83:$AL83,增益!$A:$A,增益!$P:$P,0))</f>
        <v>0</v>
      </c>
      <c r="BO83" s="33">
        <f>MIN(IF(VLOOKUP($R83,武学奇术!$A:$ZZ,23,FALSE)=1,100%,$B$8),100%)</f>
        <v>1</v>
      </c>
      <c r="BP83" s="33" cm="1">
        <f t="array" ref="BP83">IF(VLOOKUP($R83,武学奇术!$A:$ZZ,23,FALSE)=1,100%,MIN(80%,$B$9+VLOOKUP($R83,武学奇术!$A:$ZZ,17,FALSE)+SUM(_xlfn.XLOOKUP($S83:$AL83,增益!$A:$A,增益!$Q:$Q,0)))+$B$11+SUM(_xlfn.XLOOKUP($S83:$AL83,增益!$A:$A,增益!$U:$U,0)))*IF(VLOOKUP($R83,武学奇术!$A:$ZZ,24,FALSE)=1,0,1)</f>
        <v>1</v>
      </c>
      <c r="BQ83" s="33" cm="1">
        <f t="array" ref="BQ83">1+$B$13+VLOOKUP($R83,武学奇术!$A:$ZZ,18,FALSE)+SUM(_xlfn.XLOOKUP($S83:$AL83,增益!$A:$A,增益!$R:$R,0))</f>
        <v>2.1</v>
      </c>
      <c r="BR83" s="33" cm="1">
        <f t="array" ref="BR83">IF(VLOOKUP($R83,武学奇术!$A:$ZZ,24,FALSE)=1,100%,MIN(40%,$B$10+VLOOKUP($R83,武学奇术!$A:$ZZ,19,FALSE)+SUM(_xlfn.XLOOKUP($S83:$AL83,增益!$A:$A,增益!$S:$S,0)))+$B$12+SUM(_xlfn.XLOOKUP($S83:$AL83,增益!$A:$A,增益!$V:$V,0)))*IF(VLOOKUP($R83,武学奇术!$A:$ZZ,23,FALSE)=1,0,1)</f>
        <v>0</v>
      </c>
      <c r="BS83" s="33" cm="1">
        <f t="array" ref="BS83">1+$B$14+VLOOKUP($R83,武学奇术!$A:$ZZ,20,FALSE)+SUM(_xlfn.XLOOKUP($S83:$AL83,增益!$A:$A,增益!$T:$T,0))</f>
        <v>1.35</v>
      </c>
      <c r="BT83" s="33">
        <f t="shared" si="23"/>
        <v>1</v>
      </c>
      <c r="BU83" s="33">
        <f t="shared" si="24"/>
        <v>0</v>
      </c>
      <c r="BV83" s="33">
        <f>IF(VLOOKUP($R83,武学奇术!$A:$ZZ,22,FALSE)=1,0,(1-$BO83))*(1-$BR83)</f>
        <v>0</v>
      </c>
      <c r="BW83" s="33" cm="1">
        <f t="array" ref="BW83">SUM(_xlfn.XLOOKUP($S83:$AL83,增益!$A:$A,增益!$W:$W,0))+$I$5</f>
        <v>0.11</v>
      </c>
      <c r="BX83" s="33" cm="1">
        <f t="array" ref="BX83">VLOOKUP($R83,武学奇术!$A:$ZZ,32,FALSE)+SUM(_xlfn.XLOOKUP($S83:$AL83,增益!$A:$A,增益!$X:$X,0))</f>
        <v>0</v>
      </c>
    </row>
    <row r="84" spans="1:76">
      <c r="A84" s="4"/>
      <c r="B84" s="4"/>
      <c r="L84" s="46">
        <f t="shared" si="14"/>
        <v>375932.306079236</v>
      </c>
      <c r="M84" s="46">
        <f>((($AT84+$AU84)/2*$AN84+$AO84)*(1+$AV84)*(1+$AW84)+(($AY84+$AZ84)/2*IF($G$1="鸣金",$AP84,$AN84)+IF($G$1="鸣金",$AQ84*1.5,0))*(1+$BA84)*(1+$BB84)+(($BC84+$BD84)/2*IF($G$1="裂石",$AP84,$AN84)+IF($G$1="裂石",$AQ84*1.5,0))*(1+$BE84)*(1+$BF84)+(($BG84+$BH84)/2*IF($G$1="牵丝",$AP84,$AN84)+IF($G$1="牵丝",$AQ84*1.5,0))*(1+$BI84)*(1+$BJ84)+(($BK84+$BL84)/2*IF($G$1="破竹",$AP84,$AN84)+IF($G$1="破竹",$AQ84*1.5,0))*(1+$BM84)*(1+$BN84))*(1+$AR84)*$BQ84*$Q84*(1+IF(VLOOKUP($R84,武学奇术!$A:$ZZ,30,FALSE)="蓄力技",$B$21,0))*(1+IF(VLOOKUP($R84,武学奇术!$A:$ZZ,30,FALSE)="派生技",$B$20,0))*(1+$BW84)*(1+$BX84)</f>
        <v>375932.306079236</v>
      </c>
      <c r="N84" s="46">
        <f>(($AU84*$AN84+$AO84)*(1+$AV84)*(1+$AW84)+($AZ84*IF($G$1="鸣金",$AP84,$AN84)+IF($G$1="鸣金",$AQ84*1.5,0))*(1+$BA84)*(1+$BB84)+($BD84*IF($G$1="裂石",$AP84,$AN84)+IF($G$1="裂石",$AQ84*1.5,0))*(1+$BE84)*(1+$BF84)+($BH84*IF($G$1="牵丝",$AP84,$AN84)+IF($G$1="牵丝",$AQ84*1.5,0))*(1+$BI84)*(1+$BJ84)+($BL84*IF($G$1="破竹",$AP84,$AN84)+IF($G$1="破竹",$AQ84*1.5,0))*(1+$BM84)*(1+$BN84))*(1+$AR84)*$BS84*$Q84*(1+IF(VLOOKUP($R84,武学奇术!$A:$ZZ,30,FALSE)="蓄力技",$B$21,0))*(1+IF(VLOOKUP($R84,武学奇术!$A:$ZZ,30,FALSE)="派生技",$B$20,0))*(1+$BW84)*(1+$BX84)</f>
        <v>272108.70563652</v>
      </c>
      <c r="O84" s="46">
        <f>((($AT84+$AU84)/2*$AN84+$AO84)*(1+$AV84)*(1+$AW84)+(($AY84+$AZ84)/2*IF($G$1="鸣金",$AP84,$AN84)+IF($G$1="鸣金",$AQ84*1.5,0))*(1+$BA84)*(1+$BB84)+(($BC84+$BD84)/2*IF($G$1="裂石",$AP84,$AN84)+IF($G$1="裂石",$AQ84*1.5,0))*(1+$BE84)*(1+$BF84)+(($BG84+$BH84)/2*IF($G$1="牵丝",$AP84,$AN84)+IF($G$1="牵丝",$AQ84*1.5,0))*(1+$BI84)*(1+$BJ84)+(($BK84+$BL84)/2*IF($G$1="破竹",$AP84,$AN84)+IF($G$1="破竹",$AQ84*1.5,0))*(1+$BM84)*(1+$BN84))*(1+$AR84)*$Q84*(1+IF(VLOOKUP($R84,武学奇术!$A:$ZZ,30,FALSE)="蓄力技",$B$21,0))*(1+IF(VLOOKUP($R84,武学奇术!$A:$ZZ,30,FALSE)="派生技",$B$20,0))*(1+$BW84)*(1+$BX84)</f>
        <v>179015.383847255</v>
      </c>
      <c r="P84" s="46">
        <f>((($AT84*$AN84+$AO84)*(1+$AV84)*(1+$AW84)+($AY84*IF($G$1="鸣金",$AP84,$AN84)+IF($G$1="鸣金",$AQ84*1.5,0))*(1+$BA84)*(1+$BB84)+($BC84*IF($G$1="裂石",$AP84,$AN84)+IF($G$1="裂石",$AQ84*1.5,0))*(1+$BE84)*(1+$BF84)+($BG84*IF($G$1="牵丝",$AP84,$AN84)+IF($G$1="牵丝",$AQ84*1.5,0))*(1+$BI84)*(1+$BJ84)+($BK84*IF($G$1="破竹",$AP84,$AN84)+IF($G$1="破竹",$AQ84*1.5,0))*(1+$BM84)*(1+$BN84))*(1+$AR84))*$Q84*(1+IF(VLOOKUP($R84,武学奇术!$A:$ZZ,30,FALSE)="蓄力技",$B$21,0))*(1+IF(VLOOKUP($R84,武学奇术!$A:$ZZ,30,FALSE)="派生技",$B$20,0))*(1+$BW84)*(1+$BX84)</f>
        <v>156468.76351931</v>
      </c>
      <c r="Q84" s="47">
        <f t="shared" si="27"/>
        <v>1</v>
      </c>
      <c r="R84" s="48" t="s">
        <v>148</v>
      </c>
      <c r="S84" s="48" t="s">
        <v>99</v>
      </c>
      <c r="T84" s="48" t="s">
        <v>182</v>
      </c>
      <c r="U84" s="48" t="s">
        <v>79</v>
      </c>
      <c r="V84" s="48" t="s">
        <v>90</v>
      </c>
      <c r="W84" s="48" t="s">
        <v>141</v>
      </c>
      <c r="X84" s="48" t="s">
        <v>145</v>
      </c>
      <c r="Y84" s="48" t="s">
        <v>74</v>
      </c>
      <c r="Z84" s="48" t="s">
        <v>80</v>
      </c>
      <c r="AA84" s="48" t="s">
        <v>80</v>
      </c>
      <c r="AB84" s="48" t="s">
        <v>80</v>
      </c>
      <c r="AC84" s="48" t="s">
        <v>80</v>
      </c>
      <c r="AD84" s="48" t="s">
        <v>80</v>
      </c>
      <c r="AE84" s="48" t="s">
        <v>80</v>
      </c>
      <c r="AF84" s="48" t="s">
        <v>83</v>
      </c>
      <c r="AG84" s="48" t="s">
        <v>84</v>
      </c>
      <c r="AH84" s="48" t="s">
        <v>80</v>
      </c>
      <c r="AI84" s="48" t="s">
        <v>80</v>
      </c>
      <c r="AJ84" s="48" t="s">
        <v>80</v>
      </c>
      <c r="AK84" s="48" t="s">
        <v>80</v>
      </c>
      <c r="AL84" s="48" t="s">
        <v>80</v>
      </c>
      <c r="AM84" t="str">
        <f>VLOOKUP($R84,武学奇术!$A:$ZZ,25,FALSE)</f>
        <v>陌刀</v>
      </c>
      <c r="AN84" s="33">
        <f>VLOOKUP($R84,武学奇术!$A:$ZZ,26,FALSE)</f>
        <v>7.5674</v>
      </c>
      <c r="AO84" s="34">
        <f>VLOOKUP($R84,武学奇术!$A:$ZZ,27,FALSE)*(1+IF(OR($AM84=$F$4,$AM84=$F$5),$B$22,0))</f>
        <v>3348.8</v>
      </c>
      <c r="AP84" s="33">
        <f>VLOOKUP($R84,武学奇术!$A:$ZZ,28,FALSE)</f>
        <v>11.3512</v>
      </c>
      <c r="AQ84" s="34">
        <f>VLOOKUP($R84,武学奇术!$A:$ZZ,29,FALSE)*(1+IF(OR($AM84=$F$4,$AM84=$F$5),$B$22,0))</f>
        <v>1824</v>
      </c>
      <c r="AR84" s="33" cm="1">
        <f t="array" ref="AR84">$G$3+IFERROR(VLOOKUP($AM84,$F$4:$G$7,2,FALSE),0)+VLOOKUP($R84,武学奇术!$A:$ZZ,2,FALSE)+SUM(_xlfn.XLOOKUP($S84:$AL84,增益!$A:$A,增益!$B:$B,0))</f>
        <v>0.6143</v>
      </c>
      <c r="AS84" s="33" cm="1">
        <f t="array" ref="AS84">VLOOKUP($R84,武学奇术!$A:$ZZ,5,FALSE)+SUM(_xlfn.XLOOKUP($S84:$AL84,增益!$A:$A,增益!$E:$E,0))</f>
        <v>0</v>
      </c>
      <c r="AT84" cm="1">
        <f t="array" ref="AT84">$D$10*(1+$AS84)+VLOOKUP($R84,武学奇术!$A:$ZZ,3,FALSE)+SUM(_xlfn.XLOOKUP($S84:$AL84,增益!$A:$A,增益!$C:$C,0))-$I$2</f>
        <v>4026</v>
      </c>
      <c r="AU84" cm="1">
        <f t="array" ref="AU84">$E$10*(1+$AS84)+VLOOKUP($R84,武学奇术!$A:$ZZ,4,FALSE)+SUM(_xlfn.XLOOKUP($S84:$AL84,增益!$A:$A,增益!$D:$D,0))-$I$2</f>
        <v>4026</v>
      </c>
      <c r="AV84" s="40" cm="1">
        <f t="array" ref="AV84">IF($F$10-$I$3+VLOOKUP($R84,武学奇术!$A:$ZZ,6,FALSE)+SUM(_xlfn.XLOOKUP($S84:$AL84,增益!$A:$A,增益!$F:$F,0))&gt;0,($F$10-$I$3+VLOOKUP($R84,武学奇术!$A:$ZZ,6,FALSE)+SUM(_xlfn.XLOOKUP($S84:$AL84,增益!$A:$A,增益!$F:$F,0)))/200,($F$10-$I$3+VLOOKUP($R84,武学奇术!$A:$ZZ,6,FALSE)+SUM(_xlfn.XLOOKUP($S84:$AL84,增益!$A:$A,增益!$F:$F,0)))/100)</f>
        <v>0.3534</v>
      </c>
      <c r="AW84" s="40" cm="1">
        <f t="array" ref="AW84">$G$10+VLOOKUP($R84,武学奇术!$A:$ZZ,7,FALSE)+SUM(_xlfn.XLOOKUP($S84:$AL84,增益!$A:$A,增益!$G:$G,0))</f>
        <v>0.12</v>
      </c>
      <c r="AX84" s="33" cm="1">
        <f t="array" ref="AX84">VLOOKUP($R84,武学奇术!$A:$ZZ,8,FALSE)+SUM(_xlfn.XLOOKUP($S84:$AL84,增益!$A:$A,增益!$H:$H,0))</f>
        <v>0</v>
      </c>
      <c r="AY84">
        <f t="shared" si="15"/>
        <v>0</v>
      </c>
      <c r="AZ84">
        <f t="shared" si="16"/>
        <v>0</v>
      </c>
      <c r="BA84" s="40" cm="1">
        <f t="array" ref="BA84">IF($F$11-$I$4+VLOOKUP($R84,武学奇术!$A:$ZZ,9,FALSE)+SUM(_xlfn.XLOOKUP($S84:$AL84,增益!$A:$A,增益!$I:$I,0))&gt;0,($F$11-$I$4+VLOOKUP($R84,武学奇术!$A:$ZZ,9,FALSE)+SUM(_xlfn.XLOOKUP($S84:$AL84,增益!$A:$A,增益!$I:$I,0)))/200,($F$11-$I$4+VLOOKUP($R84,武学奇术!$A:$ZZ,9,FALSE)+SUM(_xlfn.XLOOKUP($S84:$AL84,增益!$A:$A,增益!$I:$I,0)))/100)</f>
        <v>-0.14</v>
      </c>
      <c r="BB84" s="40" cm="1">
        <f t="array" ref="BB84">$G$11+VLOOKUP($R84,武学奇术!$A:$ZZ,10,FALSE)+SUM(_xlfn.XLOOKUP($S84:$AL84,增益!$A:$A,增益!$J:$J,0))</f>
        <v>0</v>
      </c>
      <c r="BC84">
        <f t="shared" si="17"/>
        <v>640.3</v>
      </c>
      <c r="BD84">
        <f t="shared" si="18"/>
        <v>1770.1</v>
      </c>
      <c r="BE84" s="40" cm="1">
        <f t="array" ref="BE84">IF($F$12-$I$4+VLOOKUP($R84,武学奇术!$A:$ZZ,11,FALSE)+SUM(_xlfn.XLOOKUP($S84:$AL84,增益!$A:$A,增益!$K:$K,0))&gt;0,($F$12-$I$4+VLOOKUP($R84,武学奇术!$A:$ZZ,11,FALSE)+SUM(_xlfn.XLOOKUP($S84:$AL84,增益!$A:$A,增益!$K:$K,0)))/200,($F$12-$I$4+VLOOKUP($R84,武学奇术!$A:$ZZ,11,FALSE)+SUM(_xlfn.XLOOKUP($S84:$AL84,增益!$A:$A,增益!$K:$K,0)))/100)</f>
        <v>0.17</v>
      </c>
      <c r="BF84" s="40" cm="1">
        <f t="array" ref="BF84">$G$12+VLOOKUP($R84,武学奇术!$A:$ZZ,12,FALSE)+SUM(_xlfn.XLOOKUP($S84:$AL84,增益!$A:$A,增益!$L:$L,0))</f>
        <v>0.27</v>
      </c>
      <c r="BG84">
        <f t="shared" si="19"/>
        <v>0</v>
      </c>
      <c r="BH84">
        <f t="shared" si="20"/>
        <v>0</v>
      </c>
      <c r="BI84" s="40" cm="1">
        <f t="array" ref="BI84">IF($F$13-$I$4+VLOOKUP($R84,武学奇术!$A:$ZZ,13,FALSE)+SUM(_xlfn.XLOOKUP($S84:$AL84,增益!$A:$A,增益!$M:$M,0))&gt;0,($F$13-$I$4+VLOOKUP($R84,武学奇术!$A:$ZZ,13,FALSE)+SUM(_xlfn.XLOOKUP($S84:$AL84,增益!$A:$A,增益!$K:$K,0)))/200,($F$13-$I$4+VLOOKUP($R84,武学奇术!$A:$ZZ,13,FALSE)+SUM(_xlfn.XLOOKUP($S84:$AL84,增益!$A:$A,增益!$M:$M,0)))/100)</f>
        <v>-0.14</v>
      </c>
      <c r="BJ84" s="40" cm="1">
        <f t="array" ref="BJ84">$G$13+VLOOKUP($R84,武学奇术!$A:$ZZ,14,FALSE)+SUM(_xlfn.XLOOKUP($S84:$AL84,增益!$A:$A,增益!$N:$N,0))</f>
        <v>0</v>
      </c>
      <c r="BK84">
        <f t="shared" si="21"/>
        <v>0</v>
      </c>
      <c r="BL84">
        <f t="shared" si="22"/>
        <v>0</v>
      </c>
      <c r="BM84" s="40" cm="1">
        <f t="array" ref="BM84">IF($F$14-$I$4+VLOOKUP($R84,武学奇术!$A:$ZZ,15,FALSE)+SUM(_xlfn.XLOOKUP($S84:$AL84,增益!$A:$A,增益!$O:$O,0))&gt;0,($F$14-$I$4+VLOOKUP($R84,武学奇术!$A:$ZZ,15,FALSE)+SUM(_xlfn.XLOOKUP($S84:$AL84,增益!$A:$A,增益!$O:$O,0)))/200,($F$14-$I$4+VLOOKUP($R84,武学奇术!$A:$ZZ,15,FALSE)+SUM(_xlfn.XLOOKUP($S84:$AL84,增益!$A:$A,增益!$O:$O,0)))/100)</f>
        <v>-0.14</v>
      </c>
      <c r="BN84" s="40" cm="1">
        <f t="array" ref="BN84">$G$14+VLOOKUP($R84,武学奇术!$A:$ZZ,16,FALSE)+SUM(_xlfn.XLOOKUP($S84:$AL84,增益!$A:$A,增益!$P:$P,0))</f>
        <v>0</v>
      </c>
      <c r="BO84" s="33">
        <f>MIN(IF(VLOOKUP($R84,武学奇术!$A:$ZZ,23,FALSE)=1,100%,$B$8),100%)</f>
        <v>1</v>
      </c>
      <c r="BP84" s="33" cm="1">
        <f t="array" ref="BP84">IF(VLOOKUP($R84,武学奇术!$A:$ZZ,23,FALSE)=1,100%,MIN(80%,$B$9+VLOOKUP($R84,武学奇术!$A:$ZZ,17,FALSE)+SUM(_xlfn.XLOOKUP($S84:$AL84,增益!$A:$A,增益!$Q:$Q,0)))+$B$11+SUM(_xlfn.XLOOKUP($S84:$AL84,增益!$A:$A,增益!$U:$U,0)))*IF(VLOOKUP($R84,武学奇术!$A:$ZZ,24,FALSE)=1,0,1)</f>
        <v>1</v>
      </c>
      <c r="BQ84" s="33" cm="1">
        <f t="array" ref="BQ84">1+$B$13+VLOOKUP($R84,武学奇术!$A:$ZZ,18,FALSE)+SUM(_xlfn.XLOOKUP($S84:$AL84,增益!$A:$A,增益!$R:$R,0))</f>
        <v>2.1</v>
      </c>
      <c r="BR84" s="33" cm="1">
        <f t="array" ref="BR84">IF(VLOOKUP($R84,武学奇术!$A:$ZZ,24,FALSE)=1,100%,MIN(40%,$B$10+VLOOKUP($R84,武学奇术!$A:$ZZ,19,FALSE)+SUM(_xlfn.XLOOKUP($S84:$AL84,增益!$A:$A,增益!$S:$S,0)))+$B$12+SUM(_xlfn.XLOOKUP($S84:$AL84,增益!$A:$A,增益!$V:$V,0)))*IF(VLOOKUP($R84,武学奇术!$A:$ZZ,23,FALSE)=1,0,1)</f>
        <v>0</v>
      </c>
      <c r="BS84" s="33" cm="1">
        <f t="array" ref="BS84">1+$B$14+VLOOKUP($R84,武学奇术!$A:$ZZ,20,FALSE)+SUM(_xlfn.XLOOKUP($S84:$AL84,增益!$A:$A,增益!$T:$T,0))</f>
        <v>1.35</v>
      </c>
      <c r="BT84" s="33">
        <f t="shared" si="23"/>
        <v>1</v>
      </c>
      <c r="BU84" s="33">
        <f t="shared" si="24"/>
        <v>0</v>
      </c>
      <c r="BV84" s="33">
        <f>IF(VLOOKUP($R84,武学奇术!$A:$ZZ,22,FALSE)=1,0,(1-$BO84))*(1-$BR84)</f>
        <v>0</v>
      </c>
      <c r="BW84" s="33" cm="1">
        <f t="array" ref="BW84">SUM(_xlfn.XLOOKUP($S84:$AL84,增益!$A:$A,增益!$W:$W,0))+$I$5</f>
        <v>0.11</v>
      </c>
      <c r="BX84" s="33" cm="1">
        <f t="array" ref="BX84">VLOOKUP($R84,武学奇术!$A:$ZZ,32,FALSE)+SUM(_xlfn.XLOOKUP($S84:$AL84,增益!$A:$A,增益!$X:$X,0))</f>
        <v>0</v>
      </c>
    </row>
    <row r="85" spans="1:76">
      <c r="A85" s="4"/>
      <c r="B85" s="4"/>
      <c r="L85" s="46">
        <f t="shared" si="14"/>
        <v>22929.2219737461</v>
      </c>
      <c r="M85" s="46">
        <f>((($AT85+$AU85)/2*$AN85+$AO85)*(1+$AV85)*(1+$AW85)+(($AY85+$AZ85)/2*IF($G$1="鸣金",$AP85,$AN85)+IF($G$1="鸣金",$AQ85*1.5,0))*(1+$BA85)*(1+$BB85)+(($BC85+$BD85)/2*IF($G$1="裂石",$AP85,$AN85)+IF($G$1="裂石",$AQ85*1.5,0))*(1+$BE85)*(1+$BF85)+(($BG85+$BH85)/2*IF($G$1="牵丝",$AP85,$AN85)+IF($G$1="牵丝",$AQ85*1.5,0))*(1+$BI85)*(1+$BJ85)+(($BK85+$BL85)/2*IF($G$1="破竹",$AP85,$AN85)+IF($G$1="破竹",$AQ85*1.5,0))*(1+$BM85)*(1+$BN85))*(1+$AR85)*$BQ85*$Q85*(1+IF(VLOOKUP($R85,武学奇术!$A:$ZZ,30,FALSE)="蓄力技",$B$21,0))*(1+IF(VLOOKUP($R85,武学奇术!$A:$ZZ,30,FALSE)="派生技",$B$20,0))*(1+$BW85)*(1+$BX85)</f>
        <v>22929.2219737461</v>
      </c>
      <c r="N85" s="46">
        <f>(($AU85*$AN85+$AO85)*(1+$AV85)*(1+$AW85)+($AZ85*IF($G$1="鸣金",$AP85,$AN85)+IF($G$1="鸣金",$AQ85*1.5,0))*(1+$BA85)*(1+$BB85)+($BD85*IF($G$1="裂石",$AP85,$AN85)+IF($G$1="裂石",$AQ85*1.5,0))*(1+$BE85)*(1+$BF85)+($BH85*IF($G$1="牵丝",$AP85,$AN85)+IF($G$1="牵丝",$AQ85*1.5,0))*(1+$BI85)*(1+$BJ85)+($BL85*IF($G$1="破竹",$AP85,$AN85)+IF($G$1="破竹",$AQ85*1.5,0))*(1+$BM85)*(1+$BN85))*(1+$AR85)*$BS85*$Q85*(1+IF(VLOOKUP($R85,武学奇术!$A:$ZZ,30,FALSE)="蓄力技",$B$21,0))*(1+IF(VLOOKUP($R85,武学奇术!$A:$ZZ,30,FALSE)="派生技",$B$20,0))*(1+$BW85)*(1+$BX85)</f>
        <v>16851.8741915363</v>
      </c>
      <c r="O85" s="46">
        <f>((($AT85+$AU85)/2*$AN85+$AO85)*(1+$AV85)*(1+$AW85)+(($AY85+$AZ85)/2*IF($G$1="鸣金",$AP85,$AN85)+IF($G$1="鸣金",$AQ85*1.5,0))*(1+$BA85)*(1+$BB85)+(($BC85+$BD85)/2*IF($G$1="裂石",$AP85,$AN85)+IF($G$1="裂石",$AQ85*1.5,0))*(1+$BE85)*(1+$BF85)+(($BG85+$BH85)/2*IF($G$1="牵丝",$AP85,$AN85)+IF($G$1="牵丝",$AQ85*1.5,0))*(1+$BI85)*(1+$BJ85)+(($BK85+$BL85)/2*IF($G$1="破竹",$AP85,$AN85)+IF($G$1="破竹",$AQ85*1.5,0))*(1+$BM85)*(1+$BN85))*(1+$AR85)*$Q85*(1+IF(VLOOKUP($R85,武学奇术!$A:$ZZ,30,FALSE)="蓄力技",$B$21,0))*(1+IF(VLOOKUP($R85,武学奇术!$A:$ZZ,30,FALSE)="派生技",$B$20,0))*(1+$BW85)*(1+$BX85)</f>
        <v>10918.6771303553</v>
      </c>
      <c r="P85" s="46">
        <f>((($AT85*$AN85+$AO85)*(1+$AV85)*(1+$AW85)+($AY85*IF($G$1="鸣金",$AP85,$AN85)+IF($G$1="鸣金",$AQ85*1.5,0))*(1+$BA85)*(1+$BB85)+($BC85*IF($G$1="裂石",$AP85,$AN85)+IF($G$1="裂石",$AQ85*1.5,0))*(1+$BE85)*(1+$BF85)+($BG85*IF($G$1="牵丝",$AP85,$AN85)+IF($G$1="牵丝",$AQ85*1.5,0))*(1+$BI85)*(1+$BJ85)+($BK85*IF($G$1="破竹",$AP85,$AN85)+IF($G$1="破竹",$AQ85*1.5,0))*(1+$BM85)*(1+$BN85))*(1+$AR85))*$Q85*(1+IF(VLOOKUP($R85,武学奇术!$A:$ZZ,30,FALSE)="蓄力技",$B$21,0))*(1+IF(VLOOKUP($R85,武学奇术!$A:$ZZ,30,FALSE)="派生技",$B$20,0))*(1+$BW85)*(1+$BX85)</f>
        <v>9354.48448920223</v>
      </c>
      <c r="Q85" s="47">
        <f t="shared" si="27"/>
        <v>1</v>
      </c>
      <c r="R85" s="48" t="s">
        <v>154</v>
      </c>
      <c r="S85" s="48" t="s">
        <v>99</v>
      </c>
      <c r="T85" s="48" t="s">
        <v>182</v>
      </c>
      <c r="U85" s="48" t="s">
        <v>79</v>
      </c>
      <c r="V85" s="48" t="s">
        <v>90</v>
      </c>
      <c r="W85" s="48" t="s">
        <v>141</v>
      </c>
      <c r="X85" s="48" t="s">
        <v>145</v>
      </c>
      <c r="Y85" s="48" t="s">
        <v>74</v>
      </c>
      <c r="Z85" s="48" t="s">
        <v>80</v>
      </c>
      <c r="AA85" s="48" t="s">
        <v>80</v>
      </c>
      <c r="AB85" s="48" t="s">
        <v>80</v>
      </c>
      <c r="AC85" s="48" t="s">
        <v>80</v>
      </c>
      <c r="AD85" s="48" t="s">
        <v>80</v>
      </c>
      <c r="AE85" s="48" t="s">
        <v>80</v>
      </c>
      <c r="AF85" s="48" t="s">
        <v>83</v>
      </c>
      <c r="AG85" s="48" t="s">
        <v>84</v>
      </c>
      <c r="AH85" s="48" t="s">
        <v>80</v>
      </c>
      <c r="AI85" s="48" t="s">
        <v>80</v>
      </c>
      <c r="AJ85" s="48" t="s">
        <v>80</v>
      </c>
      <c r="AK85" s="48" t="s">
        <v>80</v>
      </c>
      <c r="AL85" s="48" t="s">
        <v>80</v>
      </c>
      <c r="AM85" t="str">
        <f>VLOOKUP($R85,武学奇术!$A:$ZZ,25,FALSE)</f>
        <v>陌刀</v>
      </c>
      <c r="AN85" s="33">
        <f>VLOOKUP($R85,武学奇术!$A:$ZZ,26,FALSE)</f>
        <v>0.525</v>
      </c>
      <c r="AO85" s="34">
        <f>VLOOKUP($R85,武学奇术!$A:$ZZ,27,FALSE)*(1+IF(OR($AM85=$F$4,$AM85=$F$5),$B$22,0))</f>
        <v>0</v>
      </c>
      <c r="AP85" s="33">
        <f>VLOOKUP($R85,武学奇术!$A:$ZZ,28,FALSE)</f>
        <v>0.7875</v>
      </c>
      <c r="AQ85" s="34">
        <f>VLOOKUP($R85,武学奇术!$A:$ZZ,29,FALSE)*(1+IF(OR($AM85=$F$4,$AM85=$F$5),$B$22,0))</f>
        <v>0</v>
      </c>
      <c r="AR85" s="33" cm="1">
        <f t="array" ref="AR85">$G$3+IFERROR(VLOOKUP($AM85,$F$4:$G$7,2,FALSE),0)+VLOOKUP($R85,武学奇术!$A:$ZZ,2,FALSE)+SUM(_xlfn.XLOOKUP($S85:$AL85,增益!$A:$A,增益!$B:$B,0))</f>
        <v>0.6143</v>
      </c>
      <c r="AS85" s="33" cm="1">
        <f t="array" ref="AS85">VLOOKUP($R85,武学奇术!$A:$ZZ,5,FALSE)+SUM(_xlfn.XLOOKUP($S85:$AL85,增益!$A:$A,增益!$E:$E,0))</f>
        <v>0</v>
      </c>
      <c r="AT85" cm="1">
        <f t="array" ref="AT85">$D$10*(1+$AS85)+VLOOKUP($R85,武学奇术!$A:$ZZ,3,FALSE)+SUM(_xlfn.XLOOKUP($S85:$AL85,增益!$A:$A,增益!$C:$C,0))-$I$2</f>
        <v>4026</v>
      </c>
      <c r="AU85" cm="1">
        <f t="array" ref="AU85">$E$10*(1+$AS85)+VLOOKUP($R85,武学奇术!$A:$ZZ,4,FALSE)+SUM(_xlfn.XLOOKUP($S85:$AL85,增益!$A:$A,增益!$D:$D,0))-$I$2</f>
        <v>4026</v>
      </c>
      <c r="AV85" s="40" cm="1">
        <f t="array" ref="AV85">IF($F$10-$I$3+VLOOKUP($R85,武学奇术!$A:$ZZ,6,FALSE)+SUM(_xlfn.XLOOKUP($S85:$AL85,增益!$A:$A,增益!$F:$F,0))&gt;0,($F$10-$I$3+VLOOKUP($R85,武学奇术!$A:$ZZ,6,FALSE)+SUM(_xlfn.XLOOKUP($S85:$AL85,增益!$A:$A,增益!$F:$F,0)))/200,($F$10-$I$3+VLOOKUP($R85,武学奇术!$A:$ZZ,6,FALSE)+SUM(_xlfn.XLOOKUP($S85:$AL85,增益!$A:$A,增益!$F:$F,0)))/100)</f>
        <v>0.3534</v>
      </c>
      <c r="AW85" s="40" cm="1">
        <f t="array" ref="AW85">$G$10+VLOOKUP($R85,武学奇术!$A:$ZZ,7,FALSE)+SUM(_xlfn.XLOOKUP($S85:$AL85,增益!$A:$A,增益!$G:$G,0))</f>
        <v>0.12</v>
      </c>
      <c r="AX85" s="33" cm="1">
        <f t="array" ref="AX85">VLOOKUP($R85,武学奇术!$A:$ZZ,8,FALSE)+SUM(_xlfn.XLOOKUP($S85:$AL85,增益!$A:$A,增益!$H:$H,0))</f>
        <v>0</v>
      </c>
      <c r="AY85">
        <f t="shared" si="15"/>
        <v>0</v>
      </c>
      <c r="AZ85">
        <f t="shared" si="16"/>
        <v>0</v>
      </c>
      <c r="BA85" s="40" cm="1">
        <f t="array" ref="BA85">IF($F$11-$I$4+VLOOKUP($R85,武学奇术!$A:$ZZ,9,FALSE)+SUM(_xlfn.XLOOKUP($S85:$AL85,增益!$A:$A,增益!$I:$I,0))&gt;0,($F$11-$I$4+VLOOKUP($R85,武学奇术!$A:$ZZ,9,FALSE)+SUM(_xlfn.XLOOKUP($S85:$AL85,增益!$A:$A,增益!$I:$I,0)))/200,($F$11-$I$4+VLOOKUP($R85,武学奇术!$A:$ZZ,9,FALSE)+SUM(_xlfn.XLOOKUP($S85:$AL85,增益!$A:$A,增益!$I:$I,0)))/100)</f>
        <v>-0.14</v>
      </c>
      <c r="BB85" s="40" cm="1">
        <f t="array" ref="BB85">$G$11+VLOOKUP($R85,武学奇术!$A:$ZZ,10,FALSE)+SUM(_xlfn.XLOOKUP($S85:$AL85,增益!$A:$A,增益!$J:$J,0))</f>
        <v>0</v>
      </c>
      <c r="BC85">
        <f t="shared" si="17"/>
        <v>640.3</v>
      </c>
      <c r="BD85">
        <f t="shared" si="18"/>
        <v>1770.1</v>
      </c>
      <c r="BE85" s="40" cm="1">
        <f t="array" ref="BE85">IF($F$12-$I$4+VLOOKUP($R85,武学奇术!$A:$ZZ,11,FALSE)+SUM(_xlfn.XLOOKUP($S85:$AL85,增益!$A:$A,增益!$K:$K,0))&gt;0,($F$12-$I$4+VLOOKUP($R85,武学奇术!$A:$ZZ,11,FALSE)+SUM(_xlfn.XLOOKUP($S85:$AL85,增益!$A:$A,增益!$K:$K,0)))/200,($F$12-$I$4+VLOOKUP($R85,武学奇术!$A:$ZZ,11,FALSE)+SUM(_xlfn.XLOOKUP($S85:$AL85,增益!$A:$A,增益!$K:$K,0)))/100)</f>
        <v>0.17</v>
      </c>
      <c r="BF85" s="40" cm="1">
        <f t="array" ref="BF85">$G$12+VLOOKUP($R85,武学奇术!$A:$ZZ,12,FALSE)+SUM(_xlfn.XLOOKUP($S85:$AL85,增益!$A:$A,增益!$L:$L,0))</f>
        <v>0.27</v>
      </c>
      <c r="BG85">
        <f t="shared" si="19"/>
        <v>0</v>
      </c>
      <c r="BH85">
        <f t="shared" si="20"/>
        <v>0</v>
      </c>
      <c r="BI85" s="40" cm="1">
        <f t="array" ref="BI85">IF($F$13-$I$4+VLOOKUP($R85,武学奇术!$A:$ZZ,13,FALSE)+SUM(_xlfn.XLOOKUP($S85:$AL85,增益!$A:$A,增益!$M:$M,0))&gt;0,($F$13-$I$4+VLOOKUP($R85,武学奇术!$A:$ZZ,13,FALSE)+SUM(_xlfn.XLOOKUP($S85:$AL85,增益!$A:$A,增益!$K:$K,0)))/200,($F$13-$I$4+VLOOKUP($R85,武学奇术!$A:$ZZ,13,FALSE)+SUM(_xlfn.XLOOKUP($S85:$AL85,增益!$A:$A,增益!$M:$M,0)))/100)</f>
        <v>-0.14</v>
      </c>
      <c r="BJ85" s="40" cm="1">
        <f t="array" ref="BJ85">$G$13+VLOOKUP($R85,武学奇术!$A:$ZZ,14,FALSE)+SUM(_xlfn.XLOOKUP($S85:$AL85,增益!$A:$A,增益!$N:$N,0))</f>
        <v>0</v>
      </c>
      <c r="BK85">
        <f t="shared" si="21"/>
        <v>0</v>
      </c>
      <c r="BL85">
        <f t="shared" si="22"/>
        <v>0</v>
      </c>
      <c r="BM85" s="40" cm="1">
        <f t="array" ref="BM85">IF($F$14-$I$4+VLOOKUP($R85,武学奇术!$A:$ZZ,15,FALSE)+SUM(_xlfn.XLOOKUP($S85:$AL85,增益!$A:$A,增益!$O:$O,0))&gt;0,($F$14-$I$4+VLOOKUP($R85,武学奇术!$A:$ZZ,15,FALSE)+SUM(_xlfn.XLOOKUP($S85:$AL85,增益!$A:$A,增益!$O:$O,0)))/200,($F$14-$I$4+VLOOKUP($R85,武学奇术!$A:$ZZ,15,FALSE)+SUM(_xlfn.XLOOKUP($S85:$AL85,增益!$A:$A,增益!$O:$O,0)))/100)</f>
        <v>-0.14</v>
      </c>
      <c r="BN85" s="40" cm="1">
        <f t="array" ref="BN85">$G$14+VLOOKUP($R85,武学奇术!$A:$ZZ,16,FALSE)+SUM(_xlfn.XLOOKUP($S85:$AL85,增益!$A:$A,增益!$P:$P,0))</f>
        <v>0</v>
      </c>
      <c r="BO85" s="33">
        <f>MIN(IF(VLOOKUP($R85,武学奇术!$A:$ZZ,23,FALSE)=1,100%,$B$8),100%)</f>
        <v>1</v>
      </c>
      <c r="BP85" s="33" cm="1">
        <f t="array" ref="BP85">IF(VLOOKUP($R85,武学奇术!$A:$ZZ,23,FALSE)=1,100%,MIN(80%,$B$9+VLOOKUP($R85,武学奇术!$A:$ZZ,17,FALSE)+SUM(_xlfn.XLOOKUP($S85:$AL85,增益!$A:$A,增益!$Q:$Q,0)))+$B$11+SUM(_xlfn.XLOOKUP($S85:$AL85,增益!$A:$A,增益!$U:$U,0)))*IF(VLOOKUP($R85,武学奇术!$A:$ZZ,24,FALSE)=1,0,1)</f>
        <v>1</v>
      </c>
      <c r="BQ85" s="33" cm="1">
        <f t="array" ref="BQ85">1+$B$13+VLOOKUP($R85,武学奇术!$A:$ZZ,18,FALSE)+SUM(_xlfn.XLOOKUP($S85:$AL85,增益!$A:$A,增益!$R:$R,0))</f>
        <v>2.1</v>
      </c>
      <c r="BR85" s="33" cm="1">
        <f t="array" ref="BR85">IF(VLOOKUP($R85,武学奇术!$A:$ZZ,24,FALSE)=1,100%,MIN(40%,$B$10+VLOOKUP($R85,武学奇术!$A:$ZZ,19,FALSE)+SUM(_xlfn.XLOOKUP($S85:$AL85,增益!$A:$A,增益!$S:$S,0)))+$B$12+SUM(_xlfn.XLOOKUP($S85:$AL85,增益!$A:$A,增益!$V:$V,0)))*IF(VLOOKUP($R85,武学奇术!$A:$ZZ,23,FALSE)=1,0,1)</f>
        <v>0</v>
      </c>
      <c r="BS85" s="33" cm="1">
        <f t="array" ref="BS85">1+$B$14+VLOOKUP($R85,武学奇术!$A:$ZZ,20,FALSE)+SUM(_xlfn.XLOOKUP($S85:$AL85,增益!$A:$A,增益!$T:$T,0))</f>
        <v>1.35</v>
      </c>
      <c r="BT85" s="33">
        <f t="shared" si="23"/>
        <v>1</v>
      </c>
      <c r="BU85" s="33">
        <f t="shared" si="24"/>
        <v>0</v>
      </c>
      <c r="BV85" s="33">
        <f>IF(VLOOKUP($R85,武学奇术!$A:$ZZ,22,FALSE)=1,0,(1-$BO85))*(1-$BR85)</f>
        <v>0</v>
      </c>
      <c r="BW85" s="33" cm="1">
        <f t="array" ref="BW85">SUM(_xlfn.XLOOKUP($S85:$AL85,增益!$A:$A,增益!$W:$W,0))+$I$5</f>
        <v>0.11</v>
      </c>
      <c r="BX85" s="33" cm="1">
        <f t="array" ref="BX85">VLOOKUP($R85,武学奇术!$A:$ZZ,32,FALSE)+SUM(_xlfn.XLOOKUP($S85:$AL85,增益!$A:$A,增益!$X:$X,0))</f>
        <v>0</v>
      </c>
    </row>
    <row r="86" spans="1:76">
      <c r="A86" s="4"/>
      <c r="B86" s="4"/>
      <c r="L86" s="46">
        <f t="shared" si="14"/>
        <v>41272.599552743</v>
      </c>
      <c r="M86" s="46">
        <f>((($AT86+$AU86)/2*$AN86+$AO86)*(1+$AV86)*(1+$AW86)+(($AY86+$AZ86)/2*IF($G$1="鸣金",$AP86,$AN86)+IF($G$1="鸣金",$AQ86*1.5,0))*(1+$BA86)*(1+$BB86)+(($BC86+$BD86)/2*IF($G$1="裂石",$AP86,$AN86)+IF($G$1="裂石",$AQ86*1.5,0))*(1+$BE86)*(1+$BF86)+(($BG86+$BH86)/2*IF($G$1="牵丝",$AP86,$AN86)+IF($G$1="牵丝",$AQ86*1.5,0))*(1+$BI86)*(1+$BJ86)+(($BK86+$BL86)/2*IF($G$1="破竹",$AP86,$AN86)+IF($G$1="破竹",$AQ86*1.5,0))*(1+$BM86)*(1+$BN86))*(1+$AR86)*$BQ86*$Q86*(1+IF(VLOOKUP($R86,武学奇术!$A:$ZZ,30,FALSE)="蓄力技",$B$21,0))*(1+IF(VLOOKUP($R86,武学奇术!$A:$ZZ,30,FALSE)="派生技",$B$20,0))*(1+$BW86)*(1+$BX86)</f>
        <v>41272.599552743</v>
      </c>
      <c r="N86" s="46">
        <f>(($AU86*$AN86+$AO86)*(1+$AV86)*(1+$AW86)+($AZ86*IF($G$1="鸣金",$AP86,$AN86)+IF($G$1="鸣金",$AQ86*1.5,0))*(1+$BA86)*(1+$BB86)+($BD86*IF($G$1="裂石",$AP86,$AN86)+IF($G$1="裂石",$AQ86*1.5,0))*(1+$BE86)*(1+$BF86)+($BH86*IF($G$1="牵丝",$AP86,$AN86)+IF($G$1="牵丝",$AQ86*1.5,0))*(1+$BI86)*(1+$BJ86)+($BL86*IF($G$1="破竹",$AP86,$AN86)+IF($G$1="破竹",$AQ86*1.5,0))*(1+$BM86)*(1+$BN86))*(1+$AR86)*$BS86*$Q86*(1+IF(VLOOKUP($R86,武学奇术!$A:$ZZ,30,FALSE)="蓄力技",$B$21,0))*(1+IF(VLOOKUP($R86,武学奇术!$A:$ZZ,30,FALSE)="派生技",$B$20,0))*(1+$BW86)*(1+$BX86)</f>
        <v>30333.3735447654</v>
      </c>
      <c r="O86" s="46">
        <f>((($AT86+$AU86)/2*$AN86+$AO86)*(1+$AV86)*(1+$AW86)+(($AY86+$AZ86)/2*IF($G$1="鸣金",$AP86,$AN86)+IF($G$1="鸣金",$AQ86*1.5,0))*(1+$BA86)*(1+$BB86)+(($BC86+$BD86)/2*IF($G$1="裂石",$AP86,$AN86)+IF($G$1="裂石",$AQ86*1.5,0))*(1+$BE86)*(1+$BF86)+(($BG86+$BH86)/2*IF($G$1="牵丝",$AP86,$AN86)+IF($G$1="牵丝",$AQ86*1.5,0))*(1+$BI86)*(1+$BJ86)+(($BK86+$BL86)/2*IF($G$1="破竹",$AP86,$AN86)+IF($G$1="破竹",$AQ86*1.5,0))*(1+$BM86)*(1+$BN86))*(1+$AR86)*$Q86*(1+IF(VLOOKUP($R86,武学奇术!$A:$ZZ,30,FALSE)="蓄力技",$B$21,0))*(1+IF(VLOOKUP($R86,武学奇术!$A:$ZZ,30,FALSE)="派生技",$B$20,0))*(1+$BW86)*(1+$BX86)</f>
        <v>19653.6188346395</v>
      </c>
      <c r="P86" s="46">
        <f>((($AT86*$AN86+$AO86)*(1+$AV86)*(1+$AW86)+($AY86*IF($G$1="鸣金",$AP86,$AN86)+IF($G$1="鸣金",$AQ86*1.5,0))*(1+$BA86)*(1+$BB86)+($BC86*IF($G$1="裂石",$AP86,$AN86)+IF($G$1="裂石",$AQ86*1.5,0))*(1+$BE86)*(1+$BF86)+($BG86*IF($G$1="牵丝",$AP86,$AN86)+IF($G$1="牵丝",$AQ86*1.5,0))*(1+$BI86)*(1+$BJ86)+($BK86*IF($G$1="破竹",$AP86,$AN86)+IF($G$1="破竹",$AQ86*1.5,0))*(1+$BM86)*(1+$BN86))*(1+$AR86))*$Q86*(1+IF(VLOOKUP($R86,武学奇术!$A:$ZZ,30,FALSE)="蓄力技",$B$21,0))*(1+IF(VLOOKUP($R86,武学奇术!$A:$ZZ,30,FALSE)="派生技",$B$20,0))*(1+$BW86)*(1+$BX86)</f>
        <v>16838.072080564</v>
      </c>
      <c r="Q86" s="47">
        <f t="shared" si="27"/>
        <v>1</v>
      </c>
      <c r="R86" s="48" t="s">
        <v>144</v>
      </c>
      <c r="S86" s="48" t="s">
        <v>99</v>
      </c>
      <c r="T86" s="48" t="s">
        <v>182</v>
      </c>
      <c r="U86" s="48" t="s">
        <v>79</v>
      </c>
      <c r="V86" s="48" t="s">
        <v>90</v>
      </c>
      <c r="W86" s="48" t="s">
        <v>141</v>
      </c>
      <c r="X86" s="48" t="s">
        <v>145</v>
      </c>
      <c r="Y86" s="48" t="s">
        <v>74</v>
      </c>
      <c r="Z86" s="48" t="s">
        <v>80</v>
      </c>
      <c r="AA86" s="48" t="s">
        <v>80</v>
      </c>
      <c r="AB86" s="48" t="s">
        <v>80</v>
      </c>
      <c r="AC86" s="48" t="s">
        <v>80</v>
      </c>
      <c r="AD86" s="48" t="s">
        <v>80</v>
      </c>
      <c r="AE86" s="48" t="s">
        <v>80</v>
      </c>
      <c r="AF86" s="48" t="s">
        <v>83</v>
      </c>
      <c r="AG86" s="48" t="s">
        <v>84</v>
      </c>
      <c r="AH86" s="48" t="s">
        <v>80</v>
      </c>
      <c r="AI86" s="48" t="s">
        <v>80</v>
      </c>
      <c r="AJ86" s="48" t="s">
        <v>80</v>
      </c>
      <c r="AK86" s="48" t="s">
        <v>80</v>
      </c>
      <c r="AL86" s="48" t="s">
        <v>80</v>
      </c>
      <c r="AM86" t="str">
        <f>VLOOKUP($R86,武学奇术!$A:$ZZ,25,FALSE)</f>
        <v>陌刀</v>
      </c>
      <c r="AN86" s="33">
        <f>VLOOKUP($R86,武学奇术!$A:$ZZ,26,FALSE)</f>
        <v>0.945</v>
      </c>
      <c r="AO86" s="34">
        <f>VLOOKUP($R86,武学奇术!$A:$ZZ,27,FALSE)*(1+IF(OR($AM86=$F$4,$AM86=$F$5),$B$22,0))</f>
        <v>0</v>
      </c>
      <c r="AP86" s="33">
        <f>VLOOKUP($R86,武学奇术!$A:$ZZ,28,FALSE)</f>
        <v>1.4175</v>
      </c>
      <c r="AQ86" s="34">
        <f>VLOOKUP($R86,武学奇术!$A:$ZZ,29,FALSE)*(1+IF(OR($AM86=$F$4,$AM86=$F$5),$B$22,0))</f>
        <v>0</v>
      </c>
      <c r="AR86" s="33" cm="1">
        <f t="array" ref="AR86">$G$3+IFERROR(VLOOKUP($AM86,$F$4:$G$7,2,FALSE),0)+VLOOKUP($R86,武学奇术!$A:$ZZ,2,FALSE)+SUM(_xlfn.XLOOKUP($S86:$AL86,增益!$A:$A,增益!$B:$B,0))</f>
        <v>0.6143</v>
      </c>
      <c r="AS86" s="33" cm="1">
        <f t="array" ref="AS86">VLOOKUP($R86,武学奇术!$A:$ZZ,5,FALSE)+SUM(_xlfn.XLOOKUP($S86:$AL86,增益!$A:$A,增益!$E:$E,0))</f>
        <v>0</v>
      </c>
      <c r="AT86" cm="1">
        <f t="array" ref="AT86">$D$10*(1+$AS86)+VLOOKUP($R86,武学奇术!$A:$ZZ,3,FALSE)+SUM(_xlfn.XLOOKUP($S86:$AL86,增益!$A:$A,增益!$C:$C,0))-$I$2</f>
        <v>4026</v>
      </c>
      <c r="AU86" cm="1">
        <f t="array" ref="AU86">$E$10*(1+$AS86)+VLOOKUP($R86,武学奇术!$A:$ZZ,4,FALSE)+SUM(_xlfn.XLOOKUP($S86:$AL86,增益!$A:$A,增益!$D:$D,0))-$I$2</f>
        <v>4026</v>
      </c>
      <c r="AV86" s="40" cm="1">
        <f t="array" ref="AV86">IF($F$10-$I$3+VLOOKUP($R86,武学奇术!$A:$ZZ,6,FALSE)+SUM(_xlfn.XLOOKUP($S86:$AL86,增益!$A:$A,增益!$F:$F,0))&gt;0,($F$10-$I$3+VLOOKUP($R86,武学奇术!$A:$ZZ,6,FALSE)+SUM(_xlfn.XLOOKUP($S86:$AL86,增益!$A:$A,增益!$F:$F,0)))/200,($F$10-$I$3+VLOOKUP($R86,武学奇术!$A:$ZZ,6,FALSE)+SUM(_xlfn.XLOOKUP($S86:$AL86,增益!$A:$A,增益!$F:$F,0)))/100)</f>
        <v>0.3534</v>
      </c>
      <c r="AW86" s="40" cm="1">
        <f t="array" ref="AW86">$G$10+VLOOKUP($R86,武学奇术!$A:$ZZ,7,FALSE)+SUM(_xlfn.XLOOKUP($S86:$AL86,增益!$A:$A,增益!$G:$G,0))</f>
        <v>0.12</v>
      </c>
      <c r="AX86" s="33" cm="1">
        <f t="array" ref="AX86">VLOOKUP($R86,武学奇术!$A:$ZZ,8,FALSE)+SUM(_xlfn.XLOOKUP($S86:$AL86,增益!$A:$A,增益!$H:$H,0))</f>
        <v>0</v>
      </c>
      <c r="AY86">
        <f t="shared" si="15"/>
        <v>0</v>
      </c>
      <c r="AZ86">
        <f t="shared" si="16"/>
        <v>0</v>
      </c>
      <c r="BA86" s="40" cm="1">
        <f t="array" ref="BA86">IF($F$11-$I$4+VLOOKUP($R86,武学奇术!$A:$ZZ,9,FALSE)+SUM(_xlfn.XLOOKUP($S86:$AL86,增益!$A:$A,增益!$I:$I,0))&gt;0,($F$11-$I$4+VLOOKUP($R86,武学奇术!$A:$ZZ,9,FALSE)+SUM(_xlfn.XLOOKUP($S86:$AL86,增益!$A:$A,增益!$I:$I,0)))/200,($F$11-$I$4+VLOOKUP($R86,武学奇术!$A:$ZZ,9,FALSE)+SUM(_xlfn.XLOOKUP($S86:$AL86,增益!$A:$A,增益!$I:$I,0)))/100)</f>
        <v>-0.14</v>
      </c>
      <c r="BB86" s="40" cm="1">
        <f t="array" ref="BB86">$G$11+VLOOKUP($R86,武学奇术!$A:$ZZ,10,FALSE)+SUM(_xlfn.XLOOKUP($S86:$AL86,增益!$A:$A,增益!$J:$J,0))</f>
        <v>0</v>
      </c>
      <c r="BC86">
        <f t="shared" si="17"/>
        <v>640.3</v>
      </c>
      <c r="BD86">
        <f t="shared" si="18"/>
        <v>1770.1</v>
      </c>
      <c r="BE86" s="40" cm="1">
        <f t="array" ref="BE86">IF($F$12-$I$4+VLOOKUP($R86,武学奇术!$A:$ZZ,11,FALSE)+SUM(_xlfn.XLOOKUP($S86:$AL86,增益!$A:$A,增益!$K:$K,0))&gt;0,($F$12-$I$4+VLOOKUP($R86,武学奇术!$A:$ZZ,11,FALSE)+SUM(_xlfn.XLOOKUP($S86:$AL86,增益!$A:$A,增益!$K:$K,0)))/200,($F$12-$I$4+VLOOKUP($R86,武学奇术!$A:$ZZ,11,FALSE)+SUM(_xlfn.XLOOKUP($S86:$AL86,增益!$A:$A,增益!$K:$K,0)))/100)</f>
        <v>0.17</v>
      </c>
      <c r="BF86" s="40" cm="1">
        <f t="array" ref="BF86">$G$12+VLOOKUP($R86,武学奇术!$A:$ZZ,12,FALSE)+SUM(_xlfn.XLOOKUP($S86:$AL86,增益!$A:$A,增益!$L:$L,0))</f>
        <v>0.27</v>
      </c>
      <c r="BG86">
        <f t="shared" si="19"/>
        <v>0</v>
      </c>
      <c r="BH86">
        <f t="shared" si="20"/>
        <v>0</v>
      </c>
      <c r="BI86" s="40" cm="1">
        <f t="array" ref="BI86">IF($F$13-$I$4+VLOOKUP($R86,武学奇术!$A:$ZZ,13,FALSE)+SUM(_xlfn.XLOOKUP($S86:$AL86,增益!$A:$A,增益!$M:$M,0))&gt;0,($F$13-$I$4+VLOOKUP($R86,武学奇术!$A:$ZZ,13,FALSE)+SUM(_xlfn.XLOOKUP($S86:$AL86,增益!$A:$A,增益!$K:$K,0)))/200,($F$13-$I$4+VLOOKUP($R86,武学奇术!$A:$ZZ,13,FALSE)+SUM(_xlfn.XLOOKUP($S86:$AL86,增益!$A:$A,增益!$M:$M,0)))/100)</f>
        <v>-0.14</v>
      </c>
      <c r="BJ86" s="40" cm="1">
        <f t="array" ref="BJ86">$G$13+VLOOKUP($R86,武学奇术!$A:$ZZ,14,FALSE)+SUM(_xlfn.XLOOKUP($S86:$AL86,增益!$A:$A,增益!$N:$N,0))</f>
        <v>0</v>
      </c>
      <c r="BK86">
        <f t="shared" si="21"/>
        <v>0</v>
      </c>
      <c r="BL86">
        <f t="shared" si="22"/>
        <v>0</v>
      </c>
      <c r="BM86" s="40" cm="1">
        <f t="array" ref="BM86">IF($F$14-$I$4+VLOOKUP($R86,武学奇术!$A:$ZZ,15,FALSE)+SUM(_xlfn.XLOOKUP($S86:$AL86,增益!$A:$A,增益!$O:$O,0))&gt;0,($F$14-$I$4+VLOOKUP($R86,武学奇术!$A:$ZZ,15,FALSE)+SUM(_xlfn.XLOOKUP($S86:$AL86,增益!$A:$A,增益!$O:$O,0)))/200,($F$14-$I$4+VLOOKUP($R86,武学奇术!$A:$ZZ,15,FALSE)+SUM(_xlfn.XLOOKUP($S86:$AL86,增益!$A:$A,增益!$O:$O,0)))/100)</f>
        <v>-0.14</v>
      </c>
      <c r="BN86" s="40" cm="1">
        <f t="array" ref="BN86">$G$14+VLOOKUP($R86,武学奇术!$A:$ZZ,16,FALSE)+SUM(_xlfn.XLOOKUP($S86:$AL86,增益!$A:$A,增益!$P:$P,0))</f>
        <v>0</v>
      </c>
      <c r="BO86" s="33">
        <f>MIN(IF(VLOOKUP($R86,武学奇术!$A:$ZZ,23,FALSE)=1,100%,$B$8),100%)</f>
        <v>1</v>
      </c>
      <c r="BP86" s="33" cm="1">
        <f t="array" ref="BP86">IF(VLOOKUP($R86,武学奇术!$A:$ZZ,23,FALSE)=1,100%,MIN(80%,$B$9+VLOOKUP($R86,武学奇术!$A:$ZZ,17,FALSE)+SUM(_xlfn.XLOOKUP($S86:$AL86,增益!$A:$A,增益!$Q:$Q,0)))+$B$11+SUM(_xlfn.XLOOKUP($S86:$AL86,增益!$A:$A,增益!$U:$U,0)))*IF(VLOOKUP($R86,武学奇术!$A:$ZZ,24,FALSE)=1,0,1)</f>
        <v>1</v>
      </c>
      <c r="BQ86" s="33" cm="1">
        <f t="array" ref="BQ86">1+$B$13+VLOOKUP($R86,武学奇术!$A:$ZZ,18,FALSE)+SUM(_xlfn.XLOOKUP($S86:$AL86,增益!$A:$A,增益!$R:$R,0))</f>
        <v>2.1</v>
      </c>
      <c r="BR86" s="33" cm="1">
        <f t="array" ref="BR86">IF(VLOOKUP($R86,武学奇术!$A:$ZZ,24,FALSE)=1,100%,MIN(40%,$B$10+VLOOKUP($R86,武学奇术!$A:$ZZ,19,FALSE)+SUM(_xlfn.XLOOKUP($S86:$AL86,增益!$A:$A,增益!$S:$S,0)))+$B$12+SUM(_xlfn.XLOOKUP($S86:$AL86,增益!$A:$A,增益!$V:$V,0)))*IF(VLOOKUP($R86,武学奇术!$A:$ZZ,23,FALSE)=1,0,1)</f>
        <v>0</v>
      </c>
      <c r="BS86" s="33" cm="1">
        <f t="array" ref="BS86">1+$B$14+VLOOKUP($R86,武学奇术!$A:$ZZ,20,FALSE)+SUM(_xlfn.XLOOKUP($S86:$AL86,增益!$A:$A,增益!$T:$T,0))</f>
        <v>1.35</v>
      </c>
      <c r="BT86" s="33">
        <f t="shared" si="23"/>
        <v>1</v>
      </c>
      <c r="BU86" s="33">
        <f t="shared" si="24"/>
        <v>0</v>
      </c>
      <c r="BV86" s="33">
        <f>IF(VLOOKUP($R86,武学奇术!$A:$ZZ,22,FALSE)=1,0,(1-$BO86))*(1-$BR86)</f>
        <v>0</v>
      </c>
      <c r="BW86" s="33" cm="1">
        <f t="array" ref="BW86">SUM(_xlfn.XLOOKUP($S86:$AL86,增益!$A:$A,增益!$W:$W,0))+$I$5</f>
        <v>0.11</v>
      </c>
      <c r="BX86" s="33" cm="1">
        <f t="array" ref="BX86">VLOOKUP($R86,武学奇术!$A:$ZZ,32,FALSE)+SUM(_xlfn.XLOOKUP($S86:$AL86,增益!$A:$A,增益!$X:$X,0))</f>
        <v>0</v>
      </c>
    </row>
    <row r="87" spans="1:76">
      <c r="L87" s="46">
        <f t="shared" si="14"/>
        <v>443667.856724143</v>
      </c>
      <c r="M87" s="46">
        <f>((($AT87+$AU87)/2*$AN87+$AO87)*(1+$AV87)*(1+$AW87)+(($AY87+$AZ87)/2*IF($G$1="鸣金",$AP87,$AN87)+IF($G$1="鸣金",$AQ87*1.5,0))*(1+$BA87)*(1+$BB87)+(($BC87+$BD87)/2*IF($G$1="裂石",$AP87,$AN87)+IF($G$1="裂石",$AQ87*1.5,0))*(1+$BE87)*(1+$BF87)+(($BG87+$BH87)/2*IF($G$1="牵丝",$AP87,$AN87)+IF($G$1="牵丝",$AQ87*1.5,0))*(1+$BI87)*(1+$BJ87)+(($BK87+$BL87)/2*IF($G$1="破竹",$AP87,$AN87)+IF($G$1="破竹",$AQ87*1.5,0))*(1+$BM87)*(1+$BN87))*(1+$AR87)*$BQ87*$Q87*(1+IF(VLOOKUP($R87,武学奇术!$A:$ZZ,30,FALSE)="蓄力技",$B$21,0))*(1+IF(VLOOKUP($R87,武学奇术!$A:$ZZ,30,FALSE)="派生技",$B$20,0))*(1+$BW87)*(1+$BX87)</f>
        <v>443667.856724143</v>
      </c>
      <c r="N87" s="46">
        <f>(($AU87*$AN87+$AO87)*(1+$AV87)*(1+$AW87)+($AZ87*IF($G$1="鸣金",$AP87,$AN87)+IF($G$1="鸣金",$AQ87*1.5,0))*(1+$BA87)*(1+$BB87)+($BD87*IF($G$1="裂石",$AP87,$AN87)+IF($G$1="裂石",$AQ87*1.5,0))*(1+$BE87)*(1+$BF87)+($BH87*IF($G$1="牵丝",$AP87,$AN87)+IF($G$1="牵丝",$AQ87*1.5,0))*(1+$BI87)*(1+$BJ87)+($BL87*IF($G$1="破竹",$AP87,$AN87)+IF($G$1="破竹",$AQ87*1.5,0))*(1+$BM87)*(1+$BN87))*(1+$AR87)*$BS87*$Q87*(1+IF(VLOOKUP($R87,武学奇术!$A:$ZZ,30,FALSE)="蓄力技",$B$21,0))*(1+IF(VLOOKUP($R87,武学奇术!$A:$ZZ,30,FALSE)="派生技",$B$20,0))*(1+$BW87)*(1+$BX87)</f>
        <v>321137.301246704</v>
      </c>
      <c r="O87" s="46">
        <f>((($AT87+$AU87)/2*$AN87+$AO87)*(1+$AV87)*(1+$AW87)+(($AY87+$AZ87)/2*IF($G$1="鸣金",$AP87,$AN87)+IF($G$1="鸣金",$AQ87*1.5,0))*(1+$BA87)*(1+$BB87)+(($BC87+$BD87)/2*IF($G$1="裂石",$AP87,$AN87)+IF($G$1="裂石",$AQ87*1.5,0))*(1+$BE87)*(1+$BF87)+(($BG87+$BH87)/2*IF($G$1="牵丝",$AP87,$AN87)+IF($G$1="牵丝",$AQ87*1.5,0))*(1+$BI87)*(1+$BJ87)+(($BK87+$BL87)/2*IF($G$1="破竹",$AP87,$AN87)+IF($G$1="破竹",$AQ87*1.5,0))*(1+$BM87)*(1+$BN87))*(1+$AR87)*$Q87*(1+IF(VLOOKUP($R87,武学奇术!$A:$ZZ,30,FALSE)="蓄力技",$B$21,0))*(1+IF(VLOOKUP($R87,武学奇术!$A:$ZZ,30,FALSE)="派生技",$B$20,0))*(1+$BW87)*(1+$BX87)</f>
        <v>211270.407963878</v>
      </c>
      <c r="P87" s="46">
        <f>((($AT87*$AN87+$AO87)*(1+$AV87)*(1+$AW87)+($AY87*IF($G$1="鸣金",$AP87,$AN87)+IF($G$1="鸣金",$AQ87*1.5,0))*(1+$BA87)*(1+$BB87)+($BC87*IF($G$1="裂石",$AP87,$AN87)+IF($G$1="裂石",$AQ87*1.5,0))*(1+$BE87)*(1+$BF87)+($BG87*IF($G$1="牵丝",$AP87,$AN87)+IF($G$1="牵丝",$AQ87*1.5,0))*(1+$BI87)*(1+$BJ87)+($BK87*IF($G$1="破竹",$AP87,$AN87)+IF($G$1="破竹",$AQ87*1.5,0))*(1+$BM87)*(1+$BN87))*(1+$AR87))*$Q87*(1+IF(VLOOKUP($R87,武学奇术!$A:$ZZ,30,FALSE)="蓄力技",$B$21,0))*(1+IF(VLOOKUP($R87,武学奇术!$A:$ZZ,30,FALSE)="派生技",$B$20,0))*(1+$BW87)*(1+$BX87)</f>
        <v>184661.333522789</v>
      </c>
      <c r="Q87" s="47">
        <f t="shared" si="27"/>
        <v>1</v>
      </c>
      <c r="R87" s="48" t="s">
        <v>148</v>
      </c>
      <c r="S87" s="48" t="s">
        <v>99</v>
      </c>
      <c r="T87" s="48" t="s">
        <v>182</v>
      </c>
      <c r="U87" s="48" t="s">
        <v>79</v>
      </c>
      <c r="V87" s="48" t="s">
        <v>90</v>
      </c>
      <c r="W87" s="48" t="s">
        <v>141</v>
      </c>
      <c r="X87" s="48" t="s">
        <v>145</v>
      </c>
      <c r="Y87" s="48" t="s">
        <v>74</v>
      </c>
      <c r="Z87" s="48" t="s">
        <v>80</v>
      </c>
      <c r="AA87" s="48" t="s">
        <v>183</v>
      </c>
      <c r="AB87" s="48" t="s">
        <v>184</v>
      </c>
      <c r="AC87" s="48" t="s">
        <v>80</v>
      </c>
      <c r="AD87" s="48" t="s">
        <v>80</v>
      </c>
      <c r="AE87" s="48" t="s">
        <v>80</v>
      </c>
      <c r="AF87" s="48" t="s">
        <v>83</v>
      </c>
      <c r="AG87" s="48" t="s">
        <v>84</v>
      </c>
      <c r="AH87" s="48" t="s">
        <v>80</v>
      </c>
      <c r="AI87" s="48" t="s">
        <v>80</v>
      </c>
      <c r="AJ87" s="48" t="s">
        <v>80</v>
      </c>
      <c r="AK87" s="48" t="s">
        <v>80</v>
      </c>
      <c r="AL87" s="48" t="s">
        <v>80</v>
      </c>
      <c r="AM87" t="str">
        <f>VLOOKUP($R87,武学奇术!$A:$ZZ,25,FALSE)</f>
        <v>陌刀</v>
      </c>
      <c r="AN87" s="33">
        <f>VLOOKUP($R87,武学奇术!$A:$ZZ,26,FALSE)</f>
        <v>7.5674</v>
      </c>
      <c r="AO87" s="34">
        <f>VLOOKUP($R87,武学奇术!$A:$ZZ,27,FALSE)*(1+IF(OR($AM87=$F$4,$AM87=$F$5),$B$22,0))</f>
        <v>3348.8</v>
      </c>
      <c r="AP87" s="33">
        <f>VLOOKUP($R87,武学奇术!$A:$ZZ,28,FALSE)</f>
        <v>11.3512</v>
      </c>
      <c r="AQ87" s="34">
        <f>VLOOKUP($R87,武学奇术!$A:$ZZ,29,FALSE)*(1+IF(OR($AM87=$F$4,$AM87=$F$5),$B$22,0))</f>
        <v>1824</v>
      </c>
      <c r="AR87" s="33" cm="1">
        <f t="array" ref="AR87">$G$3+IFERROR(VLOOKUP($AM87,$F$4:$G$7,2,FALSE),0)+VLOOKUP($R87,武学奇术!$A:$ZZ,2,FALSE)+SUM(_xlfn.XLOOKUP($S87:$AL87,增益!$A:$A,增益!$B:$B,0))</f>
        <v>0.6143</v>
      </c>
      <c r="AS87" s="33" cm="1">
        <f t="array" ref="AS87">VLOOKUP($R87,武学奇术!$A:$ZZ,5,FALSE)+SUM(_xlfn.XLOOKUP($S87:$AL87,增益!$A:$A,增益!$E:$E,0))</f>
        <v>0</v>
      </c>
      <c r="AT87" cm="1">
        <f t="array" ref="AT87">$D$10*(1+$AS87)+VLOOKUP($R87,武学奇术!$A:$ZZ,3,FALSE)+SUM(_xlfn.XLOOKUP($S87:$AL87,增益!$A:$A,增益!$C:$C,0))-$I$2</f>
        <v>4026</v>
      </c>
      <c r="AU87" cm="1">
        <f t="array" ref="AU87">$E$10*(1+$AS87)+VLOOKUP($R87,武学奇术!$A:$ZZ,4,FALSE)+SUM(_xlfn.XLOOKUP($S87:$AL87,增益!$A:$A,增益!$D:$D,0))-$I$2</f>
        <v>4026</v>
      </c>
      <c r="AV87" s="40" cm="1">
        <f t="array" ref="AV87">IF($F$10-$I$3+VLOOKUP($R87,武学奇术!$A:$ZZ,6,FALSE)+SUM(_xlfn.XLOOKUP($S87:$AL87,增益!$A:$A,增益!$F:$F,0))&gt;0,($F$10-$I$3+VLOOKUP($R87,武学奇术!$A:$ZZ,6,FALSE)+SUM(_xlfn.XLOOKUP($S87:$AL87,增益!$A:$A,增益!$F:$F,0)))/200,($F$10-$I$3+VLOOKUP($R87,武学奇术!$A:$ZZ,6,FALSE)+SUM(_xlfn.XLOOKUP($S87:$AL87,增益!$A:$A,增益!$F:$F,0)))/100)</f>
        <v>0.3534</v>
      </c>
      <c r="AW87" s="40" cm="1">
        <f t="array" ref="AW87">$G$10+VLOOKUP($R87,武学奇术!$A:$ZZ,7,FALSE)+SUM(_xlfn.XLOOKUP($S87:$AL87,增益!$A:$A,增益!$G:$G,0))</f>
        <v>0.12</v>
      </c>
      <c r="AX87" s="33" cm="1">
        <f t="array" ref="AX87">VLOOKUP($R87,武学奇术!$A:$ZZ,8,FALSE)+SUM(_xlfn.XLOOKUP($S87:$AL87,增益!$A:$A,增益!$H:$H,0))</f>
        <v>0</v>
      </c>
      <c r="AY87">
        <f t="shared" si="15"/>
        <v>0</v>
      </c>
      <c r="AZ87">
        <f t="shared" si="16"/>
        <v>0</v>
      </c>
      <c r="BA87" s="40" cm="1">
        <f t="array" ref="BA87">IF($F$11-$I$4+VLOOKUP($R87,武学奇术!$A:$ZZ,9,FALSE)+SUM(_xlfn.XLOOKUP($S87:$AL87,增益!$A:$A,增益!$I:$I,0))&gt;0,($F$11-$I$4+VLOOKUP($R87,武学奇术!$A:$ZZ,9,FALSE)+SUM(_xlfn.XLOOKUP($S87:$AL87,增益!$A:$A,增益!$I:$I,0)))/200,($F$11-$I$4+VLOOKUP($R87,武学奇术!$A:$ZZ,9,FALSE)+SUM(_xlfn.XLOOKUP($S87:$AL87,增益!$A:$A,增益!$I:$I,0)))/100)</f>
        <v>-0.14</v>
      </c>
      <c r="BB87" s="40" cm="1">
        <f t="array" ref="BB87">$G$11+VLOOKUP($R87,武学奇术!$A:$ZZ,10,FALSE)+SUM(_xlfn.XLOOKUP($S87:$AL87,增益!$A:$A,增益!$J:$J,0))</f>
        <v>0.1</v>
      </c>
      <c r="BC87">
        <f t="shared" si="17"/>
        <v>640.3</v>
      </c>
      <c r="BD87">
        <f t="shared" si="18"/>
        <v>1770.1</v>
      </c>
      <c r="BE87" s="40" cm="1">
        <f t="array" ref="BE87">IF($F$12-$I$4+VLOOKUP($R87,武学奇术!$A:$ZZ,11,FALSE)+SUM(_xlfn.XLOOKUP($S87:$AL87,增益!$A:$A,增益!$K:$K,0))&gt;0,($F$12-$I$4+VLOOKUP($R87,武学奇术!$A:$ZZ,11,FALSE)+SUM(_xlfn.XLOOKUP($S87:$AL87,增益!$A:$A,增益!$K:$K,0)))/200,($F$12-$I$4+VLOOKUP($R87,武学奇术!$A:$ZZ,11,FALSE)+SUM(_xlfn.XLOOKUP($S87:$AL87,增益!$A:$A,增益!$K:$K,0)))/100)</f>
        <v>0.17</v>
      </c>
      <c r="BF87" s="40" cm="1">
        <f t="array" ref="BF87">$G$12+VLOOKUP($R87,武学奇术!$A:$ZZ,12,FALSE)+SUM(_xlfn.XLOOKUP($S87:$AL87,增益!$A:$A,增益!$L:$L,0))</f>
        <v>0.27</v>
      </c>
      <c r="BG87">
        <f t="shared" si="19"/>
        <v>0</v>
      </c>
      <c r="BH87">
        <f t="shared" si="20"/>
        <v>0</v>
      </c>
      <c r="BI87" s="40" cm="1">
        <f t="array" ref="BI87">IF($F$13-$I$4+VLOOKUP($R87,武学奇术!$A:$ZZ,13,FALSE)+SUM(_xlfn.XLOOKUP($S87:$AL87,增益!$A:$A,增益!$M:$M,0))&gt;0,($F$13-$I$4+VLOOKUP($R87,武学奇术!$A:$ZZ,13,FALSE)+SUM(_xlfn.XLOOKUP($S87:$AL87,增益!$A:$A,增益!$K:$K,0)))/200,($F$13-$I$4+VLOOKUP($R87,武学奇术!$A:$ZZ,13,FALSE)+SUM(_xlfn.XLOOKUP($S87:$AL87,增益!$A:$A,增益!$M:$M,0)))/100)</f>
        <v>-0.14</v>
      </c>
      <c r="BJ87" s="40" cm="1">
        <f t="array" ref="BJ87">$G$13+VLOOKUP($R87,武学奇术!$A:$ZZ,14,FALSE)+SUM(_xlfn.XLOOKUP($S87:$AL87,增益!$A:$A,增益!$N:$N,0))</f>
        <v>0</v>
      </c>
      <c r="BK87">
        <f t="shared" si="21"/>
        <v>0</v>
      </c>
      <c r="BL87">
        <f t="shared" si="22"/>
        <v>0</v>
      </c>
      <c r="BM87" s="40" cm="1">
        <f t="array" ref="BM87">IF($F$14-$I$4+VLOOKUP($R87,武学奇术!$A:$ZZ,15,FALSE)+SUM(_xlfn.XLOOKUP($S87:$AL87,增益!$A:$A,增益!$O:$O,0))&gt;0,($F$14-$I$4+VLOOKUP($R87,武学奇术!$A:$ZZ,15,FALSE)+SUM(_xlfn.XLOOKUP($S87:$AL87,增益!$A:$A,增益!$O:$O,0)))/200,($F$14-$I$4+VLOOKUP($R87,武学奇术!$A:$ZZ,15,FALSE)+SUM(_xlfn.XLOOKUP($S87:$AL87,增益!$A:$A,增益!$O:$O,0)))/100)</f>
        <v>-0.14</v>
      </c>
      <c r="BN87" s="40" cm="1">
        <f t="array" ref="BN87">$G$14+VLOOKUP($R87,武学奇术!$A:$ZZ,16,FALSE)+SUM(_xlfn.XLOOKUP($S87:$AL87,增益!$A:$A,增益!$P:$P,0))</f>
        <v>0</v>
      </c>
      <c r="BO87" s="33">
        <f>MIN(IF(VLOOKUP($R87,武学奇术!$A:$ZZ,23,FALSE)=1,100%,$B$8),100%)</f>
        <v>1</v>
      </c>
      <c r="BP87" s="33" cm="1">
        <f t="array" ref="BP87">IF(VLOOKUP($R87,武学奇术!$A:$ZZ,23,FALSE)=1,100%,MIN(80%,$B$9+VLOOKUP($R87,武学奇术!$A:$ZZ,17,FALSE)+SUM(_xlfn.XLOOKUP($S87:$AL87,增益!$A:$A,增益!$Q:$Q,0)))+$B$11+SUM(_xlfn.XLOOKUP($S87:$AL87,增益!$A:$A,增益!$U:$U,0)))*IF(VLOOKUP($R87,武学奇术!$A:$ZZ,24,FALSE)=1,0,1)</f>
        <v>1</v>
      </c>
      <c r="BQ87" s="33" cm="1">
        <f t="array" ref="BQ87">1+$B$13+VLOOKUP($R87,武学奇术!$A:$ZZ,18,FALSE)+SUM(_xlfn.XLOOKUP($S87:$AL87,增益!$A:$A,增益!$R:$R,0))</f>
        <v>2.1</v>
      </c>
      <c r="BR87" s="33" cm="1">
        <f t="array" ref="BR87">IF(VLOOKUP($R87,武学奇术!$A:$ZZ,24,FALSE)=1,100%,MIN(40%,$B$10+VLOOKUP($R87,武学奇术!$A:$ZZ,19,FALSE)+SUM(_xlfn.XLOOKUP($S87:$AL87,增益!$A:$A,增益!$S:$S,0)))+$B$12+SUM(_xlfn.XLOOKUP($S87:$AL87,增益!$A:$A,增益!$V:$V,0)))*IF(VLOOKUP($R87,武学奇术!$A:$ZZ,23,FALSE)=1,0,1)</f>
        <v>0</v>
      </c>
      <c r="BS87" s="33" cm="1">
        <f t="array" ref="BS87">1+$B$14+VLOOKUP($R87,武学奇术!$A:$ZZ,20,FALSE)+SUM(_xlfn.XLOOKUP($S87:$AL87,增益!$A:$A,增益!$T:$T,0))</f>
        <v>1.35</v>
      </c>
      <c r="BT87" s="33">
        <f t="shared" si="23"/>
        <v>1</v>
      </c>
      <c r="BU87" s="33">
        <f t="shared" si="24"/>
        <v>0</v>
      </c>
      <c r="BV87" s="33">
        <f>IF(VLOOKUP($R87,武学奇术!$A:$ZZ,22,FALSE)=1,0,(1-$BO87))*(1-$BR87)</f>
        <v>0</v>
      </c>
      <c r="BW87" s="33" cm="1">
        <f t="array" ref="BW87">SUM(_xlfn.XLOOKUP($S87:$AL87,增益!$A:$A,增益!$W:$W,0))+$I$5</f>
        <v>0.31</v>
      </c>
      <c r="BX87" s="33" cm="1">
        <f t="array" ref="BX87">VLOOKUP($R87,武学奇术!$A:$ZZ,32,FALSE)+SUM(_xlfn.XLOOKUP($S87:$AL87,增益!$A:$A,增益!$X:$X,0))</f>
        <v>0</v>
      </c>
    </row>
    <row r="88" spans="1:76">
      <c r="L88" s="46">
        <f t="shared" si="14"/>
        <v>54121.2266407341</v>
      </c>
      <c r="M88" s="46">
        <f>((($AT88+$AU88)/2*$AN88+$AO88)*(1+$AV88)*(1+$AW88)+(($AY88+$AZ88)/2*IF($G$1="鸣金",$AP88,$AN88)+IF($G$1="鸣金",$AQ88*1.5,0))*(1+$BA88)*(1+$BB88)+(($BC88+$BD88)/2*IF($G$1="裂石",$AP88,$AN88)+IF($G$1="裂石",$AQ88*1.5,0))*(1+$BE88)*(1+$BF88)+(($BG88+$BH88)/2*IF($G$1="牵丝",$AP88,$AN88)+IF($G$1="牵丝",$AQ88*1.5,0))*(1+$BI88)*(1+$BJ88)+(($BK88+$BL88)/2*IF($G$1="破竹",$AP88,$AN88)+IF($G$1="破竹",$AQ88*1.5,0))*(1+$BM88)*(1+$BN88))*(1+$AR88)*$BQ88*$Q88*(1+IF(VLOOKUP($R88,武学奇术!$A:$ZZ,30,FALSE)="蓄力技",$B$21,0))*(1+IF(VLOOKUP($R88,武学奇术!$A:$ZZ,30,FALSE)="派生技",$B$20,0))*(1+$BW88)*(1+$BX88)</f>
        <v>54121.2266407341</v>
      </c>
      <c r="N88" s="46">
        <f>(($AU88*$AN88+$AO88)*(1+$AV88)*(1+$AW88)+($AZ88*IF($G$1="鸣金",$AP88,$AN88)+IF($G$1="鸣金",$AQ88*1.5,0))*(1+$BA88)*(1+$BB88)+($BD88*IF($G$1="裂石",$AP88,$AN88)+IF($G$1="裂石",$AQ88*1.5,0))*(1+$BE88)*(1+$BF88)+($BH88*IF($G$1="牵丝",$AP88,$AN88)+IF($G$1="牵丝",$AQ88*1.5,0))*(1+$BI88)*(1+$BJ88)+($BL88*IF($G$1="破竹",$AP88,$AN88)+IF($G$1="破竹",$AQ88*1.5,0))*(1+$BM88)*(1+$BN88))*(1+$AR88)*$BS88*$Q88*(1+IF(VLOOKUP($R88,武学奇术!$A:$ZZ,30,FALSE)="蓄力技",$B$21,0))*(1+IF(VLOOKUP($R88,武学奇术!$A:$ZZ,30,FALSE)="派生技",$B$20,0))*(1+$BW88)*(1+$BX88)</f>
        <v>39776.4958394821</v>
      </c>
      <c r="O88" s="46">
        <f>((($AT88+$AU88)/2*$AN88+$AO88)*(1+$AV88)*(1+$AW88)+(($AY88+$AZ88)/2*IF($G$1="鸣金",$AP88,$AN88)+IF($G$1="鸣金",$AQ88*1.5,0))*(1+$BA88)*(1+$BB88)+(($BC88+$BD88)/2*IF($G$1="裂石",$AP88,$AN88)+IF($G$1="裂石",$AQ88*1.5,0))*(1+$BE88)*(1+$BF88)+(($BG88+$BH88)/2*IF($G$1="牵丝",$AP88,$AN88)+IF($G$1="牵丝",$AQ88*1.5,0))*(1+$BI88)*(1+$BJ88)+(($BK88+$BL88)/2*IF($G$1="破竹",$AP88,$AN88)+IF($G$1="破竹",$AQ88*1.5,0))*(1+$BM88)*(1+$BN88))*(1+$AR88)*$Q88*(1+IF(VLOOKUP($R88,武学奇术!$A:$ZZ,30,FALSE)="蓄力技",$B$21,0))*(1+IF(VLOOKUP($R88,武学奇术!$A:$ZZ,30,FALSE)="派生技",$B$20,0))*(1+$BW88)*(1+$BX88)</f>
        <v>25772.0126860639</v>
      </c>
      <c r="P88" s="46">
        <f>((($AT88*$AN88+$AO88)*(1+$AV88)*(1+$AW88)+($AY88*IF($G$1="鸣金",$AP88,$AN88)+IF($G$1="鸣金",$AQ88*1.5,0))*(1+$BA88)*(1+$BB88)+($BC88*IF($G$1="裂石",$AP88,$AN88)+IF($G$1="裂石",$AQ88*1.5,0))*(1+$BE88)*(1+$BF88)+($BG88*IF($G$1="牵丝",$AP88,$AN88)+IF($G$1="牵丝",$AQ88*1.5,0))*(1+$BI88)*(1+$BJ88)+($BK88*IF($G$1="破竹",$AP88,$AN88)+IF($G$1="破竹",$AQ88*1.5,0))*(1+$BM88)*(1+$BN88))*(1+$AR88))*$Q88*(1+IF(VLOOKUP($R88,武学奇术!$A:$ZZ,30,FALSE)="蓄力技",$B$21,0))*(1+IF(VLOOKUP($R88,武学奇术!$A:$ZZ,30,FALSE)="派生技",$B$20,0))*(1+$BW88)*(1+$BX88)</f>
        <v>22079.9543799188</v>
      </c>
      <c r="Q88" s="47">
        <f t="shared" ref="Q88:Q90" si="28">IF($E$24="陌刀",2,0)</f>
        <v>2</v>
      </c>
      <c r="R88" s="48" t="s">
        <v>154</v>
      </c>
      <c r="S88" s="48" t="s">
        <v>99</v>
      </c>
      <c r="T88" s="48" t="s">
        <v>182</v>
      </c>
      <c r="U88" s="48" t="s">
        <v>79</v>
      </c>
      <c r="V88" s="48" t="s">
        <v>90</v>
      </c>
      <c r="W88" s="48" t="s">
        <v>141</v>
      </c>
      <c r="X88" s="48" t="s">
        <v>145</v>
      </c>
      <c r="Y88" s="48" t="s">
        <v>74</v>
      </c>
      <c r="Z88" s="48" t="s">
        <v>80</v>
      </c>
      <c r="AA88" s="48" t="s">
        <v>183</v>
      </c>
      <c r="AB88" s="48" t="s">
        <v>184</v>
      </c>
      <c r="AC88" s="48" t="s">
        <v>80</v>
      </c>
      <c r="AD88" s="48" t="s">
        <v>80</v>
      </c>
      <c r="AE88" s="48" t="s">
        <v>80</v>
      </c>
      <c r="AF88" s="48" t="s">
        <v>83</v>
      </c>
      <c r="AG88" s="48" t="s">
        <v>84</v>
      </c>
      <c r="AH88" s="48" t="s">
        <v>80</v>
      </c>
      <c r="AI88" s="48" t="s">
        <v>80</v>
      </c>
      <c r="AJ88" s="48" t="s">
        <v>80</v>
      </c>
      <c r="AK88" s="48" t="s">
        <v>80</v>
      </c>
      <c r="AL88" s="48" t="s">
        <v>80</v>
      </c>
      <c r="AM88" t="str">
        <f>VLOOKUP($R88,武学奇术!$A:$ZZ,25,FALSE)</f>
        <v>陌刀</v>
      </c>
      <c r="AN88" s="33">
        <f>VLOOKUP($R88,武学奇术!$A:$ZZ,26,FALSE)</f>
        <v>0.525</v>
      </c>
      <c r="AO88" s="34">
        <f>VLOOKUP($R88,武学奇术!$A:$ZZ,27,FALSE)*(1+IF(OR($AM88=$F$4,$AM88=$F$5),$B$22,0))</f>
        <v>0</v>
      </c>
      <c r="AP88" s="33">
        <f>VLOOKUP($R88,武学奇术!$A:$ZZ,28,FALSE)</f>
        <v>0.7875</v>
      </c>
      <c r="AQ88" s="34">
        <f>VLOOKUP($R88,武学奇术!$A:$ZZ,29,FALSE)*(1+IF(OR($AM88=$F$4,$AM88=$F$5),$B$22,0))</f>
        <v>0</v>
      </c>
      <c r="AR88" s="33" cm="1">
        <f t="array" ref="AR88">$G$3+IFERROR(VLOOKUP($AM88,$F$4:$G$7,2,FALSE),0)+VLOOKUP($R88,武学奇术!$A:$ZZ,2,FALSE)+SUM(_xlfn.XLOOKUP($S88:$AL88,增益!$A:$A,增益!$B:$B,0))</f>
        <v>0.6143</v>
      </c>
      <c r="AS88" s="33" cm="1">
        <f t="array" ref="AS88">VLOOKUP($R88,武学奇术!$A:$ZZ,5,FALSE)+SUM(_xlfn.XLOOKUP($S88:$AL88,增益!$A:$A,增益!$E:$E,0))</f>
        <v>0</v>
      </c>
      <c r="AT88" cm="1">
        <f t="array" ref="AT88">$D$10*(1+$AS88)+VLOOKUP($R88,武学奇术!$A:$ZZ,3,FALSE)+SUM(_xlfn.XLOOKUP($S88:$AL88,增益!$A:$A,增益!$C:$C,0))-$I$2</f>
        <v>4026</v>
      </c>
      <c r="AU88" cm="1">
        <f t="array" ref="AU88">$E$10*(1+$AS88)+VLOOKUP($R88,武学奇术!$A:$ZZ,4,FALSE)+SUM(_xlfn.XLOOKUP($S88:$AL88,增益!$A:$A,增益!$D:$D,0))-$I$2</f>
        <v>4026</v>
      </c>
      <c r="AV88" s="40" cm="1">
        <f t="array" ref="AV88">IF($F$10-$I$3+VLOOKUP($R88,武学奇术!$A:$ZZ,6,FALSE)+SUM(_xlfn.XLOOKUP($S88:$AL88,增益!$A:$A,增益!$F:$F,0))&gt;0,($F$10-$I$3+VLOOKUP($R88,武学奇术!$A:$ZZ,6,FALSE)+SUM(_xlfn.XLOOKUP($S88:$AL88,增益!$A:$A,增益!$F:$F,0)))/200,($F$10-$I$3+VLOOKUP($R88,武学奇术!$A:$ZZ,6,FALSE)+SUM(_xlfn.XLOOKUP($S88:$AL88,增益!$A:$A,增益!$F:$F,0)))/100)</f>
        <v>0.3534</v>
      </c>
      <c r="AW88" s="40" cm="1">
        <f t="array" ref="AW88">$G$10+VLOOKUP($R88,武学奇术!$A:$ZZ,7,FALSE)+SUM(_xlfn.XLOOKUP($S88:$AL88,增益!$A:$A,增益!$G:$G,0))</f>
        <v>0.12</v>
      </c>
      <c r="AX88" s="33" cm="1">
        <f t="array" ref="AX88">VLOOKUP($R88,武学奇术!$A:$ZZ,8,FALSE)+SUM(_xlfn.XLOOKUP($S88:$AL88,增益!$A:$A,增益!$H:$H,0))</f>
        <v>0</v>
      </c>
      <c r="AY88">
        <f t="shared" si="15"/>
        <v>0</v>
      </c>
      <c r="AZ88">
        <f t="shared" si="16"/>
        <v>0</v>
      </c>
      <c r="BA88" s="40" cm="1">
        <f t="array" ref="BA88">IF($F$11-$I$4+VLOOKUP($R88,武学奇术!$A:$ZZ,9,FALSE)+SUM(_xlfn.XLOOKUP($S88:$AL88,增益!$A:$A,增益!$I:$I,0))&gt;0,($F$11-$I$4+VLOOKUP($R88,武学奇术!$A:$ZZ,9,FALSE)+SUM(_xlfn.XLOOKUP($S88:$AL88,增益!$A:$A,增益!$I:$I,0)))/200,($F$11-$I$4+VLOOKUP($R88,武学奇术!$A:$ZZ,9,FALSE)+SUM(_xlfn.XLOOKUP($S88:$AL88,增益!$A:$A,增益!$I:$I,0)))/100)</f>
        <v>-0.14</v>
      </c>
      <c r="BB88" s="40" cm="1">
        <f t="array" ref="BB88">$G$11+VLOOKUP($R88,武学奇术!$A:$ZZ,10,FALSE)+SUM(_xlfn.XLOOKUP($S88:$AL88,增益!$A:$A,增益!$J:$J,0))</f>
        <v>0.1</v>
      </c>
      <c r="BC88">
        <f t="shared" si="17"/>
        <v>640.3</v>
      </c>
      <c r="BD88">
        <f t="shared" si="18"/>
        <v>1770.1</v>
      </c>
      <c r="BE88" s="40" cm="1">
        <f t="array" ref="BE88">IF($F$12-$I$4+VLOOKUP($R88,武学奇术!$A:$ZZ,11,FALSE)+SUM(_xlfn.XLOOKUP($S88:$AL88,增益!$A:$A,增益!$K:$K,0))&gt;0,($F$12-$I$4+VLOOKUP($R88,武学奇术!$A:$ZZ,11,FALSE)+SUM(_xlfn.XLOOKUP($S88:$AL88,增益!$A:$A,增益!$K:$K,0)))/200,($F$12-$I$4+VLOOKUP($R88,武学奇术!$A:$ZZ,11,FALSE)+SUM(_xlfn.XLOOKUP($S88:$AL88,增益!$A:$A,增益!$K:$K,0)))/100)</f>
        <v>0.17</v>
      </c>
      <c r="BF88" s="40" cm="1">
        <f t="array" ref="BF88">$G$12+VLOOKUP($R88,武学奇术!$A:$ZZ,12,FALSE)+SUM(_xlfn.XLOOKUP($S88:$AL88,增益!$A:$A,增益!$L:$L,0))</f>
        <v>0.27</v>
      </c>
      <c r="BG88">
        <f t="shared" si="19"/>
        <v>0</v>
      </c>
      <c r="BH88">
        <f t="shared" si="20"/>
        <v>0</v>
      </c>
      <c r="BI88" s="40" cm="1">
        <f t="array" ref="BI88">IF($F$13-$I$4+VLOOKUP($R88,武学奇术!$A:$ZZ,13,FALSE)+SUM(_xlfn.XLOOKUP($S88:$AL88,增益!$A:$A,增益!$M:$M,0))&gt;0,($F$13-$I$4+VLOOKUP($R88,武学奇术!$A:$ZZ,13,FALSE)+SUM(_xlfn.XLOOKUP($S88:$AL88,增益!$A:$A,增益!$K:$K,0)))/200,($F$13-$I$4+VLOOKUP($R88,武学奇术!$A:$ZZ,13,FALSE)+SUM(_xlfn.XLOOKUP($S88:$AL88,增益!$A:$A,增益!$M:$M,0)))/100)</f>
        <v>-0.14</v>
      </c>
      <c r="BJ88" s="40" cm="1">
        <f t="array" ref="BJ88">$G$13+VLOOKUP($R88,武学奇术!$A:$ZZ,14,FALSE)+SUM(_xlfn.XLOOKUP($S88:$AL88,增益!$A:$A,增益!$N:$N,0))</f>
        <v>0</v>
      </c>
      <c r="BK88">
        <f t="shared" si="21"/>
        <v>0</v>
      </c>
      <c r="BL88">
        <f t="shared" si="22"/>
        <v>0</v>
      </c>
      <c r="BM88" s="40" cm="1">
        <f t="array" ref="BM88">IF($F$14-$I$4+VLOOKUP($R88,武学奇术!$A:$ZZ,15,FALSE)+SUM(_xlfn.XLOOKUP($S88:$AL88,增益!$A:$A,增益!$O:$O,0))&gt;0,($F$14-$I$4+VLOOKUP($R88,武学奇术!$A:$ZZ,15,FALSE)+SUM(_xlfn.XLOOKUP($S88:$AL88,增益!$A:$A,增益!$O:$O,0)))/200,($F$14-$I$4+VLOOKUP($R88,武学奇术!$A:$ZZ,15,FALSE)+SUM(_xlfn.XLOOKUP($S88:$AL88,增益!$A:$A,增益!$O:$O,0)))/100)</f>
        <v>-0.14</v>
      </c>
      <c r="BN88" s="40" cm="1">
        <f t="array" ref="BN88">$G$14+VLOOKUP($R88,武学奇术!$A:$ZZ,16,FALSE)+SUM(_xlfn.XLOOKUP($S88:$AL88,增益!$A:$A,增益!$P:$P,0))</f>
        <v>0</v>
      </c>
      <c r="BO88" s="33">
        <f>MIN(IF(VLOOKUP($R88,武学奇术!$A:$ZZ,23,FALSE)=1,100%,$B$8),100%)</f>
        <v>1</v>
      </c>
      <c r="BP88" s="33" cm="1">
        <f t="array" ref="BP88">IF(VLOOKUP($R88,武学奇术!$A:$ZZ,23,FALSE)=1,100%,MIN(80%,$B$9+VLOOKUP($R88,武学奇术!$A:$ZZ,17,FALSE)+SUM(_xlfn.XLOOKUP($S88:$AL88,增益!$A:$A,增益!$Q:$Q,0)))+$B$11+SUM(_xlfn.XLOOKUP($S88:$AL88,增益!$A:$A,增益!$U:$U,0)))*IF(VLOOKUP($R88,武学奇术!$A:$ZZ,24,FALSE)=1,0,1)</f>
        <v>1</v>
      </c>
      <c r="BQ88" s="33" cm="1">
        <f t="array" ref="BQ88">1+$B$13+VLOOKUP($R88,武学奇术!$A:$ZZ,18,FALSE)+SUM(_xlfn.XLOOKUP($S88:$AL88,增益!$A:$A,增益!$R:$R,0))</f>
        <v>2.1</v>
      </c>
      <c r="BR88" s="33" cm="1">
        <f t="array" ref="BR88">IF(VLOOKUP($R88,武学奇术!$A:$ZZ,24,FALSE)=1,100%,MIN(40%,$B$10+VLOOKUP($R88,武学奇术!$A:$ZZ,19,FALSE)+SUM(_xlfn.XLOOKUP($S88:$AL88,增益!$A:$A,增益!$S:$S,0)))+$B$12+SUM(_xlfn.XLOOKUP($S88:$AL88,增益!$A:$A,增益!$V:$V,0)))*IF(VLOOKUP($R88,武学奇术!$A:$ZZ,23,FALSE)=1,0,1)</f>
        <v>0</v>
      </c>
      <c r="BS88" s="33" cm="1">
        <f t="array" ref="BS88">1+$B$14+VLOOKUP($R88,武学奇术!$A:$ZZ,20,FALSE)+SUM(_xlfn.XLOOKUP($S88:$AL88,增益!$A:$A,增益!$T:$T,0))</f>
        <v>1.35</v>
      </c>
      <c r="BT88" s="33">
        <f t="shared" si="23"/>
        <v>1</v>
      </c>
      <c r="BU88" s="33">
        <f t="shared" si="24"/>
        <v>0</v>
      </c>
      <c r="BV88" s="33">
        <f>IF(VLOOKUP($R88,武学奇术!$A:$ZZ,22,FALSE)=1,0,(1-$BO88))*(1-$BR88)</f>
        <v>0</v>
      </c>
      <c r="BW88" s="33" cm="1">
        <f t="array" ref="BW88">SUM(_xlfn.XLOOKUP($S88:$AL88,增益!$A:$A,增益!$W:$W,0))+$I$5</f>
        <v>0.31</v>
      </c>
      <c r="BX88" s="33" cm="1">
        <f t="array" ref="BX88">VLOOKUP($R88,武学奇术!$A:$ZZ,32,FALSE)+SUM(_xlfn.XLOOKUP($S88:$AL88,增益!$A:$A,增益!$X:$X,0))</f>
        <v>0</v>
      </c>
    </row>
    <row r="89" spans="1:76">
      <c r="L89" s="46">
        <f t="shared" si="14"/>
        <v>97418.2079533214</v>
      </c>
      <c r="M89" s="46">
        <f>((($AT89+$AU89)/2*$AN89+$AO89)*(1+$AV89)*(1+$AW89)+(($AY89+$AZ89)/2*IF($G$1="鸣金",$AP89,$AN89)+IF($G$1="鸣金",$AQ89*1.5,0))*(1+$BA89)*(1+$BB89)+(($BC89+$BD89)/2*IF($G$1="裂石",$AP89,$AN89)+IF($G$1="裂石",$AQ89*1.5,0))*(1+$BE89)*(1+$BF89)+(($BG89+$BH89)/2*IF($G$1="牵丝",$AP89,$AN89)+IF($G$1="牵丝",$AQ89*1.5,0))*(1+$BI89)*(1+$BJ89)+(($BK89+$BL89)/2*IF($G$1="破竹",$AP89,$AN89)+IF($G$1="破竹",$AQ89*1.5,0))*(1+$BM89)*(1+$BN89))*(1+$AR89)*$BQ89*$Q89*(1+IF(VLOOKUP($R89,武学奇术!$A:$ZZ,30,FALSE)="蓄力技",$B$21,0))*(1+IF(VLOOKUP($R89,武学奇术!$A:$ZZ,30,FALSE)="派生技",$B$20,0))*(1+$BW89)*(1+$BX89)</f>
        <v>97418.2079533214</v>
      </c>
      <c r="N89" s="46">
        <f>(($AU89*$AN89+$AO89)*(1+$AV89)*(1+$AW89)+($AZ89*IF($G$1="鸣金",$AP89,$AN89)+IF($G$1="鸣金",$AQ89*1.5,0))*(1+$BA89)*(1+$BB89)+($BD89*IF($G$1="裂石",$AP89,$AN89)+IF($G$1="裂石",$AQ89*1.5,0))*(1+$BE89)*(1+$BF89)+($BH89*IF($G$1="牵丝",$AP89,$AN89)+IF($G$1="牵丝",$AQ89*1.5,0))*(1+$BI89)*(1+$BJ89)+($BL89*IF($G$1="破竹",$AP89,$AN89)+IF($G$1="破竹",$AQ89*1.5,0))*(1+$BM89)*(1+$BN89))*(1+$AR89)*$BS89*$Q89*(1+IF(VLOOKUP($R89,武学奇术!$A:$ZZ,30,FALSE)="蓄力技",$B$21,0))*(1+IF(VLOOKUP($R89,武学奇术!$A:$ZZ,30,FALSE)="派生技",$B$20,0))*(1+$BW89)*(1+$BX89)</f>
        <v>71597.6925110678</v>
      </c>
      <c r="O89" s="46">
        <f>((($AT89+$AU89)/2*$AN89+$AO89)*(1+$AV89)*(1+$AW89)+(($AY89+$AZ89)/2*IF($G$1="鸣金",$AP89,$AN89)+IF($G$1="鸣金",$AQ89*1.5,0))*(1+$BA89)*(1+$BB89)+(($BC89+$BD89)/2*IF($G$1="裂石",$AP89,$AN89)+IF($G$1="裂石",$AQ89*1.5,0))*(1+$BE89)*(1+$BF89)+(($BG89+$BH89)/2*IF($G$1="牵丝",$AP89,$AN89)+IF($G$1="牵丝",$AQ89*1.5,0))*(1+$BI89)*(1+$BJ89)+(($BK89+$BL89)/2*IF($G$1="破竹",$AP89,$AN89)+IF($G$1="破竹",$AQ89*1.5,0))*(1+$BM89)*(1+$BN89))*(1+$AR89)*$Q89*(1+IF(VLOOKUP($R89,武学奇术!$A:$ZZ,30,FALSE)="蓄力技",$B$21,0))*(1+IF(VLOOKUP($R89,武学奇术!$A:$ZZ,30,FALSE)="派生技",$B$20,0))*(1+$BW89)*(1+$BX89)</f>
        <v>46389.622834915</v>
      </c>
      <c r="P89" s="46">
        <f>((($AT89*$AN89+$AO89)*(1+$AV89)*(1+$AW89)+($AY89*IF($G$1="鸣金",$AP89,$AN89)+IF($G$1="鸣金",$AQ89*1.5,0))*(1+$BA89)*(1+$BB89)+($BC89*IF($G$1="裂石",$AP89,$AN89)+IF($G$1="裂石",$AQ89*1.5,0))*(1+$BE89)*(1+$BF89)+($BG89*IF($G$1="牵丝",$AP89,$AN89)+IF($G$1="牵丝",$AQ89*1.5,0))*(1+$BI89)*(1+$BJ89)+($BK89*IF($G$1="破竹",$AP89,$AN89)+IF($G$1="破竹",$AQ89*1.5,0))*(1+$BM89)*(1+$BN89))*(1+$AR89))*$Q89*(1+IF(VLOOKUP($R89,武学奇术!$A:$ZZ,30,FALSE)="蓄力技",$B$21,0))*(1+IF(VLOOKUP($R89,武学奇术!$A:$ZZ,30,FALSE)="派生技",$B$20,0))*(1+$BW89)*(1+$BX89)</f>
        <v>39743.9178838538</v>
      </c>
      <c r="Q89" s="47">
        <f t="shared" si="28"/>
        <v>2</v>
      </c>
      <c r="R89" s="48" t="s">
        <v>144</v>
      </c>
      <c r="S89" s="48" t="s">
        <v>99</v>
      </c>
      <c r="T89" s="48" t="s">
        <v>182</v>
      </c>
      <c r="U89" s="48" t="s">
        <v>79</v>
      </c>
      <c r="V89" s="48" t="s">
        <v>90</v>
      </c>
      <c r="W89" s="48" t="s">
        <v>141</v>
      </c>
      <c r="X89" s="48" t="s">
        <v>145</v>
      </c>
      <c r="Y89" s="48" t="s">
        <v>74</v>
      </c>
      <c r="Z89" s="48" t="s">
        <v>80</v>
      </c>
      <c r="AA89" s="48" t="s">
        <v>183</v>
      </c>
      <c r="AB89" s="48" t="s">
        <v>184</v>
      </c>
      <c r="AC89" s="48" t="s">
        <v>80</v>
      </c>
      <c r="AD89" s="48" t="s">
        <v>80</v>
      </c>
      <c r="AE89" s="48" t="s">
        <v>80</v>
      </c>
      <c r="AF89" s="48" t="s">
        <v>83</v>
      </c>
      <c r="AG89" s="48" t="s">
        <v>84</v>
      </c>
      <c r="AH89" s="48" t="s">
        <v>80</v>
      </c>
      <c r="AI89" s="48" t="s">
        <v>80</v>
      </c>
      <c r="AJ89" s="48" t="s">
        <v>80</v>
      </c>
      <c r="AK89" s="48" t="s">
        <v>80</v>
      </c>
      <c r="AL89" s="48" t="s">
        <v>80</v>
      </c>
      <c r="AM89" t="str">
        <f>VLOOKUP($R89,武学奇术!$A:$ZZ,25,FALSE)</f>
        <v>陌刀</v>
      </c>
      <c r="AN89" s="33">
        <f>VLOOKUP($R89,武学奇术!$A:$ZZ,26,FALSE)</f>
        <v>0.945</v>
      </c>
      <c r="AO89" s="34">
        <f>VLOOKUP($R89,武学奇术!$A:$ZZ,27,FALSE)*(1+IF(OR($AM89=$F$4,$AM89=$F$5),$B$22,0))</f>
        <v>0</v>
      </c>
      <c r="AP89" s="33">
        <f>VLOOKUP($R89,武学奇术!$A:$ZZ,28,FALSE)</f>
        <v>1.4175</v>
      </c>
      <c r="AQ89" s="34">
        <f>VLOOKUP($R89,武学奇术!$A:$ZZ,29,FALSE)*(1+IF(OR($AM89=$F$4,$AM89=$F$5),$B$22,0))</f>
        <v>0</v>
      </c>
      <c r="AR89" s="33" cm="1">
        <f t="array" ref="AR89">$G$3+IFERROR(VLOOKUP($AM89,$F$4:$G$7,2,FALSE),0)+VLOOKUP($R89,武学奇术!$A:$ZZ,2,FALSE)+SUM(_xlfn.XLOOKUP($S89:$AL89,增益!$A:$A,增益!$B:$B,0))</f>
        <v>0.6143</v>
      </c>
      <c r="AS89" s="33" cm="1">
        <f t="array" ref="AS89">VLOOKUP($R89,武学奇术!$A:$ZZ,5,FALSE)+SUM(_xlfn.XLOOKUP($S89:$AL89,增益!$A:$A,增益!$E:$E,0))</f>
        <v>0</v>
      </c>
      <c r="AT89" cm="1">
        <f t="array" ref="AT89">$D$10*(1+$AS89)+VLOOKUP($R89,武学奇术!$A:$ZZ,3,FALSE)+SUM(_xlfn.XLOOKUP($S89:$AL89,增益!$A:$A,增益!$C:$C,0))-$I$2</f>
        <v>4026</v>
      </c>
      <c r="AU89" cm="1">
        <f t="array" ref="AU89">$E$10*(1+$AS89)+VLOOKUP($R89,武学奇术!$A:$ZZ,4,FALSE)+SUM(_xlfn.XLOOKUP($S89:$AL89,增益!$A:$A,增益!$D:$D,0))-$I$2</f>
        <v>4026</v>
      </c>
      <c r="AV89" s="40" cm="1">
        <f t="array" ref="AV89">IF($F$10-$I$3+VLOOKUP($R89,武学奇术!$A:$ZZ,6,FALSE)+SUM(_xlfn.XLOOKUP($S89:$AL89,增益!$A:$A,增益!$F:$F,0))&gt;0,($F$10-$I$3+VLOOKUP($R89,武学奇术!$A:$ZZ,6,FALSE)+SUM(_xlfn.XLOOKUP($S89:$AL89,增益!$A:$A,增益!$F:$F,0)))/200,($F$10-$I$3+VLOOKUP($R89,武学奇术!$A:$ZZ,6,FALSE)+SUM(_xlfn.XLOOKUP($S89:$AL89,增益!$A:$A,增益!$F:$F,0)))/100)</f>
        <v>0.3534</v>
      </c>
      <c r="AW89" s="40" cm="1">
        <f t="array" ref="AW89">$G$10+VLOOKUP($R89,武学奇术!$A:$ZZ,7,FALSE)+SUM(_xlfn.XLOOKUP($S89:$AL89,增益!$A:$A,增益!$G:$G,0))</f>
        <v>0.12</v>
      </c>
      <c r="AX89" s="33" cm="1">
        <f t="array" ref="AX89">VLOOKUP($R89,武学奇术!$A:$ZZ,8,FALSE)+SUM(_xlfn.XLOOKUP($S89:$AL89,增益!$A:$A,增益!$H:$H,0))</f>
        <v>0</v>
      </c>
      <c r="AY89">
        <f t="shared" si="15"/>
        <v>0</v>
      </c>
      <c r="AZ89">
        <f t="shared" si="16"/>
        <v>0</v>
      </c>
      <c r="BA89" s="40" cm="1">
        <f t="array" ref="BA89">IF($F$11-$I$4+VLOOKUP($R89,武学奇术!$A:$ZZ,9,FALSE)+SUM(_xlfn.XLOOKUP($S89:$AL89,增益!$A:$A,增益!$I:$I,0))&gt;0,($F$11-$I$4+VLOOKUP($R89,武学奇术!$A:$ZZ,9,FALSE)+SUM(_xlfn.XLOOKUP($S89:$AL89,增益!$A:$A,增益!$I:$I,0)))/200,($F$11-$I$4+VLOOKUP($R89,武学奇术!$A:$ZZ,9,FALSE)+SUM(_xlfn.XLOOKUP($S89:$AL89,增益!$A:$A,增益!$I:$I,0)))/100)</f>
        <v>-0.14</v>
      </c>
      <c r="BB89" s="40" cm="1">
        <f t="array" ref="BB89">$G$11+VLOOKUP($R89,武学奇术!$A:$ZZ,10,FALSE)+SUM(_xlfn.XLOOKUP($S89:$AL89,增益!$A:$A,增益!$J:$J,0))</f>
        <v>0.1</v>
      </c>
      <c r="BC89">
        <f t="shared" si="17"/>
        <v>640.3</v>
      </c>
      <c r="BD89">
        <f t="shared" si="18"/>
        <v>1770.1</v>
      </c>
      <c r="BE89" s="40" cm="1">
        <f t="array" ref="BE89">IF($F$12-$I$4+VLOOKUP($R89,武学奇术!$A:$ZZ,11,FALSE)+SUM(_xlfn.XLOOKUP($S89:$AL89,增益!$A:$A,增益!$K:$K,0))&gt;0,($F$12-$I$4+VLOOKUP($R89,武学奇术!$A:$ZZ,11,FALSE)+SUM(_xlfn.XLOOKUP($S89:$AL89,增益!$A:$A,增益!$K:$K,0)))/200,($F$12-$I$4+VLOOKUP($R89,武学奇术!$A:$ZZ,11,FALSE)+SUM(_xlfn.XLOOKUP($S89:$AL89,增益!$A:$A,增益!$K:$K,0)))/100)</f>
        <v>0.17</v>
      </c>
      <c r="BF89" s="40" cm="1">
        <f t="array" ref="BF89">$G$12+VLOOKUP($R89,武学奇术!$A:$ZZ,12,FALSE)+SUM(_xlfn.XLOOKUP($S89:$AL89,增益!$A:$A,增益!$L:$L,0))</f>
        <v>0.27</v>
      </c>
      <c r="BG89">
        <f t="shared" si="19"/>
        <v>0</v>
      </c>
      <c r="BH89">
        <f t="shared" si="20"/>
        <v>0</v>
      </c>
      <c r="BI89" s="40" cm="1">
        <f t="array" ref="BI89">IF($F$13-$I$4+VLOOKUP($R89,武学奇术!$A:$ZZ,13,FALSE)+SUM(_xlfn.XLOOKUP($S89:$AL89,增益!$A:$A,增益!$M:$M,0))&gt;0,($F$13-$I$4+VLOOKUP($R89,武学奇术!$A:$ZZ,13,FALSE)+SUM(_xlfn.XLOOKUP($S89:$AL89,增益!$A:$A,增益!$K:$K,0)))/200,($F$13-$I$4+VLOOKUP($R89,武学奇术!$A:$ZZ,13,FALSE)+SUM(_xlfn.XLOOKUP($S89:$AL89,增益!$A:$A,增益!$M:$M,0)))/100)</f>
        <v>-0.14</v>
      </c>
      <c r="BJ89" s="40" cm="1">
        <f t="array" ref="BJ89">$G$13+VLOOKUP($R89,武学奇术!$A:$ZZ,14,FALSE)+SUM(_xlfn.XLOOKUP($S89:$AL89,增益!$A:$A,增益!$N:$N,0))</f>
        <v>0</v>
      </c>
      <c r="BK89">
        <f t="shared" si="21"/>
        <v>0</v>
      </c>
      <c r="BL89">
        <f t="shared" si="22"/>
        <v>0</v>
      </c>
      <c r="BM89" s="40" cm="1">
        <f t="array" ref="BM89">IF($F$14-$I$4+VLOOKUP($R89,武学奇术!$A:$ZZ,15,FALSE)+SUM(_xlfn.XLOOKUP($S89:$AL89,增益!$A:$A,增益!$O:$O,0))&gt;0,($F$14-$I$4+VLOOKUP($R89,武学奇术!$A:$ZZ,15,FALSE)+SUM(_xlfn.XLOOKUP($S89:$AL89,增益!$A:$A,增益!$O:$O,0)))/200,($F$14-$I$4+VLOOKUP($R89,武学奇术!$A:$ZZ,15,FALSE)+SUM(_xlfn.XLOOKUP($S89:$AL89,增益!$A:$A,增益!$O:$O,0)))/100)</f>
        <v>-0.14</v>
      </c>
      <c r="BN89" s="40" cm="1">
        <f t="array" ref="BN89">$G$14+VLOOKUP($R89,武学奇术!$A:$ZZ,16,FALSE)+SUM(_xlfn.XLOOKUP($S89:$AL89,增益!$A:$A,增益!$P:$P,0))</f>
        <v>0</v>
      </c>
      <c r="BO89" s="33">
        <f>MIN(IF(VLOOKUP($R89,武学奇术!$A:$ZZ,23,FALSE)=1,100%,$B$8),100%)</f>
        <v>1</v>
      </c>
      <c r="BP89" s="33" cm="1">
        <f t="array" ref="BP89">IF(VLOOKUP($R89,武学奇术!$A:$ZZ,23,FALSE)=1,100%,MIN(80%,$B$9+VLOOKUP($R89,武学奇术!$A:$ZZ,17,FALSE)+SUM(_xlfn.XLOOKUP($S89:$AL89,增益!$A:$A,增益!$Q:$Q,0)))+$B$11+SUM(_xlfn.XLOOKUP($S89:$AL89,增益!$A:$A,增益!$U:$U,0)))*IF(VLOOKUP($R89,武学奇术!$A:$ZZ,24,FALSE)=1,0,1)</f>
        <v>1</v>
      </c>
      <c r="BQ89" s="33" cm="1">
        <f t="array" ref="BQ89">1+$B$13+VLOOKUP($R89,武学奇术!$A:$ZZ,18,FALSE)+SUM(_xlfn.XLOOKUP($S89:$AL89,增益!$A:$A,增益!$R:$R,0))</f>
        <v>2.1</v>
      </c>
      <c r="BR89" s="33" cm="1">
        <f t="array" ref="BR89">IF(VLOOKUP($R89,武学奇术!$A:$ZZ,24,FALSE)=1,100%,MIN(40%,$B$10+VLOOKUP($R89,武学奇术!$A:$ZZ,19,FALSE)+SUM(_xlfn.XLOOKUP($S89:$AL89,增益!$A:$A,增益!$S:$S,0)))+$B$12+SUM(_xlfn.XLOOKUP($S89:$AL89,增益!$A:$A,增益!$V:$V,0)))*IF(VLOOKUP($R89,武学奇术!$A:$ZZ,23,FALSE)=1,0,1)</f>
        <v>0</v>
      </c>
      <c r="BS89" s="33" cm="1">
        <f t="array" ref="BS89">1+$B$14+VLOOKUP($R89,武学奇术!$A:$ZZ,20,FALSE)+SUM(_xlfn.XLOOKUP($S89:$AL89,增益!$A:$A,增益!$T:$T,0))</f>
        <v>1.35</v>
      </c>
      <c r="BT89" s="33">
        <f t="shared" si="23"/>
        <v>1</v>
      </c>
      <c r="BU89" s="33">
        <f t="shared" si="24"/>
        <v>0</v>
      </c>
      <c r="BV89" s="33">
        <f>IF(VLOOKUP($R89,武学奇术!$A:$ZZ,22,FALSE)=1,0,(1-$BO89))*(1-$BR89)</f>
        <v>0</v>
      </c>
      <c r="BW89" s="33" cm="1">
        <f t="array" ref="BW89">SUM(_xlfn.XLOOKUP($S89:$AL89,增益!$A:$A,增益!$W:$W,0))+$I$5</f>
        <v>0.31</v>
      </c>
      <c r="BX89" s="33" cm="1">
        <f t="array" ref="BX89">VLOOKUP($R89,武学奇术!$A:$ZZ,32,FALSE)+SUM(_xlfn.XLOOKUP($S89:$AL89,增益!$A:$A,增益!$X:$X,0))</f>
        <v>0</v>
      </c>
    </row>
    <row r="90" spans="1:76">
      <c r="L90" s="46">
        <f t="shared" si="14"/>
        <v>887335.713448286</v>
      </c>
      <c r="M90" s="46">
        <f>((($AT90+$AU90)/2*$AN90+$AO90)*(1+$AV90)*(1+$AW90)+(($AY90+$AZ90)/2*IF($G$1="鸣金",$AP90,$AN90)+IF($G$1="鸣金",$AQ90*1.5,0))*(1+$BA90)*(1+$BB90)+(($BC90+$BD90)/2*IF($G$1="裂石",$AP90,$AN90)+IF($G$1="裂石",$AQ90*1.5,0))*(1+$BE90)*(1+$BF90)+(($BG90+$BH90)/2*IF($G$1="牵丝",$AP90,$AN90)+IF($G$1="牵丝",$AQ90*1.5,0))*(1+$BI90)*(1+$BJ90)+(($BK90+$BL90)/2*IF($G$1="破竹",$AP90,$AN90)+IF($G$1="破竹",$AQ90*1.5,0))*(1+$BM90)*(1+$BN90))*(1+$AR90)*$BQ90*$Q90*(1+IF(VLOOKUP($R90,武学奇术!$A:$ZZ,30,FALSE)="蓄力技",$B$21,0))*(1+IF(VLOOKUP($R90,武学奇术!$A:$ZZ,30,FALSE)="派生技",$B$20,0))*(1+$BW90)*(1+$BX90)</f>
        <v>887335.713448286</v>
      </c>
      <c r="N90" s="46">
        <f>(($AU90*$AN90+$AO90)*(1+$AV90)*(1+$AW90)+($AZ90*IF($G$1="鸣金",$AP90,$AN90)+IF($G$1="鸣金",$AQ90*1.5,0))*(1+$BA90)*(1+$BB90)+($BD90*IF($G$1="裂石",$AP90,$AN90)+IF($G$1="裂石",$AQ90*1.5,0))*(1+$BE90)*(1+$BF90)+($BH90*IF($G$1="牵丝",$AP90,$AN90)+IF($G$1="牵丝",$AQ90*1.5,0))*(1+$BI90)*(1+$BJ90)+($BL90*IF($G$1="破竹",$AP90,$AN90)+IF($G$1="破竹",$AQ90*1.5,0))*(1+$BM90)*(1+$BN90))*(1+$AR90)*$BS90*$Q90*(1+IF(VLOOKUP($R90,武学奇术!$A:$ZZ,30,FALSE)="蓄力技",$B$21,0))*(1+IF(VLOOKUP($R90,武学奇术!$A:$ZZ,30,FALSE)="派生技",$B$20,0))*(1+$BW90)*(1+$BX90)</f>
        <v>642274.602493408</v>
      </c>
      <c r="O90" s="46">
        <f>((($AT90+$AU90)/2*$AN90+$AO90)*(1+$AV90)*(1+$AW90)+(($AY90+$AZ90)/2*IF($G$1="鸣金",$AP90,$AN90)+IF($G$1="鸣金",$AQ90*1.5,0))*(1+$BA90)*(1+$BB90)+(($BC90+$BD90)/2*IF($G$1="裂石",$AP90,$AN90)+IF($G$1="裂石",$AQ90*1.5,0))*(1+$BE90)*(1+$BF90)+(($BG90+$BH90)/2*IF($G$1="牵丝",$AP90,$AN90)+IF($G$1="牵丝",$AQ90*1.5,0))*(1+$BI90)*(1+$BJ90)+(($BK90+$BL90)/2*IF($G$1="破竹",$AP90,$AN90)+IF($G$1="破竹",$AQ90*1.5,0))*(1+$BM90)*(1+$BN90))*(1+$AR90)*$Q90*(1+IF(VLOOKUP($R90,武学奇术!$A:$ZZ,30,FALSE)="蓄力技",$B$21,0))*(1+IF(VLOOKUP($R90,武学奇术!$A:$ZZ,30,FALSE)="派生技",$B$20,0))*(1+$BW90)*(1+$BX90)</f>
        <v>422540.815927755</v>
      </c>
      <c r="P90" s="46">
        <f>((($AT90*$AN90+$AO90)*(1+$AV90)*(1+$AW90)+($AY90*IF($G$1="鸣金",$AP90,$AN90)+IF($G$1="鸣金",$AQ90*1.5,0))*(1+$BA90)*(1+$BB90)+($BC90*IF($G$1="裂石",$AP90,$AN90)+IF($G$1="裂石",$AQ90*1.5,0))*(1+$BE90)*(1+$BF90)+($BG90*IF($G$1="牵丝",$AP90,$AN90)+IF($G$1="牵丝",$AQ90*1.5,0))*(1+$BI90)*(1+$BJ90)+($BK90*IF($G$1="破竹",$AP90,$AN90)+IF($G$1="破竹",$AQ90*1.5,0))*(1+$BM90)*(1+$BN90))*(1+$AR90))*$Q90*(1+IF(VLOOKUP($R90,武学奇术!$A:$ZZ,30,FALSE)="蓄力技",$B$21,0))*(1+IF(VLOOKUP($R90,武学奇术!$A:$ZZ,30,FALSE)="派生技",$B$20,0))*(1+$BW90)*(1+$BX90)</f>
        <v>369322.667045578</v>
      </c>
      <c r="Q90" s="47">
        <f t="shared" si="28"/>
        <v>2</v>
      </c>
      <c r="R90" s="48" t="s">
        <v>148</v>
      </c>
      <c r="S90" s="48" t="s">
        <v>99</v>
      </c>
      <c r="T90" s="48" t="s">
        <v>182</v>
      </c>
      <c r="U90" s="48" t="s">
        <v>79</v>
      </c>
      <c r="V90" s="48" t="s">
        <v>90</v>
      </c>
      <c r="W90" s="48" t="s">
        <v>141</v>
      </c>
      <c r="X90" s="48" t="s">
        <v>145</v>
      </c>
      <c r="Y90" s="48" t="s">
        <v>74</v>
      </c>
      <c r="Z90" s="48" t="s">
        <v>80</v>
      </c>
      <c r="AA90" s="48" t="s">
        <v>183</v>
      </c>
      <c r="AB90" s="48" t="s">
        <v>184</v>
      </c>
      <c r="AC90" s="48" t="s">
        <v>80</v>
      </c>
      <c r="AD90" s="48" t="s">
        <v>80</v>
      </c>
      <c r="AE90" s="48" t="s">
        <v>80</v>
      </c>
      <c r="AF90" s="48" t="s">
        <v>83</v>
      </c>
      <c r="AG90" s="48" t="s">
        <v>84</v>
      </c>
      <c r="AH90" s="48" t="s">
        <v>80</v>
      </c>
      <c r="AI90" s="48" t="s">
        <v>80</v>
      </c>
      <c r="AJ90" s="48" t="s">
        <v>80</v>
      </c>
      <c r="AK90" s="48" t="s">
        <v>80</v>
      </c>
      <c r="AL90" s="48" t="s">
        <v>80</v>
      </c>
      <c r="AM90" t="str">
        <f>VLOOKUP($R90,武学奇术!$A:$ZZ,25,FALSE)</f>
        <v>陌刀</v>
      </c>
      <c r="AN90" s="33">
        <f>VLOOKUP($R90,武学奇术!$A:$ZZ,26,FALSE)</f>
        <v>7.5674</v>
      </c>
      <c r="AO90" s="34">
        <f>VLOOKUP($R90,武学奇术!$A:$ZZ,27,FALSE)*(1+IF(OR($AM90=$F$4,$AM90=$F$5),$B$22,0))</f>
        <v>3348.8</v>
      </c>
      <c r="AP90" s="33">
        <f>VLOOKUP($R90,武学奇术!$A:$ZZ,28,FALSE)</f>
        <v>11.3512</v>
      </c>
      <c r="AQ90" s="34">
        <f>VLOOKUP($R90,武学奇术!$A:$ZZ,29,FALSE)*(1+IF(OR($AM90=$F$4,$AM90=$F$5),$B$22,0))</f>
        <v>1824</v>
      </c>
      <c r="AR90" s="33" cm="1">
        <f t="array" ref="AR90">$G$3+IFERROR(VLOOKUP($AM90,$F$4:$G$7,2,FALSE),0)+VLOOKUP($R90,武学奇术!$A:$ZZ,2,FALSE)+SUM(_xlfn.XLOOKUP($S90:$AL90,增益!$A:$A,增益!$B:$B,0))</f>
        <v>0.6143</v>
      </c>
      <c r="AS90" s="33" cm="1">
        <f t="array" ref="AS90">VLOOKUP($R90,武学奇术!$A:$ZZ,5,FALSE)+SUM(_xlfn.XLOOKUP($S90:$AL90,增益!$A:$A,增益!$E:$E,0))</f>
        <v>0</v>
      </c>
      <c r="AT90" cm="1">
        <f t="array" ref="AT90">$D$10*(1+$AS90)+VLOOKUP($R90,武学奇术!$A:$ZZ,3,FALSE)+SUM(_xlfn.XLOOKUP($S90:$AL90,增益!$A:$A,增益!$C:$C,0))-$I$2</f>
        <v>4026</v>
      </c>
      <c r="AU90" cm="1">
        <f t="array" ref="AU90">$E$10*(1+$AS90)+VLOOKUP($R90,武学奇术!$A:$ZZ,4,FALSE)+SUM(_xlfn.XLOOKUP($S90:$AL90,增益!$A:$A,增益!$D:$D,0))-$I$2</f>
        <v>4026</v>
      </c>
      <c r="AV90" s="40" cm="1">
        <f t="array" ref="AV90">IF($F$10-$I$3+VLOOKUP($R90,武学奇术!$A:$ZZ,6,FALSE)+SUM(_xlfn.XLOOKUP($S90:$AL90,增益!$A:$A,增益!$F:$F,0))&gt;0,($F$10-$I$3+VLOOKUP($R90,武学奇术!$A:$ZZ,6,FALSE)+SUM(_xlfn.XLOOKUP($S90:$AL90,增益!$A:$A,增益!$F:$F,0)))/200,($F$10-$I$3+VLOOKUP($R90,武学奇术!$A:$ZZ,6,FALSE)+SUM(_xlfn.XLOOKUP($S90:$AL90,增益!$A:$A,增益!$F:$F,0)))/100)</f>
        <v>0.3534</v>
      </c>
      <c r="AW90" s="40" cm="1">
        <f t="array" ref="AW90">$G$10+VLOOKUP($R90,武学奇术!$A:$ZZ,7,FALSE)+SUM(_xlfn.XLOOKUP($S90:$AL90,增益!$A:$A,增益!$G:$G,0))</f>
        <v>0.12</v>
      </c>
      <c r="AX90" s="33" cm="1">
        <f t="array" ref="AX90">VLOOKUP($R90,武学奇术!$A:$ZZ,8,FALSE)+SUM(_xlfn.XLOOKUP($S90:$AL90,增益!$A:$A,增益!$H:$H,0))</f>
        <v>0</v>
      </c>
      <c r="AY90">
        <f t="shared" si="15"/>
        <v>0</v>
      </c>
      <c r="AZ90">
        <f t="shared" si="16"/>
        <v>0</v>
      </c>
      <c r="BA90" s="40" cm="1">
        <f t="array" ref="BA90">IF($F$11-$I$4+VLOOKUP($R90,武学奇术!$A:$ZZ,9,FALSE)+SUM(_xlfn.XLOOKUP($S90:$AL90,增益!$A:$A,增益!$I:$I,0))&gt;0,($F$11-$I$4+VLOOKUP($R90,武学奇术!$A:$ZZ,9,FALSE)+SUM(_xlfn.XLOOKUP($S90:$AL90,增益!$A:$A,增益!$I:$I,0)))/200,($F$11-$I$4+VLOOKUP($R90,武学奇术!$A:$ZZ,9,FALSE)+SUM(_xlfn.XLOOKUP($S90:$AL90,增益!$A:$A,增益!$I:$I,0)))/100)</f>
        <v>-0.14</v>
      </c>
      <c r="BB90" s="40" cm="1">
        <f t="array" ref="BB90">$G$11+VLOOKUP($R90,武学奇术!$A:$ZZ,10,FALSE)+SUM(_xlfn.XLOOKUP($S90:$AL90,增益!$A:$A,增益!$J:$J,0))</f>
        <v>0.1</v>
      </c>
      <c r="BC90">
        <f t="shared" si="17"/>
        <v>640.3</v>
      </c>
      <c r="BD90">
        <f t="shared" si="18"/>
        <v>1770.1</v>
      </c>
      <c r="BE90" s="40" cm="1">
        <f t="array" ref="BE90">IF($F$12-$I$4+VLOOKUP($R90,武学奇术!$A:$ZZ,11,FALSE)+SUM(_xlfn.XLOOKUP($S90:$AL90,增益!$A:$A,增益!$K:$K,0))&gt;0,($F$12-$I$4+VLOOKUP($R90,武学奇术!$A:$ZZ,11,FALSE)+SUM(_xlfn.XLOOKUP($S90:$AL90,增益!$A:$A,增益!$K:$K,0)))/200,($F$12-$I$4+VLOOKUP($R90,武学奇术!$A:$ZZ,11,FALSE)+SUM(_xlfn.XLOOKUP($S90:$AL90,增益!$A:$A,增益!$K:$K,0)))/100)</f>
        <v>0.17</v>
      </c>
      <c r="BF90" s="40" cm="1">
        <f t="array" ref="BF90">$G$12+VLOOKUP($R90,武学奇术!$A:$ZZ,12,FALSE)+SUM(_xlfn.XLOOKUP($S90:$AL90,增益!$A:$A,增益!$L:$L,0))</f>
        <v>0.27</v>
      </c>
      <c r="BG90">
        <f t="shared" si="19"/>
        <v>0</v>
      </c>
      <c r="BH90">
        <f t="shared" si="20"/>
        <v>0</v>
      </c>
      <c r="BI90" s="40" cm="1">
        <f t="array" ref="BI90">IF($F$13-$I$4+VLOOKUP($R90,武学奇术!$A:$ZZ,13,FALSE)+SUM(_xlfn.XLOOKUP($S90:$AL90,增益!$A:$A,增益!$M:$M,0))&gt;0,($F$13-$I$4+VLOOKUP($R90,武学奇术!$A:$ZZ,13,FALSE)+SUM(_xlfn.XLOOKUP($S90:$AL90,增益!$A:$A,增益!$K:$K,0)))/200,($F$13-$I$4+VLOOKUP($R90,武学奇术!$A:$ZZ,13,FALSE)+SUM(_xlfn.XLOOKUP($S90:$AL90,增益!$A:$A,增益!$M:$M,0)))/100)</f>
        <v>-0.14</v>
      </c>
      <c r="BJ90" s="40" cm="1">
        <f t="array" ref="BJ90">$G$13+VLOOKUP($R90,武学奇术!$A:$ZZ,14,FALSE)+SUM(_xlfn.XLOOKUP($S90:$AL90,增益!$A:$A,增益!$N:$N,0))</f>
        <v>0</v>
      </c>
      <c r="BK90">
        <f t="shared" si="21"/>
        <v>0</v>
      </c>
      <c r="BL90">
        <f t="shared" si="22"/>
        <v>0</v>
      </c>
      <c r="BM90" s="40" cm="1">
        <f t="array" ref="BM90">IF($F$14-$I$4+VLOOKUP($R90,武学奇术!$A:$ZZ,15,FALSE)+SUM(_xlfn.XLOOKUP($S90:$AL90,增益!$A:$A,增益!$O:$O,0))&gt;0,($F$14-$I$4+VLOOKUP($R90,武学奇术!$A:$ZZ,15,FALSE)+SUM(_xlfn.XLOOKUP($S90:$AL90,增益!$A:$A,增益!$O:$O,0)))/200,($F$14-$I$4+VLOOKUP($R90,武学奇术!$A:$ZZ,15,FALSE)+SUM(_xlfn.XLOOKUP($S90:$AL90,增益!$A:$A,增益!$O:$O,0)))/100)</f>
        <v>-0.14</v>
      </c>
      <c r="BN90" s="40" cm="1">
        <f t="array" ref="BN90">$G$14+VLOOKUP($R90,武学奇术!$A:$ZZ,16,FALSE)+SUM(_xlfn.XLOOKUP($S90:$AL90,增益!$A:$A,增益!$P:$P,0))</f>
        <v>0</v>
      </c>
      <c r="BO90" s="33">
        <f>MIN(IF(VLOOKUP($R90,武学奇术!$A:$ZZ,23,FALSE)=1,100%,$B$8),100%)</f>
        <v>1</v>
      </c>
      <c r="BP90" s="33" cm="1">
        <f t="array" ref="BP90">IF(VLOOKUP($R90,武学奇术!$A:$ZZ,23,FALSE)=1,100%,MIN(80%,$B$9+VLOOKUP($R90,武学奇术!$A:$ZZ,17,FALSE)+SUM(_xlfn.XLOOKUP($S90:$AL90,增益!$A:$A,增益!$Q:$Q,0)))+$B$11+SUM(_xlfn.XLOOKUP($S90:$AL90,增益!$A:$A,增益!$U:$U,0)))*IF(VLOOKUP($R90,武学奇术!$A:$ZZ,24,FALSE)=1,0,1)</f>
        <v>1</v>
      </c>
      <c r="BQ90" s="33" cm="1">
        <f t="array" ref="BQ90">1+$B$13+VLOOKUP($R90,武学奇术!$A:$ZZ,18,FALSE)+SUM(_xlfn.XLOOKUP($S90:$AL90,增益!$A:$A,增益!$R:$R,0))</f>
        <v>2.1</v>
      </c>
      <c r="BR90" s="33" cm="1">
        <f t="array" ref="BR90">IF(VLOOKUP($R90,武学奇术!$A:$ZZ,24,FALSE)=1,100%,MIN(40%,$B$10+VLOOKUP($R90,武学奇术!$A:$ZZ,19,FALSE)+SUM(_xlfn.XLOOKUP($S90:$AL90,增益!$A:$A,增益!$S:$S,0)))+$B$12+SUM(_xlfn.XLOOKUP($S90:$AL90,增益!$A:$A,增益!$V:$V,0)))*IF(VLOOKUP($R90,武学奇术!$A:$ZZ,23,FALSE)=1,0,1)</f>
        <v>0</v>
      </c>
      <c r="BS90" s="33" cm="1">
        <f t="array" ref="BS90">1+$B$14+VLOOKUP($R90,武学奇术!$A:$ZZ,20,FALSE)+SUM(_xlfn.XLOOKUP($S90:$AL90,增益!$A:$A,增益!$T:$T,0))</f>
        <v>1.35</v>
      </c>
      <c r="BT90" s="33">
        <f t="shared" si="23"/>
        <v>1</v>
      </c>
      <c r="BU90" s="33">
        <f t="shared" si="24"/>
        <v>0</v>
      </c>
      <c r="BV90" s="33">
        <f>IF(VLOOKUP($R90,武学奇术!$A:$ZZ,22,FALSE)=1,0,(1-$BO90))*(1-$BR90)</f>
        <v>0</v>
      </c>
      <c r="BW90" s="33" cm="1">
        <f t="array" ref="BW90">SUM(_xlfn.XLOOKUP($S90:$AL90,增益!$A:$A,增益!$W:$W,0))+$I$5</f>
        <v>0.31</v>
      </c>
      <c r="BX90" s="33" cm="1">
        <f t="array" ref="BX90">VLOOKUP($R90,武学奇术!$A:$ZZ,32,FALSE)+SUM(_xlfn.XLOOKUP($S90:$AL90,增益!$A:$A,增益!$X:$X,0))</f>
        <v>0</v>
      </c>
    </row>
    <row r="91" spans="1:76">
      <c r="L91" s="46">
        <f t="shared" si="14"/>
        <v>27060.6133203671</v>
      </c>
      <c r="M91" s="46">
        <f>((($AT91+$AU91)/2*$AN91+$AO91)*(1+$AV91)*(1+$AW91)+(($AY91+$AZ91)/2*IF($G$1="鸣金",$AP91,$AN91)+IF($G$1="鸣金",$AQ91*1.5,0))*(1+$BA91)*(1+$BB91)+(($BC91+$BD91)/2*IF($G$1="裂石",$AP91,$AN91)+IF($G$1="裂石",$AQ91*1.5,0))*(1+$BE91)*(1+$BF91)+(($BG91+$BH91)/2*IF($G$1="牵丝",$AP91,$AN91)+IF($G$1="牵丝",$AQ91*1.5,0))*(1+$BI91)*(1+$BJ91)+(($BK91+$BL91)/2*IF($G$1="破竹",$AP91,$AN91)+IF($G$1="破竹",$AQ91*1.5,0))*(1+$BM91)*(1+$BN91))*(1+$AR91)*$BQ91*$Q91*(1+IF(VLOOKUP($R91,武学奇术!$A:$ZZ,30,FALSE)="蓄力技",$B$21,0))*(1+IF(VLOOKUP($R91,武学奇术!$A:$ZZ,30,FALSE)="派生技",$B$20,0))*(1+$BW91)*(1+$BX91)</f>
        <v>27060.6133203671</v>
      </c>
      <c r="N91" s="46">
        <f>(($AU91*$AN91+$AO91)*(1+$AV91)*(1+$AW91)+($AZ91*IF($G$1="鸣金",$AP91,$AN91)+IF($G$1="鸣金",$AQ91*1.5,0))*(1+$BA91)*(1+$BB91)+($BD91*IF($G$1="裂石",$AP91,$AN91)+IF($G$1="裂石",$AQ91*1.5,0))*(1+$BE91)*(1+$BF91)+($BH91*IF($G$1="牵丝",$AP91,$AN91)+IF($G$1="牵丝",$AQ91*1.5,0))*(1+$BI91)*(1+$BJ91)+($BL91*IF($G$1="破竹",$AP91,$AN91)+IF($G$1="破竹",$AQ91*1.5,0))*(1+$BM91)*(1+$BN91))*(1+$AR91)*$BS91*$Q91*(1+IF(VLOOKUP($R91,武学奇术!$A:$ZZ,30,FALSE)="蓄力技",$B$21,0))*(1+IF(VLOOKUP($R91,武学奇术!$A:$ZZ,30,FALSE)="派生技",$B$20,0))*(1+$BW91)*(1+$BX91)</f>
        <v>19888.2479197411</v>
      </c>
      <c r="O91" s="46">
        <f>((($AT91+$AU91)/2*$AN91+$AO91)*(1+$AV91)*(1+$AW91)+(($AY91+$AZ91)/2*IF($G$1="鸣金",$AP91,$AN91)+IF($G$1="鸣金",$AQ91*1.5,0))*(1+$BA91)*(1+$BB91)+(($BC91+$BD91)/2*IF($G$1="裂石",$AP91,$AN91)+IF($G$1="裂石",$AQ91*1.5,0))*(1+$BE91)*(1+$BF91)+(($BG91+$BH91)/2*IF($G$1="牵丝",$AP91,$AN91)+IF($G$1="牵丝",$AQ91*1.5,0))*(1+$BI91)*(1+$BJ91)+(($BK91+$BL91)/2*IF($G$1="破竹",$AP91,$AN91)+IF($G$1="破竹",$AQ91*1.5,0))*(1+$BM91)*(1+$BN91))*(1+$AR91)*$Q91*(1+IF(VLOOKUP($R91,武学奇术!$A:$ZZ,30,FALSE)="蓄力技",$B$21,0))*(1+IF(VLOOKUP($R91,武学奇术!$A:$ZZ,30,FALSE)="派生技",$B$20,0))*(1+$BW91)*(1+$BX91)</f>
        <v>12886.0063430319</v>
      </c>
      <c r="P91" s="46">
        <f>((($AT91*$AN91+$AO91)*(1+$AV91)*(1+$AW91)+($AY91*IF($G$1="鸣金",$AP91,$AN91)+IF($G$1="鸣金",$AQ91*1.5,0))*(1+$BA91)*(1+$BB91)+($BC91*IF($G$1="裂石",$AP91,$AN91)+IF($G$1="裂石",$AQ91*1.5,0))*(1+$BE91)*(1+$BF91)+($BG91*IF($G$1="牵丝",$AP91,$AN91)+IF($G$1="牵丝",$AQ91*1.5,0))*(1+$BI91)*(1+$BJ91)+($BK91*IF($G$1="破竹",$AP91,$AN91)+IF($G$1="破竹",$AQ91*1.5,0))*(1+$BM91)*(1+$BN91))*(1+$AR91))*$Q91*(1+IF(VLOOKUP($R91,武学奇术!$A:$ZZ,30,FALSE)="蓄力技",$B$21,0))*(1+IF(VLOOKUP($R91,武学奇术!$A:$ZZ,30,FALSE)="派生技",$B$20,0))*(1+$BW91)*(1+$BX91)</f>
        <v>11039.9771899594</v>
      </c>
      <c r="Q91" s="47">
        <f t="shared" ref="Q91:Q105" si="29">IF($E$24="陌刀",1,0)</f>
        <v>1</v>
      </c>
      <c r="R91" s="48" t="s">
        <v>154</v>
      </c>
      <c r="S91" s="48" t="s">
        <v>99</v>
      </c>
      <c r="T91" s="48" t="s">
        <v>182</v>
      </c>
      <c r="U91" s="48" t="s">
        <v>79</v>
      </c>
      <c r="V91" s="48" t="s">
        <v>90</v>
      </c>
      <c r="W91" s="48" t="s">
        <v>141</v>
      </c>
      <c r="X91" s="48" t="s">
        <v>145</v>
      </c>
      <c r="Y91" s="48" t="s">
        <v>74</v>
      </c>
      <c r="Z91" s="48" t="s">
        <v>80</v>
      </c>
      <c r="AA91" s="48" t="s">
        <v>183</v>
      </c>
      <c r="AB91" s="48" t="s">
        <v>184</v>
      </c>
      <c r="AC91" s="48" t="s">
        <v>80</v>
      </c>
      <c r="AD91" s="48" t="s">
        <v>80</v>
      </c>
      <c r="AE91" s="48" t="s">
        <v>80</v>
      </c>
      <c r="AF91" s="48" t="s">
        <v>83</v>
      </c>
      <c r="AG91" s="48" t="s">
        <v>84</v>
      </c>
      <c r="AH91" s="48" t="s">
        <v>80</v>
      </c>
      <c r="AI91" s="48" t="s">
        <v>80</v>
      </c>
      <c r="AJ91" s="48" t="s">
        <v>80</v>
      </c>
      <c r="AK91" s="48" t="s">
        <v>80</v>
      </c>
      <c r="AL91" s="48" t="s">
        <v>80</v>
      </c>
      <c r="AM91" t="str">
        <f>VLOOKUP($R91,武学奇术!$A:$ZZ,25,FALSE)</f>
        <v>陌刀</v>
      </c>
      <c r="AN91" s="33">
        <f>VLOOKUP($R91,武学奇术!$A:$ZZ,26,FALSE)</f>
        <v>0.525</v>
      </c>
      <c r="AO91" s="34">
        <f>VLOOKUP($R91,武学奇术!$A:$ZZ,27,FALSE)*(1+IF(OR($AM91=$F$4,$AM91=$F$5),$B$22,0))</f>
        <v>0</v>
      </c>
      <c r="AP91" s="33">
        <f>VLOOKUP($R91,武学奇术!$A:$ZZ,28,FALSE)</f>
        <v>0.7875</v>
      </c>
      <c r="AQ91" s="34">
        <f>VLOOKUP($R91,武学奇术!$A:$ZZ,29,FALSE)*(1+IF(OR($AM91=$F$4,$AM91=$F$5),$B$22,0))</f>
        <v>0</v>
      </c>
      <c r="AR91" s="33" cm="1">
        <f t="array" ref="AR91">$G$3+IFERROR(VLOOKUP($AM91,$F$4:$G$7,2,FALSE),0)+VLOOKUP($R91,武学奇术!$A:$ZZ,2,FALSE)+SUM(_xlfn.XLOOKUP($S91:$AL91,增益!$A:$A,增益!$B:$B,0))</f>
        <v>0.6143</v>
      </c>
      <c r="AS91" s="33" cm="1">
        <f t="array" ref="AS91">VLOOKUP($R91,武学奇术!$A:$ZZ,5,FALSE)+SUM(_xlfn.XLOOKUP($S91:$AL91,增益!$A:$A,增益!$E:$E,0))</f>
        <v>0</v>
      </c>
      <c r="AT91" cm="1">
        <f t="array" ref="AT91">$D$10*(1+$AS91)+VLOOKUP($R91,武学奇术!$A:$ZZ,3,FALSE)+SUM(_xlfn.XLOOKUP($S91:$AL91,增益!$A:$A,增益!$C:$C,0))-$I$2</f>
        <v>4026</v>
      </c>
      <c r="AU91" cm="1">
        <f t="array" ref="AU91">$E$10*(1+$AS91)+VLOOKUP($R91,武学奇术!$A:$ZZ,4,FALSE)+SUM(_xlfn.XLOOKUP($S91:$AL91,增益!$A:$A,增益!$D:$D,0))-$I$2</f>
        <v>4026</v>
      </c>
      <c r="AV91" s="40" cm="1">
        <f t="array" ref="AV91">IF($F$10-$I$3+VLOOKUP($R91,武学奇术!$A:$ZZ,6,FALSE)+SUM(_xlfn.XLOOKUP($S91:$AL91,增益!$A:$A,增益!$F:$F,0))&gt;0,($F$10-$I$3+VLOOKUP($R91,武学奇术!$A:$ZZ,6,FALSE)+SUM(_xlfn.XLOOKUP($S91:$AL91,增益!$A:$A,增益!$F:$F,0)))/200,($F$10-$I$3+VLOOKUP($R91,武学奇术!$A:$ZZ,6,FALSE)+SUM(_xlfn.XLOOKUP($S91:$AL91,增益!$A:$A,增益!$F:$F,0)))/100)</f>
        <v>0.3534</v>
      </c>
      <c r="AW91" s="40" cm="1">
        <f t="array" ref="AW91">$G$10+VLOOKUP($R91,武学奇术!$A:$ZZ,7,FALSE)+SUM(_xlfn.XLOOKUP($S91:$AL91,增益!$A:$A,增益!$G:$G,0))</f>
        <v>0.12</v>
      </c>
      <c r="AX91" s="33" cm="1">
        <f t="array" ref="AX91">VLOOKUP($R91,武学奇术!$A:$ZZ,8,FALSE)+SUM(_xlfn.XLOOKUP($S91:$AL91,增益!$A:$A,增益!$H:$H,0))</f>
        <v>0</v>
      </c>
      <c r="AY91">
        <f t="shared" si="15"/>
        <v>0</v>
      </c>
      <c r="AZ91">
        <f t="shared" si="16"/>
        <v>0</v>
      </c>
      <c r="BA91" s="40" cm="1">
        <f t="array" ref="BA91">IF($F$11-$I$4+VLOOKUP($R91,武学奇术!$A:$ZZ,9,FALSE)+SUM(_xlfn.XLOOKUP($S91:$AL91,增益!$A:$A,增益!$I:$I,0))&gt;0,($F$11-$I$4+VLOOKUP($R91,武学奇术!$A:$ZZ,9,FALSE)+SUM(_xlfn.XLOOKUP($S91:$AL91,增益!$A:$A,增益!$I:$I,0)))/200,($F$11-$I$4+VLOOKUP($R91,武学奇术!$A:$ZZ,9,FALSE)+SUM(_xlfn.XLOOKUP($S91:$AL91,增益!$A:$A,增益!$I:$I,0)))/100)</f>
        <v>-0.14</v>
      </c>
      <c r="BB91" s="40" cm="1">
        <f t="array" ref="BB91">$G$11+VLOOKUP($R91,武学奇术!$A:$ZZ,10,FALSE)+SUM(_xlfn.XLOOKUP($S91:$AL91,增益!$A:$A,增益!$J:$J,0))</f>
        <v>0.1</v>
      </c>
      <c r="BC91">
        <f t="shared" si="17"/>
        <v>640.3</v>
      </c>
      <c r="BD91">
        <f t="shared" si="18"/>
        <v>1770.1</v>
      </c>
      <c r="BE91" s="40" cm="1">
        <f t="array" ref="BE91">IF($F$12-$I$4+VLOOKUP($R91,武学奇术!$A:$ZZ,11,FALSE)+SUM(_xlfn.XLOOKUP($S91:$AL91,增益!$A:$A,增益!$K:$K,0))&gt;0,($F$12-$I$4+VLOOKUP($R91,武学奇术!$A:$ZZ,11,FALSE)+SUM(_xlfn.XLOOKUP($S91:$AL91,增益!$A:$A,增益!$K:$K,0)))/200,($F$12-$I$4+VLOOKUP($R91,武学奇术!$A:$ZZ,11,FALSE)+SUM(_xlfn.XLOOKUP($S91:$AL91,增益!$A:$A,增益!$K:$K,0)))/100)</f>
        <v>0.17</v>
      </c>
      <c r="BF91" s="40" cm="1">
        <f t="array" ref="BF91">$G$12+VLOOKUP($R91,武学奇术!$A:$ZZ,12,FALSE)+SUM(_xlfn.XLOOKUP($S91:$AL91,增益!$A:$A,增益!$L:$L,0))</f>
        <v>0.27</v>
      </c>
      <c r="BG91">
        <f t="shared" si="19"/>
        <v>0</v>
      </c>
      <c r="BH91">
        <f t="shared" si="20"/>
        <v>0</v>
      </c>
      <c r="BI91" s="40" cm="1">
        <f t="array" ref="BI91">IF($F$13-$I$4+VLOOKUP($R91,武学奇术!$A:$ZZ,13,FALSE)+SUM(_xlfn.XLOOKUP($S91:$AL91,增益!$A:$A,增益!$M:$M,0))&gt;0,($F$13-$I$4+VLOOKUP($R91,武学奇术!$A:$ZZ,13,FALSE)+SUM(_xlfn.XLOOKUP($S91:$AL91,增益!$A:$A,增益!$K:$K,0)))/200,($F$13-$I$4+VLOOKUP($R91,武学奇术!$A:$ZZ,13,FALSE)+SUM(_xlfn.XLOOKUP($S91:$AL91,增益!$A:$A,增益!$M:$M,0)))/100)</f>
        <v>-0.14</v>
      </c>
      <c r="BJ91" s="40" cm="1">
        <f t="array" ref="BJ91">$G$13+VLOOKUP($R91,武学奇术!$A:$ZZ,14,FALSE)+SUM(_xlfn.XLOOKUP($S91:$AL91,增益!$A:$A,增益!$N:$N,0))</f>
        <v>0</v>
      </c>
      <c r="BK91">
        <f t="shared" si="21"/>
        <v>0</v>
      </c>
      <c r="BL91">
        <f t="shared" si="22"/>
        <v>0</v>
      </c>
      <c r="BM91" s="40" cm="1">
        <f t="array" ref="BM91">IF($F$14-$I$4+VLOOKUP($R91,武学奇术!$A:$ZZ,15,FALSE)+SUM(_xlfn.XLOOKUP($S91:$AL91,增益!$A:$A,增益!$O:$O,0))&gt;0,($F$14-$I$4+VLOOKUP($R91,武学奇术!$A:$ZZ,15,FALSE)+SUM(_xlfn.XLOOKUP($S91:$AL91,增益!$A:$A,增益!$O:$O,0)))/200,($F$14-$I$4+VLOOKUP($R91,武学奇术!$A:$ZZ,15,FALSE)+SUM(_xlfn.XLOOKUP($S91:$AL91,增益!$A:$A,增益!$O:$O,0)))/100)</f>
        <v>-0.14</v>
      </c>
      <c r="BN91" s="40" cm="1">
        <f t="array" ref="BN91">$G$14+VLOOKUP($R91,武学奇术!$A:$ZZ,16,FALSE)+SUM(_xlfn.XLOOKUP($S91:$AL91,增益!$A:$A,增益!$P:$P,0))</f>
        <v>0</v>
      </c>
      <c r="BO91" s="33">
        <f>MIN(IF(VLOOKUP($R91,武学奇术!$A:$ZZ,23,FALSE)=1,100%,$B$8),100%)</f>
        <v>1</v>
      </c>
      <c r="BP91" s="33" cm="1">
        <f t="array" ref="BP91">IF(VLOOKUP($R91,武学奇术!$A:$ZZ,23,FALSE)=1,100%,MIN(80%,$B$9+VLOOKUP($R91,武学奇术!$A:$ZZ,17,FALSE)+SUM(_xlfn.XLOOKUP($S91:$AL91,增益!$A:$A,增益!$Q:$Q,0)))+$B$11+SUM(_xlfn.XLOOKUP($S91:$AL91,增益!$A:$A,增益!$U:$U,0)))*IF(VLOOKUP($R91,武学奇术!$A:$ZZ,24,FALSE)=1,0,1)</f>
        <v>1</v>
      </c>
      <c r="BQ91" s="33" cm="1">
        <f t="array" ref="BQ91">1+$B$13+VLOOKUP($R91,武学奇术!$A:$ZZ,18,FALSE)+SUM(_xlfn.XLOOKUP($S91:$AL91,增益!$A:$A,增益!$R:$R,0))</f>
        <v>2.1</v>
      </c>
      <c r="BR91" s="33" cm="1">
        <f t="array" ref="BR91">IF(VLOOKUP($R91,武学奇术!$A:$ZZ,24,FALSE)=1,100%,MIN(40%,$B$10+VLOOKUP($R91,武学奇术!$A:$ZZ,19,FALSE)+SUM(_xlfn.XLOOKUP($S91:$AL91,增益!$A:$A,增益!$S:$S,0)))+$B$12+SUM(_xlfn.XLOOKUP($S91:$AL91,增益!$A:$A,增益!$V:$V,0)))*IF(VLOOKUP($R91,武学奇术!$A:$ZZ,23,FALSE)=1,0,1)</f>
        <v>0</v>
      </c>
      <c r="BS91" s="33" cm="1">
        <f t="array" ref="BS91">1+$B$14+VLOOKUP($R91,武学奇术!$A:$ZZ,20,FALSE)+SUM(_xlfn.XLOOKUP($S91:$AL91,增益!$A:$A,增益!$T:$T,0))</f>
        <v>1.35</v>
      </c>
      <c r="BT91" s="33">
        <f t="shared" si="23"/>
        <v>1</v>
      </c>
      <c r="BU91" s="33">
        <f t="shared" si="24"/>
        <v>0</v>
      </c>
      <c r="BV91" s="33">
        <f>IF(VLOOKUP($R91,武学奇术!$A:$ZZ,22,FALSE)=1,0,(1-$BO91))*(1-$BR91)</f>
        <v>0</v>
      </c>
      <c r="BW91" s="33" cm="1">
        <f t="array" ref="BW91">SUM(_xlfn.XLOOKUP($S91:$AL91,增益!$A:$A,增益!$W:$W,0))+$I$5</f>
        <v>0.31</v>
      </c>
      <c r="BX91" s="33" cm="1">
        <f t="array" ref="BX91">VLOOKUP($R91,武学奇术!$A:$ZZ,32,FALSE)+SUM(_xlfn.XLOOKUP($S91:$AL91,增益!$A:$A,增益!$X:$X,0))</f>
        <v>0</v>
      </c>
    </row>
    <row r="92" spans="1:76">
      <c r="L92" s="46">
        <f t="shared" si="14"/>
        <v>48709.1039766607</v>
      </c>
      <c r="M92" s="46">
        <f>((($AT92+$AU92)/2*$AN92+$AO92)*(1+$AV92)*(1+$AW92)+(($AY92+$AZ92)/2*IF($G$1="鸣金",$AP92,$AN92)+IF($G$1="鸣金",$AQ92*1.5,0))*(1+$BA92)*(1+$BB92)+(($BC92+$BD92)/2*IF($G$1="裂石",$AP92,$AN92)+IF($G$1="裂石",$AQ92*1.5,0))*(1+$BE92)*(1+$BF92)+(($BG92+$BH92)/2*IF($G$1="牵丝",$AP92,$AN92)+IF($G$1="牵丝",$AQ92*1.5,0))*(1+$BI92)*(1+$BJ92)+(($BK92+$BL92)/2*IF($G$1="破竹",$AP92,$AN92)+IF($G$1="破竹",$AQ92*1.5,0))*(1+$BM92)*(1+$BN92))*(1+$AR92)*$BQ92*$Q92*(1+IF(VLOOKUP($R92,武学奇术!$A:$ZZ,30,FALSE)="蓄力技",$B$21,0))*(1+IF(VLOOKUP($R92,武学奇术!$A:$ZZ,30,FALSE)="派生技",$B$20,0))*(1+$BW92)*(1+$BX92)</f>
        <v>48709.1039766607</v>
      </c>
      <c r="N92" s="46">
        <f>(($AU92*$AN92+$AO92)*(1+$AV92)*(1+$AW92)+($AZ92*IF($G$1="鸣金",$AP92,$AN92)+IF($G$1="鸣金",$AQ92*1.5,0))*(1+$BA92)*(1+$BB92)+($BD92*IF($G$1="裂石",$AP92,$AN92)+IF($G$1="裂石",$AQ92*1.5,0))*(1+$BE92)*(1+$BF92)+($BH92*IF($G$1="牵丝",$AP92,$AN92)+IF($G$1="牵丝",$AQ92*1.5,0))*(1+$BI92)*(1+$BJ92)+($BL92*IF($G$1="破竹",$AP92,$AN92)+IF($G$1="破竹",$AQ92*1.5,0))*(1+$BM92)*(1+$BN92))*(1+$AR92)*$BS92*$Q92*(1+IF(VLOOKUP($R92,武学奇术!$A:$ZZ,30,FALSE)="蓄力技",$B$21,0))*(1+IF(VLOOKUP($R92,武学奇术!$A:$ZZ,30,FALSE)="派生技",$B$20,0))*(1+$BW92)*(1+$BX92)</f>
        <v>35798.8462555339</v>
      </c>
      <c r="O92" s="46">
        <f>((($AT92+$AU92)/2*$AN92+$AO92)*(1+$AV92)*(1+$AW92)+(($AY92+$AZ92)/2*IF($G$1="鸣金",$AP92,$AN92)+IF($G$1="鸣金",$AQ92*1.5,0))*(1+$BA92)*(1+$BB92)+(($BC92+$BD92)/2*IF($G$1="裂石",$AP92,$AN92)+IF($G$1="裂石",$AQ92*1.5,0))*(1+$BE92)*(1+$BF92)+(($BG92+$BH92)/2*IF($G$1="牵丝",$AP92,$AN92)+IF($G$1="牵丝",$AQ92*1.5,0))*(1+$BI92)*(1+$BJ92)+(($BK92+$BL92)/2*IF($G$1="破竹",$AP92,$AN92)+IF($G$1="破竹",$AQ92*1.5,0))*(1+$BM92)*(1+$BN92))*(1+$AR92)*$Q92*(1+IF(VLOOKUP($R92,武学奇术!$A:$ZZ,30,FALSE)="蓄力技",$B$21,0))*(1+IF(VLOOKUP($R92,武学奇术!$A:$ZZ,30,FALSE)="派生技",$B$20,0))*(1+$BW92)*(1+$BX92)</f>
        <v>23194.8114174575</v>
      </c>
      <c r="P92" s="46">
        <f>((($AT92*$AN92+$AO92)*(1+$AV92)*(1+$AW92)+($AY92*IF($G$1="鸣金",$AP92,$AN92)+IF($G$1="鸣金",$AQ92*1.5,0))*(1+$BA92)*(1+$BB92)+($BC92*IF($G$1="裂石",$AP92,$AN92)+IF($G$1="裂石",$AQ92*1.5,0))*(1+$BE92)*(1+$BF92)+($BG92*IF($G$1="牵丝",$AP92,$AN92)+IF($G$1="牵丝",$AQ92*1.5,0))*(1+$BI92)*(1+$BJ92)+($BK92*IF($G$1="破竹",$AP92,$AN92)+IF($G$1="破竹",$AQ92*1.5,0))*(1+$BM92)*(1+$BN92))*(1+$AR92))*$Q92*(1+IF(VLOOKUP($R92,武学奇术!$A:$ZZ,30,FALSE)="蓄力技",$B$21,0))*(1+IF(VLOOKUP($R92,武学奇术!$A:$ZZ,30,FALSE)="派生技",$B$20,0))*(1+$BW92)*(1+$BX92)</f>
        <v>19871.9589419269</v>
      </c>
      <c r="Q92" s="47">
        <f t="shared" si="29"/>
        <v>1</v>
      </c>
      <c r="R92" s="48" t="s">
        <v>144</v>
      </c>
      <c r="S92" s="48" t="s">
        <v>99</v>
      </c>
      <c r="T92" s="48" t="s">
        <v>182</v>
      </c>
      <c r="U92" s="48" t="s">
        <v>79</v>
      </c>
      <c r="V92" s="48" t="s">
        <v>90</v>
      </c>
      <c r="W92" s="48" t="s">
        <v>141</v>
      </c>
      <c r="X92" s="48" t="s">
        <v>145</v>
      </c>
      <c r="Y92" s="48" t="s">
        <v>74</v>
      </c>
      <c r="Z92" s="48" t="s">
        <v>80</v>
      </c>
      <c r="AA92" s="48" t="s">
        <v>183</v>
      </c>
      <c r="AB92" s="48" t="s">
        <v>184</v>
      </c>
      <c r="AC92" s="48" t="s">
        <v>80</v>
      </c>
      <c r="AD92" s="48" t="s">
        <v>80</v>
      </c>
      <c r="AE92" s="48" t="s">
        <v>80</v>
      </c>
      <c r="AF92" s="48" t="s">
        <v>83</v>
      </c>
      <c r="AG92" s="48" t="s">
        <v>84</v>
      </c>
      <c r="AH92" s="48" t="s">
        <v>80</v>
      </c>
      <c r="AI92" s="48" t="s">
        <v>80</v>
      </c>
      <c r="AJ92" s="48" t="s">
        <v>80</v>
      </c>
      <c r="AK92" s="48" t="s">
        <v>80</v>
      </c>
      <c r="AL92" s="48" t="s">
        <v>80</v>
      </c>
      <c r="AM92" t="str">
        <f>VLOOKUP($R92,武学奇术!$A:$ZZ,25,FALSE)</f>
        <v>陌刀</v>
      </c>
      <c r="AN92" s="33">
        <f>VLOOKUP($R92,武学奇术!$A:$ZZ,26,FALSE)</f>
        <v>0.945</v>
      </c>
      <c r="AO92" s="34">
        <f>VLOOKUP($R92,武学奇术!$A:$ZZ,27,FALSE)*(1+IF(OR($AM92=$F$4,$AM92=$F$5),$B$22,0))</f>
        <v>0</v>
      </c>
      <c r="AP92" s="33">
        <f>VLOOKUP($R92,武学奇术!$A:$ZZ,28,FALSE)</f>
        <v>1.4175</v>
      </c>
      <c r="AQ92" s="34">
        <f>VLOOKUP($R92,武学奇术!$A:$ZZ,29,FALSE)*(1+IF(OR($AM92=$F$4,$AM92=$F$5),$B$22,0))</f>
        <v>0</v>
      </c>
      <c r="AR92" s="33" cm="1">
        <f t="array" ref="AR92">$G$3+IFERROR(VLOOKUP($AM92,$F$4:$G$7,2,FALSE),0)+VLOOKUP($R92,武学奇术!$A:$ZZ,2,FALSE)+SUM(_xlfn.XLOOKUP($S92:$AL92,增益!$A:$A,增益!$B:$B,0))</f>
        <v>0.6143</v>
      </c>
      <c r="AS92" s="33" cm="1">
        <f t="array" ref="AS92">VLOOKUP($R92,武学奇术!$A:$ZZ,5,FALSE)+SUM(_xlfn.XLOOKUP($S92:$AL92,增益!$A:$A,增益!$E:$E,0))</f>
        <v>0</v>
      </c>
      <c r="AT92" cm="1">
        <f t="array" ref="AT92">$D$10*(1+$AS92)+VLOOKUP($R92,武学奇术!$A:$ZZ,3,FALSE)+SUM(_xlfn.XLOOKUP($S92:$AL92,增益!$A:$A,增益!$C:$C,0))-$I$2</f>
        <v>4026</v>
      </c>
      <c r="AU92" cm="1">
        <f t="array" ref="AU92">$E$10*(1+$AS92)+VLOOKUP($R92,武学奇术!$A:$ZZ,4,FALSE)+SUM(_xlfn.XLOOKUP($S92:$AL92,增益!$A:$A,增益!$D:$D,0))-$I$2</f>
        <v>4026</v>
      </c>
      <c r="AV92" s="40" cm="1">
        <f t="array" ref="AV92">IF($F$10-$I$3+VLOOKUP($R92,武学奇术!$A:$ZZ,6,FALSE)+SUM(_xlfn.XLOOKUP($S92:$AL92,增益!$A:$A,增益!$F:$F,0))&gt;0,($F$10-$I$3+VLOOKUP($R92,武学奇术!$A:$ZZ,6,FALSE)+SUM(_xlfn.XLOOKUP($S92:$AL92,增益!$A:$A,增益!$F:$F,0)))/200,($F$10-$I$3+VLOOKUP($R92,武学奇术!$A:$ZZ,6,FALSE)+SUM(_xlfn.XLOOKUP($S92:$AL92,增益!$A:$A,增益!$F:$F,0)))/100)</f>
        <v>0.3534</v>
      </c>
      <c r="AW92" s="40" cm="1">
        <f t="array" ref="AW92">$G$10+VLOOKUP($R92,武学奇术!$A:$ZZ,7,FALSE)+SUM(_xlfn.XLOOKUP($S92:$AL92,增益!$A:$A,增益!$G:$G,0))</f>
        <v>0.12</v>
      </c>
      <c r="AX92" s="33" cm="1">
        <f t="array" ref="AX92">VLOOKUP($R92,武学奇术!$A:$ZZ,8,FALSE)+SUM(_xlfn.XLOOKUP($S92:$AL92,增益!$A:$A,增益!$H:$H,0))</f>
        <v>0</v>
      </c>
      <c r="AY92">
        <f t="shared" si="15"/>
        <v>0</v>
      </c>
      <c r="AZ92">
        <f t="shared" si="16"/>
        <v>0</v>
      </c>
      <c r="BA92" s="40" cm="1">
        <f t="array" ref="BA92">IF($F$11-$I$4+VLOOKUP($R92,武学奇术!$A:$ZZ,9,FALSE)+SUM(_xlfn.XLOOKUP($S92:$AL92,增益!$A:$A,增益!$I:$I,0))&gt;0,($F$11-$I$4+VLOOKUP($R92,武学奇术!$A:$ZZ,9,FALSE)+SUM(_xlfn.XLOOKUP($S92:$AL92,增益!$A:$A,增益!$I:$I,0)))/200,($F$11-$I$4+VLOOKUP($R92,武学奇术!$A:$ZZ,9,FALSE)+SUM(_xlfn.XLOOKUP($S92:$AL92,增益!$A:$A,增益!$I:$I,0)))/100)</f>
        <v>-0.14</v>
      </c>
      <c r="BB92" s="40" cm="1">
        <f t="array" ref="BB92">$G$11+VLOOKUP($R92,武学奇术!$A:$ZZ,10,FALSE)+SUM(_xlfn.XLOOKUP($S92:$AL92,增益!$A:$A,增益!$J:$J,0))</f>
        <v>0.1</v>
      </c>
      <c r="BC92">
        <f t="shared" si="17"/>
        <v>640.3</v>
      </c>
      <c r="BD92">
        <f t="shared" si="18"/>
        <v>1770.1</v>
      </c>
      <c r="BE92" s="40" cm="1">
        <f t="array" ref="BE92">IF($F$12-$I$4+VLOOKUP($R92,武学奇术!$A:$ZZ,11,FALSE)+SUM(_xlfn.XLOOKUP($S92:$AL92,增益!$A:$A,增益!$K:$K,0))&gt;0,($F$12-$I$4+VLOOKUP($R92,武学奇术!$A:$ZZ,11,FALSE)+SUM(_xlfn.XLOOKUP($S92:$AL92,增益!$A:$A,增益!$K:$K,0)))/200,($F$12-$I$4+VLOOKUP($R92,武学奇术!$A:$ZZ,11,FALSE)+SUM(_xlfn.XLOOKUP($S92:$AL92,增益!$A:$A,增益!$K:$K,0)))/100)</f>
        <v>0.17</v>
      </c>
      <c r="BF92" s="40" cm="1">
        <f t="array" ref="BF92">$G$12+VLOOKUP($R92,武学奇术!$A:$ZZ,12,FALSE)+SUM(_xlfn.XLOOKUP($S92:$AL92,增益!$A:$A,增益!$L:$L,0))</f>
        <v>0.27</v>
      </c>
      <c r="BG92">
        <f t="shared" si="19"/>
        <v>0</v>
      </c>
      <c r="BH92">
        <f t="shared" si="20"/>
        <v>0</v>
      </c>
      <c r="BI92" s="40" cm="1">
        <f t="array" ref="BI92">IF($F$13-$I$4+VLOOKUP($R92,武学奇术!$A:$ZZ,13,FALSE)+SUM(_xlfn.XLOOKUP($S92:$AL92,增益!$A:$A,增益!$M:$M,0))&gt;0,($F$13-$I$4+VLOOKUP($R92,武学奇术!$A:$ZZ,13,FALSE)+SUM(_xlfn.XLOOKUP($S92:$AL92,增益!$A:$A,增益!$K:$K,0)))/200,($F$13-$I$4+VLOOKUP($R92,武学奇术!$A:$ZZ,13,FALSE)+SUM(_xlfn.XLOOKUP($S92:$AL92,增益!$A:$A,增益!$M:$M,0)))/100)</f>
        <v>-0.14</v>
      </c>
      <c r="BJ92" s="40" cm="1">
        <f t="array" ref="BJ92">$G$13+VLOOKUP($R92,武学奇术!$A:$ZZ,14,FALSE)+SUM(_xlfn.XLOOKUP($S92:$AL92,增益!$A:$A,增益!$N:$N,0))</f>
        <v>0</v>
      </c>
      <c r="BK92">
        <f t="shared" si="21"/>
        <v>0</v>
      </c>
      <c r="BL92">
        <f t="shared" si="22"/>
        <v>0</v>
      </c>
      <c r="BM92" s="40" cm="1">
        <f t="array" ref="BM92">IF($F$14-$I$4+VLOOKUP($R92,武学奇术!$A:$ZZ,15,FALSE)+SUM(_xlfn.XLOOKUP($S92:$AL92,增益!$A:$A,增益!$O:$O,0))&gt;0,($F$14-$I$4+VLOOKUP($R92,武学奇术!$A:$ZZ,15,FALSE)+SUM(_xlfn.XLOOKUP($S92:$AL92,增益!$A:$A,增益!$O:$O,0)))/200,($F$14-$I$4+VLOOKUP($R92,武学奇术!$A:$ZZ,15,FALSE)+SUM(_xlfn.XLOOKUP($S92:$AL92,增益!$A:$A,增益!$O:$O,0)))/100)</f>
        <v>-0.14</v>
      </c>
      <c r="BN92" s="40" cm="1">
        <f t="array" ref="BN92">$G$14+VLOOKUP($R92,武学奇术!$A:$ZZ,16,FALSE)+SUM(_xlfn.XLOOKUP($S92:$AL92,增益!$A:$A,增益!$P:$P,0))</f>
        <v>0</v>
      </c>
      <c r="BO92" s="33">
        <f>MIN(IF(VLOOKUP($R92,武学奇术!$A:$ZZ,23,FALSE)=1,100%,$B$8),100%)</f>
        <v>1</v>
      </c>
      <c r="BP92" s="33" cm="1">
        <f t="array" ref="BP92">IF(VLOOKUP($R92,武学奇术!$A:$ZZ,23,FALSE)=1,100%,MIN(80%,$B$9+VLOOKUP($R92,武学奇术!$A:$ZZ,17,FALSE)+SUM(_xlfn.XLOOKUP($S92:$AL92,增益!$A:$A,增益!$Q:$Q,0)))+$B$11+SUM(_xlfn.XLOOKUP($S92:$AL92,增益!$A:$A,增益!$U:$U,0)))*IF(VLOOKUP($R92,武学奇术!$A:$ZZ,24,FALSE)=1,0,1)</f>
        <v>1</v>
      </c>
      <c r="BQ92" s="33" cm="1">
        <f t="array" ref="BQ92">1+$B$13+VLOOKUP($R92,武学奇术!$A:$ZZ,18,FALSE)+SUM(_xlfn.XLOOKUP($S92:$AL92,增益!$A:$A,增益!$R:$R,0))</f>
        <v>2.1</v>
      </c>
      <c r="BR92" s="33" cm="1">
        <f t="array" ref="BR92">IF(VLOOKUP($R92,武学奇术!$A:$ZZ,24,FALSE)=1,100%,MIN(40%,$B$10+VLOOKUP($R92,武学奇术!$A:$ZZ,19,FALSE)+SUM(_xlfn.XLOOKUP($S92:$AL92,增益!$A:$A,增益!$S:$S,0)))+$B$12+SUM(_xlfn.XLOOKUP($S92:$AL92,增益!$A:$A,增益!$V:$V,0)))*IF(VLOOKUP($R92,武学奇术!$A:$ZZ,23,FALSE)=1,0,1)</f>
        <v>0</v>
      </c>
      <c r="BS92" s="33" cm="1">
        <f t="array" ref="BS92">1+$B$14+VLOOKUP($R92,武学奇术!$A:$ZZ,20,FALSE)+SUM(_xlfn.XLOOKUP($S92:$AL92,增益!$A:$A,增益!$T:$T,0))</f>
        <v>1.35</v>
      </c>
      <c r="BT92" s="33">
        <f t="shared" si="23"/>
        <v>1</v>
      </c>
      <c r="BU92" s="33">
        <f t="shared" si="24"/>
        <v>0</v>
      </c>
      <c r="BV92" s="33">
        <f>IF(VLOOKUP($R92,武学奇术!$A:$ZZ,22,FALSE)=1,0,(1-$BO92))*(1-$BR92)</f>
        <v>0</v>
      </c>
      <c r="BW92" s="33" cm="1">
        <f t="array" ref="BW92">SUM(_xlfn.XLOOKUP($S92:$AL92,增益!$A:$A,增益!$W:$W,0))+$I$5</f>
        <v>0.31</v>
      </c>
      <c r="BX92" s="33" cm="1">
        <f t="array" ref="BX92">VLOOKUP($R92,武学奇术!$A:$ZZ,32,FALSE)+SUM(_xlfn.XLOOKUP($S92:$AL92,增益!$A:$A,增益!$X:$X,0))</f>
        <v>0</v>
      </c>
    </row>
    <row r="93" spans="1:76">
      <c r="L93" s="46">
        <f t="shared" si="14"/>
        <v>403667.215842683</v>
      </c>
      <c r="M93" s="46">
        <f>((($AT93+$AU93)/2*$AN93+$AO93)*(1+$AV93)*(1+$AW93)+(($AY93+$AZ93)/2*IF($G$1="鸣金",$AP93,$AN93)+IF($G$1="鸣金",$AQ93*1.5,0))*(1+$BA93)*(1+$BB93)+(($BC93+$BD93)/2*IF($G$1="裂石",$AP93,$AN93)+IF($G$1="裂石",$AQ93*1.5,0))*(1+$BE93)*(1+$BF93)+(($BG93+$BH93)/2*IF($G$1="牵丝",$AP93,$AN93)+IF($G$1="牵丝",$AQ93*1.5,0))*(1+$BI93)*(1+$BJ93)+(($BK93+$BL93)/2*IF($G$1="破竹",$AP93,$AN93)+IF($G$1="破竹",$AQ93*1.5,0))*(1+$BM93)*(1+$BN93))*(1+$AR93)*$BQ93*$Q93*(1+IF(VLOOKUP($R93,武学奇术!$A:$ZZ,30,FALSE)="蓄力技",$B$21,0))*(1+IF(VLOOKUP($R93,武学奇术!$A:$ZZ,30,FALSE)="派生技",$B$20,0))*(1+$BW93)*(1+$BX93)</f>
        <v>422540.815927755</v>
      </c>
      <c r="N93" s="46">
        <f>(($AU93*$AN93+$AO93)*(1+$AV93)*(1+$AW93)+($AZ93*IF($G$1="鸣金",$AP93,$AN93)+IF($G$1="鸣金",$AQ93*1.5,0))*(1+$BA93)*(1+$BB93)+($BD93*IF($G$1="裂石",$AP93,$AN93)+IF($G$1="裂石",$AQ93*1.5,0))*(1+$BE93)*(1+$BF93)+($BH93*IF($G$1="牵丝",$AP93,$AN93)+IF($G$1="牵丝",$AQ93*1.5,0))*(1+$BI93)*(1+$BJ93)+($BL93*IF($G$1="破竹",$AP93,$AN93)+IF($G$1="破竹",$AQ93*1.5,0))*(1+$BM93)*(1+$BN93))*(1+$AR93)*$BS93*$Q93*(1+IF(VLOOKUP($R93,武学奇术!$A:$ZZ,30,FALSE)="蓄力技",$B$21,0))*(1+IF(VLOOKUP($R93,武学奇术!$A:$ZZ,30,FALSE)="派生技",$B$20,0))*(1+$BW93)*(1+$BX93)</f>
        <v>321137.301246704</v>
      </c>
      <c r="O93" s="46">
        <f>((($AT93+$AU93)/2*$AN93+$AO93)*(1+$AV93)*(1+$AW93)+(($AY93+$AZ93)/2*IF($G$1="鸣金",$AP93,$AN93)+IF($G$1="鸣金",$AQ93*1.5,0))*(1+$BA93)*(1+$BB93)+(($BC93+$BD93)/2*IF($G$1="裂石",$AP93,$AN93)+IF($G$1="裂石",$AQ93*1.5,0))*(1+$BE93)*(1+$BF93)+(($BG93+$BH93)/2*IF($G$1="牵丝",$AP93,$AN93)+IF($G$1="牵丝",$AQ93*1.5,0))*(1+$BI93)*(1+$BJ93)+(($BK93+$BL93)/2*IF($G$1="破竹",$AP93,$AN93)+IF($G$1="破竹",$AQ93*1.5,0))*(1+$BM93)*(1+$BN93))*(1+$AR93)*$Q93*(1+IF(VLOOKUP($R93,武学奇术!$A:$ZZ,30,FALSE)="蓄力技",$B$21,0))*(1+IF(VLOOKUP($R93,武学奇术!$A:$ZZ,30,FALSE)="派生技",$B$20,0))*(1+$BW93)*(1+$BX93)</f>
        <v>211270.407963878</v>
      </c>
      <c r="P93" s="46">
        <f>((($AT93*$AN93+$AO93)*(1+$AV93)*(1+$AW93)+($AY93*IF($G$1="鸣金",$AP93,$AN93)+IF($G$1="鸣金",$AQ93*1.5,0))*(1+$BA93)*(1+$BB93)+($BC93*IF($G$1="裂石",$AP93,$AN93)+IF($G$1="裂石",$AQ93*1.5,0))*(1+$BE93)*(1+$BF93)+($BG93*IF($G$1="牵丝",$AP93,$AN93)+IF($G$1="牵丝",$AQ93*1.5,0))*(1+$BI93)*(1+$BJ93)+($BK93*IF($G$1="破竹",$AP93,$AN93)+IF($G$1="破竹",$AQ93*1.5,0))*(1+$BM93)*(1+$BN93))*(1+$AR93))*$Q93*(1+IF(VLOOKUP($R93,武学奇术!$A:$ZZ,30,FALSE)="蓄力技",$B$21,0))*(1+IF(VLOOKUP($R93,武学奇术!$A:$ZZ,30,FALSE)="派生技",$B$20,0))*(1+$BW93)*(1+$BX93)</f>
        <v>184661.333522789</v>
      </c>
      <c r="Q93" s="47">
        <f t="shared" si="29"/>
        <v>1</v>
      </c>
      <c r="R93" s="48" t="s">
        <v>185</v>
      </c>
      <c r="S93" s="48" t="s">
        <v>99</v>
      </c>
      <c r="T93" s="48" t="s">
        <v>182</v>
      </c>
      <c r="U93" s="48" t="s">
        <v>79</v>
      </c>
      <c r="V93" s="48" t="s">
        <v>90</v>
      </c>
      <c r="W93" s="48" t="s">
        <v>141</v>
      </c>
      <c r="X93" s="48" t="s">
        <v>80</v>
      </c>
      <c r="Y93" s="48" t="s">
        <v>74</v>
      </c>
      <c r="Z93" s="48" t="s">
        <v>80</v>
      </c>
      <c r="AA93" s="48" t="s">
        <v>183</v>
      </c>
      <c r="AB93" s="48" t="s">
        <v>184</v>
      </c>
      <c r="AC93" s="48" t="s">
        <v>80</v>
      </c>
      <c r="AD93" s="48" t="s">
        <v>80</v>
      </c>
      <c r="AE93" s="48" t="s">
        <v>80</v>
      </c>
      <c r="AF93" s="48" t="s">
        <v>83</v>
      </c>
      <c r="AG93" s="48" t="s">
        <v>84</v>
      </c>
      <c r="AH93" s="48" t="s">
        <v>80</v>
      </c>
      <c r="AI93" s="48" t="s">
        <v>80</v>
      </c>
      <c r="AJ93" s="48" t="s">
        <v>80</v>
      </c>
      <c r="AK93" s="48" t="s">
        <v>80</v>
      </c>
      <c r="AL93" s="48" t="s">
        <v>80</v>
      </c>
      <c r="AM93" t="str">
        <f>VLOOKUP($R93,武学奇术!$A:$ZZ,25,FALSE)</f>
        <v>陌刀</v>
      </c>
      <c r="AN93" s="33">
        <f>VLOOKUP($R93,武学奇术!$A:$ZZ,26,FALSE)</f>
        <v>7.5674</v>
      </c>
      <c r="AO93" s="34">
        <f>VLOOKUP($R93,武学奇术!$A:$ZZ,27,FALSE)*(1+IF(OR($AM93=$F$4,$AM93=$F$5),$B$22,0))</f>
        <v>3348.8</v>
      </c>
      <c r="AP93" s="33">
        <f>VLOOKUP($R93,武学奇术!$A:$ZZ,28,FALSE)</f>
        <v>11.3512</v>
      </c>
      <c r="AQ93" s="34">
        <f>VLOOKUP($R93,武学奇术!$A:$ZZ,29,FALSE)*(1+IF(OR($AM93=$F$4,$AM93=$F$5),$B$22,0))</f>
        <v>1824</v>
      </c>
      <c r="AR93" s="33" cm="1">
        <f t="array" ref="AR93">$G$3+IFERROR(VLOOKUP($AM93,$F$4:$G$7,2,FALSE),0)+VLOOKUP($R93,武学奇术!$A:$ZZ,2,FALSE)+SUM(_xlfn.XLOOKUP($S93:$AL93,增益!$A:$A,增益!$B:$B,0))</f>
        <v>0.6143</v>
      </c>
      <c r="AS93" s="33" cm="1">
        <f t="array" ref="AS93">VLOOKUP($R93,武学奇术!$A:$ZZ,5,FALSE)+SUM(_xlfn.XLOOKUP($S93:$AL93,增益!$A:$A,增益!$E:$E,0))</f>
        <v>0</v>
      </c>
      <c r="AT93" cm="1">
        <f t="array" ref="AT93">$D$10*(1+$AS93)+VLOOKUP($R93,武学奇术!$A:$ZZ,3,FALSE)+SUM(_xlfn.XLOOKUP($S93:$AL93,增益!$A:$A,增益!$C:$C,0))-$I$2</f>
        <v>4026</v>
      </c>
      <c r="AU93" cm="1">
        <f t="array" ref="AU93">$E$10*(1+$AS93)+VLOOKUP($R93,武学奇术!$A:$ZZ,4,FALSE)+SUM(_xlfn.XLOOKUP($S93:$AL93,增益!$A:$A,增益!$D:$D,0))-$I$2</f>
        <v>4026</v>
      </c>
      <c r="AV93" s="40" cm="1">
        <f t="array" ref="AV93">IF($F$10-$I$3+VLOOKUP($R93,武学奇术!$A:$ZZ,6,FALSE)+SUM(_xlfn.XLOOKUP($S93:$AL93,增益!$A:$A,增益!$F:$F,0))&gt;0,($F$10-$I$3+VLOOKUP($R93,武学奇术!$A:$ZZ,6,FALSE)+SUM(_xlfn.XLOOKUP($S93:$AL93,增益!$A:$A,增益!$F:$F,0)))/200,($F$10-$I$3+VLOOKUP($R93,武学奇术!$A:$ZZ,6,FALSE)+SUM(_xlfn.XLOOKUP($S93:$AL93,增益!$A:$A,增益!$F:$F,0)))/100)</f>
        <v>0.3534</v>
      </c>
      <c r="AW93" s="40" cm="1">
        <f t="array" ref="AW93">$G$10+VLOOKUP($R93,武学奇术!$A:$ZZ,7,FALSE)+SUM(_xlfn.XLOOKUP($S93:$AL93,增益!$A:$A,增益!$G:$G,0))</f>
        <v>0.12</v>
      </c>
      <c r="AX93" s="33" cm="1">
        <f t="array" ref="AX93">VLOOKUP($R93,武学奇术!$A:$ZZ,8,FALSE)+SUM(_xlfn.XLOOKUP($S93:$AL93,增益!$A:$A,增益!$H:$H,0))</f>
        <v>0</v>
      </c>
      <c r="AY93">
        <f t="shared" si="15"/>
        <v>0</v>
      </c>
      <c r="AZ93">
        <f t="shared" si="16"/>
        <v>0</v>
      </c>
      <c r="BA93" s="40" cm="1">
        <f t="array" ref="BA93">IF($F$11-$I$4+VLOOKUP($R93,武学奇术!$A:$ZZ,9,FALSE)+SUM(_xlfn.XLOOKUP($S93:$AL93,增益!$A:$A,增益!$I:$I,0))&gt;0,($F$11-$I$4+VLOOKUP($R93,武学奇术!$A:$ZZ,9,FALSE)+SUM(_xlfn.XLOOKUP($S93:$AL93,增益!$A:$A,增益!$I:$I,0)))/200,($F$11-$I$4+VLOOKUP($R93,武学奇术!$A:$ZZ,9,FALSE)+SUM(_xlfn.XLOOKUP($S93:$AL93,增益!$A:$A,增益!$I:$I,0)))/100)</f>
        <v>-0.14</v>
      </c>
      <c r="BB93" s="40" cm="1">
        <f t="array" ref="BB93">$G$11+VLOOKUP($R93,武学奇术!$A:$ZZ,10,FALSE)+SUM(_xlfn.XLOOKUP($S93:$AL93,增益!$A:$A,增益!$J:$J,0))</f>
        <v>0.1</v>
      </c>
      <c r="BC93">
        <f t="shared" si="17"/>
        <v>640.3</v>
      </c>
      <c r="BD93">
        <f t="shared" si="18"/>
        <v>1770.1</v>
      </c>
      <c r="BE93" s="40" cm="1">
        <f t="array" ref="BE93">IF($F$12-$I$4+VLOOKUP($R93,武学奇术!$A:$ZZ,11,FALSE)+SUM(_xlfn.XLOOKUP($S93:$AL93,增益!$A:$A,增益!$K:$K,0))&gt;0,($F$12-$I$4+VLOOKUP($R93,武学奇术!$A:$ZZ,11,FALSE)+SUM(_xlfn.XLOOKUP($S93:$AL93,增益!$A:$A,增益!$K:$K,0)))/200,($F$12-$I$4+VLOOKUP($R93,武学奇术!$A:$ZZ,11,FALSE)+SUM(_xlfn.XLOOKUP($S93:$AL93,增益!$A:$A,增益!$K:$K,0)))/100)</f>
        <v>0.17</v>
      </c>
      <c r="BF93" s="40" cm="1">
        <f t="array" ref="BF93">$G$12+VLOOKUP($R93,武学奇术!$A:$ZZ,12,FALSE)+SUM(_xlfn.XLOOKUP($S93:$AL93,增益!$A:$A,增益!$L:$L,0))</f>
        <v>0.27</v>
      </c>
      <c r="BG93">
        <f t="shared" si="19"/>
        <v>0</v>
      </c>
      <c r="BH93">
        <f t="shared" si="20"/>
        <v>0</v>
      </c>
      <c r="BI93" s="40" cm="1">
        <f t="array" ref="BI93">IF($F$13-$I$4+VLOOKUP($R93,武学奇术!$A:$ZZ,13,FALSE)+SUM(_xlfn.XLOOKUP($S93:$AL93,增益!$A:$A,增益!$M:$M,0))&gt;0,($F$13-$I$4+VLOOKUP($R93,武学奇术!$A:$ZZ,13,FALSE)+SUM(_xlfn.XLOOKUP($S93:$AL93,增益!$A:$A,增益!$K:$K,0)))/200,($F$13-$I$4+VLOOKUP($R93,武学奇术!$A:$ZZ,13,FALSE)+SUM(_xlfn.XLOOKUP($S93:$AL93,增益!$A:$A,增益!$M:$M,0)))/100)</f>
        <v>-0.14</v>
      </c>
      <c r="BJ93" s="40" cm="1">
        <f t="array" ref="BJ93">$G$13+VLOOKUP($R93,武学奇术!$A:$ZZ,14,FALSE)+SUM(_xlfn.XLOOKUP($S93:$AL93,增益!$A:$A,增益!$N:$N,0))</f>
        <v>0</v>
      </c>
      <c r="BK93">
        <f t="shared" si="21"/>
        <v>0</v>
      </c>
      <c r="BL93">
        <f t="shared" si="22"/>
        <v>0</v>
      </c>
      <c r="BM93" s="40" cm="1">
        <f t="array" ref="BM93">IF($F$14-$I$4+VLOOKUP($R93,武学奇术!$A:$ZZ,15,FALSE)+SUM(_xlfn.XLOOKUP($S93:$AL93,增益!$A:$A,增益!$O:$O,0))&gt;0,($F$14-$I$4+VLOOKUP($R93,武学奇术!$A:$ZZ,15,FALSE)+SUM(_xlfn.XLOOKUP($S93:$AL93,增益!$A:$A,增益!$O:$O,0)))/200,($F$14-$I$4+VLOOKUP($R93,武学奇术!$A:$ZZ,15,FALSE)+SUM(_xlfn.XLOOKUP($S93:$AL93,增益!$A:$A,增益!$O:$O,0)))/100)</f>
        <v>-0.14</v>
      </c>
      <c r="BN93" s="40" cm="1">
        <f t="array" ref="BN93">$G$14+VLOOKUP($R93,武学奇术!$A:$ZZ,16,FALSE)+SUM(_xlfn.XLOOKUP($S93:$AL93,增益!$A:$A,增益!$P:$P,0))</f>
        <v>0</v>
      </c>
      <c r="BO93" s="33">
        <f>MIN(IF(VLOOKUP($R93,武学奇术!$A:$ZZ,23,FALSE)=1,100%,$B$8),100%)</f>
        <v>0.9771</v>
      </c>
      <c r="BP93" s="33" cm="1">
        <f t="array" ref="BP93">IF(VLOOKUP($R93,武学奇术!$A:$ZZ,23,FALSE)=1,100%,MIN(80%,$B$9+VLOOKUP($R93,武学奇术!$A:$ZZ,17,FALSE)+SUM(_xlfn.XLOOKUP($S93:$AL93,增益!$A:$A,增益!$Q:$Q,0)))+$B$11+SUM(_xlfn.XLOOKUP($S93:$AL93,增益!$A:$A,增益!$U:$U,0)))*IF(VLOOKUP($R93,武学奇术!$A:$ZZ,24,FALSE)=1,0,1)</f>
        <v>0.8861</v>
      </c>
      <c r="BQ93" s="33" cm="1">
        <f t="array" ref="BQ93">1+$B$13+VLOOKUP($R93,武学奇术!$A:$ZZ,18,FALSE)+SUM(_xlfn.XLOOKUP($S93:$AL93,增益!$A:$A,增益!$R:$R,0))</f>
        <v>2</v>
      </c>
      <c r="BR93" s="33" cm="1">
        <f t="array" ref="BR93">IF(VLOOKUP($R93,武学奇术!$A:$ZZ,24,FALSE)=1,100%,MIN(40%,$B$10+VLOOKUP($R93,武学奇术!$A:$ZZ,19,FALSE)+SUM(_xlfn.XLOOKUP($S93:$AL93,增益!$A:$A,增益!$S:$S,0)))+$B$12+SUM(_xlfn.XLOOKUP($S93:$AL93,增益!$A:$A,增益!$V:$V,0)))*IF(VLOOKUP($R93,武学奇术!$A:$ZZ,23,FALSE)=1,0,1)</f>
        <v>0.0913</v>
      </c>
      <c r="BS93" s="33" cm="1">
        <f t="array" ref="BS93">1+$B$14+VLOOKUP($R93,武学奇术!$A:$ZZ,20,FALSE)+SUM(_xlfn.XLOOKUP($S93:$AL93,增益!$A:$A,增益!$T:$T,0))</f>
        <v>1.35</v>
      </c>
      <c r="BT93" s="33">
        <f t="shared" si="23"/>
        <v>0.86580831</v>
      </c>
      <c r="BU93" s="33">
        <f t="shared" si="24"/>
        <v>0.02208246</v>
      </c>
      <c r="BV93" s="33">
        <f>IF(VLOOKUP($R93,武学奇术!$A:$ZZ,22,FALSE)=1,0,(1-$BO93))*(1-$BR93)</f>
        <v>0.02080923</v>
      </c>
      <c r="BW93" s="33" cm="1">
        <f t="array" ref="BW93">SUM(_xlfn.XLOOKUP($S93:$AL93,增益!$A:$A,增益!$W:$W,0))+$I$5</f>
        <v>0.31</v>
      </c>
      <c r="BX93" s="33" cm="1">
        <f t="array" ref="BX93">VLOOKUP($R93,武学奇术!$A:$ZZ,32,FALSE)+SUM(_xlfn.XLOOKUP($S93:$AL93,增益!$A:$A,增益!$X:$X,0))</f>
        <v>0</v>
      </c>
    </row>
    <row r="94" spans="1:76">
      <c r="L94" s="46">
        <f t="shared" si="14"/>
        <v>24643.7079282622</v>
      </c>
      <c r="M94" s="46">
        <f>((($AT94+$AU94)/2*$AN94+$AO94)*(1+$AV94)*(1+$AW94)+(($AY94+$AZ94)/2*IF($G$1="鸣金",$AP94,$AN94)+IF($G$1="鸣金",$AQ94*1.5,0))*(1+$BA94)*(1+$BB94)+(($BC94+$BD94)/2*IF($G$1="裂石",$AP94,$AN94)+IF($G$1="裂石",$AQ94*1.5,0))*(1+$BE94)*(1+$BF94)+(($BG94+$BH94)/2*IF($G$1="牵丝",$AP94,$AN94)+IF($G$1="牵丝",$AQ94*1.5,0))*(1+$BI94)*(1+$BJ94)+(($BK94+$BL94)/2*IF($G$1="破竹",$AP94,$AN94)+IF($G$1="破竹",$AQ94*1.5,0))*(1+$BM94)*(1+$BN94))*(1+$AR94)*$BQ94*$Q94*(1+IF(VLOOKUP($R94,武学奇术!$A:$ZZ,30,FALSE)="蓄力技",$B$21,0))*(1+IF(VLOOKUP($R94,武学奇术!$A:$ZZ,30,FALSE)="派生技",$B$20,0))*(1+$BW94)*(1+$BX94)</f>
        <v>25772.0126860639</v>
      </c>
      <c r="N94" s="46">
        <f>(($AU94*$AN94+$AO94)*(1+$AV94)*(1+$AW94)+($AZ94*IF($G$1="鸣金",$AP94,$AN94)+IF($G$1="鸣金",$AQ94*1.5,0))*(1+$BA94)*(1+$BB94)+($BD94*IF($G$1="裂石",$AP94,$AN94)+IF($G$1="裂石",$AQ94*1.5,0))*(1+$BE94)*(1+$BF94)+($BH94*IF($G$1="牵丝",$AP94,$AN94)+IF($G$1="牵丝",$AQ94*1.5,0))*(1+$BI94)*(1+$BJ94)+($BL94*IF($G$1="破竹",$AP94,$AN94)+IF($G$1="破竹",$AQ94*1.5,0))*(1+$BM94)*(1+$BN94))*(1+$AR94)*$BS94*$Q94*(1+IF(VLOOKUP($R94,武学奇术!$A:$ZZ,30,FALSE)="蓄力技",$B$21,0))*(1+IF(VLOOKUP($R94,武学奇术!$A:$ZZ,30,FALSE)="派生技",$B$20,0))*(1+$BW94)*(1+$BX94)</f>
        <v>19888.2479197411</v>
      </c>
      <c r="O94" s="46">
        <f>((($AT94+$AU94)/2*$AN94+$AO94)*(1+$AV94)*(1+$AW94)+(($AY94+$AZ94)/2*IF($G$1="鸣金",$AP94,$AN94)+IF($G$1="鸣金",$AQ94*1.5,0))*(1+$BA94)*(1+$BB94)+(($BC94+$BD94)/2*IF($G$1="裂石",$AP94,$AN94)+IF($G$1="裂石",$AQ94*1.5,0))*(1+$BE94)*(1+$BF94)+(($BG94+$BH94)/2*IF($G$1="牵丝",$AP94,$AN94)+IF($G$1="牵丝",$AQ94*1.5,0))*(1+$BI94)*(1+$BJ94)+(($BK94+$BL94)/2*IF($G$1="破竹",$AP94,$AN94)+IF($G$1="破竹",$AQ94*1.5,0))*(1+$BM94)*(1+$BN94))*(1+$AR94)*$Q94*(1+IF(VLOOKUP($R94,武学奇术!$A:$ZZ,30,FALSE)="蓄力技",$B$21,0))*(1+IF(VLOOKUP($R94,武学奇术!$A:$ZZ,30,FALSE)="派生技",$B$20,0))*(1+$BW94)*(1+$BX94)</f>
        <v>12886.0063430319</v>
      </c>
      <c r="P94" s="46">
        <f>((($AT94*$AN94+$AO94)*(1+$AV94)*(1+$AW94)+($AY94*IF($G$1="鸣金",$AP94,$AN94)+IF($G$1="鸣金",$AQ94*1.5,0))*(1+$BA94)*(1+$BB94)+($BC94*IF($G$1="裂石",$AP94,$AN94)+IF($G$1="裂石",$AQ94*1.5,0))*(1+$BE94)*(1+$BF94)+($BG94*IF($G$1="牵丝",$AP94,$AN94)+IF($G$1="牵丝",$AQ94*1.5,0))*(1+$BI94)*(1+$BJ94)+($BK94*IF($G$1="破竹",$AP94,$AN94)+IF($G$1="破竹",$AQ94*1.5,0))*(1+$BM94)*(1+$BN94))*(1+$AR94))*$Q94*(1+IF(VLOOKUP($R94,武学奇术!$A:$ZZ,30,FALSE)="蓄力技",$B$21,0))*(1+IF(VLOOKUP($R94,武学奇术!$A:$ZZ,30,FALSE)="派生技",$B$20,0))*(1+$BW94)*(1+$BX94)</f>
        <v>11039.9771899594</v>
      </c>
      <c r="Q94" s="47">
        <f t="shared" si="29"/>
        <v>1</v>
      </c>
      <c r="R94" s="48" t="s">
        <v>140</v>
      </c>
      <c r="S94" s="48" t="s">
        <v>99</v>
      </c>
      <c r="T94" s="48" t="s">
        <v>182</v>
      </c>
      <c r="U94" s="48" t="s">
        <v>79</v>
      </c>
      <c r="V94" s="48" t="s">
        <v>90</v>
      </c>
      <c r="W94" s="48" t="s">
        <v>141</v>
      </c>
      <c r="X94" s="48" t="s">
        <v>80</v>
      </c>
      <c r="Y94" s="48" t="s">
        <v>74</v>
      </c>
      <c r="Z94" s="48" t="s">
        <v>80</v>
      </c>
      <c r="AA94" s="48" t="s">
        <v>183</v>
      </c>
      <c r="AB94" s="48" t="s">
        <v>184</v>
      </c>
      <c r="AC94" s="48" t="s">
        <v>80</v>
      </c>
      <c r="AD94" s="48" t="s">
        <v>80</v>
      </c>
      <c r="AE94" s="48" t="s">
        <v>80</v>
      </c>
      <c r="AF94" s="48" t="s">
        <v>83</v>
      </c>
      <c r="AG94" s="48" t="s">
        <v>84</v>
      </c>
      <c r="AH94" s="48" t="s">
        <v>80</v>
      </c>
      <c r="AI94" s="48" t="s">
        <v>80</v>
      </c>
      <c r="AJ94" s="48" t="s">
        <v>80</v>
      </c>
      <c r="AK94" s="48" t="s">
        <v>80</v>
      </c>
      <c r="AL94" s="48" t="s">
        <v>80</v>
      </c>
      <c r="AM94" t="str">
        <f>VLOOKUP($R94,武学奇术!$A:$ZZ,25,FALSE)</f>
        <v>陌刀</v>
      </c>
      <c r="AN94" s="33">
        <f>VLOOKUP($R94,武学奇术!$A:$ZZ,26,FALSE)</f>
        <v>0.525</v>
      </c>
      <c r="AO94" s="34">
        <f>VLOOKUP($R94,武学奇术!$A:$ZZ,27,FALSE)*(1+IF(OR($AM94=$F$4,$AM94=$F$5),$B$22,0))</f>
        <v>0</v>
      </c>
      <c r="AP94" s="33">
        <f>VLOOKUP($R94,武学奇术!$A:$ZZ,28,FALSE)</f>
        <v>0.7875</v>
      </c>
      <c r="AQ94" s="34">
        <f>VLOOKUP($R94,武学奇术!$A:$ZZ,29,FALSE)*(1+IF(OR($AM94=$F$4,$AM94=$F$5),$B$22,0))</f>
        <v>0</v>
      </c>
      <c r="AR94" s="33" cm="1">
        <f t="array" ref="AR94">$G$3+IFERROR(VLOOKUP($AM94,$F$4:$G$7,2,FALSE),0)+VLOOKUP($R94,武学奇术!$A:$ZZ,2,FALSE)+SUM(_xlfn.XLOOKUP($S94:$AL94,增益!$A:$A,增益!$B:$B,0))</f>
        <v>0.6143</v>
      </c>
      <c r="AS94" s="33" cm="1">
        <f t="array" ref="AS94">VLOOKUP($R94,武学奇术!$A:$ZZ,5,FALSE)+SUM(_xlfn.XLOOKUP($S94:$AL94,增益!$A:$A,增益!$E:$E,0))</f>
        <v>0</v>
      </c>
      <c r="AT94" cm="1">
        <f t="array" ref="AT94">$D$10*(1+$AS94)+VLOOKUP($R94,武学奇术!$A:$ZZ,3,FALSE)+SUM(_xlfn.XLOOKUP($S94:$AL94,增益!$A:$A,增益!$C:$C,0))-$I$2</f>
        <v>4026</v>
      </c>
      <c r="AU94" cm="1">
        <f t="array" ref="AU94">$E$10*(1+$AS94)+VLOOKUP($R94,武学奇术!$A:$ZZ,4,FALSE)+SUM(_xlfn.XLOOKUP($S94:$AL94,增益!$A:$A,增益!$D:$D,0))-$I$2</f>
        <v>4026</v>
      </c>
      <c r="AV94" s="40" cm="1">
        <f t="array" ref="AV94">IF($F$10-$I$3+VLOOKUP($R94,武学奇术!$A:$ZZ,6,FALSE)+SUM(_xlfn.XLOOKUP($S94:$AL94,增益!$A:$A,增益!$F:$F,0))&gt;0,($F$10-$I$3+VLOOKUP($R94,武学奇术!$A:$ZZ,6,FALSE)+SUM(_xlfn.XLOOKUP($S94:$AL94,增益!$A:$A,增益!$F:$F,0)))/200,($F$10-$I$3+VLOOKUP($R94,武学奇术!$A:$ZZ,6,FALSE)+SUM(_xlfn.XLOOKUP($S94:$AL94,增益!$A:$A,增益!$F:$F,0)))/100)</f>
        <v>0.3534</v>
      </c>
      <c r="AW94" s="40" cm="1">
        <f t="array" ref="AW94">$G$10+VLOOKUP($R94,武学奇术!$A:$ZZ,7,FALSE)+SUM(_xlfn.XLOOKUP($S94:$AL94,增益!$A:$A,增益!$G:$G,0))</f>
        <v>0.12</v>
      </c>
      <c r="AX94" s="33" cm="1">
        <f t="array" ref="AX94">VLOOKUP($R94,武学奇术!$A:$ZZ,8,FALSE)+SUM(_xlfn.XLOOKUP($S94:$AL94,增益!$A:$A,增益!$H:$H,0))</f>
        <v>0</v>
      </c>
      <c r="AY94">
        <f t="shared" si="15"/>
        <v>0</v>
      </c>
      <c r="AZ94">
        <f t="shared" si="16"/>
        <v>0</v>
      </c>
      <c r="BA94" s="40" cm="1">
        <f t="array" ref="BA94">IF($F$11-$I$4+VLOOKUP($R94,武学奇术!$A:$ZZ,9,FALSE)+SUM(_xlfn.XLOOKUP($S94:$AL94,增益!$A:$A,增益!$I:$I,0))&gt;0,($F$11-$I$4+VLOOKUP($R94,武学奇术!$A:$ZZ,9,FALSE)+SUM(_xlfn.XLOOKUP($S94:$AL94,增益!$A:$A,增益!$I:$I,0)))/200,($F$11-$I$4+VLOOKUP($R94,武学奇术!$A:$ZZ,9,FALSE)+SUM(_xlfn.XLOOKUP($S94:$AL94,增益!$A:$A,增益!$I:$I,0)))/100)</f>
        <v>-0.14</v>
      </c>
      <c r="BB94" s="40" cm="1">
        <f t="array" ref="BB94">$G$11+VLOOKUP($R94,武学奇术!$A:$ZZ,10,FALSE)+SUM(_xlfn.XLOOKUP($S94:$AL94,增益!$A:$A,增益!$J:$J,0))</f>
        <v>0.1</v>
      </c>
      <c r="BC94">
        <f t="shared" si="17"/>
        <v>640.3</v>
      </c>
      <c r="BD94">
        <f t="shared" si="18"/>
        <v>1770.1</v>
      </c>
      <c r="BE94" s="40" cm="1">
        <f t="array" ref="BE94">IF($F$12-$I$4+VLOOKUP($R94,武学奇术!$A:$ZZ,11,FALSE)+SUM(_xlfn.XLOOKUP($S94:$AL94,增益!$A:$A,增益!$K:$K,0))&gt;0,($F$12-$I$4+VLOOKUP($R94,武学奇术!$A:$ZZ,11,FALSE)+SUM(_xlfn.XLOOKUP($S94:$AL94,增益!$A:$A,增益!$K:$K,0)))/200,($F$12-$I$4+VLOOKUP($R94,武学奇术!$A:$ZZ,11,FALSE)+SUM(_xlfn.XLOOKUP($S94:$AL94,增益!$A:$A,增益!$K:$K,0)))/100)</f>
        <v>0.17</v>
      </c>
      <c r="BF94" s="40" cm="1">
        <f t="array" ref="BF94">$G$12+VLOOKUP($R94,武学奇术!$A:$ZZ,12,FALSE)+SUM(_xlfn.XLOOKUP($S94:$AL94,增益!$A:$A,增益!$L:$L,0))</f>
        <v>0.27</v>
      </c>
      <c r="BG94">
        <f t="shared" si="19"/>
        <v>0</v>
      </c>
      <c r="BH94">
        <f t="shared" si="20"/>
        <v>0</v>
      </c>
      <c r="BI94" s="40" cm="1">
        <f t="array" ref="BI94">IF($F$13-$I$4+VLOOKUP($R94,武学奇术!$A:$ZZ,13,FALSE)+SUM(_xlfn.XLOOKUP($S94:$AL94,增益!$A:$A,增益!$M:$M,0))&gt;0,($F$13-$I$4+VLOOKUP($R94,武学奇术!$A:$ZZ,13,FALSE)+SUM(_xlfn.XLOOKUP($S94:$AL94,增益!$A:$A,增益!$K:$K,0)))/200,($F$13-$I$4+VLOOKUP($R94,武学奇术!$A:$ZZ,13,FALSE)+SUM(_xlfn.XLOOKUP($S94:$AL94,增益!$A:$A,增益!$M:$M,0)))/100)</f>
        <v>-0.14</v>
      </c>
      <c r="BJ94" s="40" cm="1">
        <f t="array" ref="BJ94">$G$13+VLOOKUP($R94,武学奇术!$A:$ZZ,14,FALSE)+SUM(_xlfn.XLOOKUP($S94:$AL94,增益!$A:$A,增益!$N:$N,0))</f>
        <v>0</v>
      </c>
      <c r="BK94">
        <f t="shared" si="21"/>
        <v>0</v>
      </c>
      <c r="BL94">
        <f t="shared" si="22"/>
        <v>0</v>
      </c>
      <c r="BM94" s="40" cm="1">
        <f t="array" ref="BM94">IF($F$14-$I$4+VLOOKUP($R94,武学奇术!$A:$ZZ,15,FALSE)+SUM(_xlfn.XLOOKUP($S94:$AL94,增益!$A:$A,增益!$O:$O,0))&gt;0,($F$14-$I$4+VLOOKUP($R94,武学奇术!$A:$ZZ,15,FALSE)+SUM(_xlfn.XLOOKUP($S94:$AL94,增益!$A:$A,增益!$O:$O,0)))/200,($F$14-$I$4+VLOOKUP($R94,武学奇术!$A:$ZZ,15,FALSE)+SUM(_xlfn.XLOOKUP($S94:$AL94,增益!$A:$A,增益!$O:$O,0)))/100)</f>
        <v>-0.14</v>
      </c>
      <c r="BN94" s="40" cm="1">
        <f t="array" ref="BN94">$G$14+VLOOKUP($R94,武学奇术!$A:$ZZ,16,FALSE)+SUM(_xlfn.XLOOKUP($S94:$AL94,增益!$A:$A,增益!$P:$P,0))</f>
        <v>0</v>
      </c>
      <c r="BO94" s="33">
        <f>MIN(IF(VLOOKUP($R94,武学奇术!$A:$ZZ,23,FALSE)=1,100%,$B$8),100%)</f>
        <v>0.9771</v>
      </c>
      <c r="BP94" s="33" cm="1">
        <f t="array" ref="BP94">IF(VLOOKUP($R94,武学奇术!$A:$ZZ,23,FALSE)=1,100%,MIN(80%,$B$9+VLOOKUP($R94,武学奇术!$A:$ZZ,17,FALSE)+SUM(_xlfn.XLOOKUP($S94:$AL94,增益!$A:$A,增益!$Q:$Q,0)))+$B$11+SUM(_xlfn.XLOOKUP($S94:$AL94,增益!$A:$A,增益!$U:$U,0)))*IF(VLOOKUP($R94,武学奇术!$A:$ZZ,24,FALSE)=1,0,1)</f>
        <v>0.8861</v>
      </c>
      <c r="BQ94" s="33" cm="1">
        <f t="array" ref="BQ94">1+$B$13+VLOOKUP($R94,武学奇术!$A:$ZZ,18,FALSE)+SUM(_xlfn.XLOOKUP($S94:$AL94,增益!$A:$A,增益!$R:$R,0))</f>
        <v>2</v>
      </c>
      <c r="BR94" s="33" cm="1">
        <f t="array" ref="BR94">IF(VLOOKUP($R94,武学奇术!$A:$ZZ,24,FALSE)=1,100%,MIN(40%,$B$10+VLOOKUP($R94,武学奇术!$A:$ZZ,19,FALSE)+SUM(_xlfn.XLOOKUP($S94:$AL94,增益!$A:$A,增益!$S:$S,0)))+$B$12+SUM(_xlfn.XLOOKUP($S94:$AL94,增益!$A:$A,增益!$V:$V,0)))*IF(VLOOKUP($R94,武学奇术!$A:$ZZ,23,FALSE)=1,0,1)</f>
        <v>0.0913</v>
      </c>
      <c r="BS94" s="33" cm="1">
        <f t="array" ref="BS94">1+$B$14+VLOOKUP($R94,武学奇术!$A:$ZZ,20,FALSE)+SUM(_xlfn.XLOOKUP($S94:$AL94,增益!$A:$A,增益!$T:$T,0))</f>
        <v>1.35</v>
      </c>
      <c r="BT94" s="33">
        <f t="shared" si="23"/>
        <v>0.86580831</v>
      </c>
      <c r="BU94" s="33">
        <f t="shared" si="24"/>
        <v>0.02208246</v>
      </c>
      <c r="BV94" s="33">
        <f>IF(VLOOKUP($R94,武学奇术!$A:$ZZ,22,FALSE)=1,0,(1-$BO94))*(1-$BR94)</f>
        <v>0.02080923</v>
      </c>
      <c r="BW94" s="33" cm="1">
        <f t="array" ref="BW94">SUM(_xlfn.XLOOKUP($S94:$AL94,增益!$A:$A,增益!$W:$W,0))+$I$5</f>
        <v>0.31</v>
      </c>
      <c r="BX94" s="33" cm="1">
        <f t="array" ref="BX94">VLOOKUP($R94,武学奇术!$A:$ZZ,32,FALSE)+SUM(_xlfn.XLOOKUP($S94:$AL94,增益!$A:$A,增益!$X:$X,0))</f>
        <v>0</v>
      </c>
    </row>
    <row r="95" spans="1:76">
      <c r="L95" s="46">
        <f t="shared" si="14"/>
        <v>44358.674270872</v>
      </c>
      <c r="M95" s="46">
        <f>((($AT95+$AU95)/2*$AN95+$AO95)*(1+$AV95)*(1+$AW95)+(($AY95+$AZ95)/2*IF($G$1="鸣金",$AP95,$AN95)+IF($G$1="鸣金",$AQ95*1.5,0))*(1+$BA95)*(1+$BB95)+(($BC95+$BD95)/2*IF($G$1="裂石",$AP95,$AN95)+IF($G$1="裂石",$AQ95*1.5,0))*(1+$BE95)*(1+$BF95)+(($BG95+$BH95)/2*IF($G$1="牵丝",$AP95,$AN95)+IF($G$1="牵丝",$AQ95*1.5,0))*(1+$BI95)*(1+$BJ95)+(($BK95+$BL95)/2*IF($G$1="破竹",$AP95,$AN95)+IF($G$1="破竹",$AQ95*1.5,0))*(1+$BM95)*(1+$BN95))*(1+$AR95)*$BQ95*$Q95*(1+IF(VLOOKUP($R95,武学奇术!$A:$ZZ,30,FALSE)="蓄力技",$B$21,0))*(1+IF(VLOOKUP($R95,武学奇术!$A:$ZZ,30,FALSE)="派生技",$B$20,0))*(1+$BW95)*(1+$BX95)</f>
        <v>46389.622834915</v>
      </c>
      <c r="N95" s="46">
        <f>(($AU95*$AN95+$AO95)*(1+$AV95)*(1+$AW95)+($AZ95*IF($G$1="鸣金",$AP95,$AN95)+IF($G$1="鸣金",$AQ95*1.5,0))*(1+$BA95)*(1+$BB95)+($BD95*IF($G$1="裂石",$AP95,$AN95)+IF($G$1="裂石",$AQ95*1.5,0))*(1+$BE95)*(1+$BF95)+($BH95*IF($G$1="牵丝",$AP95,$AN95)+IF($G$1="牵丝",$AQ95*1.5,0))*(1+$BI95)*(1+$BJ95)+($BL95*IF($G$1="破竹",$AP95,$AN95)+IF($G$1="破竹",$AQ95*1.5,0))*(1+$BM95)*(1+$BN95))*(1+$AR95)*$BS95*$Q95*(1+IF(VLOOKUP($R95,武学奇术!$A:$ZZ,30,FALSE)="蓄力技",$B$21,0))*(1+IF(VLOOKUP($R95,武学奇术!$A:$ZZ,30,FALSE)="派生技",$B$20,0))*(1+$BW95)*(1+$BX95)</f>
        <v>35798.8462555339</v>
      </c>
      <c r="O95" s="46">
        <f>((($AT95+$AU95)/2*$AN95+$AO95)*(1+$AV95)*(1+$AW95)+(($AY95+$AZ95)/2*IF($G$1="鸣金",$AP95,$AN95)+IF($G$1="鸣金",$AQ95*1.5,0))*(1+$BA95)*(1+$BB95)+(($BC95+$BD95)/2*IF($G$1="裂石",$AP95,$AN95)+IF($G$1="裂石",$AQ95*1.5,0))*(1+$BE95)*(1+$BF95)+(($BG95+$BH95)/2*IF($G$1="牵丝",$AP95,$AN95)+IF($G$1="牵丝",$AQ95*1.5,0))*(1+$BI95)*(1+$BJ95)+(($BK95+$BL95)/2*IF($G$1="破竹",$AP95,$AN95)+IF($G$1="破竹",$AQ95*1.5,0))*(1+$BM95)*(1+$BN95))*(1+$AR95)*$Q95*(1+IF(VLOOKUP($R95,武学奇术!$A:$ZZ,30,FALSE)="蓄力技",$B$21,0))*(1+IF(VLOOKUP($R95,武学奇术!$A:$ZZ,30,FALSE)="派生技",$B$20,0))*(1+$BW95)*(1+$BX95)</f>
        <v>23194.8114174575</v>
      </c>
      <c r="P95" s="46">
        <f>((($AT95*$AN95+$AO95)*(1+$AV95)*(1+$AW95)+($AY95*IF($G$1="鸣金",$AP95,$AN95)+IF($G$1="鸣金",$AQ95*1.5,0))*(1+$BA95)*(1+$BB95)+($BC95*IF($G$1="裂石",$AP95,$AN95)+IF($G$1="裂石",$AQ95*1.5,0))*(1+$BE95)*(1+$BF95)+($BG95*IF($G$1="牵丝",$AP95,$AN95)+IF($G$1="牵丝",$AQ95*1.5,0))*(1+$BI95)*(1+$BJ95)+($BK95*IF($G$1="破竹",$AP95,$AN95)+IF($G$1="破竹",$AQ95*1.5,0))*(1+$BM95)*(1+$BN95))*(1+$AR95))*$Q95*(1+IF(VLOOKUP($R95,武学奇术!$A:$ZZ,30,FALSE)="蓄力技",$B$21,0))*(1+IF(VLOOKUP($R95,武学奇术!$A:$ZZ,30,FALSE)="派生技",$B$20,0))*(1+$BW95)*(1+$BX95)</f>
        <v>19871.9589419269</v>
      </c>
      <c r="Q95" s="47">
        <f t="shared" si="29"/>
        <v>1</v>
      </c>
      <c r="R95" s="48" t="s">
        <v>169</v>
      </c>
      <c r="S95" s="48" t="s">
        <v>99</v>
      </c>
      <c r="T95" s="48" t="s">
        <v>182</v>
      </c>
      <c r="U95" s="48" t="s">
        <v>79</v>
      </c>
      <c r="V95" s="48" t="s">
        <v>90</v>
      </c>
      <c r="W95" s="48" t="s">
        <v>141</v>
      </c>
      <c r="X95" s="48" t="s">
        <v>80</v>
      </c>
      <c r="Y95" s="48" t="s">
        <v>74</v>
      </c>
      <c r="Z95" s="48" t="s">
        <v>80</v>
      </c>
      <c r="AA95" s="48" t="s">
        <v>183</v>
      </c>
      <c r="AB95" s="48" t="s">
        <v>184</v>
      </c>
      <c r="AC95" s="48" t="s">
        <v>80</v>
      </c>
      <c r="AD95" s="48" t="s">
        <v>80</v>
      </c>
      <c r="AE95" s="48" t="s">
        <v>80</v>
      </c>
      <c r="AF95" s="48" t="s">
        <v>83</v>
      </c>
      <c r="AG95" s="48" t="s">
        <v>84</v>
      </c>
      <c r="AH95" s="48" t="s">
        <v>80</v>
      </c>
      <c r="AI95" s="48" t="s">
        <v>80</v>
      </c>
      <c r="AJ95" s="48" t="s">
        <v>80</v>
      </c>
      <c r="AK95" s="48" t="s">
        <v>80</v>
      </c>
      <c r="AL95" s="48" t="s">
        <v>80</v>
      </c>
      <c r="AM95" t="str">
        <f>VLOOKUP($R95,武学奇术!$A:$ZZ,25,FALSE)</f>
        <v>陌刀</v>
      </c>
      <c r="AN95" s="33">
        <f>VLOOKUP($R95,武学奇术!$A:$ZZ,26,FALSE)</f>
        <v>0.945</v>
      </c>
      <c r="AO95" s="34">
        <f>VLOOKUP($R95,武学奇术!$A:$ZZ,27,FALSE)*(1+IF(OR($AM95=$F$4,$AM95=$F$5),$B$22,0))</f>
        <v>0</v>
      </c>
      <c r="AP95" s="33">
        <f>VLOOKUP($R95,武学奇术!$A:$ZZ,28,FALSE)</f>
        <v>1.4175</v>
      </c>
      <c r="AQ95" s="34">
        <f>VLOOKUP($R95,武学奇术!$A:$ZZ,29,FALSE)*(1+IF(OR($AM95=$F$4,$AM95=$F$5),$B$22,0))</f>
        <v>0</v>
      </c>
      <c r="AR95" s="33" cm="1">
        <f t="array" ref="AR95">$G$3+IFERROR(VLOOKUP($AM95,$F$4:$G$7,2,FALSE),0)+VLOOKUP($R95,武学奇术!$A:$ZZ,2,FALSE)+SUM(_xlfn.XLOOKUP($S95:$AL95,增益!$A:$A,增益!$B:$B,0))</f>
        <v>0.6143</v>
      </c>
      <c r="AS95" s="33" cm="1">
        <f t="array" ref="AS95">VLOOKUP($R95,武学奇术!$A:$ZZ,5,FALSE)+SUM(_xlfn.XLOOKUP($S95:$AL95,增益!$A:$A,增益!$E:$E,0))</f>
        <v>0</v>
      </c>
      <c r="AT95" cm="1">
        <f t="array" ref="AT95">$D$10*(1+$AS95)+VLOOKUP($R95,武学奇术!$A:$ZZ,3,FALSE)+SUM(_xlfn.XLOOKUP($S95:$AL95,增益!$A:$A,增益!$C:$C,0))-$I$2</f>
        <v>4026</v>
      </c>
      <c r="AU95" cm="1">
        <f t="array" ref="AU95">$E$10*(1+$AS95)+VLOOKUP($R95,武学奇术!$A:$ZZ,4,FALSE)+SUM(_xlfn.XLOOKUP($S95:$AL95,增益!$A:$A,增益!$D:$D,0))-$I$2</f>
        <v>4026</v>
      </c>
      <c r="AV95" s="40" cm="1">
        <f t="array" ref="AV95">IF($F$10-$I$3+VLOOKUP($R95,武学奇术!$A:$ZZ,6,FALSE)+SUM(_xlfn.XLOOKUP($S95:$AL95,增益!$A:$A,增益!$F:$F,0))&gt;0,($F$10-$I$3+VLOOKUP($R95,武学奇术!$A:$ZZ,6,FALSE)+SUM(_xlfn.XLOOKUP($S95:$AL95,增益!$A:$A,增益!$F:$F,0)))/200,($F$10-$I$3+VLOOKUP($R95,武学奇术!$A:$ZZ,6,FALSE)+SUM(_xlfn.XLOOKUP($S95:$AL95,增益!$A:$A,增益!$F:$F,0)))/100)</f>
        <v>0.3534</v>
      </c>
      <c r="AW95" s="40" cm="1">
        <f t="array" ref="AW95">$G$10+VLOOKUP($R95,武学奇术!$A:$ZZ,7,FALSE)+SUM(_xlfn.XLOOKUP($S95:$AL95,增益!$A:$A,增益!$G:$G,0))</f>
        <v>0.12</v>
      </c>
      <c r="AX95" s="33" cm="1">
        <f t="array" ref="AX95">VLOOKUP($R95,武学奇术!$A:$ZZ,8,FALSE)+SUM(_xlfn.XLOOKUP($S95:$AL95,增益!$A:$A,增益!$H:$H,0))</f>
        <v>0</v>
      </c>
      <c r="AY95">
        <f t="shared" si="15"/>
        <v>0</v>
      </c>
      <c r="AZ95">
        <f t="shared" si="16"/>
        <v>0</v>
      </c>
      <c r="BA95" s="40" cm="1">
        <f t="array" ref="BA95">IF($F$11-$I$4+VLOOKUP($R95,武学奇术!$A:$ZZ,9,FALSE)+SUM(_xlfn.XLOOKUP($S95:$AL95,增益!$A:$A,增益!$I:$I,0))&gt;0,($F$11-$I$4+VLOOKUP($R95,武学奇术!$A:$ZZ,9,FALSE)+SUM(_xlfn.XLOOKUP($S95:$AL95,增益!$A:$A,增益!$I:$I,0)))/200,($F$11-$I$4+VLOOKUP($R95,武学奇术!$A:$ZZ,9,FALSE)+SUM(_xlfn.XLOOKUP($S95:$AL95,增益!$A:$A,增益!$I:$I,0)))/100)</f>
        <v>-0.14</v>
      </c>
      <c r="BB95" s="40" cm="1">
        <f t="array" ref="BB95">$G$11+VLOOKUP($R95,武学奇术!$A:$ZZ,10,FALSE)+SUM(_xlfn.XLOOKUP($S95:$AL95,增益!$A:$A,增益!$J:$J,0))</f>
        <v>0.1</v>
      </c>
      <c r="BC95">
        <f t="shared" si="17"/>
        <v>640.3</v>
      </c>
      <c r="BD95">
        <f t="shared" si="18"/>
        <v>1770.1</v>
      </c>
      <c r="BE95" s="40" cm="1">
        <f t="array" ref="BE95">IF($F$12-$I$4+VLOOKUP($R95,武学奇术!$A:$ZZ,11,FALSE)+SUM(_xlfn.XLOOKUP($S95:$AL95,增益!$A:$A,增益!$K:$K,0))&gt;0,($F$12-$I$4+VLOOKUP($R95,武学奇术!$A:$ZZ,11,FALSE)+SUM(_xlfn.XLOOKUP($S95:$AL95,增益!$A:$A,增益!$K:$K,0)))/200,($F$12-$I$4+VLOOKUP($R95,武学奇术!$A:$ZZ,11,FALSE)+SUM(_xlfn.XLOOKUP($S95:$AL95,增益!$A:$A,增益!$K:$K,0)))/100)</f>
        <v>0.17</v>
      </c>
      <c r="BF95" s="40" cm="1">
        <f t="array" ref="BF95">$G$12+VLOOKUP($R95,武学奇术!$A:$ZZ,12,FALSE)+SUM(_xlfn.XLOOKUP($S95:$AL95,增益!$A:$A,增益!$L:$L,0))</f>
        <v>0.27</v>
      </c>
      <c r="BG95">
        <f t="shared" si="19"/>
        <v>0</v>
      </c>
      <c r="BH95">
        <f t="shared" si="20"/>
        <v>0</v>
      </c>
      <c r="BI95" s="40" cm="1">
        <f t="array" ref="BI95">IF($F$13-$I$4+VLOOKUP($R95,武学奇术!$A:$ZZ,13,FALSE)+SUM(_xlfn.XLOOKUP($S95:$AL95,增益!$A:$A,增益!$M:$M,0))&gt;0,($F$13-$I$4+VLOOKUP($R95,武学奇术!$A:$ZZ,13,FALSE)+SUM(_xlfn.XLOOKUP($S95:$AL95,增益!$A:$A,增益!$K:$K,0)))/200,($F$13-$I$4+VLOOKUP($R95,武学奇术!$A:$ZZ,13,FALSE)+SUM(_xlfn.XLOOKUP($S95:$AL95,增益!$A:$A,增益!$M:$M,0)))/100)</f>
        <v>-0.14</v>
      </c>
      <c r="BJ95" s="40" cm="1">
        <f t="array" ref="BJ95">$G$13+VLOOKUP($R95,武学奇术!$A:$ZZ,14,FALSE)+SUM(_xlfn.XLOOKUP($S95:$AL95,增益!$A:$A,增益!$N:$N,0))</f>
        <v>0</v>
      </c>
      <c r="BK95">
        <f t="shared" si="21"/>
        <v>0</v>
      </c>
      <c r="BL95">
        <f t="shared" si="22"/>
        <v>0</v>
      </c>
      <c r="BM95" s="40" cm="1">
        <f t="array" ref="BM95">IF($F$14-$I$4+VLOOKUP($R95,武学奇术!$A:$ZZ,15,FALSE)+SUM(_xlfn.XLOOKUP($S95:$AL95,增益!$A:$A,增益!$O:$O,0))&gt;0,($F$14-$I$4+VLOOKUP($R95,武学奇术!$A:$ZZ,15,FALSE)+SUM(_xlfn.XLOOKUP($S95:$AL95,增益!$A:$A,增益!$O:$O,0)))/200,($F$14-$I$4+VLOOKUP($R95,武学奇术!$A:$ZZ,15,FALSE)+SUM(_xlfn.XLOOKUP($S95:$AL95,增益!$A:$A,增益!$O:$O,0)))/100)</f>
        <v>-0.14</v>
      </c>
      <c r="BN95" s="40" cm="1">
        <f t="array" ref="BN95">$G$14+VLOOKUP($R95,武学奇术!$A:$ZZ,16,FALSE)+SUM(_xlfn.XLOOKUP($S95:$AL95,增益!$A:$A,增益!$P:$P,0))</f>
        <v>0</v>
      </c>
      <c r="BO95" s="33">
        <f>MIN(IF(VLOOKUP($R95,武学奇术!$A:$ZZ,23,FALSE)=1,100%,$B$8),100%)</f>
        <v>0.9771</v>
      </c>
      <c r="BP95" s="33" cm="1">
        <f t="array" ref="BP95">IF(VLOOKUP($R95,武学奇术!$A:$ZZ,23,FALSE)=1,100%,MIN(80%,$B$9+VLOOKUP($R95,武学奇术!$A:$ZZ,17,FALSE)+SUM(_xlfn.XLOOKUP($S95:$AL95,增益!$A:$A,增益!$Q:$Q,0)))+$B$11+SUM(_xlfn.XLOOKUP($S95:$AL95,增益!$A:$A,增益!$U:$U,0)))*IF(VLOOKUP($R95,武学奇术!$A:$ZZ,24,FALSE)=1,0,1)</f>
        <v>0.8861</v>
      </c>
      <c r="BQ95" s="33" cm="1">
        <f t="array" ref="BQ95">1+$B$13+VLOOKUP($R95,武学奇术!$A:$ZZ,18,FALSE)+SUM(_xlfn.XLOOKUP($S95:$AL95,增益!$A:$A,增益!$R:$R,0))</f>
        <v>2</v>
      </c>
      <c r="BR95" s="33" cm="1">
        <f t="array" ref="BR95">IF(VLOOKUP($R95,武学奇术!$A:$ZZ,24,FALSE)=1,100%,MIN(40%,$B$10+VLOOKUP($R95,武学奇术!$A:$ZZ,19,FALSE)+SUM(_xlfn.XLOOKUP($S95:$AL95,增益!$A:$A,增益!$S:$S,0)))+$B$12+SUM(_xlfn.XLOOKUP($S95:$AL95,增益!$A:$A,增益!$V:$V,0)))*IF(VLOOKUP($R95,武学奇术!$A:$ZZ,23,FALSE)=1,0,1)</f>
        <v>0.0913</v>
      </c>
      <c r="BS95" s="33" cm="1">
        <f t="array" ref="BS95">1+$B$14+VLOOKUP($R95,武学奇术!$A:$ZZ,20,FALSE)+SUM(_xlfn.XLOOKUP($S95:$AL95,增益!$A:$A,增益!$T:$T,0))</f>
        <v>1.35</v>
      </c>
      <c r="BT95" s="33">
        <f t="shared" si="23"/>
        <v>0.86580831</v>
      </c>
      <c r="BU95" s="33">
        <f t="shared" si="24"/>
        <v>0.02208246</v>
      </c>
      <c r="BV95" s="33">
        <f>IF(VLOOKUP($R95,武学奇术!$A:$ZZ,22,FALSE)=1,0,(1-$BO95))*(1-$BR95)</f>
        <v>0.02080923</v>
      </c>
      <c r="BW95" s="33" cm="1">
        <f t="array" ref="BW95">SUM(_xlfn.XLOOKUP($S95:$AL95,增益!$A:$A,增益!$W:$W,0))+$I$5</f>
        <v>0.31</v>
      </c>
      <c r="BX95" s="33" cm="1">
        <f t="array" ref="BX95">VLOOKUP($R95,武学奇术!$A:$ZZ,32,FALSE)+SUM(_xlfn.XLOOKUP($S95:$AL95,增益!$A:$A,增益!$X:$X,0))</f>
        <v>0</v>
      </c>
    </row>
    <row r="96" spans="1:76">
      <c r="L96" s="46">
        <f t="shared" si="14"/>
        <v>403667.215842683</v>
      </c>
      <c r="M96" s="46">
        <f>((($AT96+$AU96)/2*$AN96+$AO96)*(1+$AV96)*(1+$AW96)+(($AY96+$AZ96)/2*IF($G$1="鸣金",$AP96,$AN96)+IF($G$1="鸣金",$AQ96*1.5,0))*(1+$BA96)*(1+$BB96)+(($BC96+$BD96)/2*IF($G$1="裂石",$AP96,$AN96)+IF($G$1="裂石",$AQ96*1.5,0))*(1+$BE96)*(1+$BF96)+(($BG96+$BH96)/2*IF($G$1="牵丝",$AP96,$AN96)+IF($G$1="牵丝",$AQ96*1.5,0))*(1+$BI96)*(1+$BJ96)+(($BK96+$BL96)/2*IF($G$1="破竹",$AP96,$AN96)+IF($G$1="破竹",$AQ96*1.5,0))*(1+$BM96)*(1+$BN96))*(1+$AR96)*$BQ96*$Q96*(1+IF(VLOOKUP($R96,武学奇术!$A:$ZZ,30,FALSE)="蓄力技",$B$21,0))*(1+IF(VLOOKUP($R96,武学奇术!$A:$ZZ,30,FALSE)="派生技",$B$20,0))*(1+$BW96)*(1+$BX96)</f>
        <v>422540.815927755</v>
      </c>
      <c r="N96" s="46">
        <f>(($AU96*$AN96+$AO96)*(1+$AV96)*(1+$AW96)+($AZ96*IF($G$1="鸣金",$AP96,$AN96)+IF($G$1="鸣金",$AQ96*1.5,0))*(1+$BA96)*(1+$BB96)+($BD96*IF($G$1="裂石",$AP96,$AN96)+IF($G$1="裂石",$AQ96*1.5,0))*(1+$BE96)*(1+$BF96)+($BH96*IF($G$1="牵丝",$AP96,$AN96)+IF($G$1="牵丝",$AQ96*1.5,0))*(1+$BI96)*(1+$BJ96)+($BL96*IF($G$1="破竹",$AP96,$AN96)+IF($G$1="破竹",$AQ96*1.5,0))*(1+$BM96)*(1+$BN96))*(1+$AR96)*$BS96*$Q96*(1+IF(VLOOKUP($R96,武学奇术!$A:$ZZ,30,FALSE)="蓄力技",$B$21,0))*(1+IF(VLOOKUP($R96,武学奇术!$A:$ZZ,30,FALSE)="派生技",$B$20,0))*(1+$BW96)*(1+$BX96)</f>
        <v>321137.301246704</v>
      </c>
      <c r="O96" s="46">
        <f>((($AT96+$AU96)/2*$AN96+$AO96)*(1+$AV96)*(1+$AW96)+(($AY96+$AZ96)/2*IF($G$1="鸣金",$AP96,$AN96)+IF($G$1="鸣金",$AQ96*1.5,0))*(1+$BA96)*(1+$BB96)+(($BC96+$BD96)/2*IF($G$1="裂石",$AP96,$AN96)+IF($G$1="裂石",$AQ96*1.5,0))*(1+$BE96)*(1+$BF96)+(($BG96+$BH96)/2*IF($G$1="牵丝",$AP96,$AN96)+IF($G$1="牵丝",$AQ96*1.5,0))*(1+$BI96)*(1+$BJ96)+(($BK96+$BL96)/2*IF($G$1="破竹",$AP96,$AN96)+IF($G$1="破竹",$AQ96*1.5,0))*(1+$BM96)*(1+$BN96))*(1+$AR96)*$Q96*(1+IF(VLOOKUP($R96,武学奇术!$A:$ZZ,30,FALSE)="蓄力技",$B$21,0))*(1+IF(VLOOKUP($R96,武学奇术!$A:$ZZ,30,FALSE)="派生技",$B$20,0))*(1+$BW96)*(1+$BX96)</f>
        <v>211270.407963878</v>
      </c>
      <c r="P96" s="46">
        <f>((($AT96*$AN96+$AO96)*(1+$AV96)*(1+$AW96)+($AY96*IF($G$1="鸣金",$AP96,$AN96)+IF($G$1="鸣金",$AQ96*1.5,0))*(1+$BA96)*(1+$BB96)+($BC96*IF($G$1="裂石",$AP96,$AN96)+IF($G$1="裂石",$AQ96*1.5,0))*(1+$BE96)*(1+$BF96)+($BG96*IF($G$1="牵丝",$AP96,$AN96)+IF($G$1="牵丝",$AQ96*1.5,0))*(1+$BI96)*(1+$BJ96)+($BK96*IF($G$1="破竹",$AP96,$AN96)+IF($G$1="破竹",$AQ96*1.5,0))*(1+$BM96)*(1+$BN96))*(1+$AR96))*$Q96*(1+IF(VLOOKUP($R96,武学奇术!$A:$ZZ,30,FALSE)="蓄力技",$B$21,0))*(1+IF(VLOOKUP($R96,武学奇术!$A:$ZZ,30,FALSE)="派生技",$B$20,0))*(1+$BW96)*(1+$BX96)</f>
        <v>184661.333522789</v>
      </c>
      <c r="Q96" s="47">
        <f t="shared" si="29"/>
        <v>1</v>
      </c>
      <c r="R96" s="48" t="s">
        <v>185</v>
      </c>
      <c r="S96" s="48" t="s">
        <v>99</v>
      </c>
      <c r="T96" s="48" t="s">
        <v>182</v>
      </c>
      <c r="U96" s="48" t="s">
        <v>79</v>
      </c>
      <c r="V96" s="48" t="s">
        <v>90</v>
      </c>
      <c r="W96" s="48" t="s">
        <v>141</v>
      </c>
      <c r="X96" s="48" t="s">
        <v>80</v>
      </c>
      <c r="Y96" s="48" t="s">
        <v>74</v>
      </c>
      <c r="Z96" s="48" t="s">
        <v>80</v>
      </c>
      <c r="AA96" s="48" t="s">
        <v>183</v>
      </c>
      <c r="AB96" s="48" t="s">
        <v>184</v>
      </c>
      <c r="AC96" s="48" t="s">
        <v>80</v>
      </c>
      <c r="AD96" s="48" t="s">
        <v>80</v>
      </c>
      <c r="AE96" s="48" t="s">
        <v>80</v>
      </c>
      <c r="AF96" s="48" t="s">
        <v>83</v>
      </c>
      <c r="AG96" s="48" t="s">
        <v>84</v>
      </c>
      <c r="AH96" s="48" t="s">
        <v>80</v>
      </c>
      <c r="AI96" s="48" t="s">
        <v>80</v>
      </c>
      <c r="AJ96" s="48" t="s">
        <v>80</v>
      </c>
      <c r="AK96" s="48" t="s">
        <v>80</v>
      </c>
      <c r="AL96" s="48" t="s">
        <v>80</v>
      </c>
      <c r="AM96" t="str">
        <f>VLOOKUP($R96,武学奇术!$A:$ZZ,25,FALSE)</f>
        <v>陌刀</v>
      </c>
      <c r="AN96" s="33">
        <f>VLOOKUP($R96,武学奇术!$A:$ZZ,26,FALSE)</f>
        <v>7.5674</v>
      </c>
      <c r="AO96" s="34">
        <f>VLOOKUP($R96,武学奇术!$A:$ZZ,27,FALSE)*(1+IF(OR($AM96=$F$4,$AM96=$F$5),$B$22,0))</f>
        <v>3348.8</v>
      </c>
      <c r="AP96" s="33">
        <f>VLOOKUP($R96,武学奇术!$A:$ZZ,28,FALSE)</f>
        <v>11.3512</v>
      </c>
      <c r="AQ96" s="34">
        <f>VLOOKUP($R96,武学奇术!$A:$ZZ,29,FALSE)*(1+IF(OR($AM96=$F$4,$AM96=$F$5),$B$22,0))</f>
        <v>1824</v>
      </c>
      <c r="AR96" s="33" cm="1">
        <f t="array" ref="AR96">$G$3+IFERROR(VLOOKUP($AM96,$F$4:$G$7,2,FALSE),0)+VLOOKUP($R96,武学奇术!$A:$ZZ,2,FALSE)+SUM(_xlfn.XLOOKUP($S96:$AL96,增益!$A:$A,增益!$B:$B,0))</f>
        <v>0.6143</v>
      </c>
      <c r="AS96" s="33" cm="1">
        <f t="array" ref="AS96">VLOOKUP($R96,武学奇术!$A:$ZZ,5,FALSE)+SUM(_xlfn.XLOOKUP($S96:$AL96,增益!$A:$A,增益!$E:$E,0))</f>
        <v>0</v>
      </c>
      <c r="AT96" cm="1">
        <f t="array" ref="AT96">$D$10*(1+$AS96)+VLOOKUP($R96,武学奇术!$A:$ZZ,3,FALSE)+SUM(_xlfn.XLOOKUP($S96:$AL96,增益!$A:$A,增益!$C:$C,0))-$I$2</f>
        <v>4026</v>
      </c>
      <c r="AU96" cm="1">
        <f t="array" ref="AU96">$E$10*(1+$AS96)+VLOOKUP($R96,武学奇术!$A:$ZZ,4,FALSE)+SUM(_xlfn.XLOOKUP($S96:$AL96,增益!$A:$A,增益!$D:$D,0))-$I$2</f>
        <v>4026</v>
      </c>
      <c r="AV96" s="40" cm="1">
        <f t="array" ref="AV96">IF($F$10-$I$3+VLOOKUP($R96,武学奇术!$A:$ZZ,6,FALSE)+SUM(_xlfn.XLOOKUP($S96:$AL96,增益!$A:$A,增益!$F:$F,0))&gt;0,($F$10-$I$3+VLOOKUP($R96,武学奇术!$A:$ZZ,6,FALSE)+SUM(_xlfn.XLOOKUP($S96:$AL96,增益!$A:$A,增益!$F:$F,0)))/200,($F$10-$I$3+VLOOKUP($R96,武学奇术!$A:$ZZ,6,FALSE)+SUM(_xlfn.XLOOKUP($S96:$AL96,增益!$A:$A,增益!$F:$F,0)))/100)</f>
        <v>0.3534</v>
      </c>
      <c r="AW96" s="40" cm="1">
        <f t="array" ref="AW96">$G$10+VLOOKUP($R96,武学奇术!$A:$ZZ,7,FALSE)+SUM(_xlfn.XLOOKUP($S96:$AL96,增益!$A:$A,增益!$G:$G,0))</f>
        <v>0.12</v>
      </c>
      <c r="AX96" s="33" cm="1">
        <f t="array" ref="AX96">VLOOKUP($R96,武学奇术!$A:$ZZ,8,FALSE)+SUM(_xlfn.XLOOKUP($S96:$AL96,增益!$A:$A,增益!$H:$H,0))</f>
        <v>0</v>
      </c>
      <c r="AY96">
        <f t="shared" si="15"/>
        <v>0</v>
      </c>
      <c r="AZ96">
        <f t="shared" si="16"/>
        <v>0</v>
      </c>
      <c r="BA96" s="40" cm="1">
        <f t="array" ref="BA96">IF($F$11-$I$4+VLOOKUP($R96,武学奇术!$A:$ZZ,9,FALSE)+SUM(_xlfn.XLOOKUP($S96:$AL96,增益!$A:$A,增益!$I:$I,0))&gt;0,($F$11-$I$4+VLOOKUP($R96,武学奇术!$A:$ZZ,9,FALSE)+SUM(_xlfn.XLOOKUP($S96:$AL96,增益!$A:$A,增益!$I:$I,0)))/200,($F$11-$I$4+VLOOKUP($R96,武学奇术!$A:$ZZ,9,FALSE)+SUM(_xlfn.XLOOKUP($S96:$AL96,增益!$A:$A,增益!$I:$I,0)))/100)</f>
        <v>-0.14</v>
      </c>
      <c r="BB96" s="40" cm="1">
        <f t="array" ref="BB96">$G$11+VLOOKUP($R96,武学奇术!$A:$ZZ,10,FALSE)+SUM(_xlfn.XLOOKUP($S96:$AL96,增益!$A:$A,增益!$J:$J,0))</f>
        <v>0.1</v>
      </c>
      <c r="BC96">
        <f t="shared" si="17"/>
        <v>640.3</v>
      </c>
      <c r="BD96">
        <f t="shared" si="18"/>
        <v>1770.1</v>
      </c>
      <c r="BE96" s="40" cm="1">
        <f t="array" ref="BE96">IF($F$12-$I$4+VLOOKUP($R96,武学奇术!$A:$ZZ,11,FALSE)+SUM(_xlfn.XLOOKUP($S96:$AL96,增益!$A:$A,增益!$K:$K,0))&gt;0,($F$12-$I$4+VLOOKUP($R96,武学奇术!$A:$ZZ,11,FALSE)+SUM(_xlfn.XLOOKUP($S96:$AL96,增益!$A:$A,增益!$K:$K,0)))/200,($F$12-$I$4+VLOOKUP($R96,武学奇术!$A:$ZZ,11,FALSE)+SUM(_xlfn.XLOOKUP($S96:$AL96,增益!$A:$A,增益!$K:$K,0)))/100)</f>
        <v>0.17</v>
      </c>
      <c r="BF96" s="40" cm="1">
        <f t="array" ref="BF96">$G$12+VLOOKUP($R96,武学奇术!$A:$ZZ,12,FALSE)+SUM(_xlfn.XLOOKUP($S96:$AL96,增益!$A:$A,增益!$L:$L,0))</f>
        <v>0.27</v>
      </c>
      <c r="BG96">
        <f t="shared" si="19"/>
        <v>0</v>
      </c>
      <c r="BH96">
        <f t="shared" si="20"/>
        <v>0</v>
      </c>
      <c r="BI96" s="40" cm="1">
        <f t="array" ref="BI96">IF($F$13-$I$4+VLOOKUP($R96,武学奇术!$A:$ZZ,13,FALSE)+SUM(_xlfn.XLOOKUP($S96:$AL96,增益!$A:$A,增益!$M:$M,0))&gt;0,($F$13-$I$4+VLOOKUP($R96,武学奇术!$A:$ZZ,13,FALSE)+SUM(_xlfn.XLOOKUP($S96:$AL96,增益!$A:$A,增益!$K:$K,0)))/200,($F$13-$I$4+VLOOKUP($R96,武学奇术!$A:$ZZ,13,FALSE)+SUM(_xlfn.XLOOKUP($S96:$AL96,增益!$A:$A,增益!$M:$M,0)))/100)</f>
        <v>-0.14</v>
      </c>
      <c r="BJ96" s="40" cm="1">
        <f t="array" ref="BJ96">$G$13+VLOOKUP($R96,武学奇术!$A:$ZZ,14,FALSE)+SUM(_xlfn.XLOOKUP($S96:$AL96,增益!$A:$A,增益!$N:$N,0))</f>
        <v>0</v>
      </c>
      <c r="BK96">
        <f t="shared" si="21"/>
        <v>0</v>
      </c>
      <c r="BL96">
        <f t="shared" si="22"/>
        <v>0</v>
      </c>
      <c r="BM96" s="40" cm="1">
        <f t="array" ref="BM96">IF($F$14-$I$4+VLOOKUP($R96,武学奇术!$A:$ZZ,15,FALSE)+SUM(_xlfn.XLOOKUP($S96:$AL96,增益!$A:$A,增益!$O:$O,0))&gt;0,($F$14-$I$4+VLOOKUP($R96,武学奇术!$A:$ZZ,15,FALSE)+SUM(_xlfn.XLOOKUP($S96:$AL96,增益!$A:$A,增益!$O:$O,0)))/200,($F$14-$I$4+VLOOKUP($R96,武学奇术!$A:$ZZ,15,FALSE)+SUM(_xlfn.XLOOKUP($S96:$AL96,增益!$A:$A,增益!$O:$O,0)))/100)</f>
        <v>-0.14</v>
      </c>
      <c r="BN96" s="40" cm="1">
        <f t="array" ref="BN96">$G$14+VLOOKUP($R96,武学奇术!$A:$ZZ,16,FALSE)+SUM(_xlfn.XLOOKUP($S96:$AL96,增益!$A:$A,增益!$P:$P,0))</f>
        <v>0</v>
      </c>
      <c r="BO96" s="33">
        <f>MIN(IF(VLOOKUP($R96,武学奇术!$A:$ZZ,23,FALSE)=1,100%,$B$8),100%)</f>
        <v>0.9771</v>
      </c>
      <c r="BP96" s="33" cm="1">
        <f t="array" ref="BP96">IF(VLOOKUP($R96,武学奇术!$A:$ZZ,23,FALSE)=1,100%,MIN(80%,$B$9+VLOOKUP($R96,武学奇术!$A:$ZZ,17,FALSE)+SUM(_xlfn.XLOOKUP($S96:$AL96,增益!$A:$A,增益!$Q:$Q,0)))+$B$11+SUM(_xlfn.XLOOKUP($S96:$AL96,增益!$A:$A,增益!$U:$U,0)))*IF(VLOOKUP($R96,武学奇术!$A:$ZZ,24,FALSE)=1,0,1)</f>
        <v>0.8861</v>
      </c>
      <c r="BQ96" s="33" cm="1">
        <f t="array" ref="BQ96">1+$B$13+VLOOKUP($R96,武学奇术!$A:$ZZ,18,FALSE)+SUM(_xlfn.XLOOKUP($S96:$AL96,增益!$A:$A,增益!$R:$R,0))</f>
        <v>2</v>
      </c>
      <c r="BR96" s="33" cm="1">
        <f t="array" ref="BR96">IF(VLOOKUP($R96,武学奇术!$A:$ZZ,24,FALSE)=1,100%,MIN(40%,$B$10+VLOOKUP($R96,武学奇术!$A:$ZZ,19,FALSE)+SUM(_xlfn.XLOOKUP($S96:$AL96,增益!$A:$A,增益!$S:$S,0)))+$B$12+SUM(_xlfn.XLOOKUP($S96:$AL96,增益!$A:$A,增益!$V:$V,0)))*IF(VLOOKUP($R96,武学奇术!$A:$ZZ,23,FALSE)=1,0,1)</f>
        <v>0.0913</v>
      </c>
      <c r="BS96" s="33" cm="1">
        <f t="array" ref="BS96">1+$B$14+VLOOKUP($R96,武学奇术!$A:$ZZ,20,FALSE)+SUM(_xlfn.XLOOKUP($S96:$AL96,增益!$A:$A,增益!$T:$T,0))</f>
        <v>1.35</v>
      </c>
      <c r="BT96" s="33">
        <f t="shared" si="23"/>
        <v>0.86580831</v>
      </c>
      <c r="BU96" s="33">
        <f t="shared" si="24"/>
        <v>0.02208246</v>
      </c>
      <c r="BV96" s="33">
        <f>IF(VLOOKUP($R96,武学奇术!$A:$ZZ,22,FALSE)=1,0,(1-$BO96))*(1-$BR96)</f>
        <v>0.02080923</v>
      </c>
      <c r="BW96" s="33" cm="1">
        <f t="array" ref="BW96">SUM(_xlfn.XLOOKUP($S96:$AL96,增益!$A:$A,增益!$W:$W,0))+$I$5</f>
        <v>0.31</v>
      </c>
      <c r="BX96" s="33" cm="1">
        <f t="array" ref="BX96">VLOOKUP($R96,武学奇术!$A:$ZZ,32,FALSE)+SUM(_xlfn.XLOOKUP($S96:$AL96,增益!$A:$A,增益!$X:$X,0))</f>
        <v>0</v>
      </c>
    </row>
    <row r="97" spans="12:76">
      <c r="L97" s="46">
        <f t="shared" si="14"/>
        <v>20881.3097712756</v>
      </c>
      <c r="M97" s="46">
        <f>((($AT97+$AU97)/2*$AN97+$AO97)*(1+$AV97)*(1+$AW97)+(($AY97+$AZ97)/2*IF($G$1="鸣金",$AP97,$AN97)+IF($G$1="鸣金",$AQ97*1.5,0))*(1+$BA97)*(1+$BB97)+(($BC97+$BD97)/2*IF($G$1="裂石",$AP97,$AN97)+IF($G$1="裂石",$AQ97*1.5,0))*(1+$BE97)*(1+$BF97)+(($BG97+$BH97)/2*IF($G$1="牵丝",$AP97,$AN97)+IF($G$1="牵丝",$AQ97*1.5,0))*(1+$BI97)*(1+$BJ97)+(($BK97+$BL97)/2*IF($G$1="破竹",$AP97,$AN97)+IF($G$1="破竹",$AQ97*1.5,0))*(1+$BM97)*(1+$BN97))*(1+$AR97)*$BQ97*$Q97*(1+IF(VLOOKUP($R97,武学奇术!$A:$ZZ,30,FALSE)="蓄力技",$B$21,0))*(1+IF(VLOOKUP($R97,武学奇术!$A:$ZZ,30,FALSE)="派生技",$B$20,0))*(1+$BW97)*(1+$BX97)</f>
        <v>21837.3542607106</v>
      </c>
      <c r="N97" s="46">
        <f>(($AU97*$AN97+$AO97)*(1+$AV97)*(1+$AW97)+($AZ97*IF($G$1="鸣金",$AP97,$AN97)+IF($G$1="鸣金",$AQ97*1.5,0))*(1+$BA97)*(1+$BB97)+($BD97*IF($G$1="裂石",$AP97,$AN97)+IF($G$1="裂石",$AQ97*1.5,0))*(1+$BE97)*(1+$BF97)+($BH97*IF($G$1="牵丝",$AP97,$AN97)+IF($G$1="牵丝",$AQ97*1.5,0))*(1+$BI97)*(1+$BJ97)+($BL97*IF($G$1="破竹",$AP97,$AN97)+IF($G$1="破竹",$AQ97*1.5,0))*(1+$BM97)*(1+$BN97))*(1+$AR97)*$BS97*$Q97*(1+IF(VLOOKUP($R97,武学奇术!$A:$ZZ,30,FALSE)="蓄力技",$B$21,0))*(1+IF(VLOOKUP($R97,武学奇术!$A:$ZZ,30,FALSE)="派生技",$B$20,0))*(1+$BW97)*(1+$BX97)</f>
        <v>16851.8741915363</v>
      </c>
      <c r="O97" s="46">
        <f>((($AT97+$AU97)/2*$AN97+$AO97)*(1+$AV97)*(1+$AW97)+(($AY97+$AZ97)/2*IF($G$1="鸣金",$AP97,$AN97)+IF($G$1="鸣金",$AQ97*1.5,0))*(1+$BA97)*(1+$BB97)+(($BC97+$BD97)/2*IF($G$1="裂石",$AP97,$AN97)+IF($G$1="裂石",$AQ97*1.5,0))*(1+$BE97)*(1+$BF97)+(($BG97+$BH97)/2*IF($G$1="牵丝",$AP97,$AN97)+IF($G$1="牵丝",$AQ97*1.5,0))*(1+$BI97)*(1+$BJ97)+(($BK97+$BL97)/2*IF($G$1="破竹",$AP97,$AN97)+IF($G$1="破竹",$AQ97*1.5,0))*(1+$BM97)*(1+$BN97))*(1+$AR97)*$Q97*(1+IF(VLOOKUP($R97,武学奇术!$A:$ZZ,30,FALSE)="蓄力技",$B$21,0))*(1+IF(VLOOKUP($R97,武学奇术!$A:$ZZ,30,FALSE)="派生技",$B$20,0))*(1+$BW97)*(1+$BX97)</f>
        <v>10918.6771303553</v>
      </c>
      <c r="P97" s="46">
        <f>((($AT97*$AN97+$AO97)*(1+$AV97)*(1+$AW97)+($AY97*IF($G$1="鸣金",$AP97,$AN97)+IF($G$1="鸣金",$AQ97*1.5,0))*(1+$BA97)*(1+$BB97)+($BC97*IF($G$1="裂石",$AP97,$AN97)+IF($G$1="裂石",$AQ97*1.5,0))*(1+$BE97)*(1+$BF97)+($BG97*IF($G$1="牵丝",$AP97,$AN97)+IF($G$1="牵丝",$AQ97*1.5,0))*(1+$BI97)*(1+$BJ97)+($BK97*IF($G$1="破竹",$AP97,$AN97)+IF($G$1="破竹",$AQ97*1.5,0))*(1+$BM97)*(1+$BN97))*(1+$AR97))*$Q97*(1+IF(VLOOKUP($R97,武学奇术!$A:$ZZ,30,FALSE)="蓄力技",$B$21,0))*(1+IF(VLOOKUP($R97,武学奇术!$A:$ZZ,30,FALSE)="派生技",$B$20,0))*(1+$BW97)*(1+$BX97)</f>
        <v>9354.48448920223</v>
      </c>
      <c r="Q97" s="47">
        <f t="shared" si="29"/>
        <v>1</v>
      </c>
      <c r="R97" s="48" t="s">
        <v>140</v>
      </c>
      <c r="S97" s="48" t="s">
        <v>99</v>
      </c>
      <c r="T97" s="48" t="s">
        <v>182</v>
      </c>
      <c r="U97" s="48" t="s">
        <v>79</v>
      </c>
      <c r="V97" s="48" t="s">
        <v>90</v>
      </c>
      <c r="W97" s="48" t="s">
        <v>141</v>
      </c>
      <c r="X97" s="48" t="s">
        <v>80</v>
      </c>
      <c r="Y97" s="48" t="s">
        <v>74</v>
      </c>
      <c r="Z97" s="48" t="s">
        <v>80</v>
      </c>
      <c r="AA97" s="48" t="s">
        <v>80</v>
      </c>
      <c r="AB97" s="48" t="s">
        <v>80</v>
      </c>
      <c r="AC97" s="48" t="s">
        <v>80</v>
      </c>
      <c r="AD97" s="48" t="s">
        <v>80</v>
      </c>
      <c r="AE97" s="48" t="s">
        <v>80</v>
      </c>
      <c r="AF97" s="48" t="s">
        <v>83</v>
      </c>
      <c r="AG97" s="48" t="s">
        <v>84</v>
      </c>
      <c r="AH97" s="48" t="s">
        <v>80</v>
      </c>
      <c r="AI97" s="48" t="s">
        <v>80</v>
      </c>
      <c r="AJ97" s="48" t="s">
        <v>80</v>
      </c>
      <c r="AK97" s="48" t="s">
        <v>80</v>
      </c>
      <c r="AL97" s="48" t="s">
        <v>80</v>
      </c>
      <c r="AM97" t="str">
        <f>VLOOKUP($R97,武学奇术!$A:$ZZ,25,FALSE)</f>
        <v>陌刀</v>
      </c>
      <c r="AN97" s="33">
        <f>VLOOKUP($R97,武学奇术!$A:$ZZ,26,FALSE)</f>
        <v>0.525</v>
      </c>
      <c r="AO97" s="34">
        <f>VLOOKUP($R97,武学奇术!$A:$ZZ,27,FALSE)*(1+IF(OR($AM97=$F$4,$AM97=$F$5),$B$22,0))</f>
        <v>0</v>
      </c>
      <c r="AP97" s="33">
        <f>VLOOKUP($R97,武学奇术!$A:$ZZ,28,FALSE)</f>
        <v>0.7875</v>
      </c>
      <c r="AQ97" s="34">
        <f>VLOOKUP($R97,武学奇术!$A:$ZZ,29,FALSE)*(1+IF(OR($AM97=$F$4,$AM97=$F$5),$B$22,0))</f>
        <v>0</v>
      </c>
      <c r="AR97" s="33" cm="1">
        <f t="array" ref="AR97">$G$3+IFERROR(VLOOKUP($AM97,$F$4:$G$7,2,FALSE),0)+VLOOKUP($R97,武学奇术!$A:$ZZ,2,FALSE)+SUM(_xlfn.XLOOKUP($S97:$AL97,增益!$A:$A,增益!$B:$B,0))</f>
        <v>0.6143</v>
      </c>
      <c r="AS97" s="33" cm="1">
        <f t="array" ref="AS97">VLOOKUP($R97,武学奇术!$A:$ZZ,5,FALSE)+SUM(_xlfn.XLOOKUP($S97:$AL97,增益!$A:$A,增益!$E:$E,0))</f>
        <v>0</v>
      </c>
      <c r="AT97" cm="1">
        <f t="array" ref="AT97">$D$10*(1+$AS97)+VLOOKUP($R97,武学奇术!$A:$ZZ,3,FALSE)+SUM(_xlfn.XLOOKUP($S97:$AL97,增益!$A:$A,增益!$C:$C,0))-$I$2</f>
        <v>4026</v>
      </c>
      <c r="AU97" cm="1">
        <f t="array" ref="AU97">$E$10*(1+$AS97)+VLOOKUP($R97,武学奇术!$A:$ZZ,4,FALSE)+SUM(_xlfn.XLOOKUP($S97:$AL97,增益!$A:$A,增益!$D:$D,0))-$I$2</f>
        <v>4026</v>
      </c>
      <c r="AV97" s="40" cm="1">
        <f t="array" ref="AV97">IF($F$10-$I$3+VLOOKUP($R97,武学奇术!$A:$ZZ,6,FALSE)+SUM(_xlfn.XLOOKUP($S97:$AL97,增益!$A:$A,增益!$F:$F,0))&gt;0,($F$10-$I$3+VLOOKUP($R97,武学奇术!$A:$ZZ,6,FALSE)+SUM(_xlfn.XLOOKUP($S97:$AL97,增益!$A:$A,增益!$F:$F,0)))/200,($F$10-$I$3+VLOOKUP($R97,武学奇术!$A:$ZZ,6,FALSE)+SUM(_xlfn.XLOOKUP($S97:$AL97,增益!$A:$A,增益!$F:$F,0)))/100)</f>
        <v>0.3534</v>
      </c>
      <c r="AW97" s="40" cm="1">
        <f t="array" ref="AW97">$G$10+VLOOKUP($R97,武学奇术!$A:$ZZ,7,FALSE)+SUM(_xlfn.XLOOKUP($S97:$AL97,增益!$A:$A,增益!$G:$G,0))</f>
        <v>0.12</v>
      </c>
      <c r="AX97" s="33" cm="1">
        <f t="array" ref="AX97">VLOOKUP($R97,武学奇术!$A:$ZZ,8,FALSE)+SUM(_xlfn.XLOOKUP($S97:$AL97,增益!$A:$A,增益!$H:$H,0))</f>
        <v>0</v>
      </c>
      <c r="AY97">
        <f t="shared" si="15"/>
        <v>0</v>
      </c>
      <c r="AZ97">
        <f t="shared" si="16"/>
        <v>0</v>
      </c>
      <c r="BA97" s="40" cm="1">
        <f t="array" ref="BA97">IF($F$11-$I$4+VLOOKUP($R97,武学奇术!$A:$ZZ,9,FALSE)+SUM(_xlfn.XLOOKUP($S97:$AL97,增益!$A:$A,增益!$I:$I,0))&gt;0,($F$11-$I$4+VLOOKUP($R97,武学奇术!$A:$ZZ,9,FALSE)+SUM(_xlfn.XLOOKUP($S97:$AL97,增益!$A:$A,增益!$I:$I,0)))/200,($F$11-$I$4+VLOOKUP($R97,武学奇术!$A:$ZZ,9,FALSE)+SUM(_xlfn.XLOOKUP($S97:$AL97,增益!$A:$A,增益!$I:$I,0)))/100)</f>
        <v>-0.14</v>
      </c>
      <c r="BB97" s="40" cm="1">
        <f t="array" ref="BB97">$G$11+VLOOKUP($R97,武学奇术!$A:$ZZ,10,FALSE)+SUM(_xlfn.XLOOKUP($S97:$AL97,增益!$A:$A,增益!$J:$J,0))</f>
        <v>0</v>
      </c>
      <c r="BC97">
        <f t="shared" si="17"/>
        <v>640.3</v>
      </c>
      <c r="BD97">
        <f t="shared" si="18"/>
        <v>1770.1</v>
      </c>
      <c r="BE97" s="40" cm="1">
        <f t="array" ref="BE97">IF($F$12-$I$4+VLOOKUP($R97,武学奇术!$A:$ZZ,11,FALSE)+SUM(_xlfn.XLOOKUP($S97:$AL97,增益!$A:$A,增益!$K:$K,0))&gt;0,($F$12-$I$4+VLOOKUP($R97,武学奇术!$A:$ZZ,11,FALSE)+SUM(_xlfn.XLOOKUP($S97:$AL97,增益!$A:$A,增益!$K:$K,0)))/200,($F$12-$I$4+VLOOKUP($R97,武学奇术!$A:$ZZ,11,FALSE)+SUM(_xlfn.XLOOKUP($S97:$AL97,增益!$A:$A,增益!$K:$K,0)))/100)</f>
        <v>0.17</v>
      </c>
      <c r="BF97" s="40" cm="1">
        <f t="array" ref="BF97">$G$12+VLOOKUP($R97,武学奇术!$A:$ZZ,12,FALSE)+SUM(_xlfn.XLOOKUP($S97:$AL97,增益!$A:$A,增益!$L:$L,0))</f>
        <v>0.27</v>
      </c>
      <c r="BG97">
        <f t="shared" si="19"/>
        <v>0</v>
      </c>
      <c r="BH97">
        <f t="shared" si="20"/>
        <v>0</v>
      </c>
      <c r="BI97" s="40" cm="1">
        <f t="array" ref="BI97">IF($F$13-$I$4+VLOOKUP($R97,武学奇术!$A:$ZZ,13,FALSE)+SUM(_xlfn.XLOOKUP($S97:$AL97,增益!$A:$A,增益!$M:$M,0))&gt;0,($F$13-$I$4+VLOOKUP($R97,武学奇术!$A:$ZZ,13,FALSE)+SUM(_xlfn.XLOOKUP($S97:$AL97,增益!$A:$A,增益!$K:$K,0)))/200,($F$13-$I$4+VLOOKUP($R97,武学奇术!$A:$ZZ,13,FALSE)+SUM(_xlfn.XLOOKUP($S97:$AL97,增益!$A:$A,增益!$M:$M,0)))/100)</f>
        <v>-0.14</v>
      </c>
      <c r="BJ97" s="40" cm="1">
        <f t="array" ref="BJ97">$G$13+VLOOKUP($R97,武学奇术!$A:$ZZ,14,FALSE)+SUM(_xlfn.XLOOKUP($S97:$AL97,增益!$A:$A,增益!$N:$N,0))</f>
        <v>0</v>
      </c>
      <c r="BK97">
        <f t="shared" si="21"/>
        <v>0</v>
      </c>
      <c r="BL97">
        <f t="shared" si="22"/>
        <v>0</v>
      </c>
      <c r="BM97" s="40" cm="1">
        <f t="array" ref="BM97">IF($F$14-$I$4+VLOOKUP($R97,武学奇术!$A:$ZZ,15,FALSE)+SUM(_xlfn.XLOOKUP($S97:$AL97,增益!$A:$A,增益!$O:$O,0))&gt;0,($F$14-$I$4+VLOOKUP($R97,武学奇术!$A:$ZZ,15,FALSE)+SUM(_xlfn.XLOOKUP($S97:$AL97,增益!$A:$A,增益!$O:$O,0)))/200,($F$14-$I$4+VLOOKUP($R97,武学奇术!$A:$ZZ,15,FALSE)+SUM(_xlfn.XLOOKUP($S97:$AL97,增益!$A:$A,增益!$O:$O,0)))/100)</f>
        <v>-0.14</v>
      </c>
      <c r="BN97" s="40" cm="1">
        <f t="array" ref="BN97">$G$14+VLOOKUP($R97,武学奇术!$A:$ZZ,16,FALSE)+SUM(_xlfn.XLOOKUP($S97:$AL97,增益!$A:$A,增益!$P:$P,0))</f>
        <v>0</v>
      </c>
      <c r="BO97" s="33">
        <f>MIN(IF(VLOOKUP($R97,武学奇术!$A:$ZZ,23,FALSE)=1,100%,$B$8),100%)</f>
        <v>0.9771</v>
      </c>
      <c r="BP97" s="33" cm="1">
        <f t="array" ref="BP97">IF(VLOOKUP($R97,武学奇术!$A:$ZZ,23,FALSE)=1,100%,MIN(80%,$B$9+VLOOKUP($R97,武学奇术!$A:$ZZ,17,FALSE)+SUM(_xlfn.XLOOKUP($S97:$AL97,增益!$A:$A,增益!$Q:$Q,0)))+$B$11+SUM(_xlfn.XLOOKUP($S97:$AL97,增益!$A:$A,增益!$U:$U,0)))*IF(VLOOKUP($R97,武学奇术!$A:$ZZ,24,FALSE)=1,0,1)</f>
        <v>0.8861</v>
      </c>
      <c r="BQ97" s="33" cm="1">
        <f t="array" ref="BQ97">1+$B$13+VLOOKUP($R97,武学奇术!$A:$ZZ,18,FALSE)+SUM(_xlfn.XLOOKUP($S97:$AL97,增益!$A:$A,增益!$R:$R,0))</f>
        <v>2</v>
      </c>
      <c r="BR97" s="33" cm="1">
        <f t="array" ref="BR97">IF(VLOOKUP($R97,武学奇术!$A:$ZZ,24,FALSE)=1,100%,MIN(40%,$B$10+VLOOKUP($R97,武学奇术!$A:$ZZ,19,FALSE)+SUM(_xlfn.XLOOKUP($S97:$AL97,增益!$A:$A,增益!$S:$S,0)))+$B$12+SUM(_xlfn.XLOOKUP($S97:$AL97,增益!$A:$A,增益!$V:$V,0)))*IF(VLOOKUP($R97,武学奇术!$A:$ZZ,23,FALSE)=1,0,1)</f>
        <v>0.0913</v>
      </c>
      <c r="BS97" s="33" cm="1">
        <f t="array" ref="BS97">1+$B$14+VLOOKUP($R97,武学奇术!$A:$ZZ,20,FALSE)+SUM(_xlfn.XLOOKUP($S97:$AL97,增益!$A:$A,增益!$T:$T,0))</f>
        <v>1.35</v>
      </c>
      <c r="BT97" s="33">
        <f t="shared" si="23"/>
        <v>0.86580831</v>
      </c>
      <c r="BU97" s="33">
        <f t="shared" si="24"/>
        <v>0.02208246</v>
      </c>
      <c r="BV97" s="33">
        <f>IF(VLOOKUP($R97,武学奇术!$A:$ZZ,22,FALSE)=1,0,(1-$BO97))*(1-$BR97)</f>
        <v>0.02080923</v>
      </c>
      <c r="BW97" s="33" cm="1">
        <f t="array" ref="BW97">SUM(_xlfn.XLOOKUP($S97:$AL97,增益!$A:$A,增益!$W:$W,0))+$I$5</f>
        <v>0.11</v>
      </c>
      <c r="BX97" s="33" cm="1">
        <f t="array" ref="BX97">VLOOKUP($R97,武学奇术!$A:$ZZ,32,FALSE)+SUM(_xlfn.XLOOKUP($S97:$AL97,增益!$A:$A,增益!$X:$X,0))</f>
        <v>0</v>
      </c>
    </row>
    <row r="98" spans="12:76">
      <c r="L98" s="46">
        <f t="shared" si="14"/>
        <v>37586.3575882962</v>
      </c>
      <c r="M98" s="46">
        <f>((($AT98+$AU98)/2*$AN98+$AO98)*(1+$AV98)*(1+$AW98)+(($AY98+$AZ98)/2*IF($G$1="鸣金",$AP98,$AN98)+IF($G$1="鸣金",$AQ98*1.5,0))*(1+$BA98)*(1+$BB98)+(($BC98+$BD98)/2*IF($G$1="裂石",$AP98,$AN98)+IF($G$1="裂石",$AQ98*1.5,0))*(1+$BE98)*(1+$BF98)+(($BG98+$BH98)/2*IF($G$1="牵丝",$AP98,$AN98)+IF($G$1="牵丝",$AQ98*1.5,0))*(1+$BI98)*(1+$BJ98)+(($BK98+$BL98)/2*IF($G$1="破竹",$AP98,$AN98)+IF($G$1="破竹",$AQ98*1.5,0))*(1+$BM98)*(1+$BN98))*(1+$AR98)*$BQ98*$Q98*(1+IF(VLOOKUP($R98,武学奇术!$A:$ZZ,30,FALSE)="蓄力技",$B$21,0))*(1+IF(VLOOKUP($R98,武学奇术!$A:$ZZ,30,FALSE)="派生技",$B$20,0))*(1+$BW98)*(1+$BX98)</f>
        <v>39307.2376692791</v>
      </c>
      <c r="N98" s="46">
        <f>(($AU98*$AN98+$AO98)*(1+$AV98)*(1+$AW98)+($AZ98*IF($G$1="鸣金",$AP98,$AN98)+IF($G$1="鸣金",$AQ98*1.5,0))*(1+$BA98)*(1+$BB98)+($BD98*IF($G$1="裂石",$AP98,$AN98)+IF($G$1="裂石",$AQ98*1.5,0))*(1+$BE98)*(1+$BF98)+($BH98*IF($G$1="牵丝",$AP98,$AN98)+IF($G$1="牵丝",$AQ98*1.5,0))*(1+$BI98)*(1+$BJ98)+($BL98*IF($G$1="破竹",$AP98,$AN98)+IF($G$1="破竹",$AQ98*1.5,0))*(1+$BM98)*(1+$BN98))*(1+$AR98)*$BS98*$Q98*(1+IF(VLOOKUP($R98,武学奇术!$A:$ZZ,30,FALSE)="蓄力技",$B$21,0))*(1+IF(VLOOKUP($R98,武学奇术!$A:$ZZ,30,FALSE)="派生技",$B$20,0))*(1+$BW98)*(1+$BX98)</f>
        <v>30333.3735447654</v>
      </c>
      <c r="O98" s="46">
        <f>((($AT98+$AU98)/2*$AN98+$AO98)*(1+$AV98)*(1+$AW98)+(($AY98+$AZ98)/2*IF($G$1="鸣金",$AP98,$AN98)+IF($G$1="鸣金",$AQ98*1.5,0))*(1+$BA98)*(1+$BB98)+(($BC98+$BD98)/2*IF($G$1="裂石",$AP98,$AN98)+IF($G$1="裂石",$AQ98*1.5,0))*(1+$BE98)*(1+$BF98)+(($BG98+$BH98)/2*IF($G$1="牵丝",$AP98,$AN98)+IF($G$1="牵丝",$AQ98*1.5,0))*(1+$BI98)*(1+$BJ98)+(($BK98+$BL98)/2*IF($G$1="破竹",$AP98,$AN98)+IF($G$1="破竹",$AQ98*1.5,0))*(1+$BM98)*(1+$BN98))*(1+$AR98)*$Q98*(1+IF(VLOOKUP($R98,武学奇术!$A:$ZZ,30,FALSE)="蓄力技",$B$21,0))*(1+IF(VLOOKUP($R98,武学奇术!$A:$ZZ,30,FALSE)="派生技",$B$20,0))*(1+$BW98)*(1+$BX98)</f>
        <v>19653.6188346395</v>
      </c>
      <c r="P98" s="46">
        <f>((($AT98*$AN98+$AO98)*(1+$AV98)*(1+$AW98)+($AY98*IF($G$1="鸣金",$AP98,$AN98)+IF($G$1="鸣金",$AQ98*1.5,0))*(1+$BA98)*(1+$BB98)+($BC98*IF($G$1="裂石",$AP98,$AN98)+IF($G$1="裂石",$AQ98*1.5,0))*(1+$BE98)*(1+$BF98)+($BG98*IF($G$1="牵丝",$AP98,$AN98)+IF($G$1="牵丝",$AQ98*1.5,0))*(1+$BI98)*(1+$BJ98)+($BK98*IF($G$1="破竹",$AP98,$AN98)+IF($G$1="破竹",$AQ98*1.5,0))*(1+$BM98)*(1+$BN98))*(1+$AR98))*$Q98*(1+IF(VLOOKUP($R98,武学奇术!$A:$ZZ,30,FALSE)="蓄力技",$B$21,0))*(1+IF(VLOOKUP($R98,武学奇术!$A:$ZZ,30,FALSE)="派生技",$B$20,0))*(1+$BW98)*(1+$BX98)</f>
        <v>16838.072080564</v>
      </c>
      <c r="Q98" s="47">
        <f t="shared" si="29"/>
        <v>1</v>
      </c>
      <c r="R98" s="48" t="s">
        <v>169</v>
      </c>
      <c r="S98" s="48" t="s">
        <v>99</v>
      </c>
      <c r="T98" s="48" t="s">
        <v>182</v>
      </c>
      <c r="U98" s="48" t="s">
        <v>79</v>
      </c>
      <c r="V98" s="48" t="s">
        <v>90</v>
      </c>
      <c r="W98" s="48" t="s">
        <v>141</v>
      </c>
      <c r="X98" s="48" t="s">
        <v>80</v>
      </c>
      <c r="Y98" s="48" t="s">
        <v>74</v>
      </c>
      <c r="Z98" s="48" t="s">
        <v>80</v>
      </c>
      <c r="AA98" s="48" t="s">
        <v>80</v>
      </c>
      <c r="AB98" s="48" t="s">
        <v>80</v>
      </c>
      <c r="AC98" s="48" t="s">
        <v>80</v>
      </c>
      <c r="AD98" s="48" t="s">
        <v>80</v>
      </c>
      <c r="AE98" s="48" t="s">
        <v>80</v>
      </c>
      <c r="AF98" s="48" t="s">
        <v>83</v>
      </c>
      <c r="AG98" s="48" t="s">
        <v>84</v>
      </c>
      <c r="AH98" s="48" t="s">
        <v>80</v>
      </c>
      <c r="AI98" s="48" t="s">
        <v>80</v>
      </c>
      <c r="AJ98" s="48" t="s">
        <v>80</v>
      </c>
      <c r="AK98" s="48" t="s">
        <v>80</v>
      </c>
      <c r="AL98" s="48" t="s">
        <v>80</v>
      </c>
      <c r="AM98" t="str">
        <f>VLOOKUP($R98,武学奇术!$A:$ZZ,25,FALSE)</f>
        <v>陌刀</v>
      </c>
      <c r="AN98" s="33">
        <f>VLOOKUP($R98,武学奇术!$A:$ZZ,26,FALSE)</f>
        <v>0.945</v>
      </c>
      <c r="AO98" s="34">
        <f>VLOOKUP($R98,武学奇术!$A:$ZZ,27,FALSE)*(1+IF(OR($AM98=$F$4,$AM98=$F$5),$B$22,0))</f>
        <v>0</v>
      </c>
      <c r="AP98" s="33">
        <f>VLOOKUP($R98,武学奇术!$A:$ZZ,28,FALSE)</f>
        <v>1.4175</v>
      </c>
      <c r="AQ98" s="34">
        <f>VLOOKUP($R98,武学奇术!$A:$ZZ,29,FALSE)*(1+IF(OR($AM98=$F$4,$AM98=$F$5),$B$22,0))</f>
        <v>0</v>
      </c>
      <c r="AR98" s="33" cm="1">
        <f t="array" ref="AR98">$G$3+IFERROR(VLOOKUP($AM98,$F$4:$G$7,2,FALSE),0)+VLOOKUP($R98,武学奇术!$A:$ZZ,2,FALSE)+SUM(_xlfn.XLOOKUP($S98:$AL98,增益!$A:$A,增益!$B:$B,0))</f>
        <v>0.6143</v>
      </c>
      <c r="AS98" s="33" cm="1">
        <f t="array" ref="AS98">VLOOKUP($R98,武学奇术!$A:$ZZ,5,FALSE)+SUM(_xlfn.XLOOKUP($S98:$AL98,增益!$A:$A,增益!$E:$E,0))</f>
        <v>0</v>
      </c>
      <c r="AT98" cm="1">
        <f t="array" ref="AT98">$D$10*(1+$AS98)+VLOOKUP($R98,武学奇术!$A:$ZZ,3,FALSE)+SUM(_xlfn.XLOOKUP($S98:$AL98,增益!$A:$A,增益!$C:$C,0))-$I$2</f>
        <v>4026</v>
      </c>
      <c r="AU98" cm="1">
        <f t="array" ref="AU98">$E$10*(1+$AS98)+VLOOKUP($R98,武学奇术!$A:$ZZ,4,FALSE)+SUM(_xlfn.XLOOKUP($S98:$AL98,增益!$A:$A,增益!$D:$D,0))-$I$2</f>
        <v>4026</v>
      </c>
      <c r="AV98" s="40" cm="1">
        <f t="array" ref="AV98">IF($F$10-$I$3+VLOOKUP($R98,武学奇术!$A:$ZZ,6,FALSE)+SUM(_xlfn.XLOOKUP($S98:$AL98,增益!$A:$A,增益!$F:$F,0))&gt;0,($F$10-$I$3+VLOOKUP($R98,武学奇术!$A:$ZZ,6,FALSE)+SUM(_xlfn.XLOOKUP($S98:$AL98,增益!$A:$A,增益!$F:$F,0)))/200,($F$10-$I$3+VLOOKUP($R98,武学奇术!$A:$ZZ,6,FALSE)+SUM(_xlfn.XLOOKUP($S98:$AL98,增益!$A:$A,增益!$F:$F,0)))/100)</f>
        <v>0.3534</v>
      </c>
      <c r="AW98" s="40" cm="1">
        <f t="array" ref="AW98">$G$10+VLOOKUP($R98,武学奇术!$A:$ZZ,7,FALSE)+SUM(_xlfn.XLOOKUP($S98:$AL98,增益!$A:$A,增益!$G:$G,0))</f>
        <v>0.12</v>
      </c>
      <c r="AX98" s="33" cm="1">
        <f t="array" ref="AX98">VLOOKUP($R98,武学奇术!$A:$ZZ,8,FALSE)+SUM(_xlfn.XLOOKUP($S98:$AL98,增益!$A:$A,增益!$H:$H,0))</f>
        <v>0</v>
      </c>
      <c r="AY98">
        <f t="shared" si="15"/>
        <v>0</v>
      </c>
      <c r="AZ98">
        <f t="shared" si="16"/>
        <v>0</v>
      </c>
      <c r="BA98" s="40" cm="1">
        <f t="array" ref="BA98">IF($F$11-$I$4+VLOOKUP($R98,武学奇术!$A:$ZZ,9,FALSE)+SUM(_xlfn.XLOOKUP($S98:$AL98,增益!$A:$A,增益!$I:$I,0))&gt;0,($F$11-$I$4+VLOOKUP($R98,武学奇术!$A:$ZZ,9,FALSE)+SUM(_xlfn.XLOOKUP($S98:$AL98,增益!$A:$A,增益!$I:$I,0)))/200,($F$11-$I$4+VLOOKUP($R98,武学奇术!$A:$ZZ,9,FALSE)+SUM(_xlfn.XLOOKUP($S98:$AL98,增益!$A:$A,增益!$I:$I,0)))/100)</f>
        <v>-0.14</v>
      </c>
      <c r="BB98" s="40" cm="1">
        <f t="array" ref="BB98">$G$11+VLOOKUP($R98,武学奇术!$A:$ZZ,10,FALSE)+SUM(_xlfn.XLOOKUP($S98:$AL98,增益!$A:$A,增益!$J:$J,0))</f>
        <v>0</v>
      </c>
      <c r="BC98">
        <f t="shared" si="17"/>
        <v>640.3</v>
      </c>
      <c r="BD98">
        <f t="shared" si="18"/>
        <v>1770.1</v>
      </c>
      <c r="BE98" s="40" cm="1">
        <f t="array" ref="BE98">IF($F$12-$I$4+VLOOKUP($R98,武学奇术!$A:$ZZ,11,FALSE)+SUM(_xlfn.XLOOKUP($S98:$AL98,增益!$A:$A,增益!$K:$K,0))&gt;0,($F$12-$I$4+VLOOKUP($R98,武学奇术!$A:$ZZ,11,FALSE)+SUM(_xlfn.XLOOKUP($S98:$AL98,增益!$A:$A,增益!$K:$K,0)))/200,($F$12-$I$4+VLOOKUP($R98,武学奇术!$A:$ZZ,11,FALSE)+SUM(_xlfn.XLOOKUP($S98:$AL98,增益!$A:$A,增益!$K:$K,0)))/100)</f>
        <v>0.17</v>
      </c>
      <c r="BF98" s="40" cm="1">
        <f t="array" ref="BF98">$G$12+VLOOKUP($R98,武学奇术!$A:$ZZ,12,FALSE)+SUM(_xlfn.XLOOKUP($S98:$AL98,增益!$A:$A,增益!$L:$L,0))</f>
        <v>0.27</v>
      </c>
      <c r="BG98">
        <f t="shared" si="19"/>
        <v>0</v>
      </c>
      <c r="BH98">
        <f t="shared" si="20"/>
        <v>0</v>
      </c>
      <c r="BI98" s="40" cm="1">
        <f t="array" ref="BI98">IF($F$13-$I$4+VLOOKUP($R98,武学奇术!$A:$ZZ,13,FALSE)+SUM(_xlfn.XLOOKUP($S98:$AL98,增益!$A:$A,增益!$M:$M,0))&gt;0,($F$13-$I$4+VLOOKUP($R98,武学奇术!$A:$ZZ,13,FALSE)+SUM(_xlfn.XLOOKUP($S98:$AL98,增益!$A:$A,增益!$K:$K,0)))/200,($F$13-$I$4+VLOOKUP($R98,武学奇术!$A:$ZZ,13,FALSE)+SUM(_xlfn.XLOOKUP($S98:$AL98,增益!$A:$A,增益!$M:$M,0)))/100)</f>
        <v>-0.14</v>
      </c>
      <c r="BJ98" s="40" cm="1">
        <f t="array" ref="BJ98">$G$13+VLOOKUP($R98,武学奇术!$A:$ZZ,14,FALSE)+SUM(_xlfn.XLOOKUP($S98:$AL98,增益!$A:$A,增益!$N:$N,0))</f>
        <v>0</v>
      </c>
      <c r="BK98">
        <f t="shared" si="21"/>
        <v>0</v>
      </c>
      <c r="BL98">
        <f t="shared" si="22"/>
        <v>0</v>
      </c>
      <c r="BM98" s="40" cm="1">
        <f t="array" ref="BM98">IF($F$14-$I$4+VLOOKUP($R98,武学奇术!$A:$ZZ,15,FALSE)+SUM(_xlfn.XLOOKUP($S98:$AL98,增益!$A:$A,增益!$O:$O,0))&gt;0,($F$14-$I$4+VLOOKUP($R98,武学奇术!$A:$ZZ,15,FALSE)+SUM(_xlfn.XLOOKUP($S98:$AL98,增益!$A:$A,增益!$O:$O,0)))/200,($F$14-$I$4+VLOOKUP($R98,武学奇术!$A:$ZZ,15,FALSE)+SUM(_xlfn.XLOOKUP($S98:$AL98,增益!$A:$A,增益!$O:$O,0)))/100)</f>
        <v>-0.14</v>
      </c>
      <c r="BN98" s="40" cm="1">
        <f t="array" ref="BN98">$G$14+VLOOKUP($R98,武学奇术!$A:$ZZ,16,FALSE)+SUM(_xlfn.XLOOKUP($S98:$AL98,增益!$A:$A,增益!$P:$P,0))</f>
        <v>0</v>
      </c>
      <c r="BO98" s="33">
        <f>MIN(IF(VLOOKUP($R98,武学奇术!$A:$ZZ,23,FALSE)=1,100%,$B$8),100%)</f>
        <v>0.9771</v>
      </c>
      <c r="BP98" s="33" cm="1">
        <f t="array" ref="BP98">IF(VLOOKUP($R98,武学奇术!$A:$ZZ,23,FALSE)=1,100%,MIN(80%,$B$9+VLOOKUP($R98,武学奇术!$A:$ZZ,17,FALSE)+SUM(_xlfn.XLOOKUP($S98:$AL98,增益!$A:$A,增益!$Q:$Q,0)))+$B$11+SUM(_xlfn.XLOOKUP($S98:$AL98,增益!$A:$A,增益!$U:$U,0)))*IF(VLOOKUP($R98,武学奇术!$A:$ZZ,24,FALSE)=1,0,1)</f>
        <v>0.8861</v>
      </c>
      <c r="BQ98" s="33" cm="1">
        <f t="array" ref="BQ98">1+$B$13+VLOOKUP($R98,武学奇术!$A:$ZZ,18,FALSE)+SUM(_xlfn.XLOOKUP($S98:$AL98,增益!$A:$A,增益!$R:$R,0))</f>
        <v>2</v>
      </c>
      <c r="BR98" s="33" cm="1">
        <f t="array" ref="BR98">IF(VLOOKUP($R98,武学奇术!$A:$ZZ,24,FALSE)=1,100%,MIN(40%,$B$10+VLOOKUP($R98,武学奇术!$A:$ZZ,19,FALSE)+SUM(_xlfn.XLOOKUP($S98:$AL98,增益!$A:$A,增益!$S:$S,0)))+$B$12+SUM(_xlfn.XLOOKUP($S98:$AL98,增益!$A:$A,增益!$V:$V,0)))*IF(VLOOKUP($R98,武学奇术!$A:$ZZ,23,FALSE)=1,0,1)</f>
        <v>0.0913</v>
      </c>
      <c r="BS98" s="33" cm="1">
        <f t="array" ref="BS98">1+$B$14+VLOOKUP($R98,武学奇术!$A:$ZZ,20,FALSE)+SUM(_xlfn.XLOOKUP($S98:$AL98,增益!$A:$A,增益!$T:$T,0))</f>
        <v>1.35</v>
      </c>
      <c r="BT98" s="33">
        <f t="shared" si="23"/>
        <v>0.86580831</v>
      </c>
      <c r="BU98" s="33">
        <f t="shared" si="24"/>
        <v>0.02208246</v>
      </c>
      <c r="BV98" s="33">
        <f>IF(VLOOKUP($R98,武学奇术!$A:$ZZ,22,FALSE)=1,0,(1-$BO98))*(1-$BR98)</f>
        <v>0.02080923</v>
      </c>
      <c r="BW98" s="33" cm="1">
        <f t="array" ref="BW98">SUM(_xlfn.XLOOKUP($S98:$AL98,增益!$A:$A,增益!$W:$W,0))+$I$5</f>
        <v>0.11</v>
      </c>
      <c r="BX98" s="33" cm="1">
        <f t="array" ref="BX98">VLOOKUP($R98,武学奇术!$A:$ZZ,32,FALSE)+SUM(_xlfn.XLOOKUP($S98:$AL98,增益!$A:$A,增益!$X:$X,0))</f>
        <v>0</v>
      </c>
    </row>
    <row r="99" spans="12:76">
      <c r="L99" s="46">
        <f t="shared" si="14"/>
        <v>317819.071192945</v>
      </c>
      <c r="M99" s="46">
        <f>((($AT99+$AU99)/2*$AN99+$AO99)*(1+$AV99)*(1+$AW99)+(($AY99+$AZ99)/2*IF($G$1="鸣金",$AP99,$AN99)+IF($G$1="鸣金",$AQ99*1.5,0))*(1+$BA99)*(1+$BB99)+(($BC99+$BD99)/2*IF($G$1="裂石",$AP99,$AN99)+IF($G$1="裂石",$AQ99*1.5,0))*(1+$BE99)*(1+$BF99)+(($BG99+$BH99)/2*IF($G$1="牵丝",$AP99,$AN99)+IF($G$1="牵丝",$AQ99*1.5,0))*(1+$BI99)*(1+$BJ99)+(($BK99+$BL99)/2*IF($G$1="破竹",$AP99,$AN99)+IF($G$1="破竹",$AQ99*1.5,0))*(1+$BM99)*(1+$BN99))*(1+$AR99)*$BQ99*$Q99*(1+IF(VLOOKUP($R99,武学奇术!$A:$ZZ,30,FALSE)="蓄力技",$B$21,0))*(1+IF(VLOOKUP($R99,武学奇术!$A:$ZZ,30,FALSE)="派生技",$B$20,0))*(1+$BW99)*(1+$BX99)</f>
        <v>332785.273607553</v>
      </c>
      <c r="N99" s="46">
        <f>(($AU99*$AN99+$AO99)*(1+$AV99)*(1+$AW99)+($AZ99*IF($G$1="鸣金",$AP99,$AN99)+IF($G$1="鸣金",$AQ99*1.5,0))*(1+$BA99)*(1+$BB99)+($BD99*IF($G$1="裂石",$AP99,$AN99)+IF($G$1="裂石",$AQ99*1.5,0))*(1+$BE99)*(1+$BF99)+($BH99*IF($G$1="牵丝",$AP99,$AN99)+IF($G$1="牵丝",$AQ99*1.5,0))*(1+$BI99)*(1+$BJ99)+($BL99*IF($G$1="破竹",$AP99,$AN99)+IF($G$1="破竹",$AQ99*1.5,0))*(1+$BM99)*(1+$BN99))*(1+$AR99)*$BS99*$Q99*(1+IF(VLOOKUP($R99,武学奇术!$A:$ZZ,30,FALSE)="蓄力技",$B$21,0))*(1+IF(VLOOKUP($R99,武学奇术!$A:$ZZ,30,FALSE)="派生技",$B$20,0))*(1+$BW99)*(1+$BX99)</f>
        <v>251581.494741773</v>
      </c>
      <c r="O99" s="46">
        <f>((($AT99+$AU99)/2*$AN99+$AO99)*(1+$AV99)*(1+$AW99)+(($AY99+$AZ99)/2*IF($G$1="鸣金",$AP99,$AN99)+IF($G$1="鸣金",$AQ99*1.5,0))*(1+$BA99)*(1+$BB99)+(($BC99+$BD99)/2*IF($G$1="裂石",$AP99,$AN99)+IF($G$1="裂石",$AQ99*1.5,0))*(1+$BE99)*(1+$BF99)+(($BG99+$BH99)/2*IF($G$1="牵丝",$AP99,$AN99)+IF($G$1="牵丝",$AQ99*1.5,0))*(1+$BI99)*(1+$BJ99)+(($BK99+$BL99)/2*IF($G$1="破竹",$AP99,$AN99)+IF($G$1="破竹",$AQ99*1.5,0))*(1+$BM99)*(1+$BN99))*(1+$AR99)*$Q99*(1+IF(VLOOKUP($R99,武学奇术!$A:$ZZ,30,FALSE)="蓄力技",$B$21,0))*(1+IF(VLOOKUP($R99,武学奇术!$A:$ZZ,30,FALSE)="派生技",$B$20,0))*(1+$BW99)*(1+$BX99)</f>
        <v>166392.636803777</v>
      </c>
      <c r="P99" s="46">
        <f>((($AT99*$AN99+$AO99)*(1+$AV99)*(1+$AW99)+($AY99*IF($G$1="鸣金",$AP99,$AN99)+IF($G$1="鸣金",$AQ99*1.5,0))*(1+$BA99)*(1+$BB99)+($BC99*IF($G$1="裂石",$AP99,$AN99)+IF($G$1="裂石",$AQ99*1.5,0))*(1+$BE99)*(1+$BF99)+($BG99*IF($G$1="牵丝",$AP99,$AN99)+IF($G$1="牵丝",$AQ99*1.5,0))*(1+$BI99)*(1+$BJ99)+($BK99*IF($G$1="破竹",$AP99,$AN99)+IF($G$1="破竹",$AQ99*1.5,0))*(1+$BM99)*(1+$BN99))*(1+$AR99))*$Q99*(1+IF(VLOOKUP($R99,武学奇术!$A:$ZZ,30,FALSE)="蓄力技",$B$21,0))*(1+IF(VLOOKUP($R99,武学奇术!$A:$ZZ,30,FALSE)="派生技",$B$20,0))*(1+$BW99)*(1+$BX99)</f>
        <v>146428.610835869</v>
      </c>
      <c r="Q99" s="47">
        <f t="shared" si="29"/>
        <v>1</v>
      </c>
      <c r="R99" s="48" t="s">
        <v>185</v>
      </c>
      <c r="S99" s="48" t="s">
        <v>99</v>
      </c>
      <c r="T99" s="48" t="s">
        <v>182</v>
      </c>
      <c r="U99" s="48" t="s">
        <v>79</v>
      </c>
      <c r="V99" s="48" t="s">
        <v>80</v>
      </c>
      <c r="W99" s="48" t="s">
        <v>141</v>
      </c>
      <c r="X99" s="48" t="s">
        <v>80</v>
      </c>
      <c r="Y99" s="48" t="s">
        <v>74</v>
      </c>
      <c r="Z99" s="48" t="s">
        <v>80</v>
      </c>
      <c r="AA99" s="48" t="s">
        <v>80</v>
      </c>
      <c r="AB99" s="48" t="s">
        <v>80</v>
      </c>
      <c r="AC99" s="48" t="s">
        <v>80</v>
      </c>
      <c r="AD99" s="48" t="s">
        <v>80</v>
      </c>
      <c r="AE99" s="48" t="s">
        <v>80</v>
      </c>
      <c r="AF99" s="48" t="s">
        <v>83</v>
      </c>
      <c r="AG99" s="48" t="s">
        <v>84</v>
      </c>
      <c r="AH99" s="48" t="s">
        <v>80</v>
      </c>
      <c r="AI99" s="48" t="s">
        <v>80</v>
      </c>
      <c r="AJ99" s="48" t="s">
        <v>80</v>
      </c>
      <c r="AK99" s="48" t="s">
        <v>80</v>
      </c>
      <c r="AL99" s="48" t="s">
        <v>80</v>
      </c>
      <c r="AM99" t="str">
        <f>VLOOKUP($R99,武学奇术!$A:$ZZ,25,FALSE)</f>
        <v>陌刀</v>
      </c>
      <c r="AN99" s="33">
        <f>VLOOKUP($R99,武学奇术!$A:$ZZ,26,FALSE)</f>
        <v>7.5674</v>
      </c>
      <c r="AO99" s="34">
        <f>VLOOKUP($R99,武学奇术!$A:$ZZ,27,FALSE)*(1+IF(OR($AM99=$F$4,$AM99=$F$5),$B$22,0))</f>
        <v>3348.8</v>
      </c>
      <c r="AP99" s="33">
        <f>VLOOKUP($R99,武学奇术!$A:$ZZ,28,FALSE)</f>
        <v>11.3512</v>
      </c>
      <c r="AQ99" s="34">
        <f>VLOOKUP($R99,武学奇术!$A:$ZZ,29,FALSE)*(1+IF(OR($AM99=$F$4,$AM99=$F$5),$B$22,0))</f>
        <v>1824</v>
      </c>
      <c r="AR99" s="33" cm="1">
        <f t="array" ref="AR99">$G$3+IFERROR(VLOOKUP($AM99,$F$4:$G$7,2,FALSE),0)+VLOOKUP($R99,武学奇术!$A:$ZZ,2,FALSE)+SUM(_xlfn.XLOOKUP($S99:$AL99,增益!$A:$A,增益!$B:$B,0))</f>
        <v>0.5343</v>
      </c>
      <c r="AS99" s="33" cm="1">
        <f t="array" ref="AS99">VLOOKUP($R99,武学奇术!$A:$ZZ,5,FALSE)+SUM(_xlfn.XLOOKUP($S99:$AL99,增益!$A:$A,增益!$E:$E,0))</f>
        <v>0</v>
      </c>
      <c r="AT99" cm="1">
        <f t="array" ref="AT99">$D$10*(1+$AS99)+VLOOKUP($R99,武学奇术!$A:$ZZ,3,FALSE)+SUM(_xlfn.XLOOKUP($S99:$AL99,增益!$A:$A,增益!$C:$C,0))-$I$2</f>
        <v>4026</v>
      </c>
      <c r="AU99" cm="1">
        <f t="array" ref="AU99">$E$10*(1+$AS99)+VLOOKUP($R99,武学奇术!$A:$ZZ,4,FALSE)+SUM(_xlfn.XLOOKUP($S99:$AL99,增益!$A:$A,增益!$D:$D,0))-$I$2</f>
        <v>4026</v>
      </c>
      <c r="AV99" s="40" cm="1">
        <f t="array" ref="AV99">IF($F$10-$I$3+VLOOKUP($R99,武学奇术!$A:$ZZ,6,FALSE)+SUM(_xlfn.XLOOKUP($S99:$AL99,增益!$A:$A,增益!$F:$F,0))&gt;0,($F$10-$I$3+VLOOKUP($R99,武学奇术!$A:$ZZ,6,FALSE)+SUM(_xlfn.XLOOKUP($S99:$AL99,增益!$A:$A,增益!$F:$F,0)))/200,($F$10-$I$3+VLOOKUP($R99,武学奇术!$A:$ZZ,6,FALSE)+SUM(_xlfn.XLOOKUP($S99:$AL99,增益!$A:$A,增益!$F:$F,0)))/100)</f>
        <v>0.3534</v>
      </c>
      <c r="AW99" s="40" cm="1">
        <f t="array" ref="AW99">$G$10+VLOOKUP($R99,武学奇术!$A:$ZZ,7,FALSE)+SUM(_xlfn.XLOOKUP($S99:$AL99,增益!$A:$A,增益!$G:$G,0))</f>
        <v>0.12</v>
      </c>
      <c r="AX99" s="33" cm="1">
        <f t="array" ref="AX99">VLOOKUP($R99,武学奇术!$A:$ZZ,8,FALSE)+SUM(_xlfn.XLOOKUP($S99:$AL99,增益!$A:$A,增益!$H:$H,0))</f>
        <v>0</v>
      </c>
      <c r="AY99">
        <f t="shared" si="15"/>
        <v>0</v>
      </c>
      <c r="AZ99">
        <f t="shared" si="16"/>
        <v>0</v>
      </c>
      <c r="BA99" s="40" cm="1">
        <f t="array" ref="BA99">IF($F$11-$I$4+VLOOKUP($R99,武学奇术!$A:$ZZ,9,FALSE)+SUM(_xlfn.XLOOKUP($S99:$AL99,增益!$A:$A,增益!$I:$I,0))&gt;0,($F$11-$I$4+VLOOKUP($R99,武学奇术!$A:$ZZ,9,FALSE)+SUM(_xlfn.XLOOKUP($S99:$AL99,增益!$A:$A,增益!$I:$I,0)))/200,($F$11-$I$4+VLOOKUP($R99,武学奇术!$A:$ZZ,9,FALSE)+SUM(_xlfn.XLOOKUP($S99:$AL99,增益!$A:$A,增益!$I:$I,0)))/100)</f>
        <v>-0.3</v>
      </c>
      <c r="BB99" s="40" cm="1">
        <f t="array" ref="BB99">$G$11+VLOOKUP($R99,武学奇术!$A:$ZZ,10,FALSE)+SUM(_xlfn.XLOOKUP($S99:$AL99,增益!$A:$A,增益!$J:$J,0))</f>
        <v>0</v>
      </c>
      <c r="BC99">
        <f t="shared" si="17"/>
        <v>640.3</v>
      </c>
      <c r="BD99">
        <f t="shared" si="18"/>
        <v>1770.1</v>
      </c>
      <c r="BE99" s="40" cm="1">
        <f t="array" ref="BE99">IF($F$12-$I$4+VLOOKUP($R99,武学奇术!$A:$ZZ,11,FALSE)+SUM(_xlfn.XLOOKUP($S99:$AL99,增益!$A:$A,增益!$K:$K,0))&gt;0,($F$12-$I$4+VLOOKUP($R99,武学奇术!$A:$ZZ,11,FALSE)+SUM(_xlfn.XLOOKUP($S99:$AL99,增益!$A:$A,增益!$K:$K,0)))/200,($F$12-$I$4+VLOOKUP($R99,武学奇术!$A:$ZZ,11,FALSE)+SUM(_xlfn.XLOOKUP($S99:$AL99,增益!$A:$A,增益!$K:$K,0)))/100)</f>
        <v>0.09</v>
      </c>
      <c r="BF99" s="40" cm="1">
        <f t="array" ref="BF99">$G$12+VLOOKUP($R99,武学奇术!$A:$ZZ,12,FALSE)+SUM(_xlfn.XLOOKUP($S99:$AL99,增益!$A:$A,增益!$L:$L,0))</f>
        <v>0.27</v>
      </c>
      <c r="BG99">
        <f t="shared" si="19"/>
        <v>0</v>
      </c>
      <c r="BH99">
        <f t="shared" si="20"/>
        <v>0</v>
      </c>
      <c r="BI99" s="40" cm="1">
        <f t="array" ref="BI99">IF($F$13-$I$4+VLOOKUP($R99,武学奇术!$A:$ZZ,13,FALSE)+SUM(_xlfn.XLOOKUP($S99:$AL99,增益!$A:$A,增益!$M:$M,0))&gt;0,($F$13-$I$4+VLOOKUP($R99,武学奇术!$A:$ZZ,13,FALSE)+SUM(_xlfn.XLOOKUP($S99:$AL99,增益!$A:$A,增益!$K:$K,0)))/200,($F$13-$I$4+VLOOKUP($R99,武学奇术!$A:$ZZ,13,FALSE)+SUM(_xlfn.XLOOKUP($S99:$AL99,增益!$A:$A,增益!$M:$M,0)))/100)</f>
        <v>-0.3</v>
      </c>
      <c r="BJ99" s="40" cm="1">
        <f t="array" ref="BJ99">$G$13+VLOOKUP($R99,武学奇术!$A:$ZZ,14,FALSE)+SUM(_xlfn.XLOOKUP($S99:$AL99,增益!$A:$A,增益!$N:$N,0))</f>
        <v>0</v>
      </c>
      <c r="BK99">
        <f t="shared" si="21"/>
        <v>0</v>
      </c>
      <c r="BL99">
        <f t="shared" si="22"/>
        <v>0</v>
      </c>
      <c r="BM99" s="40" cm="1">
        <f t="array" ref="BM99">IF($F$14-$I$4+VLOOKUP($R99,武学奇术!$A:$ZZ,15,FALSE)+SUM(_xlfn.XLOOKUP($S99:$AL99,增益!$A:$A,增益!$O:$O,0))&gt;0,($F$14-$I$4+VLOOKUP($R99,武学奇术!$A:$ZZ,15,FALSE)+SUM(_xlfn.XLOOKUP($S99:$AL99,增益!$A:$A,增益!$O:$O,0)))/200,($F$14-$I$4+VLOOKUP($R99,武学奇术!$A:$ZZ,15,FALSE)+SUM(_xlfn.XLOOKUP($S99:$AL99,增益!$A:$A,增益!$O:$O,0)))/100)</f>
        <v>-0.3</v>
      </c>
      <c r="BN99" s="40" cm="1">
        <f t="array" ref="BN99">$G$14+VLOOKUP($R99,武学奇术!$A:$ZZ,16,FALSE)+SUM(_xlfn.XLOOKUP($S99:$AL99,增益!$A:$A,增益!$P:$P,0))</f>
        <v>0</v>
      </c>
      <c r="BO99" s="33">
        <f>MIN(IF(VLOOKUP($R99,武学奇术!$A:$ZZ,23,FALSE)=1,100%,$B$8),100%)</f>
        <v>0.9771</v>
      </c>
      <c r="BP99" s="33" cm="1">
        <f t="array" ref="BP99">IF(VLOOKUP($R99,武学奇术!$A:$ZZ,23,FALSE)=1,100%,MIN(80%,$B$9+VLOOKUP($R99,武学奇术!$A:$ZZ,17,FALSE)+SUM(_xlfn.XLOOKUP($S99:$AL99,增益!$A:$A,增益!$Q:$Q,0)))+$B$11+SUM(_xlfn.XLOOKUP($S99:$AL99,增益!$A:$A,增益!$U:$U,0)))*IF(VLOOKUP($R99,武学奇术!$A:$ZZ,24,FALSE)=1,0,1)</f>
        <v>0.8861</v>
      </c>
      <c r="BQ99" s="33" cm="1">
        <f t="array" ref="BQ99">1+$B$13+VLOOKUP($R99,武学奇术!$A:$ZZ,18,FALSE)+SUM(_xlfn.XLOOKUP($S99:$AL99,增益!$A:$A,增益!$R:$R,0))</f>
        <v>2</v>
      </c>
      <c r="BR99" s="33" cm="1">
        <f t="array" ref="BR99">IF(VLOOKUP($R99,武学奇术!$A:$ZZ,24,FALSE)=1,100%,MIN(40%,$B$10+VLOOKUP($R99,武学奇术!$A:$ZZ,19,FALSE)+SUM(_xlfn.XLOOKUP($S99:$AL99,增益!$A:$A,增益!$S:$S,0)))+$B$12+SUM(_xlfn.XLOOKUP($S99:$AL99,增益!$A:$A,增益!$V:$V,0)))*IF(VLOOKUP($R99,武学奇术!$A:$ZZ,23,FALSE)=1,0,1)</f>
        <v>0.0913</v>
      </c>
      <c r="BS99" s="33" cm="1">
        <f t="array" ref="BS99">1+$B$14+VLOOKUP($R99,武学奇术!$A:$ZZ,20,FALSE)+SUM(_xlfn.XLOOKUP($S99:$AL99,增益!$A:$A,增益!$T:$T,0))</f>
        <v>1.35</v>
      </c>
      <c r="BT99" s="33">
        <f t="shared" si="23"/>
        <v>0.86580831</v>
      </c>
      <c r="BU99" s="33">
        <f t="shared" si="24"/>
        <v>0.02208246</v>
      </c>
      <c r="BV99" s="33">
        <f>IF(VLOOKUP($R99,武学奇术!$A:$ZZ,22,FALSE)=1,0,(1-$BO99))*(1-$BR99)</f>
        <v>0.02080923</v>
      </c>
      <c r="BW99" s="33" cm="1">
        <f t="array" ref="BW99">SUM(_xlfn.XLOOKUP($S99:$AL99,增益!$A:$A,增益!$W:$W,0))+$I$5</f>
        <v>0.11</v>
      </c>
      <c r="BX99" s="33" cm="1">
        <f t="array" ref="BX99">VLOOKUP($R99,武学奇术!$A:$ZZ,32,FALSE)+SUM(_xlfn.XLOOKUP($S99:$AL99,增益!$A:$A,增益!$X:$X,0))</f>
        <v>0</v>
      </c>
    </row>
    <row r="100" spans="12:76">
      <c r="L100" s="46">
        <f t="shared" si="14"/>
        <v>97437.025799321</v>
      </c>
      <c r="M100" s="46">
        <f>((($AT100+$AU100)/2*$AN100+$AO100)*(1+$AV100)*(1+$AW100)+(($AY100+$AZ100)/2*IF($G$1="鸣金",$AP100,$AN100)+IF($G$1="鸣金",$AQ100*1.5,0))*(1+$BA100)*(1+$BB100)+(($BC100+$BD100)/2*IF($G$1="裂石",$AP100,$AN100)+IF($G$1="裂石",$AQ100*1.5,0))*(1+$BE100)*(1+$BF100)+(($BG100+$BH100)/2*IF($G$1="牵丝",$AP100,$AN100)+IF($G$1="牵丝",$AQ100*1.5,0))*(1+$BI100)*(1+$BJ100)+(($BK100+$BL100)/2*IF($G$1="破竹",$AP100,$AN100)+IF($G$1="破竹",$AQ100*1.5,0))*(1+$BM100)*(1+$BN100))*(1+$AR100)*$BQ100*$Q100*(1+IF(VLOOKUP($R100,武学奇术!$A:$ZZ,30,FALSE)="蓄力技",$B$21,0))*(1+IF(VLOOKUP($R100,武学奇术!$A:$ZZ,30,FALSE)="派生技",$B$20,0))*(1+$BW100)*(1+$BX100)</f>
        <v>101997.623063685</v>
      </c>
      <c r="N100" s="46">
        <f>(($AU100*$AN100+$AO100)*(1+$AV100)*(1+$AW100)+($AZ100*IF($G$1="鸣金",$AP100,$AN100)+IF($G$1="鸣金",$AQ100*1.5,0))*(1+$BA100)*(1+$BB100)+($BD100*IF($G$1="裂石",$AP100,$AN100)+IF($G$1="裂石",$AQ100*1.5,0))*(1+$BE100)*(1+$BF100)+($BH100*IF($G$1="牵丝",$AP100,$AN100)+IF($G$1="牵丝",$AQ100*1.5,0))*(1+$BI100)*(1+$BJ100)+($BL100*IF($G$1="破竹",$AP100,$AN100)+IF($G$1="破竹",$AQ100*1.5,0))*(1+$BM100)*(1+$BN100))*(1+$AR100)*$BS100*$Q100*(1+IF(VLOOKUP($R100,武学奇术!$A:$ZZ,30,FALSE)="蓄力技",$B$21,0))*(1+IF(VLOOKUP($R100,武学奇术!$A:$ZZ,30,FALSE)="派生技",$B$20,0))*(1+$BW100)*(1+$BX100)</f>
        <v>77458.0801629721</v>
      </c>
      <c r="O100" s="46">
        <f>((($AT100+$AU100)/2*$AN100+$AO100)*(1+$AV100)*(1+$AW100)+(($AY100+$AZ100)/2*IF($G$1="鸣金",$AP100,$AN100)+IF($G$1="鸣金",$AQ100*1.5,0))*(1+$BA100)*(1+$BB100)+(($BC100+$BD100)/2*IF($G$1="裂石",$AP100,$AN100)+IF($G$1="裂石",$AQ100*1.5,0))*(1+$BE100)*(1+$BF100)+(($BG100+$BH100)/2*IF($G$1="牵丝",$AP100,$AN100)+IF($G$1="牵丝",$AQ100*1.5,0))*(1+$BI100)*(1+$BJ100)+(($BK100+$BL100)/2*IF($G$1="破竹",$AP100,$AN100)+IF($G$1="破竹",$AQ100*1.5,0))*(1+$BM100)*(1+$BN100))*(1+$AR100)*$Q100*(1+IF(VLOOKUP($R100,武学奇术!$A:$ZZ,30,FALSE)="蓄力技",$B$21,0))*(1+IF(VLOOKUP($R100,武学奇术!$A:$ZZ,30,FALSE)="派生技",$B$20,0))*(1+$BW100)*(1+$BX100)</f>
        <v>50998.8115318425</v>
      </c>
      <c r="P100" s="46">
        <f>((($AT100*$AN100+$AO100)*(1+$AV100)*(1+$AW100)+($AY100*IF($G$1="鸣金",$AP100,$AN100)+IF($G$1="鸣金",$AQ100*1.5,0))*(1+$BA100)*(1+$BB100)+($BC100*IF($G$1="裂石",$AP100,$AN100)+IF($G$1="裂石",$AQ100*1.5,0))*(1+$BE100)*(1+$BF100)+($BG100*IF($G$1="牵丝",$AP100,$AN100)+IF($G$1="牵丝",$AQ100*1.5,0))*(1+$BI100)*(1+$BJ100)+($BK100*IF($G$1="破竹",$AP100,$AN100)+IF($G$1="破竹",$AQ100*1.5,0))*(1+$BM100)*(1+$BN100))*(1+$AR100))*$Q100*(1+IF(VLOOKUP($R100,武学奇术!$A:$ZZ,30,FALSE)="蓄力技",$B$21,0))*(1+IF(VLOOKUP($R100,武学奇术!$A:$ZZ,30,FALSE)="派生技",$B$20,0))*(1+$BW100)*(1+$BX100)</f>
        <v>44621.2673874094</v>
      </c>
      <c r="Q100" s="47">
        <f t="shared" si="29"/>
        <v>1</v>
      </c>
      <c r="R100" s="48" t="s">
        <v>172</v>
      </c>
      <c r="S100" s="48" t="s">
        <v>99</v>
      </c>
      <c r="T100" s="48" t="s">
        <v>182</v>
      </c>
      <c r="U100" s="48" t="s">
        <v>80</v>
      </c>
      <c r="V100" s="48" t="s">
        <v>80</v>
      </c>
      <c r="W100" s="48" t="s">
        <v>141</v>
      </c>
      <c r="X100" s="48" t="s">
        <v>80</v>
      </c>
      <c r="Y100" s="48" t="s">
        <v>74</v>
      </c>
      <c r="Z100" s="48" t="s">
        <v>80</v>
      </c>
      <c r="AA100" s="48" t="s">
        <v>80</v>
      </c>
      <c r="AB100" s="48" t="s">
        <v>80</v>
      </c>
      <c r="AC100" s="48" t="s">
        <v>80</v>
      </c>
      <c r="AD100" s="48" t="s">
        <v>80</v>
      </c>
      <c r="AE100" s="48" t="s">
        <v>80</v>
      </c>
      <c r="AF100" s="48" t="s">
        <v>83</v>
      </c>
      <c r="AG100" s="48" t="s">
        <v>84</v>
      </c>
      <c r="AH100" s="48" t="s">
        <v>80</v>
      </c>
      <c r="AI100" s="48" t="s">
        <v>80</v>
      </c>
      <c r="AJ100" s="48" t="s">
        <v>80</v>
      </c>
      <c r="AK100" s="48" t="s">
        <v>80</v>
      </c>
      <c r="AL100" s="48" t="s">
        <v>80</v>
      </c>
      <c r="AM100" t="str">
        <f>VLOOKUP($R100,武学奇术!$A:$ZZ,25,FALSE)</f>
        <v>陌刀</v>
      </c>
      <c r="AN100" s="33">
        <f>VLOOKUP($R100,武学奇术!$A:$ZZ,26,FALSE)</f>
        <v>3.5256</v>
      </c>
      <c r="AO100" s="34">
        <f>VLOOKUP($R100,武学奇术!$A:$ZZ,27,FALSE)*(1+IF(OR($AM100=$F$4,$AM100=$F$5),$B$22,0))</f>
        <v>846.144</v>
      </c>
      <c r="AP100" s="33">
        <f>VLOOKUP($R100,武学奇术!$A:$ZZ,28,FALSE)</f>
        <v>5.2884</v>
      </c>
      <c r="AQ100" s="34">
        <f>VLOOKUP($R100,武学奇术!$A:$ZZ,29,FALSE)*(1+IF(OR($AM100=$F$4,$AM100=$F$5),$B$22,0))</f>
        <v>851.2</v>
      </c>
      <c r="AR100" s="33" cm="1">
        <f t="array" ref="AR100">$G$3+IFERROR(VLOOKUP($AM100,$F$4:$G$7,2,FALSE),0)+VLOOKUP($R100,武学奇术!$A:$ZZ,2,FALSE)+SUM(_xlfn.XLOOKUP($S100:$AL100,增益!$A:$A,增益!$B:$B,0))</f>
        <v>0.5343</v>
      </c>
      <c r="AS100" s="33" cm="1">
        <f t="array" ref="AS100">VLOOKUP($R100,武学奇术!$A:$ZZ,5,FALSE)+SUM(_xlfn.XLOOKUP($S100:$AL100,增益!$A:$A,增益!$E:$E,0))</f>
        <v>0</v>
      </c>
      <c r="AT100" cm="1">
        <f t="array" ref="AT100">$D$10*(1+$AS100)+VLOOKUP($R100,武学奇术!$A:$ZZ,3,FALSE)+SUM(_xlfn.XLOOKUP($S100:$AL100,增益!$A:$A,增益!$C:$C,0))-$I$2</f>
        <v>4026</v>
      </c>
      <c r="AU100" cm="1">
        <f t="array" ref="AU100">$E$10*(1+$AS100)+VLOOKUP($R100,武学奇术!$A:$ZZ,4,FALSE)+SUM(_xlfn.XLOOKUP($S100:$AL100,增益!$A:$A,增益!$D:$D,0))-$I$2</f>
        <v>4026</v>
      </c>
      <c r="AV100" s="40" cm="1">
        <f t="array" ref="AV100">IF($F$10-$I$3+VLOOKUP($R100,武学奇术!$A:$ZZ,6,FALSE)+SUM(_xlfn.XLOOKUP($S100:$AL100,增益!$A:$A,增益!$F:$F,0))&gt;0,($F$10-$I$3+VLOOKUP($R100,武学奇术!$A:$ZZ,6,FALSE)+SUM(_xlfn.XLOOKUP($S100:$AL100,增益!$A:$A,增益!$F:$F,0)))/200,($F$10-$I$3+VLOOKUP($R100,武学奇术!$A:$ZZ,6,FALSE)+SUM(_xlfn.XLOOKUP($S100:$AL100,增益!$A:$A,增益!$F:$F,0)))/100)</f>
        <v>0.3534</v>
      </c>
      <c r="AW100" s="40" cm="1">
        <f t="array" ref="AW100">$G$10+VLOOKUP($R100,武学奇术!$A:$ZZ,7,FALSE)+SUM(_xlfn.XLOOKUP($S100:$AL100,增益!$A:$A,增益!$G:$G,0))</f>
        <v>0</v>
      </c>
      <c r="AX100" s="33" cm="1">
        <f t="array" ref="AX100">VLOOKUP($R100,武学奇术!$A:$ZZ,8,FALSE)+SUM(_xlfn.XLOOKUP($S100:$AL100,增益!$A:$A,增益!$H:$H,0))</f>
        <v>0</v>
      </c>
      <c r="AY100">
        <f t="shared" si="15"/>
        <v>0</v>
      </c>
      <c r="AZ100">
        <f t="shared" si="16"/>
        <v>0</v>
      </c>
      <c r="BA100" s="40" cm="1">
        <f t="array" ref="BA100">IF($F$11-$I$4+VLOOKUP($R100,武学奇术!$A:$ZZ,9,FALSE)+SUM(_xlfn.XLOOKUP($S100:$AL100,增益!$A:$A,增益!$I:$I,0))&gt;0,($F$11-$I$4+VLOOKUP($R100,武学奇术!$A:$ZZ,9,FALSE)+SUM(_xlfn.XLOOKUP($S100:$AL100,增益!$A:$A,增益!$I:$I,0)))/200,($F$11-$I$4+VLOOKUP($R100,武学奇术!$A:$ZZ,9,FALSE)+SUM(_xlfn.XLOOKUP($S100:$AL100,增益!$A:$A,增益!$I:$I,0)))/100)</f>
        <v>-0.3</v>
      </c>
      <c r="BB100" s="40" cm="1">
        <f t="array" ref="BB100">$G$11+VLOOKUP($R100,武学奇术!$A:$ZZ,10,FALSE)+SUM(_xlfn.XLOOKUP($S100:$AL100,增益!$A:$A,增益!$J:$J,0))</f>
        <v>0</v>
      </c>
      <c r="BC100">
        <f t="shared" si="17"/>
        <v>640.3</v>
      </c>
      <c r="BD100">
        <f t="shared" si="18"/>
        <v>1770.1</v>
      </c>
      <c r="BE100" s="40" cm="1">
        <f t="array" ref="BE100">IF($F$12-$I$4+VLOOKUP($R100,武学奇术!$A:$ZZ,11,FALSE)+SUM(_xlfn.XLOOKUP($S100:$AL100,增益!$A:$A,增益!$K:$K,0))&gt;0,($F$12-$I$4+VLOOKUP($R100,武学奇术!$A:$ZZ,11,FALSE)+SUM(_xlfn.XLOOKUP($S100:$AL100,增益!$A:$A,增益!$K:$K,0)))/200,($F$12-$I$4+VLOOKUP($R100,武学奇术!$A:$ZZ,11,FALSE)+SUM(_xlfn.XLOOKUP($S100:$AL100,增益!$A:$A,增益!$K:$K,0)))/100)</f>
        <v>0.09</v>
      </c>
      <c r="BF100" s="40" cm="1">
        <f t="array" ref="BF100">$G$12+VLOOKUP($R100,武学奇术!$A:$ZZ,12,FALSE)+SUM(_xlfn.XLOOKUP($S100:$AL100,增益!$A:$A,增益!$L:$L,0))</f>
        <v>0.15</v>
      </c>
      <c r="BG100">
        <f t="shared" si="19"/>
        <v>0</v>
      </c>
      <c r="BH100">
        <f t="shared" si="20"/>
        <v>0</v>
      </c>
      <c r="BI100" s="40" cm="1">
        <f t="array" ref="BI100">IF($F$13-$I$4+VLOOKUP($R100,武学奇术!$A:$ZZ,13,FALSE)+SUM(_xlfn.XLOOKUP($S100:$AL100,增益!$A:$A,增益!$M:$M,0))&gt;0,($F$13-$I$4+VLOOKUP($R100,武学奇术!$A:$ZZ,13,FALSE)+SUM(_xlfn.XLOOKUP($S100:$AL100,增益!$A:$A,增益!$K:$K,0)))/200,($F$13-$I$4+VLOOKUP($R100,武学奇术!$A:$ZZ,13,FALSE)+SUM(_xlfn.XLOOKUP($S100:$AL100,增益!$A:$A,增益!$M:$M,0)))/100)</f>
        <v>-0.3</v>
      </c>
      <c r="BJ100" s="40" cm="1">
        <f t="array" ref="BJ100">$G$13+VLOOKUP($R100,武学奇术!$A:$ZZ,14,FALSE)+SUM(_xlfn.XLOOKUP($S100:$AL100,增益!$A:$A,增益!$N:$N,0))</f>
        <v>0</v>
      </c>
      <c r="BK100">
        <f t="shared" si="21"/>
        <v>0</v>
      </c>
      <c r="BL100">
        <f t="shared" si="22"/>
        <v>0</v>
      </c>
      <c r="BM100" s="40" cm="1">
        <f t="array" ref="BM100">IF($F$14-$I$4+VLOOKUP($R100,武学奇术!$A:$ZZ,15,FALSE)+SUM(_xlfn.XLOOKUP($S100:$AL100,增益!$A:$A,增益!$O:$O,0))&gt;0,($F$14-$I$4+VLOOKUP($R100,武学奇术!$A:$ZZ,15,FALSE)+SUM(_xlfn.XLOOKUP($S100:$AL100,增益!$A:$A,增益!$O:$O,0)))/200,($F$14-$I$4+VLOOKUP($R100,武学奇术!$A:$ZZ,15,FALSE)+SUM(_xlfn.XLOOKUP($S100:$AL100,增益!$A:$A,增益!$O:$O,0)))/100)</f>
        <v>-0.3</v>
      </c>
      <c r="BN100" s="40" cm="1">
        <f t="array" ref="BN100">$G$14+VLOOKUP($R100,武学奇术!$A:$ZZ,16,FALSE)+SUM(_xlfn.XLOOKUP($S100:$AL100,增益!$A:$A,增益!$P:$P,0))</f>
        <v>0</v>
      </c>
      <c r="BO100" s="33">
        <f>MIN(IF(VLOOKUP($R100,武学奇术!$A:$ZZ,23,FALSE)=1,100%,$B$8),100%)</f>
        <v>0.9771</v>
      </c>
      <c r="BP100" s="33" cm="1">
        <f t="array" ref="BP100">IF(VLOOKUP($R100,武学奇术!$A:$ZZ,23,FALSE)=1,100%,MIN(80%,$B$9+VLOOKUP($R100,武学奇术!$A:$ZZ,17,FALSE)+SUM(_xlfn.XLOOKUP($S100:$AL100,增益!$A:$A,增益!$Q:$Q,0)))+$B$11+SUM(_xlfn.XLOOKUP($S100:$AL100,增益!$A:$A,增益!$U:$U,0)))*IF(VLOOKUP($R100,武学奇术!$A:$ZZ,24,FALSE)=1,0,1)</f>
        <v>0.8861</v>
      </c>
      <c r="BQ100" s="33" cm="1">
        <f t="array" ref="BQ100">1+$B$13+VLOOKUP($R100,武学奇术!$A:$ZZ,18,FALSE)+SUM(_xlfn.XLOOKUP($S100:$AL100,增益!$A:$A,增益!$R:$R,0))</f>
        <v>2</v>
      </c>
      <c r="BR100" s="33" cm="1">
        <f t="array" ref="BR100">IF(VLOOKUP($R100,武学奇术!$A:$ZZ,24,FALSE)=1,100%,MIN(40%,$B$10+VLOOKUP($R100,武学奇术!$A:$ZZ,19,FALSE)+SUM(_xlfn.XLOOKUP($S100:$AL100,增益!$A:$A,增益!$S:$S,0)))+$B$12+SUM(_xlfn.XLOOKUP($S100:$AL100,增益!$A:$A,增益!$V:$V,0)))*IF(VLOOKUP($R100,武学奇术!$A:$ZZ,23,FALSE)=1,0,1)</f>
        <v>0.0913</v>
      </c>
      <c r="BS100" s="33" cm="1">
        <f t="array" ref="BS100">1+$B$14+VLOOKUP($R100,武学奇术!$A:$ZZ,20,FALSE)+SUM(_xlfn.XLOOKUP($S100:$AL100,增益!$A:$A,增益!$T:$T,0))</f>
        <v>1.35</v>
      </c>
      <c r="BT100" s="33">
        <f t="shared" si="23"/>
        <v>0.86580831</v>
      </c>
      <c r="BU100" s="33">
        <f t="shared" si="24"/>
        <v>0.02208246</v>
      </c>
      <c r="BV100" s="33">
        <f>IF(VLOOKUP($R100,武学奇术!$A:$ZZ,22,FALSE)=1,0,(1-$BO100))*(1-$BR100)</f>
        <v>0.02080923</v>
      </c>
      <c r="BW100" s="33" cm="1">
        <f t="array" ref="BW100">SUM(_xlfn.XLOOKUP($S100:$AL100,增益!$A:$A,增益!$W:$W,0))+$I$5</f>
        <v>0.11</v>
      </c>
      <c r="BX100" s="33" cm="1">
        <f t="array" ref="BX100">VLOOKUP($R100,武学奇术!$A:$ZZ,32,FALSE)+SUM(_xlfn.XLOOKUP($S100:$AL100,增益!$A:$A,增益!$X:$X,0))</f>
        <v>0</v>
      </c>
    </row>
    <row r="101" spans="12:76">
      <c r="L101" s="46">
        <f t="shared" si="14"/>
        <v>26375.989326253</v>
      </c>
      <c r="M101" s="46">
        <f>((($AT101+$AU101)/2*$AN101+$AO101)*(1+$AV101)*(1+$AW101)+(($AY101+$AZ101)/2*IF($G$1="鸣金",$AP101,$AN101)+IF($G$1="鸣金",$AQ101*1.5,0))*(1+$BA101)*(1+$BB101)+(($BC101+$BD101)/2*IF($G$1="裂石",$AP101,$AN101)+IF($G$1="裂石",$AQ101*1.5,0))*(1+$BE101)*(1+$BF101)+(($BG101+$BH101)/2*IF($G$1="牵丝",$AP101,$AN101)+IF($G$1="牵丝",$AQ101*1.5,0))*(1+$BI101)*(1+$BJ101)+(($BK101+$BL101)/2*IF($G$1="破竹",$AP101,$AN101)+IF($G$1="破竹",$AQ101*1.5,0))*(1+$BM101)*(1+$BN101))*(1+$AR101)*$BQ101*$Q101*(1+IF(VLOOKUP($R101,武学奇术!$A:$ZZ,30,FALSE)="蓄力技",$B$21,0))*(1+IF(VLOOKUP($R101,武学奇术!$A:$ZZ,30,FALSE)="派生技",$B$20,0))*(1+$BW101)*(1+$BX101)</f>
        <v>27591.8568918218</v>
      </c>
      <c r="N101" s="46">
        <f>(($AU101*$AN101+$AO101)*(1+$AV101)*(1+$AW101)+($AZ101*IF($G$1="鸣金",$AP101,$AN101)+IF($G$1="鸣金",$AQ101*1.5,0))*(1+$BA101)*(1+$BB101)+($BD101*IF($G$1="裂石",$AP101,$AN101)+IF($G$1="裂石",$AQ101*1.5,0))*(1+$BE101)*(1+$BF101)+($BH101*IF($G$1="牵丝",$AP101,$AN101)+IF($G$1="牵丝",$AQ101*1.5,0))*(1+$BI101)*(1+$BJ101)+($BL101*IF($G$1="破竹",$AP101,$AN101)+IF($G$1="破竹",$AQ101*1.5,0))*(1+$BM101)*(1+$BN101))*(1+$AR101)*$BS101*$Q101*(1+IF(VLOOKUP($R101,武学奇术!$A:$ZZ,30,FALSE)="蓄力技",$B$21,0))*(1+IF(VLOOKUP($R101,武学奇术!$A:$ZZ,30,FALSE)="派生技",$B$20,0))*(1+$BW101)*(1+$BX101)</f>
        <v>21188.6538514731</v>
      </c>
      <c r="O101" s="46">
        <f>((($AT101+$AU101)/2*$AN101+$AO101)*(1+$AV101)*(1+$AW101)+(($AY101+$AZ101)/2*IF($G$1="鸣金",$AP101,$AN101)+IF($G$1="鸣金",$AQ101*1.5,0))*(1+$BA101)*(1+$BB101)+(($BC101+$BD101)/2*IF($G$1="裂石",$AP101,$AN101)+IF($G$1="裂石",$AQ101*1.5,0))*(1+$BE101)*(1+$BF101)+(($BG101+$BH101)/2*IF($G$1="牵丝",$AP101,$AN101)+IF($G$1="牵丝",$AQ101*1.5,0))*(1+$BI101)*(1+$BJ101)+(($BK101+$BL101)/2*IF($G$1="破竹",$AP101,$AN101)+IF($G$1="破竹",$AQ101*1.5,0))*(1+$BM101)*(1+$BN101))*(1+$AR101)*$Q101*(1+IF(VLOOKUP($R101,武学奇术!$A:$ZZ,30,FALSE)="蓄力技",$B$21,0))*(1+IF(VLOOKUP($R101,武学奇术!$A:$ZZ,30,FALSE)="派生技",$B$20,0))*(1+$BW101)*(1+$BX101)</f>
        <v>13795.9284459109</v>
      </c>
      <c r="P101" s="46">
        <f>((($AT101*$AN101+$AO101)*(1+$AV101)*(1+$AW101)+($AY101*IF($G$1="鸣金",$AP101,$AN101)+IF($G$1="鸣金",$AQ101*1.5,0))*(1+$BA101)*(1+$BB101)+($BC101*IF($G$1="裂石",$AP101,$AN101)+IF($G$1="裂石",$AQ101*1.5,0))*(1+$BE101)*(1+$BF101)+($BG101*IF($G$1="牵丝",$AP101,$AN101)+IF($G$1="牵丝",$AQ101*1.5,0))*(1+$BI101)*(1+$BJ101)+($BK101*IF($G$1="破竹",$AP101,$AN101)+IF($G$1="破竹",$AQ101*1.5,0))*(1+$BM101)*(1+$BN101))*(1+$AR101))*$Q101*(1+IF(VLOOKUP($R101,武学奇术!$A:$ZZ,30,FALSE)="蓄力技",$B$21,0))*(1+IF(VLOOKUP($R101,武学奇术!$A:$ZZ,30,FALSE)="派生技",$B$20,0))*(1+$BW101)*(1+$BX101)</f>
        <v>11896.5577425825</v>
      </c>
      <c r="Q101" s="47">
        <f t="shared" si="29"/>
        <v>1</v>
      </c>
      <c r="R101" s="48" t="s">
        <v>173</v>
      </c>
      <c r="S101" s="48" t="s">
        <v>99</v>
      </c>
      <c r="T101" s="48" t="s">
        <v>182</v>
      </c>
      <c r="U101" s="48" t="s">
        <v>80</v>
      </c>
      <c r="V101" s="48" t="s">
        <v>80</v>
      </c>
      <c r="W101" s="48" t="s">
        <v>141</v>
      </c>
      <c r="X101" s="48" t="s">
        <v>80</v>
      </c>
      <c r="Y101" s="48" t="s">
        <v>74</v>
      </c>
      <c r="Z101" s="48" t="s">
        <v>80</v>
      </c>
      <c r="AA101" s="48" t="s">
        <v>80</v>
      </c>
      <c r="AB101" s="48" t="s">
        <v>80</v>
      </c>
      <c r="AC101" s="48" t="s">
        <v>80</v>
      </c>
      <c r="AD101" s="48" t="s">
        <v>80</v>
      </c>
      <c r="AE101" s="48" t="s">
        <v>80</v>
      </c>
      <c r="AF101" s="48" t="s">
        <v>83</v>
      </c>
      <c r="AG101" s="48" t="s">
        <v>84</v>
      </c>
      <c r="AH101" s="48" t="s">
        <v>80</v>
      </c>
      <c r="AI101" s="48" t="s">
        <v>80</v>
      </c>
      <c r="AJ101" s="48" t="s">
        <v>80</v>
      </c>
      <c r="AK101" s="48" t="s">
        <v>80</v>
      </c>
      <c r="AL101" s="48" t="s">
        <v>80</v>
      </c>
      <c r="AM101" t="str">
        <f>VLOOKUP($R101,武学奇术!$A:$ZZ,25,FALSE)</f>
        <v>陌刀</v>
      </c>
      <c r="AN101" s="33">
        <f>VLOOKUP($R101,武学奇术!$A:$ZZ,26,FALSE)</f>
        <v>1.05</v>
      </c>
      <c r="AO101" s="34">
        <f>VLOOKUP($R101,武学奇术!$A:$ZZ,27,FALSE)*(1+IF(OR($AM101=$F$4,$AM101=$F$5),$B$22,0))</f>
        <v>0</v>
      </c>
      <c r="AP101" s="33">
        <f>VLOOKUP($R101,武学奇术!$A:$ZZ,28,FALSE)</f>
        <v>1.575</v>
      </c>
      <c r="AQ101" s="34">
        <f>VLOOKUP($R101,武学奇术!$A:$ZZ,29,FALSE)*(1+IF(OR($AM101=$F$4,$AM101=$F$5),$B$22,0))</f>
        <v>0</v>
      </c>
      <c r="AR101" s="33" cm="1">
        <f t="array" ref="AR101">$G$3+IFERROR(VLOOKUP($AM101,$F$4:$G$7,2,FALSE),0)+VLOOKUP($R101,武学奇术!$A:$ZZ,2,FALSE)+SUM(_xlfn.XLOOKUP($S101:$AL101,增益!$A:$A,增益!$B:$B,0))</f>
        <v>0.5343</v>
      </c>
      <c r="AS101" s="33" cm="1">
        <f t="array" ref="AS101">VLOOKUP($R101,武学奇术!$A:$ZZ,5,FALSE)+SUM(_xlfn.XLOOKUP($S101:$AL101,增益!$A:$A,增益!$E:$E,0))</f>
        <v>0</v>
      </c>
      <c r="AT101" cm="1">
        <f t="array" ref="AT101">$D$10*(1+$AS101)+VLOOKUP($R101,武学奇术!$A:$ZZ,3,FALSE)+SUM(_xlfn.XLOOKUP($S101:$AL101,增益!$A:$A,增益!$C:$C,0))-$I$2</f>
        <v>4026</v>
      </c>
      <c r="AU101" cm="1">
        <f t="array" ref="AU101">$E$10*(1+$AS101)+VLOOKUP($R101,武学奇术!$A:$ZZ,4,FALSE)+SUM(_xlfn.XLOOKUP($S101:$AL101,增益!$A:$A,增益!$D:$D,0))-$I$2</f>
        <v>4026</v>
      </c>
      <c r="AV101" s="40" cm="1">
        <f t="array" ref="AV101">IF($F$10-$I$3+VLOOKUP($R101,武学奇术!$A:$ZZ,6,FALSE)+SUM(_xlfn.XLOOKUP($S101:$AL101,增益!$A:$A,增益!$F:$F,0))&gt;0,($F$10-$I$3+VLOOKUP($R101,武学奇术!$A:$ZZ,6,FALSE)+SUM(_xlfn.XLOOKUP($S101:$AL101,增益!$A:$A,增益!$F:$F,0)))/200,($F$10-$I$3+VLOOKUP($R101,武学奇术!$A:$ZZ,6,FALSE)+SUM(_xlfn.XLOOKUP($S101:$AL101,增益!$A:$A,增益!$F:$F,0)))/100)</f>
        <v>0.3534</v>
      </c>
      <c r="AW101" s="40" cm="1">
        <f t="array" ref="AW101">$G$10+VLOOKUP($R101,武学奇术!$A:$ZZ,7,FALSE)+SUM(_xlfn.XLOOKUP($S101:$AL101,增益!$A:$A,增益!$G:$G,0))</f>
        <v>0</v>
      </c>
      <c r="AX101" s="33" cm="1">
        <f t="array" ref="AX101">VLOOKUP($R101,武学奇术!$A:$ZZ,8,FALSE)+SUM(_xlfn.XLOOKUP($S101:$AL101,增益!$A:$A,增益!$H:$H,0))</f>
        <v>0</v>
      </c>
      <c r="AY101">
        <f t="shared" si="15"/>
        <v>0</v>
      </c>
      <c r="AZ101">
        <f t="shared" si="16"/>
        <v>0</v>
      </c>
      <c r="BA101" s="40" cm="1">
        <f t="array" ref="BA101">IF($F$11-$I$4+VLOOKUP($R101,武学奇术!$A:$ZZ,9,FALSE)+SUM(_xlfn.XLOOKUP($S101:$AL101,增益!$A:$A,增益!$I:$I,0))&gt;0,($F$11-$I$4+VLOOKUP($R101,武学奇术!$A:$ZZ,9,FALSE)+SUM(_xlfn.XLOOKUP($S101:$AL101,增益!$A:$A,增益!$I:$I,0)))/200,($F$11-$I$4+VLOOKUP($R101,武学奇术!$A:$ZZ,9,FALSE)+SUM(_xlfn.XLOOKUP($S101:$AL101,增益!$A:$A,增益!$I:$I,0)))/100)</f>
        <v>-0.3</v>
      </c>
      <c r="BB101" s="40" cm="1">
        <f t="array" ref="BB101">$G$11+VLOOKUP($R101,武学奇术!$A:$ZZ,10,FALSE)+SUM(_xlfn.XLOOKUP($S101:$AL101,增益!$A:$A,增益!$J:$J,0))</f>
        <v>0</v>
      </c>
      <c r="BC101">
        <f t="shared" si="17"/>
        <v>640.3</v>
      </c>
      <c r="BD101">
        <f t="shared" si="18"/>
        <v>1770.1</v>
      </c>
      <c r="BE101" s="40" cm="1">
        <f t="array" ref="BE101">IF($F$12-$I$4+VLOOKUP($R101,武学奇术!$A:$ZZ,11,FALSE)+SUM(_xlfn.XLOOKUP($S101:$AL101,增益!$A:$A,增益!$K:$K,0))&gt;0,($F$12-$I$4+VLOOKUP($R101,武学奇术!$A:$ZZ,11,FALSE)+SUM(_xlfn.XLOOKUP($S101:$AL101,增益!$A:$A,增益!$K:$K,0)))/200,($F$12-$I$4+VLOOKUP($R101,武学奇术!$A:$ZZ,11,FALSE)+SUM(_xlfn.XLOOKUP($S101:$AL101,增益!$A:$A,增益!$K:$K,0)))/100)</f>
        <v>0.09</v>
      </c>
      <c r="BF101" s="40" cm="1">
        <f t="array" ref="BF101">$G$12+VLOOKUP($R101,武学奇术!$A:$ZZ,12,FALSE)+SUM(_xlfn.XLOOKUP($S101:$AL101,增益!$A:$A,增益!$L:$L,0))</f>
        <v>0.15</v>
      </c>
      <c r="BG101">
        <f t="shared" si="19"/>
        <v>0</v>
      </c>
      <c r="BH101">
        <f t="shared" si="20"/>
        <v>0</v>
      </c>
      <c r="BI101" s="40" cm="1">
        <f t="array" ref="BI101">IF($F$13-$I$4+VLOOKUP($R101,武学奇术!$A:$ZZ,13,FALSE)+SUM(_xlfn.XLOOKUP($S101:$AL101,增益!$A:$A,增益!$M:$M,0))&gt;0,($F$13-$I$4+VLOOKUP($R101,武学奇术!$A:$ZZ,13,FALSE)+SUM(_xlfn.XLOOKUP($S101:$AL101,增益!$A:$A,增益!$K:$K,0)))/200,($F$13-$I$4+VLOOKUP($R101,武学奇术!$A:$ZZ,13,FALSE)+SUM(_xlfn.XLOOKUP($S101:$AL101,增益!$A:$A,增益!$M:$M,0)))/100)</f>
        <v>-0.3</v>
      </c>
      <c r="BJ101" s="40" cm="1">
        <f t="array" ref="BJ101">$G$13+VLOOKUP($R101,武学奇术!$A:$ZZ,14,FALSE)+SUM(_xlfn.XLOOKUP($S101:$AL101,增益!$A:$A,增益!$N:$N,0))</f>
        <v>0</v>
      </c>
      <c r="BK101">
        <f t="shared" si="21"/>
        <v>0</v>
      </c>
      <c r="BL101">
        <f t="shared" si="22"/>
        <v>0</v>
      </c>
      <c r="BM101" s="40" cm="1">
        <f t="array" ref="BM101">IF($F$14-$I$4+VLOOKUP($R101,武学奇术!$A:$ZZ,15,FALSE)+SUM(_xlfn.XLOOKUP($S101:$AL101,增益!$A:$A,增益!$O:$O,0))&gt;0,($F$14-$I$4+VLOOKUP($R101,武学奇术!$A:$ZZ,15,FALSE)+SUM(_xlfn.XLOOKUP($S101:$AL101,增益!$A:$A,增益!$O:$O,0)))/200,($F$14-$I$4+VLOOKUP($R101,武学奇术!$A:$ZZ,15,FALSE)+SUM(_xlfn.XLOOKUP($S101:$AL101,增益!$A:$A,增益!$O:$O,0)))/100)</f>
        <v>-0.3</v>
      </c>
      <c r="BN101" s="40" cm="1">
        <f t="array" ref="BN101">$G$14+VLOOKUP($R101,武学奇术!$A:$ZZ,16,FALSE)+SUM(_xlfn.XLOOKUP($S101:$AL101,增益!$A:$A,增益!$P:$P,0))</f>
        <v>0</v>
      </c>
      <c r="BO101" s="33">
        <f>MIN(IF(VLOOKUP($R101,武学奇术!$A:$ZZ,23,FALSE)=1,100%,$B$8),100%)</f>
        <v>0.9771</v>
      </c>
      <c r="BP101" s="33" cm="1">
        <f t="array" ref="BP101">IF(VLOOKUP($R101,武学奇术!$A:$ZZ,23,FALSE)=1,100%,MIN(80%,$B$9+VLOOKUP($R101,武学奇术!$A:$ZZ,17,FALSE)+SUM(_xlfn.XLOOKUP($S101:$AL101,增益!$A:$A,增益!$Q:$Q,0)))+$B$11+SUM(_xlfn.XLOOKUP($S101:$AL101,增益!$A:$A,增益!$U:$U,0)))*IF(VLOOKUP($R101,武学奇术!$A:$ZZ,24,FALSE)=1,0,1)</f>
        <v>0.8861</v>
      </c>
      <c r="BQ101" s="33" cm="1">
        <f t="array" ref="BQ101">1+$B$13+VLOOKUP($R101,武学奇术!$A:$ZZ,18,FALSE)+SUM(_xlfn.XLOOKUP($S101:$AL101,增益!$A:$A,增益!$R:$R,0))</f>
        <v>2</v>
      </c>
      <c r="BR101" s="33" cm="1">
        <f t="array" ref="BR101">IF(VLOOKUP($R101,武学奇术!$A:$ZZ,24,FALSE)=1,100%,MIN(40%,$B$10+VLOOKUP($R101,武学奇术!$A:$ZZ,19,FALSE)+SUM(_xlfn.XLOOKUP($S101:$AL101,增益!$A:$A,增益!$S:$S,0)))+$B$12+SUM(_xlfn.XLOOKUP($S101:$AL101,增益!$A:$A,增益!$V:$V,0)))*IF(VLOOKUP($R101,武学奇术!$A:$ZZ,23,FALSE)=1,0,1)</f>
        <v>0.0913</v>
      </c>
      <c r="BS101" s="33" cm="1">
        <f t="array" ref="BS101">1+$B$14+VLOOKUP($R101,武学奇术!$A:$ZZ,20,FALSE)+SUM(_xlfn.XLOOKUP($S101:$AL101,增益!$A:$A,增益!$T:$T,0))</f>
        <v>1.35</v>
      </c>
      <c r="BT101" s="33">
        <f t="shared" si="23"/>
        <v>0.86580831</v>
      </c>
      <c r="BU101" s="33">
        <f t="shared" si="24"/>
        <v>0.02208246</v>
      </c>
      <c r="BV101" s="33">
        <f>IF(VLOOKUP($R101,武学奇术!$A:$ZZ,22,FALSE)=1,0,(1-$BO101))*(1-$BR101)</f>
        <v>0.02080923</v>
      </c>
      <c r="BW101" s="33" cm="1">
        <f t="array" ref="BW101">SUM(_xlfn.XLOOKUP($S101:$AL101,增益!$A:$A,增益!$W:$W,0))+$I$5</f>
        <v>0.11</v>
      </c>
      <c r="BX101" s="33" cm="1">
        <f t="array" ref="BX101">VLOOKUP($R101,武学奇术!$A:$ZZ,32,FALSE)+SUM(_xlfn.XLOOKUP($S101:$AL101,增益!$A:$A,增益!$X:$X,0))</f>
        <v>0</v>
      </c>
    </row>
    <row r="102" spans="12:76">
      <c r="L102" s="46">
        <f t="shared" si="14"/>
        <v>92811.457821205</v>
      </c>
      <c r="M102" s="46">
        <f>((($AT102+$AU102)/2*$AN102+$AO102)*(1+$AV102)*(1+$AW102)+(($AY102+$AZ102)/2*IF($G$1="鸣金",$AP102,$AN102)+IF($G$1="鸣金",$AQ102*1.5,0))*(1+$BA102)*(1+$BB102)+(($BC102+$BD102)/2*IF($G$1="裂石",$AP102,$AN102)+IF($G$1="裂石",$AQ102*1.5,0))*(1+$BE102)*(1+$BF102)+(($BG102+$BH102)/2*IF($G$1="牵丝",$AP102,$AN102)+IF($G$1="牵丝",$AQ102*1.5,0))*(1+$BI102)*(1+$BJ102)+(($BK102+$BL102)/2*IF($G$1="破竹",$AP102,$AN102)+IF($G$1="破竹",$AQ102*1.5,0))*(1+$BM102)*(1+$BN102))*(1+$AR102)*$BQ102*$Q102*(1+IF(VLOOKUP($R102,武学奇术!$A:$ZZ,30,FALSE)="蓄力技",$B$21,0))*(1+IF(VLOOKUP($R102,武学奇术!$A:$ZZ,30,FALSE)="派生技",$B$20,0))*(1+$BW102)*(1+$BX102)</f>
        <v>96935.2066625429</v>
      </c>
      <c r="N102" s="46">
        <f>(($AU102*$AN102+$AO102)*(1+$AV102)*(1+$AW102)+($AZ102*IF($G$1="鸣金",$AP102,$AN102)+IF($G$1="鸣金",$AQ102*1.5,0))*(1+$BA102)*(1+$BB102)+($BD102*IF($G$1="裂石",$AP102,$AN102)+IF($G$1="裂石",$AQ102*1.5,0))*(1+$BE102)*(1+$BF102)+($BH102*IF($G$1="牵丝",$AP102,$AN102)+IF($G$1="牵丝",$AQ102*1.5,0))*(1+$BI102)*(1+$BJ102)+($BL102*IF($G$1="破竹",$AP102,$AN102)+IF($G$1="破竹",$AQ102*1.5,0))*(1+$BM102)*(1+$BN102))*(1+$AR102)*$BS102*$Q102*(1+IF(VLOOKUP($R102,武学奇术!$A:$ZZ,30,FALSE)="蓄力技",$B$21,0))*(1+IF(VLOOKUP($R102,武学奇术!$A:$ZZ,30,FALSE)="派生技",$B$20,0))*(1+$BW102)*(1+$BX102)</f>
        <v>75344.2395283134</v>
      </c>
      <c r="O102" s="46">
        <f>((($AT102+$AU102)/2*$AN102+$AO102)*(1+$AV102)*(1+$AW102)+(($AY102+$AZ102)/2*IF($G$1="鸣金",$AP102,$AN102)+IF($G$1="鸣金",$AQ102*1.5,0))*(1+$BA102)*(1+$BB102)+(($BC102+$BD102)/2*IF($G$1="裂石",$AP102,$AN102)+IF($G$1="裂石",$AQ102*1.5,0))*(1+$BE102)*(1+$BF102)+(($BG102+$BH102)/2*IF($G$1="牵丝",$AP102,$AN102)+IF($G$1="牵丝",$AQ102*1.5,0))*(1+$BI102)*(1+$BJ102)+(($BK102+$BL102)/2*IF($G$1="破竹",$AP102,$AN102)+IF($G$1="破竹",$AQ102*1.5,0))*(1+$BM102)*(1+$BN102))*(1+$AR102)*$Q102*(1+IF(VLOOKUP($R102,武学奇术!$A:$ZZ,30,FALSE)="蓄力技",$B$21,0))*(1+IF(VLOOKUP($R102,武学奇术!$A:$ZZ,30,FALSE)="派生技",$B$20,0))*(1+$BW102)*(1+$BX102)</f>
        <v>49710.3623910476</v>
      </c>
      <c r="P102" s="46">
        <f>((($AT102*$AN102+$AO102)*(1+$AV102)*(1+$AW102)+($AY102*IF($G$1="鸣金",$AP102,$AN102)+IF($G$1="鸣金",$AQ102*1.5,0))*(1+$BA102)*(1+$BB102)+($BC102*IF($G$1="裂石",$AP102,$AN102)+IF($G$1="裂石",$AQ102*1.5,0))*(1+$BE102)*(1+$BF102)+($BG102*IF($G$1="牵丝",$AP102,$AN102)+IF($G$1="牵丝",$AQ102*1.5,0))*(1+$BI102)*(1+$BJ102)+($BK102*IF($G$1="破竹",$AP102,$AN102)+IF($G$1="破竹",$AQ102*1.5,0))*(1+$BM102)*(1+$BN102))*(1+$AR102))*$Q102*(1+IF(VLOOKUP($R102,武学奇术!$A:$ZZ,30,FALSE)="蓄力技",$B$21,0))*(1+IF(VLOOKUP($R102,武学奇术!$A:$ZZ,30,FALSE)="派生技",$B$20,0))*(1+$BW102)*(1+$BX102)</f>
        <v>43610.1769833446</v>
      </c>
      <c r="Q102" s="47">
        <f t="shared" si="29"/>
        <v>1</v>
      </c>
      <c r="R102" s="48" t="s">
        <v>116</v>
      </c>
      <c r="S102" s="48" t="s">
        <v>99</v>
      </c>
      <c r="T102" s="48" t="s">
        <v>182</v>
      </c>
      <c r="U102" s="48" t="s">
        <v>80</v>
      </c>
      <c r="V102" s="48" t="s">
        <v>80</v>
      </c>
      <c r="W102" s="48" t="s">
        <v>91</v>
      </c>
      <c r="X102" s="48" t="s">
        <v>80</v>
      </c>
      <c r="Y102" s="48" t="s">
        <v>80</v>
      </c>
      <c r="Z102" s="48" t="s">
        <v>80</v>
      </c>
      <c r="AA102" s="48" t="s">
        <v>80</v>
      </c>
      <c r="AB102" s="48" t="s">
        <v>80</v>
      </c>
      <c r="AC102" s="48" t="s">
        <v>80</v>
      </c>
      <c r="AD102" s="48" t="s">
        <v>80</v>
      </c>
      <c r="AE102" s="48" t="s">
        <v>80</v>
      </c>
      <c r="AF102" s="48" t="s">
        <v>83</v>
      </c>
      <c r="AG102" s="48" t="s">
        <v>84</v>
      </c>
      <c r="AH102" s="48" t="s">
        <v>80</v>
      </c>
      <c r="AI102" s="48" t="s">
        <v>80</v>
      </c>
      <c r="AJ102" s="48" t="s">
        <v>80</v>
      </c>
      <c r="AK102" s="48" t="s">
        <v>80</v>
      </c>
      <c r="AL102" s="48" t="s">
        <v>80</v>
      </c>
      <c r="AM102" t="str">
        <f>VLOOKUP($R102,武学奇术!$A:$ZZ,25,FALSE)</f>
        <v>横刀</v>
      </c>
      <c r="AN102" s="33">
        <f>VLOOKUP($R102,武学奇术!$A:$ZZ,26,FALSE)</f>
        <v>3.7797</v>
      </c>
      <c r="AO102" s="34">
        <f>VLOOKUP($R102,武学奇术!$A:$ZZ,27,FALSE)*(1+IF(OR($AM102=$F$4,$AM102=$F$5),$B$22,0))</f>
        <v>1672</v>
      </c>
      <c r="AP102" s="33">
        <f>VLOOKUP($R102,武学奇术!$A:$ZZ,28,FALSE)</f>
        <v>5.6696</v>
      </c>
      <c r="AQ102" s="34">
        <f>VLOOKUP($R102,武学奇术!$A:$ZZ,29,FALSE)*(1+IF(OR($AM102=$F$4,$AM102=$F$5),$B$22,0))</f>
        <v>912</v>
      </c>
      <c r="AR102" s="33" cm="1">
        <f t="array" ref="AR102">$G$3+IFERROR(VLOOKUP($AM102,$F$4:$G$7,2,FALSE),0)+VLOOKUP($R102,武学奇术!$A:$ZZ,2,FALSE)+SUM(_xlfn.XLOOKUP($S102:$AL102,增益!$A:$A,增益!$B:$B,0))</f>
        <v>0.3689</v>
      </c>
      <c r="AS102" s="33" cm="1">
        <f t="array" ref="AS102">VLOOKUP($R102,武学奇术!$A:$ZZ,5,FALSE)+SUM(_xlfn.XLOOKUP($S102:$AL102,增益!$A:$A,增益!$E:$E,0))</f>
        <v>0</v>
      </c>
      <c r="AT102" cm="1">
        <f t="array" ref="AT102">$D$10*(1+$AS102)+VLOOKUP($R102,武学奇术!$A:$ZZ,3,FALSE)+SUM(_xlfn.XLOOKUP($S102:$AL102,增益!$A:$A,增益!$C:$C,0))-$I$2</f>
        <v>4026</v>
      </c>
      <c r="AU102" cm="1">
        <f t="array" ref="AU102">$E$10*(1+$AS102)+VLOOKUP($R102,武学奇术!$A:$ZZ,4,FALSE)+SUM(_xlfn.XLOOKUP($S102:$AL102,增益!$A:$A,增益!$D:$D,0))-$I$2</f>
        <v>4026</v>
      </c>
      <c r="AV102" s="40" cm="1">
        <f t="array" ref="AV102">IF($F$10-$I$3+VLOOKUP($R102,武学奇术!$A:$ZZ,6,FALSE)+SUM(_xlfn.XLOOKUP($S102:$AL102,增益!$A:$A,增益!$F:$F,0))&gt;0,($F$10-$I$3+VLOOKUP($R102,武学奇术!$A:$ZZ,6,FALSE)+SUM(_xlfn.XLOOKUP($S102:$AL102,增益!$A:$A,增益!$F:$F,0)))/200,($F$10-$I$3+VLOOKUP($R102,武学奇术!$A:$ZZ,6,FALSE)+SUM(_xlfn.XLOOKUP($S102:$AL102,增益!$A:$A,增益!$F:$F,0)))/100)</f>
        <v>0.3284</v>
      </c>
      <c r="AW102" s="40" cm="1">
        <f t="array" ref="AW102">$G$10+VLOOKUP($R102,武学奇术!$A:$ZZ,7,FALSE)+SUM(_xlfn.XLOOKUP($S102:$AL102,增益!$A:$A,增益!$G:$G,0))</f>
        <v>0</v>
      </c>
      <c r="AX102" s="33" cm="1">
        <f t="array" ref="AX102">VLOOKUP($R102,武学奇术!$A:$ZZ,8,FALSE)+SUM(_xlfn.XLOOKUP($S102:$AL102,增益!$A:$A,增益!$H:$H,0))</f>
        <v>0</v>
      </c>
      <c r="AY102">
        <f t="shared" si="15"/>
        <v>0</v>
      </c>
      <c r="AZ102">
        <f t="shared" si="16"/>
        <v>0</v>
      </c>
      <c r="BA102" s="40" cm="1">
        <f t="array" ref="BA102">IF($F$11-$I$4+VLOOKUP($R102,武学奇术!$A:$ZZ,9,FALSE)+SUM(_xlfn.XLOOKUP($S102:$AL102,增益!$A:$A,增益!$I:$I,0))&gt;0,($F$11-$I$4+VLOOKUP($R102,武学奇术!$A:$ZZ,9,FALSE)+SUM(_xlfn.XLOOKUP($S102:$AL102,增益!$A:$A,增益!$I:$I,0)))/200,($F$11-$I$4+VLOOKUP($R102,武学奇术!$A:$ZZ,9,FALSE)+SUM(_xlfn.XLOOKUP($S102:$AL102,增益!$A:$A,增益!$I:$I,0)))/100)</f>
        <v>-0.3</v>
      </c>
      <c r="BB102" s="40" cm="1">
        <f t="array" ref="BB102">$G$11+VLOOKUP($R102,武学奇术!$A:$ZZ,10,FALSE)+SUM(_xlfn.XLOOKUP($S102:$AL102,增益!$A:$A,增益!$J:$J,0))</f>
        <v>0</v>
      </c>
      <c r="BC102">
        <f t="shared" si="17"/>
        <v>640.3</v>
      </c>
      <c r="BD102">
        <f t="shared" si="18"/>
        <v>1770.1</v>
      </c>
      <c r="BE102" s="40" cm="1">
        <f t="array" ref="BE102">IF($F$12-$I$4+VLOOKUP($R102,武学奇术!$A:$ZZ,11,FALSE)+SUM(_xlfn.XLOOKUP($S102:$AL102,增益!$A:$A,增益!$K:$K,0))&gt;0,($F$12-$I$4+VLOOKUP($R102,武学奇术!$A:$ZZ,11,FALSE)+SUM(_xlfn.XLOOKUP($S102:$AL102,增益!$A:$A,增益!$K:$K,0)))/200,($F$12-$I$4+VLOOKUP($R102,武学奇术!$A:$ZZ,11,FALSE)+SUM(_xlfn.XLOOKUP($S102:$AL102,增益!$A:$A,增益!$K:$K,0)))/100)</f>
        <v>0.09</v>
      </c>
      <c r="BF102" s="40" cm="1">
        <f t="array" ref="BF102">$G$12+VLOOKUP($R102,武学奇术!$A:$ZZ,12,FALSE)+SUM(_xlfn.XLOOKUP($S102:$AL102,增益!$A:$A,增益!$L:$L,0))</f>
        <v>0.15</v>
      </c>
      <c r="BG102">
        <f t="shared" si="19"/>
        <v>0</v>
      </c>
      <c r="BH102">
        <f t="shared" si="20"/>
        <v>0</v>
      </c>
      <c r="BI102" s="40" cm="1">
        <f t="array" ref="BI102">IF($F$13-$I$4+VLOOKUP($R102,武学奇术!$A:$ZZ,13,FALSE)+SUM(_xlfn.XLOOKUP($S102:$AL102,增益!$A:$A,增益!$M:$M,0))&gt;0,($F$13-$I$4+VLOOKUP($R102,武学奇术!$A:$ZZ,13,FALSE)+SUM(_xlfn.XLOOKUP($S102:$AL102,增益!$A:$A,增益!$K:$K,0)))/200,($F$13-$I$4+VLOOKUP($R102,武学奇术!$A:$ZZ,13,FALSE)+SUM(_xlfn.XLOOKUP($S102:$AL102,增益!$A:$A,增益!$M:$M,0)))/100)</f>
        <v>-0.3</v>
      </c>
      <c r="BJ102" s="40" cm="1">
        <f t="array" ref="BJ102">$G$13+VLOOKUP($R102,武学奇术!$A:$ZZ,14,FALSE)+SUM(_xlfn.XLOOKUP($S102:$AL102,增益!$A:$A,增益!$N:$N,0))</f>
        <v>0</v>
      </c>
      <c r="BK102">
        <f t="shared" si="21"/>
        <v>0</v>
      </c>
      <c r="BL102">
        <f t="shared" si="22"/>
        <v>0</v>
      </c>
      <c r="BM102" s="40" cm="1">
        <f t="array" ref="BM102">IF($F$14-$I$4+VLOOKUP($R102,武学奇术!$A:$ZZ,15,FALSE)+SUM(_xlfn.XLOOKUP($S102:$AL102,增益!$A:$A,增益!$O:$O,0))&gt;0,($F$14-$I$4+VLOOKUP($R102,武学奇术!$A:$ZZ,15,FALSE)+SUM(_xlfn.XLOOKUP($S102:$AL102,增益!$A:$A,增益!$O:$O,0)))/200,($F$14-$I$4+VLOOKUP($R102,武学奇术!$A:$ZZ,15,FALSE)+SUM(_xlfn.XLOOKUP($S102:$AL102,增益!$A:$A,增益!$O:$O,0)))/100)</f>
        <v>-0.3</v>
      </c>
      <c r="BN102" s="40" cm="1">
        <f t="array" ref="BN102">$G$14+VLOOKUP($R102,武学奇术!$A:$ZZ,16,FALSE)+SUM(_xlfn.XLOOKUP($S102:$AL102,增益!$A:$A,增益!$P:$P,0))</f>
        <v>0</v>
      </c>
      <c r="BO102" s="33">
        <f>MIN(IF(VLOOKUP($R102,武学奇术!$A:$ZZ,23,FALSE)=1,100%,$B$8),100%)</f>
        <v>0.9771</v>
      </c>
      <c r="BP102" s="33" cm="1">
        <f t="array" ref="BP102">IF(VLOOKUP($R102,武学奇术!$A:$ZZ,23,FALSE)=1,100%,MIN(80%,$B$9+VLOOKUP($R102,武学奇术!$A:$ZZ,17,FALSE)+SUM(_xlfn.XLOOKUP($S102:$AL102,增益!$A:$A,增益!$Q:$Q,0)))+$B$11+SUM(_xlfn.XLOOKUP($S102:$AL102,增益!$A:$A,增益!$U:$U,0)))*IF(VLOOKUP($R102,武学奇术!$A:$ZZ,24,FALSE)=1,0,1)</f>
        <v>0.8861</v>
      </c>
      <c r="BQ102" s="33" cm="1">
        <f t="array" ref="BQ102">1+$B$13+VLOOKUP($R102,武学奇术!$A:$ZZ,18,FALSE)+SUM(_xlfn.XLOOKUP($S102:$AL102,增益!$A:$A,增益!$R:$R,0))</f>
        <v>1.95</v>
      </c>
      <c r="BR102" s="33" cm="1">
        <f t="array" ref="BR102">IF(VLOOKUP($R102,武学奇术!$A:$ZZ,24,FALSE)=1,100%,MIN(40%,$B$10+VLOOKUP($R102,武学奇术!$A:$ZZ,19,FALSE)+SUM(_xlfn.XLOOKUP($S102:$AL102,增益!$A:$A,增益!$S:$S,0)))+$B$12+SUM(_xlfn.XLOOKUP($S102:$AL102,增益!$A:$A,增益!$V:$V,0)))*IF(VLOOKUP($R102,武学奇术!$A:$ZZ,23,FALSE)=1,0,1)</f>
        <v>0.0913</v>
      </c>
      <c r="BS102" s="33" cm="1">
        <f t="array" ref="BS102">1+$B$14+VLOOKUP($R102,武学奇术!$A:$ZZ,20,FALSE)+SUM(_xlfn.XLOOKUP($S102:$AL102,增益!$A:$A,增益!$T:$T,0))</f>
        <v>1.35</v>
      </c>
      <c r="BT102" s="33">
        <f t="shared" si="23"/>
        <v>0.86580831</v>
      </c>
      <c r="BU102" s="33">
        <f t="shared" si="24"/>
        <v>0.02208246</v>
      </c>
      <c r="BV102" s="33">
        <f>IF(VLOOKUP($R102,武学奇术!$A:$ZZ,22,FALSE)=1,0,(1-$BO102))*(1-$BR102)</f>
        <v>0.02080923</v>
      </c>
      <c r="BW102" s="33" cm="1">
        <f t="array" ref="BW102">SUM(_xlfn.XLOOKUP($S102:$AL102,增益!$A:$A,增益!$W:$W,0))+$I$5</f>
        <v>0.11</v>
      </c>
      <c r="BX102" s="33" cm="1">
        <f t="array" ref="BX102">VLOOKUP($R102,武学奇术!$A:$ZZ,32,FALSE)+SUM(_xlfn.XLOOKUP($S102:$AL102,增益!$A:$A,增益!$X:$X,0))</f>
        <v>0</v>
      </c>
    </row>
    <row r="103" spans="12:76">
      <c r="L103" s="46">
        <f t="shared" si="14"/>
        <v>20881.3097712756</v>
      </c>
      <c r="M103" s="46">
        <f>((($AT103+$AU103)/2*$AN103+$AO103)*(1+$AV103)*(1+$AW103)+(($AY103+$AZ103)/2*IF($G$1="鸣金",$AP103,$AN103)+IF($G$1="鸣金",$AQ103*1.5,0))*(1+$BA103)*(1+$BB103)+(($BC103+$BD103)/2*IF($G$1="裂石",$AP103,$AN103)+IF($G$1="裂石",$AQ103*1.5,0))*(1+$BE103)*(1+$BF103)+(($BG103+$BH103)/2*IF($G$1="牵丝",$AP103,$AN103)+IF($G$1="牵丝",$AQ103*1.5,0))*(1+$BI103)*(1+$BJ103)+(($BK103+$BL103)/2*IF($G$1="破竹",$AP103,$AN103)+IF($G$1="破竹",$AQ103*1.5,0))*(1+$BM103)*(1+$BN103))*(1+$AR103)*$BQ103*$Q103*(1+IF(VLOOKUP($R103,武学奇术!$A:$ZZ,30,FALSE)="蓄力技",$B$21,0))*(1+IF(VLOOKUP($R103,武学奇术!$A:$ZZ,30,FALSE)="派生技",$B$20,0))*(1+$BW103)*(1+$BX103)</f>
        <v>21837.3542607106</v>
      </c>
      <c r="N103" s="46">
        <f>(($AU103*$AN103+$AO103)*(1+$AV103)*(1+$AW103)+($AZ103*IF($G$1="鸣金",$AP103,$AN103)+IF($G$1="鸣金",$AQ103*1.5,0))*(1+$BA103)*(1+$BB103)+($BD103*IF($G$1="裂石",$AP103,$AN103)+IF($G$1="裂石",$AQ103*1.5,0))*(1+$BE103)*(1+$BF103)+($BH103*IF($G$1="牵丝",$AP103,$AN103)+IF($G$1="牵丝",$AQ103*1.5,0))*(1+$BI103)*(1+$BJ103)+($BL103*IF($G$1="破竹",$AP103,$AN103)+IF($G$1="破竹",$AQ103*1.5,0))*(1+$BM103)*(1+$BN103))*(1+$AR103)*$BS103*$Q103*(1+IF(VLOOKUP($R103,武学奇术!$A:$ZZ,30,FALSE)="蓄力技",$B$21,0))*(1+IF(VLOOKUP($R103,武学奇术!$A:$ZZ,30,FALSE)="派生技",$B$20,0))*(1+$BW103)*(1+$BX103)</f>
        <v>16851.8741915363</v>
      </c>
      <c r="O103" s="46">
        <f>((($AT103+$AU103)/2*$AN103+$AO103)*(1+$AV103)*(1+$AW103)+(($AY103+$AZ103)/2*IF($G$1="鸣金",$AP103,$AN103)+IF($G$1="鸣金",$AQ103*1.5,0))*(1+$BA103)*(1+$BB103)+(($BC103+$BD103)/2*IF($G$1="裂石",$AP103,$AN103)+IF($G$1="裂石",$AQ103*1.5,0))*(1+$BE103)*(1+$BF103)+(($BG103+$BH103)/2*IF($G$1="牵丝",$AP103,$AN103)+IF($G$1="牵丝",$AQ103*1.5,0))*(1+$BI103)*(1+$BJ103)+(($BK103+$BL103)/2*IF($G$1="破竹",$AP103,$AN103)+IF($G$1="破竹",$AQ103*1.5,0))*(1+$BM103)*(1+$BN103))*(1+$AR103)*$Q103*(1+IF(VLOOKUP($R103,武学奇术!$A:$ZZ,30,FALSE)="蓄力技",$B$21,0))*(1+IF(VLOOKUP($R103,武学奇术!$A:$ZZ,30,FALSE)="派生技",$B$20,0))*(1+$BW103)*(1+$BX103)</f>
        <v>10918.6771303553</v>
      </c>
      <c r="P103" s="46">
        <f>((($AT103*$AN103+$AO103)*(1+$AV103)*(1+$AW103)+($AY103*IF($G$1="鸣金",$AP103,$AN103)+IF($G$1="鸣金",$AQ103*1.5,0))*(1+$BA103)*(1+$BB103)+($BC103*IF($G$1="裂石",$AP103,$AN103)+IF($G$1="裂石",$AQ103*1.5,0))*(1+$BE103)*(1+$BF103)+($BG103*IF($G$1="牵丝",$AP103,$AN103)+IF($G$1="牵丝",$AQ103*1.5,0))*(1+$BI103)*(1+$BJ103)+($BK103*IF($G$1="破竹",$AP103,$AN103)+IF($G$1="破竹",$AQ103*1.5,0))*(1+$BM103)*(1+$BN103))*(1+$AR103))*$Q103*(1+IF(VLOOKUP($R103,武学奇术!$A:$ZZ,30,FALSE)="蓄力技",$B$21,0))*(1+IF(VLOOKUP($R103,武学奇术!$A:$ZZ,30,FALSE)="派生技",$B$20,0))*(1+$BW103)*(1+$BX103)</f>
        <v>9354.48448920223</v>
      </c>
      <c r="Q103" s="47">
        <f t="shared" si="29"/>
        <v>1</v>
      </c>
      <c r="R103" s="48" t="s">
        <v>140</v>
      </c>
      <c r="S103" s="48" t="s">
        <v>99</v>
      </c>
      <c r="T103" s="48" t="s">
        <v>182</v>
      </c>
      <c r="U103" s="48" t="s">
        <v>79</v>
      </c>
      <c r="V103" s="48" t="s">
        <v>90</v>
      </c>
      <c r="W103" s="48" t="s">
        <v>141</v>
      </c>
      <c r="X103" s="48" t="s">
        <v>80</v>
      </c>
      <c r="Y103" s="48" t="s">
        <v>74</v>
      </c>
      <c r="Z103" s="48" t="s">
        <v>80</v>
      </c>
      <c r="AA103" s="48" t="s">
        <v>80</v>
      </c>
      <c r="AB103" s="48" t="s">
        <v>80</v>
      </c>
      <c r="AC103" s="48" t="s">
        <v>80</v>
      </c>
      <c r="AD103" s="48" t="s">
        <v>80</v>
      </c>
      <c r="AE103" s="48" t="s">
        <v>80</v>
      </c>
      <c r="AF103" s="48" t="s">
        <v>83</v>
      </c>
      <c r="AG103" s="48" t="s">
        <v>84</v>
      </c>
      <c r="AH103" s="48" t="s">
        <v>80</v>
      </c>
      <c r="AI103" s="48" t="s">
        <v>80</v>
      </c>
      <c r="AJ103" s="48" t="s">
        <v>80</v>
      </c>
      <c r="AK103" s="48" t="s">
        <v>80</v>
      </c>
      <c r="AL103" s="48" t="s">
        <v>80</v>
      </c>
      <c r="AM103" t="str">
        <f>VLOOKUP($R103,武学奇术!$A:$ZZ,25,FALSE)</f>
        <v>陌刀</v>
      </c>
      <c r="AN103" s="33">
        <f>VLOOKUP($R103,武学奇术!$A:$ZZ,26,FALSE)</f>
        <v>0.525</v>
      </c>
      <c r="AO103" s="34">
        <f>VLOOKUP($R103,武学奇术!$A:$ZZ,27,FALSE)*(1+IF(OR($AM103=$F$4,$AM103=$F$5),$B$22,0))</f>
        <v>0</v>
      </c>
      <c r="AP103" s="33">
        <f>VLOOKUP($R103,武学奇术!$A:$ZZ,28,FALSE)</f>
        <v>0.7875</v>
      </c>
      <c r="AQ103" s="34">
        <f>VLOOKUP($R103,武学奇术!$A:$ZZ,29,FALSE)*(1+IF(OR($AM103=$F$4,$AM103=$F$5),$B$22,0))</f>
        <v>0</v>
      </c>
      <c r="AR103" s="33" cm="1">
        <f t="array" ref="AR103">$G$3+IFERROR(VLOOKUP($AM103,$F$4:$G$7,2,FALSE),0)+VLOOKUP($R103,武学奇术!$A:$ZZ,2,FALSE)+SUM(_xlfn.XLOOKUP($S103:$AL103,增益!$A:$A,增益!$B:$B,0))</f>
        <v>0.6143</v>
      </c>
      <c r="AS103" s="33" cm="1">
        <f t="array" ref="AS103">VLOOKUP($R103,武学奇术!$A:$ZZ,5,FALSE)+SUM(_xlfn.XLOOKUP($S103:$AL103,增益!$A:$A,增益!$E:$E,0))</f>
        <v>0</v>
      </c>
      <c r="AT103" cm="1">
        <f t="array" ref="AT103">$D$10*(1+$AS103)+VLOOKUP($R103,武学奇术!$A:$ZZ,3,FALSE)+SUM(_xlfn.XLOOKUP($S103:$AL103,增益!$A:$A,增益!$C:$C,0))-$I$2</f>
        <v>4026</v>
      </c>
      <c r="AU103" cm="1">
        <f t="array" ref="AU103">$E$10*(1+$AS103)+VLOOKUP($R103,武学奇术!$A:$ZZ,4,FALSE)+SUM(_xlfn.XLOOKUP($S103:$AL103,增益!$A:$A,增益!$D:$D,0))-$I$2</f>
        <v>4026</v>
      </c>
      <c r="AV103" s="40" cm="1">
        <f t="array" ref="AV103">IF($F$10-$I$3+VLOOKUP($R103,武学奇术!$A:$ZZ,6,FALSE)+SUM(_xlfn.XLOOKUP($S103:$AL103,增益!$A:$A,增益!$F:$F,0))&gt;0,($F$10-$I$3+VLOOKUP($R103,武学奇术!$A:$ZZ,6,FALSE)+SUM(_xlfn.XLOOKUP($S103:$AL103,增益!$A:$A,增益!$F:$F,0)))/200,($F$10-$I$3+VLOOKUP($R103,武学奇术!$A:$ZZ,6,FALSE)+SUM(_xlfn.XLOOKUP($S103:$AL103,增益!$A:$A,增益!$F:$F,0)))/100)</f>
        <v>0.3534</v>
      </c>
      <c r="AW103" s="40" cm="1">
        <f t="array" ref="AW103">$G$10+VLOOKUP($R103,武学奇术!$A:$ZZ,7,FALSE)+SUM(_xlfn.XLOOKUP($S103:$AL103,增益!$A:$A,增益!$G:$G,0))</f>
        <v>0.12</v>
      </c>
      <c r="AX103" s="33" cm="1">
        <f t="array" ref="AX103">VLOOKUP($R103,武学奇术!$A:$ZZ,8,FALSE)+SUM(_xlfn.XLOOKUP($S103:$AL103,增益!$A:$A,增益!$H:$H,0))</f>
        <v>0</v>
      </c>
      <c r="AY103">
        <f t="shared" si="15"/>
        <v>0</v>
      </c>
      <c r="AZ103">
        <f t="shared" si="16"/>
        <v>0</v>
      </c>
      <c r="BA103" s="40" cm="1">
        <f t="array" ref="BA103">IF($F$11-$I$4+VLOOKUP($R103,武学奇术!$A:$ZZ,9,FALSE)+SUM(_xlfn.XLOOKUP($S103:$AL103,增益!$A:$A,增益!$I:$I,0))&gt;0,($F$11-$I$4+VLOOKUP($R103,武学奇术!$A:$ZZ,9,FALSE)+SUM(_xlfn.XLOOKUP($S103:$AL103,增益!$A:$A,增益!$I:$I,0)))/200,($F$11-$I$4+VLOOKUP($R103,武学奇术!$A:$ZZ,9,FALSE)+SUM(_xlfn.XLOOKUP($S103:$AL103,增益!$A:$A,增益!$I:$I,0)))/100)</f>
        <v>-0.14</v>
      </c>
      <c r="BB103" s="40" cm="1">
        <f t="array" ref="BB103">$G$11+VLOOKUP($R103,武学奇术!$A:$ZZ,10,FALSE)+SUM(_xlfn.XLOOKUP($S103:$AL103,增益!$A:$A,增益!$J:$J,0))</f>
        <v>0</v>
      </c>
      <c r="BC103">
        <f t="shared" si="17"/>
        <v>640.3</v>
      </c>
      <c r="BD103">
        <f t="shared" si="18"/>
        <v>1770.1</v>
      </c>
      <c r="BE103" s="40" cm="1">
        <f t="array" ref="BE103">IF($F$12-$I$4+VLOOKUP($R103,武学奇术!$A:$ZZ,11,FALSE)+SUM(_xlfn.XLOOKUP($S103:$AL103,增益!$A:$A,增益!$K:$K,0))&gt;0,($F$12-$I$4+VLOOKUP($R103,武学奇术!$A:$ZZ,11,FALSE)+SUM(_xlfn.XLOOKUP($S103:$AL103,增益!$A:$A,增益!$K:$K,0)))/200,($F$12-$I$4+VLOOKUP($R103,武学奇术!$A:$ZZ,11,FALSE)+SUM(_xlfn.XLOOKUP($S103:$AL103,增益!$A:$A,增益!$K:$K,0)))/100)</f>
        <v>0.17</v>
      </c>
      <c r="BF103" s="40" cm="1">
        <f t="array" ref="BF103">$G$12+VLOOKUP($R103,武学奇术!$A:$ZZ,12,FALSE)+SUM(_xlfn.XLOOKUP($S103:$AL103,增益!$A:$A,增益!$L:$L,0))</f>
        <v>0.27</v>
      </c>
      <c r="BG103">
        <f t="shared" si="19"/>
        <v>0</v>
      </c>
      <c r="BH103">
        <f t="shared" si="20"/>
        <v>0</v>
      </c>
      <c r="BI103" s="40" cm="1">
        <f t="array" ref="BI103">IF($F$13-$I$4+VLOOKUP($R103,武学奇术!$A:$ZZ,13,FALSE)+SUM(_xlfn.XLOOKUP($S103:$AL103,增益!$A:$A,增益!$M:$M,0))&gt;0,($F$13-$I$4+VLOOKUP($R103,武学奇术!$A:$ZZ,13,FALSE)+SUM(_xlfn.XLOOKUP($S103:$AL103,增益!$A:$A,增益!$K:$K,0)))/200,($F$13-$I$4+VLOOKUP($R103,武学奇术!$A:$ZZ,13,FALSE)+SUM(_xlfn.XLOOKUP($S103:$AL103,增益!$A:$A,增益!$M:$M,0)))/100)</f>
        <v>-0.14</v>
      </c>
      <c r="BJ103" s="40" cm="1">
        <f t="array" ref="BJ103">$G$13+VLOOKUP($R103,武学奇术!$A:$ZZ,14,FALSE)+SUM(_xlfn.XLOOKUP($S103:$AL103,增益!$A:$A,增益!$N:$N,0))</f>
        <v>0</v>
      </c>
      <c r="BK103">
        <f t="shared" si="21"/>
        <v>0</v>
      </c>
      <c r="BL103">
        <f t="shared" si="22"/>
        <v>0</v>
      </c>
      <c r="BM103" s="40" cm="1">
        <f t="array" ref="BM103">IF($F$14-$I$4+VLOOKUP($R103,武学奇术!$A:$ZZ,15,FALSE)+SUM(_xlfn.XLOOKUP($S103:$AL103,增益!$A:$A,增益!$O:$O,0))&gt;0,($F$14-$I$4+VLOOKUP($R103,武学奇术!$A:$ZZ,15,FALSE)+SUM(_xlfn.XLOOKUP($S103:$AL103,增益!$A:$A,增益!$O:$O,0)))/200,($F$14-$I$4+VLOOKUP($R103,武学奇术!$A:$ZZ,15,FALSE)+SUM(_xlfn.XLOOKUP($S103:$AL103,增益!$A:$A,增益!$O:$O,0)))/100)</f>
        <v>-0.14</v>
      </c>
      <c r="BN103" s="40" cm="1">
        <f t="array" ref="BN103">$G$14+VLOOKUP($R103,武学奇术!$A:$ZZ,16,FALSE)+SUM(_xlfn.XLOOKUP($S103:$AL103,增益!$A:$A,增益!$P:$P,0))</f>
        <v>0</v>
      </c>
      <c r="BO103" s="33">
        <f>MIN(IF(VLOOKUP($R103,武学奇术!$A:$ZZ,23,FALSE)=1,100%,$B$8),100%)</f>
        <v>0.9771</v>
      </c>
      <c r="BP103" s="33" cm="1">
        <f t="array" ref="BP103">IF(VLOOKUP($R103,武学奇术!$A:$ZZ,23,FALSE)=1,100%,MIN(80%,$B$9+VLOOKUP($R103,武学奇术!$A:$ZZ,17,FALSE)+SUM(_xlfn.XLOOKUP($S103:$AL103,增益!$A:$A,增益!$Q:$Q,0)))+$B$11+SUM(_xlfn.XLOOKUP($S103:$AL103,增益!$A:$A,增益!$U:$U,0)))*IF(VLOOKUP($R103,武学奇术!$A:$ZZ,24,FALSE)=1,0,1)</f>
        <v>0.8861</v>
      </c>
      <c r="BQ103" s="33" cm="1">
        <f t="array" ref="BQ103">1+$B$13+VLOOKUP($R103,武学奇术!$A:$ZZ,18,FALSE)+SUM(_xlfn.XLOOKUP($S103:$AL103,增益!$A:$A,增益!$R:$R,0))</f>
        <v>2</v>
      </c>
      <c r="BR103" s="33" cm="1">
        <f t="array" ref="BR103">IF(VLOOKUP($R103,武学奇术!$A:$ZZ,24,FALSE)=1,100%,MIN(40%,$B$10+VLOOKUP($R103,武学奇术!$A:$ZZ,19,FALSE)+SUM(_xlfn.XLOOKUP($S103:$AL103,增益!$A:$A,增益!$S:$S,0)))+$B$12+SUM(_xlfn.XLOOKUP($S103:$AL103,增益!$A:$A,增益!$V:$V,0)))*IF(VLOOKUP($R103,武学奇术!$A:$ZZ,23,FALSE)=1,0,1)</f>
        <v>0.0913</v>
      </c>
      <c r="BS103" s="33" cm="1">
        <f t="array" ref="BS103">1+$B$14+VLOOKUP($R103,武学奇术!$A:$ZZ,20,FALSE)+SUM(_xlfn.XLOOKUP($S103:$AL103,增益!$A:$A,增益!$T:$T,0))</f>
        <v>1.35</v>
      </c>
      <c r="BT103" s="33">
        <f t="shared" si="23"/>
        <v>0.86580831</v>
      </c>
      <c r="BU103" s="33">
        <f t="shared" si="24"/>
        <v>0.02208246</v>
      </c>
      <c r="BV103" s="33">
        <f>IF(VLOOKUP($R103,武学奇术!$A:$ZZ,22,FALSE)=1,0,(1-$BO103))*(1-$BR103)</f>
        <v>0.02080923</v>
      </c>
      <c r="BW103" s="33" cm="1">
        <f t="array" ref="BW103">SUM(_xlfn.XLOOKUP($S103:$AL103,增益!$A:$A,增益!$W:$W,0))+$I$5</f>
        <v>0.11</v>
      </c>
      <c r="BX103" s="33" cm="1">
        <f t="array" ref="BX103">VLOOKUP($R103,武学奇术!$A:$ZZ,32,FALSE)+SUM(_xlfn.XLOOKUP($S103:$AL103,增益!$A:$A,增益!$X:$X,0))</f>
        <v>0</v>
      </c>
    </row>
    <row r="104" spans="12:76">
      <c r="L104" s="46">
        <f t="shared" si="14"/>
        <v>41272.599552743</v>
      </c>
      <c r="M104" s="46">
        <f>((($AT104+$AU104)/2*$AN104+$AO104)*(1+$AV104)*(1+$AW104)+(($AY104+$AZ104)/2*IF($G$1="鸣金",$AP104,$AN104)+IF($G$1="鸣金",$AQ104*1.5,0))*(1+$BA104)*(1+$BB104)+(($BC104+$BD104)/2*IF($G$1="裂石",$AP104,$AN104)+IF($G$1="裂石",$AQ104*1.5,0))*(1+$BE104)*(1+$BF104)+(($BG104+$BH104)/2*IF($G$1="牵丝",$AP104,$AN104)+IF($G$1="牵丝",$AQ104*1.5,0))*(1+$BI104)*(1+$BJ104)+(($BK104+$BL104)/2*IF($G$1="破竹",$AP104,$AN104)+IF($G$1="破竹",$AQ104*1.5,0))*(1+$BM104)*(1+$BN104))*(1+$AR104)*$BQ104*$Q104*(1+IF(VLOOKUP($R104,武学奇术!$A:$ZZ,30,FALSE)="蓄力技",$B$21,0))*(1+IF(VLOOKUP($R104,武学奇术!$A:$ZZ,30,FALSE)="派生技",$B$20,0))*(1+$BW104)*(1+$BX104)</f>
        <v>41272.599552743</v>
      </c>
      <c r="N104" s="46">
        <f>(($AU104*$AN104+$AO104)*(1+$AV104)*(1+$AW104)+($AZ104*IF($G$1="鸣金",$AP104,$AN104)+IF($G$1="鸣金",$AQ104*1.5,0))*(1+$BA104)*(1+$BB104)+($BD104*IF($G$1="裂石",$AP104,$AN104)+IF($G$1="裂石",$AQ104*1.5,0))*(1+$BE104)*(1+$BF104)+($BH104*IF($G$1="牵丝",$AP104,$AN104)+IF($G$1="牵丝",$AQ104*1.5,0))*(1+$BI104)*(1+$BJ104)+($BL104*IF($G$1="破竹",$AP104,$AN104)+IF($G$1="破竹",$AQ104*1.5,0))*(1+$BM104)*(1+$BN104))*(1+$AR104)*$BS104*$Q104*(1+IF(VLOOKUP($R104,武学奇术!$A:$ZZ,30,FALSE)="蓄力技",$B$21,0))*(1+IF(VLOOKUP($R104,武学奇术!$A:$ZZ,30,FALSE)="派生技",$B$20,0))*(1+$BW104)*(1+$BX104)</f>
        <v>30333.3735447654</v>
      </c>
      <c r="O104" s="46">
        <f>((($AT104+$AU104)/2*$AN104+$AO104)*(1+$AV104)*(1+$AW104)+(($AY104+$AZ104)/2*IF($G$1="鸣金",$AP104,$AN104)+IF($G$1="鸣金",$AQ104*1.5,0))*(1+$BA104)*(1+$BB104)+(($BC104+$BD104)/2*IF($G$1="裂石",$AP104,$AN104)+IF($G$1="裂石",$AQ104*1.5,0))*(1+$BE104)*(1+$BF104)+(($BG104+$BH104)/2*IF($G$1="牵丝",$AP104,$AN104)+IF($G$1="牵丝",$AQ104*1.5,0))*(1+$BI104)*(1+$BJ104)+(($BK104+$BL104)/2*IF($G$1="破竹",$AP104,$AN104)+IF($G$1="破竹",$AQ104*1.5,0))*(1+$BM104)*(1+$BN104))*(1+$AR104)*$Q104*(1+IF(VLOOKUP($R104,武学奇术!$A:$ZZ,30,FALSE)="蓄力技",$B$21,0))*(1+IF(VLOOKUP($R104,武学奇术!$A:$ZZ,30,FALSE)="派生技",$B$20,0))*(1+$BW104)*(1+$BX104)</f>
        <v>19653.6188346395</v>
      </c>
      <c r="P104" s="46">
        <f>((($AT104*$AN104+$AO104)*(1+$AV104)*(1+$AW104)+($AY104*IF($G$1="鸣金",$AP104,$AN104)+IF($G$1="鸣金",$AQ104*1.5,0))*(1+$BA104)*(1+$BB104)+($BC104*IF($G$1="裂石",$AP104,$AN104)+IF($G$1="裂石",$AQ104*1.5,0))*(1+$BE104)*(1+$BF104)+($BG104*IF($G$1="牵丝",$AP104,$AN104)+IF($G$1="牵丝",$AQ104*1.5,0))*(1+$BI104)*(1+$BJ104)+($BK104*IF($G$1="破竹",$AP104,$AN104)+IF($G$1="破竹",$AQ104*1.5,0))*(1+$BM104)*(1+$BN104))*(1+$AR104))*$Q104*(1+IF(VLOOKUP($R104,武学奇术!$A:$ZZ,30,FALSE)="蓄力技",$B$21,0))*(1+IF(VLOOKUP($R104,武学奇术!$A:$ZZ,30,FALSE)="派生技",$B$20,0))*(1+$BW104)*(1+$BX104)</f>
        <v>16838.072080564</v>
      </c>
      <c r="Q104" s="47">
        <f t="shared" si="29"/>
        <v>1</v>
      </c>
      <c r="R104" s="48" t="s">
        <v>144</v>
      </c>
      <c r="S104" s="48" t="s">
        <v>99</v>
      </c>
      <c r="T104" s="48" t="s">
        <v>182</v>
      </c>
      <c r="U104" s="48" t="s">
        <v>79</v>
      </c>
      <c r="V104" s="48" t="s">
        <v>90</v>
      </c>
      <c r="W104" s="48" t="s">
        <v>141</v>
      </c>
      <c r="X104" s="48" t="s">
        <v>145</v>
      </c>
      <c r="Y104" s="48" t="s">
        <v>74</v>
      </c>
      <c r="Z104" s="48" t="s">
        <v>80</v>
      </c>
      <c r="AA104" s="48" t="s">
        <v>80</v>
      </c>
      <c r="AB104" s="48" t="s">
        <v>80</v>
      </c>
      <c r="AC104" s="48" t="s">
        <v>80</v>
      </c>
      <c r="AD104" s="48" t="s">
        <v>80</v>
      </c>
      <c r="AE104" s="48" t="s">
        <v>80</v>
      </c>
      <c r="AF104" s="48" t="s">
        <v>83</v>
      </c>
      <c r="AG104" s="48" t="s">
        <v>84</v>
      </c>
      <c r="AH104" s="48" t="s">
        <v>80</v>
      </c>
      <c r="AI104" s="48" t="s">
        <v>80</v>
      </c>
      <c r="AJ104" s="48" t="s">
        <v>80</v>
      </c>
      <c r="AK104" s="48" t="s">
        <v>80</v>
      </c>
      <c r="AL104" s="48" t="s">
        <v>80</v>
      </c>
      <c r="AM104" t="str">
        <f>VLOOKUP($R104,武学奇术!$A:$ZZ,25,FALSE)</f>
        <v>陌刀</v>
      </c>
      <c r="AN104" s="33">
        <f>VLOOKUP($R104,武学奇术!$A:$ZZ,26,FALSE)</f>
        <v>0.945</v>
      </c>
      <c r="AO104" s="34">
        <f>VLOOKUP($R104,武学奇术!$A:$ZZ,27,FALSE)*(1+IF(OR($AM104=$F$4,$AM104=$F$5),$B$22,0))</f>
        <v>0</v>
      </c>
      <c r="AP104" s="33">
        <f>VLOOKUP($R104,武学奇术!$A:$ZZ,28,FALSE)</f>
        <v>1.4175</v>
      </c>
      <c r="AQ104" s="34">
        <f>VLOOKUP($R104,武学奇术!$A:$ZZ,29,FALSE)*(1+IF(OR($AM104=$F$4,$AM104=$F$5),$B$22,0))</f>
        <v>0</v>
      </c>
      <c r="AR104" s="33" cm="1">
        <f t="array" ref="AR104">$G$3+IFERROR(VLOOKUP($AM104,$F$4:$G$7,2,FALSE),0)+VLOOKUP($R104,武学奇术!$A:$ZZ,2,FALSE)+SUM(_xlfn.XLOOKUP($S104:$AL104,增益!$A:$A,增益!$B:$B,0))</f>
        <v>0.6143</v>
      </c>
      <c r="AS104" s="33" cm="1">
        <f t="array" ref="AS104">VLOOKUP($R104,武学奇术!$A:$ZZ,5,FALSE)+SUM(_xlfn.XLOOKUP($S104:$AL104,增益!$A:$A,增益!$E:$E,0))</f>
        <v>0</v>
      </c>
      <c r="AT104" cm="1">
        <f t="array" ref="AT104">$D$10*(1+$AS104)+VLOOKUP($R104,武学奇术!$A:$ZZ,3,FALSE)+SUM(_xlfn.XLOOKUP($S104:$AL104,增益!$A:$A,增益!$C:$C,0))-$I$2</f>
        <v>4026</v>
      </c>
      <c r="AU104" cm="1">
        <f t="array" ref="AU104">$E$10*(1+$AS104)+VLOOKUP($R104,武学奇术!$A:$ZZ,4,FALSE)+SUM(_xlfn.XLOOKUP($S104:$AL104,增益!$A:$A,增益!$D:$D,0))-$I$2</f>
        <v>4026</v>
      </c>
      <c r="AV104" s="40" cm="1">
        <f t="array" ref="AV104">IF($F$10-$I$3+VLOOKUP($R104,武学奇术!$A:$ZZ,6,FALSE)+SUM(_xlfn.XLOOKUP($S104:$AL104,增益!$A:$A,增益!$F:$F,0))&gt;0,($F$10-$I$3+VLOOKUP($R104,武学奇术!$A:$ZZ,6,FALSE)+SUM(_xlfn.XLOOKUP($S104:$AL104,增益!$A:$A,增益!$F:$F,0)))/200,($F$10-$I$3+VLOOKUP($R104,武学奇术!$A:$ZZ,6,FALSE)+SUM(_xlfn.XLOOKUP($S104:$AL104,增益!$A:$A,增益!$F:$F,0)))/100)</f>
        <v>0.3534</v>
      </c>
      <c r="AW104" s="40" cm="1">
        <f t="array" ref="AW104">$G$10+VLOOKUP($R104,武学奇术!$A:$ZZ,7,FALSE)+SUM(_xlfn.XLOOKUP($S104:$AL104,增益!$A:$A,增益!$G:$G,0))</f>
        <v>0.12</v>
      </c>
      <c r="AX104" s="33" cm="1">
        <f t="array" ref="AX104">VLOOKUP($R104,武学奇术!$A:$ZZ,8,FALSE)+SUM(_xlfn.XLOOKUP($S104:$AL104,增益!$A:$A,增益!$H:$H,0))</f>
        <v>0</v>
      </c>
      <c r="AY104">
        <f t="shared" si="15"/>
        <v>0</v>
      </c>
      <c r="AZ104">
        <f t="shared" si="16"/>
        <v>0</v>
      </c>
      <c r="BA104" s="40" cm="1">
        <f t="array" ref="BA104">IF($F$11-$I$4+VLOOKUP($R104,武学奇术!$A:$ZZ,9,FALSE)+SUM(_xlfn.XLOOKUP($S104:$AL104,增益!$A:$A,增益!$I:$I,0))&gt;0,($F$11-$I$4+VLOOKUP($R104,武学奇术!$A:$ZZ,9,FALSE)+SUM(_xlfn.XLOOKUP($S104:$AL104,增益!$A:$A,增益!$I:$I,0)))/200,($F$11-$I$4+VLOOKUP($R104,武学奇术!$A:$ZZ,9,FALSE)+SUM(_xlfn.XLOOKUP($S104:$AL104,增益!$A:$A,增益!$I:$I,0)))/100)</f>
        <v>-0.14</v>
      </c>
      <c r="BB104" s="40" cm="1">
        <f t="array" ref="BB104">$G$11+VLOOKUP($R104,武学奇术!$A:$ZZ,10,FALSE)+SUM(_xlfn.XLOOKUP($S104:$AL104,增益!$A:$A,增益!$J:$J,0))</f>
        <v>0</v>
      </c>
      <c r="BC104">
        <f t="shared" si="17"/>
        <v>640.3</v>
      </c>
      <c r="BD104">
        <f t="shared" si="18"/>
        <v>1770.1</v>
      </c>
      <c r="BE104" s="40" cm="1">
        <f t="array" ref="BE104">IF($F$12-$I$4+VLOOKUP($R104,武学奇术!$A:$ZZ,11,FALSE)+SUM(_xlfn.XLOOKUP($S104:$AL104,增益!$A:$A,增益!$K:$K,0))&gt;0,($F$12-$I$4+VLOOKUP($R104,武学奇术!$A:$ZZ,11,FALSE)+SUM(_xlfn.XLOOKUP($S104:$AL104,增益!$A:$A,增益!$K:$K,0)))/200,($F$12-$I$4+VLOOKUP($R104,武学奇术!$A:$ZZ,11,FALSE)+SUM(_xlfn.XLOOKUP($S104:$AL104,增益!$A:$A,增益!$K:$K,0)))/100)</f>
        <v>0.17</v>
      </c>
      <c r="BF104" s="40" cm="1">
        <f t="array" ref="BF104">$G$12+VLOOKUP($R104,武学奇术!$A:$ZZ,12,FALSE)+SUM(_xlfn.XLOOKUP($S104:$AL104,增益!$A:$A,增益!$L:$L,0))</f>
        <v>0.27</v>
      </c>
      <c r="BG104">
        <f t="shared" si="19"/>
        <v>0</v>
      </c>
      <c r="BH104">
        <f t="shared" si="20"/>
        <v>0</v>
      </c>
      <c r="BI104" s="40" cm="1">
        <f t="array" ref="BI104">IF($F$13-$I$4+VLOOKUP($R104,武学奇术!$A:$ZZ,13,FALSE)+SUM(_xlfn.XLOOKUP($S104:$AL104,增益!$A:$A,增益!$M:$M,0))&gt;0,($F$13-$I$4+VLOOKUP($R104,武学奇术!$A:$ZZ,13,FALSE)+SUM(_xlfn.XLOOKUP($S104:$AL104,增益!$A:$A,增益!$K:$K,0)))/200,($F$13-$I$4+VLOOKUP($R104,武学奇术!$A:$ZZ,13,FALSE)+SUM(_xlfn.XLOOKUP($S104:$AL104,增益!$A:$A,增益!$M:$M,0)))/100)</f>
        <v>-0.14</v>
      </c>
      <c r="BJ104" s="40" cm="1">
        <f t="array" ref="BJ104">$G$13+VLOOKUP($R104,武学奇术!$A:$ZZ,14,FALSE)+SUM(_xlfn.XLOOKUP($S104:$AL104,增益!$A:$A,增益!$N:$N,0))</f>
        <v>0</v>
      </c>
      <c r="BK104">
        <f t="shared" si="21"/>
        <v>0</v>
      </c>
      <c r="BL104">
        <f t="shared" si="22"/>
        <v>0</v>
      </c>
      <c r="BM104" s="40" cm="1">
        <f t="array" ref="BM104">IF($F$14-$I$4+VLOOKUP($R104,武学奇术!$A:$ZZ,15,FALSE)+SUM(_xlfn.XLOOKUP($S104:$AL104,增益!$A:$A,增益!$O:$O,0))&gt;0,($F$14-$I$4+VLOOKUP($R104,武学奇术!$A:$ZZ,15,FALSE)+SUM(_xlfn.XLOOKUP($S104:$AL104,增益!$A:$A,增益!$O:$O,0)))/200,($F$14-$I$4+VLOOKUP($R104,武学奇术!$A:$ZZ,15,FALSE)+SUM(_xlfn.XLOOKUP($S104:$AL104,增益!$A:$A,增益!$O:$O,0)))/100)</f>
        <v>-0.14</v>
      </c>
      <c r="BN104" s="40" cm="1">
        <f t="array" ref="BN104">$G$14+VLOOKUP($R104,武学奇术!$A:$ZZ,16,FALSE)+SUM(_xlfn.XLOOKUP($S104:$AL104,增益!$A:$A,增益!$P:$P,0))</f>
        <v>0</v>
      </c>
      <c r="BO104" s="33">
        <f>MIN(IF(VLOOKUP($R104,武学奇术!$A:$ZZ,23,FALSE)=1,100%,$B$8),100%)</f>
        <v>1</v>
      </c>
      <c r="BP104" s="33" cm="1">
        <f t="array" ref="BP104">IF(VLOOKUP($R104,武学奇术!$A:$ZZ,23,FALSE)=1,100%,MIN(80%,$B$9+VLOOKUP($R104,武学奇术!$A:$ZZ,17,FALSE)+SUM(_xlfn.XLOOKUP($S104:$AL104,增益!$A:$A,增益!$Q:$Q,0)))+$B$11+SUM(_xlfn.XLOOKUP($S104:$AL104,增益!$A:$A,增益!$U:$U,0)))*IF(VLOOKUP($R104,武学奇术!$A:$ZZ,24,FALSE)=1,0,1)</f>
        <v>1</v>
      </c>
      <c r="BQ104" s="33" cm="1">
        <f t="array" ref="BQ104">1+$B$13+VLOOKUP($R104,武学奇术!$A:$ZZ,18,FALSE)+SUM(_xlfn.XLOOKUP($S104:$AL104,增益!$A:$A,增益!$R:$R,0))</f>
        <v>2.1</v>
      </c>
      <c r="BR104" s="33" cm="1">
        <f t="array" ref="BR104">IF(VLOOKUP($R104,武学奇术!$A:$ZZ,24,FALSE)=1,100%,MIN(40%,$B$10+VLOOKUP($R104,武学奇术!$A:$ZZ,19,FALSE)+SUM(_xlfn.XLOOKUP($S104:$AL104,增益!$A:$A,增益!$S:$S,0)))+$B$12+SUM(_xlfn.XLOOKUP($S104:$AL104,增益!$A:$A,增益!$V:$V,0)))*IF(VLOOKUP($R104,武学奇术!$A:$ZZ,23,FALSE)=1,0,1)</f>
        <v>0</v>
      </c>
      <c r="BS104" s="33" cm="1">
        <f t="array" ref="BS104">1+$B$14+VLOOKUP($R104,武学奇术!$A:$ZZ,20,FALSE)+SUM(_xlfn.XLOOKUP($S104:$AL104,增益!$A:$A,增益!$T:$T,0))</f>
        <v>1.35</v>
      </c>
      <c r="BT104" s="33">
        <f t="shared" si="23"/>
        <v>1</v>
      </c>
      <c r="BU104" s="33">
        <f t="shared" si="24"/>
        <v>0</v>
      </c>
      <c r="BV104" s="33">
        <f>IF(VLOOKUP($R104,武学奇术!$A:$ZZ,22,FALSE)=1,0,(1-$BO104))*(1-$BR104)</f>
        <v>0</v>
      </c>
      <c r="BW104" s="33" cm="1">
        <f t="array" ref="BW104">SUM(_xlfn.XLOOKUP($S104:$AL104,增益!$A:$A,增益!$W:$W,0))+$I$5</f>
        <v>0.11</v>
      </c>
      <c r="BX104" s="33" cm="1">
        <f t="array" ref="BX104">VLOOKUP($R104,武学奇术!$A:$ZZ,32,FALSE)+SUM(_xlfn.XLOOKUP($S104:$AL104,增益!$A:$A,增益!$X:$X,0))</f>
        <v>0</v>
      </c>
    </row>
    <row r="105" spans="12:76">
      <c r="L105" s="46">
        <f t="shared" si="14"/>
        <v>375932.306079236</v>
      </c>
      <c r="M105" s="46">
        <f>((($AT105+$AU105)/2*$AN105+$AO105)*(1+$AV105)*(1+$AW105)+(($AY105+$AZ105)/2*IF($G$1="鸣金",$AP105,$AN105)+IF($G$1="鸣金",$AQ105*1.5,0))*(1+$BA105)*(1+$BB105)+(($BC105+$BD105)/2*IF($G$1="裂石",$AP105,$AN105)+IF($G$1="裂石",$AQ105*1.5,0))*(1+$BE105)*(1+$BF105)+(($BG105+$BH105)/2*IF($G$1="牵丝",$AP105,$AN105)+IF($G$1="牵丝",$AQ105*1.5,0))*(1+$BI105)*(1+$BJ105)+(($BK105+$BL105)/2*IF($G$1="破竹",$AP105,$AN105)+IF($G$1="破竹",$AQ105*1.5,0))*(1+$BM105)*(1+$BN105))*(1+$AR105)*$BQ105*$Q105*(1+IF(VLOOKUP($R105,武学奇术!$A:$ZZ,30,FALSE)="蓄力技",$B$21,0))*(1+IF(VLOOKUP($R105,武学奇术!$A:$ZZ,30,FALSE)="派生技",$B$20,0))*(1+$BW105)*(1+$BX105)</f>
        <v>375932.306079236</v>
      </c>
      <c r="N105" s="46">
        <f>(($AU105*$AN105+$AO105)*(1+$AV105)*(1+$AW105)+($AZ105*IF($G$1="鸣金",$AP105,$AN105)+IF($G$1="鸣金",$AQ105*1.5,0))*(1+$BA105)*(1+$BB105)+($BD105*IF($G$1="裂石",$AP105,$AN105)+IF($G$1="裂石",$AQ105*1.5,0))*(1+$BE105)*(1+$BF105)+($BH105*IF($G$1="牵丝",$AP105,$AN105)+IF($G$1="牵丝",$AQ105*1.5,0))*(1+$BI105)*(1+$BJ105)+($BL105*IF($G$1="破竹",$AP105,$AN105)+IF($G$1="破竹",$AQ105*1.5,0))*(1+$BM105)*(1+$BN105))*(1+$AR105)*$BS105*$Q105*(1+IF(VLOOKUP($R105,武学奇术!$A:$ZZ,30,FALSE)="蓄力技",$B$21,0))*(1+IF(VLOOKUP($R105,武学奇术!$A:$ZZ,30,FALSE)="派生技",$B$20,0))*(1+$BW105)*(1+$BX105)</f>
        <v>272108.70563652</v>
      </c>
      <c r="O105" s="46">
        <f>((($AT105+$AU105)/2*$AN105+$AO105)*(1+$AV105)*(1+$AW105)+(($AY105+$AZ105)/2*IF($G$1="鸣金",$AP105,$AN105)+IF($G$1="鸣金",$AQ105*1.5,0))*(1+$BA105)*(1+$BB105)+(($BC105+$BD105)/2*IF($G$1="裂石",$AP105,$AN105)+IF($G$1="裂石",$AQ105*1.5,0))*(1+$BE105)*(1+$BF105)+(($BG105+$BH105)/2*IF($G$1="牵丝",$AP105,$AN105)+IF($G$1="牵丝",$AQ105*1.5,0))*(1+$BI105)*(1+$BJ105)+(($BK105+$BL105)/2*IF($G$1="破竹",$AP105,$AN105)+IF($G$1="破竹",$AQ105*1.5,0))*(1+$BM105)*(1+$BN105))*(1+$AR105)*$Q105*(1+IF(VLOOKUP($R105,武学奇术!$A:$ZZ,30,FALSE)="蓄力技",$B$21,0))*(1+IF(VLOOKUP($R105,武学奇术!$A:$ZZ,30,FALSE)="派生技",$B$20,0))*(1+$BW105)*(1+$BX105)</f>
        <v>179015.383847255</v>
      </c>
      <c r="P105" s="46">
        <f>((($AT105*$AN105+$AO105)*(1+$AV105)*(1+$AW105)+($AY105*IF($G$1="鸣金",$AP105,$AN105)+IF($G$1="鸣金",$AQ105*1.5,0))*(1+$BA105)*(1+$BB105)+($BC105*IF($G$1="裂石",$AP105,$AN105)+IF($G$1="裂石",$AQ105*1.5,0))*(1+$BE105)*(1+$BF105)+($BG105*IF($G$1="牵丝",$AP105,$AN105)+IF($G$1="牵丝",$AQ105*1.5,0))*(1+$BI105)*(1+$BJ105)+($BK105*IF($G$1="破竹",$AP105,$AN105)+IF($G$1="破竹",$AQ105*1.5,0))*(1+$BM105)*(1+$BN105))*(1+$AR105))*$Q105*(1+IF(VLOOKUP($R105,武学奇术!$A:$ZZ,30,FALSE)="蓄力技",$B$21,0))*(1+IF(VLOOKUP($R105,武学奇术!$A:$ZZ,30,FALSE)="派生技",$B$20,0))*(1+$BW105)*(1+$BX105)</f>
        <v>156468.76351931</v>
      </c>
      <c r="Q105" s="47">
        <f t="shared" si="29"/>
        <v>1</v>
      </c>
      <c r="R105" s="48" t="s">
        <v>148</v>
      </c>
      <c r="S105" s="48" t="s">
        <v>99</v>
      </c>
      <c r="T105" s="48" t="s">
        <v>182</v>
      </c>
      <c r="U105" s="48" t="s">
        <v>79</v>
      </c>
      <c r="V105" s="48" t="s">
        <v>90</v>
      </c>
      <c r="W105" s="48" t="s">
        <v>141</v>
      </c>
      <c r="X105" s="48" t="s">
        <v>145</v>
      </c>
      <c r="Y105" s="48" t="s">
        <v>74</v>
      </c>
      <c r="Z105" s="48" t="s">
        <v>80</v>
      </c>
      <c r="AA105" s="48" t="s">
        <v>80</v>
      </c>
      <c r="AB105" s="48" t="s">
        <v>80</v>
      </c>
      <c r="AC105" s="48" t="s">
        <v>80</v>
      </c>
      <c r="AD105" s="48" t="s">
        <v>80</v>
      </c>
      <c r="AE105" s="48" t="s">
        <v>80</v>
      </c>
      <c r="AF105" s="48" t="s">
        <v>83</v>
      </c>
      <c r="AG105" s="48" t="s">
        <v>84</v>
      </c>
      <c r="AH105" s="48" t="s">
        <v>80</v>
      </c>
      <c r="AI105" s="48" t="s">
        <v>80</v>
      </c>
      <c r="AJ105" s="48" t="s">
        <v>80</v>
      </c>
      <c r="AK105" s="48" t="s">
        <v>80</v>
      </c>
      <c r="AL105" s="48" t="s">
        <v>80</v>
      </c>
      <c r="AM105" t="str">
        <f>VLOOKUP($R105,武学奇术!$A:$ZZ,25,FALSE)</f>
        <v>陌刀</v>
      </c>
      <c r="AN105" s="33">
        <f>VLOOKUP($R105,武学奇术!$A:$ZZ,26,FALSE)</f>
        <v>7.5674</v>
      </c>
      <c r="AO105" s="34">
        <f>VLOOKUP($R105,武学奇术!$A:$ZZ,27,FALSE)*(1+IF(OR($AM105=$F$4,$AM105=$F$5),$B$22,0))</f>
        <v>3348.8</v>
      </c>
      <c r="AP105" s="33">
        <f>VLOOKUP($R105,武学奇术!$A:$ZZ,28,FALSE)</f>
        <v>11.3512</v>
      </c>
      <c r="AQ105" s="34">
        <f>VLOOKUP($R105,武学奇术!$A:$ZZ,29,FALSE)*(1+IF(OR($AM105=$F$4,$AM105=$F$5),$B$22,0))</f>
        <v>1824</v>
      </c>
      <c r="AR105" s="33" cm="1">
        <f t="array" ref="AR105">$G$3+IFERROR(VLOOKUP($AM105,$F$4:$G$7,2,FALSE),0)+VLOOKUP($R105,武学奇术!$A:$ZZ,2,FALSE)+SUM(_xlfn.XLOOKUP($S105:$AL105,增益!$A:$A,增益!$B:$B,0))</f>
        <v>0.6143</v>
      </c>
      <c r="AS105" s="33" cm="1">
        <f t="array" ref="AS105">VLOOKUP($R105,武学奇术!$A:$ZZ,5,FALSE)+SUM(_xlfn.XLOOKUP($S105:$AL105,增益!$A:$A,增益!$E:$E,0))</f>
        <v>0</v>
      </c>
      <c r="AT105" cm="1">
        <f t="array" ref="AT105">$D$10*(1+$AS105)+VLOOKUP($R105,武学奇术!$A:$ZZ,3,FALSE)+SUM(_xlfn.XLOOKUP($S105:$AL105,增益!$A:$A,增益!$C:$C,0))-$I$2</f>
        <v>4026</v>
      </c>
      <c r="AU105" cm="1">
        <f t="array" ref="AU105">$E$10*(1+$AS105)+VLOOKUP($R105,武学奇术!$A:$ZZ,4,FALSE)+SUM(_xlfn.XLOOKUP($S105:$AL105,增益!$A:$A,增益!$D:$D,0))-$I$2</f>
        <v>4026</v>
      </c>
      <c r="AV105" s="40" cm="1">
        <f t="array" ref="AV105">IF($F$10-$I$3+VLOOKUP($R105,武学奇术!$A:$ZZ,6,FALSE)+SUM(_xlfn.XLOOKUP($S105:$AL105,增益!$A:$A,增益!$F:$F,0))&gt;0,($F$10-$I$3+VLOOKUP($R105,武学奇术!$A:$ZZ,6,FALSE)+SUM(_xlfn.XLOOKUP($S105:$AL105,增益!$A:$A,增益!$F:$F,0)))/200,($F$10-$I$3+VLOOKUP($R105,武学奇术!$A:$ZZ,6,FALSE)+SUM(_xlfn.XLOOKUP($S105:$AL105,增益!$A:$A,增益!$F:$F,0)))/100)</f>
        <v>0.3534</v>
      </c>
      <c r="AW105" s="40" cm="1">
        <f t="array" ref="AW105">$G$10+VLOOKUP($R105,武学奇术!$A:$ZZ,7,FALSE)+SUM(_xlfn.XLOOKUP($S105:$AL105,增益!$A:$A,增益!$G:$G,0))</f>
        <v>0.12</v>
      </c>
      <c r="AX105" s="33" cm="1">
        <f t="array" ref="AX105">VLOOKUP($R105,武学奇术!$A:$ZZ,8,FALSE)+SUM(_xlfn.XLOOKUP($S105:$AL105,增益!$A:$A,增益!$H:$H,0))</f>
        <v>0</v>
      </c>
      <c r="AY105">
        <f t="shared" si="15"/>
        <v>0</v>
      </c>
      <c r="AZ105">
        <f t="shared" si="16"/>
        <v>0</v>
      </c>
      <c r="BA105" s="40" cm="1">
        <f t="array" ref="BA105">IF($F$11-$I$4+VLOOKUP($R105,武学奇术!$A:$ZZ,9,FALSE)+SUM(_xlfn.XLOOKUP($S105:$AL105,增益!$A:$A,增益!$I:$I,0))&gt;0,($F$11-$I$4+VLOOKUP($R105,武学奇术!$A:$ZZ,9,FALSE)+SUM(_xlfn.XLOOKUP($S105:$AL105,增益!$A:$A,增益!$I:$I,0)))/200,($F$11-$I$4+VLOOKUP($R105,武学奇术!$A:$ZZ,9,FALSE)+SUM(_xlfn.XLOOKUP($S105:$AL105,增益!$A:$A,增益!$I:$I,0)))/100)</f>
        <v>-0.14</v>
      </c>
      <c r="BB105" s="40" cm="1">
        <f t="array" ref="BB105">$G$11+VLOOKUP($R105,武学奇术!$A:$ZZ,10,FALSE)+SUM(_xlfn.XLOOKUP($S105:$AL105,增益!$A:$A,增益!$J:$J,0))</f>
        <v>0</v>
      </c>
      <c r="BC105">
        <f t="shared" si="17"/>
        <v>640.3</v>
      </c>
      <c r="BD105">
        <f t="shared" si="18"/>
        <v>1770.1</v>
      </c>
      <c r="BE105" s="40" cm="1">
        <f t="array" ref="BE105">IF($F$12-$I$4+VLOOKUP($R105,武学奇术!$A:$ZZ,11,FALSE)+SUM(_xlfn.XLOOKUP($S105:$AL105,增益!$A:$A,增益!$K:$K,0))&gt;0,($F$12-$I$4+VLOOKUP($R105,武学奇术!$A:$ZZ,11,FALSE)+SUM(_xlfn.XLOOKUP($S105:$AL105,增益!$A:$A,增益!$K:$K,0)))/200,($F$12-$I$4+VLOOKUP($R105,武学奇术!$A:$ZZ,11,FALSE)+SUM(_xlfn.XLOOKUP($S105:$AL105,增益!$A:$A,增益!$K:$K,0)))/100)</f>
        <v>0.17</v>
      </c>
      <c r="BF105" s="40" cm="1">
        <f t="array" ref="BF105">$G$12+VLOOKUP($R105,武学奇术!$A:$ZZ,12,FALSE)+SUM(_xlfn.XLOOKUP($S105:$AL105,增益!$A:$A,增益!$L:$L,0))</f>
        <v>0.27</v>
      </c>
      <c r="BG105">
        <f t="shared" si="19"/>
        <v>0</v>
      </c>
      <c r="BH105">
        <f t="shared" si="20"/>
        <v>0</v>
      </c>
      <c r="BI105" s="40" cm="1">
        <f t="array" ref="BI105">IF($F$13-$I$4+VLOOKUP($R105,武学奇术!$A:$ZZ,13,FALSE)+SUM(_xlfn.XLOOKUP($S105:$AL105,增益!$A:$A,增益!$M:$M,0))&gt;0,($F$13-$I$4+VLOOKUP($R105,武学奇术!$A:$ZZ,13,FALSE)+SUM(_xlfn.XLOOKUP($S105:$AL105,增益!$A:$A,增益!$K:$K,0)))/200,($F$13-$I$4+VLOOKUP($R105,武学奇术!$A:$ZZ,13,FALSE)+SUM(_xlfn.XLOOKUP($S105:$AL105,增益!$A:$A,增益!$M:$M,0)))/100)</f>
        <v>-0.14</v>
      </c>
      <c r="BJ105" s="40" cm="1">
        <f t="array" ref="BJ105">$G$13+VLOOKUP($R105,武学奇术!$A:$ZZ,14,FALSE)+SUM(_xlfn.XLOOKUP($S105:$AL105,增益!$A:$A,增益!$N:$N,0))</f>
        <v>0</v>
      </c>
      <c r="BK105">
        <f t="shared" si="21"/>
        <v>0</v>
      </c>
      <c r="BL105">
        <f t="shared" si="22"/>
        <v>0</v>
      </c>
      <c r="BM105" s="40" cm="1">
        <f t="array" ref="BM105">IF($F$14-$I$4+VLOOKUP($R105,武学奇术!$A:$ZZ,15,FALSE)+SUM(_xlfn.XLOOKUP($S105:$AL105,增益!$A:$A,增益!$O:$O,0))&gt;0,($F$14-$I$4+VLOOKUP($R105,武学奇术!$A:$ZZ,15,FALSE)+SUM(_xlfn.XLOOKUP($S105:$AL105,增益!$A:$A,增益!$O:$O,0)))/200,($F$14-$I$4+VLOOKUP($R105,武学奇术!$A:$ZZ,15,FALSE)+SUM(_xlfn.XLOOKUP($S105:$AL105,增益!$A:$A,增益!$O:$O,0)))/100)</f>
        <v>-0.14</v>
      </c>
      <c r="BN105" s="40" cm="1">
        <f t="array" ref="BN105">$G$14+VLOOKUP($R105,武学奇术!$A:$ZZ,16,FALSE)+SUM(_xlfn.XLOOKUP($S105:$AL105,增益!$A:$A,增益!$P:$P,0))</f>
        <v>0</v>
      </c>
      <c r="BO105" s="33">
        <f>MIN(IF(VLOOKUP($R105,武学奇术!$A:$ZZ,23,FALSE)=1,100%,$B$8),100%)</f>
        <v>1</v>
      </c>
      <c r="BP105" s="33" cm="1">
        <f t="array" ref="BP105">IF(VLOOKUP($R105,武学奇术!$A:$ZZ,23,FALSE)=1,100%,MIN(80%,$B$9+VLOOKUP($R105,武学奇术!$A:$ZZ,17,FALSE)+SUM(_xlfn.XLOOKUP($S105:$AL105,增益!$A:$A,增益!$Q:$Q,0)))+$B$11+SUM(_xlfn.XLOOKUP($S105:$AL105,增益!$A:$A,增益!$U:$U,0)))*IF(VLOOKUP($R105,武学奇术!$A:$ZZ,24,FALSE)=1,0,1)</f>
        <v>1</v>
      </c>
      <c r="BQ105" s="33" cm="1">
        <f t="array" ref="BQ105">1+$B$13+VLOOKUP($R105,武学奇术!$A:$ZZ,18,FALSE)+SUM(_xlfn.XLOOKUP($S105:$AL105,增益!$A:$A,增益!$R:$R,0))</f>
        <v>2.1</v>
      </c>
      <c r="BR105" s="33" cm="1">
        <f t="array" ref="BR105">IF(VLOOKUP($R105,武学奇术!$A:$ZZ,24,FALSE)=1,100%,MIN(40%,$B$10+VLOOKUP($R105,武学奇术!$A:$ZZ,19,FALSE)+SUM(_xlfn.XLOOKUP($S105:$AL105,增益!$A:$A,增益!$S:$S,0)))+$B$12+SUM(_xlfn.XLOOKUP($S105:$AL105,增益!$A:$A,增益!$V:$V,0)))*IF(VLOOKUP($R105,武学奇术!$A:$ZZ,23,FALSE)=1,0,1)</f>
        <v>0</v>
      </c>
      <c r="BS105" s="33" cm="1">
        <f t="array" ref="BS105">1+$B$14+VLOOKUP($R105,武学奇术!$A:$ZZ,20,FALSE)+SUM(_xlfn.XLOOKUP($S105:$AL105,增益!$A:$A,增益!$T:$T,0))</f>
        <v>1.35</v>
      </c>
      <c r="BT105" s="33">
        <f t="shared" si="23"/>
        <v>1</v>
      </c>
      <c r="BU105" s="33">
        <f t="shared" si="24"/>
        <v>0</v>
      </c>
      <c r="BV105" s="33">
        <f>IF(VLOOKUP($R105,武学奇术!$A:$ZZ,22,FALSE)=1,0,(1-$BO105))*(1-$BR105)</f>
        <v>0</v>
      </c>
      <c r="BW105" s="33" cm="1">
        <f t="array" ref="BW105">SUM(_xlfn.XLOOKUP($S105:$AL105,增益!$A:$A,增益!$W:$W,0))+$I$5</f>
        <v>0.11</v>
      </c>
      <c r="BX105" s="33" cm="1">
        <f t="array" ref="BX105">VLOOKUP($R105,武学奇术!$A:$ZZ,32,FALSE)+SUM(_xlfn.XLOOKUP($S105:$AL105,增益!$A:$A,增益!$X:$X,0))</f>
        <v>0</v>
      </c>
    </row>
    <row r="106" spans="12:76">
      <c r="L106" s="46">
        <f t="shared" si="14"/>
        <v>45858.4439474923</v>
      </c>
      <c r="M106" s="46">
        <f>((($AT106+$AU106)/2*$AN106+$AO106)*(1+$AV106)*(1+$AW106)+(($AY106+$AZ106)/2*IF($G$1="鸣金",$AP106,$AN106)+IF($G$1="鸣金",$AQ106*1.5,0))*(1+$BA106)*(1+$BB106)+(($BC106+$BD106)/2*IF($G$1="裂石",$AP106,$AN106)+IF($G$1="裂石",$AQ106*1.5,0))*(1+$BE106)*(1+$BF106)+(($BG106+$BH106)/2*IF($G$1="牵丝",$AP106,$AN106)+IF($G$1="牵丝",$AQ106*1.5,0))*(1+$BI106)*(1+$BJ106)+(($BK106+$BL106)/2*IF($G$1="破竹",$AP106,$AN106)+IF($G$1="破竹",$AQ106*1.5,0))*(1+$BM106)*(1+$BN106))*(1+$AR106)*$BQ106*$Q106*(1+IF(VLOOKUP($R106,武学奇术!$A:$ZZ,30,FALSE)="蓄力技",$B$21,0))*(1+IF(VLOOKUP($R106,武学奇术!$A:$ZZ,30,FALSE)="派生技",$B$20,0))*(1+$BW106)*(1+$BX106)</f>
        <v>45858.4439474923</v>
      </c>
      <c r="N106" s="46">
        <f>(($AU106*$AN106+$AO106)*(1+$AV106)*(1+$AW106)+($AZ106*IF($G$1="鸣金",$AP106,$AN106)+IF($G$1="鸣金",$AQ106*1.5,0))*(1+$BA106)*(1+$BB106)+($BD106*IF($G$1="裂石",$AP106,$AN106)+IF($G$1="裂石",$AQ106*1.5,0))*(1+$BE106)*(1+$BF106)+($BH106*IF($G$1="牵丝",$AP106,$AN106)+IF($G$1="牵丝",$AQ106*1.5,0))*(1+$BI106)*(1+$BJ106)+($BL106*IF($G$1="破竹",$AP106,$AN106)+IF($G$1="破竹",$AQ106*1.5,0))*(1+$BM106)*(1+$BN106))*(1+$AR106)*$BS106*$Q106*(1+IF(VLOOKUP($R106,武学奇术!$A:$ZZ,30,FALSE)="蓄力技",$B$21,0))*(1+IF(VLOOKUP($R106,武学奇术!$A:$ZZ,30,FALSE)="派生技",$B$20,0))*(1+$BW106)*(1+$BX106)</f>
        <v>33703.7483830726</v>
      </c>
      <c r="O106" s="46">
        <f>((($AT106+$AU106)/2*$AN106+$AO106)*(1+$AV106)*(1+$AW106)+(($AY106+$AZ106)/2*IF($G$1="鸣金",$AP106,$AN106)+IF($G$1="鸣金",$AQ106*1.5,0))*(1+$BA106)*(1+$BB106)+(($BC106+$BD106)/2*IF($G$1="裂石",$AP106,$AN106)+IF($G$1="裂石",$AQ106*1.5,0))*(1+$BE106)*(1+$BF106)+(($BG106+$BH106)/2*IF($G$1="牵丝",$AP106,$AN106)+IF($G$1="牵丝",$AQ106*1.5,0))*(1+$BI106)*(1+$BJ106)+(($BK106+$BL106)/2*IF($G$1="破竹",$AP106,$AN106)+IF($G$1="破竹",$AQ106*1.5,0))*(1+$BM106)*(1+$BN106))*(1+$AR106)*$Q106*(1+IF(VLOOKUP($R106,武学奇术!$A:$ZZ,30,FALSE)="蓄力技",$B$21,0))*(1+IF(VLOOKUP($R106,武学奇术!$A:$ZZ,30,FALSE)="派生技",$B$20,0))*(1+$BW106)*(1+$BX106)</f>
        <v>21837.3542607106</v>
      </c>
      <c r="P106" s="46">
        <f>((($AT106*$AN106+$AO106)*(1+$AV106)*(1+$AW106)+($AY106*IF($G$1="鸣金",$AP106,$AN106)+IF($G$1="鸣金",$AQ106*1.5,0))*(1+$BA106)*(1+$BB106)+($BC106*IF($G$1="裂石",$AP106,$AN106)+IF($G$1="裂石",$AQ106*1.5,0))*(1+$BE106)*(1+$BF106)+($BG106*IF($G$1="牵丝",$AP106,$AN106)+IF($G$1="牵丝",$AQ106*1.5,0))*(1+$BI106)*(1+$BJ106)+($BK106*IF($G$1="破竹",$AP106,$AN106)+IF($G$1="破竹",$AQ106*1.5,0))*(1+$BM106)*(1+$BN106))*(1+$AR106))*$Q106*(1+IF(VLOOKUP($R106,武学奇术!$A:$ZZ,30,FALSE)="蓄力技",$B$21,0))*(1+IF(VLOOKUP($R106,武学奇术!$A:$ZZ,30,FALSE)="派生技",$B$20,0))*(1+$BW106)*(1+$BX106)</f>
        <v>18708.9689784045</v>
      </c>
      <c r="Q106" s="47">
        <f t="shared" ref="Q106:Q108" si="30">IF($E$24="陌刀",2,0)</f>
        <v>2</v>
      </c>
      <c r="R106" s="48" t="s">
        <v>154</v>
      </c>
      <c r="S106" s="48" t="s">
        <v>99</v>
      </c>
      <c r="T106" s="48" t="s">
        <v>182</v>
      </c>
      <c r="U106" s="48" t="s">
        <v>79</v>
      </c>
      <c r="V106" s="48" t="s">
        <v>90</v>
      </c>
      <c r="W106" s="48" t="s">
        <v>141</v>
      </c>
      <c r="X106" s="48" t="s">
        <v>145</v>
      </c>
      <c r="Y106" s="48" t="s">
        <v>74</v>
      </c>
      <c r="Z106" s="48" t="s">
        <v>80</v>
      </c>
      <c r="AA106" s="48" t="s">
        <v>80</v>
      </c>
      <c r="AB106" s="48" t="s">
        <v>80</v>
      </c>
      <c r="AC106" s="48" t="s">
        <v>80</v>
      </c>
      <c r="AD106" s="48" t="s">
        <v>80</v>
      </c>
      <c r="AE106" s="48" t="s">
        <v>80</v>
      </c>
      <c r="AF106" s="48" t="s">
        <v>83</v>
      </c>
      <c r="AG106" s="48" t="s">
        <v>84</v>
      </c>
      <c r="AH106" s="48" t="s">
        <v>80</v>
      </c>
      <c r="AI106" s="48" t="s">
        <v>80</v>
      </c>
      <c r="AJ106" s="48" t="s">
        <v>80</v>
      </c>
      <c r="AK106" s="48" t="s">
        <v>80</v>
      </c>
      <c r="AL106" s="48" t="s">
        <v>80</v>
      </c>
      <c r="AM106" t="str">
        <f>VLOOKUP($R106,武学奇术!$A:$ZZ,25,FALSE)</f>
        <v>陌刀</v>
      </c>
      <c r="AN106" s="33">
        <f>VLOOKUP($R106,武学奇术!$A:$ZZ,26,FALSE)</f>
        <v>0.525</v>
      </c>
      <c r="AO106" s="34">
        <f>VLOOKUP($R106,武学奇术!$A:$ZZ,27,FALSE)*(1+IF(OR($AM106=$F$4,$AM106=$F$5),$B$22,0))</f>
        <v>0</v>
      </c>
      <c r="AP106" s="33">
        <f>VLOOKUP($R106,武学奇术!$A:$ZZ,28,FALSE)</f>
        <v>0.7875</v>
      </c>
      <c r="AQ106" s="34">
        <f>VLOOKUP($R106,武学奇术!$A:$ZZ,29,FALSE)*(1+IF(OR($AM106=$F$4,$AM106=$F$5),$B$22,0))</f>
        <v>0</v>
      </c>
      <c r="AR106" s="33" cm="1">
        <f t="array" ref="AR106">$G$3+IFERROR(VLOOKUP($AM106,$F$4:$G$7,2,FALSE),0)+VLOOKUP($R106,武学奇术!$A:$ZZ,2,FALSE)+SUM(_xlfn.XLOOKUP($S106:$AL106,增益!$A:$A,增益!$B:$B,0))</f>
        <v>0.6143</v>
      </c>
      <c r="AS106" s="33" cm="1">
        <f t="array" ref="AS106">VLOOKUP($R106,武学奇术!$A:$ZZ,5,FALSE)+SUM(_xlfn.XLOOKUP($S106:$AL106,增益!$A:$A,增益!$E:$E,0))</f>
        <v>0</v>
      </c>
      <c r="AT106" cm="1">
        <f t="array" ref="AT106">$D$10*(1+$AS106)+VLOOKUP($R106,武学奇术!$A:$ZZ,3,FALSE)+SUM(_xlfn.XLOOKUP($S106:$AL106,增益!$A:$A,增益!$C:$C,0))-$I$2</f>
        <v>4026</v>
      </c>
      <c r="AU106" cm="1">
        <f t="array" ref="AU106">$E$10*(1+$AS106)+VLOOKUP($R106,武学奇术!$A:$ZZ,4,FALSE)+SUM(_xlfn.XLOOKUP($S106:$AL106,增益!$A:$A,增益!$D:$D,0))-$I$2</f>
        <v>4026</v>
      </c>
      <c r="AV106" s="40" cm="1">
        <f t="array" ref="AV106">IF($F$10-$I$3+VLOOKUP($R106,武学奇术!$A:$ZZ,6,FALSE)+SUM(_xlfn.XLOOKUP($S106:$AL106,增益!$A:$A,增益!$F:$F,0))&gt;0,($F$10-$I$3+VLOOKUP($R106,武学奇术!$A:$ZZ,6,FALSE)+SUM(_xlfn.XLOOKUP($S106:$AL106,增益!$A:$A,增益!$F:$F,0)))/200,($F$10-$I$3+VLOOKUP($R106,武学奇术!$A:$ZZ,6,FALSE)+SUM(_xlfn.XLOOKUP($S106:$AL106,增益!$A:$A,增益!$F:$F,0)))/100)</f>
        <v>0.3534</v>
      </c>
      <c r="AW106" s="40" cm="1">
        <f t="array" ref="AW106">$G$10+VLOOKUP($R106,武学奇术!$A:$ZZ,7,FALSE)+SUM(_xlfn.XLOOKUP($S106:$AL106,增益!$A:$A,增益!$G:$G,0))</f>
        <v>0.12</v>
      </c>
      <c r="AX106" s="33" cm="1">
        <f t="array" ref="AX106">VLOOKUP($R106,武学奇术!$A:$ZZ,8,FALSE)+SUM(_xlfn.XLOOKUP($S106:$AL106,增益!$A:$A,增益!$H:$H,0))</f>
        <v>0</v>
      </c>
      <c r="AY106">
        <f t="shared" si="15"/>
        <v>0</v>
      </c>
      <c r="AZ106">
        <f t="shared" si="16"/>
        <v>0</v>
      </c>
      <c r="BA106" s="40" cm="1">
        <f t="array" ref="BA106">IF($F$11-$I$4+VLOOKUP($R106,武学奇术!$A:$ZZ,9,FALSE)+SUM(_xlfn.XLOOKUP($S106:$AL106,增益!$A:$A,增益!$I:$I,0))&gt;0,($F$11-$I$4+VLOOKUP($R106,武学奇术!$A:$ZZ,9,FALSE)+SUM(_xlfn.XLOOKUP($S106:$AL106,增益!$A:$A,增益!$I:$I,0)))/200,($F$11-$I$4+VLOOKUP($R106,武学奇术!$A:$ZZ,9,FALSE)+SUM(_xlfn.XLOOKUP($S106:$AL106,增益!$A:$A,增益!$I:$I,0)))/100)</f>
        <v>-0.14</v>
      </c>
      <c r="BB106" s="40" cm="1">
        <f t="array" ref="BB106">$G$11+VLOOKUP($R106,武学奇术!$A:$ZZ,10,FALSE)+SUM(_xlfn.XLOOKUP($S106:$AL106,增益!$A:$A,增益!$J:$J,0))</f>
        <v>0</v>
      </c>
      <c r="BC106">
        <f t="shared" si="17"/>
        <v>640.3</v>
      </c>
      <c r="BD106">
        <f t="shared" si="18"/>
        <v>1770.1</v>
      </c>
      <c r="BE106" s="40" cm="1">
        <f t="array" ref="BE106">IF($F$12-$I$4+VLOOKUP($R106,武学奇术!$A:$ZZ,11,FALSE)+SUM(_xlfn.XLOOKUP($S106:$AL106,增益!$A:$A,增益!$K:$K,0))&gt;0,($F$12-$I$4+VLOOKUP($R106,武学奇术!$A:$ZZ,11,FALSE)+SUM(_xlfn.XLOOKUP($S106:$AL106,增益!$A:$A,增益!$K:$K,0)))/200,($F$12-$I$4+VLOOKUP($R106,武学奇术!$A:$ZZ,11,FALSE)+SUM(_xlfn.XLOOKUP($S106:$AL106,增益!$A:$A,增益!$K:$K,0)))/100)</f>
        <v>0.17</v>
      </c>
      <c r="BF106" s="40" cm="1">
        <f t="array" ref="BF106">$G$12+VLOOKUP($R106,武学奇术!$A:$ZZ,12,FALSE)+SUM(_xlfn.XLOOKUP($S106:$AL106,增益!$A:$A,增益!$L:$L,0))</f>
        <v>0.27</v>
      </c>
      <c r="BG106">
        <f t="shared" si="19"/>
        <v>0</v>
      </c>
      <c r="BH106">
        <f t="shared" si="20"/>
        <v>0</v>
      </c>
      <c r="BI106" s="40" cm="1">
        <f t="array" ref="BI106">IF($F$13-$I$4+VLOOKUP($R106,武学奇术!$A:$ZZ,13,FALSE)+SUM(_xlfn.XLOOKUP($S106:$AL106,增益!$A:$A,增益!$M:$M,0))&gt;0,($F$13-$I$4+VLOOKUP($R106,武学奇术!$A:$ZZ,13,FALSE)+SUM(_xlfn.XLOOKUP($S106:$AL106,增益!$A:$A,增益!$K:$K,0)))/200,($F$13-$I$4+VLOOKUP($R106,武学奇术!$A:$ZZ,13,FALSE)+SUM(_xlfn.XLOOKUP($S106:$AL106,增益!$A:$A,增益!$M:$M,0)))/100)</f>
        <v>-0.14</v>
      </c>
      <c r="BJ106" s="40" cm="1">
        <f t="array" ref="BJ106">$G$13+VLOOKUP($R106,武学奇术!$A:$ZZ,14,FALSE)+SUM(_xlfn.XLOOKUP($S106:$AL106,增益!$A:$A,增益!$N:$N,0))</f>
        <v>0</v>
      </c>
      <c r="BK106">
        <f t="shared" si="21"/>
        <v>0</v>
      </c>
      <c r="BL106">
        <f t="shared" si="22"/>
        <v>0</v>
      </c>
      <c r="BM106" s="40" cm="1">
        <f t="array" ref="BM106">IF($F$14-$I$4+VLOOKUP($R106,武学奇术!$A:$ZZ,15,FALSE)+SUM(_xlfn.XLOOKUP($S106:$AL106,增益!$A:$A,增益!$O:$O,0))&gt;0,($F$14-$I$4+VLOOKUP($R106,武学奇术!$A:$ZZ,15,FALSE)+SUM(_xlfn.XLOOKUP($S106:$AL106,增益!$A:$A,增益!$O:$O,0)))/200,($F$14-$I$4+VLOOKUP($R106,武学奇术!$A:$ZZ,15,FALSE)+SUM(_xlfn.XLOOKUP($S106:$AL106,增益!$A:$A,增益!$O:$O,0)))/100)</f>
        <v>-0.14</v>
      </c>
      <c r="BN106" s="40" cm="1">
        <f t="array" ref="BN106">$G$14+VLOOKUP($R106,武学奇术!$A:$ZZ,16,FALSE)+SUM(_xlfn.XLOOKUP($S106:$AL106,增益!$A:$A,增益!$P:$P,0))</f>
        <v>0</v>
      </c>
      <c r="BO106" s="33">
        <f>MIN(IF(VLOOKUP($R106,武学奇术!$A:$ZZ,23,FALSE)=1,100%,$B$8),100%)</f>
        <v>1</v>
      </c>
      <c r="BP106" s="33" cm="1">
        <f t="array" ref="BP106">IF(VLOOKUP($R106,武学奇术!$A:$ZZ,23,FALSE)=1,100%,MIN(80%,$B$9+VLOOKUP($R106,武学奇术!$A:$ZZ,17,FALSE)+SUM(_xlfn.XLOOKUP($S106:$AL106,增益!$A:$A,增益!$Q:$Q,0)))+$B$11+SUM(_xlfn.XLOOKUP($S106:$AL106,增益!$A:$A,增益!$U:$U,0)))*IF(VLOOKUP($R106,武学奇术!$A:$ZZ,24,FALSE)=1,0,1)</f>
        <v>1</v>
      </c>
      <c r="BQ106" s="33" cm="1">
        <f t="array" ref="BQ106">1+$B$13+VLOOKUP($R106,武学奇术!$A:$ZZ,18,FALSE)+SUM(_xlfn.XLOOKUP($S106:$AL106,增益!$A:$A,增益!$R:$R,0))</f>
        <v>2.1</v>
      </c>
      <c r="BR106" s="33" cm="1">
        <f t="array" ref="BR106">IF(VLOOKUP($R106,武学奇术!$A:$ZZ,24,FALSE)=1,100%,MIN(40%,$B$10+VLOOKUP($R106,武学奇术!$A:$ZZ,19,FALSE)+SUM(_xlfn.XLOOKUP($S106:$AL106,增益!$A:$A,增益!$S:$S,0)))+$B$12+SUM(_xlfn.XLOOKUP($S106:$AL106,增益!$A:$A,增益!$V:$V,0)))*IF(VLOOKUP($R106,武学奇术!$A:$ZZ,23,FALSE)=1,0,1)</f>
        <v>0</v>
      </c>
      <c r="BS106" s="33" cm="1">
        <f t="array" ref="BS106">1+$B$14+VLOOKUP($R106,武学奇术!$A:$ZZ,20,FALSE)+SUM(_xlfn.XLOOKUP($S106:$AL106,增益!$A:$A,增益!$T:$T,0))</f>
        <v>1.35</v>
      </c>
      <c r="BT106" s="33">
        <f t="shared" si="23"/>
        <v>1</v>
      </c>
      <c r="BU106" s="33">
        <f t="shared" si="24"/>
        <v>0</v>
      </c>
      <c r="BV106" s="33">
        <f>IF(VLOOKUP($R106,武学奇术!$A:$ZZ,22,FALSE)=1,0,(1-$BO106))*(1-$BR106)</f>
        <v>0</v>
      </c>
      <c r="BW106" s="33" cm="1">
        <f t="array" ref="BW106">SUM(_xlfn.XLOOKUP($S106:$AL106,增益!$A:$A,增益!$W:$W,0))+$I$5</f>
        <v>0.11</v>
      </c>
      <c r="BX106" s="33" cm="1">
        <f t="array" ref="BX106">VLOOKUP($R106,武学奇术!$A:$ZZ,32,FALSE)+SUM(_xlfn.XLOOKUP($S106:$AL106,增益!$A:$A,增益!$X:$X,0))</f>
        <v>0</v>
      </c>
    </row>
    <row r="107" spans="12:76">
      <c r="L107" s="46">
        <f t="shared" si="14"/>
        <v>82545.1991054861</v>
      </c>
      <c r="M107" s="46">
        <f>((($AT107+$AU107)/2*$AN107+$AO107)*(1+$AV107)*(1+$AW107)+(($AY107+$AZ107)/2*IF($G$1="鸣金",$AP107,$AN107)+IF($G$1="鸣金",$AQ107*1.5,0))*(1+$BA107)*(1+$BB107)+(($BC107+$BD107)/2*IF($G$1="裂石",$AP107,$AN107)+IF($G$1="裂石",$AQ107*1.5,0))*(1+$BE107)*(1+$BF107)+(($BG107+$BH107)/2*IF($G$1="牵丝",$AP107,$AN107)+IF($G$1="牵丝",$AQ107*1.5,0))*(1+$BI107)*(1+$BJ107)+(($BK107+$BL107)/2*IF($G$1="破竹",$AP107,$AN107)+IF($G$1="破竹",$AQ107*1.5,0))*(1+$BM107)*(1+$BN107))*(1+$AR107)*$BQ107*$Q107*(1+IF(VLOOKUP($R107,武学奇术!$A:$ZZ,30,FALSE)="蓄力技",$B$21,0))*(1+IF(VLOOKUP($R107,武学奇术!$A:$ZZ,30,FALSE)="派生技",$B$20,0))*(1+$BW107)*(1+$BX107)</f>
        <v>82545.1991054861</v>
      </c>
      <c r="N107" s="46">
        <f>(($AU107*$AN107+$AO107)*(1+$AV107)*(1+$AW107)+($AZ107*IF($G$1="鸣金",$AP107,$AN107)+IF($G$1="鸣金",$AQ107*1.5,0))*(1+$BA107)*(1+$BB107)+($BD107*IF($G$1="裂石",$AP107,$AN107)+IF($G$1="裂石",$AQ107*1.5,0))*(1+$BE107)*(1+$BF107)+($BH107*IF($G$1="牵丝",$AP107,$AN107)+IF($G$1="牵丝",$AQ107*1.5,0))*(1+$BI107)*(1+$BJ107)+($BL107*IF($G$1="破竹",$AP107,$AN107)+IF($G$1="破竹",$AQ107*1.5,0))*(1+$BM107)*(1+$BN107))*(1+$AR107)*$BS107*$Q107*(1+IF(VLOOKUP($R107,武学奇术!$A:$ZZ,30,FALSE)="蓄力技",$B$21,0))*(1+IF(VLOOKUP($R107,武学奇术!$A:$ZZ,30,FALSE)="派生技",$B$20,0))*(1+$BW107)*(1+$BX107)</f>
        <v>60666.7470895307</v>
      </c>
      <c r="O107" s="46">
        <f>((($AT107+$AU107)/2*$AN107+$AO107)*(1+$AV107)*(1+$AW107)+(($AY107+$AZ107)/2*IF($G$1="鸣金",$AP107,$AN107)+IF($G$1="鸣金",$AQ107*1.5,0))*(1+$BA107)*(1+$BB107)+(($BC107+$BD107)/2*IF($G$1="裂石",$AP107,$AN107)+IF($G$1="裂石",$AQ107*1.5,0))*(1+$BE107)*(1+$BF107)+(($BG107+$BH107)/2*IF($G$1="牵丝",$AP107,$AN107)+IF($G$1="牵丝",$AQ107*1.5,0))*(1+$BI107)*(1+$BJ107)+(($BK107+$BL107)/2*IF($G$1="破竹",$AP107,$AN107)+IF($G$1="破竹",$AQ107*1.5,0))*(1+$BM107)*(1+$BN107))*(1+$AR107)*$Q107*(1+IF(VLOOKUP($R107,武学奇术!$A:$ZZ,30,FALSE)="蓄力技",$B$21,0))*(1+IF(VLOOKUP($R107,武学奇术!$A:$ZZ,30,FALSE)="派生技",$B$20,0))*(1+$BW107)*(1+$BX107)</f>
        <v>39307.2376692791</v>
      </c>
      <c r="P107" s="46">
        <f>((($AT107*$AN107+$AO107)*(1+$AV107)*(1+$AW107)+($AY107*IF($G$1="鸣金",$AP107,$AN107)+IF($G$1="鸣金",$AQ107*1.5,0))*(1+$BA107)*(1+$BB107)+($BC107*IF($G$1="裂石",$AP107,$AN107)+IF($G$1="裂石",$AQ107*1.5,0))*(1+$BE107)*(1+$BF107)+($BG107*IF($G$1="牵丝",$AP107,$AN107)+IF($G$1="牵丝",$AQ107*1.5,0))*(1+$BI107)*(1+$BJ107)+($BK107*IF($G$1="破竹",$AP107,$AN107)+IF($G$1="破竹",$AQ107*1.5,0))*(1+$BM107)*(1+$BN107))*(1+$AR107))*$Q107*(1+IF(VLOOKUP($R107,武学奇术!$A:$ZZ,30,FALSE)="蓄力技",$B$21,0))*(1+IF(VLOOKUP($R107,武学奇术!$A:$ZZ,30,FALSE)="派生技",$B$20,0))*(1+$BW107)*(1+$BX107)</f>
        <v>33676.144161128</v>
      </c>
      <c r="Q107" s="47">
        <f t="shared" si="30"/>
        <v>2</v>
      </c>
      <c r="R107" s="48" t="s">
        <v>144</v>
      </c>
      <c r="S107" s="48" t="s">
        <v>99</v>
      </c>
      <c r="T107" s="48" t="s">
        <v>182</v>
      </c>
      <c r="U107" s="48" t="s">
        <v>79</v>
      </c>
      <c r="V107" s="48" t="s">
        <v>90</v>
      </c>
      <c r="W107" s="48" t="s">
        <v>141</v>
      </c>
      <c r="X107" s="48" t="s">
        <v>145</v>
      </c>
      <c r="Y107" s="48" t="s">
        <v>74</v>
      </c>
      <c r="Z107" s="48" t="s">
        <v>80</v>
      </c>
      <c r="AA107" s="48" t="s">
        <v>80</v>
      </c>
      <c r="AB107" s="48" t="s">
        <v>80</v>
      </c>
      <c r="AC107" s="48" t="s">
        <v>80</v>
      </c>
      <c r="AD107" s="48" t="s">
        <v>80</v>
      </c>
      <c r="AE107" s="48" t="s">
        <v>80</v>
      </c>
      <c r="AF107" s="48" t="s">
        <v>83</v>
      </c>
      <c r="AG107" s="48" t="s">
        <v>84</v>
      </c>
      <c r="AH107" s="48" t="s">
        <v>80</v>
      </c>
      <c r="AI107" s="48" t="s">
        <v>80</v>
      </c>
      <c r="AJ107" s="48" t="s">
        <v>80</v>
      </c>
      <c r="AK107" s="48" t="s">
        <v>80</v>
      </c>
      <c r="AL107" s="48" t="s">
        <v>80</v>
      </c>
      <c r="AM107" t="str">
        <f>VLOOKUP($R107,武学奇术!$A:$ZZ,25,FALSE)</f>
        <v>陌刀</v>
      </c>
      <c r="AN107" s="33">
        <f>VLOOKUP($R107,武学奇术!$A:$ZZ,26,FALSE)</f>
        <v>0.945</v>
      </c>
      <c r="AO107" s="34">
        <f>VLOOKUP($R107,武学奇术!$A:$ZZ,27,FALSE)*(1+IF(OR($AM107=$F$4,$AM107=$F$5),$B$22,0))</f>
        <v>0</v>
      </c>
      <c r="AP107" s="33">
        <f>VLOOKUP($R107,武学奇术!$A:$ZZ,28,FALSE)</f>
        <v>1.4175</v>
      </c>
      <c r="AQ107" s="34">
        <f>VLOOKUP($R107,武学奇术!$A:$ZZ,29,FALSE)*(1+IF(OR($AM107=$F$4,$AM107=$F$5),$B$22,0))</f>
        <v>0</v>
      </c>
      <c r="AR107" s="33" cm="1">
        <f t="array" ref="AR107">$G$3+IFERROR(VLOOKUP($AM107,$F$4:$G$7,2,FALSE),0)+VLOOKUP($R107,武学奇术!$A:$ZZ,2,FALSE)+SUM(_xlfn.XLOOKUP($S107:$AL107,增益!$A:$A,增益!$B:$B,0))</f>
        <v>0.6143</v>
      </c>
      <c r="AS107" s="33" cm="1">
        <f t="array" ref="AS107">VLOOKUP($R107,武学奇术!$A:$ZZ,5,FALSE)+SUM(_xlfn.XLOOKUP($S107:$AL107,增益!$A:$A,增益!$E:$E,0))</f>
        <v>0</v>
      </c>
      <c r="AT107" cm="1">
        <f t="array" ref="AT107">$D$10*(1+$AS107)+VLOOKUP($R107,武学奇术!$A:$ZZ,3,FALSE)+SUM(_xlfn.XLOOKUP($S107:$AL107,增益!$A:$A,增益!$C:$C,0))-$I$2</f>
        <v>4026</v>
      </c>
      <c r="AU107" cm="1">
        <f t="array" ref="AU107">$E$10*(1+$AS107)+VLOOKUP($R107,武学奇术!$A:$ZZ,4,FALSE)+SUM(_xlfn.XLOOKUP($S107:$AL107,增益!$A:$A,增益!$D:$D,0))-$I$2</f>
        <v>4026</v>
      </c>
      <c r="AV107" s="40" cm="1">
        <f t="array" ref="AV107">IF($F$10-$I$3+VLOOKUP($R107,武学奇术!$A:$ZZ,6,FALSE)+SUM(_xlfn.XLOOKUP($S107:$AL107,增益!$A:$A,增益!$F:$F,0))&gt;0,($F$10-$I$3+VLOOKUP($R107,武学奇术!$A:$ZZ,6,FALSE)+SUM(_xlfn.XLOOKUP($S107:$AL107,增益!$A:$A,增益!$F:$F,0)))/200,($F$10-$I$3+VLOOKUP($R107,武学奇术!$A:$ZZ,6,FALSE)+SUM(_xlfn.XLOOKUP($S107:$AL107,增益!$A:$A,增益!$F:$F,0)))/100)</f>
        <v>0.3534</v>
      </c>
      <c r="AW107" s="40" cm="1">
        <f t="array" ref="AW107">$G$10+VLOOKUP($R107,武学奇术!$A:$ZZ,7,FALSE)+SUM(_xlfn.XLOOKUP($S107:$AL107,增益!$A:$A,增益!$G:$G,0))</f>
        <v>0.12</v>
      </c>
      <c r="AX107" s="33" cm="1">
        <f t="array" ref="AX107">VLOOKUP($R107,武学奇术!$A:$ZZ,8,FALSE)+SUM(_xlfn.XLOOKUP($S107:$AL107,增益!$A:$A,增益!$H:$H,0))</f>
        <v>0</v>
      </c>
      <c r="AY107">
        <f t="shared" si="15"/>
        <v>0</v>
      </c>
      <c r="AZ107">
        <f t="shared" si="16"/>
        <v>0</v>
      </c>
      <c r="BA107" s="40" cm="1">
        <f t="array" ref="BA107">IF($F$11-$I$4+VLOOKUP($R107,武学奇术!$A:$ZZ,9,FALSE)+SUM(_xlfn.XLOOKUP($S107:$AL107,增益!$A:$A,增益!$I:$I,0))&gt;0,($F$11-$I$4+VLOOKUP($R107,武学奇术!$A:$ZZ,9,FALSE)+SUM(_xlfn.XLOOKUP($S107:$AL107,增益!$A:$A,增益!$I:$I,0)))/200,($F$11-$I$4+VLOOKUP($R107,武学奇术!$A:$ZZ,9,FALSE)+SUM(_xlfn.XLOOKUP($S107:$AL107,增益!$A:$A,增益!$I:$I,0)))/100)</f>
        <v>-0.14</v>
      </c>
      <c r="BB107" s="40" cm="1">
        <f t="array" ref="BB107">$G$11+VLOOKUP($R107,武学奇术!$A:$ZZ,10,FALSE)+SUM(_xlfn.XLOOKUP($S107:$AL107,增益!$A:$A,增益!$J:$J,0))</f>
        <v>0</v>
      </c>
      <c r="BC107">
        <f t="shared" si="17"/>
        <v>640.3</v>
      </c>
      <c r="BD107">
        <f t="shared" si="18"/>
        <v>1770.1</v>
      </c>
      <c r="BE107" s="40" cm="1">
        <f t="array" ref="BE107">IF($F$12-$I$4+VLOOKUP($R107,武学奇术!$A:$ZZ,11,FALSE)+SUM(_xlfn.XLOOKUP($S107:$AL107,增益!$A:$A,增益!$K:$K,0))&gt;0,($F$12-$I$4+VLOOKUP($R107,武学奇术!$A:$ZZ,11,FALSE)+SUM(_xlfn.XLOOKUP($S107:$AL107,增益!$A:$A,增益!$K:$K,0)))/200,($F$12-$I$4+VLOOKUP($R107,武学奇术!$A:$ZZ,11,FALSE)+SUM(_xlfn.XLOOKUP($S107:$AL107,增益!$A:$A,增益!$K:$K,0)))/100)</f>
        <v>0.17</v>
      </c>
      <c r="BF107" s="40" cm="1">
        <f t="array" ref="BF107">$G$12+VLOOKUP($R107,武学奇术!$A:$ZZ,12,FALSE)+SUM(_xlfn.XLOOKUP($S107:$AL107,增益!$A:$A,增益!$L:$L,0))</f>
        <v>0.27</v>
      </c>
      <c r="BG107">
        <f t="shared" si="19"/>
        <v>0</v>
      </c>
      <c r="BH107">
        <f t="shared" si="20"/>
        <v>0</v>
      </c>
      <c r="BI107" s="40" cm="1">
        <f t="array" ref="BI107">IF($F$13-$I$4+VLOOKUP($R107,武学奇术!$A:$ZZ,13,FALSE)+SUM(_xlfn.XLOOKUP($S107:$AL107,增益!$A:$A,增益!$M:$M,0))&gt;0,($F$13-$I$4+VLOOKUP($R107,武学奇术!$A:$ZZ,13,FALSE)+SUM(_xlfn.XLOOKUP($S107:$AL107,增益!$A:$A,增益!$K:$K,0)))/200,($F$13-$I$4+VLOOKUP($R107,武学奇术!$A:$ZZ,13,FALSE)+SUM(_xlfn.XLOOKUP($S107:$AL107,增益!$A:$A,增益!$M:$M,0)))/100)</f>
        <v>-0.14</v>
      </c>
      <c r="BJ107" s="40" cm="1">
        <f t="array" ref="BJ107">$G$13+VLOOKUP($R107,武学奇术!$A:$ZZ,14,FALSE)+SUM(_xlfn.XLOOKUP($S107:$AL107,增益!$A:$A,增益!$N:$N,0))</f>
        <v>0</v>
      </c>
      <c r="BK107">
        <f t="shared" si="21"/>
        <v>0</v>
      </c>
      <c r="BL107">
        <f t="shared" si="22"/>
        <v>0</v>
      </c>
      <c r="BM107" s="40" cm="1">
        <f t="array" ref="BM107">IF($F$14-$I$4+VLOOKUP($R107,武学奇术!$A:$ZZ,15,FALSE)+SUM(_xlfn.XLOOKUP($S107:$AL107,增益!$A:$A,增益!$O:$O,0))&gt;0,($F$14-$I$4+VLOOKUP($R107,武学奇术!$A:$ZZ,15,FALSE)+SUM(_xlfn.XLOOKUP($S107:$AL107,增益!$A:$A,增益!$O:$O,0)))/200,($F$14-$I$4+VLOOKUP($R107,武学奇术!$A:$ZZ,15,FALSE)+SUM(_xlfn.XLOOKUP($S107:$AL107,增益!$A:$A,增益!$O:$O,0)))/100)</f>
        <v>-0.14</v>
      </c>
      <c r="BN107" s="40" cm="1">
        <f t="array" ref="BN107">$G$14+VLOOKUP($R107,武学奇术!$A:$ZZ,16,FALSE)+SUM(_xlfn.XLOOKUP($S107:$AL107,增益!$A:$A,增益!$P:$P,0))</f>
        <v>0</v>
      </c>
      <c r="BO107" s="33">
        <f>MIN(IF(VLOOKUP($R107,武学奇术!$A:$ZZ,23,FALSE)=1,100%,$B$8),100%)</f>
        <v>1</v>
      </c>
      <c r="BP107" s="33" cm="1">
        <f t="array" ref="BP107">IF(VLOOKUP($R107,武学奇术!$A:$ZZ,23,FALSE)=1,100%,MIN(80%,$B$9+VLOOKUP($R107,武学奇术!$A:$ZZ,17,FALSE)+SUM(_xlfn.XLOOKUP($S107:$AL107,增益!$A:$A,增益!$Q:$Q,0)))+$B$11+SUM(_xlfn.XLOOKUP($S107:$AL107,增益!$A:$A,增益!$U:$U,0)))*IF(VLOOKUP($R107,武学奇术!$A:$ZZ,24,FALSE)=1,0,1)</f>
        <v>1</v>
      </c>
      <c r="BQ107" s="33" cm="1">
        <f t="array" ref="BQ107">1+$B$13+VLOOKUP($R107,武学奇术!$A:$ZZ,18,FALSE)+SUM(_xlfn.XLOOKUP($S107:$AL107,增益!$A:$A,增益!$R:$R,0))</f>
        <v>2.1</v>
      </c>
      <c r="BR107" s="33" cm="1">
        <f t="array" ref="BR107">IF(VLOOKUP($R107,武学奇术!$A:$ZZ,24,FALSE)=1,100%,MIN(40%,$B$10+VLOOKUP($R107,武学奇术!$A:$ZZ,19,FALSE)+SUM(_xlfn.XLOOKUP($S107:$AL107,增益!$A:$A,增益!$S:$S,0)))+$B$12+SUM(_xlfn.XLOOKUP($S107:$AL107,增益!$A:$A,增益!$V:$V,0)))*IF(VLOOKUP($R107,武学奇术!$A:$ZZ,23,FALSE)=1,0,1)</f>
        <v>0</v>
      </c>
      <c r="BS107" s="33" cm="1">
        <f t="array" ref="BS107">1+$B$14+VLOOKUP($R107,武学奇术!$A:$ZZ,20,FALSE)+SUM(_xlfn.XLOOKUP($S107:$AL107,增益!$A:$A,增益!$T:$T,0))</f>
        <v>1.35</v>
      </c>
      <c r="BT107" s="33">
        <f t="shared" si="23"/>
        <v>1</v>
      </c>
      <c r="BU107" s="33">
        <f t="shared" si="24"/>
        <v>0</v>
      </c>
      <c r="BV107" s="33">
        <f>IF(VLOOKUP($R107,武学奇术!$A:$ZZ,22,FALSE)=1,0,(1-$BO107))*(1-$BR107)</f>
        <v>0</v>
      </c>
      <c r="BW107" s="33" cm="1">
        <f t="array" ref="BW107">SUM(_xlfn.XLOOKUP($S107:$AL107,增益!$A:$A,增益!$W:$W,0))+$I$5</f>
        <v>0.11</v>
      </c>
      <c r="BX107" s="33" cm="1">
        <f t="array" ref="BX107">VLOOKUP($R107,武学奇术!$A:$ZZ,32,FALSE)+SUM(_xlfn.XLOOKUP($S107:$AL107,增益!$A:$A,增益!$X:$X,0))</f>
        <v>0</v>
      </c>
    </row>
    <row r="108" spans="12:76">
      <c r="L108" s="46">
        <f t="shared" si="14"/>
        <v>751864.612158471</v>
      </c>
      <c r="M108" s="46">
        <f>((($AT108+$AU108)/2*$AN108+$AO108)*(1+$AV108)*(1+$AW108)+(($AY108+$AZ108)/2*IF($G$1="鸣金",$AP108,$AN108)+IF($G$1="鸣金",$AQ108*1.5,0))*(1+$BA108)*(1+$BB108)+(($BC108+$BD108)/2*IF($G$1="裂石",$AP108,$AN108)+IF($G$1="裂石",$AQ108*1.5,0))*(1+$BE108)*(1+$BF108)+(($BG108+$BH108)/2*IF($G$1="牵丝",$AP108,$AN108)+IF($G$1="牵丝",$AQ108*1.5,0))*(1+$BI108)*(1+$BJ108)+(($BK108+$BL108)/2*IF($G$1="破竹",$AP108,$AN108)+IF($G$1="破竹",$AQ108*1.5,0))*(1+$BM108)*(1+$BN108))*(1+$AR108)*$BQ108*$Q108*(1+IF(VLOOKUP($R108,武学奇术!$A:$ZZ,30,FALSE)="蓄力技",$B$21,0))*(1+IF(VLOOKUP($R108,武学奇术!$A:$ZZ,30,FALSE)="派生技",$B$20,0))*(1+$BW108)*(1+$BX108)</f>
        <v>751864.612158471</v>
      </c>
      <c r="N108" s="46">
        <f>(($AU108*$AN108+$AO108)*(1+$AV108)*(1+$AW108)+($AZ108*IF($G$1="鸣金",$AP108,$AN108)+IF($G$1="鸣金",$AQ108*1.5,0))*(1+$BA108)*(1+$BB108)+($BD108*IF($G$1="裂石",$AP108,$AN108)+IF($G$1="裂石",$AQ108*1.5,0))*(1+$BE108)*(1+$BF108)+($BH108*IF($G$1="牵丝",$AP108,$AN108)+IF($G$1="牵丝",$AQ108*1.5,0))*(1+$BI108)*(1+$BJ108)+($BL108*IF($G$1="破竹",$AP108,$AN108)+IF($G$1="破竹",$AQ108*1.5,0))*(1+$BM108)*(1+$BN108))*(1+$AR108)*$BS108*$Q108*(1+IF(VLOOKUP($R108,武学奇术!$A:$ZZ,30,FALSE)="蓄力技",$B$21,0))*(1+IF(VLOOKUP($R108,武学奇术!$A:$ZZ,30,FALSE)="派生技",$B$20,0))*(1+$BW108)*(1+$BX108)</f>
        <v>544217.411273041</v>
      </c>
      <c r="O108" s="46">
        <f>((($AT108+$AU108)/2*$AN108+$AO108)*(1+$AV108)*(1+$AW108)+(($AY108+$AZ108)/2*IF($G$1="鸣金",$AP108,$AN108)+IF($G$1="鸣金",$AQ108*1.5,0))*(1+$BA108)*(1+$BB108)+(($BC108+$BD108)/2*IF($G$1="裂石",$AP108,$AN108)+IF($G$1="裂石",$AQ108*1.5,0))*(1+$BE108)*(1+$BF108)+(($BG108+$BH108)/2*IF($G$1="牵丝",$AP108,$AN108)+IF($G$1="牵丝",$AQ108*1.5,0))*(1+$BI108)*(1+$BJ108)+(($BK108+$BL108)/2*IF($G$1="破竹",$AP108,$AN108)+IF($G$1="破竹",$AQ108*1.5,0))*(1+$BM108)*(1+$BN108))*(1+$AR108)*$Q108*(1+IF(VLOOKUP($R108,武学奇术!$A:$ZZ,30,FALSE)="蓄力技",$B$21,0))*(1+IF(VLOOKUP($R108,武学奇术!$A:$ZZ,30,FALSE)="派生技",$B$20,0))*(1+$BW108)*(1+$BX108)</f>
        <v>358030.76769451</v>
      </c>
      <c r="P108" s="46">
        <f>((($AT108*$AN108+$AO108)*(1+$AV108)*(1+$AW108)+($AY108*IF($G$1="鸣金",$AP108,$AN108)+IF($G$1="鸣金",$AQ108*1.5,0))*(1+$BA108)*(1+$BB108)+($BC108*IF($G$1="裂石",$AP108,$AN108)+IF($G$1="裂石",$AQ108*1.5,0))*(1+$BE108)*(1+$BF108)+($BG108*IF($G$1="牵丝",$AP108,$AN108)+IF($G$1="牵丝",$AQ108*1.5,0))*(1+$BI108)*(1+$BJ108)+($BK108*IF($G$1="破竹",$AP108,$AN108)+IF($G$1="破竹",$AQ108*1.5,0))*(1+$BM108)*(1+$BN108))*(1+$AR108))*$Q108*(1+IF(VLOOKUP($R108,武学奇术!$A:$ZZ,30,FALSE)="蓄力技",$B$21,0))*(1+IF(VLOOKUP($R108,武学奇术!$A:$ZZ,30,FALSE)="派生技",$B$20,0))*(1+$BW108)*(1+$BX108)</f>
        <v>312937.52703862</v>
      </c>
      <c r="Q108" s="47">
        <f t="shared" si="30"/>
        <v>2</v>
      </c>
      <c r="R108" s="48" t="s">
        <v>148</v>
      </c>
      <c r="S108" s="48" t="s">
        <v>99</v>
      </c>
      <c r="T108" s="48" t="s">
        <v>182</v>
      </c>
      <c r="U108" s="48" t="s">
        <v>79</v>
      </c>
      <c r="V108" s="48" t="s">
        <v>90</v>
      </c>
      <c r="W108" s="48" t="s">
        <v>141</v>
      </c>
      <c r="X108" s="48" t="s">
        <v>145</v>
      </c>
      <c r="Y108" s="48" t="s">
        <v>74</v>
      </c>
      <c r="Z108" s="48" t="s">
        <v>80</v>
      </c>
      <c r="AA108" s="48" t="s">
        <v>80</v>
      </c>
      <c r="AB108" s="48" t="s">
        <v>80</v>
      </c>
      <c r="AC108" s="48" t="s">
        <v>80</v>
      </c>
      <c r="AD108" s="48" t="s">
        <v>80</v>
      </c>
      <c r="AE108" s="48" t="s">
        <v>80</v>
      </c>
      <c r="AF108" s="48" t="s">
        <v>83</v>
      </c>
      <c r="AG108" s="48" t="s">
        <v>84</v>
      </c>
      <c r="AH108" s="48" t="s">
        <v>80</v>
      </c>
      <c r="AI108" s="48" t="s">
        <v>80</v>
      </c>
      <c r="AJ108" s="48" t="s">
        <v>80</v>
      </c>
      <c r="AK108" s="48" t="s">
        <v>80</v>
      </c>
      <c r="AL108" s="48" t="s">
        <v>80</v>
      </c>
      <c r="AM108" t="str">
        <f>VLOOKUP($R108,武学奇术!$A:$ZZ,25,FALSE)</f>
        <v>陌刀</v>
      </c>
      <c r="AN108" s="33">
        <f>VLOOKUP($R108,武学奇术!$A:$ZZ,26,FALSE)</f>
        <v>7.5674</v>
      </c>
      <c r="AO108" s="34">
        <f>VLOOKUP($R108,武学奇术!$A:$ZZ,27,FALSE)*(1+IF(OR($AM108=$F$4,$AM108=$F$5),$B$22,0))</f>
        <v>3348.8</v>
      </c>
      <c r="AP108" s="33">
        <f>VLOOKUP($R108,武学奇术!$A:$ZZ,28,FALSE)</f>
        <v>11.3512</v>
      </c>
      <c r="AQ108" s="34">
        <f>VLOOKUP($R108,武学奇术!$A:$ZZ,29,FALSE)*(1+IF(OR($AM108=$F$4,$AM108=$F$5),$B$22,0))</f>
        <v>1824</v>
      </c>
      <c r="AR108" s="33" cm="1">
        <f t="array" ref="AR108">$G$3+IFERROR(VLOOKUP($AM108,$F$4:$G$7,2,FALSE),0)+VLOOKUP($R108,武学奇术!$A:$ZZ,2,FALSE)+SUM(_xlfn.XLOOKUP($S108:$AL108,增益!$A:$A,增益!$B:$B,0))</f>
        <v>0.6143</v>
      </c>
      <c r="AS108" s="33" cm="1">
        <f t="array" ref="AS108">VLOOKUP($R108,武学奇术!$A:$ZZ,5,FALSE)+SUM(_xlfn.XLOOKUP($S108:$AL108,增益!$A:$A,增益!$E:$E,0))</f>
        <v>0</v>
      </c>
      <c r="AT108" cm="1">
        <f t="array" ref="AT108">$D$10*(1+$AS108)+VLOOKUP($R108,武学奇术!$A:$ZZ,3,FALSE)+SUM(_xlfn.XLOOKUP($S108:$AL108,增益!$A:$A,增益!$C:$C,0))-$I$2</f>
        <v>4026</v>
      </c>
      <c r="AU108" cm="1">
        <f t="array" ref="AU108">$E$10*(1+$AS108)+VLOOKUP($R108,武学奇术!$A:$ZZ,4,FALSE)+SUM(_xlfn.XLOOKUP($S108:$AL108,增益!$A:$A,增益!$D:$D,0))-$I$2</f>
        <v>4026</v>
      </c>
      <c r="AV108" s="40" cm="1">
        <f t="array" ref="AV108">IF($F$10-$I$3+VLOOKUP($R108,武学奇术!$A:$ZZ,6,FALSE)+SUM(_xlfn.XLOOKUP($S108:$AL108,增益!$A:$A,增益!$F:$F,0))&gt;0,($F$10-$I$3+VLOOKUP($R108,武学奇术!$A:$ZZ,6,FALSE)+SUM(_xlfn.XLOOKUP($S108:$AL108,增益!$A:$A,增益!$F:$F,0)))/200,($F$10-$I$3+VLOOKUP($R108,武学奇术!$A:$ZZ,6,FALSE)+SUM(_xlfn.XLOOKUP($S108:$AL108,增益!$A:$A,增益!$F:$F,0)))/100)</f>
        <v>0.3534</v>
      </c>
      <c r="AW108" s="40" cm="1">
        <f t="array" ref="AW108">$G$10+VLOOKUP($R108,武学奇术!$A:$ZZ,7,FALSE)+SUM(_xlfn.XLOOKUP($S108:$AL108,增益!$A:$A,增益!$G:$G,0))</f>
        <v>0.12</v>
      </c>
      <c r="AX108" s="33" cm="1">
        <f t="array" ref="AX108">VLOOKUP($R108,武学奇术!$A:$ZZ,8,FALSE)+SUM(_xlfn.XLOOKUP($S108:$AL108,增益!$A:$A,增益!$H:$H,0))</f>
        <v>0</v>
      </c>
      <c r="AY108">
        <f t="shared" si="15"/>
        <v>0</v>
      </c>
      <c r="AZ108">
        <f t="shared" si="16"/>
        <v>0</v>
      </c>
      <c r="BA108" s="40" cm="1">
        <f t="array" ref="BA108">IF($F$11-$I$4+VLOOKUP($R108,武学奇术!$A:$ZZ,9,FALSE)+SUM(_xlfn.XLOOKUP($S108:$AL108,增益!$A:$A,增益!$I:$I,0))&gt;0,($F$11-$I$4+VLOOKUP($R108,武学奇术!$A:$ZZ,9,FALSE)+SUM(_xlfn.XLOOKUP($S108:$AL108,增益!$A:$A,增益!$I:$I,0)))/200,($F$11-$I$4+VLOOKUP($R108,武学奇术!$A:$ZZ,9,FALSE)+SUM(_xlfn.XLOOKUP($S108:$AL108,增益!$A:$A,增益!$I:$I,0)))/100)</f>
        <v>-0.14</v>
      </c>
      <c r="BB108" s="40" cm="1">
        <f t="array" ref="BB108">$G$11+VLOOKUP($R108,武学奇术!$A:$ZZ,10,FALSE)+SUM(_xlfn.XLOOKUP($S108:$AL108,增益!$A:$A,增益!$J:$J,0))</f>
        <v>0</v>
      </c>
      <c r="BC108">
        <f t="shared" si="17"/>
        <v>640.3</v>
      </c>
      <c r="BD108">
        <f t="shared" si="18"/>
        <v>1770.1</v>
      </c>
      <c r="BE108" s="40" cm="1">
        <f t="array" ref="BE108">IF($F$12-$I$4+VLOOKUP($R108,武学奇术!$A:$ZZ,11,FALSE)+SUM(_xlfn.XLOOKUP($S108:$AL108,增益!$A:$A,增益!$K:$K,0))&gt;0,($F$12-$I$4+VLOOKUP($R108,武学奇术!$A:$ZZ,11,FALSE)+SUM(_xlfn.XLOOKUP($S108:$AL108,增益!$A:$A,增益!$K:$K,0)))/200,($F$12-$I$4+VLOOKUP($R108,武学奇术!$A:$ZZ,11,FALSE)+SUM(_xlfn.XLOOKUP($S108:$AL108,增益!$A:$A,增益!$K:$K,0)))/100)</f>
        <v>0.17</v>
      </c>
      <c r="BF108" s="40" cm="1">
        <f t="array" ref="BF108">$G$12+VLOOKUP($R108,武学奇术!$A:$ZZ,12,FALSE)+SUM(_xlfn.XLOOKUP($S108:$AL108,增益!$A:$A,增益!$L:$L,0))</f>
        <v>0.27</v>
      </c>
      <c r="BG108">
        <f t="shared" si="19"/>
        <v>0</v>
      </c>
      <c r="BH108">
        <f t="shared" si="20"/>
        <v>0</v>
      </c>
      <c r="BI108" s="40" cm="1">
        <f t="array" ref="BI108">IF($F$13-$I$4+VLOOKUP($R108,武学奇术!$A:$ZZ,13,FALSE)+SUM(_xlfn.XLOOKUP($S108:$AL108,增益!$A:$A,增益!$M:$M,0))&gt;0,($F$13-$I$4+VLOOKUP($R108,武学奇术!$A:$ZZ,13,FALSE)+SUM(_xlfn.XLOOKUP($S108:$AL108,增益!$A:$A,增益!$K:$K,0)))/200,($F$13-$I$4+VLOOKUP($R108,武学奇术!$A:$ZZ,13,FALSE)+SUM(_xlfn.XLOOKUP($S108:$AL108,增益!$A:$A,增益!$M:$M,0)))/100)</f>
        <v>-0.14</v>
      </c>
      <c r="BJ108" s="40" cm="1">
        <f t="array" ref="BJ108">$G$13+VLOOKUP($R108,武学奇术!$A:$ZZ,14,FALSE)+SUM(_xlfn.XLOOKUP($S108:$AL108,增益!$A:$A,增益!$N:$N,0))</f>
        <v>0</v>
      </c>
      <c r="BK108">
        <f t="shared" si="21"/>
        <v>0</v>
      </c>
      <c r="BL108">
        <f t="shared" si="22"/>
        <v>0</v>
      </c>
      <c r="BM108" s="40" cm="1">
        <f t="array" ref="BM108">IF($F$14-$I$4+VLOOKUP($R108,武学奇术!$A:$ZZ,15,FALSE)+SUM(_xlfn.XLOOKUP($S108:$AL108,增益!$A:$A,增益!$O:$O,0))&gt;0,($F$14-$I$4+VLOOKUP($R108,武学奇术!$A:$ZZ,15,FALSE)+SUM(_xlfn.XLOOKUP($S108:$AL108,增益!$A:$A,增益!$O:$O,0)))/200,($F$14-$I$4+VLOOKUP($R108,武学奇术!$A:$ZZ,15,FALSE)+SUM(_xlfn.XLOOKUP($S108:$AL108,增益!$A:$A,增益!$O:$O,0)))/100)</f>
        <v>-0.14</v>
      </c>
      <c r="BN108" s="40" cm="1">
        <f t="array" ref="BN108">$G$14+VLOOKUP($R108,武学奇术!$A:$ZZ,16,FALSE)+SUM(_xlfn.XLOOKUP($S108:$AL108,增益!$A:$A,增益!$P:$P,0))</f>
        <v>0</v>
      </c>
      <c r="BO108" s="33">
        <f>MIN(IF(VLOOKUP($R108,武学奇术!$A:$ZZ,23,FALSE)=1,100%,$B$8),100%)</f>
        <v>1</v>
      </c>
      <c r="BP108" s="33" cm="1">
        <f t="array" ref="BP108">IF(VLOOKUP($R108,武学奇术!$A:$ZZ,23,FALSE)=1,100%,MIN(80%,$B$9+VLOOKUP($R108,武学奇术!$A:$ZZ,17,FALSE)+SUM(_xlfn.XLOOKUP($S108:$AL108,增益!$A:$A,增益!$Q:$Q,0)))+$B$11+SUM(_xlfn.XLOOKUP($S108:$AL108,增益!$A:$A,增益!$U:$U,0)))*IF(VLOOKUP($R108,武学奇术!$A:$ZZ,24,FALSE)=1,0,1)</f>
        <v>1</v>
      </c>
      <c r="BQ108" s="33" cm="1">
        <f t="array" ref="BQ108">1+$B$13+VLOOKUP($R108,武学奇术!$A:$ZZ,18,FALSE)+SUM(_xlfn.XLOOKUP($S108:$AL108,增益!$A:$A,增益!$R:$R,0))</f>
        <v>2.1</v>
      </c>
      <c r="BR108" s="33" cm="1">
        <f t="array" ref="BR108">IF(VLOOKUP($R108,武学奇术!$A:$ZZ,24,FALSE)=1,100%,MIN(40%,$B$10+VLOOKUP($R108,武学奇术!$A:$ZZ,19,FALSE)+SUM(_xlfn.XLOOKUP($S108:$AL108,增益!$A:$A,增益!$S:$S,0)))+$B$12+SUM(_xlfn.XLOOKUP($S108:$AL108,增益!$A:$A,增益!$V:$V,0)))*IF(VLOOKUP($R108,武学奇术!$A:$ZZ,23,FALSE)=1,0,1)</f>
        <v>0</v>
      </c>
      <c r="BS108" s="33" cm="1">
        <f t="array" ref="BS108">1+$B$14+VLOOKUP($R108,武学奇术!$A:$ZZ,20,FALSE)+SUM(_xlfn.XLOOKUP($S108:$AL108,增益!$A:$A,增益!$T:$T,0))</f>
        <v>1.35</v>
      </c>
      <c r="BT108" s="33">
        <f t="shared" si="23"/>
        <v>1</v>
      </c>
      <c r="BU108" s="33">
        <f t="shared" si="24"/>
        <v>0</v>
      </c>
      <c r="BV108" s="33">
        <f>IF(VLOOKUP($R108,武学奇术!$A:$ZZ,22,FALSE)=1,0,(1-$BO108))*(1-$BR108)</f>
        <v>0</v>
      </c>
      <c r="BW108" s="33" cm="1">
        <f t="array" ref="BW108">SUM(_xlfn.XLOOKUP($S108:$AL108,增益!$A:$A,增益!$W:$W,0))+$I$5</f>
        <v>0.11</v>
      </c>
      <c r="BX108" s="33" cm="1">
        <f t="array" ref="BX108">VLOOKUP($R108,武学奇术!$A:$ZZ,32,FALSE)+SUM(_xlfn.XLOOKUP($S108:$AL108,增益!$A:$A,增益!$X:$X,0))</f>
        <v>0</v>
      </c>
    </row>
    <row r="109" spans="12:76">
      <c r="L109" s="46">
        <f t="shared" si="14"/>
        <v>0</v>
      </c>
      <c r="M109" s="46">
        <f>((($AT109+$AU109)/2*$AN109+$AO109)*(1+$AV109)*(1+$AW109)+(($AY109+$AZ109)/2*IF($G$1="鸣金",$AP109,$AN109)+IF($G$1="鸣金",$AQ109*1.5,0))*(1+$BA109)*(1+$BB109)+(($BC109+$BD109)/2*IF($G$1="裂石",$AP109,$AN109)+IF($G$1="裂石",$AQ109*1.5,0))*(1+$BE109)*(1+$BF109)+(($BG109+$BH109)/2*IF($G$1="牵丝",$AP109,$AN109)+IF($G$1="牵丝",$AQ109*1.5,0))*(1+$BI109)*(1+$BJ109)+(($BK109+$BL109)/2*IF($G$1="破竹",$AP109,$AN109)+IF($G$1="破竹",$AQ109*1.5,0))*(1+$BM109)*(1+$BN109))*(1+$AR109)*$BQ109*$Q109*(1+IF(VLOOKUP($R109,武学奇术!$A:$ZZ,30,FALSE)="蓄力技",$B$21,0))*(1+IF(VLOOKUP($R109,武学奇术!$A:$ZZ,30,FALSE)="派生技",$B$20,0))*(1+$BW109)*(1+$BX109)</f>
        <v>0</v>
      </c>
      <c r="N109" s="46">
        <f>(($AU109*$AN109+$AO109)*(1+$AV109)*(1+$AW109)+($AZ109*IF($G$1="鸣金",$AP109,$AN109)+IF($G$1="鸣金",$AQ109*1.5,0))*(1+$BA109)*(1+$BB109)+($BD109*IF($G$1="裂石",$AP109,$AN109)+IF($G$1="裂石",$AQ109*1.5,0))*(1+$BE109)*(1+$BF109)+($BH109*IF($G$1="牵丝",$AP109,$AN109)+IF($G$1="牵丝",$AQ109*1.5,0))*(1+$BI109)*(1+$BJ109)+($BL109*IF($G$1="破竹",$AP109,$AN109)+IF($G$1="破竹",$AQ109*1.5,0))*(1+$BM109)*(1+$BN109))*(1+$AR109)*$BS109*$Q109*(1+IF(VLOOKUP($R109,武学奇术!$A:$ZZ,30,FALSE)="蓄力技",$B$21,0))*(1+IF(VLOOKUP($R109,武学奇术!$A:$ZZ,30,FALSE)="派生技",$B$20,0))*(1+$BW109)*(1+$BX109)</f>
        <v>0</v>
      </c>
      <c r="O109" s="46">
        <f>((($AT109+$AU109)/2*$AN109+$AO109)*(1+$AV109)*(1+$AW109)+(($AY109+$AZ109)/2*IF($G$1="鸣金",$AP109,$AN109)+IF($G$1="鸣金",$AQ109*1.5,0))*(1+$BA109)*(1+$BB109)+(($BC109+$BD109)/2*IF($G$1="裂石",$AP109,$AN109)+IF($G$1="裂石",$AQ109*1.5,0))*(1+$BE109)*(1+$BF109)+(($BG109+$BH109)/2*IF($G$1="牵丝",$AP109,$AN109)+IF($G$1="牵丝",$AQ109*1.5,0))*(1+$BI109)*(1+$BJ109)+(($BK109+$BL109)/2*IF($G$1="破竹",$AP109,$AN109)+IF($G$1="破竹",$AQ109*1.5,0))*(1+$BM109)*(1+$BN109))*(1+$AR109)*$Q109*(1+IF(VLOOKUP($R109,武学奇术!$A:$ZZ,30,FALSE)="蓄力技",$B$21,0))*(1+IF(VLOOKUP($R109,武学奇术!$A:$ZZ,30,FALSE)="派生技",$B$20,0))*(1+$BW109)*(1+$BX109)</f>
        <v>0</v>
      </c>
      <c r="P109" s="46">
        <f>((($AT109*$AN109+$AO109)*(1+$AV109)*(1+$AW109)+($AY109*IF($G$1="鸣金",$AP109,$AN109)+IF($G$1="鸣金",$AQ109*1.5,0))*(1+$BA109)*(1+$BB109)+($BC109*IF($G$1="裂石",$AP109,$AN109)+IF($G$1="裂石",$AQ109*1.5,0))*(1+$BE109)*(1+$BF109)+($BG109*IF($G$1="牵丝",$AP109,$AN109)+IF($G$1="牵丝",$AQ109*1.5,0))*(1+$BI109)*(1+$BJ109)+($BK109*IF($G$1="破竹",$AP109,$AN109)+IF($G$1="破竹",$AQ109*1.5,0))*(1+$BM109)*(1+$BN109))*(1+$AR109))*$Q109*(1+IF(VLOOKUP($R109,武学奇术!$A:$ZZ,30,FALSE)="蓄力技",$B$21,0))*(1+IF(VLOOKUP($R109,武学奇术!$A:$ZZ,30,FALSE)="派生技",$B$20,0))*(1+$BW109)*(1+$BX109)</f>
        <v>0</v>
      </c>
      <c r="Q109" s="47">
        <v>1</v>
      </c>
      <c r="R109" s="48" t="s">
        <v>80</v>
      </c>
      <c r="S109" s="48" t="s">
        <v>80</v>
      </c>
      <c r="T109" s="48" t="s">
        <v>80</v>
      </c>
      <c r="U109" s="48" t="s">
        <v>80</v>
      </c>
      <c r="V109" s="48" t="s">
        <v>80</v>
      </c>
      <c r="W109" s="48" t="s">
        <v>80</v>
      </c>
      <c r="X109" s="48" t="s">
        <v>80</v>
      </c>
      <c r="Y109" s="48" t="s">
        <v>80</v>
      </c>
      <c r="Z109" s="48" t="s">
        <v>80</v>
      </c>
      <c r="AA109" s="48" t="s">
        <v>80</v>
      </c>
      <c r="AB109" s="48" t="s">
        <v>80</v>
      </c>
      <c r="AC109" s="48" t="s">
        <v>80</v>
      </c>
      <c r="AD109" s="48" t="s">
        <v>80</v>
      </c>
      <c r="AE109" s="48" t="s">
        <v>80</v>
      </c>
      <c r="AF109" s="48" t="s">
        <v>83</v>
      </c>
      <c r="AG109" s="48" t="s">
        <v>84</v>
      </c>
      <c r="AH109" s="48" t="s">
        <v>80</v>
      </c>
      <c r="AI109" s="48" t="s">
        <v>80</v>
      </c>
      <c r="AJ109" s="48" t="s">
        <v>80</v>
      </c>
      <c r="AK109" s="48" t="s">
        <v>80</v>
      </c>
      <c r="AL109" s="48" t="s">
        <v>80</v>
      </c>
      <c r="AM109" t="str">
        <f>VLOOKUP($R109,武学奇术!$A:$ZZ,25,FALSE)</f>
        <v>心法</v>
      </c>
      <c r="AN109" s="33">
        <f>VLOOKUP($R109,武学奇术!$A:$ZZ,26,FALSE)</f>
        <v>0</v>
      </c>
      <c r="AO109" s="34">
        <f>VLOOKUP($R109,武学奇术!$A:$ZZ,27,FALSE)*(1+IF(OR($AM109=$F$4,$AM109=$F$5),$B$22,0))</f>
        <v>0</v>
      </c>
      <c r="AP109" s="33">
        <f>VLOOKUP($R109,武学奇术!$A:$ZZ,28,FALSE)</f>
        <v>0</v>
      </c>
      <c r="AQ109" s="34">
        <f>VLOOKUP($R109,武学奇术!$A:$ZZ,29,FALSE)*(1+IF(OR($AM109=$F$4,$AM109=$F$5),$B$22,0))</f>
        <v>0</v>
      </c>
      <c r="AR109" s="33" cm="1">
        <f t="array" ref="AR109">$G$3+IFERROR(VLOOKUP($AM109,$F$4:$G$7,2,FALSE),0)+VLOOKUP($R109,武学奇术!$A:$ZZ,2,FALSE)+SUM(_xlfn.XLOOKUP($S109:$AL109,增益!$A:$A,增益!$B:$B,0))</f>
        <v>0.2342</v>
      </c>
      <c r="AS109" s="33" cm="1">
        <f t="array" ref="AS109">VLOOKUP($R109,武学奇术!$A:$ZZ,5,FALSE)+SUM(_xlfn.XLOOKUP($S109:$AL109,增益!$A:$A,增益!$E:$E,0))</f>
        <v>0</v>
      </c>
      <c r="AT109" cm="1">
        <f t="array" ref="AT109">$D$10*(1+$AS109)+VLOOKUP($R109,武学奇术!$A:$ZZ,3,FALSE)+SUM(_xlfn.XLOOKUP($S109:$AL109,增益!$A:$A,增益!$C:$C,0))-$I$2</f>
        <v>4026</v>
      </c>
      <c r="AU109" cm="1">
        <f t="array" ref="AU109">$E$10*(1+$AS109)+VLOOKUP($R109,武学奇术!$A:$ZZ,4,FALSE)+SUM(_xlfn.XLOOKUP($S109:$AL109,增益!$A:$A,增益!$D:$D,0))-$I$2</f>
        <v>4026</v>
      </c>
      <c r="AV109" s="40" cm="1">
        <f t="array" ref="AV109">IF($F$10-$I$3+VLOOKUP($R109,武学奇术!$A:$ZZ,6,FALSE)+SUM(_xlfn.XLOOKUP($S109:$AL109,增益!$A:$A,增益!$F:$F,0))&gt;0,($F$10-$I$3+VLOOKUP($R109,武学奇术!$A:$ZZ,6,FALSE)+SUM(_xlfn.XLOOKUP($S109:$AL109,增益!$A:$A,增益!$F:$F,0)))/200,($F$10-$I$3+VLOOKUP($R109,武学奇术!$A:$ZZ,6,FALSE)+SUM(_xlfn.XLOOKUP($S109:$AL109,增益!$A:$A,增益!$F:$F,0)))/100)</f>
        <v>0.2284</v>
      </c>
      <c r="AW109" s="40" cm="1">
        <f t="array" ref="AW109">$G$10+VLOOKUP($R109,武学奇术!$A:$ZZ,7,FALSE)+SUM(_xlfn.XLOOKUP($S109:$AL109,增益!$A:$A,增益!$G:$G,0))</f>
        <v>0</v>
      </c>
      <c r="AX109" s="33" cm="1">
        <f t="array" ref="AX109">VLOOKUP($R109,武学奇术!$A:$ZZ,8,FALSE)+SUM(_xlfn.XLOOKUP($S109:$AL109,增益!$A:$A,增益!$H:$H,0))</f>
        <v>0</v>
      </c>
      <c r="AY109">
        <f t="shared" si="15"/>
        <v>0</v>
      </c>
      <c r="AZ109">
        <f t="shared" si="16"/>
        <v>0</v>
      </c>
      <c r="BA109" s="40" cm="1">
        <f t="array" ref="BA109">IF($F$11-$I$4+VLOOKUP($R109,武学奇术!$A:$ZZ,9,FALSE)+SUM(_xlfn.XLOOKUP($S109:$AL109,增益!$A:$A,增益!$I:$I,0))&gt;0,($F$11-$I$4+VLOOKUP($R109,武学奇术!$A:$ZZ,9,FALSE)+SUM(_xlfn.XLOOKUP($S109:$AL109,增益!$A:$A,增益!$I:$I,0)))/200,($F$11-$I$4+VLOOKUP($R109,武学奇术!$A:$ZZ,9,FALSE)+SUM(_xlfn.XLOOKUP($S109:$AL109,增益!$A:$A,增益!$I:$I,0)))/100)</f>
        <v>-0.3</v>
      </c>
      <c r="BB109" s="40" cm="1">
        <f t="array" ref="BB109">$G$11+VLOOKUP($R109,武学奇术!$A:$ZZ,10,FALSE)+SUM(_xlfn.XLOOKUP($S109:$AL109,增益!$A:$A,增益!$J:$J,0))</f>
        <v>0</v>
      </c>
      <c r="BC109">
        <f t="shared" si="17"/>
        <v>640.3</v>
      </c>
      <c r="BD109">
        <f t="shared" si="18"/>
        <v>1770.1</v>
      </c>
      <c r="BE109" s="40" cm="1">
        <f t="array" ref="BE109">IF($F$12-$I$4+VLOOKUP($R109,武学奇术!$A:$ZZ,11,FALSE)+SUM(_xlfn.XLOOKUP($S109:$AL109,增益!$A:$A,增益!$K:$K,0))&gt;0,($F$12-$I$4+VLOOKUP($R109,武学奇术!$A:$ZZ,11,FALSE)+SUM(_xlfn.XLOOKUP($S109:$AL109,增益!$A:$A,增益!$K:$K,0)))/200,($F$12-$I$4+VLOOKUP($R109,武学奇术!$A:$ZZ,11,FALSE)+SUM(_xlfn.XLOOKUP($S109:$AL109,增益!$A:$A,增益!$K:$K,0)))/100)</f>
        <v>0.09</v>
      </c>
      <c r="BF109" s="40" cm="1">
        <f t="array" ref="BF109">$G$12+VLOOKUP($R109,武学奇术!$A:$ZZ,12,FALSE)+SUM(_xlfn.XLOOKUP($S109:$AL109,增益!$A:$A,增益!$L:$L,0))</f>
        <v>0.15</v>
      </c>
      <c r="BG109">
        <f t="shared" si="19"/>
        <v>0</v>
      </c>
      <c r="BH109">
        <f t="shared" si="20"/>
        <v>0</v>
      </c>
      <c r="BI109" s="40" cm="1">
        <f t="array" ref="BI109">IF($F$13-$I$4+VLOOKUP($R109,武学奇术!$A:$ZZ,13,FALSE)+SUM(_xlfn.XLOOKUP($S109:$AL109,增益!$A:$A,增益!$M:$M,0))&gt;0,($F$13-$I$4+VLOOKUP($R109,武学奇术!$A:$ZZ,13,FALSE)+SUM(_xlfn.XLOOKUP($S109:$AL109,增益!$A:$A,增益!$K:$K,0)))/200,($F$13-$I$4+VLOOKUP($R109,武学奇术!$A:$ZZ,13,FALSE)+SUM(_xlfn.XLOOKUP($S109:$AL109,增益!$A:$A,增益!$M:$M,0)))/100)</f>
        <v>-0.3</v>
      </c>
      <c r="BJ109" s="40" cm="1">
        <f t="array" ref="BJ109">$G$13+VLOOKUP($R109,武学奇术!$A:$ZZ,14,FALSE)+SUM(_xlfn.XLOOKUP($S109:$AL109,增益!$A:$A,增益!$N:$N,0))</f>
        <v>0</v>
      </c>
      <c r="BK109">
        <f t="shared" si="21"/>
        <v>0</v>
      </c>
      <c r="BL109">
        <f t="shared" si="22"/>
        <v>0</v>
      </c>
      <c r="BM109" s="40" cm="1">
        <f t="array" ref="BM109">IF($F$14-$I$4+VLOOKUP($R109,武学奇术!$A:$ZZ,15,FALSE)+SUM(_xlfn.XLOOKUP($S109:$AL109,增益!$A:$A,增益!$O:$O,0))&gt;0,($F$14-$I$4+VLOOKUP($R109,武学奇术!$A:$ZZ,15,FALSE)+SUM(_xlfn.XLOOKUP($S109:$AL109,增益!$A:$A,增益!$O:$O,0)))/200,($F$14-$I$4+VLOOKUP($R109,武学奇术!$A:$ZZ,15,FALSE)+SUM(_xlfn.XLOOKUP($S109:$AL109,增益!$A:$A,增益!$O:$O,0)))/100)</f>
        <v>-0.3</v>
      </c>
      <c r="BN109" s="40" cm="1">
        <f t="array" ref="BN109">$G$14+VLOOKUP($R109,武学奇术!$A:$ZZ,16,FALSE)+SUM(_xlfn.XLOOKUP($S109:$AL109,增益!$A:$A,增益!$P:$P,0))</f>
        <v>0</v>
      </c>
      <c r="BO109" s="33">
        <f>MIN(IF(VLOOKUP($R109,武学奇术!$A:$ZZ,23,FALSE)=1,100%,$B$8),100%)</f>
        <v>0.9771</v>
      </c>
      <c r="BP109" s="33" cm="1">
        <f t="array" ref="BP109">IF(VLOOKUP($R109,武学奇术!$A:$ZZ,23,FALSE)=1,100%,MIN(80%,$B$9+VLOOKUP($R109,武学奇术!$A:$ZZ,17,FALSE)+SUM(_xlfn.XLOOKUP($S109:$AL109,增益!$A:$A,增益!$Q:$Q,0)))+$B$11+SUM(_xlfn.XLOOKUP($S109:$AL109,增益!$A:$A,增益!$U:$U,0)))*IF(VLOOKUP($R109,武学奇术!$A:$ZZ,24,FALSE)=1,0,1)</f>
        <v>0.8861</v>
      </c>
      <c r="BQ109" s="33" cm="1">
        <f t="array" ref="BQ109">1+$B$13+VLOOKUP($R109,武学奇术!$A:$ZZ,18,FALSE)+SUM(_xlfn.XLOOKUP($S109:$AL109,增益!$A:$A,增益!$R:$R,0))</f>
        <v>1.54</v>
      </c>
      <c r="BR109" s="33" cm="1">
        <f t="array" ref="BR109">IF(VLOOKUP($R109,武学奇术!$A:$ZZ,24,FALSE)=1,100%,MIN(40%,$B$10+VLOOKUP($R109,武学奇术!$A:$ZZ,19,FALSE)+SUM(_xlfn.XLOOKUP($S109:$AL109,增益!$A:$A,增益!$S:$S,0)))+$B$12+SUM(_xlfn.XLOOKUP($S109:$AL109,增益!$A:$A,增益!$V:$V,0)))*IF(VLOOKUP($R109,武学奇术!$A:$ZZ,23,FALSE)=1,0,1)</f>
        <v>0.0913</v>
      </c>
      <c r="BS109" s="33" cm="1">
        <f t="array" ref="BS109">1+$B$14+VLOOKUP($R109,武学奇术!$A:$ZZ,20,FALSE)+SUM(_xlfn.XLOOKUP($S109:$AL109,增益!$A:$A,增益!$T:$T,0))</f>
        <v>1.35</v>
      </c>
      <c r="BT109" s="33">
        <f t="shared" si="23"/>
        <v>0.86580831</v>
      </c>
      <c r="BU109" s="33">
        <f t="shared" si="24"/>
        <v>0.02208246</v>
      </c>
      <c r="BV109" s="33">
        <f>IF(VLOOKUP($R109,武学奇术!$A:$ZZ,22,FALSE)=1,0,(1-$BO109))*(1-$BR109)</f>
        <v>0.02080923</v>
      </c>
      <c r="BW109" s="33" cm="1">
        <f t="array" ref="BW109">SUM(_xlfn.XLOOKUP($S109:$AL109,增益!$A:$A,增益!$W:$W,0))+$I$5</f>
        <v>0.11</v>
      </c>
      <c r="BX109" s="33" cm="1">
        <f t="array" ref="BX109">VLOOKUP($R109,武学奇术!$A:$ZZ,32,FALSE)+SUM(_xlfn.XLOOKUP($S109:$AL109,增益!$A:$A,增益!$X:$X,0))</f>
        <v>0</v>
      </c>
    </row>
    <row r="110" spans="12:76">
      <c r="L110" s="46">
        <f t="shared" si="14"/>
        <v>0</v>
      </c>
      <c r="M110" s="46">
        <f>((($AT110+$AU110)/2*$AN110+$AO110)*(1+$AV110)*(1+$AW110)+(($AY110+$AZ110)/2*IF($G$1="鸣金",$AP110,$AN110)+IF($G$1="鸣金",$AQ110*1.5,0))*(1+$BA110)*(1+$BB110)+(($BC110+$BD110)/2*IF($G$1="裂石",$AP110,$AN110)+IF($G$1="裂石",$AQ110*1.5,0))*(1+$BE110)*(1+$BF110)+(($BG110+$BH110)/2*IF($G$1="牵丝",$AP110,$AN110)+IF($G$1="牵丝",$AQ110*1.5,0))*(1+$BI110)*(1+$BJ110)+(($BK110+$BL110)/2*IF($G$1="破竹",$AP110,$AN110)+IF($G$1="破竹",$AQ110*1.5,0))*(1+$BM110)*(1+$BN110))*(1+$AR110)*$BQ110*$Q110*(1+IF(VLOOKUP($R110,武学奇术!$A:$ZZ,30,FALSE)="蓄力技",$B$21,0))*(1+IF(VLOOKUP($R110,武学奇术!$A:$ZZ,30,FALSE)="派生技",$B$20,0))*(1+$BW110)*(1+$BX110)</f>
        <v>0</v>
      </c>
      <c r="N110" s="46">
        <f>(($AU110*$AN110+$AO110)*(1+$AV110)*(1+$AW110)+($AZ110*IF($G$1="鸣金",$AP110,$AN110)+IF($G$1="鸣金",$AQ110*1.5,0))*(1+$BA110)*(1+$BB110)+($BD110*IF($G$1="裂石",$AP110,$AN110)+IF($G$1="裂石",$AQ110*1.5,0))*(1+$BE110)*(1+$BF110)+($BH110*IF($G$1="牵丝",$AP110,$AN110)+IF($G$1="牵丝",$AQ110*1.5,0))*(1+$BI110)*(1+$BJ110)+($BL110*IF($G$1="破竹",$AP110,$AN110)+IF($G$1="破竹",$AQ110*1.5,0))*(1+$BM110)*(1+$BN110))*(1+$AR110)*$BS110*$Q110*(1+IF(VLOOKUP($R110,武学奇术!$A:$ZZ,30,FALSE)="蓄力技",$B$21,0))*(1+IF(VLOOKUP($R110,武学奇术!$A:$ZZ,30,FALSE)="派生技",$B$20,0))*(1+$BW110)*(1+$BX110)</f>
        <v>0</v>
      </c>
      <c r="O110" s="46">
        <f>((($AT110+$AU110)/2*$AN110+$AO110)*(1+$AV110)*(1+$AW110)+(($AY110+$AZ110)/2*IF($G$1="鸣金",$AP110,$AN110)+IF($G$1="鸣金",$AQ110*1.5,0))*(1+$BA110)*(1+$BB110)+(($BC110+$BD110)/2*IF($G$1="裂石",$AP110,$AN110)+IF($G$1="裂石",$AQ110*1.5,0))*(1+$BE110)*(1+$BF110)+(($BG110+$BH110)/2*IF($G$1="牵丝",$AP110,$AN110)+IF($G$1="牵丝",$AQ110*1.5,0))*(1+$BI110)*(1+$BJ110)+(($BK110+$BL110)/2*IF($G$1="破竹",$AP110,$AN110)+IF($G$1="破竹",$AQ110*1.5,0))*(1+$BM110)*(1+$BN110))*(1+$AR110)*$Q110*(1+IF(VLOOKUP($R110,武学奇术!$A:$ZZ,30,FALSE)="蓄力技",$B$21,0))*(1+IF(VLOOKUP($R110,武学奇术!$A:$ZZ,30,FALSE)="派生技",$B$20,0))*(1+$BW110)*(1+$BX110)</f>
        <v>0</v>
      </c>
      <c r="P110" s="46">
        <f>((($AT110*$AN110+$AO110)*(1+$AV110)*(1+$AW110)+($AY110*IF($G$1="鸣金",$AP110,$AN110)+IF($G$1="鸣金",$AQ110*1.5,0))*(1+$BA110)*(1+$BB110)+($BC110*IF($G$1="裂石",$AP110,$AN110)+IF($G$1="裂石",$AQ110*1.5,0))*(1+$BE110)*(1+$BF110)+($BG110*IF($G$1="牵丝",$AP110,$AN110)+IF($G$1="牵丝",$AQ110*1.5,0))*(1+$BI110)*(1+$BJ110)+($BK110*IF($G$1="破竹",$AP110,$AN110)+IF($G$1="破竹",$AQ110*1.5,0))*(1+$BM110)*(1+$BN110))*(1+$AR110))*$Q110*(1+IF(VLOOKUP($R110,武学奇术!$A:$ZZ,30,FALSE)="蓄力技",$B$21,0))*(1+IF(VLOOKUP($R110,武学奇术!$A:$ZZ,30,FALSE)="派生技",$B$20,0))*(1+$BW110)*(1+$BX110)</f>
        <v>0</v>
      </c>
      <c r="Q110" s="47">
        <v>1</v>
      </c>
      <c r="R110" s="48" t="s">
        <v>80</v>
      </c>
      <c r="S110" s="48" t="s">
        <v>80</v>
      </c>
      <c r="T110" s="48" t="s">
        <v>80</v>
      </c>
      <c r="U110" s="48" t="s">
        <v>80</v>
      </c>
      <c r="V110" s="48" t="s">
        <v>80</v>
      </c>
      <c r="W110" s="48" t="s">
        <v>80</v>
      </c>
      <c r="X110" s="48" t="s">
        <v>80</v>
      </c>
      <c r="Y110" s="48" t="s">
        <v>80</v>
      </c>
      <c r="Z110" s="48" t="s">
        <v>80</v>
      </c>
      <c r="AA110" s="48" t="s">
        <v>80</v>
      </c>
      <c r="AB110" s="48" t="s">
        <v>80</v>
      </c>
      <c r="AC110" s="48" t="s">
        <v>80</v>
      </c>
      <c r="AD110" s="48" t="s">
        <v>80</v>
      </c>
      <c r="AE110" s="48" t="s">
        <v>80</v>
      </c>
      <c r="AF110" s="48" t="s">
        <v>83</v>
      </c>
      <c r="AG110" s="48" t="s">
        <v>84</v>
      </c>
      <c r="AH110" s="48" t="s">
        <v>80</v>
      </c>
      <c r="AI110" s="48" t="s">
        <v>80</v>
      </c>
      <c r="AJ110" s="48" t="s">
        <v>80</v>
      </c>
      <c r="AK110" s="48" t="s">
        <v>80</v>
      </c>
      <c r="AL110" s="48" t="s">
        <v>80</v>
      </c>
      <c r="AM110" t="str">
        <f>VLOOKUP($R110,武学奇术!$A:$ZZ,25,FALSE)</f>
        <v>心法</v>
      </c>
      <c r="AN110" s="33">
        <f>VLOOKUP($R110,武学奇术!$A:$ZZ,26,FALSE)</f>
        <v>0</v>
      </c>
      <c r="AO110" s="34">
        <f>VLOOKUP($R110,武学奇术!$A:$ZZ,27,FALSE)*(1+IF(OR($AM110=$F$4,$AM110=$F$5),$B$22,0))</f>
        <v>0</v>
      </c>
      <c r="AP110" s="33">
        <f>VLOOKUP($R110,武学奇术!$A:$ZZ,28,FALSE)</f>
        <v>0</v>
      </c>
      <c r="AQ110" s="34">
        <f>VLOOKUP($R110,武学奇术!$A:$ZZ,29,FALSE)*(1+IF(OR($AM110=$F$4,$AM110=$F$5),$B$22,0))</f>
        <v>0</v>
      </c>
      <c r="AR110" s="33" cm="1">
        <f t="array" ref="AR110">$G$3+IFERROR(VLOOKUP($AM110,$F$4:$G$7,2,FALSE),0)+VLOOKUP($R110,武学奇术!$A:$ZZ,2,FALSE)+SUM(_xlfn.XLOOKUP($S110:$AL110,增益!$A:$A,增益!$B:$B,0))</f>
        <v>0.2342</v>
      </c>
      <c r="AS110" s="33" cm="1">
        <f t="array" ref="AS110">VLOOKUP($R110,武学奇术!$A:$ZZ,5,FALSE)+SUM(_xlfn.XLOOKUP($S110:$AL110,增益!$A:$A,增益!$E:$E,0))</f>
        <v>0</v>
      </c>
      <c r="AT110" cm="1">
        <f t="array" ref="AT110">$D$10*(1+$AS110)+VLOOKUP($R110,武学奇术!$A:$ZZ,3,FALSE)+SUM(_xlfn.XLOOKUP($S110:$AL110,增益!$A:$A,增益!$C:$C,0))-$I$2</f>
        <v>4026</v>
      </c>
      <c r="AU110" cm="1">
        <f t="array" ref="AU110">$E$10*(1+$AS110)+VLOOKUP($R110,武学奇术!$A:$ZZ,4,FALSE)+SUM(_xlfn.XLOOKUP($S110:$AL110,增益!$A:$A,增益!$D:$D,0))-$I$2</f>
        <v>4026</v>
      </c>
      <c r="AV110" s="40" cm="1">
        <f t="array" ref="AV110">IF($F$10-$I$3+VLOOKUP($R110,武学奇术!$A:$ZZ,6,FALSE)+SUM(_xlfn.XLOOKUP($S110:$AL110,增益!$A:$A,增益!$F:$F,0))&gt;0,($F$10-$I$3+VLOOKUP($R110,武学奇术!$A:$ZZ,6,FALSE)+SUM(_xlfn.XLOOKUP($S110:$AL110,增益!$A:$A,增益!$F:$F,0)))/200,($F$10-$I$3+VLOOKUP($R110,武学奇术!$A:$ZZ,6,FALSE)+SUM(_xlfn.XLOOKUP($S110:$AL110,增益!$A:$A,增益!$F:$F,0)))/100)</f>
        <v>0.2284</v>
      </c>
      <c r="AW110" s="40" cm="1">
        <f t="array" ref="AW110">$G$10+VLOOKUP($R110,武学奇术!$A:$ZZ,7,FALSE)+SUM(_xlfn.XLOOKUP($S110:$AL110,增益!$A:$A,增益!$G:$G,0))</f>
        <v>0</v>
      </c>
      <c r="AX110" s="33" cm="1">
        <f t="array" ref="AX110">VLOOKUP($R110,武学奇术!$A:$ZZ,8,FALSE)+SUM(_xlfn.XLOOKUP($S110:$AL110,增益!$A:$A,增益!$H:$H,0))</f>
        <v>0</v>
      </c>
      <c r="AY110">
        <f t="shared" si="15"/>
        <v>0</v>
      </c>
      <c r="AZ110">
        <f t="shared" si="16"/>
        <v>0</v>
      </c>
      <c r="BA110" s="40" cm="1">
        <f t="array" ref="BA110">IF($F$11-$I$4+VLOOKUP($R110,武学奇术!$A:$ZZ,9,FALSE)+SUM(_xlfn.XLOOKUP($S110:$AL110,增益!$A:$A,增益!$I:$I,0))&gt;0,($F$11-$I$4+VLOOKUP($R110,武学奇术!$A:$ZZ,9,FALSE)+SUM(_xlfn.XLOOKUP($S110:$AL110,增益!$A:$A,增益!$I:$I,0)))/200,($F$11-$I$4+VLOOKUP($R110,武学奇术!$A:$ZZ,9,FALSE)+SUM(_xlfn.XLOOKUP($S110:$AL110,增益!$A:$A,增益!$I:$I,0)))/100)</f>
        <v>-0.3</v>
      </c>
      <c r="BB110" s="40" cm="1">
        <f t="array" ref="BB110">$G$11+VLOOKUP($R110,武学奇术!$A:$ZZ,10,FALSE)+SUM(_xlfn.XLOOKUP($S110:$AL110,增益!$A:$A,增益!$J:$J,0))</f>
        <v>0</v>
      </c>
      <c r="BC110">
        <f t="shared" si="17"/>
        <v>640.3</v>
      </c>
      <c r="BD110">
        <f t="shared" si="18"/>
        <v>1770.1</v>
      </c>
      <c r="BE110" s="40" cm="1">
        <f t="array" ref="BE110">IF($F$12-$I$4+VLOOKUP($R110,武学奇术!$A:$ZZ,11,FALSE)+SUM(_xlfn.XLOOKUP($S110:$AL110,增益!$A:$A,增益!$K:$K,0))&gt;0,($F$12-$I$4+VLOOKUP($R110,武学奇术!$A:$ZZ,11,FALSE)+SUM(_xlfn.XLOOKUP($S110:$AL110,增益!$A:$A,增益!$K:$K,0)))/200,($F$12-$I$4+VLOOKUP($R110,武学奇术!$A:$ZZ,11,FALSE)+SUM(_xlfn.XLOOKUP($S110:$AL110,增益!$A:$A,增益!$K:$K,0)))/100)</f>
        <v>0.09</v>
      </c>
      <c r="BF110" s="40" cm="1">
        <f t="array" ref="BF110">$G$12+VLOOKUP($R110,武学奇术!$A:$ZZ,12,FALSE)+SUM(_xlfn.XLOOKUP($S110:$AL110,增益!$A:$A,增益!$L:$L,0))</f>
        <v>0.15</v>
      </c>
      <c r="BG110">
        <f t="shared" si="19"/>
        <v>0</v>
      </c>
      <c r="BH110">
        <f t="shared" si="20"/>
        <v>0</v>
      </c>
      <c r="BI110" s="40" cm="1">
        <f t="array" ref="BI110">IF($F$13-$I$4+VLOOKUP($R110,武学奇术!$A:$ZZ,13,FALSE)+SUM(_xlfn.XLOOKUP($S110:$AL110,增益!$A:$A,增益!$M:$M,0))&gt;0,($F$13-$I$4+VLOOKUP($R110,武学奇术!$A:$ZZ,13,FALSE)+SUM(_xlfn.XLOOKUP($S110:$AL110,增益!$A:$A,增益!$K:$K,0)))/200,($F$13-$I$4+VLOOKUP($R110,武学奇术!$A:$ZZ,13,FALSE)+SUM(_xlfn.XLOOKUP($S110:$AL110,增益!$A:$A,增益!$M:$M,0)))/100)</f>
        <v>-0.3</v>
      </c>
      <c r="BJ110" s="40" cm="1">
        <f t="array" ref="BJ110">$G$13+VLOOKUP($R110,武学奇术!$A:$ZZ,14,FALSE)+SUM(_xlfn.XLOOKUP($S110:$AL110,增益!$A:$A,增益!$N:$N,0))</f>
        <v>0</v>
      </c>
      <c r="BK110">
        <f t="shared" si="21"/>
        <v>0</v>
      </c>
      <c r="BL110">
        <f t="shared" si="22"/>
        <v>0</v>
      </c>
      <c r="BM110" s="40" cm="1">
        <f t="array" ref="BM110">IF($F$14-$I$4+VLOOKUP($R110,武学奇术!$A:$ZZ,15,FALSE)+SUM(_xlfn.XLOOKUP($S110:$AL110,增益!$A:$A,增益!$O:$O,0))&gt;0,($F$14-$I$4+VLOOKUP($R110,武学奇术!$A:$ZZ,15,FALSE)+SUM(_xlfn.XLOOKUP($S110:$AL110,增益!$A:$A,增益!$O:$O,0)))/200,($F$14-$I$4+VLOOKUP($R110,武学奇术!$A:$ZZ,15,FALSE)+SUM(_xlfn.XLOOKUP($S110:$AL110,增益!$A:$A,增益!$O:$O,0)))/100)</f>
        <v>-0.3</v>
      </c>
      <c r="BN110" s="40" cm="1">
        <f t="array" ref="BN110">$G$14+VLOOKUP($R110,武学奇术!$A:$ZZ,16,FALSE)+SUM(_xlfn.XLOOKUP($S110:$AL110,增益!$A:$A,增益!$P:$P,0))</f>
        <v>0</v>
      </c>
      <c r="BO110" s="33">
        <f>MIN(IF(VLOOKUP($R110,武学奇术!$A:$ZZ,23,FALSE)=1,100%,$B$8),100%)</f>
        <v>0.9771</v>
      </c>
      <c r="BP110" s="33" cm="1">
        <f t="array" ref="BP110">IF(VLOOKUP($R110,武学奇术!$A:$ZZ,23,FALSE)=1,100%,MIN(80%,$B$9+VLOOKUP($R110,武学奇术!$A:$ZZ,17,FALSE)+SUM(_xlfn.XLOOKUP($S110:$AL110,增益!$A:$A,增益!$Q:$Q,0)))+$B$11+SUM(_xlfn.XLOOKUP($S110:$AL110,增益!$A:$A,增益!$U:$U,0)))*IF(VLOOKUP($R110,武学奇术!$A:$ZZ,24,FALSE)=1,0,1)</f>
        <v>0.8861</v>
      </c>
      <c r="BQ110" s="33" cm="1">
        <f t="array" ref="BQ110">1+$B$13+VLOOKUP($R110,武学奇术!$A:$ZZ,18,FALSE)+SUM(_xlfn.XLOOKUP($S110:$AL110,增益!$A:$A,增益!$R:$R,0))</f>
        <v>1.54</v>
      </c>
      <c r="BR110" s="33" cm="1">
        <f t="array" ref="BR110">IF(VLOOKUP($R110,武学奇术!$A:$ZZ,24,FALSE)=1,100%,MIN(40%,$B$10+VLOOKUP($R110,武学奇术!$A:$ZZ,19,FALSE)+SUM(_xlfn.XLOOKUP($S110:$AL110,增益!$A:$A,增益!$S:$S,0)))+$B$12+SUM(_xlfn.XLOOKUP($S110:$AL110,增益!$A:$A,增益!$V:$V,0)))*IF(VLOOKUP($R110,武学奇术!$A:$ZZ,23,FALSE)=1,0,1)</f>
        <v>0.0913</v>
      </c>
      <c r="BS110" s="33" cm="1">
        <f t="array" ref="BS110">1+$B$14+VLOOKUP($R110,武学奇术!$A:$ZZ,20,FALSE)+SUM(_xlfn.XLOOKUP($S110:$AL110,增益!$A:$A,增益!$T:$T,0))</f>
        <v>1.35</v>
      </c>
      <c r="BT110" s="33">
        <f t="shared" si="23"/>
        <v>0.86580831</v>
      </c>
      <c r="BU110" s="33">
        <f t="shared" si="24"/>
        <v>0.02208246</v>
      </c>
      <c r="BV110" s="33">
        <f>IF(VLOOKUP($R110,武学奇术!$A:$ZZ,22,FALSE)=1,0,(1-$BO110))*(1-$BR110)</f>
        <v>0.02080923</v>
      </c>
      <c r="BW110" s="33" cm="1">
        <f t="array" ref="BW110">SUM(_xlfn.XLOOKUP($S110:$AL110,增益!$A:$A,增益!$W:$W,0))+$I$5</f>
        <v>0.11</v>
      </c>
      <c r="BX110" s="33" cm="1">
        <f t="array" ref="BX110">VLOOKUP($R110,武学奇术!$A:$ZZ,32,FALSE)+SUM(_xlfn.XLOOKUP($S110:$AL110,增益!$A:$A,增益!$X:$X,0))</f>
        <v>0</v>
      </c>
    </row>
    <row r="111" spans="12:76">
      <c r="L111" s="46">
        <f t="shared" si="14"/>
        <v>0</v>
      </c>
      <c r="M111" s="46">
        <f>((($AT111+$AU111)/2*$AN111+$AO111)*(1+$AV111)*(1+$AW111)+(($AY111+$AZ111)/2*IF($G$1="鸣金",$AP111,$AN111)+IF($G$1="鸣金",$AQ111*1.5,0))*(1+$BA111)*(1+$BB111)+(($BC111+$BD111)/2*IF($G$1="裂石",$AP111,$AN111)+IF($G$1="裂石",$AQ111*1.5,0))*(1+$BE111)*(1+$BF111)+(($BG111+$BH111)/2*IF($G$1="牵丝",$AP111,$AN111)+IF($G$1="牵丝",$AQ111*1.5,0))*(1+$BI111)*(1+$BJ111)+(($BK111+$BL111)/2*IF($G$1="破竹",$AP111,$AN111)+IF($G$1="破竹",$AQ111*1.5,0))*(1+$BM111)*(1+$BN111))*(1+$AR111)*$BQ111*$Q111*(1+IF(VLOOKUP($R111,武学奇术!$A:$ZZ,30,FALSE)="蓄力技",$B$21,0))*(1+IF(VLOOKUP($R111,武学奇术!$A:$ZZ,30,FALSE)="派生技",$B$20,0))*(1+$BW111)*(1+$BX111)</f>
        <v>0</v>
      </c>
      <c r="N111" s="46">
        <f>(($AU111*$AN111+$AO111)*(1+$AV111)*(1+$AW111)+($AZ111*IF($G$1="鸣金",$AP111,$AN111)+IF($G$1="鸣金",$AQ111*1.5,0))*(1+$BA111)*(1+$BB111)+($BD111*IF($G$1="裂石",$AP111,$AN111)+IF($G$1="裂石",$AQ111*1.5,0))*(1+$BE111)*(1+$BF111)+($BH111*IF($G$1="牵丝",$AP111,$AN111)+IF($G$1="牵丝",$AQ111*1.5,0))*(1+$BI111)*(1+$BJ111)+($BL111*IF($G$1="破竹",$AP111,$AN111)+IF($G$1="破竹",$AQ111*1.5,0))*(1+$BM111)*(1+$BN111))*(1+$AR111)*$BS111*$Q111*(1+IF(VLOOKUP($R111,武学奇术!$A:$ZZ,30,FALSE)="蓄力技",$B$21,0))*(1+IF(VLOOKUP($R111,武学奇术!$A:$ZZ,30,FALSE)="派生技",$B$20,0))*(1+$BW111)*(1+$BX111)</f>
        <v>0</v>
      </c>
      <c r="O111" s="46">
        <f>((($AT111+$AU111)/2*$AN111+$AO111)*(1+$AV111)*(1+$AW111)+(($AY111+$AZ111)/2*IF($G$1="鸣金",$AP111,$AN111)+IF($G$1="鸣金",$AQ111*1.5,0))*(1+$BA111)*(1+$BB111)+(($BC111+$BD111)/2*IF($G$1="裂石",$AP111,$AN111)+IF($G$1="裂石",$AQ111*1.5,0))*(1+$BE111)*(1+$BF111)+(($BG111+$BH111)/2*IF($G$1="牵丝",$AP111,$AN111)+IF($G$1="牵丝",$AQ111*1.5,0))*(1+$BI111)*(1+$BJ111)+(($BK111+$BL111)/2*IF($G$1="破竹",$AP111,$AN111)+IF($G$1="破竹",$AQ111*1.5,0))*(1+$BM111)*(1+$BN111))*(1+$AR111)*$Q111*(1+IF(VLOOKUP($R111,武学奇术!$A:$ZZ,30,FALSE)="蓄力技",$B$21,0))*(1+IF(VLOOKUP($R111,武学奇术!$A:$ZZ,30,FALSE)="派生技",$B$20,0))*(1+$BW111)*(1+$BX111)</f>
        <v>0</v>
      </c>
      <c r="P111" s="46">
        <f>((($AT111*$AN111+$AO111)*(1+$AV111)*(1+$AW111)+($AY111*IF($G$1="鸣金",$AP111,$AN111)+IF($G$1="鸣金",$AQ111*1.5,0))*(1+$BA111)*(1+$BB111)+($BC111*IF($G$1="裂石",$AP111,$AN111)+IF($G$1="裂石",$AQ111*1.5,0))*(1+$BE111)*(1+$BF111)+($BG111*IF($G$1="牵丝",$AP111,$AN111)+IF($G$1="牵丝",$AQ111*1.5,0))*(1+$BI111)*(1+$BJ111)+($BK111*IF($G$1="破竹",$AP111,$AN111)+IF($G$1="破竹",$AQ111*1.5,0))*(1+$BM111)*(1+$BN111))*(1+$AR111))*$Q111*(1+IF(VLOOKUP($R111,武学奇术!$A:$ZZ,30,FALSE)="蓄力技",$B$21,0))*(1+IF(VLOOKUP($R111,武学奇术!$A:$ZZ,30,FALSE)="派生技",$B$20,0))*(1+$BW111)*(1+$BX111)</f>
        <v>0</v>
      </c>
      <c r="Q111" s="47">
        <v>1</v>
      </c>
      <c r="R111" s="48" t="s">
        <v>80</v>
      </c>
      <c r="S111" s="48" t="s">
        <v>80</v>
      </c>
      <c r="T111" s="48" t="s">
        <v>80</v>
      </c>
      <c r="U111" s="48" t="s">
        <v>80</v>
      </c>
      <c r="V111" s="48" t="s">
        <v>80</v>
      </c>
      <c r="W111" s="48" t="s">
        <v>80</v>
      </c>
      <c r="X111" s="48" t="s">
        <v>80</v>
      </c>
      <c r="Y111" s="48" t="s">
        <v>80</v>
      </c>
      <c r="Z111" s="48" t="s">
        <v>80</v>
      </c>
      <c r="AA111" s="48" t="s">
        <v>80</v>
      </c>
      <c r="AB111" s="48" t="s">
        <v>80</v>
      </c>
      <c r="AC111" s="48" t="s">
        <v>80</v>
      </c>
      <c r="AD111" s="48" t="s">
        <v>80</v>
      </c>
      <c r="AE111" s="48" t="s">
        <v>80</v>
      </c>
      <c r="AF111" s="48" t="s">
        <v>83</v>
      </c>
      <c r="AG111" s="48" t="s">
        <v>84</v>
      </c>
      <c r="AH111" s="48" t="s">
        <v>80</v>
      </c>
      <c r="AI111" s="48" t="s">
        <v>80</v>
      </c>
      <c r="AJ111" s="48" t="s">
        <v>80</v>
      </c>
      <c r="AK111" s="48" t="s">
        <v>80</v>
      </c>
      <c r="AL111" s="48" t="s">
        <v>80</v>
      </c>
      <c r="AM111" t="str">
        <f>VLOOKUP($R111,武学奇术!$A:$ZZ,25,FALSE)</f>
        <v>心法</v>
      </c>
      <c r="AN111" s="33">
        <f>VLOOKUP($R111,武学奇术!$A:$ZZ,26,FALSE)</f>
        <v>0</v>
      </c>
      <c r="AO111" s="34">
        <f>VLOOKUP($R111,武学奇术!$A:$ZZ,27,FALSE)*(1+IF(OR($AM111=$F$4,$AM111=$F$5),$B$22,0))</f>
        <v>0</v>
      </c>
      <c r="AP111" s="33">
        <f>VLOOKUP($R111,武学奇术!$A:$ZZ,28,FALSE)</f>
        <v>0</v>
      </c>
      <c r="AQ111" s="34">
        <f>VLOOKUP($R111,武学奇术!$A:$ZZ,29,FALSE)*(1+IF(OR($AM111=$F$4,$AM111=$F$5),$B$22,0))</f>
        <v>0</v>
      </c>
      <c r="AR111" s="33" cm="1">
        <f t="array" ref="AR111">$G$3+IFERROR(VLOOKUP($AM111,$F$4:$G$7,2,FALSE),0)+VLOOKUP($R111,武学奇术!$A:$ZZ,2,FALSE)+SUM(_xlfn.XLOOKUP($S111:$AL111,增益!$A:$A,增益!$B:$B,0))</f>
        <v>0.2342</v>
      </c>
      <c r="AS111" s="33" cm="1">
        <f t="array" ref="AS111">VLOOKUP($R111,武学奇术!$A:$ZZ,5,FALSE)+SUM(_xlfn.XLOOKUP($S111:$AL111,增益!$A:$A,增益!$E:$E,0))</f>
        <v>0</v>
      </c>
      <c r="AT111" cm="1">
        <f t="array" ref="AT111">$D$10*(1+$AS111)+VLOOKUP($R111,武学奇术!$A:$ZZ,3,FALSE)+SUM(_xlfn.XLOOKUP($S111:$AL111,增益!$A:$A,增益!$C:$C,0))-$I$2</f>
        <v>4026</v>
      </c>
      <c r="AU111" cm="1">
        <f t="array" ref="AU111">$E$10*(1+$AS111)+VLOOKUP($R111,武学奇术!$A:$ZZ,4,FALSE)+SUM(_xlfn.XLOOKUP($S111:$AL111,增益!$A:$A,增益!$D:$D,0))-$I$2</f>
        <v>4026</v>
      </c>
      <c r="AV111" s="40" cm="1">
        <f t="array" ref="AV111">IF($F$10-$I$3+VLOOKUP($R111,武学奇术!$A:$ZZ,6,FALSE)+SUM(_xlfn.XLOOKUP($S111:$AL111,增益!$A:$A,增益!$F:$F,0))&gt;0,($F$10-$I$3+VLOOKUP($R111,武学奇术!$A:$ZZ,6,FALSE)+SUM(_xlfn.XLOOKUP($S111:$AL111,增益!$A:$A,增益!$F:$F,0)))/200,($F$10-$I$3+VLOOKUP($R111,武学奇术!$A:$ZZ,6,FALSE)+SUM(_xlfn.XLOOKUP($S111:$AL111,增益!$A:$A,增益!$F:$F,0)))/100)</f>
        <v>0.2284</v>
      </c>
      <c r="AW111" s="40" cm="1">
        <f t="array" ref="AW111">$G$10+VLOOKUP($R111,武学奇术!$A:$ZZ,7,FALSE)+SUM(_xlfn.XLOOKUP($S111:$AL111,增益!$A:$A,增益!$G:$G,0))</f>
        <v>0</v>
      </c>
      <c r="AX111" s="33" cm="1">
        <f t="array" ref="AX111">VLOOKUP($R111,武学奇术!$A:$ZZ,8,FALSE)+SUM(_xlfn.XLOOKUP($S111:$AL111,增益!$A:$A,增益!$H:$H,0))</f>
        <v>0</v>
      </c>
      <c r="AY111">
        <f t="shared" si="15"/>
        <v>0</v>
      </c>
      <c r="AZ111">
        <f t="shared" si="16"/>
        <v>0</v>
      </c>
      <c r="BA111" s="40" cm="1">
        <f t="array" ref="BA111">IF($F$11-$I$4+VLOOKUP($R111,武学奇术!$A:$ZZ,9,FALSE)+SUM(_xlfn.XLOOKUP($S111:$AL111,增益!$A:$A,增益!$I:$I,0))&gt;0,($F$11-$I$4+VLOOKUP($R111,武学奇术!$A:$ZZ,9,FALSE)+SUM(_xlfn.XLOOKUP($S111:$AL111,增益!$A:$A,增益!$I:$I,0)))/200,($F$11-$I$4+VLOOKUP($R111,武学奇术!$A:$ZZ,9,FALSE)+SUM(_xlfn.XLOOKUP($S111:$AL111,增益!$A:$A,增益!$I:$I,0)))/100)</f>
        <v>-0.3</v>
      </c>
      <c r="BB111" s="40" cm="1">
        <f t="array" ref="BB111">$G$11+VLOOKUP($R111,武学奇术!$A:$ZZ,10,FALSE)+SUM(_xlfn.XLOOKUP($S111:$AL111,增益!$A:$A,增益!$J:$J,0))</f>
        <v>0</v>
      </c>
      <c r="BC111">
        <f t="shared" si="17"/>
        <v>640.3</v>
      </c>
      <c r="BD111">
        <f t="shared" si="18"/>
        <v>1770.1</v>
      </c>
      <c r="BE111" s="40" cm="1">
        <f t="array" ref="BE111">IF($F$12-$I$4+VLOOKUP($R111,武学奇术!$A:$ZZ,11,FALSE)+SUM(_xlfn.XLOOKUP($S111:$AL111,增益!$A:$A,增益!$K:$K,0))&gt;0,($F$12-$I$4+VLOOKUP($R111,武学奇术!$A:$ZZ,11,FALSE)+SUM(_xlfn.XLOOKUP($S111:$AL111,增益!$A:$A,增益!$K:$K,0)))/200,($F$12-$I$4+VLOOKUP($R111,武学奇术!$A:$ZZ,11,FALSE)+SUM(_xlfn.XLOOKUP($S111:$AL111,增益!$A:$A,增益!$K:$K,0)))/100)</f>
        <v>0.09</v>
      </c>
      <c r="BF111" s="40" cm="1">
        <f t="array" ref="BF111">$G$12+VLOOKUP($R111,武学奇术!$A:$ZZ,12,FALSE)+SUM(_xlfn.XLOOKUP($S111:$AL111,增益!$A:$A,增益!$L:$L,0))</f>
        <v>0.15</v>
      </c>
      <c r="BG111">
        <f t="shared" si="19"/>
        <v>0</v>
      </c>
      <c r="BH111">
        <f t="shared" si="20"/>
        <v>0</v>
      </c>
      <c r="BI111" s="40" cm="1">
        <f t="array" ref="BI111">IF($F$13-$I$4+VLOOKUP($R111,武学奇术!$A:$ZZ,13,FALSE)+SUM(_xlfn.XLOOKUP($S111:$AL111,增益!$A:$A,增益!$M:$M,0))&gt;0,($F$13-$I$4+VLOOKUP($R111,武学奇术!$A:$ZZ,13,FALSE)+SUM(_xlfn.XLOOKUP($S111:$AL111,增益!$A:$A,增益!$K:$K,0)))/200,($F$13-$I$4+VLOOKUP($R111,武学奇术!$A:$ZZ,13,FALSE)+SUM(_xlfn.XLOOKUP($S111:$AL111,增益!$A:$A,增益!$M:$M,0)))/100)</f>
        <v>-0.3</v>
      </c>
      <c r="BJ111" s="40" cm="1">
        <f t="array" ref="BJ111">$G$13+VLOOKUP($R111,武学奇术!$A:$ZZ,14,FALSE)+SUM(_xlfn.XLOOKUP($S111:$AL111,增益!$A:$A,增益!$N:$N,0))</f>
        <v>0</v>
      </c>
      <c r="BK111">
        <f t="shared" si="21"/>
        <v>0</v>
      </c>
      <c r="BL111">
        <f t="shared" si="22"/>
        <v>0</v>
      </c>
      <c r="BM111" s="40" cm="1">
        <f t="array" ref="BM111">IF($F$14-$I$4+VLOOKUP($R111,武学奇术!$A:$ZZ,15,FALSE)+SUM(_xlfn.XLOOKUP($S111:$AL111,增益!$A:$A,增益!$O:$O,0))&gt;0,($F$14-$I$4+VLOOKUP($R111,武学奇术!$A:$ZZ,15,FALSE)+SUM(_xlfn.XLOOKUP($S111:$AL111,增益!$A:$A,增益!$O:$O,0)))/200,($F$14-$I$4+VLOOKUP($R111,武学奇术!$A:$ZZ,15,FALSE)+SUM(_xlfn.XLOOKUP($S111:$AL111,增益!$A:$A,增益!$O:$O,0)))/100)</f>
        <v>-0.3</v>
      </c>
      <c r="BN111" s="40" cm="1">
        <f t="array" ref="BN111">$G$14+VLOOKUP($R111,武学奇术!$A:$ZZ,16,FALSE)+SUM(_xlfn.XLOOKUP($S111:$AL111,增益!$A:$A,增益!$P:$P,0))</f>
        <v>0</v>
      </c>
      <c r="BO111" s="33">
        <f>MIN(IF(VLOOKUP($R111,武学奇术!$A:$ZZ,23,FALSE)=1,100%,$B$8),100%)</f>
        <v>0.9771</v>
      </c>
      <c r="BP111" s="33" cm="1">
        <f t="array" ref="BP111">IF(VLOOKUP($R111,武学奇术!$A:$ZZ,23,FALSE)=1,100%,MIN(80%,$B$9+VLOOKUP($R111,武学奇术!$A:$ZZ,17,FALSE)+SUM(_xlfn.XLOOKUP($S111:$AL111,增益!$A:$A,增益!$Q:$Q,0)))+$B$11+SUM(_xlfn.XLOOKUP($S111:$AL111,增益!$A:$A,增益!$U:$U,0)))*IF(VLOOKUP($R111,武学奇术!$A:$ZZ,24,FALSE)=1,0,1)</f>
        <v>0.8861</v>
      </c>
      <c r="BQ111" s="33" cm="1">
        <f t="array" ref="BQ111">1+$B$13+VLOOKUP($R111,武学奇术!$A:$ZZ,18,FALSE)+SUM(_xlfn.XLOOKUP($S111:$AL111,增益!$A:$A,增益!$R:$R,0))</f>
        <v>1.54</v>
      </c>
      <c r="BR111" s="33" cm="1">
        <f t="array" ref="BR111">IF(VLOOKUP($R111,武学奇术!$A:$ZZ,24,FALSE)=1,100%,MIN(40%,$B$10+VLOOKUP($R111,武学奇术!$A:$ZZ,19,FALSE)+SUM(_xlfn.XLOOKUP($S111:$AL111,增益!$A:$A,增益!$S:$S,0)))+$B$12+SUM(_xlfn.XLOOKUP($S111:$AL111,增益!$A:$A,增益!$V:$V,0)))*IF(VLOOKUP($R111,武学奇术!$A:$ZZ,23,FALSE)=1,0,1)</f>
        <v>0.0913</v>
      </c>
      <c r="BS111" s="33" cm="1">
        <f t="array" ref="BS111">1+$B$14+VLOOKUP($R111,武学奇术!$A:$ZZ,20,FALSE)+SUM(_xlfn.XLOOKUP($S111:$AL111,增益!$A:$A,增益!$T:$T,0))</f>
        <v>1.35</v>
      </c>
      <c r="BT111" s="33">
        <f t="shared" si="23"/>
        <v>0.86580831</v>
      </c>
      <c r="BU111" s="33">
        <f t="shared" si="24"/>
        <v>0.02208246</v>
      </c>
      <c r="BV111" s="33">
        <f>IF(VLOOKUP($R111,武学奇术!$A:$ZZ,22,FALSE)=1,0,(1-$BO111))*(1-$BR111)</f>
        <v>0.02080923</v>
      </c>
      <c r="BW111" s="33" cm="1">
        <f t="array" ref="BW111">SUM(_xlfn.XLOOKUP($S111:$AL111,增益!$A:$A,增益!$W:$W,0))+$I$5</f>
        <v>0.11</v>
      </c>
      <c r="BX111" s="33" cm="1">
        <f t="array" ref="BX111">VLOOKUP($R111,武学奇术!$A:$ZZ,32,FALSE)+SUM(_xlfn.XLOOKUP($S111:$AL111,增益!$A:$A,增益!$X:$X,0))</f>
        <v>0</v>
      </c>
    </row>
    <row r="112" spans="12:76">
      <c r="L112" s="46">
        <f t="shared" si="14"/>
        <v>0</v>
      </c>
      <c r="M112" s="46">
        <f>((($AT112+$AU112)/2*$AN112+$AO112)*(1+$AV112)*(1+$AW112)+(($AY112+$AZ112)/2*IF($G$1="鸣金",$AP112,$AN112)+IF($G$1="鸣金",$AQ112*1.5,0))*(1+$BA112)*(1+$BB112)+(($BC112+$BD112)/2*IF($G$1="裂石",$AP112,$AN112)+IF($G$1="裂石",$AQ112*1.5,0))*(1+$BE112)*(1+$BF112)+(($BG112+$BH112)/2*IF($G$1="牵丝",$AP112,$AN112)+IF($G$1="牵丝",$AQ112*1.5,0))*(1+$BI112)*(1+$BJ112)+(($BK112+$BL112)/2*IF($G$1="破竹",$AP112,$AN112)+IF($G$1="破竹",$AQ112*1.5,0))*(1+$BM112)*(1+$BN112))*(1+$AR112)*$BQ112*$Q112*(1+IF(VLOOKUP($R112,武学奇术!$A:$ZZ,30,FALSE)="蓄力技",$B$21,0))*(1+IF(VLOOKUP($R112,武学奇术!$A:$ZZ,30,FALSE)="派生技",$B$20,0))*(1+$BW112)*(1+$BX112)</f>
        <v>0</v>
      </c>
      <c r="N112" s="46">
        <f>(($AU112*$AN112+$AO112)*(1+$AV112)*(1+$AW112)+($AZ112*IF($G$1="鸣金",$AP112,$AN112)+IF($G$1="鸣金",$AQ112*1.5,0))*(1+$BA112)*(1+$BB112)+($BD112*IF($G$1="裂石",$AP112,$AN112)+IF($G$1="裂石",$AQ112*1.5,0))*(1+$BE112)*(1+$BF112)+($BH112*IF($G$1="牵丝",$AP112,$AN112)+IF($G$1="牵丝",$AQ112*1.5,0))*(1+$BI112)*(1+$BJ112)+($BL112*IF($G$1="破竹",$AP112,$AN112)+IF($G$1="破竹",$AQ112*1.5,0))*(1+$BM112)*(1+$BN112))*(1+$AR112)*$BS112*$Q112*(1+IF(VLOOKUP($R112,武学奇术!$A:$ZZ,30,FALSE)="蓄力技",$B$21,0))*(1+IF(VLOOKUP($R112,武学奇术!$A:$ZZ,30,FALSE)="派生技",$B$20,0))*(1+$BW112)*(1+$BX112)</f>
        <v>0</v>
      </c>
      <c r="O112" s="46">
        <f>((($AT112+$AU112)/2*$AN112+$AO112)*(1+$AV112)*(1+$AW112)+(($AY112+$AZ112)/2*IF($G$1="鸣金",$AP112,$AN112)+IF($G$1="鸣金",$AQ112*1.5,0))*(1+$BA112)*(1+$BB112)+(($BC112+$BD112)/2*IF($G$1="裂石",$AP112,$AN112)+IF($G$1="裂石",$AQ112*1.5,0))*(1+$BE112)*(1+$BF112)+(($BG112+$BH112)/2*IF($G$1="牵丝",$AP112,$AN112)+IF($G$1="牵丝",$AQ112*1.5,0))*(1+$BI112)*(1+$BJ112)+(($BK112+$BL112)/2*IF($G$1="破竹",$AP112,$AN112)+IF($G$1="破竹",$AQ112*1.5,0))*(1+$BM112)*(1+$BN112))*(1+$AR112)*$Q112*(1+IF(VLOOKUP($R112,武学奇术!$A:$ZZ,30,FALSE)="蓄力技",$B$21,0))*(1+IF(VLOOKUP($R112,武学奇术!$A:$ZZ,30,FALSE)="派生技",$B$20,0))*(1+$BW112)*(1+$BX112)</f>
        <v>0</v>
      </c>
      <c r="P112" s="46">
        <f>((($AT112*$AN112+$AO112)*(1+$AV112)*(1+$AW112)+($AY112*IF($G$1="鸣金",$AP112,$AN112)+IF($G$1="鸣金",$AQ112*1.5,0))*(1+$BA112)*(1+$BB112)+($BC112*IF($G$1="裂石",$AP112,$AN112)+IF($G$1="裂石",$AQ112*1.5,0))*(1+$BE112)*(1+$BF112)+($BG112*IF($G$1="牵丝",$AP112,$AN112)+IF($G$1="牵丝",$AQ112*1.5,0))*(1+$BI112)*(1+$BJ112)+($BK112*IF($G$1="破竹",$AP112,$AN112)+IF($G$1="破竹",$AQ112*1.5,0))*(1+$BM112)*(1+$BN112))*(1+$AR112))*$Q112*(1+IF(VLOOKUP($R112,武学奇术!$A:$ZZ,30,FALSE)="蓄力技",$B$21,0))*(1+IF(VLOOKUP($R112,武学奇术!$A:$ZZ,30,FALSE)="派生技",$B$20,0))*(1+$BW112)*(1+$BX112)</f>
        <v>0</v>
      </c>
      <c r="Q112" s="47">
        <v>1</v>
      </c>
      <c r="R112" s="48" t="s">
        <v>80</v>
      </c>
      <c r="S112" s="48" t="s">
        <v>80</v>
      </c>
      <c r="T112" s="48" t="s">
        <v>80</v>
      </c>
      <c r="U112" s="48" t="s">
        <v>80</v>
      </c>
      <c r="V112" s="48" t="s">
        <v>80</v>
      </c>
      <c r="W112" s="48" t="s">
        <v>80</v>
      </c>
      <c r="X112" s="48" t="s">
        <v>80</v>
      </c>
      <c r="Y112" s="48" t="s">
        <v>80</v>
      </c>
      <c r="Z112" s="48" t="s">
        <v>80</v>
      </c>
      <c r="AA112" s="48" t="s">
        <v>80</v>
      </c>
      <c r="AB112" s="48" t="s">
        <v>80</v>
      </c>
      <c r="AC112" s="48" t="s">
        <v>80</v>
      </c>
      <c r="AD112" s="48" t="s">
        <v>80</v>
      </c>
      <c r="AE112" s="48" t="s">
        <v>80</v>
      </c>
      <c r="AF112" s="48" t="s">
        <v>83</v>
      </c>
      <c r="AG112" s="48" t="s">
        <v>84</v>
      </c>
      <c r="AH112" s="48" t="s">
        <v>80</v>
      </c>
      <c r="AI112" s="48" t="s">
        <v>80</v>
      </c>
      <c r="AJ112" s="48" t="s">
        <v>80</v>
      </c>
      <c r="AK112" s="48" t="s">
        <v>80</v>
      </c>
      <c r="AL112" s="48" t="s">
        <v>80</v>
      </c>
      <c r="AM112" t="str">
        <f>VLOOKUP($R112,武学奇术!$A:$ZZ,25,FALSE)</f>
        <v>心法</v>
      </c>
      <c r="AN112" s="33">
        <f>VLOOKUP($R112,武学奇术!$A:$ZZ,26,FALSE)</f>
        <v>0</v>
      </c>
      <c r="AO112" s="34">
        <f>VLOOKUP($R112,武学奇术!$A:$ZZ,27,FALSE)*(1+IF(OR($AM112=$F$4,$AM112=$F$5),$B$22,0))</f>
        <v>0</v>
      </c>
      <c r="AP112" s="33">
        <f>VLOOKUP($R112,武学奇术!$A:$ZZ,28,FALSE)</f>
        <v>0</v>
      </c>
      <c r="AQ112" s="34">
        <f>VLOOKUP($R112,武学奇术!$A:$ZZ,29,FALSE)*(1+IF(OR($AM112=$F$4,$AM112=$F$5),$B$22,0))</f>
        <v>0</v>
      </c>
      <c r="AR112" s="33" cm="1">
        <f t="array" ref="AR112">$G$3+IFERROR(VLOOKUP($AM112,$F$4:$G$7,2,FALSE),0)+VLOOKUP($R112,武学奇术!$A:$ZZ,2,FALSE)+SUM(_xlfn.XLOOKUP($S112:$AL112,增益!$A:$A,增益!$B:$B,0))</f>
        <v>0.2342</v>
      </c>
      <c r="AS112" s="33" cm="1">
        <f t="array" ref="AS112">VLOOKUP($R112,武学奇术!$A:$ZZ,5,FALSE)+SUM(_xlfn.XLOOKUP($S112:$AL112,增益!$A:$A,增益!$E:$E,0))</f>
        <v>0</v>
      </c>
      <c r="AT112" cm="1">
        <f t="array" ref="AT112">$D$10*(1+$AS112)+VLOOKUP($R112,武学奇术!$A:$ZZ,3,FALSE)+SUM(_xlfn.XLOOKUP($S112:$AL112,增益!$A:$A,增益!$C:$C,0))-$I$2</f>
        <v>4026</v>
      </c>
      <c r="AU112" cm="1">
        <f t="array" ref="AU112">$E$10*(1+$AS112)+VLOOKUP($R112,武学奇术!$A:$ZZ,4,FALSE)+SUM(_xlfn.XLOOKUP($S112:$AL112,增益!$A:$A,增益!$D:$D,0))-$I$2</f>
        <v>4026</v>
      </c>
      <c r="AV112" s="40" cm="1">
        <f t="array" ref="AV112">IF($F$10-$I$3+VLOOKUP($R112,武学奇术!$A:$ZZ,6,FALSE)+SUM(_xlfn.XLOOKUP($S112:$AL112,增益!$A:$A,增益!$F:$F,0))&gt;0,($F$10-$I$3+VLOOKUP($R112,武学奇术!$A:$ZZ,6,FALSE)+SUM(_xlfn.XLOOKUP($S112:$AL112,增益!$A:$A,增益!$F:$F,0)))/200,($F$10-$I$3+VLOOKUP($R112,武学奇术!$A:$ZZ,6,FALSE)+SUM(_xlfn.XLOOKUP($S112:$AL112,增益!$A:$A,增益!$F:$F,0)))/100)</f>
        <v>0.2284</v>
      </c>
      <c r="AW112" s="40" cm="1">
        <f t="array" ref="AW112">$G$10+VLOOKUP($R112,武学奇术!$A:$ZZ,7,FALSE)+SUM(_xlfn.XLOOKUP($S112:$AL112,增益!$A:$A,增益!$G:$G,0))</f>
        <v>0</v>
      </c>
      <c r="AX112" s="33" cm="1">
        <f t="array" ref="AX112">VLOOKUP($R112,武学奇术!$A:$ZZ,8,FALSE)+SUM(_xlfn.XLOOKUP($S112:$AL112,增益!$A:$A,增益!$H:$H,0))</f>
        <v>0</v>
      </c>
      <c r="AY112">
        <f t="shared" si="15"/>
        <v>0</v>
      </c>
      <c r="AZ112">
        <f t="shared" si="16"/>
        <v>0</v>
      </c>
      <c r="BA112" s="40" cm="1">
        <f t="array" ref="BA112">IF($F$11-$I$4+VLOOKUP($R112,武学奇术!$A:$ZZ,9,FALSE)+SUM(_xlfn.XLOOKUP($S112:$AL112,增益!$A:$A,增益!$I:$I,0))&gt;0,($F$11-$I$4+VLOOKUP($R112,武学奇术!$A:$ZZ,9,FALSE)+SUM(_xlfn.XLOOKUP($S112:$AL112,增益!$A:$A,增益!$I:$I,0)))/200,($F$11-$I$4+VLOOKUP($R112,武学奇术!$A:$ZZ,9,FALSE)+SUM(_xlfn.XLOOKUP($S112:$AL112,增益!$A:$A,增益!$I:$I,0)))/100)</f>
        <v>-0.3</v>
      </c>
      <c r="BB112" s="40" cm="1">
        <f t="array" ref="BB112">$G$11+VLOOKUP($R112,武学奇术!$A:$ZZ,10,FALSE)+SUM(_xlfn.XLOOKUP($S112:$AL112,增益!$A:$A,增益!$J:$J,0))</f>
        <v>0</v>
      </c>
      <c r="BC112">
        <f t="shared" si="17"/>
        <v>640.3</v>
      </c>
      <c r="BD112">
        <f t="shared" si="18"/>
        <v>1770.1</v>
      </c>
      <c r="BE112" s="40" cm="1">
        <f t="array" ref="BE112">IF($F$12-$I$4+VLOOKUP($R112,武学奇术!$A:$ZZ,11,FALSE)+SUM(_xlfn.XLOOKUP($S112:$AL112,增益!$A:$A,增益!$K:$K,0))&gt;0,($F$12-$I$4+VLOOKUP($R112,武学奇术!$A:$ZZ,11,FALSE)+SUM(_xlfn.XLOOKUP($S112:$AL112,增益!$A:$A,增益!$K:$K,0)))/200,($F$12-$I$4+VLOOKUP($R112,武学奇术!$A:$ZZ,11,FALSE)+SUM(_xlfn.XLOOKUP($S112:$AL112,增益!$A:$A,增益!$K:$K,0)))/100)</f>
        <v>0.09</v>
      </c>
      <c r="BF112" s="40" cm="1">
        <f t="array" ref="BF112">$G$12+VLOOKUP($R112,武学奇术!$A:$ZZ,12,FALSE)+SUM(_xlfn.XLOOKUP($S112:$AL112,增益!$A:$A,增益!$L:$L,0))</f>
        <v>0.15</v>
      </c>
      <c r="BG112">
        <f t="shared" si="19"/>
        <v>0</v>
      </c>
      <c r="BH112">
        <f t="shared" si="20"/>
        <v>0</v>
      </c>
      <c r="BI112" s="40" cm="1">
        <f t="array" ref="BI112">IF($F$13-$I$4+VLOOKUP($R112,武学奇术!$A:$ZZ,13,FALSE)+SUM(_xlfn.XLOOKUP($S112:$AL112,增益!$A:$A,增益!$M:$M,0))&gt;0,($F$13-$I$4+VLOOKUP($R112,武学奇术!$A:$ZZ,13,FALSE)+SUM(_xlfn.XLOOKUP($S112:$AL112,增益!$A:$A,增益!$K:$K,0)))/200,($F$13-$I$4+VLOOKUP($R112,武学奇术!$A:$ZZ,13,FALSE)+SUM(_xlfn.XLOOKUP($S112:$AL112,增益!$A:$A,增益!$M:$M,0)))/100)</f>
        <v>-0.3</v>
      </c>
      <c r="BJ112" s="40" cm="1">
        <f t="array" ref="BJ112">$G$13+VLOOKUP($R112,武学奇术!$A:$ZZ,14,FALSE)+SUM(_xlfn.XLOOKUP($S112:$AL112,增益!$A:$A,增益!$N:$N,0))</f>
        <v>0</v>
      </c>
      <c r="BK112">
        <f t="shared" si="21"/>
        <v>0</v>
      </c>
      <c r="BL112">
        <f t="shared" si="22"/>
        <v>0</v>
      </c>
      <c r="BM112" s="40" cm="1">
        <f t="array" ref="BM112">IF($F$14-$I$4+VLOOKUP($R112,武学奇术!$A:$ZZ,15,FALSE)+SUM(_xlfn.XLOOKUP($S112:$AL112,增益!$A:$A,增益!$O:$O,0))&gt;0,($F$14-$I$4+VLOOKUP($R112,武学奇术!$A:$ZZ,15,FALSE)+SUM(_xlfn.XLOOKUP($S112:$AL112,增益!$A:$A,增益!$O:$O,0)))/200,($F$14-$I$4+VLOOKUP($R112,武学奇术!$A:$ZZ,15,FALSE)+SUM(_xlfn.XLOOKUP($S112:$AL112,增益!$A:$A,增益!$O:$O,0)))/100)</f>
        <v>-0.3</v>
      </c>
      <c r="BN112" s="40" cm="1">
        <f t="array" ref="BN112">$G$14+VLOOKUP($R112,武学奇术!$A:$ZZ,16,FALSE)+SUM(_xlfn.XLOOKUP($S112:$AL112,增益!$A:$A,增益!$P:$P,0))</f>
        <v>0</v>
      </c>
      <c r="BO112" s="33">
        <f>MIN(IF(VLOOKUP($R112,武学奇术!$A:$ZZ,23,FALSE)=1,100%,$B$8),100%)</f>
        <v>0.9771</v>
      </c>
      <c r="BP112" s="33" cm="1">
        <f t="array" ref="BP112">IF(VLOOKUP($R112,武学奇术!$A:$ZZ,23,FALSE)=1,100%,MIN(80%,$B$9+VLOOKUP($R112,武学奇术!$A:$ZZ,17,FALSE)+SUM(_xlfn.XLOOKUP($S112:$AL112,增益!$A:$A,增益!$Q:$Q,0)))+$B$11+SUM(_xlfn.XLOOKUP($S112:$AL112,增益!$A:$A,增益!$U:$U,0)))*IF(VLOOKUP($R112,武学奇术!$A:$ZZ,24,FALSE)=1,0,1)</f>
        <v>0.8861</v>
      </c>
      <c r="BQ112" s="33" cm="1">
        <f t="array" ref="BQ112">1+$B$13+VLOOKUP($R112,武学奇术!$A:$ZZ,18,FALSE)+SUM(_xlfn.XLOOKUP($S112:$AL112,增益!$A:$A,增益!$R:$R,0))</f>
        <v>1.54</v>
      </c>
      <c r="BR112" s="33" cm="1">
        <f t="array" ref="BR112">IF(VLOOKUP($R112,武学奇术!$A:$ZZ,24,FALSE)=1,100%,MIN(40%,$B$10+VLOOKUP($R112,武学奇术!$A:$ZZ,19,FALSE)+SUM(_xlfn.XLOOKUP($S112:$AL112,增益!$A:$A,增益!$S:$S,0)))+$B$12+SUM(_xlfn.XLOOKUP($S112:$AL112,增益!$A:$A,增益!$V:$V,0)))*IF(VLOOKUP($R112,武学奇术!$A:$ZZ,23,FALSE)=1,0,1)</f>
        <v>0.0913</v>
      </c>
      <c r="BS112" s="33" cm="1">
        <f t="array" ref="BS112">1+$B$14+VLOOKUP($R112,武学奇术!$A:$ZZ,20,FALSE)+SUM(_xlfn.XLOOKUP($S112:$AL112,增益!$A:$A,增益!$T:$T,0))</f>
        <v>1.35</v>
      </c>
      <c r="BT112" s="33">
        <f t="shared" si="23"/>
        <v>0.86580831</v>
      </c>
      <c r="BU112" s="33">
        <f t="shared" si="24"/>
        <v>0.02208246</v>
      </c>
      <c r="BV112" s="33">
        <f>IF(VLOOKUP($R112,武学奇术!$A:$ZZ,22,FALSE)=1,0,(1-$BO112))*(1-$BR112)</f>
        <v>0.02080923</v>
      </c>
      <c r="BW112" s="33" cm="1">
        <f t="array" ref="BW112">SUM(_xlfn.XLOOKUP($S112:$AL112,增益!$A:$A,增益!$W:$W,0))+$I$5</f>
        <v>0.11</v>
      </c>
      <c r="BX112" s="33" cm="1">
        <f t="array" ref="BX112">VLOOKUP($R112,武学奇术!$A:$ZZ,32,FALSE)+SUM(_xlfn.XLOOKUP($S112:$AL112,增益!$A:$A,增益!$X:$X,0))</f>
        <v>0</v>
      </c>
    </row>
    <row r="113" spans="12:76">
      <c r="L113" s="46">
        <f t="shared" si="14"/>
        <v>0</v>
      </c>
      <c r="M113" s="46">
        <f>((($AT113+$AU113)/2*$AN113+$AO113)*(1+$AV113)*(1+$AW113)+(($AY113+$AZ113)/2*IF($G$1="鸣金",$AP113,$AN113)+IF($G$1="鸣金",$AQ113*1.5,0))*(1+$BA113)*(1+$BB113)+(($BC113+$BD113)/2*IF($G$1="裂石",$AP113,$AN113)+IF($G$1="裂石",$AQ113*1.5,0))*(1+$BE113)*(1+$BF113)+(($BG113+$BH113)/2*IF($G$1="牵丝",$AP113,$AN113)+IF($G$1="牵丝",$AQ113*1.5,0))*(1+$BI113)*(1+$BJ113)+(($BK113+$BL113)/2*IF($G$1="破竹",$AP113,$AN113)+IF($G$1="破竹",$AQ113*1.5,0))*(1+$BM113)*(1+$BN113))*(1+$AR113)*$BQ113*$Q113*(1+IF(VLOOKUP($R113,武学奇术!$A:$ZZ,30,FALSE)="蓄力技",$B$21,0))*(1+IF(VLOOKUP($R113,武学奇术!$A:$ZZ,30,FALSE)="派生技",$B$20,0))*(1+$BW113)*(1+$BX113)</f>
        <v>0</v>
      </c>
      <c r="N113" s="46">
        <f>(($AU113*$AN113+$AO113)*(1+$AV113)*(1+$AW113)+($AZ113*IF($G$1="鸣金",$AP113,$AN113)+IF($G$1="鸣金",$AQ113*1.5,0))*(1+$BA113)*(1+$BB113)+($BD113*IF($G$1="裂石",$AP113,$AN113)+IF($G$1="裂石",$AQ113*1.5,0))*(1+$BE113)*(1+$BF113)+($BH113*IF($G$1="牵丝",$AP113,$AN113)+IF($G$1="牵丝",$AQ113*1.5,0))*(1+$BI113)*(1+$BJ113)+($BL113*IF($G$1="破竹",$AP113,$AN113)+IF($G$1="破竹",$AQ113*1.5,0))*(1+$BM113)*(1+$BN113))*(1+$AR113)*$BS113*$Q113*(1+IF(VLOOKUP($R113,武学奇术!$A:$ZZ,30,FALSE)="蓄力技",$B$21,0))*(1+IF(VLOOKUP($R113,武学奇术!$A:$ZZ,30,FALSE)="派生技",$B$20,0))*(1+$BW113)*(1+$BX113)</f>
        <v>0</v>
      </c>
      <c r="O113" s="46">
        <f>((($AT113+$AU113)/2*$AN113+$AO113)*(1+$AV113)*(1+$AW113)+(($AY113+$AZ113)/2*IF($G$1="鸣金",$AP113,$AN113)+IF($G$1="鸣金",$AQ113*1.5,0))*(1+$BA113)*(1+$BB113)+(($BC113+$BD113)/2*IF($G$1="裂石",$AP113,$AN113)+IF($G$1="裂石",$AQ113*1.5,0))*(1+$BE113)*(1+$BF113)+(($BG113+$BH113)/2*IF($G$1="牵丝",$AP113,$AN113)+IF($G$1="牵丝",$AQ113*1.5,0))*(1+$BI113)*(1+$BJ113)+(($BK113+$BL113)/2*IF($G$1="破竹",$AP113,$AN113)+IF($G$1="破竹",$AQ113*1.5,0))*(1+$BM113)*(1+$BN113))*(1+$AR113)*$Q113*(1+IF(VLOOKUP($R113,武学奇术!$A:$ZZ,30,FALSE)="蓄力技",$B$21,0))*(1+IF(VLOOKUP($R113,武学奇术!$A:$ZZ,30,FALSE)="派生技",$B$20,0))*(1+$BW113)*(1+$BX113)</f>
        <v>0</v>
      </c>
      <c r="P113" s="46">
        <f>((($AT113*$AN113+$AO113)*(1+$AV113)*(1+$AW113)+($AY113*IF($G$1="鸣金",$AP113,$AN113)+IF($G$1="鸣金",$AQ113*1.5,0))*(1+$BA113)*(1+$BB113)+($BC113*IF($G$1="裂石",$AP113,$AN113)+IF($G$1="裂石",$AQ113*1.5,0))*(1+$BE113)*(1+$BF113)+($BG113*IF($G$1="牵丝",$AP113,$AN113)+IF($G$1="牵丝",$AQ113*1.5,0))*(1+$BI113)*(1+$BJ113)+($BK113*IF($G$1="破竹",$AP113,$AN113)+IF($G$1="破竹",$AQ113*1.5,0))*(1+$BM113)*(1+$BN113))*(1+$AR113))*$Q113*(1+IF(VLOOKUP($R113,武学奇术!$A:$ZZ,30,FALSE)="蓄力技",$B$21,0))*(1+IF(VLOOKUP($R113,武学奇术!$A:$ZZ,30,FALSE)="派生技",$B$20,0))*(1+$BW113)*(1+$BX113)</f>
        <v>0</v>
      </c>
      <c r="Q113" s="47">
        <v>1</v>
      </c>
      <c r="R113" s="48" t="s">
        <v>80</v>
      </c>
      <c r="S113" s="48" t="s">
        <v>80</v>
      </c>
      <c r="T113" s="48" t="s">
        <v>80</v>
      </c>
      <c r="U113" s="48" t="s">
        <v>80</v>
      </c>
      <c r="V113" s="48" t="s">
        <v>80</v>
      </c>
      <c r="W113" s="48" t="s">
        <v>80</v>
      </c>
      <c r="X113" s="48" t="s">
        <v>80</v>
      </c>
      <c r="Y113" s="48" t="s">
        <v>80</v>
      </c>
      <c r="Z113" s="48" t="s">
        <v>80</v>
      </c>
      <c r="AA113" s="48" t="s">
        <v>80</v>
      </c>
      <c r="AB113" s="48" t="s">
        <v>80</v>
      </c>
      <c r="AC113" s="48" t="s">
        <v>80</v>
      </c>
      <c r="AD113" s="48" t="s">
        <v>80</v>
      </c>
      <c r="AE113" s="48" t="s">
        <v>80</v>
      </c>
      <c r="AF113" s="48" t="s">
        <v>83</v>
      </c>
      <c r="AG113" s="48" t="s">
        <v>84</v>
      </c>
      <c r="AH113" s="48" t="s">
        <v>80</v>
      </c>
      <c r="AI113" s="48" t="s">
        <v>80</v>
      </c>
      <c r="AJ113" s="48" t="s">
        <v>80</v>
      </c>
      <c r="AK113" s="48" t="s">
        <v>80</v>
      </c>
      <c r="AL113" s="48" t="s">
        <v>80</v>
      </c>
      <c r="AM113" t="str">
        <f>VLOOKUP($R113,武学奇术!$A:$ZZ,25,FALSE)</f>
        <v>心法</v>
      </c>
      <c r="AN113" s="33">
        <f>VLOOKUP($R113,武学奇术!$A:$ZZ,26,FALSE)</f>
        <v>0</v>
      </c>
      <c r="AO113" s="34">
        <f>VLOOKUP($R113,武学奇术!$A:$ZZ,27,FALSE)*(1+IF(OR($AM113=$F$4,$AM113=$F$5),$B$22,0))</f>
        <v>0</v>
      </c>
      <c r="AP113" s="33">
        <f>VLOOKUP($R113,武学奇术!$A:$ZZ,28,FALSE)</f>
        <v>0</v>
      </c>
      <c r="AQ113" s="34">
        <f>VLOOKUP($R113,武学奇术!$A:$ZZ,29,FALSE)*(1+IF(OR($AM113=$F$4,$AM113=$F$5),$B$22,0))</f>
        <v>0</v>
      </c>
      <c r="AR113" s="33" cm="1">
        <f t="array" ref="AR113">$G$3+IFERROR(VLOOKUP($AM113,$F$4:$G$7,2,FALSE),0)+VLOOKUP($R113,武学奇术!$A:$ZZ,2,FALSE)+SUM(_xlfn.XLOOKUP($S113:$AL113,增益!$A:$A,增益!$B:$B,0))</f>
        <v>0.2342</v>
      </c>
      <c r="AS113" s="33" cm="1">
        <f t="array" ref="AS113">VLOOKUP($R113,武学奇术!$A:$ZZ,5,FALSE)+SUM(_xlfn.XLOOKUP($S113:$AL113,增益!$A:$A,增益!$E:$E,0))</f>
        <v>0</v>
      </c>
      <c r="AT113" cm="1">
        <f t="array" ref="AT113">$D$10*(1+$AS113)+VLOOKUP($R113,武学奇术!$A:$ZZ,3,FALSE)+SUM(_xlfn.XLOOKUP($S113:$AL113,增益!$A:$A,增益!$C:$C,0))-$I$2</f>
        <v>4026</v>
      </c>
      <c r="AU113" cm="1">
        <f t="array" ref="AU113">$E$10*(1+$AS113)+VLOOKUP($R113,武学奇术!$A:$ZZ,4,FALSE)+SUM(_xlfn.XLOOKUP($S113:$AL113,增益!$A:$A,增益!$D:$D,0))-$I$2</f>
        <v>4026</v>
      </c>
      <c r="AV113" s="40" cm="1">
        <f t="array" ref="AV113">IF($F$10-$I$3+VLOOKUP($R113,武学奇术!$A:$ZZ,6,FALSE)+SUM(_xlfn.XLOOKUP($S113:$AL113,增益!$A:$A,增益!$F:$F,0))&gt;0,($F$10-$I$3+VLOOKUP($R113,武学奇术!$A:$ZZ,6,FALSE)+SUM(_xlfn.XLOOKUP($S113:$AL113,增益!$A:$A,增益!$F:$F,0)))/200,($F$10-$I$3+VLOOKUP($R113,武学奇术!$A:$ZZ,6,FALSE)+SUM(_xlfn.XLOOKUP($S113:$AL113,增益!$A:$A,增益!$F:$F,0)))/100)</f>
        <v>0.2284</v>
      </c>
      <c r="AW113" s="40" cm="1">
        <f t="array" ref="AW113">$G$10+VLOOKUP($R113,武学奇术!$A:$ZZ,7,FALSE)+SUM(_xlfn.XLOOKUP($S113:$AL113,增益!$A:$A,增益!$G:$G,0))</f>
        <v>0</v>
      </c>
      <c r="AX113" s="33" cm="1">
        <f t="array" ref="AX113">VLOOKUP($R113,武学奇术!$A:$ZZ,8,FALSE)+SUM(_xlfn.XLOOKUP($S113:$AL113,增益!$A:$A,增益!$H:$H,0))</f>
        <v>0</v>
      </c>
      <c r="AY113">
        <f t="shared" si="15"/>
        <v>0</v>
      </c>
      <c r="AZ113">
        <f t="shared" si="16"/>
        <v>0</v>
      </c>
      <c r="BA113" s="40" cm="1">
        <f t="array" ref="BA113">IF($F$11-$I$4+VLOOKUP($R113,武学奇术!$A:$ZZ,9,FALSE)+SUM(_xlfn.XLOOKUP($S113:$AL113,增益!$A:$A,增益!$I:$I,0))&gt;0,($F$11-$I$4+VLOOKUP($R113,武学奇术!$A:$ZZ,9,FALSE)+SUM(_xlfn.XLOOKUP($S113:$AL113,增益!$A:$A,增益!$I:$I,0)))/200,($F$11-$I$4+VLOOKUP($R113,武学奇术!$A:$ZZ,9,FALSE)+SUM(_xlfn.XLOOKUP($S113:$AL113,增益!$A:$A,增益!$I:$I,0)))/100)</f>
        <v>-0.3</v>
      </c>
      <c r="BB113" s="40" cm="1">
        <f t="array" ref="BB113">$G$11+VLOOKUP($R113,武学奇术!$A:$ZZ,10,FALSE)+SUM(_xlfn.XLOOKUP($S113:$AL113,增益!$A:$A,增益!$J:$J,0))</f>
        <v>0</v>
      </c>
      <c r="BC113">
        <f t="shared" si="17"/>
        <v>640.3</v>
      </c>
      <c r="BD113">
        <f t="shared" si="18"/>
        <v>1770.1</v>
      </c>
      <c r="BE113" s="40" cm="1">
        <f t="array" ref="BE113">IF($F$12-$I$4+VLOOKUP($R113,武学奇术!$A:$ZZ,11,FALSE)+SUM(_xlfn.XLOOKUP($S113:$AL113,增益!$A:$A,增益!$K:$K,0))&gt;0,($F$12-$I$4+VLOOKUP($R113,武学奇术!$A:$ZZ,11,FALSE)+SUM(_xlfn.XLOOKUP($S113:$AL113,增益!$A:$A,增益!$K:$K,0)))/200,($F$12-$I$4+VLOOKUP($R113,武学奇术!$A:$ZZ,11,FALSE)+SUM(_xlfn.XLOOKUP($S113:$AL113,增益!$A:$A,增益!$K:$K,0)))/100)</f>
        <v>0.09</v>
      </c>
      <c r="BF113" s="40" cm="1">
        <f t="array" ref="BF113">$G$12+VLOOKUP($R113,武学奇术!$A:$ZZ,12,FALSE)+SUM(_xlfn.XLOOKUP($S113:$AL113,增益!$A:$A,增益!$L:$L,0))</f>
        <v>0.15</v>
      </c>
      <c r="BG113">
        <f t="shared" si="19"/>
        <v>0</v>
      </c>
      <c r="BH113">
        <f t="shared" si="20"/>
        <v>0</v>
      </c>
      <c r="BI113" s="40" cm="1">
        <f t="array" ref="BI113">IF($F$13-$I$4+VLOOKUP($R113,武学奇术!$A:$ZZ,13,FALSE)+SUM(_xlfn.XLOOKUP($S113:$AL113,增益!$A:$A,增益!$M:$M,0))&gt;0,($F$13-$I$4+VLOOKUP($R113,武学奇术!$A:$ZZ,13,FALSE)+SUM(_xlfn.XLOOKUP($S113:$AL113,增益!$A:$A,增益!$K:$K,0)))/200,($F$13-$I$4+VLOOKUP($R113,武学奇术!$A:$ZZ,13,FALSE)+SUM(_xlfn.XLOOKUP($S113:$AL113,增益!$A:$A,增益!$M:$M,0)))/100)</f>
        <v>-0.3</v>
      </c>
      <c r="BJ113" s="40" cm="1">
        <f t="array" ref="BJ113">$G$13+VLOOKUP($R113,武学奇术!$A:$ZZ,14,FALSE)+SUM(_xlfn.XLOOKUP($S113:$AL113,增益!$A:$A,增益!$N:$N,0))</f>
        <v>0</v>
      </c>
      <c r="BK113">
        <f t="shared" si="21"/>
        <v>0</v>
      </c>
      <c r="BL113">
        <f t="shared" si="22"/>
        <v>0</v>
      </c>
      <c r="BM113" s="40" cm="1">
        <f t="array" ref="BM113">IF($F$14-$I$4+VLOOKUP($R113,武学奇术!$A:$ZZ,15,FALSE)+SUM(_xlfn.XLOOKUP($S113:$AL113,增益!$A:$A,增益!$O:$O,0))&gt;0,($F$14-$I$4+VLOOKUP($R113,武学奇术!$A:$ZZ,15,FALSE)+SUM(_xlfn.XLOOKUP($S113:$AL113,增益!$A:$A,增益!$O:$O,0)))/200,($F$14-$I$4+VLOOKUP($R113,武学奇术!$A:$ZZ,15,FALSE)+SUM(_xlfn.XLOOKUP($S113:$AL113,增益!$A:$A,增益!$O:$O,0)))/100)</f>
        <v>-0.3</v>
      </c>
      <c r="BN113" s="40" cm="1">
        <f t="array" ref="BN113">$G$14+VLOOKUP($R113,武学奇术!$A:$ZZ,16,FALSE)+SUM(_xlfn.XLOOKUP($S113:$AL113,增益!$A:$A,增益!$P:$P,0))</f>
        <v>0</v>
      </c>
      <c r="BO113" s="33">
        <f>MIN(IF(VLOOKUP($R113,武学奇术!$A:$ZZ,23,FALSE)=1,100%,$B$8),100%)</f>
        <v>0.9771</v>
      </c>
      <c r="BP113" s="33" cm="1">
        <f t="array" ref="BP113">IF(VLOOKUP($R113,武学奇术!$A:$ZZ,23,FALSE)=1,100%,MIN(80%,$B$9+VLOOKUP($R113,武学奇术!$A:$ZZ,17,FALSE)+SUM(_xlfn.XLOOKUP($S113:$AL113,增益!$A:$A,增益!$Q:$Q,0)))+$B$11+SUM(_xlfn.XLOOKUP($S113:$AL113,增益!$A:$A,增益!$U:$U,0)))*IF(VLOOKUP($R113,武学奇术!$A:$ZZ,24,FALSE)=1,0,1)</f>
        <v>0.8861</v>
      </c>
      <c r="BQ113" s="33" cm="1">
        <f t="array" ref="BQ113">1+$B$13+VLOOKUP($R113,武学奇术!$A:$ZZ,18,FALSE)+SUM(_xlfn.XLOOKUP($S113:$AL113,增益!$A:$A,增益!$R:$R,0))</f>
        <v>1.54</v>
      </c>
      <c r="BR113" s="33" cm="1">
        <f t="array" ref="BR113">IF(VLOOKUP($R113,武学奇术!$A:$ZZ,24,FALSE)=1,100%,MIN(40%,$B$10+VLOOKUP($R113,武学奇术!$A:$ZZ,19,FALSE)+SUM(_xlfn.XLOOKUP($S113:$AL113,增益!$A:$A,增益!$S:$S,0)))+$B$12+SUM(_xlfn.XLOOKUP($S113:$AL113,增益!$A:$A,增益!$V:$V,0)))*IF(VLOOKUP($R113,武学奇术!$A:$ZZ,23,FALSE)=1,0,1)</f>
        <v>0.0913</v>
      </c>
      <c r="BS113" s="33" cm="1">
        <f t="array" ref="BS113">1+$B$14+VLOOKUP($R113,武学奇术!$A:$ZZ,20,FALSE)+SUM(_xlfn.XLOOKUP($S113:$AL113,增益!$A:$A,增益!$T:$T,0))</f>
        <v>1.35</v>
      </c>
      <c r="BT113" s="33">
        <f t="shared" si="23"/>
        <v>0.86580831</v>
      </c>
      <c r="BU113" s="33">
        <f t="shared" si="24"/>
        <v>0.02208246</v>
      </c>
      <c r="BV113" s="33">
        <f>IF(VLOOKUP($R113,武学奇术!$A:$ZZ,22,FALSE)=1,0,(1-$BO113))*(1-$BR113)</f>
        <v>0.02080923</v>
      </c>
      <c r="BW113" s="33" cm="1">
        <f t="array" ref="BW113">SUM(_xlfn.XLOOKUP($S113:$AL113,增益!$A:$A,增益!$W:$W,0))+$I$5</f>
        <v>0.11</v>
      </c>
      <c r="BX113" s="33" cm="1">
        <f t="array" ref="BX113">VLOOKUP($R113,武学奇术!$A:$ZZ,32,FALSE)+SUM(_xlfn.XLOOKUP($S113:$AL113,增益!$A:$A,增益!$X:$X,0))</f>
        <v>0</v>
      </c>
    </row>
    <row r="114" spans="12:76">
      <c r="L114" s="46">
        <f t="shared" si="14"/>
        <v>0</v>
      </c>
      <c r="M114" s="46">
        <f>((($AT114+$AU114)/2*$AN114+$AO114)*(1+$AV114)*(1+$AW114)+(($AY114+$AZ114)/2*IF($G$1="鸣金",$AP114,$AN114)+IF($G$1="鸣金",$AQ114*1.5,0))*(1+$BA114)*(1+$BB114)+(($BC114+$BD114)/2*IF($G$1="裂石",$AP114,$AN114)+IF($G$1="裂石",$AQ114*1.5,0))*(1+$BE114)*(1+$BF114)+(($BG114+$BH114)/2*IF($G$1="牵丝",$AP114,$AN114)+IF($G$1="牵丝",$AQ114*1.5,0))*(1+$BI114)*(1+$BJ114)+(($BK114+$BL114)/2*IF($G$1="破竹",$AP114,$AN114)+IF($G$1="破竹",$AQ114*1.5,0))*(1+$BM114)*(1+$BN114))*(1+$AR114)*$BQ114*$Q114*(1+IF(VLOOKUP($R114,武学奇术!$A:$ZZ,30,FALSE)="蓄力技",$B$21,0))*(1+IF(VLOOKUP($R114,武学奇术!$A:$ZZ,30,FALSE)="派生技",$B$20,0))*(1+$BW114)*(1+$BX114)</f>
        <v>0</v>
      </c>
      <c r="N114" s="46">
        <f>(($AU114*$AN114+$AO114)*(1+$AV114)*(1+$AW114)+($AZ114*IF($G$1="鸣金",$AP114,$AN114)+IF($G$1="鸣金",$AQ114*1.5,0))*(1+$BA114)*(1+$BB114)+($BD114*IF($G$1="裂石",$AP114,$AN114)+IF($G$1="裂石",$AQ114*1.5,0))*(1+$BE114)*(1+$BF114)+($BH114*IF($G$1="牵丝",$AP114,$AN114)+IF($G$1="牵丝",$AQ114*1.5,0))*(1+$BI114)*(1+$BJ114)+($BL114*IF($G$1="破竹",$AP114,$AN114)+IF($G$1="破竹",$AQ114*1.5,0))*(1+$BM114)*(1+$BN114))*(1+$AR114)*$BS114*$Q114*(1+IF(VLOOKUP($R114,武学奇术!$A:$ZZ,30,FALSE)="蓄力技",$B$21,0))*(1+IF(VLOOKUP($R114,武学奇术!$A:$ZZ,30,FALSE)="派生技",$B$20,0))*(1+$BW114)*(1+$BX114)</f>
        <v>0</v>
      </c>
      <c r="O114" s="46">
        <f>((($AT114+$AU114)/2*$AN114+$AO114)*(1+$AV114)*(1+$AW114)+(($AY114+$AZ114)/2*IF($G$1="鸣金",$AP114,$AN114)+IF($G$1="鸣金",$AQ114*1.5,0))*(1+$BA114)*(1+$BB114)+(($BC114+$BD114)/2*IF($G$1="裂石",$AP114,$AN114)+IF($G$1="裂石",$AQ114*1.5,0))*(1+$BE114)*(1+$BF114)+(($BG114+$BH114)/2*IF($G$1="牵丝",$AP114,$AN114)+IF($G$1="牵丝",$AQ114*1.5,0))*(1+$BI114)*(1+$BJ114)+(($BK114+$BL114)/2*IF($G$1="破竹",$AP114,$AN114)+IF($G$1="破竹",$AQ114*1.5,0))*(1+$BM114)*(1+$BN114))*(1+$AR114)*$Q114*(1+IF(VLOOKUP($R114,武学奇术!$A:$ZZ,30,FALSE)="蓄力技",$B$21,0))*(1+IF(VLOOKUP($R114,武学奇术!$A:$ZZ,30,FALSE)="派生技",$B$20,0))*(1+$BW114)*(1+$BX114)</f>
        <v>0</v>
      </c>
      <c r="P114" s="46">
        <f>((($AT114*$AN114+$AO114)*(1+$AV114)*(1+$AW114)+($AY114*IF($G$1="鸣金",$AP114,$AN114)+IF($G$1="鸣金",$AQ114*1.5,0))*(1+$BA114)*(1+$BB114)+($BC114*IF($G$1="裂石",$AP114,$AN114)+IF($G$1="裂石",$AQ114*1.5,0))*(1+$BE114)*(1+$BF114)+($BG114*IF($G$1="牵丝",$AP114,$AN114)+IF($G$1="牵丝",$AQ114*1.5,0))*(1+$BI114)*(1+$BJ114)+($BK114*IF($G$1="破竹",$AP114,$AN114)+IF($G$1="破竹",$AQ114*1.5,0))*(1+$BM114)*(1+$BN114))*(1+$AR114))*$Q114*(1+IF(VLOOKUP($R114,武学奇术!$A:$ZZ,30,FALSE)="蓄力技",$B$21,0))*(1+IF(VLOOKUP($R114,武学奇术!$A:$ZZ,30,FALSE)="派生技",$B$20,0))*(1+$BW114)*(1+$BX114)</f>
        <v>0</v>
      </c>
      <c r="Q114" s="47">
        <v>1</v>
      </c>
      <c r="R114" s="48" t="s">
        <v>80</v>
      </c>
      <c r="S114" s="48" t="s">
        <v>80</v>
      </c>
      <c r="T114" s="48" t="s">
        <v>80</v>
      </c>
      <c r="U114" s="48" t="s">
        <v>80</v>
      </c>
      <c r="V114" s="48" t="s">
        <v>80</v>
      </c>
      <c r="W114" s="48" t="s">
        <v>80</v>
      </c>
      <c r="X114" s="48" t="s">
        <v>80</v>
      </c>
      <c r="Y114" s="48" t="s">
        <v>80</v>
      </c>
      <c r="Z114" s="48" t="s">
        <v>80</v>
      </c>
      <c r="AA114" s="48" t="s">
        <v>80</v>
      </c>
      <c r="AB114" s="48" t="s">
        <v>80</v>
      </c>
      <c r="AC114" s="48" t="s">
        <v>80</v>
      </c>
      <c r="AD114" s="48" t="s">
        <v>80</v>
      </c>
      <c r="AE114" s="48" t="s">
        <v>80</v>
      </c>
      <c r="AF114" s="48" t="s">
        <v>83</v>
      </c>
      <c r="AG114" s="48" t="s">
        <v>84</v>
      </c>
      <c r="AH114" s="48" t="s">
        <v>80</v>
      </c>
      <c r="AI114" s="48" t="s">
        <v>80</v>
      </c>
      <c r="AJ114" s="48" t="s">
        <v>80</v>
      </c>
      <c r="AK114" s="48" t="s">
        <v>80</v>
      </c>
      <c r="AL114" s="48" t="s">
        <v>80</v>
      </c>
      <c r="AM114" t="str">
        <f>VLOOKUP($R114,武学奇术!$A:$ZZ,25,FALSE)</f>
        <v>心法</v>
      </c>
      <c r="AN114" s="33">
        <f>VLOOKUP($R114,武学奇术!$A:$ZZ,26,FALSE)</f>
        <v>0</v>
      </c>
      <c r="AO114" s="34">
        <f>VLOOKUP($R114,武学奇术!$A:$ZZ,27,FALSE)*(1+IF(OR($AM114=$F$4,$AM114=$F$5),$B$22,0))</f>
        <v>0</v>
      </c>
      <c r="AP114" s="33">
        <f>VLOOKUP($R114,武学奇术!$A:$ZZ,28,FALSE)</f>
        <v>0</v>
      </c>
      <c r="AQ114" s="34">
        <f>VLOOKUP($R114,武学奇术!$A:$ZZ,29,FALSE)*(1+IF(OR($AM114=$F$4,$AM114=$F$5),$B$22,0))</f>
        <v>0</v>
      </c>
      <c r="AR114" s="33" cm="1">
        <f t="array" ref="AR114">$G$3+IFERROR(VLOOKUP($AM114,$F$4:$G$7,2,FALSE),0)+VLOOKUP($R114,武学奇术!$A:$ZZ,2,FALSE)+SUM(_xlfn.XLOOKUP($S114:$AL114,增益!$A:$A,增益!$B:$B,0))</f>
        <v>0.2342</v>
      </c>
      <c r="AS114" s="33" cm="1">
        <f t="array" ref="AS114">VLOOKUP($R114,武学奇术!$A:$ZZ,5,FALSE)+SUM(_xlfn.XLOOKUP($S114:$AL114,增益!$A:$A,增益!$E:$E,0))</f>
        <v>0</v>
      </c>
      <c r="AT114" cm="1">
        <f t="array" ref="AT114">$D$10*(1+$AS114)+VLOOKUP($R114,武学奇术!$A:$ZZ,3,FALSE)+SUM(_xlfn.XLOOKUP($S114:$AL114,增益!$A:$A,增益!$C:$C,0))-$I$2</f>
        <v>4026</v>
      </c>
      <c r="AU114" cm="1">
        <f t="array" ref="AU114">$E$10*(1+$AS114)+VLOOKUP($R114,武学奇术!$A:$ZZ,4,FALSE)+SUM(_xlfn.XLOOKUP($S114:$AL114,增益!$A:$A,增益!$D:$D,0))-$I$2</f>
        <v>4026</v>
      </c>
      <c r="AV114" s="40" cm="1">
        <f t="array" ref="AV114">IF($F$10-$I$3+VLOOKUP($R114,武学奇术!$A:$ZZ,6,FALSE)+SUM(_xlfn.XLOOKUP($S114:$AL114,增益!$A:$A,增益!$F:$F,0))&gt;0,($F$10-$I$3+VLOOKUP($R114,武学奇术!$A:$ZZ,6,FALSE)+SUM(_xlfn.XLOOKUP($S114:$AL114,增益!$A:$A,增益!$F:$F,0)))/200,($F$10-$I$3+VLOOKUP($R114,武学奇术!$A:$ZZ,6,FALSE)+SUM(_xlfn.XLOOKUP($S114:$AL114,增益!$A:$A,增益!$F:$F,0)))/100)</f>
        <v>0.2284</v>
      </c>
      <c r="AW114" s="40" cm="1">
        <f t="array" ref="AW114">$G$10+VLOOKUP($R114,武学奇术!$A:$ZZ,7,FALSE)+SUM(_xlfn.XLOOKUP($S114:$AL114,增益!$A:$A,增益!$G:$G,0))</f>
        <v>0</v>
      </c>
      <c r="AX114" s="33" cm="1">
        <f t="array" ref="AX114">VLOOKUP($R114,武学奇术!$A:$ZZ,8,FALSE)+SUM(_xlfn.XLOOKUP($S114:$AL114,增益!$A:$A,增益!$H:$H,0))</f>
        <v>0</v>
      </c>
      <c r="AY114">
        <f t="shared" si="15"/>
        <v>0</v>
      </c>
      <c r="AZ114">
        <f t="shared" si="16"/>
        <v>0</v>
      </c>
      <c r="BA114" s="40" cm="1">
        <f t="array" ref="BA114">IF($F$11-$I$4+VLOOKUP($R114,武学奇术!$A:$ZZ,9,FALSE)+SUM(_xlfn.XLOOKUP($S114:$AL114,增益!$A:$A,增益!$I:$I,0))&gt;0,($F$11-$I$4+VLOOKUP($R114,武学奇术!$A:$ZZ,9,FALSE)+SUM(_xlfn.XLOOKUP($S114:$AL114,增益!$A:$A,增益!$I:$I,0)))/200,($F$11-$I$4+VLOOKUP($R114,武学奇术!$A:$ZZ,9,FALSE)+SUM(_xlfn.XLOOKUP($S114:$AL114,增益!$A:$A,增益!$I:$I,0)))/100)</f>
        <v>-0.3</v>
      </c>
      <c r="BB114" s="40" cm="1">
        <f t="array" ref="BB114">$G$11+VLOOKUP($R114,武学奇术!$A:$ZZ,10,FALSE)+SUM(_xlfn.XLOOKUP($S114:$AL114,增益!$A:$A,增益!$J:$J,0))</f>
        <v>0</v>
      </c>
      <c r="BC114">
        <f t="shared" si="17"/>
        <v>640.3</v>
      </c>
      <c r="BD114">
        <f t="shared" si="18"/>
        <v>1770.1</v>
      </c>
      <c r="BE114" s="40" cm="1">
        <f t="array" ref="BE114">IF($F$12-$I$4+VLOOKUP($R114,武学奇术!$A:$ZZ,11,FALSE)+SUM(_xlfn.XLOOKUP($S114:$AL114,增益!$A:$A,增益!$K:$K,0))&gt;0,($F$12-$I$4+VLOOKUP($R114,武学奇术!$A:$ZZ,11,FALSE)+SUM(_xlfn.XLOOKUP($S114:$AL114,增益!$A:$A,增益!$K:$K,0)))/200,($F$12-$I$4+VLOOKUP($R114,武学奇术!$A:$ZZ,11,FALSE)+SUM(_xlfn.XLOOKUP($S114:$AL114,增益!$A:$A,增益!$K:$K,0)))/100)</f>
        <v>0.09</v>
      </c>
      <c r="BF114" s="40" cm="1">
        <f t="array" ref="BF114">$G$12+VLOOKUP($R114,武学奇术!$A:$ZZ,12,FALSE)+SUM(_xlfn.XLOOKUP($S114:$AL114,增益!$A:$A,增益!$L:$L,0))</f>
        <v>0.15</v>
      </c>
      <c r="BG114">
        <f t="shared" si="19"/>
        <v>0</v>
      </c>
      <c r="BH114">
        <f t="shared" si="20"/>
        <v>0</v>
      </c>
      <c r="BI114" s="40" cm="1">
        <f t="array" ref="BI114">IF($F$13-$I$4+VLOOKUP($R114,武学奇术!$A:$ZZ,13,FALSE)+SUM(_xlfn.XLOOKUP($S114:$AL114,增益!$A:$A,增益!$M:$M,0))&gt;0,($F$13-$I$4+VLOOKUP($R114,武学奇术!$A:$ZZ,13,FALSE)+SUM(_xlfn.XLOOKUP($S114:$AL114,增益!$A:$A,增益!$K:$K,0)))/200,($F$13-$I$4+VLOOKUP($R114,武学奇术!$A:$ZZ,13,FALSE)+SUM(_xlfn.XLOOKUP($S114:$AL114,增益!$A:$A,增益!$M:$M,0)))/100)</f>
        <v>-0.3</v>
      </c>
      <c r="BJ114" s="40" cm="1">
        <f t="array" ref="BJ114">$G$13+VLOOKUP($R114,武学奇术!$A:$ZZ,14,FALSE)+SUM(_xlfn.XLOOKUP($S114:$AL114,增益!$A:$A,增益!$N:$N,0))</f>
        <v>0</v>
      </c>
      <c r="BK114">
        <f t="shared" si="21"/>
        <v>0</v>
      </c>
      <c r="BL114">
        <f t="shared" si="22"/>
        <v>0</v>
      </c>
      <c r="BM114" s="40" cm="1">
        <f t="array" ref="BM114">IF($F$14-$I$4+VLOOKUP($R114,武学奇术!$A:$ZZ,15,FALSE)+SUM(_xlfn.XLOOKUP($S114:$AL114,增益!$A:$A,增益!$O:$O,0))&gt;0,($F$14-$I$4+VLOOKUP($R114,武学奇术!$A:$ZZ,15,FALSE)+SUM(_xlfn.XLOOKUP($S114:$AL114,增益!$A:$A,增益!$O:$O,0)))/200,($F$14-$I$4+VLOOKUP($R114,武学奇术!$A:$ZZ,15,FALSE)+SUM(_xlfn.XLOOKUP($S114:$AL114,增益!$A:$A,增益!$O:$O,0)))/100)</f>
        <v>-0.3</v>
      </c>
      <c r="BN114" s="40" cm="1">
        <f t="array" ref="BN114">$G$14+VLOOKUP($R114,武学奇术!$A:$ZZ,16,FALSE)+SUM(_xlfn.XLOOKUP($S114:$AL114,增益!$A:$A,增益!$P:$P,0))</f>
        <v>0</v>
      </c>
      <c r="BO114" s="33">
        <f>MIN(IF(VLOOKUP($R114,武学奇术!$A:$ZZ,23,FALSE)=1,100%,$B$8),100%)</f>
        <v>0.9771</v>
      </c>
      <c r="BP114" s="33" cm="1">
        <f t="array" ref="BP114">IF(VLOOKUP($R114,武学奇术!$A:$ZZ,23,FALSE)=1,100%,MIN(80%,$B$9+VLOOKUP($R114,武学奇术!$A:$ZZ,17,FALSE)+SUM(_xlfn.XLOOKUP($S114:$AL114,增益!$A:$A,增益!$Q:$Q,0)))+$B$11+SUM(_xlfn.XLOOKUP($S114:$AL114,增益!$A:$A,增益!$U:$U,0)))*IF(VLOOKUP($R114,武学奇术!$A:$ZZ,24,FALSE)=1,0,1)</f>
        <v>0.8861</v>
      </c>
      <c r="BQ114" s="33" cm="1">
        <f t="array" ref="BQ114">1+$B$13+VLOOKUP($R114,武学奇术!$A:$ZZ,18,FALSE)+SUM(_xlfn.XLOOKUP($S114:$AL114,增益!$A:$A,增益!$R:$R,0))</f>
        <v>1.54</v>
      </c>
      <c r="BR114" s="33" cm="1">
        <f t="array" ref="BR114">IF(VLOOKUP($R114,武学奇术!$A:$ZZ,24,FALSE)=1,100%,MIN(40%,$B$10+VLOOKUP($R114,武学奇术!$A:$ZZ,19,FALSE)+SUM(_xlfn.XLOOKUP($S114:$AL114,增益!$A:$A,增益!$S:$S,0)))+$B$12+SUM(_xlfn.XLOOKUP($S114:$AL114,增益!$A:$A,增益!$V:$V,0)))*IF(VLOOKUP($R114,武学奇术!$A:$ZZ,23,FALSE)=1,0,1)</f>
        <v>0.0913</v>
      </c>
      <c r="BS114" s="33" cm="1">
        <f t="array" ref="BS114">1+$B$14+VLOOKUP($R114,武学奇术!$A:$ZZ,20,FALSE)+SUM(_xlfn.XLOOKUP($S114:$AL114,增益!$A:$A,增益!$T:$T,0))</f>
        <v>1.35</v>
      </c>
      <c r="BT114" s="33">
        <f t="shared" si="23"/>
        <v>0.86580831</v>
      </c>
      <c r="BU114" s="33">
        <f t="shared" si="24"/>
        <v>0.02208246</v>
      </c>
      <c r="BV114" s="33">
        <f>IF(VLOOKUP($R114,武学奇术!$A:$ZZ,22,FALSE)=1,0,(1-$BO114))*(1-$BR114)</f>
        <v>0.02080923</v>
      </c>
      <c r="BW114" s="33" cm="1">
        <f t="array" ref="BW114">SUM(_xlfn.XLOOKUP($S114:$AL114,增益!$A:$A,增益!$W:$W,0))+$I$5</f>
        <v>0.11</v>
      </c>
      <c r="BX114" s="33" cm="1">
        <f t="array" ref="BX114">VLOOKUP($R114,武学奇术!$A:$ZZ,32,FALSE)+SUM(_xlfn.XLOOKUP($S114:$AL114,增益!$A:$A,增益!$X:$X,0))</f>
        <v>0</v>
      </c>
    </row>
    <row r="115" spans="12:76">
      <c r="L115" s="46">
        <f t="shared" si="14"/>
        <v>0</v>
      </c>
      <c r="M115" s="46">
        <f>((($AT115+$AU115)/2*$AN115+$AO115)*(1+$AV115)*(1+$AW115)+(($AY115+$AZ115)/2*IF($G$1="鸣金",$AP115,$AN115)+IF($G$1="鸣金",$AQ115*1.5,0))*(1+$BA115)*(1+$BB115)+(($BC115+$BD115)/2*IF($G$1="裂石",$AP115,$AN115)+IF($G$1="裂石",$AQ115*1.5,0))*(1+$BE115)*(1+$BF115)+(($BG115+$BH115)/2*IF($G$1="牵丝",$AP115,$AN115)+IF($G$1="牵丝",$AQ115*1.5,0))*(1+$BI115)*(1+$BJ115)+(($BK115+$BL115)/2*IF($G$1="破竹",$AP115,$AN115)+IF($G$1="破竹",$AQ115*1.5,0))*(1+$BM115)*(1+$BN115))*(1+$AR115)*$BQ115*$Q115*(1+IF(VLOOKUP($R115,武学奇术!$A:$ZZ,30,FALSE)="蓄力技",$B$21,0))*(1+IF(VLOOKUP($R115,武学奇术!$A:$ZZ,30,FALSE)="派生技",$B$20,0))*(1+$BW115)*(1+$BX115)</f>
        <v>0</v>
      </c>
      <c r="N115" s="46">
        <f>(($AU115*$AN115+$AO115)*(1+$AV115)*(1+$AW115)+($AZ115*IF($G$1="鸣金",$AP115,$AN115)+IF($G$1="鸣金",$AQ115*1.5,0))*(1+$BA115)*(1+$BB115)+($BD115*IF($G$1="裂石",$AP115,$AN115)+IF($G$1="裂石",$AQ115*1.5,0))*(1+$BE115)*(1+$BF115)+($BH115*IF($G$1="牵丝",$AP115,$AN115)+IF($G$1="牵丝",$AQ115*1.5,0))*(1+$BI115)*(1+$BJ115)+($BL115*IF($G$1="破竹",$AP115,$AN115)+IF($G$1="破竹",$AQ115*1.5,0))*(1+$BM115)*(1+$BN115))*(1+$AR115)*$BS115*$Q115*(1+IF(VLOOKUP($R115,武学奇术!$A:$ZZ,30,FALSE)="蓄力技",$B$21,0))*(1+IF(VLOOKUP($R115,武学奇术!$A:$ZZ,30,FALSE)="派生技",$B$20,0))*(1+$BW115)*(1+$BX115)</f>
        <v>0</v>
      </c>
      <c r="O115" s="46">
        <f>((($AT115+$AU115)/2*$AN115+$AO115)*(1+$AV115)*(1+$AW115)+(($AY115+$AZ115)/2*IF($G$1="鸣金",$AP115,$AN115)+IF($G$1="鸣金",$AQ115*1.5,0))*(1+$BA115)*(1+$BB115)+(($BC115+$BD115)/2*IF($G$1="裂石",$AP115,$AN115)+IF($G$1="裂石",$AQ115*1.5,0))*(1+$BE115)*(1+$BF115)+(($BG115+$BH115)/2*IF($G$1="牵丝",$AP115,$AN115)+IF($G$1="牵丝",$AQ115*1.5,0))*(1+$BI115)*(1+$BJ115)+(($BK115+$BL115)/2*IF($G$1="破竹",$AP115,$AN115)+IF($G$1="破竹",$AQ115*1.5,0))*(1+$BM115)*(1+$BN115))*(1+$AR115)*$Q115*(1+IF(VLOOKUP($R115,武学奇术!$A:$ZZ,30,FALSE)="蓄力技",$B$21,0))*(1+IF(VLOOKUP($R115,武学奇术!$A:$ZZ,30,FALSE)="派生技",$B$20,0))*(1+$BW115)*(1+$BX115)</f>
        <v>0</v>
      </c>
      <c r="P115" s="46">
        <f>((($AT115*$AN115+$AO115)*(1+$AV115)*(1+$AW115)+($AY115*IF($G$1="鸣金",$AP115,$AN115)+IF($G$1="鸣金",$AQ115*1.5,0))*(1+$BA115)*(1+$BB115)+($BC115*IF($G$1="裂石",$AP115,$AN115)+IF($G$1="裂石",$AQ115*1.5,0))*(1+$BE115)*(1+$BF115)+($BG115*IF($G$1="牵丝",$AP115,$AN115)+IF($G$1="牵丝",$AQ115*1.5,0))*(1+$BI115)*(1+$BJ115)+($BK115*IF($G$1="破竹",$AP115,$AN115)+IF($G$1="破竹",$AQ115*1.5,0))*(1+$BM115)*(1+$BN115))*(1+$AR115))*$Q115*(1+IF(VLOOKUP($R115,武学奇术!$A:$ZZ,30,FALSE)="蓄力技",$B$21,0))*(1+IF(VLOOKUP($R115,武学奇术!$A:$ZZ,30,FALSE)="派生技",$B$20,0))*(1+$BW115)*(1+$BX115)</f>
        <v>0</v>
      </c>
      <c r="Q115" s="47">
        <v>1</v>
      </c>
      <c r="R115" s="48" t="s">
        <v>80</v>
      </c>
      <c r="S115" s="48" t="s">
        <v>80</v>
      </c>
      <c r="T115" s="48" t="s">
        <v>80</v>
      </c>
      <c r="U115" s="48" t="s">
        <v>80</v>
      </c>
      <c r="V115" s="48" t="s">
        <v>80</v>
      </c>
      <c r="W115" s="48" t="s">
        <v>80</v>
      </c>
      <c r="X115" s="48" t="s">
        <v>80</v>
      </c>
      <c r="Y115" s="48" t="s">
        <v>80</v>
      </c>
      <c r="Z115" s="48" t="s">
        <v>80</v>
      </c>
      <c r="AA115" s="48" t="s">
        <v>80</v>
      </c>
      <c r="AB115" s="48" t="s">
        <v>80</v>
      </c>
      <c r="AC115" s="48" t="s">
        <v>80</v>
      </c>
      <c r="AD115" s="48" t="s">
        <v>80</v>
      </c>
      <c r="AE115" s="48" t="s">
        <v>80</v>
      </c>
      <c r="AF115" s="48" t="s">
        <v>83</v>
      </c>
      <c r="AG115" s="48" t="s">
        <v>84</v>
      </c>
      <c r="AH115" s="48" t="s">
        <v>80</v>
      </c>
      <c r="AI115" s="48" t="s">
        <v>80</v>
      </c>
      <c r="AJ115" s="48" t="s">
        <v>80</v>
      </c>
      <c r="AK115" s="48" t="s">
        <v>80</v>
      </c>
      <c r="AL115" s="48" t="s">
        <v>80</v>
      </c>
      <c r="AM115" t="str">
        <f>VLOOKUP($R115,武学奇术!$A:$ZZ,25,FALSE)</f>
        <v>心法</v>
      </c>
      <c r="AN115" s="33">
        <f>VLOOKUP($R115,武学奇术!$A:$ZZ,26,FALSE)</f>
        <v>0</v>
      </c>
      <c r="AO115" s="34">
        <f>VLOOKUP($R115,武学奇术!$A:$ZZ,27,FALSE)*(1+IF(OR($AM115=$F$4,$AM115=$F$5),$B$22,0))</f>
        <v>0</v>
      </c>
      <c r="AP115" s="33">
        <f>VLOOKUP($R115,武学奇术!$A:$ZZ,28,FALSE)</f>
        <v>0</v>
      </c>
      <c r="AQ115" s="34">
        <f>VLOOKUP($R115,武学奇术!$A:$ZZ,29,FALSE)*(1+IF(OR($AM115=$F$4,$AM115=$F$5),$B$22,0))</f>
        <v>0</v>
      </c>
      <c r="AR115" s="33" cm="1">
        <f t="array" ref="AR115">$G$3+IFERROR(VLOOKUP($AM115,$F$4:$G$7,2,FALSE),0)+VLOOKUP($R115,武学奇术!$A:$ZZ,2,FALSE)+SUM(_xlfn.XLOOKUP($S115:$AL115,增益!$A:$A,增益!$B:$B,0))</f>
        <v>0.2342</v>
      </c>
      <c r="AS115" s="33" cm="1">
        <f t="array" ref="AS115">VLOOKUP($R115,武学奇术!$A:$ZZ,5,FALSE)+SUM(_xlfn.XLOOKUP($S115:$AL115,增益!$A:$A,增益!$E:$E,0))</f>
        <v>0</v>
      </c>
      <c r="AT115" cm="1">
        <f t="array" ref="AT115">$D$10*(1+$AS115)+VLOOKUP($R115,武学奇术!$A:$ZZ,3,FALSE)+SUM(_xlfn.XLOOKUP($S115:$AL115,增益!$A:$A,增益!$C:$C,0))-$I$2</f>
        <v>4026</v>
      </c>
      <c r="AU115" cm="1">
        <f t="array" ref="AU115">$E$10*(1+$AS115)+VLOOKUP($R115,武学奇术!$A:$ZZ,4,FALSE)+SUM(_xlfn.XLOOKUP($S115:$AL115,增益!$A:$A,增益!$D:$D,0))-$I$2</f>
        <v>4026</v>
      </c>
      <c r="AV115" s="40" cm="1">
        <f t="array" ref="AV115">IF($F$10-$I$3+VLOOKUP($R115,武学奇术!$A:$ZZ,6,FALSE)+SUM(_xlfn.XLOOKUP($S115:$AL115,增益!$A:$A,增益!$F:$F,0))&gt;0,($F$10-$I$3+VLOOKUP($R115,武学奇术!$A:$ZZ,6,FALSE)+SUM(_xlfn.XLOOKUP($S115:$AL115,增益!$A:$A,增益!$F:$F,0)))/200,($F$10-$I$3+VLOOKUP($R115,武学奇术!$A:$ZZ,6,FALSE)+SUM(_xlfn.XLOOKUP($S115:$AL115,增益!$A:$A,增益!$F:$F,0)))/100)</f>
        <v>0.2284</v>
      </c>
      <c r="AW115" s="40" cm="1">
        <f t="array" ref="AW115">$G$10+VLOOKUP($R115,武学奇术!$A:$ZZ,7,FALSE)+SUM(_xlfn.XLOOKUP($S115:$AL115,增益!$A:$A,增益!$G:$G,0))</f>
        <v>0</v>
      </c>
      <c r="AX115" s="33" cm="1">
        <f t="array" ref="AX115">VLOOKUP($R115,武学奇术!$A:$ZZ,8,FALSE)+SUM(_xlfn.XLOOKUP($S115:$AL115,增益!$A:$A,增益!$H:$H,0))</f>
        <v>0</v>
      </c>
      <c r="AY115">
        <f t="shared" si="15"/>
        <v>0</v>
      </c>
      <c r="AZ115">
        <f t="shared" si="16"/>
        <v>0</v>
      </c>
      <c r="BA115" s="40" cm="1">
        <f t="array" ref="BA115">IF($F$11-$I$4+VLOOKUP($R115,武学奇术!$A:$ZZ,9,FALSE)+SUM(_xlfn.XLOOKUP($S115:$AL115,增益!$A:$A,增益!$I:$I,0))&gt;0,($F$11-$I$4+VLOOKUP($R115,武学奇术!$A:$ZZ,9,FALSE)+SUM(_xlfn.XLOOKUP($S115:$AL115,增益!$A:$A,增益!$I:$I,0)))/200,($F$11-$I$4+VLOOKUP($R115,武学奇术!$A:$ZZ,9,FALSE)+SUM(_xlfn.XLOOKUP($S115:$AL115,增益!$A:$A,增益!$I:$I,0)))/100)</f>
        <v>-0.3</v>
      </c>
      <c r="BB115" s="40" cm="1">
        <f t="array" ref="BB115">$G$11+VLOOKUP($R115,武学奇术!$A:$ZZ,10,FALSE)+SUM(_xlfn.XLOOKUP($S115:$AL115,增益!$A:$A,增益!$J:$J,0))</f>
        <v>0</v>
      </c>
      <c r="BC115">
        <f t="shared" si="17"/>
        <v>640.3</v>
      </c>
      <c r="BD115">
        <f t="shared" si="18"/>
        <v>1770.1</v>
      </c>
      <c r="BE115" s="40" cm="1">
        <f t="array" ref="BE115">IF($F$12-$I$4+VLOOKUP($R115,武学奇术!$A:$ZZ,11,FALSE)+SUM(_xlfn.XLOOKUP($S115:$AL115,增益!$A:$A,增益!$K:$K,0))&gt;0,($F$12-$I$4+VLOOKUP($R115,武学奇术!$A:$ZZ,11,FALSE)+SUM(_xlfn.XLOOKUP($S115:$AL115,增益!$A:$A,增益!$K:$K,0)))/200,($F$12-$I$4+VLOOKUP($R115,武学奇术!$A:$ZZ,11,FALSE)+SUM(_xlfn.XLOOKUP($S115:$AL115,增益!$A:$A,增益!$K:$K,0)))/100)</f>
        <v>0.09</v>
      </c>
      <c r="BF115" s="40" cm="1">
        <f t="array" ref="BF115">$G$12+VLOOKUP($R115,武学奇术!$A:$ZZ,12,FALSE)+SUM(_xlfn.XLOOKUP($S115:$AL115,增益!$A:$A,增益!$L:$L,0))</f>
        <v>0.15</v>
      </c>
      <c r="BG115">
        <f t="shared" si="19"/>
        <v>0</v>
      </c>
      <c r="BH115">
        <f t="shared" si="20"/>
        <v>0</v>
      </c>
      <c r="BI115" s="40" cm="1">
        <f t="array" ref="BI115">IF($F$13-$I$4+VLOOKUP($R115,武学奇术!$A:$ZZ,13,FALSE)+SUM(_xlfn.XLOOKUP($S115:$AL115,增益!$A:$A,增益!$M:$M,0))&gt;0,($F$13-$I$4+VLOOKUP($R115,武学奇术!$A:$ZZ,13,FALSE)+SUM(_xlfn.XLOOKUP($S115:$AL115,增益!$A:$A,增益!$K:$K,0)))/200,($F$13-$I$4+VLOOKUP($R115,武学奇术!$A:$ZZ,13,FALSE)+SUM(_xlfn.XLOOKUP($S115:$AL115,增益!$A:$A,增益!$M:$M,0)))/100)</f>
        <v>-0.3</v>
      </c>
      <c r="BJ115" s="40" cm="1">
        <f t="array" ref="BJ115">$G$13+VLOOKUP($R115,武学奇术!$A:$ZZ,14,FALSE)+SUM(_xlfn.XLOOKUP($S115:$AL115,增益!$A:$A,增益!$N:$N,0))</f>
        <v>0</v>
      </c>
      <c r="BK115">
        <f t="shared" si="21"/>
        <v>0</v>
      </c>
      <c r="BL115">
        <f t="shared" si="22"/>
        <v>0</v>
      </c>
      <c r="BM115" s="40" cm="1">
        <f t="array" ref="BM115">IF($F$14-$I$4+VLOOKUP($R115,武学奇术!$A:$ZZ,15,FALSE)+SUM(_xlfn.XLOOKUP($S115:$AL115,增益!$A:$A,增益!$O:$O,0))&gt;0,($F$14-$I$4+VLOOKUP($R115,武学奇术!$A:$ZZ,15,FALSE)+SUM(_xlfn.XLOOKUP($S115:$AL115,增益!$A:$A,增益!$O:$O,0)))/200,($F$14-$I$4+VLOOKUP($R115,武学奇术!$A:$ZZ,15,FALSE)+SUM(_xlfn.XLOOKUP($S115:$AL115,增益!$A:$A,增益!$O:$O,0)))/100)</f>
        <v>-0.3</v>
      </c>
      <c r="BN115" s="40" cm="1">
        <f t="array" ref="BN115">$G$14+VLOOKUP($R115,武学奇术!$A:$ZZ,16,FALSE)+SUM(_xlfn.XLOOKUP($S115:$AL115,增益!$A:$A,增益!$P:$P,0))</f>
        <v>0</v>
      </c>
      <c r="BO115" s="33">
        <f>MIN(IF(VLOOKUP($R115,武学奇术!$A:$ZZ,23,FALSE)=1,100%,$B$8),100%)</f>
        <v>0.9771</v>
      </c>
      <c r="BP115" s="33" cm="1">
        <f t="array" ref="BP115">IF(VLOOKUP($R115,武学奇术!$A:$ZZ,23,FALSE)=1,100%,MIN(80%,$B$9+VLOOKUP($R115,武学奇术!$A:$ZZ,17,FALSE)+SUM(_xlfn.XLOOKUP($S115:$AL115,增益!$A:$A,增益!$Q:$Q,0)))+$B$11+SUM(_xlfn.XLOOKUP($S115:$AL115,增益!$A:$A,增益!$U:$U,0)))*IF(VLOOKUP($R115,武学奇术!$A:$ZZ,24,FALSE)=1,0,1)</f>
        <v>0.8861</v>
      </c>
      <c r="BQ115" s="33" cm="1">
        <f t="array" ref="BQ115">1+$B$13+VLOOKUP($R115,武学奇术!$A:$ZZ,18,FALSE)+SUM(_xlfn.XLOOKUP($S115:$AL115,增益!$A:$A,增益!$R:$R,0))</f>
        <v>1.54</v>
      </c>
      <c r="BR115" s="33" cm="1">
        <f t="array" ref="BR115">IF(VLOOKUP($R115,武学奇术!$A:$ZZ,24,FALSE)=1,100%,MIN(40%,$B$10+VLOOKUP($R115,武学奇术!$A:$ZZ,19,FALSE)+SUM(_xlfn.XLOOKUP($S115:$AL115,增益!$A:$A,增益!$S:$S,0)))+$B$12+SUM(_xlfn.XLOOKUP($S115:$AL115,增益!$A:$A,增益!$V:$V,0)))*IF(VLOOKUP($R115,武学奇术!$A:$ZZ,23,FALSE)=1,0,1)</f>
        <v>0.0913</v>
      </c>
      <c r="BS115" s="33" cm="1">
        <f t="array" ref="BS115">1+$B$14+VLOOKUP($R115,武学奇术!$A:$ZZ,20,FALSE)+SUM(_xlfn.XLOOKUP($S115:$AL115,增益!$A:$A,增益!$T:$T,0))</f>
        <v>1.35</v>
      </c>
      <c r="BT115" s="33">
        <f t="shared" si="23"/>
        <v>0.86580831</v>
      </c>
      <c r="BU115" s="33">
        <f t="shared" si="24"/>
        <v>0.02208246</v>
      </c>
      <c r="BV115" s="33">
        <f>IF(VLOOKUP($R115,武学奇术!$A:$ZZ,22,FALSE)=1,0,(1-$BO115))*(1-$BR115)</f>
        <v>0.02080923</v>
      </c>
      <c r="BW115" s="33" cm="1">
        <f t="array" ref="BW115">SUM(_xlfn.XLOOKUP($S115:$AL115,增益!$A:$A,增益!$W:$W,0))+$I$5</f>
        <v>0.11</v>
      </c>
      <c r="BX115" s="33" cm="1">
        <f t="array" ref="BX115">VLOOKUP($R115,武学奇术!$A:$ZZ,32,FALSE)+SUM(_xlfn.XLOOKUP($S115:$AL115,增益!$A:$A,增益!$X:$X,0))</f>
        <v>0</v>
      </c>
    </row>
    <row r="116" spans="12:76">
      <c r="L116" s="46">
        <f t="shared" si="14"/>
        <v>0</v>
      </c>
      <c r="M116" s="46">
        <f>((($AT116+$AU116)/2*$AN116+$AO116)*(1+$AV116)*(1+$AW116)+(($AY116+$AZ116)/2*IF($G$1="鸣金",$AP116,$AN116)+IF($G$1="鸣金",$AQ116*1.5,0))*(1+$BA116)*(1+$BB116)+(($BC116+$BD116)/2*IF($G$1="裂石",$AP116,$AN116)+IF($G$1="裂石",$AQ116*1.5,0))*(1+$BE116)*(1+$BF116)+(($BG116+$BH116)/2*IF($G$1="牵丝",$AP116,$AN116)+IF($G$1="牵丝",$AQ116*1.5,0))*(1+$BI116)*(1+$BJ116)+(($BK116+$BL116)/2*IF($G$1="破竹",$AP116,$AN116)+IF($G$1="破竹",$AQ116*1.5,0))*(1+$BM116)*(1+$BN116))*(1+$AR116)*$BQ116*$Q116*(1+IF(VLOOKUP($R116,武学奇术!$A:$ZZ,30,FALSE)="蓄力技",$B$21,0))*(1+IF(VLOOKUP($R116,武学奇术!$A:$ZZ,30,FALSE)="派生技",$B$20,0))*(1+$BW116)*(1+$BX116)</f>
        <v>0</v>
      </c>
      <c r="N116" s="46">
        <f>(($AU116*$AN116+$AO116)*(1+$AV116)*(1+$AW116)+($AZ116*IF($G$1="鸣金",$AP116,$AN116)+IF($G$1="鸣金",$AQ116*1.5,0))*(1+$BA116)*(1+$BB116)+($BD116*IF($G$1="裂石",$AP116,$AN116)+IF($G$1="裂石",$AQ116*1.5,0))*(1+$BE116)*(1+$BF116)+($BH116*IF($G$1="牵丝",$AP116,$AN116)+IF($G$1="牵丝",$AQ116*1.5,0))*(1+$BI116)*(1+$BJ116)+($BL116*IF($G$1="破竹",$AP116,$AN116)+IF($G$1="破竹",$AQ116*1.5,0))*(1+$BM116)*(1+$BN116))*(1+$AR116)*$BS116*$Q116*(1+IF(VLOOKUP($R116,武学奇术!$A:$ZZ,30,FALSE)="蓄力技",$B$21,0))*(1+IF(VLOOKUP($R116,武学奇术!$A:$ZZ,30,FALSE)="派生技",$B$20,0))*(1+$BW116)*(1+$BX116)</f>
        <v>0</v>
      </c>
      <c r="O116" s="46">
        <f>((($AT116+$AU116)/2*$AN116+$AO116)*(1+$AV116)*(1+$AW116)+(($AY116+$AZ116)/2*IF($G$1="鸣金",$AP116,$AN116)+IF($G$1="鸣金",$AQ116*1.5,0))*(1+$BA116)*(1+$BB116)+(($BC116+$BD116)/2*IF($G$1="裂石",$AP116,$AN116)+IF($G$1="裂石",$AQ116*1.5,0))*(1+$BE116)*(1+$BF116)+(($BG116+$BH116)/2*IF($G$1="牵丝",$AP116,$AN116)+IF($G$1="牵丝",$AQ116*1.5,0))*(1+$BI116)*(1+$BJ116)+(($BK116+$BL116)/2*IF($G$1="破竹",$AP116,$AN116)+IF($G$1="破竹",$AQ116*1.5,0))*(1+$BM116)*(1+$BN116))*(1+$AR116)*$Q116*(1+IF(VLOOKUP($R116,武学奇术!$A:$ZZ,30,FALSE)="蓄力技",$B$21,0))*(1+IF(VLOOKUP($R116,武学奇术!$A:$ZZ,30,FALSE)="派生技",$B$20,0))*(1+$BW116)*(1+$BX116)</f>
        <v>0</v>
      </c>
      <c r="P116" s="46">
        <f>((($AT116*$AN116+$AO116)*(1+$AV116)*(1+$AW116)+($AY116*IF($G$1="鸣金",$AP116,$AN116)+IF($G$1="鸣金",$AQ116*1.5,0))*(1+$BA116)*(1+$BB116)+($BC116*IF($G$1="裂石",$AP116,$AN116)+IF($G$1="裂石",$AQ116*1.5,0))*(1+$BE116)*(1+$BF116)+($BG116*IF($G$1="牵丝",$AP116,$AN116)+IF($G$1="牵丝",$AQ116*1.5,0))*(1+$BI116)*(1+$BJ116)+($BK116*IF($G$1="破竹",$AP116,$AN116)+IF($G$1="破竹",$AQ116*1.5,0))*(1+$BM116)*(1+$BN116))*(1+$AR116))*$Q116*(1+IF(VLOOKUP($R116,武学奇术!$A:$ZZ,30,FALSE)="蓄力技",$B$21,0))*(1+IF(VLOOKUP($R116,武学奇术!$A:$ZZ,30,FALSE)="派生技",$B$20,0))*(1+$BW116)*(1+$BX116)</f>
        <v>0</v>
      </c>
      <c r="Q116" s="47">
        <v>1</v>
      </c>
      <c r="R116" s="48" t="s">
        <v>80</v>
      </c>
      <c r="S116" s="48" t="s">
        <v>80</v>
      </c>
      <c r="T116" s="48" t="s">
        <v>80</v>
      </c>
      <c r="U116" s="48" t="s">
        <v>80</v>
      </c>
      <c r="V116" s="48" t="s">
        <v>80</v>
      </c>
      <c r="W116" s="48" t="s">
        <v>80</v>
      </c>
      <c r="X116" s="48" t="s">
        <v>80</v>
      </c>
      <c r="Y116" s="48" t="s">
        <v>80</v>
      </c>
      <c r="Z116" s="48" t="s">
        <v>80</v>
      </c>
      <c r="AA116" s="48" t="s">
        <v>80</v>
      </c>
      <c r="AB116" s="48" t="s">
        <v>80</v>
      </c>
      <c r="AC116" s="48" t="s">
        <v>80</v>
      </c>
      <c r="AD116" s="48" t="s">
        <v>80</v>
      </c>
      <c r="AE116" s="48" t="s">
        <v>80</v>
      </c>
      <c r="AF116" s="48" t="s">
        <v>83</v>
      </c>
      <c r="AG116" s="48" t="s">
        <v>84</v>
      </c>
      <c r="AH116" s="48" t="s">
        <v>80</v>
      </c>
      <c r="AI116" s="48" t="s">
        <v>80</v>
      </c>
      <c r="AJ116" s="48" t="s">
        <v>80</v>
      </c>
      <c r="AK116" s="48" t="s">
        <v>80</v>
      </c>
      <c r="AL116" s="48" t="s">
        <v>80</v>
      </c>
      <c r="AM116" t="str">
        <f>VLOOKUP($R116,武学奇术!$A:$ZZ,25,FALSE)</f>
        <v>心法</v>
      </c>
      <c r="AN116" s="33">
        <f>VLOOKUP($R116,武学奇术!$A:$ZZ,26,FALSE)</f>
        <v>0</v>
      </c>
      <c r="AO116" s="34">
        <f>VLOOKUP($R116,武学奇术!$A:$ZZ,27,FALSE)*(1+IF(OR($AM116=$F$4,$AM116=$F$5),$B$22,0))</f>
        <v>0</v>
      </c>
      <c r="AP116" s="33">
        <f>VLOOKUP($R116,武学奇术!$A:$ZZ,28,FALSE)</f>
        <v>0</v>
      </c>
      <c r="AQ116" s="34">
        <f>VLOOKUP($R116,武学奇术!$A:$ZZ,29,FALSE)*(1+IF(OR($AM116=$F$4,$AM116=$F$5),$B$22,0))</f>
        <v>0</v>
      </c>
      <c r="AR116" s="33" cm="1">
        <f t="array" ref="AR116">$G$3+IFERROR(VLOOKUP($AM116,$F$4:$G$7,2,FALSE),0)+VLOOKUP($R116,武学奇术!$A:$ZZ,2,FALSE)+SUM(_xlfn.XLOOKUP($S116:$AL116,增益!$A:$A,增益!$B:$B,0))</f>
        <v>0.2342</v>
      </c>
      <c r="AS116" s="33" cm="1">
        <f t="array" ref="AS116">VLOOKUP($R116,武学奇术!$A:$ZZ,5,FALSE)+SUM(_xlfn.XLOOKUP($S116:$AL116,增益!$A:$A,增益!$E:$E,0))</f>
        <v>0</v>
      </c>
      <c r="AT116" cm="1">
        <f t="array" ref="AT116">$D$10*(1+$AS116)+VLOOKUP($R116,武学奇术!$A:$ZZ,3,FALSE)+SUM(_xlfn.XLOOKUP($S116:$AL116,增益!$A:$A,增益!$C:$C,0))-$I$2</f>
        <v>4026</v>
      </c>
      <c r="AU116" cm="1">
        <f t="array" ref="AU116">$E$10*(1+$AS116)+VLOOKUP($R116,武学奇术!$A:$ZZ,4,FALSE)+SUM(_xlfn.XLOOKUP($S116:$AL116,增益!$A:$A,增益!$D:$D,0))-$I$2</f>
        <v>4026</v>
      </c>
      <c r="AV116" s="40" cm="1">
        <f t="array" ref="AV116">IF($F$10-$I$3+VLOOKUP($R116,武学奇术!$A:$ZZ,6,FALSE)+SUM(_xlfn.XLOOKUP($S116:$AL116,增益!$A:$A,增益!$F:$F,0))&gt;0,($F$10-$I$3+VLOOKUP($R116,武学奇术!$A:$ZZ,6,FALSE)+SUM(_xlfn.XLOOKUP($S116:$AL116,增益!$A:$A,增益!$F:$F,0)))/200,($F$10-$I$3+VLOOKUP($R116,武学奇术!$A:$ZZ,6,FALSE)+SUM(_xlfn.XLOOKUP($S116:$AL116,增益!$A:$A,增益!$F:$F,0)))/100)</f>
        <v>0.2284</v>
      </c>
      <c r="AW116" s="40" cm="1">
        <f t="array" ref="AW116">$G$10+VLOOKUP($R116,武学奇术!$A:$ZZ,7,FALSE)+SUM(_xlfn.XLOOKUP($S116:$AL116,增益!$A:$A,增益!$G:$G,0))</f>
        <v>0</v>
      </c>
      <c r="AX116" s="33" cm="1">
        <f t="array" ref="AX116">VLOOKUP($R116,武学奇术!$A:$ZZ,8,FALSE)+SUM(_xlfn.XLOOKUP($S116:$AL116,增益!$A:$A,增益!$H:$H,0))</f>
        <v>0</v>
      </c>
      <c r="AY116">
        <f t="shared" si="15"/>
        <v>0</v>
      </c>
      <c r="AZ116">
        <f t="shared" si="16"/>
        <v>0</v>
      </c>
      <c r="BA116" s="40" cm="1">
        <f t="array" ref="BA116">IF($F$11-$I$4+VLOOKUP($R116,武学奇术!$A:$ZZ,9,FALSE)+SUM(_xlfn.XLOOKUP($S116:$AL116,增益!$A:$A,增益!$I:$I,0))&gt;0,($F$11-$I$4+VLOOKUP($R116,武学奇术!$A:$ZZ,9,FALSE)+SUM(_xlfn.XLOOKUP($S116:$AL116,增益!$A:$A,增益!$I:$I,0)))/200,($F$11-$I$4+VLOOKUP($R116,武学奇术!$A:$ZZ,9,FALSE)+SUM(_xlfn.XLOOKUP($S116:$AL116,增益!$A:$A,增益!$I:$I,0)))/100)</f>
        <v>-0.3</v>
      </c>
      <c r="BB116" s="40" cm="1">
        <f t="array" ref="BB116">$G$11+VLOOKUP($R116,武学奇术!$A:$ZZ,10,FALSE)+SUM(_xlfn.XLOOKUP($S116:$AL116,增益!$A:$A,增益!$J:$J,0))</f>
        <v>0</v>
      </c>
      <c r="BC116">
        <f t="shared" si="17"/>
        <v>640.3</v>
      </c>
      <c r="BD116">
        <f t="shared" si="18"/>
        <v>1770.1</v>
      </c>
      <c r="BE116" s="40" cm="1">
        <f t="array" ref="BE116">IF($F$12-$I$4+VLOOKUP($R116,武学奇术!$A:$ZZ,11,FALSE)+SUM(_xlfn.XLOOKUP($S116:$AL116,增益!$A:$A,增益!$K:$K,0))&gt;0,($F$12-$I$4+VLOOKUP($R116,武学奇术!$A:$ZZ,11,FALSE)+SUM(_xlfn.XLOOKUP($S116:$AL116,增益!$A:$A,增益!$K:$K,0)))/200,($F$12-$I$4+VLOOKUP($R116,武学奇术!$A:$ZZ,11,FALSE)+SUM(_xlfn.XLOOKUP($S116:$AL116,增益!$A:$A,增益!$K:$K,0)))/100)</f>
        <v>0.09</v>
      </c>
      <c r="BF116" s="40" cm="1">
        <f t="array" ref="BF116">$G$12+VLOOKUP($R116,武学奇术!$A:$ZZ,12,FALSE)+SUM(_xlfn.XLOOKUP($S116:$AL116,增益!$A:$A,增益!$L:$L,0))</f>
        <v>0.15</v>
      </c>
      <c r="BG116">
        <f t="shared" si="19"/>
        <v>0</v>
      </c>
      <c r="BH116">
        <f t="shared" si="20"/>
        <v>0</v>
      </c>
      <c r="BI116" s="40" cm="1">
        <f t="array" ref="BI116">IF($F$13-$I$4+VLOOKUP($R116,武学奇术!$A:$ZZ,13,FALSE)+SUM(_xlfn.XLOOKUP($S116:$AL116,增益!$A:$A,增益!$M:$M,0))&gt;0,($F$13-$I$4+VLOOKUP($R116,武学奇术!$A:$ZZ,13,FALSE)+SUM(_xlfn.XLOOKUP($S116:$AL116,增益!$A:$A,增益!$K:$K,0)))/200,($F$13-$I$4+VLOOKUP($R116,武学奇术!$A:$ZZ,13,FALSE)+SUM(_xlfn.XLOOKUP($S116:$AL116,增益!$A:$A,增益!$M:$M,0)))/100)</f>
        <v>-0.3</v>
      </c>
      <c r="BJ116" s="40" cm="1">
        <f t="array" ref="BJ116">$G$13+VLOOKUP($R116,武学奇术!$A:$ZZ,14,FALSE)+SUM(_xlfn.XLOOKUP($S116:$AL116,增益!$A:$A,增益!$N:$N,0))</f>
        <v>0</v>
      </c>
      <c r="BK116">
        <f t="shared" si="21"/>
        <v>0</v>
      </c>
      <c r="BL116">
        <f t="shared" si="22"/>
        <v>0</v>
      </c>
      <c r="BM116" s="40" cm="1">
        <f t="array" ref="BM116">IF($F$14-$I$4+VLOOKUP($R116,武学奇术!$A:$ZZ,15,FALSE)+SUM(_xlfn.XLOOKUP($S116:$AL116,增益!$A:$A,增益!$O:$O,0))&gt;0,($F$14-$I$4+VLOOKUP($R116,武学奇术!$A:$ZZ,15,FALSE)+SUM(_xlfn.XLOOKUP($S116:$AL116,增益!$A:$A,增益!$O:$O,0)))/200,($F$14-$I$4+VLOOKUP($R116,武学奇术!$A:$ZZ,15,FALSE)+SUM(_xlfn.XLOOKUP($S116:$AL116,增益!$A:$A,增益!$O:$O,0)))/100)</f>
        <v>-0.3</v>
      </c>
      <c r="BN116" s="40" cm="1">
        <f t="array" ref="BN116">$G$14+VLOOKUP($R116,武学奇术!$A:$ZZ,16,FALSE)+SUM(_xlfn.XLOOKUP($S116:$AL116,增益!$A:$A,增益!$P:$P,0))</f>
        <v>0</v>
      </c>
      <c r="BO116" s="33">
        <f>MIN(IF(VLOOKUP($R116,武学奇术!$A:$ZZ,23,FALSE)=1,100%,$B$8),100%)</f>
        <v>0.9771</v>
      </c>
      <c r="BP116" s="33" cm="1">
        <f t="array" ref="BP116">IF(VLOOKUP($R116,武学奇术!$A:$ZZ,23,FALSE)=1,100%,MIN(80%,$B$9+VLOOKUP($R116,武学奇术!$A:$ZZ,17,FALSE)+SUM(_xlfn.XLOOKUP($S116:$AL116,增益!$A:$A,增益!$Q:$Q,0)))+$B$11+SUM(_xlfn.XLOOKUP($S116:$AL116,增益!$A:$A,增益!$U:$U,0)))*IF(VLOOKUP($R116,武学奇术!$A:$ZZ,24,FALSE)=1,0,1)</f>
        <v>0.8861</v>
      </c>
      <c r="BQ116" s="33" cm="1">
        <f t="array" ref="BQ116">1+$B$13+VLOOKUP($R116,武学奇术!$A:$ZZ,18,FALSE)+SUM(_xlfn.XLOOKUP($S116:$AL116,增益!$A:$A,增益!$R:$R,0))</f>
        <v>1.54</v>
      </c>
      <c r="BR116" s="33" cm="1">
        <f t="array" ref="BR116">IF(VLOOKUP($R116,武学奇术!$A:$ZZ,24,FALSE)=1,100%,MIN(40%,$B$10+VLOOKUP($R116,武学奇术!$A:$ZZ,19,FALSE)+SUM(_xlfn.XLOOKUP($S116:$AL116,增益!$A:$A,增益!$S:$S,0)))+$B$12+SUM(_xlfn.XLOOKUP($S116:$AL116,增益!$A:$A,增益!$V:$V,0)))*IF(VLOOKUP($R116,武学奇术!$A:$ZZ,23,FALSE)=1,0,1)</f>
        <v>0.0913</v>
      </c>
      <c r="BS116" s="33" cm="1">
        <f t="array" ref="BS116">1+$B$14+VLOOKUP($R116,武学奇术!$A:$ZZ,20,FALSE)+SUM(_xlfn.XLOOKUP($S116:$AL116,增益!$A:$A,增益!$T:$T,0))</f>
        <v>1.35</v>
      </c>
      <c r="BT116" s="33">
        <f t="shared" si="23"/>
        <v>0.86580831</v>
      </c>
      <c r="BU116" s="33">
        <f t="shared" si="24"/>
        <v>0.02208246</v>
      </c>
      <c r="BV116" s="33">
        <f>IF(VLOOKUP($R116,武学奇术!$A:$ZZ,22,FALSE)=1,0,(1-$BO116))*(1-$BR116)</f>
        <v>0.02080923</v>
      </c>
      <c r="BW116" s="33" cm="1">
        <f t="array" ref="BW116">SUM(_xlfn.XLOOKUP($S116:$AL116,增益!$A:$A,增益!$W:$W,0))+$I$5</f>
        <v>0.11</v>
      </c>
      <c r="BX116" s="33" cm="1">
        <f t="array" ref="BX116">VLOOKUP($R116,武学奇术!$A:$ZZ,32,FALSE)+SUM(_xlfn.XLOOKUP($S116:$AL116,增益!$A:$A,增益!$X:$X,0))</f>
        <v>0</v>
      </c>
    </row>
    <row r="117" spans="12:76">
      <c r="L117" s="46">
        <f t="shared" si="14"/>
        <v>0</v>
      </c>
      <c r="M117" s="46">
        <f>((($AT117+$AU117)/2*$AN117+$AO117)*(1+$AV117)*(1+$AW117)+(($AY117+$AZ117)/2*IF($G$1="鸣金",$AP117,$AN117)+IF($G$1="鸣金",$AQ117*1.5,0))*(1+$BA117)*(1+$BB117)+(($BC117+$BD117)/2*IF($G$1="裂石",$AP117,$AN117)+IF($G$1="裂石",$AQ117*1.5,0))*(1+$BE117)*(1+$BF117)+(($BG117+$BH117)/2*IF($G$1="牵丝",$AP117,$AN117)+IF($G$1="牵丝",$AQ117*1.5,0))*(1+$BI117)*(1+$BJ117)+(($BK117+$BL117)/2*IF($G$1="破竹",$AP117,$AN117)+IF($G$1="破竹",$AQ117*1.5,0))*(1+$BM117)*(1+$BN117))*(1+$AR117)*$BQ117*$Q117*(1+IF(VLOOKUP($R117,武学奇术!$A:$ZZ,30,FALSE)="蓄力技",$B$21,0))*(1+IF(VLOOKUP($R117,武学奇术!$A:$ZZ,30,FALSE)="派生技",$B$20,0))*(1+$BW117)*(1+$BX117)</f>
        <v>0</v>
      </c>
      <c r="N117" s="46">
        <f>(($AU117*$AN117+$AO117)*(1+$AV117)*(1+$AW117)+($AZ117*IF($G$1="鸣金",$AP117,$AN117)+IF($G$1="鸣金",$AQ117*1.5,0))*(1+$BA117)*(1+$BB117)+($BD117*IF($G$1="裂石",$AP117,$AN117)+IF($G$1="裂石",$AQ117*1.5,0))*(1+$BE117)*(1+$BF117)+($BH117*IF($G$1="牵丝",$AP117,$AN117)+IF($G$1="牵丝",$AQ117*1.5,0))*(1+$BI117)*(1+$BJ117)+($BL117*IF($G$1="破竹",$AP117,$AN117)+IF($G$1="破竹",$AQ117*1.5,0))*(1+$BM117)*(1+$BN117))*(1+$AR117)*$BS117*$Q117*(1+IF(VLOOKUP($R117,武学奇术!$A:$ZZ,30,FALSE)="蓄力技",$B$21,0))*(1+IF(VLOOKUP($R117,武学奇术!$A:$ZZ,30,FALSE)="派生技",$B$20,0))*(1+$BW117)*(1+$BX117)</f>
        <v>0</v>
      </c>
      <c r="O117" s="46">
        <f>((($AT117+$AU117)/2*$AN117+$AO117)*(1+$AV117)*(1+$AW117)+(($AY117+$AZ117)/2*IF($G$1="鸣金",$AP117,$AN117)+IF($G$1="鸣金",$AQ117*1.5,0))*(1+$BA117)*(1+$BB117)+(($BC117+$BD117)/2*IF($G$1="裂石",$AP117,$AN117)+IF($G$1="裂石",$AQ117*1.5,0))*(1+$BE117)*(1+$BF117)+(($BG117+$BH117)/2*IF($G$1="牵丝",$AP117,$AN117)+IF($G$1="牵丝",$AQ117*1.5,0))*(1+$BI117)*(1+$BJ117)+(($BK117+$BL117)/2*IF($G$1="破竹",$AP117,$AN117)+IF($G$1="破竹",$AQ117*1.5,0))*(1+$BM117)*(1+$BN117))*(1+$AR117)*$Q117*(1+IF(VLOOKUP($R117,武学奇术!$A:$ZZ,30,FALSE)="蓄力技",$B$21,0))*(1+IF(VLOOKUP($R117,武学奇术!$A:$ZZ,30,FALSE)="派生技",$B$20,0))*(1+$BW117)*(1+$BX117)</f>
        <v>0</v>
      </c>
      <c r="P117" s="46">
        <f>((($AT117*$AN117+$AO117)*(1+$AV117)*(1+$AW117)+($AY117*IF($G$1="鸣金",$AP117,$AN117)+IF($G$1="鸣金",$AQ117*1.5,0))*(1+$BA117)*(1+$BB117)+($BC117*IF($G$1="裂石",$AP117,$AN117)+IF($G$1="裂石",$AQ117*1.5,0))*(1+$BE117)*(1+$BF117)+($BG117*IF($G$1="牵丝",$AP117,$AN117)+IF($G$1="牵丝",$AQ117*1.5,0))*(1+$BI117)*(1+$BJ117)+($BK117*IF($G$1="破竹",$AP117,$AN117)+IF($G$1="破竹",$AQ117*1.5,0))*(1+$BM117)*(1+$BN117))*(1+$AR117))*$Q117*(1+IF(VLOOKUP($R117,武学奇术!$A:$ZZ,30,FALSE)="蓄力技",$B$21,0))*(1+IF(VLOOKUP($R117,武学奇术!$A:$ZZ,30,FALSE)="派生技",$B$20,0))*(1+$BW117)*(1+$BX117)</f>
        <v>0</v>
      </c>
      <c r="Q117" s="47">
        <v>1</v>
      </c>
      <c r="R117" s="48" t="s">
        <v>80</v>
      </c>
      <c r="S117" s="48" t="s">
        <v>80</v>
      </c>
      <c r="T117" s="48" t="s">
        <v>80</v>
      </c>
      <c r="U117" s="48" t="s">
        <v>80</v>
      </c>
      <c r="V117" s="48" t="s">
        <v>80</v>
      </c>
      <c r="W117" s="48" t="s">
        <v>80</v>
      </c>
      <c r="X117" s="48" t="s">
        <v>80</v>
      </c>
      <c r="Y117" s="48" t="s">
        <v>80</v>
      </c>
      <c r="Z117" s="48" t="s">
        <v>80</v>
      </c>
      <c r="AA117" s="48" t="s">
        <v>80</v>
      </c>
      <c r="AB117" s="48" t="s">
        <v>80</v>
      </c>
      <c r="AC117" s="48" t="s">
        <v>80</v>
      </c>
      <c r="AD117" s="48" t="s">
        <v>80</v>
      </c>
      <c r="AE117" s="48" t="s">
        <v>80</v>
      </c>
      <c r="AF117" s="48" t="s">
        <v>83</v>
      </c>
      <c r="AG117" s="48" t="s">
        <v>84</v>
      </c>
      <c r="AH117" s="48" t="s">
        <v>80</v>
      </c>
      <c r="AI117" s="48" t="s">
        <v>80</v>
      </c>
      <c r="AJ117" s="48" t="s">
        <v>80</v>
      </c>
      <c r="AK117" s="48" t="s">
        <v>80</v>
      </c>
      <c r="AL117" s="48" t="s">
        <v>80</v>
      </c>
      <c r="AM117" t="str">
        <f>VLOOKUP($R117,武学奇术!$A:$ZZ,25,FALSE)</f>
        <v>心法</v>
      </c>
      <c r="AN117" s="33">
        <f>VLOOKUP($R117,武学奇术!$A:$ZZ,26,FALSE)</f>
        <v>0</v>
      </c>
      <c r="AO117" s="34">
        <f>VLOOKUP($R117,武学奇术!$A:$ZZ,27,FALSE)*(1+IF(OR($AM117=$F$4,$AM117=$F$5),$B$22,0))</f>
        <v>0</v>
      </c>
      <c r="AP117" s="33">
        <f>VLOOKUP($R117,武学奇术!$A:$ZZ,28,FALSE)</f>
        <v>0</v>
      </c>
      <c r="AQ117" s="34">
        <f>VLOOKUP($R117,武学奇术!$A:$ZZ,29,FALSE)*(1+IF(OR($AM117=$F$4,$AM117=$F$5),$B$22,0))</f>
        <v>0</v>
      </c>
      <c r="AR117" s="33" cm="1">
        <f t="array" ref="AR117">$G$3+IFERROR(VLOOKUP($AM117,$F$4:$G$7,2,FALSE),0)+VLOOKUP($R117,武学奇术!$A:$ZZ,2,FALSE)+SUM(_xlfn.XLOOKUP($S117:$AL117,增益!$A:$A,增益!$B:$B,0))</f>
        <v>0.2342</v>
      </c>
      <c r="AS117" s="33" cm="1">
        <f t="array" ref="AS117">VLOOKUP($R117,武学奇术!$A:$ZZ,5,FALSE)+SUM(_xlfn.XLOOKUP($S117:$AL117,增益!$A:$A,增益!$E:$E,0))</f>
        <v>0</v>
      </c>
      <c r="AT117" cm="1">
        <f t="array" ref="AT117">$D$10*(1+$AS117)+VLOOKUP($R117,武学奇术!$A:$ZZ,3,FALSE)+SUM(_xlfn.XLOOKUP($S117:$AL117,增益!$A:$A,增益!$C:$C,0))-$I$2</f>
        <v>4026</v>
      </c>
      <c r="AU117" cm="1">
        <f t="array" ref="AU117">$E$10*(1+$AS117)+VLOOKUP($R117,武学奇术!$A:$ZZ,4,FALSE)+SUM(_xlfn.XLOOKUP($S117:$AL117,增益!$A:$A,增益!$D:$D,0))-$I$2</f>
        <v>4026</v>
      </c>
      <c r="AV117" s="40" cm="1">
        <f t="array" ref="AV117">IF($F$10-$I$3+VLOOKUP($R117,武学奇术!$A:$ZZ,6,FALSE)+SUM(_xlfn.XLOOKUP($S117:$AL117,增益!$A:$A,增益!$F:$F,0))&gt;0,($F$10-$I$3+VLOOKUP($R117,武学奇术!$A:$ZZ,6,FALSE)+SUM(_xlfn.XLOOKUP($S117:$AL117,增益!$A:$A,增益!$F:$F,0)))/200,($F$10-$I$3+VLOOKUP($R117,武学奇术!$A:$ZZ,6,FALSE)+SUM(_xlfn.XLOOKUP($S117:$AL117,增益!$A:$A,增益!$F:$F,0)))/100)</f>
        <v>0.2284</v>
      </c>
      <c r="AW117" s="40" cm="1">
        <f t="array" ref="AW117">$G$10+VLOOKUP($R117,武学奇术!$A:$ZZ,7,FALSE)+SUM(_xlfn.XLOOKUP($S117:$AL117,增益!$A:$A,增益!$G:$G,0))</f>
        <v>0</v>
      </c>
      <c r="AX117" s="33" cm="1">
        <f t="array" ref="AX117">VLOOKUP($R117,武学奇术!$A:$ZZ,8,FALSE)+SUM(_xlfn.XLOOKUP($S117:$AL117,增益!$A:$A,增益!$H:$H,0))</f>
        <v>0</v>
      </c>
      <c r="AY117">
        <f t="shared" si="15"/>
        <v>0</v>
      </c>
      <c r="AZ117">
        <f t="shared" si="16"/>
        <v>0</v>
      </c>
      <c r="BA117" s="40" cm="1">
        <f t="array" ref="BA117">IF($F$11-$I$4+VLOOKUP($R117,武学奇术!$A:$ZZ,9,FALSE)+SUM(_xlfn.XLOOKUP($S117:$AL117,增益!$A:$A,增益!$I:$I,0))&gt;0,($F$11-$I$4+VLOOKUP($R117,武学奇术!$A:$ZZ,9,FALSE)+SUM(_xlfn.XLOOKUP($S117:$AL117,增益!$A:$A,增益!$I:$I,0)))/200,($F$11-$I$4+VLOOKUP($R117,武学奇术!$A:$ZZ,9,FALSE)+SUM(_xlfn.XLOOKUP($S117:$AL117,增益!$A:$A,增益!$I:$I,0)))/100)</f>
        <v>-0.3</v>
      </c>
      <c r="BB117" s="40" cm="1">
        <f t="array" ref="BB117">$G$11+VLOOKUP($R117,武学奇术!$A:$ZZ,10,FALSE)+SUM(_xlfn.XLOOKUP($S117:$AL117,增益!$A:$A,增益!$J:$J,0))</f>
        <v>0</v>
      </c>
      <c r="BC117">
        <f t="shared" si="17"/>
        <v>640.3</v>
      </c>
      <c r="BD117">
        <f t="shared" si="18"/>
        <v>1770.1</v>
      </c>
      <c r="BE117" s="40" cm="1">
        <f t="array" ref="BE117">IF($F$12-$I$4+VLOOKUP($R117,武学奇术!$A:$ZZ,11,FALSE)+SUM(_xlfn.XLOOKUP($S117:$AL117,增益!$A:$A,增益!$K:$K,0))&gt;0,($F$12-$I$4+VLOOKUP($R117,武学奇术!$A:$ZZ,11,FALSE)+SUM(_xlfn.XLOOKUP($S117:$AL117,增益!$A:$A,增益!$K:$K,0)))/200,($F$12-$I$4+VLOOKUP($R117,武学奇术!$A:$ZZ,11,FALSE)+SUM(_xlfn.XLOOKUP($S117:$AL117,增益!$A:$A,增益!$K:$K,0)))/100)</f>
        <v>0.09</v>
      </c>
      <c r="BF117" s="40" cm="1">
        <f t="array" ref="BF117">$G$12+VLOOKUP($R117,武学奇术!$A:$ZZ,12,FALSE)+SUM(_xlfn.XLOOKUP($S117:$AL117,增益!$A:$A,增益!$L:$L,0))</f>
        <v>0.15</v>
      </c>
      <c r="BG117">
        <f t="shared" si="19"/>
        <v>0</v>
      </c>
      <c r="BH117">
        <f t="shared" si="20"/>
        <v>0</v>
      </c>
      <c r="BI117" s="40" cm="1">
        <f t="array" ref="BI117">IF($F$13-$I$4+VLOOKUP($R117,武学奇术!$A:$ZZ,13,FALSE)+SUM(_xlfn.XLOOKUP($S117:$AL117,增益!$A:$A,增益!$M:$M,0))&gt;0,($F$13-$I$4+VLOOKUP($R117,武学奇术!$A:$ZZ,13,FALSE)+SUM(_xlfn.XLOOKUP($S117:$AL117,增益!$A:$A,增益!$K:$K,0)))/200,($F$13-$I$4+VLOOKUP($R117,武学奇术!$A:$ZZ,13,FALSE)+SUM(_xlfn.XLOOKUP($S117:$AL117,增益!$A:$A,增益!$M:$M,0)))/100)</f>
        <v>-0.3</v>
      </c>
      <c r="BJ117" s="40" cm="1">
        <f t="array" ref="BJ117">$G$13+VLOOKUP($R117,武学奇术!$A:$ZZ,14,FALSE)+SUM(_xlfn.XLOOKUP($S117:$AL117,增益!$A:$A,增益!$N:$N,0))</f>
        <v>0</v>
      </c>
      <c r="BK117">
        <f t="shared" si="21"/>
        <v>0</v>
      </c>
      <c r="BL117">
        <f t="shared" si="22"/>
        <v>0</v>
      </c>
      <c r="BM117" s="40" cm="1">
        <f t="array" ref="BM117">IF($F$14-$I$4+VLOOKUP($R117,武学奇术!$A:$ZZ,15,FALSE)+SUM(_xlfn.XLOOKUP($S117:$AL117,增益!$A:$A,增益!$O:$O,0))&gt;0,($F$14-$I$4+VLOOKUP($R117,武学奇术!$A:$ZZ,15,FALSE)+SUM(_xlfn.XLOOKUP($S117:$AL117,增益!$A:$A,增益!$O:$O,0)))/200,($F$14-$I$4+VLOOKUP($R117,武学奇术!$A:$ZZ,15,FALSE)+SUM(_xlfn.XLOOKUP($S117:$AL117,增益!$A:$A,增益!$O:$O,0)))/100)</f>
        <v>-0.3</v>
      </c>
      <c r="BN117" s="40" cm="1">
        <f t="array" ref="BN117">$G$14+VLOOKUP($R117,武学奇术!$A:$ZZ,16,FALSE)+SUM(_xlfn.XLOOKUP($S117:$AL117,增益!$A:$A,增益!$P:$P,0))</f>
        <v>0</v>
      </c>
      <c r="BO117" s="33">
        <f>MIN(IF(VLOOKUP($R117,武学奇术!$A:$ZZ,23,FALSE)=1,100%,$B$8),100%)</f>
        <v>0.9771</v>
      </c>
      <c r="BP117" s="33" cm="1">
        <f t="array" ref="BP117">IF(VLOOKUP($R117,武学奇术!$A:$ZZ,23,FALSE)=1,100%,MIN(80%,$B$9+VLOOKUP($R117,武学奇术!$A:$ZZ,17,FALSE)+SUM(_xlfn.XLOOKUP($S117:$AL117,增益!$A:$A,增益!$Q:$Q,0)))+$B$11+SUM(_xlfn.XLOOKUP($S117:$AL117,增益!$A:$A,增益!$U:$U,0)))*IF(VLOOKUP($R117,武学奇术!$A:$ZZ,24,FALSE)=1,0,1)</f>
        <v>0.8861</v>
      </c>
      <c r="BQ117" s="33" cm="1">
        <f t="array" ref="BQ117">1+$B$13+VLOOKUP($R117,武学奇术!$A:$ZZ,18,FALSE)+SUM(_xlfn.XLOOKUP($S117:$AL117,增益!$A:$A,增益!$R:$R,0))</f>
        <v>1.54</v>
      </c>
      <c r="BR117" s="33" cm="1">
        <f t="array" ref="BR117">IF(VLOOKUP($R117,武学奇术!$A:$ZZ,24,FALSE)=1,100%,MIN(40%,$B$10+VLOOKUP($R117,武学奇术!$A:$ZZ,19,FALSE)+SUM(_xlfn.XLOOKUP($S117:$AL117,增益!$A:$A,增益!$S:$S,0)))+$B$12+SUM(_xlfn.XLOOKUP($S117:$AL117,增益!$A:$A,增益!$V:$V,0)))*IF(VLOOKUP($R117,武学奇术!$A:$ZZ,23,FALSE)=1,0,1)</f>
        <v>0.0913</v>
      </c>
      <c r="BS117" s="33" cm="1">
        <f t="array" ref="BS117">1+$B$14+VLOOKUP($R117,武学奇术!$A:$ZZ,20,FALSE)+SUM(_xlfn.XLOOKUP($S117:$AL117,增益!$A:$A,增益!$T:$T,0))</f>
        <v>1.35</v>
      </c>
      <c r="BT117" s="33">
        <f t="shared" si="23"/>
        <v>0.86580831</v>
      </c>
      <c r="BU117" s="33">
        <f t="shared" si="24"/>
        <v>0.02208246</v>
      </c>
      <c r="BV117" s="33">
        <f>IF(VLOOKUP($R117,武学奇术!$A:$ZZ,22,FALSE)=1,0,(1-$BO117))*(1-$BR117)</f>
        <v>0.02080923</v>
      </c>
      <c r="BW117" s="33" cm="1">
        <f t="array" ref="BW117">SUM(_xlfn.XLOOKUP($S117:$AL117,增益!$A:$A,增益!$W:$W,0))+$I$5</f>
        <v>0.11</v>
      </c>
      <c r="BX117" s="33" cm="1">
        <f t="array" ref="BX117">VLOOKUP($R117,武学奇术!$A:$ZZ,32,FALSE)+SUM(_xlfn.XLOOKUP($S117:$AL117,增益!$A:$A,增益!$X:$X,0))</f>
        <v>0</v>
      </c>
    </row>
    <row r="118" spans="12:76">
      <c r="L118" s="46">
        <f t="shared" si="14"/>
        <v>0</v>
      </c>
      <c r="M118" s="46">
        <f>((($AT118+$AU118)/2*$AN118+$AO118)*(1+$AV118)*(1+$AW118)+(($AY118+$AZ118)/2*IF($G$1="鸣金",$AP118,$AN118)+IF($G$1="鸣金",$AQ118*1.5,0))*(1+$BA118)*(1+$BB118)+(($BC118+$BD118)/2*IF($G$1="裂石",$AP118,$AN118)+IF($G$1="裂石",$AQ118*1.5,0))*(1+$BE118)*(1+$BF118)+(($BG118+$BH118)/2*IF($G$1="牵丝",$AP118,$AN118)+IF($G$1="牵丝",$AQ118*1.5,0))*(1+$BI118)*(1+$BJ118)+(($BK118+$BL118)/2*IF($G$1="破竹",$AP118,$AN118)+IF($G$1="破竹",$AQ118*1.5,0))*(1+$BM118)*(1+$BN118))*(1+$AR118)*$BQ118*$Q118*(1+IF(VLOOKUP($R118,武学奇术!$A:$ZZ,30,FALSE)="蓄力技",$B$21,0))*(1+IF(VLOOKUP($R118,武学奇术!$A:$ZZ,30,FALSE)="派生技",$B$20,0))*(1+$BW118)*(1+$BX118)</f>
        <v>0</v>
      </c>
      <c r="N118" s="46">
        <f>(($AU118*$AN118+$AO118)*(1+$AV118)*(1+$AW118)+($AZ118*IF($G$1="鸣金",$AP118,$AN118)+IF($G$1="鸣金",$AQ118*1.5,0))*(1+$BA118)*(1+$BB118)+($BD118*IF($G$1="裂石",$AP118,$AN118)+IF($G$1="裂石",$AQ118*1.5,0))*(1+$BE118)*(1+$BF118)+($BH118*IF($G$1="牵丝",$AP118,$AN118)+IF($G$1="牵丝",$AQ118*1.5,0))*(1+$BI118)*(1+$BJ118)+($BL118*IF($G$1="破竹",$AP118,$AN118)+IF($G$1="破竹",$AQ118*1.5,0))*(1+$BM118)*(1+$BN118))*(1+$AR118)*$BS118*$Q118*(1+IF(VLOOKUP($R118,武学奇术!$A:$ZZ,30,FALSE)="蓄力技",$B$21,0))*(1+IF(VLOOKUP($R118,武学奇术!$A:$ZZ,30,FALSE)="派生技",$B$20,0))*(1+$BW118)*(1+$BX118)</f>
        <v>0</v>
      </c>
      <c r="O118" s="46">
        <f>((($AT118+$AU118)/2*$AN118+$AO118)*(1+$AV118)*(1+$AW118)+(($AY118+$AZ118)/2*IF($G$1="鸣金",$AP118,$AN118)+IF($G$1="鸣金",$AQ118*1.5,0))*(1+$BA118)*(1+$BB118)+(($BC118+$BD118)/2*IF($G$1="裂石",$AP118,$AN118)+IF($G$1="裂石",$AQ118*1.5,0))*(1+$BE118)*(1+$BF118)+(($BG118+$BH118)/2*IF($G$1="牵丝",$AP118,$AN118)+IF($G$1="牵丝",$AQ118*1.5,0))*(1+$BI118)*(1+$BJ118)+(($BK118+$BL118)/2*IF($G$1="破竹",$AP118,$AN118)+IF($G$1="破竹",$AQ118*1.5,0))*(1+$BM118)*(1+$BN118))*(1+$AR118)*$Q118*(1+IF(VLOOKUP($R118,武学奇术!$A:$ZZ,30,FALSE)="蓄力技",$B$21,0))*(1+IF(VLOOKUP($R118,武学奇术!$A:$ZZ,30,FALSE)="派生技",$B$20,0))*(1+$BW118)*(1+$BX118)</f>
        <v>0</v>
      </c>
      <c r="P118" s="46">
        <f>((($AT118*$AN118+$AO118)*(1+$AV118)*(1+$AW118)+($AY118*IF($G$1="鸣金",$AP118,$AN118)+IF($G$1="鸣金",$AQ118*1.5,0))*(1+$BA118)*(1+$BB118)+($BC118*IF($G$1="裂石",$AP118,$AN118)+IF($G$1="裂石",$AQ118*1.5,0))*(1+$BE118)*(1+$BF118)+($BG118*IF($G$1="牵丝",$AP118,$AN118)+IF($G$1="牵丝",$AQ118*1.5,0))*(1+$BI118)*(1+$BJ118)+($BK118*IF($G$1="破竹",$AP118,$AN118)+IF($G$1="破竹",$AQ118*1.5,0))*(1+$BM118)*(1+$BN118))*(1+$AR118))*$Q118*(1+IF(VLOOKUP($R118,武学奇术!$A:$ZZ,30,FALSE)="蓄力技",$B$21,0))*(1+IF(VLOOKUP($R118,武学奇术!$A:$ZZ,30,FALSE)="派生技",$B$20,0))*(1+$BW118)*(1+$BX118)</f>
        <v>0</v>
      </c>
      <c r="Q118" s="47">
        <f t="shared" ref="Q118:Q126" si="31">IF($E$22="易水歌",1,0)</f>
        <v>0</v>
      </c>
      <c r="R118" s="48" t="s">
        <v>192</v>
      </c>
      <c r="S118" s="48" t="s">
        <v>99</v>
      </c>
      <c r="T118" s="48" t="s">
        <v>95</v>
      </c>
      <c r="U118" s="48" t="s">
        <v>79</v>
      </c>
      <c r="V118" s="48" t="s">
        <v>90</v>
      </c>
      <c r="W118" s="48" t="s">
        <v>91</v>
      </c>
      <c r="X118" s="48" t="s">
        <v>80</v>
      </c>
      <c r="Y118" s="48" t="s">
        <v>80</v>
      </c>
      <c r="Z118" s="48" t="s">
        <v>81</v>
      </c>
      <c r="AA118" s="48" t="s">
        <v>80</v>
      </c>
      <c r="AB118" s="48" t="s">
        <v>80</v>
      </c>
      <c r="AC118" s="48" t="s">
        <v>80</v>
      </c>
      <c r="AD118" s="48" t="s">
        <v>80</v>
      </c>
      <c r="AE118" s="48" t="s">
        <v>80</v>
      </c>
      <c r="AF118" s="48" t="s">
        <v>83</v>
      </c>
      <c r="AG118" s="48" t="s">
        <v>84</v>
      </c>
      <c r="AH118" s="48" t="s">
        <v>80</v>
      </c>
      <c r="AI118" s="48" t="s">
        <v>80</v>
      </c>
      <c r="AJ118" s="48" t="s">
        <v>80</v>
      </c>
      <c r="AK118" s="48" t="s">
        <v>80</v>
      </c>
      <c r="AL118" s="48" t="s">
        <v>80</v>
      </c>
      <c r="AM118" t="str">
        <f>VLOOKUP($R118,武学奇术!$A:$ZZ,25,FALSE)</f>
        <v>心法</v>
      </c>
      <c r="AN118" s="33">
        <f>VLOOKUP($R118,武学奇术!$A:$ZZ,26,FALSE)</f>
        <v>1</v>
      </c>
      <c r="AO118" s="34">
        <f>VLOOKUP($R118,武学奇术!$A:$ZZ,27,FALSE)*(1+IF(OR($AM118=$F$4,$AM118=$F$5),$B$22,0))</f>
        <v>0</v>
      </c>
      <c r="AP118" s="33">
        <f>VLOOKUP($R118,武学奇术!$A:$ZZ,28,FALSE)</f>
        <v>1</v>
      </c>
      <c r="AQ118" s="34">
        <f>VLOOKUP($R118,武学奇术!$A:$ZZ,29,FALSE)*(1+IF(OR($AM118=$F$4,$AM118=$F$5),$B$22,0))</f>
        <v>0</v>
      </c>
      <c r="AR118" s="33" cm="1">
        <f t="array" ref="AR118">$G$3+IFERROR(VLOOKUP($AM118,$F$4:$G$7,2,FALSE),0)+VLOOKUP($R118,武学奇术!$A:$ZZ,2,FALSE)+SUM(_xlfn.XLOOKUP($S118:$AL118,增益!$A:$A,增益!$B:$B,0))</f>
        <v>0.3842</v>
      </c>
      <c r="AS118" s="33" cm="1">
        <f t="array" ref="AS118">VLOOKUP($R118,武学奇术!$A:$ZZ,5,FALSE)+SUM(_xlfn.XLOOKUP($S118:$AL118,增益!$A:$A,增益!$E:$E,0))</f>
        <v>0</v>
      </c>
      <c r="AT118" cm="1">
        <f t="array" ref="AT118">$D$10*(1+$AS118)+VLOOKUP($R118,武学奇术!$A:$ZZ,3,FALSE)+SUM(_xlfn.XLOOKUP($S118:$AL118,增益!$A:$A,增益!$C:$C,0))-$I$2</f>
        <v>4026</v>
      </c>
      <c r="AU118" cm="1">
        <f t="array" ref="AU118">$E$10*(1+$AS118)+VLOOKUP($R118,武学奇术!$A:$ZZ,4,FALSE)+SUM(_xlfn.XLOOKUP($S118:$AL118,增益!$A:$A,增益!$D:$D,0))-$I$2</f>
        <v>4026</v>
      </c>
      <c r="AV118" s="40" cm="1">
        <f t="array" ref="AV118">IF($F$10-$I$3+VLOOKUP($R118,武学奇术!$A:$ZZ,6,FALSE)+SUM(_xlfn.XLOOKUP($S118:$AL118,增益!$A:$A,增益!$F:$F,0))&gt;0,($F$10-$I$3+VLOOKUP($R118,武学奇术!$A:$ZZ,6,FALSE)+SUM(_xlfn.XLOOKUP($S118:$AL118,增益!$A:$A,增益!$F:$F,0)))/200,($F$10-$I$3+VLOOKUP($R118,武学奇术!$A:$ZZ,6,FALSE)+SUM(_xlfn.XLOOKUP($S118:$AL118,增益!$A:$A,增益!$F:$F,0)))/100)</f>
        <v>0.3284</v>
      </c>
      <c r="AW118" s="40" cm="1">
        <f t="array" ref="AW118">$G$10+VLOOKUP($R118,武学奇术!$A:$ZZ,7,FALSE)+SUM(_xlfn.XLOOKUP($S118:$AL118,增益!$A:$A,增益!$G:$G,0))</f>
        <v>0.12</v>
      </c>
      <c r="AX118" s="33" cm="1">
        <f t="array" ref="AX118">VLOOKUP($R118,武学奇术!$A:$ZZ,8,FALSE)+SUM(_xlfn.XLOOKUP($S118:$AL118,增益!$A:$A,增益!$H:$H,0))</f>
        <v>0</v>
      </c>
      <c r="AY118">
        <f t="shared" si="15"/>
        <v>0</v>
      </c>
      <c r="AZ118">
        <f t="shared" si="16"/>
        <v>0</v>
      </c>
      <c r="BA118" s="40" cm="1">
        <f t="array" ref="BA118">IF($F$11-$I$4+VLOOKUP($R118,武学奇术!$A:$ZZ,9,FALSE)+SUM(_xlfn.XLOOKUP($S118:$AL118,增益!$A:$A,增益!$I:$I,0))&gt;0,($F$11-$I$4+VLOOKUP($R118,武学奇术!$A:$ZZ,9,FALSE)+SUM(_xlfn.XLOOKUP($S118:$AL118,增益!$A:$A,增益!$I:$I,0)))/200,($F$11-$I$4+VLOOKUP($R118,武学奇术!$A:$ZZ,9,FALSE)+SUM(_xlfn.XLOOKUP($S118:$AL118,增益!$A:$A,增益!$I:$I,0)))/100)</f>
        <v>-0.14</v>
      </c>
      <c r="BB118" s="40" cm="1">
        <f t="array" ref="BB118">$G$11+VLOOKUP($R118,武学奇术!$A:$ZZ,10,FALSE)+SUM(_xlfn.XLOOKUP($S118:$AL118,增益!$A:$A,增益!$J:$J,0))</f>
        <v>0</v>
      </c>
      <c r="BC118">
        <f t="shared" si="17"/>
        <v>640.3</v>
      </c>
      <c r="BD118">
        <f t="shared" si="18"/>
        <v>1770.1</v>
      </c>
      <c r="BE118" s="40" cm="1">
        <f t="array" ref="BE118">IF($F$12-$I$4+VLOOKUP($R118,武学奇术!$A:$ZZ,11,FALSE)+SUM(_xlfn.XLOOKUP($S118:$AL118,增益!$A:$A,增益!$K:$K,0))&gt;0,($F$12-$I$4+VLOOKUP($R118,武学奇术!$A:$ZZ,11,FALSE)+SUM(_xlfn.XLOOKUP($S118:$AL118,增益!$A:$A,增益!$K:$K,0)))/200,($F$12-$I$4+VLOOKUP($R118,武学奇术!$A:$ZZ,11,FALSE)+SUM(_xlfn.XLOOKUP($S118:$AL118,增益!$A:$A,增益!$K:$K,0)))/100)</f>
        <v>0.17</v>
      </c>
      <c r="BF118" s="40" cm="1">
        <f t="array" ref="BF118">$G$12+VLOOKUP($R118,武学奇术!$A:$ZZ,12,FALSE)+SUM(_xlfn.XLOOKUP($S118:$AL118,增益!$A:$A,增益!$L:$L,0))</f>
        <v>0.27</v>
      </c>
      <c r="BG118">
        <f t="shared" si="19"/>
        <v>0</v>
      </c>
      <c r="BH118">
        <f t="shared" si="20"/>
        <v>0</v>
      </c>
      <c r="BI118" s="40" cm="1">
        <f t="array" ref="BI118">IF($F$13-$I$4+VLOOKUP($R118,武学奇术!$A:$ZZ,13,FALSE)+SUM(_xlfn.XLOOKUP($S118:$AL118,增益!$A:$A,增益!$M:$M,0))&gt;0,($F$13-$I$4+VLOOKUP($R118,武学奇术!$A:$ZZ,13,FALSE)+SUM(_xlfn.XLOOKUP($S118:$AL118,增益!$A:$A,增益!$K:$K,0)))/200,($F$13-$I$4+VLOOKUP($R118,武学奇术!$A:$ZZ,13,FALSE)+SUM(_xlfn.XLOOKUP($S118:$AL118,增益!$A:$A,增益!$M:$M,0)))/100)</f>
        <v>-0.14</v>
      </c>
      <c r="BJ118" s="40" cm="1">
        <f t="array" ref="BJ118">$G$13+VLOOKUP($R118,武学奇术!$A:$ZZ,14,FALSE)+SUM(_xlfn.XLOOKUP($S118:$AL118,增益!$A:$A,增益!$N:$N,0))</f>
        <v>0</v>
      </c>
      <c r="BK118">
        <f t="shared" si="21"/>
        <v>0</v>
      </c>
      <c r="BL118">
        <f t="shared" si="22"/>
        <v>0</v>
      </c>
      <c r="BM118" s="40" cm="1">
        <f t="array" ref="BM118">IF($F$14-$I$4+VLOOKUP($R118,武学奇术!$A:$ZZ,15,FALSE)+SUM(_xlfn.XLOOKUP($S118:$AL118,增益!$A:$A,增益!$O:$O,0))&gt;0,($F$14-$I$4+VLOOKUP($R118,武学奇术!$A:$ZZ,15,FALSE)+SUM(_xlfn.XLOOKUP($S118:$AL118,增益!$A:$A,增益!$O:$O,0)))/200,($F$14-$I$4+VLOOKUP($R118,武学奇术!$A:$ZZ,15,FALSE)+SUM(_xlfn.XLOOKUP($S118:$AL118,增益!$A:$A,增益!$O:$O,0)))/100)</f>
        <v>-0.14</v>
      </c>
      <c r="BN118" s="40" cm="1">
        <f t="array" ref="BN118">$G$14+VLOOKUP($R118,武学奇术!$A:$ZZ,16,FALSE)+SUM(_xlfn.XLOOKUP($S118:$AL118,增益!$A:$A,增益!$P:$P,0))</f>
        <v>0</v>
      </c>
      <c r="BO118" s="33">
        <f>MIN(IF(VLOOKUP($R118,武学奇术!$A:$ZZ,23,FALSE)=1,100%,$B$8),100%)</f>
        <v>0.9771</v>
      </c>
      <c r="BP118" s="33" cm="1">
        <f t="array" ref="BP118">IF(VLOOKUP($R118,武学奇术!$A:$ZZ,23,FALSE)=1,100%,MIN(80%,$B$9+VLOOKUP($R118,武学奇术!$A:$ZZ,17,FALSE)+SUM(_xlfn.XLOOKUP($S118:$AL118,增益!$A:$A,增益!$Q:$Q,0)))+$B$11+SUM(_xlfn.XLOOKUP($S118:$AL118,增益!$A:$A,增益!$U:$U,0)))*IF(VLOOKUP($R118,武学奇术!$A:$ZZ,24,FALSE)=1,0,1)</f>
        <v>0.8861</v>
      </c>
      <c r="BQ118" s="33" cm="1">
        <f t="array" ref="BQ118">1+$B$13+VLOOKUP($R118,武学奇术!$A:$ZZ,18,FALSE)+SUM(_xlfn.XLOOKUP($S118:$AL118,增益!$A:$A,增益!$R:$R,0))</f>
        <v>1.88</v>
      </c>
      <c r="BR118" s="33" cm="1">
        <f t="array" ref="BR118">IF(VLOOKUP($R118,武学奇术!$A:$ZZ,24,FALSE)=1,100%,MIN(40%,$B$10+VLOOKUP($R118,武学奇术!$A:$ZZ,19,FALSE)+SUM(_xlfn.XLOOKUP($S118:$AL118,增益!$A:$A,增益!$S:$S,0)))+$B$12+SUM(_xlfn.XLOOKUP($S118:$AL118,增益!$A:$A,增益!$V:$V,0)))*IF(VLOOKUP($R118,武学奇术!$A:$ZZ,23,FALSE)=1,0,1)</f>
        <v>0.0913</v>
      </c>
      <c r="BS118" s="33" cm="1">
        <f t="array" ref="BS118">1+$B$14+VLOOKUP($R118,武学奇术!$A:$ZZ,20,FALSE)+SUM(_xlfn.XLOOKUP($S118:$AL118,增益!$A:$A,增益!$T:$T,0))</f>
        <v>1.35</v>
      </c>
      <c r="BT118" s="33">
        <f t="shared" si="23"/>
        <v>0.86580831</v>
      </c>
      <c r="BU118" s="33">
        <f t="shared" si="24"/>
        <v>0.02208246</v>
      </c>
      <c r="BV118" s="33">
        <f>IF(VLOOKUP($R118,武学奇术!$A:$ZZ,22,FALSE)=1,0,(1-$BO118))*(1-$BR118)</f>
        <v>0.02080923</v>
      </c>
      <c r="BW118" s="33" cm="1">
        <f t="array" ref="BW118">SUM(_xlfn.XLOOKUP($S118:$AL118,增益!$A:$A,增益!$W:$W,0))+$I$5</f>
        <v>0.11</v>
      </c>
      <c r="BX118" s="33" cm="1">
        <f t="array" ref="BX118">VLOOKUP($R118,武学奇术!$A:$ZZ,32,FALSE)+SUM(_xlfn.XLOOKUP($S118:$AL118,增益!$A:$A,增益!$X:$X,0))</f>
        <v>0</v>
      </c>
    </row>
    <row r="119" spans="12:76">
      <c r="L119" s="46">
        <f t="shared" si="14"/>
        <v>0</v>
      </c>
      <c r="M119" s="46">
        <f>((($AT119+$AU119)/2*$AN119+$AO119)*(1+$AV119)*(1+$AW119)+(($AY119+$AZ119)/2*IF($G$1="鸣金",$AP119,$AN119)+IF($G$1="鸣金",$AQ119*1.5,0))*(1+$BA119)*(1+$BB119)+(($BC119+$BD119)/2*IF($G$1="裂石",$AP119,$AN119)+IF($G$1="裂石",$AQ119*1.5,0))*(1+$BE119)*(1+$BF119)+(($BG119+$BH119)/2*IF($G$1="牵丝",$AP119,$AN119)+IF($G$1="牵丝",$AQ119*1.5,0))*(1+$BI119)*(1+$BJ119)+(($BK119+$BL119)/2*IF($G$1="破竹",$AP119,$AN119)+IF($G$1="破竹",$AQ119*1.5,0))*(1+$BM119)*(1+$BN119))*(1+$AR119)*$BQ119*$Q119*(1+IF(VLOOKUP($R119,武学奇术!$A:$ZZ,30,FALSE)="蓄力技",$B$21,0))*(1+IF(VLOOKUP($R119,武学奇术!$A:$ZZ,30,FALSE)="派生技",$B$20,0))*(1+$BW119)*(1+$BX119)</f>
        <v>0</v>
      </c>
      <c r="N119" s="46">
        <f>(($AU119*$AN119+$AO119)*(1+$AV119)*(1+$AW119)+($AZ119*IF($G$1="鸣金",$AP119,$AN119)+IF($G$1="鸣金",$AQ119*1.5,0))*(1+$BA119)*(1+$BB119)+($BD119*IF($G$1="裂石",$AP119,$AN119)+IF($G$1="裂石",$AQ119*1.5,0))*(1+$BE119)*(1+$BF119)+($BH119*IF($G$1="牵丝",$AP119,$AN119)+IF($G$1="牵丝",$AQ119*1.5,0))*(1+$BI119)*(1+$BJ119)+($BL119*IF($G$1="破竹",$AP119,$AN119)+IF($G$1="破竹",$AQ119*1.5,0))*(1+$BM119)*(1+$BN119))*(1+$AR119)*$BS119*$Q119*(1+IF(VLOOKUP($R119,武学奇术!$A:$ZZ,30,FALSE)="蓄力技",$B$21,0))*(1+IF(VLOOKUP($R119,武学奇术!$A:$ZZ,30,FALSE)="派生技",$B$20,0))*(1+$BW119)*(1+$BX119)</f>
        <v>0</v>
      </c>
      <c r="O119" s="46">
        <f>((($AT119+$AU119)/2*$AN119+$AO119)*(1+$AV119)*(1+$AW119)+(($AY119+$AZ119)/2*IF($G$1="鸣金",$AP119,$AN119)+IF($G$1="鸣金",$AQ119*1.5,0))*(1+$BA119)*(1+$BB119)+(($BC119+$BD119)/2*IF($G$1="裂石",$AP119,$AN119)+IF($G$1="裂石",$AQ119*1.5,0))*(1+$BE119)*(1+$BF119)+(($BG119+$BH119)/2*IF($G$1="牵丝",$AP119,$AN119)+IF($G$1="牵丝",$AQ119*1.5,0))*(1+$BI119)*(1+$BJ119)+(($BK119+$BL119)/2*IF($G$1="破竹",$AP119,$AN119)+IF($G$1="破竹",$AQ119*1.5,0))*(1+$BM119)*(1+$BN119))*(1+$AR119)*$Q119*(1+IF(VLOOKUP($R119,武学奇术!$A:$ZZ,30,FALSE)="蓄力技",$B$21,0))*(1+IF(VLOOKUP($R119,武学奇术!$A:$ZZ,30,FALSE)="派生技",$B$20,0))*(1+$BW119)*(1+$BX119)</f>
        <v>0</v>
      </c>
      <c r="P119" s="46">
        <f>((($AT119*$AN119+$AO119)*(1+$AV119)*(1+$AW119)+($AY119*IF($G$1="鸣金",$AP119,$AN119)+IF($G$1="鸣金",$AQ119*1.5,0))*(1+$BA119)*(1+$BB119)+($BC119*IF($G$1="裂石",$AP119,$AN119)+IF($G$1="裂石",$AQ119*1.5,0))*(1+$BE119)*(1+$BF119)+($BG119*IF($G$1="牵丝",$AP119,$AN119)+IF($G$1="牵丝",$AQ119*1.5,0))*(1+$BI119)*(1+$BJ119)+($BK119*IF($G$1="破竹",$AP119,$AN119)+IF($G$1="破竹",$AQ119*1.5,0))*(1+$BM119)*(1+$BN119))*(1+$AR119))*$Q119*(1+IF(VLOOKUP($R119,武学奇术!$A:$ZZ,30,FALSE)="蓄力技",$B$21,0))*(1+IF(VLOOKUP($R119,武学奇术!$A:$ZZ,30,FALSE)="派生技",$B$20,0))*(1+$BW119)*(1+$BX119)</f>
        <v>0</v>
      </c>
      <c r="Q119" s="47">
        <f t="shared" si="31"/>
        <v>0</v>
      </c>
      <c r="R119" s="48" t="s">
        <v>192</v>
      </c>
      <c r="S119" s="48" t="s">
        <v>99</v>
      </c>
      <c r="T119" s="48" t="s">
        <v>176</v>
      </c>
      <c r="U119" s="48" t="s">
        <v>79</v>
      </c>
      <c r="V119" s="48" t="s">
        <v>80</v>
      </c>
      <c r="W119" s="48" t="s">
        <v>91</v>
      </c>
      <c r="X119" s="48" t="s">
        <v>80</v>
      </c>
      <c r="Y119" s="48" t="s">
        <v>80</v>
      </c>
      <c r="Z119" s="48" t="s">
        <v>80</v>
      </c>
      <c r="AA119" s="48" t="s">
        <v>80</v>
      </c>
      <c r="AB119" s="48" t="s">
        <v>80</v>
      </c>
      <c r="AC119" s="48" t="s">
        <v>80</v>
      </c>
      <c r="AD119" s="48" t="s">
        <v>80</v>
      </c>
      <c r="AE119" s="48" t="s">
        <v>80</v>
      </c>
      <c r="AF119" s="48" t="s">
        <v>83</v>
      </c>
      <c r="AG119" s="48" t="s">
        <v>84</v>
      </c>
      <c r="AH119" s="48" t="s">
        <v>80</v>
      </c>
      <c r="AI119" s="48" t="s">
        <v>80</v>
      </c>
      <c r="AJ119" s="48" t="s">
        <v>80</v>
      </c>
      <c r="AK119" s="48" t="s">
        <v>80</v>
      </c>
      <c r="AL119" s="48" t="s">
        <v>80</v>
      </c>
      <c r="AM119" t="str">
        <f>VLOOKUP($R119,武学奇术!$A:$ZZ,25,FALSE)</f>
        <v>心法</v>
      </c>
      <c r="AN119" s="33">
        <f>VLOOKUP($R119,武学奇术!$A:$ZZ,26,FALSE)</f>
        <v>1</v>
      </c>
      <c r="AO119" s="34">
        <f>VLOOKUP($R119,武学奇术!$A:$ZZ,27,FALSE)*(1+IF(OR($AM119=$F$4,$AM119=$F$5),$B$22,0))</f>
        <v>0</v>
      </c>
      <c r="AP119" s="33">
        <f>VLOOKUP($R119,武学奇术!$A:$ZZ,28,FALSE)</f>
        <v>1</v>
      </c>
      <c r="AQ119" s="34">
        <f>VLOOKUP($R119,武学奇术!$A:$ZZ,29,FALSE)*(1+IF(OR($AM119=$F$4,$AM119=$F$5),$B$22,0))</f>
        <v>0</v>
      </c>
      <c r="AR119" s="33" cm="1">
        <f t="array" ref="AR119">$G$3+IFERROR(VLOOKUP($AM119,$F$4:$G$7,2,FALSE),0)+VLOOKUP($R119,武学奇术!$A:$ZZ,2,FALSE)+SUM(_xlfn.XLOOKUP($S119:$AL119,增益!$A:$A,增益!$B:$B,0))</f>
        <v>0.2842</v>
      </c>
      <c r="AS119" s="33" cm="1">
        <f t="array" ref="AS119">VLOOKUP($R119,武学奇术!$A:$ZZ,5,FALSE)+SUM(_xlfn.XLOOKUP($S119:$AL119,增益!$A:$A,增益!$E:$E,0))</f>
        <v>0</v>
      </c>
      <c r="AT119" cm="1">
        <f t="array" ref="AT119">$D$10*(1+$AS119)+VLOOKUP($R119,武学奇术!$A:$ZZ,3,FALSE)+SUM(_xlfn.XLOOKUP($S119:$AL119,增益!$A:$A,增益!$C:$C,0))-$I$2</f>
        <v>4026</v>
      </c>
      <c r="AU119" cm="1">
        <f t="array" ref="AU119">$E$10*(1+$AS119)+VLOOKUP($R119,武学奇术!$A:$ZZ,4,FALSE)+SUM(_xlfn.XLOOKUP($S119:$AL119,增益!$A:$A,增益!$D:$D,0))-$I$2</f>
        <v>4026</v>
      </c>
      <c r="AV119" s="40" cm="1">
        <f t="array" ref="AV119">IF($F$10-$I$3+VLOOKUP($R119,武学奇术!$A:$ZZ,6,FALSE)+SUM(_xlfn.XLOOKUP($S119:$AL119,增益!$A:$A,增益!$F:$F,0))&gt;0,($F$10-$I$3+VLOOKUP($R119,武学奇术!$A:$ZZ,6,FALSE)+SUM(_xlfn.XLOOKUP($S119:$AL119,增益!$A:$A,增益!$F:$F,0)))/200,($F$10-$I$3+VLOOKUP($R119,武学奇术!$A:$ZZ,6,FALSE)+SUM(_xlfn.XLOOKUP($S119:$AL119,增益!$A:$A,增益!$F:$F,0)))/100)</f>
        <v>0.3284</v>
      </c>
      <c r="AW119" s="40" cm="1">
        <f t="array" ref="AW119">$G$10+VLOOKUP($R119,武学奇术!$A:$ZZ,7,FALSE)+SUM(_xlfn.XLOOKUP($S119:$AL119,增益!$A:$A,增益!$G:$G,0))</f>
        <v>0.12</v>
      </c>
      <c r="AX119" s="33" cm="1">
        <f t="array" ref="AX119">VLOOKUP($R119,武学奇术!$A:$ZZ,8,FALSE)+SUM(_xlfn.XLOOKUP($S119:$AL119,增益!$A:$A,增益!$H:$H,0))</f>
        <v>0</v>
      </c>
      <c r="AY119">
        <f t="shared" si="15"/>
        <v>0</v>
      </c>
      <c r="AZ119">
        <f t="shared" si="16"/>
        <v>0</v>
      </c>
      <c r="BA119" s="40" cm="1">
        <f t="array" ref="BA119">IF($F$11-$I$4+VLOOKUP($R119,武学奇术!$A:$ZZ,9,FALSE)+SUM(_xlfn.XLOOKUP($S119:$AL119,增益!$A:$A,增益!$I:$I,0))&gt;0,($F$11-$I$4+VLOOKUP($R119,武学奇术!$A:$ZZ,9,FALSE)+SUM(_xlfn.XLOOKUP($S119:$AL119,增益!$A:$A,增益!$I:$I,0)))/200,($F$11-$I$4+VLOOKUP($R119,武学奇术!$A:$ZZ,9,FALSE)+SUM(_xlfn.XLOOKUP($S119:$AL119,增益!$A:$A,增益!$I:$I,0)))/100)</f>
        <v>-0.3</v>
      </c>
      <c r="BB119" s="40" cm="1">
        <f t="array" ref="BB119">$G$11+VLOOKUP($R119,武学奇术!$A:$ZZ,10,FALSE)+SUM(_xlfn.XLOOKUP($S119:$AL119,增益!$A:$A,增益!$J:$J,0))</f>
        <v>0</v>
      </c>
      <c r="BC119">
        <f t="shared" si="17"/>
        <v>640.3</v>
      </c>
      <c r="BD119">
        <f t="shared" si="18"/>
        <v>1770.1</v>
      </c>
      <c r="BE119" s="40" cm="1">
        <f t="array" ref="BE119">IF($F$12-$I$4+VLOOKUP($R119,武学奇术!$A:$ZZ,11,FALSE)+SUM(_xlfn.XLOOKUP($S119:$AL119,增益!$A:$A,增益!$K:$K,0))&gt;0,($F$12-$I$4+VLOOKUP($R119,武学奇术!$A:$ZZ,11,FALSE)+SUM(_xlfn.XLOOKUP($S119:$AL119,增益!$A:$A,增益!$K:$K,0)))/200,($F$12-$I$4+VLOOKUP($R119,武学奇术!$A:$ZZ,11,FALSE)+SUM(_xlfn.XLOOKUP($S119:$AL119,增益!$A:$A,增益!$K:$K,0)))/100)</f>
        <v>0.09</v>
      </c>
      <c r="BF119" s="40" cm="1">
        <f t="array" ref="BF119">$G$12+VLOOKUP($R119,武学奇术!$A:$ZZ,12,FALSE)+SUM(_xlfn.XLOOKUP($S119:$AL119,增益!$A:$A,增益!$L:$L,0))</f>
        <v>0.27</v>
      </c>
      <c r="BG119">
        <f t="shared" si="19"/>
        <v>0</v>
      </c>
      <c r="BH119">
        <f t="shared" si="20"/>
        <v>0</v>
      </c>
      <c r="BI119" s="40" cm="1">
        <f t="array" ref="BI119">IF($F$13-$I$4+VLOOKUP($R119,武学奇术!$A:$ZZ,13,FALSE)+SUM(_xlfn.XLOOKUP($S119:$AL119,增益!$A:$A,增益!$M:$M,0))&gt;0,($F$13-$I$4+VLOOKUP($R119,武学奇术!$A:$ZZ,13,FALSE)+SUM(_xlfn.XLOOKUP($S119:$AL119,增益!$A:$A,增益!$K:$K,0)))/200,($F$13-$I$4+VLOOKUP($R119,武学奇术!$A:$ZZ,13,FALSE)+SUM(_xlfn.XLOOKUP($S119:$AL119,增益!$A:$A,增益!$M:$M,0)))/100)</f>
        <v>-0.3</v>
      </c>
      <c r="BJ119" s="40" cm="1">
        <f t="array" ref="BJ119">$G$13+VLOOKUP($R119,武学奇术!$A:$ZZ,14,FALSE)+SUM(_xlfn.XLOOKUP($S119:$AL119,增益!$A:$A,增益!$N:$N,0))</f>
        <v>0</v>
      </c>
      <c r="BK119">
        <f t="shared" si="21"/>
        <v>0</v>
      </c>
      <c r="BL119">
        <f t="shared" si="22"/>
        <v>0</v>
      </c>
      <c r="BM119" s="40" cm="1">
        <f t="array" ref="BM119">IF($F$14-$I$4+VLOOKUP($R119,武学奇术!$A:$ZZ,15,FALSE)+SUM(_xlfn.XLOOKUP($S119:$AL119,增益!$A:$A,增益!$O:$O,0))&gt;0,($F$14-$I$4+VLOOKUP($R119,武学奇术!$A:$ZZ,15,FALSE)+SUM(_xlfn.XLOOKUP($S119:$AL119,增益!$A:$A,增益!$O:$O,0)))/200,($F$14-$I$4+VLOOKUP($R119,武学奇术!$A:$ZZ,15,FALSE)+SUM(_xlfn.XLOOKUP($S119:$AL119,增益!$A:$A,增益!$O:$O,0)))/100)</f>
        <v>-0.3</v>
      </c>
      <c r="BN119" s="40" cm="1">
        <f t="array" ref="BN119">$G$14+VLOOKUP($R119,武学奇术!$A:$ZZ,16,FALSE)+SUM(_xlfn.XLOOKUP($S119:$AL119,增益!$A:$A,增益!$P:$P,0))</f>
        <v>0</v>
      </c>
      <c r="BO119" s="33">
        <f>MIN(IF(VLOOKUP($R119,武学奇术!$A:$ZZ,23,FALSE)=1,100%,$B$8),100%)</f>
        <v>0.9771</v>
      </c>
      <c r="BP119" s="33" cm="1">
        <f t="array" ref="BP119">IF(VLOOKUP($R119,武学奇术!$A:$ZZ,23,FALSE)=1,100%,MIN(80%,$B$9+VLOOKUP($R119,武学奇术!$A:$ZZ,17,FALSE)+SUM(_xlfn.XLOOKUP($S119:$AL119,增益!$A:$A,增益!$Q:$Q,0)))+$B$11+SUM(_xlfn.XLOOKUP($S119:$AL119,增益!$A:$A,增益!$U:$U,0)))*IF(VLOOKUP($R119,武学奇术!$A:$ZZ,24,FALSE)=1,0,1)</f>
        <v>0.8861</v>
      </c>
      <c r="BQ119" s="33" cm="1">
        <f t="array" ref="BQ119">1+$B$13+VLOOKUP($R119,武学奇术!$A:$ZZ,18,FALSE)+SUM(_xlfn.XLOOKUP($S119:$AL119,增益!$A:$A,增益!$R:$R,0))</f>
        <v>1.92</v>
      </c>
      <c r="BR119" s="33" cm="1">
        <f t="array" ref="BR119">IF(VLOOKUP($R119,武学奇术!$A:$ZZ,24,FALSE)=1,100%,MIN(40%,$B$10+VLOOKUP($R119,武学奇术!$A:$ZZ,19,FALSE)+SUM(_xlfn.XLOOKUP($S119:$AL119,增益!$A:$A,增益!$S:$S,0)))+$B$12+SUM(_xlfn.XLOOKUP($S119:$AL119,增益!$A:$A,增益!$V:$V,0)))*IF(VLOOKUP($R119,武学奇术!$A:$ZZ,23,FALSE)=1,0,1)</f>
        <v>0.0913</v>
      </c>
      <c r="BS119" s="33" cm="1">
        <f t="array" ref="BS119">1+$B$14+VLOOKUP($R119,武学奇术!$A:$ZZ,20,FALSE)+SUM(_xlfn.XLOOKUP($S119:$AL119,增益!$A:$A,增益!$T:$T,0))</f>
        <v>1.35</v>
      </c>
      <c r="BT119" s="33">
        <f t="shared" si="23"/>
        <v>0.86580831</v>
      </c>
      <c r="BU119" s="33">
        <f t="shared" si="24"/>
        <v>0.02208246</v>
      </c>
      <c r="BV119" s="33">
        <f>IF(VLOOKUP($R119,武学奇术!$A:$ZZ,22,FALSE)=1,0,(1-$BO119))*(1-$BR119)</f>
        <v>0.02080923</v>
      </c>
      <c r="BW119" s="33" cm="1">
        <f t="array" ref="BW119">SUM(_xlfn.XLOOKUP($S119:$AL119,增益!$A:$A,增益!$W:$W,0))+$I$5</f>
        <v>0.11</v>
      </c>
      <c r="BX119" s="33" cm="1">
        <f t="array" ref="BX119">VLOOKUP($R119,武学奇术!$A:$ZZ,32,FALSE)+SUM(_xlfn.XLOOKUP($S119:$AL119,增益!$A:$A,增益!$X:$X,0))</f>
        <v>0</v>
      </c>
    </row>
    <row r="120" spans="12:76">
      <c r="L120" s="46">
        <f t="shared" si="14"/>
        <v>0</v>
      </c>
      <c r="M120" s="46">
        <f>((($AT120+$AU120)/2*$AN120+$AO120)*(1+$AV120)*(1+$AW120)+(($AY120+$AZ120)/2*IF($G$1="鸣金",$AP120,$AN120)+IF($G$1="鸣金",$AQ120*1.5,0))*(1+$BA120)*(1+$BB120)+(($BC120+$BD120)/2*IF($G$1="裂石",$AP120,$AN120)+IF($G$1="裂石",$AQ120*1.5,0))*(1+$BE120)*(1+$BF120)+(($BG120+$BH120)/2*IF($G$1="牵丝",$AP120,$AN120)+IF($G$1="牵丝",$AQ120*1.5,0))*(1+$BI120)*(1+$BJ120)+(($BK120+$BL120)/2*IF($G$1="破竹",$AP120,$AN120)+IF($G$1="破竹",$AQ120*1.5,0))*(1+$BM120)*(1+$BN120))*(1+$AR120)*$BQ120*$Q120*(1+IF(VLOOKUP($R120,武学奇术!$A:$ZZ,30,FALSE)="蓄力技",$B$21,0))*(1+IF(VLOOKUP($R120,武学奇术!$A:$ZZ,30,FALSE)="派生技",$B$20,0))*(1+$BW120)*(1+$BX120)</f>
        <v>0</v>
      </c>
      <c r="N120" s="46">
        <f>(($AU120*$AN120+$AO120)*(1+$AV120)*(1+$AW120)+($AZ120*IF($G$1="鸣金",$AP120,$AN120)+IF($G$1="鸣金",$AQ120*1.5,0))*(1+$BA120)*(1+$BB120)+($BD120*IF($G$1="裂石",$AP120,$AN120)+IF($G$1="裂石",$AQ120*1.5,0))*(1+$BE120)*(1+$BF120)+($BH120*IF($G$1="牵丝",$AP120,$AN120)+IF($G$1="牵丝",$AQ120*1.5,0))*(1+$BI120)*(1+$BJ120)+($BL120*IF($G$1="破竹",$AP120,$AN120)+IF($G$1="破竹",$AQ120*1.5,0))*(1+$BM120)*(1+$BN120))*(1+$AR120)*$BS120*$Q120*(1+IF(VLOOKUP($R120,武学奇术!$A:$ZZ,30,FALSE)="蓄力技",$B$21,0))*(1+IF(VLOOKUP($R120,武学奇术!$A:$ZZ,30,FALSE)="派生技",$B$20,0))*(1+$BW120)*(1+$BX120)</f>
        <v>0</v>
      </c>
      <c r="O120" s="46">
        <f>((($AT120+$AU120)/2*$AN120+$AO120)*(1+$AV120)*(1+$AW120)+(($AY120+$AZ120)/2*IF($G$1="鸣金",$AP120,$AN120)+IF($G$1="鸣金",$AQ120*1.5,0))*(1+$BA120)*(1+$BB120)+(($BC120+$BD120)/2*IF($G$1="裂石",$AP120,$AN120)+IF($G$1="裂石",$AQ120*1.5,0))*(1+$BE120)*(1+$BF120)+(($BG120+$BH120)/2*IF($G$1="牵丝",$AP120,$AN120)+IF($G$1="牵丝",$AQ120*1.5,0))*(1+$BI120)*(1+$BJ120)+(($BK120+$BL120)/2*IF($G$1="破竹",$AP120,$AN120)+IF($G$1="破竹",$AQ120*1.5,0))*(1+$BM120)*(1+$BN120))*(1+$AR120)*$Q120*(1+IF(VLOOKUP($R120,武学奇术!$A:$ZZ,30,FALSE)="蓄力技",$B$21,0))*(1+IF(VLOOKUP($R120,武学奇术!$A:$ZZ,30,FALSE)="派生技",$B$20,0))*(1+$BW120)*(1+$BX120)</f>
        <v>0</v>
      </c>
      <c r="P120" s="46">
        <f>((($AT120*$AN120+$AO120)*(1+$AV120)*(1+$AW120)+($AY120*IF($G$1="鸣金",$AP120,$AN120)+IF($G$1="鸣金",$AQ120*1.5,0))*(1+$BA120)*(1+$BB120)+($BC120*IF($G$1="裂石",$AP120,$AN120)+IF($G$1="裂石",$AQ120*1.5,0))*(1+$BE120)*(1+$BF120)+($BG120*IF($G$1="牵丝",$AP120,$AN120)+IF($G$1="牵丝",$AQ120*1.5,0))*(1+$BI120)*(1+$BJ120)+($BK120*IF($G$1="破竹",$AP120,$AN120)+IF($G$1="破竹",$AQ120*1.5,0))*(1+$BM120)*(1+$BN120))*(1+$AR120))*$Q120*(1+IF(VLOOKUP($R120,武学奇术!$A:$ZZ,30,FALSE)="蓄力技",$B$21,0))*(1+IF(VLOOKUP($R120,武学奇术!$A:$ZZ,30,FALSE)="派生技",$B$20,0))*(1+$BW120)*(1+$BX120)</f>
        <v>0</v>
      </c>
      <c r="Q120" s="47">
        <f t="shared" si="31"/>
        <v>0</v>
      </c>
      <c r="R120" s="48" t="s">
        <v>192</v>
      </c>
      <c r="S120" s="48" t="s">
        <v>99</v>
      </c>
      <c r="T120" s="48" t="s">
        <v>182</v>
      </c>
      <c r="U120" s="48" t="s">
        <v>79</v>
      </c>
      <c r="V120" s="48" t="s">
        <v>90</v>
      </c>
      <c r="W120" s="48" t="s">
        <v>91</v>
      </c>
      <c r="X120" s="48" t="s">
        <v>80</v>
      </c>
      <c r="Y120" s="48" t="s">
        <v>80</v>
      </c>
      <c r="Z120" s="48" t="s">
        <v>80</v>
      </c>
      <c r="AA120" s="48" t="s">
        <v>80</v>
      </c>
      <c r="AB120" s="48" t="s">
        <v>80</v>
      </c>
      <c r="AC120" s="48" t="s">
        <v>80</v>
      </c>
      <c r="AD120" s="48" t="s">
        <v>80</v>
      </c>
      <c r="AE120" s="48" t="s">
        <v>80</v>
      </c>
      <c r="AF120" s="48" t="s">
        <v>83</v>
      </c>
      <c r="AG120" s="48" t="s">
        <v>84</v>
      </c>
      <c r="AH120" s="48" t="s">
        <v>80</v>
      </c>
      <c r="AI120" s="48" t="s">
        <v>80</v>
      </c>
      <c r="AJ120" s="48" t="s">
        <v>80</v>
      </c>
      <c r="AK120" s="48" t="s">
        <v>80</v>
      </c>
      <c r="AL120" s="48" t="s">
        <v>80</v>
      </c>
      <c r="AM120" t="str">
        <f>VLOOKUP($R120,武学奇术!$A:$ZZ,25,FALSE)</f>
        <v>心法</v>
      </c>
      <c r="AN120" s="33">
        <f>VLOOKUP($R120,武学奇术!$A:$ZZ,26,FALSE)</f>
        <v>1</v>
      </c>
      <c r="AO120" s="34">
        <f>VLOOKUP($R120,武学奇术!$A:$ZZ,27,FALSE)*(1+IF(OR($AM120=$F$4,$AM120=$F$5),$B$22,0))</f>
        <v>0</v>
      </c>
      <c r="AP120" s="33">
        <f>VLOOKUP($R120,武学奇术!$A:$ZZ,28,FALSE)</f>
        <v>1</v>
      </c>
      <c r="AQ120" s="34">
        <f>VLOOKUP($R120,武学奇术!$A:$ZZ,29,FALSE)*(1+IF(OR($AM120=$F$4,$AM120=$F$5),$B$22,0))</f>
        <v>0</v>
      </c>
      <c r="AR120" s="33" cm="1">
        <f t="array" ref="AR120">$G$3+IFERROR(VLOOKUP($AM120,$F$4:$G$7,2,FALSE),0)+VLOOKUP($R120,武学奇术!$A:$ZZ,2,FALSE)+SUM(_xlfn.XLOOKUP($S120:$AL120,增益!$A:$A,增益!$B:$B,0))</f>
        <v>0.3642</v>
      </c>
      <c r="AS120" s="33" cm="1">
        <f t="array" ref="AS120">VLOOKUP($R120,武学奇术!$A:$ZZ,5,FALSE)+SUM(_xlfn.XLOOKUP($S120:$AL120,增益!$A:$A,增益!$E:$E,0))</f>
        <v>0</v>
      </c>
      <c r="AT120" cm="1">
        <f t="array" ref="AT120">$D$10*(1+$AS120)+VLOOKUP($R120,武学奇术!$A:$ZZ,3,FALSE)+SUM(_xlfn.XLOOKUP($S120:$AL120,增益!$A:$A,增益!$C:$C,0))-$I$2</f>
        <v>4026</v>
      </c>
      <c r="AU120" cm="1">
        <f t="array" ref="AU120">$E$10*(1+$AS120)+VLOOKUP($R120,武学奇术!$A:$ZZ,4,FALSE)+SUM(_xlfn.XLOOKUP($S120:$AL120,增益!$A:$A,增益!$D:$D,0))-$I$2</f>
        <v>4026</v>
      </c>
      <c r="AV120" s="40" cm="1">
        <f t="array" ref="AV120">IF($F$10-$I$3+VLOOKUP($R120,武学奇术!$A:$ZZ,6,FALSE)+SUM(_xlfn.XLOOKUP($S120:$AL120,增益!$A:$A,增益!$F:$F,0))&gt;0,($F$10-$I$3+VLOOKUP($R120,武学奇术!$A:$ZZ,6,FALSE)+SUM(_xlfn.XLOOKUP($S120:$AL120,增益!$A:$A,增益!$F:$F,0)))/200,($F$10-$I$3+VLOOKUP($R120,武学奇术!$A:$ZZ,6,FALSE)+SUM(_xlfn.XLOOKUP($S120:$AL120,增益!$A:$A,增益!$F:$F,0)))/100)</f>
        <v>0.3284</v>
      </c>
      <c r="AW120" s="40" cm="1">
        <f t="array" ref="AW120">$G$10+VLOOKUP($R120,武学奇术!$A:$ZZ,7,FALSE)+SUM(_xlfn.XLOOKUP($S120:$AL120,增益!$A:$A,增益!$G:$G,0))</f>
        <v>0.12</v>
      </c>
      <c r="AX120" s="33" cm="1">
        <f t="array" ref="AX120">VLOOKUP($R120,武学奇术!$A:$ZZ,8,FALSE)+SUM(_xlfn.XLOOKUP($S120:$AL120,增益!$A:$A,增益!$H:$H,0))</f>
        <v>0</v>
      </c>
      <c r="AY120">
        <f t="shared" si="15"/>
        <v>0</v>
      </c>
      <c r="AZ120">
        <f t="shared" si="16"/>
        <v>0</v>
      </c>
      <c r="BA120" s="40" cm="1">
        <f t="array" ref="BA120">IF($F$11-$I$4+VLOOKUP($R120,武学奇术!$A:$ZZ,9,FALSE)+SUM(_xlfn.XLOOKUP($S120:$AL120,增益!$A:$A,增益!$I:$I,0))&gt;0,($F$11-$I$4+VLOOKUP($R120,武学奇术!$A:$ZZ,9,FALSE)+SUM(_xlfn.XLOOKUP($S120:$AL120,增益!$A:$A,增益!$I:$I,0)))/200,($F$11-$I$4+VLOOKUP($R120,武学奇术!$A:$ZZ,9,FALSE)+SUM(_xlfn.XLOOKUP($S120:$AL120,增益!$A:$A,增益!$I:$I,0)))/100)</f>
        <v>-0.14</v>
      </c>
      <c r="BB120" s="40" cm="1">
        <f t="array" ref="BB120">$G$11+VLOOKUP($R120,武学奇术!$A:$ZZ,10,FALSE)+SUM(_xlfn.XLOOKUP($S120:$AL120,增益!$A:$A,增益!$J:$J,0))</f>
        <v>0</v>
      </c>
      <c r="BC120">
        <f t="shared" si="17"/>
        <v>640.3</v>
      </c>
      <c r="BD120">
        <f t="shared" si="18"/>
        <v>1770.1</v>
      </c>
      <c r="BE120" s="40" cm="1">
        <f t="array" ref="BE120">IF($F$12-$I$4+VLOOKUP($R120,武学奇术!$A:$ZZ,11,FALSE)+SUM(_xlfn.XLOOKUP($S120:$AL120,增益!$A:$A,增益!$K:$K,0))&gt;0,($F$12-$I$4+VLOOKUP($R120,武学奇术!$A:$ZZ,11,FALSE)+SUM(_xlfn.XLOOKUP($S120:$AL120,增益!$A:$A,增益!$K:$K,0)))/200,($F$12-$I$4+VLOOKUP($R120,武学奇术!$A:$ZZ,11,FALSE)+SUM(_xlfn.XLOOKUP($S120:$AL120,增益!$A:$A,增益!$K:$K,0)))/100)</f>
        <v>0.17</v>
      </c>
      <c r="BF120" s="40" cm="1">
        <f t="array" ref="BF120">$G$12+VLOOKUP($R120,武学奇术!$A:$ZZ,12,FALSE)+SUM(_xlfn.XLOOKUP($S120:$AL120,增益!$A:$A,增益!$L:$L,0))</f>
        <v>0.27</v>
      </c>
      <c r="BG120">
        <f t="shared" si="19"/>
        <v>0</v>
      </c>
      <c r="BH120">
        <f t="shared" si="20"/>
        <v>0</v>
      </c>
      <c r="BI120" s="40" cm="1">
        <f t="array" ref="BI120">IF($F$13-$I$4+VLOOKUP($R120,武学奇术!$A:$ZZ,13,FALSE)+SUM(_xlfn.XLOOKUP($S120:$AL120,增益!$A:$A,增益!$M:$M,0))&gt;0,($F$13-$I$4+VLOOKUP($R120,武学奇术!$A:$ZZ,13,FALSE)+SUM(_xlfn.XLOOKUP($S120:$AL120,增益!$A:$A,增益!$K:$K,0)))/200,($F$13-$I$4+VLOOKUP($R120,武学奇术!$A:$ZZ,13,FALSE)+SUM(_xlfn.XLOOKUP($S120:$AL120,增益!$A:$A,增益!$M:$M,0)))/100)</f>
        <v>-0.14</v>
      </c>
      <c r="BJ120" s="40" cm="1">
        <f t="array" ref="BJ120">$G$13+VLOOKUP($R120,武学奇术!$A:$ZZ,14,FALSE)+SUM(_xlfn.XLOOKUP($S120:$AL120,增益!$A:$A,增益!$N:$N,0))</f>
        <v>0</v>
      </c>
      <c r="BK120">
        <f t="shared" si="21"/>
        <v>0</v>
      </c>
      <c r="BL120">
        <f t="shared" si="22"/>
        <v>0</v>
      </c>
      <c r="BM120" s="40" cm="1">
        <f t="array" ref="BM120">IF($F$14-$I$4+VLOOKUP($R120,武学奇术!$A:$ZZ,15,FALSE)+SUM(_xlfn.XLOOKUP($S120:$AL120,增益!$A:$A,增益!$O:$O,0))&gt;0,($F$14-$I$4+VLOOKUP($R120,武学奇术!$A:$ZZ,15,FALSE)+SUM(_xlfn.XLOOKUP($S120:$AL120,增益!$A:$A,增益!$O:$O,0)))/200,($F$14-$I$4+VLOOKUP($R120,武学奇术!$A:$ZZ,15,FALSE)+SUM(_xlfn.XLOOKUP($S120:$AL120,增益!$A:$A,增益!$O:$O,0)))/100)</f>
        <v>-0.14</v>
      </c>
      <c r="BN120" s="40" cm="1">
        <f t="array" ref="BN120">$G$14+VLOOKUP($R120,武学奇术!$A:$ZZ,16,FALSE)+SUM(_xlfn.XLOOKUP($S120:$AL120,增益!$A:$A,增益!$P:$P,0))</f>
        <v>0</v>
      </c>
      <c r="BO120" s="33">
        <f>MIN(IF(VLOOKUP($R120,武学奇术!$A:$ZZ,23,FALSE)=1,100%,$B$8),100%)</f>
        <v>0.9771</v>
      </c>
      <c r="BP120" s="33" cm="1">
        <f t="array" ref="BP120">IF(VLOOKUP($R120,武学奇术!$A:$ZZ,23,FALSE)=1,100%,MIN(80%,$B$9+VLOOKUP($R120,武学奇术!$A:$ZZ,17,FALSE)+SUM(_xlfn.XLOOKUP($S120:$AL120,增益!$A:$A,增益!$Q:$Q,0)))+$B$11+SUM(_xlfn.XLOOKUP($S120:$AL120,增益!$A:$A,增益!$U:$U,0)))*IF(VLOOKUP($R120,武学奇术!$A:$ZZ,24,FALSE)=1,0,1)</f>
        <v>0.8861</v>
      </c>
      <c r="BQ120" s="33" cm="1">
        <f t="array" ref="BQ120">1+$B$13+VLOOKUP($R120,武学奇术!$A:$ZZ,18,FALSE)+SUM(_xlfn.XLOOKUP($S120:$AL120,增益!$A:$A,增益!$R:$R,0))</f>
        <v>1.95</v>
      </c>
      <c r="BR120" s="33" cm="1">
        <f t="array" ref="BR120">IF(VLOOKUP($R120,武学奇术!$A:$ZZ,24,FALSE)=1,100%,MIN(40%,$B$10+VLOOKUP($R120,武学奇术!$A:$ZZ,19,FALSE)+SUM(_xlfn.XLOOKUP($S120:$AL120,增益!$A:$A,增益!$S:$S,0)))+$B$12+SUM(_xlfn.XLOOKUP($S120:$AL120,增益!$A:$A,增益!$V:$V,0)))*IF(VLOOKUP($R120,武学奇术!$A:$ZZ,23,FALSE)=1,0,1)</f>
        <v>0.0913</v>
      </c>
      <c r="BS120" s="33" cm="1">
        <f t="array" ref="BS120">1+$B$14+VLOOKUP($R120,武学奇术!$A:$ZZ,20,FALSE)+SUM(_xlfn.XLOOKUP($S120:$AL120,增益!$A:$A,增益!$T:$T,0))</f>
        <v>1.35</v>
      </c>
      <c r="BT120" s="33">
        <f t="shared" si="23"/>
        <v>0.86580831</v>
      </c>
      <c r="BU120" s="33">
        <f t="shared" si="24"/>
        <v>0.02208246</v>
      </c>
      <c r="BV120" s="33">
        <f>IF(VLOOKUP($R120,武学奇术!$A:$ZZ,22,FALSE)=1,0,(1-$BO120))*(1-$BR120)</f>
        <v>0.02080923</v>
      </c>
      <c r="BW120" s="33" cm="1">
        <f t="array" ref="BW120">SUM(_xlfn.XLOOKUP($S120:$AL120,增益!$A:$A,增益!$W:$W,0))+$I$5</f>
        <v>0.11</v>
      </c>
      <c r="BX120" s="33" cm="1">
        <f t="array" ref="BX120">VLOOKUP($R120,武学奇术!$A:$ZZ,32,FALSE)+SUM(_xlfn.XLOOKUP($S120:$AL120,增益!$A:$A,增益!$X:$X,0))</f>
        <v>0</v>
      </c>
    </row>
    <row r="121" spans="12:76">
      <c r="L121" s="46">
        <f t="shared" si="14"/>
        <v>0</v>
      </c>
      <c r="M121" s="46">
        <f>((($AT121+$AU121)/2*$AN121+$AO121)*(1+$AV121)*(1+$AW121)+(($AY121+$AZ121)/2*IF($G$1="鸣金",$AP121,$AN121)+IF($G$1="鸣金",$AQ121*1.5,0))*(1+$BA121)*(1+$BB121)+(($BC121+$BD121)/2*IF($G$1="裂石",$AP121,$AN121)+IF($G$1="裂石",$AQ121*1.5,0))*(1+$BE121)*(1+$BF121)+(($BG121+$BH121)/2*IF($G$1="牵丝",$AP121,$AN121)+IF($G$1="牵丝",$AQ121*1.5,0))*(1+$BI121)*(1+$BJ121)+(($BK121+$BL121)/2*IF($G$1="破竹",$AP121,$AN121)+IF($G$1="破竹",$AQ121*1.5,0))*(1+$BM121)*(1+$BN121))*(1+$AR121)*$BQ121*$Q121*(1+IF(VLOOKUP($R121,武学奇术!$A:$ZZ,30,FALSE)="蓄力技",$B$21,0))*(1+IF(VLOOKUP($R121,武学奇术!$A:$ZZ,30,FALSE)="派生技",$B$20,0))*(1+$BW121)*(1+$BX121)</f>
        <v>0</v>
      </c>
      <c r="N121" s="46">
        <f>(($AU121*$AN121+$AO121)*(1+$AV121)*(1+$AW121)+($AZ121*IF($G$1="鸣金",$AP121,$AN121)+IF($G$1="鸣金",$AQ121*1.5,0))*(1+$BA121)*(1+$BB121)+($BD121*IF($G$1="裂石",$AP121,$AN121)+IF($G$1="裂石",$AQ121*1.5,0))*(1+$BE121)*(1+$BF121)+($BH121*IF($G$1="牵丝",$AP121,$AN121)+IF($G$1="牵丝",$AQ121*1.5,0))*(1+$BI121)*(1+$BJ121)+($BL121*IF($G$1="破竹",$AP121,$AN121)+IF($G$1="破竹",$AQ121*1.5,0))*(1+$BM121)*(1+$BN121))*(1+$AR121)*$BS121*$Q121*(1+IF(VLOOKUP($R121,武学奇术!$A:$ZZ,30,FALSE)="蓄力技",$B$21,0))*(1+IF(VLOOKUP($R121,武学奇术!$A:$ZZ,30,FALSE)="派生技",$B$20,0))*(1+$BW121)*(1+$BX121)</f>
        <v>0</v>
      </c>
      <c r="O121" s="46">
        <f>((($AT121+$AU121)/2*$AN121+$AO121)*(1+$AV121)*(1+$AW121)+(($AY121+$AZ121)/2*IF($G$1="鸣金",$AP121,$AN121)+IF($G$1="鸣金",$AQ121*1.5,0))*(1+$BA121)*(1+$BB121)+(($BC121+$BD121)/2*IF($G$1="裂石",$AP121,$AN121)+IF($G$1="裂石",$AQ121*1.5,0))*(1+$BE121)*(1+$BF121)+(($BG121+$BH121)/2*IF($G$1="牵丝",$AP121,$AN121)+IF($G$1="牵丝",$AQ121*1.5,0))*(1+$BI121)*(1+$BJ121)+(($BK121+$BL121)/2*IF($G$1="破竹",$AP121,$AN121)+IF($G$1="破竹",$AQ121*1.5,0))*(1+$BM121)*(1+$BN121))*(1+$AR121)*$Q121*(1+IF(VLOOKUP($R121,武学奇术!$A:$ZZ,30,FALSE)="蓄力技",$B$21,0))*(1+IF(VLOOKUP($R121,武学奇术!$A:$ZZ,30,FALSE)="派生技",$B$20,0))*(1+$BW121)*(1+$BX121)</f>
        <v>0</v>
      </c>
      <c r="P121" s="46">
        <f>((($AT121*$AN121+$AO121)*(1+$AV121)*(1+$AW121)+($AY121*IF($G$1="鸣金",$AP121,$AN121)+IF($G$1="鸣金",$AQ121*1.5,0))*(1+$BA121)*(1+$BB121)+($BC121*IF($G$1="裂石",$AP121,$AN121)+IF($G$1="裂石",$AQ121*1.5,0))*(1+$BE121)*(1+$BF121)+($BG121*IF($G$1="牵丝",$AP121,$AN121)+IF($G$1="牵丝",$AQ121*1.5,0))*(1+$BI121)*(1+$BJ121)+($BK121*IF($G$1="破竹",$AP121,$AN121)+IF($G$1="破竹",$AQ121*1.5,0))*(1+$BM121)*(1+$BN121))*(1+$AR121))*$Q121*(1+IF(VLOOKUP($R121,武学奇术!$A:$ZZ,30,FALSE)="蓄力技",$B$21,0))*(1+IF(VLOOKUP($R121,武学奇术!$A:$ZZ,30,FALSE)="派生技",$B$20,0))*(1+$BW121)*(1+$BX121)</f>
        <v>0</v>
      </c>
      <c r="Q121" s="47">
        <f t="shared" si="31"/>
        <v>0</v>
      </c>
      <c r="R121" s="48" t="s">
        <v>192</v>
      </c>
      <c r="S121" s="48" t="s">
        <v>99</v>
      </c>
      <c r="T121" s="48" t="s">
        <v>182</v>
      </c>
      <c r="U121" s="48" t="s">
        <v>79</v>
      </c>
      <c r="V121" s="48" t="s">
        <v>80</v>
      </c>
      <c r="W121" s="48" t="s">
        <v>91</v>
      </c>
      <c r="X121" s="48" t="s">
        <v>80</v>
      </c>
      <c r="Y121" s="48" t="s">
        <v>80</v>
      </c>
      <c r="Z121" s="48" t="s">
        <v>80</v>
      </c>
      <c r="AA121" s="48" t="s">
        <v>183</v>
      </c>
      <c r="AB121" s="48" t="s">
        <v>184</v>
      </c>
      <c r="AC121" s="48" t="s">
        <v>193</v>
      </c>
      <c r="AD121" s="48" t="s">
        <v>80</v>
      </c>
      <c r="AE121" s="48" t="s">
        <v>80</v>
      </c>
      <c r="AF121" s="48" t="s">
        <v>83</v>
      </c>
      <c r="AG121" s="48" t="s">
        <v>84</v>
      </c>
      <c r="AH121" s="48" t="s">
        <v>80</v>
      </c>
      <c r="AI121" s="48" t="s">
        <v>80</v>
      </c>
      <c r="AJ121" s="48" t="s">
        <v>80</v>
      </c>
      <c r="AK121" s="48" t="s">
        <v>80</v>
      </c>
      <c r="AL121" s="48" t="s">
        <v>80</v>
      </c>
      <c r="AM121" t="str">
        <f>VLOOKUP($R121,武学奇术!$A:$ZZ,25,FALSE)</f>
        <v>心法</v>
      </c>
      <c r="AN121" s="33">
        <f>VLOOKUP($R121,武学奇术!$A:$ZZ,26,FALSE)</f>
        <v>1</v>
      </c>
      <c r="AO121" s="34">
        <f>VLOOKUP($R121,武学奇术!$A:$ZZ,27,FALSE)*(1+IF(OR($AM121=$F$4,$AM121=$F$5),$B$22,0))</f>
        <v>0</v>
      </c>
      <c r="AP121" s="33">
        <f>VLOOKUP($R121,武学奇术!$A:$ZZ,28,FALSE)</f>
        <v>1</v>
      </c>
      <c r="AQ121" s="34">
        <f>VLOOKUP($R121,武学奇术!$A:$ZZ,29,FALSE)*(1+IF(OR($AM121=$F$4,$AM121=$F$5),$B$22,0))</f>
        <v>0</v>
      </c>
      <c r="AR121" s="33" cm="1">
        <f t="array" ref="AR121">$G$3+IFERROR(VLOOKUP($AM121,$F$4:$G$7,2,FALSE),0)+VLOOKUP($R121,武学奇术!$A:$ZZ,2,FALSE)+SUM(_xlfn.XLOOKUP($S121:$AL121,增益!$A:$A,增益!$B:$B,0))</f>
        <v>0.2842</v>
      </c>
      <c r="AS121" s="33" cm="1">
        <f t="array" ref="AS121">VLOOKUP($R121,武学奇术!$A:$ZZ,5,FALSE)+SUM(_xlfn.XLOOKUP($S121:$AL121,增益!$A:$A,增益!$E:$E,0))</f>
        <v>0</v>
      </c>
      <c r="AT121" cm="1">
        <f t="array" ref="AT121">$D$10*(1+$AS121)+VLOOKUP($R121,武学奇术!$A:$ZZ,3,FALSE)+SUM(_xlfn.XLOOKUP($S121:$AL121,增益!$A:$A,增益!$C:$C,0))-$I$2</f>
        <v>4026</v>
      </c>
      <c r="AU121" cm="1">
        <f t="array" ref="AU121">$E$10*(1+$AS121)+VLOOKUP($R121,武学奇术!$A:$ZZ,4,FALSE)+SUM(_xlfn.XLOOKUP($S121:$AL121,增益!$A:$A,增益!$D:$D,0))-$I$2</f>
        <v>4026</v>
      </c>
      <c r="AV121" s="40" cm="1">
        <f t="array" ref="AV121">IF($F$10-$I$3+VLOOKUP($R121,武学奇术!$A:$ZZ,6,FALSE)+SUM(_xlfn.XLOOKUP($S121:$AL121,增益!$A:$A,增益!$F:$F,0))&gt;0,($F$10-$I$3+VLOOKUP($R121,武学奇术!$A:$ZZ,6,FALSE)+SUM(_xlfn.XLOOKUP($S121:$AL121,增益!$A:$A,增益!$F:$F,0)))/200,($F$10-$I$3+VLOOKUP($R121,武学奇术!$A:$ZZ,6,FALSE)+SUM(_xlfn.XLOOKUP($S121:$AL121,增益!$A:$A,增益!$F:$F,0)))/100)</f>
        <v>0.3284</v>
      </c>
      <c r="AW121" s="40" cm="1">
        <f t="array" ref="AW121">$G$10+VLOOKUP($R121,武学奇术!$A:$ZZ,7,FALSE)+SUM(_xlfn.XLOOKUP($S121:$AL121,增益!$A:$A,增益!$G:$G,0))</f>
        <v>0.12</v>
      </c>
      <c r="AX121" s="33" cm="1">
        <f t="array" ref="AX121">VLOOKUP($R121,武学奇术!$A:$ZZ,8,FALSE)+SUM(_xlfn.XLOOKUP($S121:$AL121,增益!$A:$A,增益!$H:$H,0))</f>
        <v>0</v>
      </c>
      <c r="AY121">
        <f t="shared" si="15"/>
        <v>0</v>
      </c>
      <c r="AZ121">
        <f t="shared" si="16"/>
        <v>0</v>
      </c>
      <c r="BA121" s="40" cm="1">
        <f t="array" ref="BA121">IF($F$11-$I$4+VLOOKUP($R121,武学奇术!$A:$ZZ,9,FALSE)+SUM(_xlfn.XLOOKUP($S121:$AL121,增益!$A:$A,增益!$I:$I,0))&gt;0,($F$11-$I$4+VLOOKUP($R121,武学奇术!$A:$ZZ,9,FALSE)+SUM(_xlfn.XLOOKUP($S121:$AL121,增益!$A:$A,增益!$I:$I,0)))/200,($F$11-$I$4+VLOOKUP($R121,武学奇术!$A:$ZZ,9,FALSE)+SUM(_xlfn.XLOOKUP($S121:$AL121,增益!$A:$A,增益!$I:$I,0)))/100)</f>
        <v>-0.3</v>
      </c>
      <c r="BB121" s="40" cm="1">
        <f t="array" ref="BB121">$G$11+VLOOKUP($R121,武学奇术!$A:$ZZ,10,FALSE)+SUM(_xlfn.XLOOKUP($S121:$AL121,增益!$A:$A,增益!$J:$J,0))</f>
        <v>0.1</v>
      </c>
      <c r="BC121">
        <f t="shared" si="17"/>
        <v>640.3</v>
      </c>
      <c r="BD121">
        <f t="shared" si="18"/>
        <v>1770.1</v>
      </c>
      <c r="BE121" s="40" cm="1">
        <f t="array" ref="BE121">IF($F$12-$I$4+VLOOKUP($R121,武学奇术!$A:$ZZ,11,FALSE)+SUM(_xlfn.XLOOKUP($S121:$AL121,增益!$A:$A,增益!$K:$K,0))&gt;0,($F$12-$I$4+VLOOKUP($R121,武学奇术!$A:$ZZ,11,FALSE)+SUM(_xlfn.XLOOKUP($S121:$AL121,增益!$A:$A,增益!$K:$K,0)))/200,($F$12-$I$4+VLOOKUP($R121,武学奇术!$A:$ZZ,11,FALSE)+SUM(_xlfn.XLOOKUP($S121:$AL121,增益!$A:$A,增益!$K:$K,0)))/100)</f>
        <v>0.09</v>
      </c>
      <c r="BF121" s="40" cm="1">
        <f t="array" ref="BF121">$G$12+VLOOKUP($R121,武学奇术!$A:$ZZ,12,FALSE)+SUM(_xlfn.XLOOKUP($S121:$AL121,增益!$A:$A,增益!$L:$L,0))</f>
        <v>0.27</v>
      </c>
      <c r="BG121">
        <f t="shared" si="19"/>
        <v>0</v>
      </c>
      <c r="BH121">
        <f t="shared" si="20"/>
        <v>0</v>
      </c>
      <c r="BI121" s="40" cm="1">
        <f t="array" ref="BI121">IF($F$13-$I$4+VLOOKUP($R121,武学奇术!$A:$ZZ,13,FALSE)+SUM(_xlfn.XLOOKUP($S121:$AL121,增益!$A:$A,增益!$M:$M,0))&gt;0,($F$13-$I$4+VLOOKUP($R121,武学奇术!$A:$ZZ,13,FALSE)+SUM(_xlfn.XLOOKUP($S121:$AL121,增益!$A:$A,增益!$K:$K,0)))/200,($F$13-$I$4+VLOOKUP($R121,武学奇术!$A:$ZZ,13,FALSE)+SUM(_xlfn.XLOOKUP($S121:$AL121,增益!$A:$A,增益!$M:$M,0)))/100)</f>
        <v>-0.3</v>
      </c>
      <c r="BJ121" s="40" cm="1">
        <f t="array" ref="BJ121">$G$13+VLOOKUP($R121,武学奇术!$A:$ZZ,14,FALSE)+SUM(_xlfn.XLOOKUP($S121:$AL121,增益!$A:$A,增益!$N:$N,0))</f>
        <v>0</v>
      </c>
      <c r="BK121">
        <f t="shared" si="21"/>
        <v>0</v>
      </c>
      <c r="BL121">
        <f t="shared" si="22"/>
        <v>0</v>
      </c>
      <c r="BM121" s="40" cm="1">
        <f t="array" ref="BM121">IF($F$14-$I$4+VLOOKUP($R121,武学奇术!$A:$ZZ,15,FALSE)+SUM(_xlfn.XLOOKUP($S121:$AL121,增益!$A:$A,增益!$O:$O,0))&gt;0,($F$14-$I$4+VLOOKUP($R121,武学奇术!$A:$ZZ,15,FALSE)+SUM(_xlfn.XLOOKUP($S121:$AL121,增益!$A:$A,增益!$O:$O,0)))/200,($F$14-$I$4+VLOOKUP($R121,武学奇术!$A:$ZZ,15,FALSE)+SUM(_xlfn.XLOOKUP($S121:$AL121,增益!$A:$A,增益!$O:$O,0)))/100)</f>
        <v>-0.3</v>
      </c>
      <c r="BN121" s="40" cm="1">
        <f t="array" ref="BN121">$G$14+VLOOKUP($R121,武学奇术!$A:$ZZ,16,FALSE)+SUM(_xlfn.XLOOKUP($S121:$AL121,增益!$A:$A,增益!$P:$P,0))</f>
        <v>0</v>
      </c>
      <c r="BO121" s="33">
        <f>MIN(IF(VLOOKUP($R121,武学奇术!$A:$ZZ,23,FALSE)=1,100%,$B$8),100%)</f>
        <v>0.9771</v>
      </c>
      <c r="BP121" s="33" cm="1">
        <f t="array" ref="BP121">IF(VLOOKUP($R121,武学奇术!$A:$ZZ,23,FALSE)=1,100%,MIN(80%,$B$9+VLOOKUP($R121,武学奇术!$A:$ZZ,17,FALSE)+SUM(_xlfn.XLOOKUP($S121:$AL121,增益!$A:$A,增益!$Q:$Q,0)))+$B$11+SUM(_xlfn.XLOOKUP($S121:$AL121,增益!$A:$A,增益!$U:$U,0)))*IF(VLOOKUP($R121,武学奇术!$A:$ZZ,24,FALSE)=1,0,1)</f>
        <v>0.8861</v>
      </c>
      <c r="BQ121" s="33" cm="1">
        <f t="array" ref="BQ121">1+$B$13+VLOOKUP($R121,武学奇术!$A:$ZZ,18,FALSE)+SUM(_xlfn.XLOOKUP($S121:$AL121,增益!$A:$A,增益!$R:$R,0))</f>
        <v>1.95</v>
      </c>
      <c r="BR121" s="33" cm="1">
        <f t="array" ref="BR121">IF(VLOOKUP($R121,武学奇术!$A:$ZZ,24,FALSE)=1,100%,MIN(40%,$B$10+VLOOKUP($R121,武学奇术!$A:$ZZ,19,FALSE)+SUM(_xlfn.XLOOKUP($S121:$AL121,增益!$A:$A,增益!$S:$S,0)))+$B$12+SUM(_xlfn.XLOOKUP($S121:$AL121,增益!$A:$A,增益!$V:$V,0)))*IF(VLOOKUP($R121,武学奇术!$A:$ZZ,23,FALSE)=1,0,1)</f>
        <v>0.0913</v>
      </c>
      <c r="BS121" s="33" cm="1">
        <f t="array" ref="BS121">1+$B$14+VLOOKUP($R121,武学奇术!$A:$ZZ,20,FALSE)+SUM(_xlfn.XLOOKUP($S121:$AL121,增益!$A:$A,增益!$T:$T,0))</f>
        <v>1.35</v>
      </c>
      <c r="BT121" s="33">
        <f t="shared" si="23"/>
        <v>0.86580831</v>
      </c>
      <c r="BU121" s="33">
        <f t="shared" si="24"/>
        <v>0.02208246</v>
      </c>
      <c r="BV121" s="33">
        <f>IF(VLOOKUP($R121,武学奇术!$A:$ZZ,22,FALSE)=1,0,(1-$BO121))*(1-$BR121)</f>
        <v>0.02080923</v>
      </c>
      <c r="BW121" s="33" cm="1">
        <f t="array" ref="BW121">SUM(_xlfn.XLOOKUP($S121:$AL121,增益!$A:$A,增益!$W:$W,0))+$I$5</f>
        <v>0.31</v>
      </c>
      <c r="BX121" s="33" cm="1">
        <f t="array" ref="BX121">VLOOKUP($R121,武学奇术!$A:$ZZ,32,FALSE)+SUM(_xlfn.XLOOKUP($S121:$AL121,增益!$A:$A,增益!$X:$X,0))</f>
        <v>0</v>
      </c>
    </row>
    <row r="122" spans="12:76">
      <c r="L122" s="46">
        <f t="shared" si="14"/>
        <v>0</v>
      </c>
      <c r="M122" s="46">
        <f>((($AT122+$AU122)/2*$AN122+$AO122)*(1+$AV122)*(1+$AW122)+(($AY122+$AZ122)/2*IF($G$1="鸣金",$AP122,$AN122)+IF($G$1="鸣金",$AQ122*1.5,0))*(1+$BA122)*(1+$BB122)+(($BC122+$BD122)/2*IF($G$1="裂石",$AP122,$AN122)+IF($G$1="裂石",$AQ122*1.5,0))*(1+$BE122)*(1+$BF122)+(($BG122+$BH122)/2*IF($G$1="牵丝",$AP122,$AN122)+IF($G$1="牵丝",$AQ122*1.5,0))*(1+$BI122)*(1+$BJ122)+(($BK122+$BL122)/2*IF($G$1="破竹",$AP122,$AN122)+IF($G$1="破竹",$AQ122*1.5,0))*(1+$BM122)*(1+$BN122))*(1+$AR122)*$BQ122*$Q122*(1+IF(VLOOKUP($R122,武学奇术!$A:$ZZ,30,FALSE)="蓄力技",$B$21,0))*(1+IF(VLOOKUP($R122,武学奇术!$A:$ZZ,30,FALSE)="派生技",$B$20,0))*(1+$BW122)*(1+$BX122)</f>
        <v>0</v>
      </c>
      <c r="N122" s="46">
        <f>(($AU122*$AN122+$AO122)*(1+$AV122)*(1+$AW122)+($AZ122*IF($G$1="鸣金",$AP122,$AN122)+IF($G$1="鸣金",$AQ122*1.5,0))*(1+$BA122)*(1+$BB122)+($BD122*IF($G$1="裂石",$AP122,$AN122)+IF($G$1="裂石",$AQ122*1.5,0))*(1+$BE122)*(1+$BF122)+($BH122*IF($G$1="牵丝",$AP122,$AN122)+IF($G$1="牵丝",$AQ122*1.5,0))*(1+$BI122)*(1+$BJ122)+($BL122*IF($G$1="破竹",$AP122,$AN122)+IF($G$1="破竹",$AQ122*1.5,0))*(1+$BM122)*(1+$BN122))*(1+$AR122)*$BS122*$Q122*(1+IF(VLOOKUP($R122,武学奇术!$A:$ZZ,30,FALSE)="蓄力技",$B$21,0))*(1+IF(VLOOKUP($R122,武学奇术!$A:$ZZ,30,FALSE)="派生技",$B$20,0))*(1+$BW122)*(1+$BX122)</f>
        <v>0</v>
      </c>
      <c r="O122" s="46">
        <f>((($AT122+$AU122)/2*$AN122+$AO122)*(1+$AV122)*(1+$AW122)+(($AY122+$AZ122)/2*IF($G$1="鸣金",$AP122,$AN122)+IF($G$1="鸣金",$AQ122*1.5,0))*(1+$BA122)*(1+$BB122)+(($BC122+$BD122)/2*IF($G$1="裂石",$AP122,$AN122)+IF($G$1="裂石",$AQ122*1.5,0))*(1+$BE122)*(1+$BF122)+(($BG122+$BH122)/2*IF($G$1="牵丝",$AP122,$AN122)+IF($G$1="牵丝",$AQ122*1.5,0))*(1+$BI122)*(1+$BJ122)+(($BK122+$BL122)/2*IF($G$1="破竹",$AP122,$AN122)+IF($G$1="破竹",$AQ122*1.5,0))*(1+$BM122)*(1+$BN122))*(1+$AR122)*$Q122*(1+IF(VLOOKUP($R122,武学奇术!$A:$ZZ,30,FALSE)="蓄力技",$B$21,0))*(1+IF(VLOOKUP($R122,武学奇术!$A:$ZZ,30,FALSE)="派生技",$B$20,0))*(1+$BW122)*(1+$BX122)</f>
        <v>0</v>
      </c>
      <c r="P122" s="46">
        <f>((($AT122*$AN122+$AO122)*(1+$AV122)*(1+$AW122)+($AY122*IF($G$1="鸣金",$AP122,$AN122)+IF($G$1="鸣金",$AQ122*1.5,0))*(1+$BA122)*(1+$BB122)+($BC122*IF($G$1="裂石",$AP122,$AN122)+IF($G$1="裂石",$AQ122*1.5,0))*(1+$BE122)*(1+$BF122)+($BG122*IF($G$1="牵丝",$AP122,$AN122)+IF($G$1="牵丝",$AQ122*1.5,0))*(1+$BI122)*(1+$BJ122)+($BK122*IF($G$1="破竹",$AP122,$AN122)+IF($G$1="破竹",$AQ122*1.5,0))*(1+$BM122)*(1+$BN122))*(1+$AR122))*$Q122*(1+IF(VLOOKUP($R122,武学奇术!$A:$ZZ,30,FALSE)="蓄力技",$B$21,0))*(1+IF(VLOOKUP($R122,武学奇术!$A:$ZZ,30,FALSE)="派生技",$B$20,0))*(1+$BW122)*(1+$BX122)</f>
        <v>0</v>
      </c>
      <c r="Q122" s="47">
        <f t="shared" si="31"/>
        <v>0</v>
      </c>
      <c r="R122" s="48" t="s">
        <v>192</v>
      </c>
      <c r="S122" s="48" t="s">
        <v>99</v>
      </c>
      <c r="T122" s="48" t="s">
        <v>182</v>
      </c>
      <c r="U122" s="48" t="s">
        <v>79</v>
      </c>
      <c r="V122" s="48" t="s">
        <v>90</v>
      </c>
      <c r="W122" s="48" t="s">
        <v>91</v>
      </c>
      <c r="X122" s="48" t="s">
        <v>80</v>
      </c>
      <c r="Y122" s="48" t="s">
        <v>80</v>
      </c>
      <c r="Z122" s="48" t="s">
        <v>80</v>
      </c>
      <c r="AA122" s="48" t="s">
        <v>80</v>
      </c>
      <c r="AB122" s="48" t="s">
        <v>80</v>
      </c>
      <c r="AC122" s="48" t="s">
        <v>80</v>
      </c>
      <c r="AD122" s="48" t="s">
        <v>80</v>
      </c>
      <c r="AE122" s="48" t="s">
        <v>80</v>
      </c>
      <c r="AF122" s="48" t="s">
        <v>83</v>
      </c>
      <c r="AG122" s="48" t="s">
        <v>84</v>
      </c>
      <c r="AH122" s="48" t="s">
        <v>80</v>
      </c>
      <c r="AI122" s="48" t="s">
        <v>80</v>
      </c>
      <c r="AJ122" s="48" t="s">
        <v>80</v>
      </c>
      <c r="AK122" s="48" t="s">
        <v>80</v>
      </c>
      <c r="AL122" s="48" t="s">
        <v>80</v>
      </c>
      <c r="AM122" t="str">
        <f>VLOOKUP($R122,武学奇术!$A:$ZZ,25,FALSE)</f>
        <v>心法</v>
      </c>
      <c r="AN122" s="33">
        <f>VLOOKUP($R122,武学奇术!$A:$ZZ,26,FALSE)</f>
        <v>1</v>
      </c>
      <c r="AO122" s="34">
        <f>VLOOKUP($R122,武学奇术!$A:$ZZ,27,FALSE)*(1+IF(OR($AM122=$F$4,$AM122=$F$5),$B$22,0))</f>
        <v>0</v>
      </c>
      <c r="AP122" s="33">
        <f>VLOOKUP($R122,武学奇术!$A:$ZZ,28,FALSE)</f>
        <v>1</v>
      </c>
      <c r="AQ122" s="34">
        <f>VLOOKUP($R122,武学奇术!$A:$ZZ,29,FALSE)*(1+IF(OR($AM122=$F$4,$AM122=$F$5),$B$22,0))</f>
        <v>0</v>
      </c>
      <c r="AR122" s="33" cm="1">
        <f t="array" ref="AR122">$G$3+IFERROR(VLOOKUP($AM122,$F$4:$G$7,2,FALSE),0)+VLOOKUP($R122,武学奇术!$A:$ZZ,2,FALSE)+SUM(_xlfn.XLOOKUP($S122:$AL122,增益!$A:$A,增益!$B:$B,0))</f>
        <v>0.3642</v>
      </c>
      <c r="AS122" s="33" cm="1">
        <f t="array" ref="AS122">VLOOKUP($R122,武学奇术!$A:$ZZ,5,FALSE)+SUM(_xlfn.XLOOKUP($S122:$AL122,增益!$A:$A,增益!$E:$E,0))</f>
        <v>0</v>
      </c>
      <c r="AT122" cm="1">
        <f t="array" ref="AT122">$D$10*(1+$AS122)+VLOOKUP($R122,武学奇术!$A:$ZZ,3,FALSE)+SUM(_xlfn.XLOOKUP($S122:$AL122,增益!$A:$A,增益!$C:$C,0))-$I$2</f>
        <v>4026</v>
      </c>
      <c r="AU122" cm="1">
        <f t="array" ref="AU122">$E$10*(1+$AS122)+VLOOKUP($R122,武学奇术!$A:$ZZ,4,FALSE)+SUM(_xlfn.XLOOKUP($S122:$AL122,增益!$A:$A,增益!$D:$D,0))-$I$2</f>
        <v>4026</v>
      </c>
      <c r="AV122" s="40" cm="1">
        <f t="array" ref="AV122">IF($F$10-$I$3+VLOOKUP($R122,武学奇术!$A:$ZZ,6,FALSE)+SUM(_xlfn.XLOOKUP($S122:$AL122,增益!$A:$A,增益!$F:$F,0))&gt;0,($F$10-$I$3+VLOOKUP($R122,武学奇术!$A:$ZZ,6,FALSE)+SUM(_xlfn.XLOOKUP($S122:$AL122,增益!$A:$A,增益!$F:$F,0)))/200,($F$10-$I$3+VLOOKUP($R122,武学奇术!$A:$ZZ,6,FALSE)+SUM(_xlfn.XLOOKUP($S122:$AL122,增益!$A:$A,增益!$F:$F,0)))/100)</f>
        <v>0.3284</v>
      </c>
      <c r="AW122" s="40" cm="1">
        <f t="array" ref="AW122">$G$10+VLOOKUP($R122,武学奇术!$A:$ZZ,7,FALSE)+SUM(_xlfn.XLOOKUP($S122:$AL122,增益!$A:$A,增益!$G:$G,0))</f>
        <v>0.12</v>
      </c>
      <c r="AX122" s="33" cm="1">
        <f t="array" ref="AX122">VLOOKUP($R122,武学奇术!$A:$ZZ,8,FALSE)+SUM(_xlfn.XLOOKUP($S122:$AL122,增益!$A:$A,增益!$H:$H,0))</f>
        <v>0</v>
      </c>
      <c r="AY122">
        <f t="shared" si="15"/>
        <v>0</v>
      </c>
      <c r="AZ122">
        <f t="shared" si="16"/>
        <v>0</v>
      </c>
      <c r="BA122" s="40" cm="1">
        <f t="array" ref="BA122">IF($F$11-$I$4+VLOOKUP($R122,武学奇术!$A:$ZZ,9,FALSE)+SUM(_xlfn.XLOOKUP($S122:$AL122,增益!$A:$A,增益!$I:$I,0))&gt;0,($F$11-$I$4+VLOOKUP($R122,武学奇术!$A:$ZZ,9,FALSE)+SUM(_xlfn.XLOOKUP($S122:$AL122,增益!$A:$A,增益!$I:$I,0)))/200,($F$11-$I$4+VLOOKUP($R122,武学奇术!$A:$ZZ,9,FALSE)+SUM(_xlfn.XLOOKUP($S122:$AL122,增益!$A:$A,增益!$I:$I,0)))/100)</f>
        <v>-0.14</v>
      </c>
      <c r="BB122" s="40" cm="1">
        <f t="array" ref="BB122">$G$11+VLOOKUP($R122,武学奇术!$A:$ZZ,10,FALSE)+SUM(_xlfn.XLOOKUP($S122:$AL122,增益!$A:$A,增益!$J:$J,0))</f>
        <v>0</v>
      </c>
      <c r="BC122">
        <f t="shared" si="17"/>
        <v>640.3</v>
      </c>
      <c r="BD122">
        <f t="shared" si="18"/>
        <v>1770.1</v>
      </c>
      <c r="BE122" s="40" cm="1">
        <f t="array" ref="BE122">IF($F$12-$I$4+VLOOKUP($R122,武学奇术!$A:$ZZ,11,FALSE)+SUM(_xlfn.XLOOKUP($S122:$AL122,增益!$A:$A,增益!$K:$K,0))&gt;0,($F$12-$I$4+VLOOKUP($R122,武学奇术!$A:$ZZ,11,FALSE)+SUM(_xlfn.XLOOKUP($S122:$AL122,增益!$A:$A,增益!$K:$K,0)))/200,($F$12-$I$4+VLOOKUP($R122,武学奇术!$A:$ZZ,11,FALSE)+SUM(_xlfn.XLOOKUP($S122:$AL122,增益!$A:$A,增益!$K:$K,0)))/100)</f>
        <v>0.17</v>
      </c>
      <c r="BF122" s="40" cm="1">
        <f t="array" ref="BF122">$G$12+VLOOKUP($R122,武学奇术!$A:$ZZ,12,FALSE)+SUM(_xlfn.XLOOKUP($S122:$AL122,增益!$A:$A,增益!$L:$L,0))</f>
        <v>0.27</v>
      </c>
      <c r="BG122">
        <f t="shared" si="19"/>
        <v>0</v>
      </c>
      <c r="BH122">
        <f t="shared" si="20"/>
        <v>0</v>
      </c>
      <c r="BI122" s="40" cm="1">
        <f t="array" ref="BI122">IF($F$13-$I$4+VLOOKUP($R122,武学奇术!$A:$ZZ,13,FALSE)+SUM(_xlfn.XLOOKUP($S122:$AL122,增益!$A:$A,增益!$M:$M,0))&gt;0,($F$13-$I$4+VLOOKUP($R122,武学奇术!$A:$ZZ,13,FALSE)+SUM(_xlfn.XLOOKUP($S122:$AL122,增益!$A:$A,增益!$K:$K,0)))/200,($F$13-$I$4+VLOOKUP($R122,武学奇术!$A:$ZZ,13,FALSE)+SUM(_xlfn.XLOOKUP($S122:$AL122,增益!$A:$A,增益!$M:$M,0)))/100)</f>
        <v>-0.14</v>
      </c>
      <c r="BJ122" s="40" cm="1">
        <f t="array" ref="BJ122">$G$13+VLOOKUP($R122,武学奇术!$A:$ZZ,14,FALSE)+SUM(_xlfn.XLOOKUP($S122:$AL122,增益!$A:$A,增益!$N:$N,0))</f>
        <v>0</v>
      </c>
      <c r="BK122">
        <f t="shared" si="21"/>
        <v>0</v>
      </c>
      <c r="BL122">
        <f t="shared" si="22"/>
        <v>0</v>
      </c>
      <c r="BM122" s="40" cm="1">
        <f t="array" ref="BM122">IF($F$14-$I$4+VLOOKUP($R122,武学奇术!$A:$ZZ,15,FALSE)+SUM(_xlfn.XLOOKUP($S122:$AL122,增益!$A:$A,增益!$O:$O,0))&gt;0,($F$14-$I$4+VLOOKUP($R122,武学奇术!$A:$ZZ,15,FALSE)+SUM(_xlfn.XLOOKUP($S122:$AL122,增益!$A:$A,增益!$O:$O,0)))/200,($F$14-$I$4+VLOOKUP($R122,武学奇术!$A:$ZZ,15,FALSE)+SUM(_xlfn.XLOOKUP($S122:$AL122,增益!$A:$A,增益!$O:$O,0)))/100)</f>
        <v>-0.14</v>
      </c>
      <c r="BN122" s="40" cm="1">
        <f t="array" ref="BN122">$G$14+VLOOKUP($R122,武学奇术!$A:$ZZ,16,FALSE)+SUM(_xlfn.XLOOKUP($S122:$AL122,增益!$A:$A,增益!$P:$P,0))</f>
        <v>0</v>
      </c>
      <c r="BO122" s="33">
        <f>MIN(IF(VLOOKUP($R122,武学奇术!$A:$ZZ,23,FALSE)=1,100%,$B$8),100%)</f>
        <v>0.9771</v>
      </c>
      <c r="BP122" s="33" cm="1">
        <f t="array" ref="BP122">IF(VLOOKUP($R122,武学奇术!$A:$ZZ,23,FALSE)=1,100%,MIN(80%,$B$9+VLOOKUP($R122,武学奇术!$A:$ZZ,17,FALSE)+SUM(_xlfn.XLOOKUP($S122:$AL122,增益!$A:$A,增益!$Q:$Q,0)))+$B$11+SUM(_xlfn.XLOOKUP($S122:$AL122,增益!$A:$A,增益!$U:$U,0)))*IF(VLOOKUP($R122,武学奇术!$A:$ZZ,24,FALSE)=1,0,1)</f>
        <v>0.8861</v>
      </c>
      <c r="BQ122" s="33" cm="1">
        <f t="array" ref="BQ122">1+$B$13+VLOOKUP($R122,武学奇术!$A:$ZZ,18,FALSE)+SUM(_xlfn.XLOOKUP($S122:$AL122,增益!$A:$A,增益!$R:$R,0))</f>
        <v>1.95</v>
      </c>
      <c r="BR122" s="33" cm="1">
        <f t="array" ref="BR122">IF(VLOOKUP($R122,武学奇术!$A:$ZZ,24,FALSE)=1,100%,MIN(40%,$B$10+VLOOKUP($R122,武学奇术!$A:$ZZ,19,FALSE)+SUM(_xlfn.XLOOKUP($S122:$AL122,增益!$A:$A,增益!$S:$S,0)))+$B$12+SUM(_xlfn.XLOOKUP($S122:$AL122,增益!$A:$A,增益!$V:$V,0)))*IF(VLOOKUP($R122,武学奇术!$A:$ZZ,23,FALSE)=1,0,1)</f>
        <v>0.0913</v>
      </c>
      <c r="BS122" s="33" cm="1">
        <f t="array" ref="BS122">1+$B$14+VLOOKUP($R122,武学奇术!$A:$ZZ,20,FALSE)+SUM(_xlfn.XLOOKUP($S122:$AL122,增益!$A:$A,增益!$T:$T,0))</f>
        <v>1.35</v>
      </c>
      <c r="BT122" s="33">
        <f t="shared" si="23"/>
        <v>0.86580831</v>
      </c>
      <c r="BU122" s="33">
        <f t="shared" si="24"/>
        <v>0.02208246</v>
      </c>
      <c r="BV122" s="33">
        <f>IF(VLOOKUP($R122,武学奇术!$A:$ZZ,22,FALSE)=1,0,(1-$BO122))*(1-$BR122)</f>
        <v>0.02080923</v>
      </c>
      <c r="BW122" s="33" cm="1">
        <f t="array" ref="BW122">SUM(_xlfn.XLOOKUP($S122:$AL122,增益!$A:$A,增益!$W:$W,0))+$I$5</f>
        <v>0.11</v>
      </c>
      <c r="BX122" s="33" cm="1">
        <f t="array" ref="BX122">VLOOKUP($R122,武学奇术!$A:$ZZ,32,FALSE)+SUM(_xlfn.XLOOKUP($S122:$AL122,增益!$A:$A,增益!$X:$X,0))</f>
        <v>0</v>
      </c>
    </row>
    <row r="123" spans="12:76">
      <c r="L123" s="46">
        <f t="shared" si="14"/>
        <v>0</v>
      </c>
      <c r="M123" s="46">
        <f>((($AT123+$AU123)/2*$AN123+$AO123)*(1+$AV123)*(1+$AW123)+(($AY123+$AZ123)/2*IF($G$1="鸣金",$AP123,$AN123)+IF($G$1="鸣金",$AQ123*1.5,0))*(1+$BA123)*(1+$BB123)+(($BC123+$BD123)/2*IF($G$1="裂石",$AP123,$AN123)+IF($G$1="裂石",$AQ123*1.5,0))*(1+$BE123)*(1+$BF123)+(($BG123+$BH123)/2*IF($G$1="牵丝",$AP123,$AN123)+IF($G$1="牵丝",$AQ123*1.5,0))*(1+$BI123)*(1+$BJ123)+(($BK123+$BL123)/2*IF($G$1="破竹",$AP123,$AN123)+IF($G$1="破竹",$AQ123*1.5,0))*(1+$BM123)*(1+$BN123))*(1+$AR123)*$BQ123*$Q123*(1+IF(VLOOKUP($R123,武学奇术!$A:$ZZ,30,FALSE)="蓄力技",$B$21,0))*(1+IF(VLOOKUP($R123,武学奇术!$A:$ZZ,30,FALSE)="派生技",$B$20,0))*(1+$BW123)*(1+$BX123)</f>
        <v>0</v>
      </c>
      <c r="N123" s="46">
        <f>(($AU123*$AN123+$AO123)*(1+$AV123)*(1+$AW123)+($AZ123*IF($G$1="鸣金",$AP123,$AN123)+IF($G$1="鸣金",$AQ123*1.5,0))*(1+$BA123)*(1+$BB123)+($BD123*IF($G$1="裂石",$AP123,$AN123)+IF($G$1="裂石",$AQ123*1.5,0))*(1+$BE123)*(1+$BF123)+($BH123*IF($G$1="牵丝",$AP123,$AN123)+IF($G$1="牵丝",$AQ123*1.5,0))*(1+$BI123)*(1+$BJ123)+($BL123*IF($G$1="破竹",$AP123,$AN123)+IF($G$1="破竹",$AQ123*1.5,0))*(1+$BM123)*(1+$BN123))*(1+$AR123)*$BS123*$Q123*(1+IF(VLOOKUP($R123,武学奇术!$A:$ZZ,30,FALSE)="蓄力技",$B$21,0))*(1+IF(VLOOKUP($R123,武学奇术!$A:$ZZ,30,FALSE)="派生技",$B$20,0))*(1+$BW123)*(1+$BX123)</f>
        <v>0</v>
      </c>
      <c r="O123" s="46">
        <f>((($AT123+$AU123)/2*$AN123+$AO123)*(1+$AV123)*(1+$AW123)+(($AY123+$AZ123)/2*IF($G$1="鸣金",$AP123,$AN123)+IF($G$1="鸣金",$AQ123*1.5,0))*(1+$BA123)*(1+$BB123)+(($BC123+$BD123)/2*IF($G$1="裂石",$AP123,$AN123)+IF($G$1="裂石",$AQ123*1.5,0))*(1+$BE123)*(1+$BF123)+(($BG123+$BH123)/2*IF($G$1="牵丝",$AP123,$AN123)+IF($G$1="牵丝",$AQ123*1.5,0))*(1+$BI123)*(1+$BJ123)+(($BK123+$BL123)/2*IF($G$1="破竹",$AP123,$AN123)+IF($G$1="破竹",$AQ123*1.5,0))*(1+$BM123)*(1+$BN123))*(1+$AR123)*$Q123*(1+IF(VLOOKUP($R123,武学奇术!$A:$ZZ,30,FALSE)="蓄力技",$B$21,0))*(1+IF(VLOOKUP($R123,武学奇术!$A:$ZZ,30,FALSE)="派生技",$B$20,0))*(1+$BW123)*(1+$BX123)</f>
        <v>0</v>
      </c>
      <c r="P123" s="46">
        <f>((($AT123*$AN123+$AO123)*(1+$AV123)*(1+$AW123)+($AY123*IF($G$1="鸣金",$AP123,$AN123)+IF($G$1="鸣金",$AQ123*1.5,0))*(1+$BA123)*(1+$BB123)+($BC123*IF($G$1="裂石",$AP123,$AN123)+IF($G$1="裂石",$AQ123*1.5,0))*(1+$BE123)*(1+$BF123)+($BG123*IF($G$1="牵丝",$AP123,$AN123)+IF($G$1="牵丝",$AQ123*1.5,0))*(1+$BI123)*(1+$BJ123)+($BK123*IF($G$1="破竹",$AP123,$AN123)+IF($G$1="破竹",$AQ123*1.5,0))*(1+$BM123)*(1+$BN123))*(1+$AR123))*$Q123*(1+IF(VLOOKUP($R123,武学奇术!$A:$ZZ,30,FALSE)="蓄力技",$B$21,0))*(1+IF(VLOOKUP($R123,武学奇术!$A:$ZZ,30,FALSE)="派生技",$B$20,0))*(1+$BW123)*(1+$BX123)</f>
        <v>0</v>
      </c>
      <c r="Q123" s="47">
        <f t="shared" si="31"/>
        <v>0</v>
      </c>
      <c r="R123" s="48" t="s">
        <v>192</v>
      </c>
      <c r="S123" s="48" t="s">
        <v>99</v>
      </c>
      <c r="T123" s="48" t="s">
        <v>182</v>
      </c>
      <c r="U123" s="48" t="s">
        <v>79</v>
      </c>
      <c r="V123" s="48" t="s">
        <v>80</v>
      </c>
      <c r="W123" s="48" t="s">
        <v>91</v>
      </c>
      <c r="X123" s="48" t="s">
        <v>80</v>
      </c>
      <c r="Y123" s="48" t="s">
        <v>80</v>
      </c>
      <c r="Z123" s="48" t="s">
        <v>80</v>
      </c>
      <c r="AA123" s="48" t="s">
        <v>80</v>
      </c>
      <c r="AB123" s="48" t="s">
        <v>80</v>
      </c>
      <c r="AC123" s="48" t="s">
        <v>80</v>
      </c>
      <c r="AD123" s="48" t="s">
        <v>80</v>
      </c>
      <c r="AE123" s="48" t="s">
        <v>80</v>
      </c>
      <c r="AF123" s="48" t="s">
        <v>83</v>
      </c>
      <c r="AG123" s="48" t="s">
        <v>84</v>
      </c>
      <c r="AH123" s="48" t="s">
        <v>80</v>
      </c>
      <c r="AI123" s="48" t="s">
        <v>80</v>
      </c>
      <c r="AJ123" s="48" t="s">
        <v>80</v>
      </c>
      <c r="AK123" s="48" t="s">
        <v>80</v>
      </c>
      <c r="AL123" s="48" t="s">
        <v>80</v>
      </c>
      <c r="AM123" t="str">
        <f>VLOOKUP($R123,武学奇术!$A:$ZZ,25,FALSE)</f>
        <v>心法</v>
      </c>
      <c r="AN123" s="33">
        <f>VLOOKUP($R123,武学奇术!$A:$ZZ,26,FALSE)</f>
        <v>1</v>
      </c>
      <c r="AO123" s="34">
        <f>VLOOKUP($R123,武学奇术!$A:$ZZ,27,FALSE)*(1+IF(OR($AM123=$F$4,$AM123=$F$5),$B$22,0))</f>
        <v>0</v>
      </c>
      <c r="AP123" s="33">
        <f>VLOOKUP($R123,武学奇术!$A:$ZZ,28,FALSE)</f>
        <v>1</v>
      </c>
      <c r="AQ123" s="34">
        <f>VLOOKUP($R123,武学奇术!$A:$ZZ,29,FALSE)*(1+IF(OR($AM123=$F$4,$AM123=$F$5),$B$22,0))</f>
        <v>0</v>
      </c>
      <c r="AR123" s="33" cm="1">
        <f t="array" ref="AR123">$G$3+IFERROR(VLOOKUP($AM123,$F$4:$G$7,2,FALSE),0)+VLOOKUP($R123,武学奇术!$A:$ZZ,2,FALSE)+SUM(_xlfn.XLOOKUP($S123:$AL123,增益!$A:$A,增益!$B:$B,0))</f>
        <v>0.2842</v>
      </c>
      <c r="AS123" s="33" cm="1">
        <f t="array" ref="AS123">VLOOKUP($R123,武学奇术!$A:$ZZ,5,FALSE)+SUM(_xlfn.XLOOKUP($S123:$AL123,增益!$A:$A,增益!$E:$E,0))</f>
        <v>0</v>
      </c>
      <c r="AT123" cm="1">
        <f t="array" ref="AT123">$D$10*(1+$AS123)+VLOOKUP($R123,武学奇术!$A:$ZZ,3,FALSE)+SUM(_xlfn.XLOOKUP($S123:$AL123,增益!$A:$A,增益!$C:$C,0))-$I$2</f>
        <v>4026</v>
      </c>
      <c r="AU123" cm="1">
        <f t="array" ref="AU123">$E$10*(1+$AS123)+VLOOKUP($R123,武学奇术!$A:$ZZ,4,FALSE)+SUM(_xlfn.XLOOKUP($S123:$AL123,增益!$A:$A,增益!$D:$D,0))-$I$2</f>
        <v>4026</v>
      </c>
      <c r="AV123" s="40" cm="1">
        <f t="array" ref="AV123">IF($F$10-$I$3+VLOOKUP($R123,武学奇术!$A:$ZZ,6,FALSE)+SUM(_xlfn.XLOOKUP($S123:$AL123,增益!$A:$A,增益!$F:$F,0))&gt;0,($F$10-$I$3+VLOOKUP($R123,武学奇术!$A:$ZZ,6,FALSE)+SUM(_xlfn.XLOOKUP($S123:$AL123,增益!$A:$A,增益!$F:$F,0)))/200,($F$10-$I$3+VLOOKUP($R123,武学奇术!$A:$ZZ,6,FALSE)+SUM(_xlfn.XLOOKUP($S123:$AL123,增益!$A:$A,增益!$F:$F,0)))/100)</f>
        <v>0.3284</v>
      </c>
      <c r="AW123" s="40" cm="1">
        <f t="array" ref="AW123">$G$10+VLOOKUP($R123,武学奇术!$A:$ZZ,7,FALSE)+SUM(_xlfn.XLOOKUP($S123:$AL123,增益!$A:$A,增益!$G:$G,0))</f>
        <v>0.12</v>
      </c>
      <c r="AX123" s="33" cm="1">
        <f t="array" ref="AX123">VLOOKUP($R123,武学奇术!$A:$ZZ,8,FALSE)+SUM(_xlfn.XLOOKUP($S123:$AL123,增益!$A:$A,增益!$H:$H,0))</f>
        <v>0</v>
      </c>
      <c r="AY123">
        <f t="shared" si="15"/>
        <v>0</v>
      </c>
      <c r="AZ123">
        <f t="shared" si="16"/>
        <v>0</v>
      </c>
      <c r="BA123" s="40" cm="1">
        <f t="array" ref="BA123">IF($F$11-$I$4+VLOOKUP($R123,武学奇术!$A:$ZZ,9,FALSE)+SUM(_xlfn.XLOOKUP($S123:$AL123,增益!$A:$A,增益!$I:$I,0))&gt;0,($F$11-$I$4+VLOOKUP($R123,武学奇术!$A:$ZZ,9,FALSE)+SUM(_xlfn.XLOOKUP($S123:$AL123,增益!$A:$A,增益!$I:$I,0)))/200,($F$11-$I$4+VLOOKUP($R123,武学奇术!$A:$ZZ,9,FALSE)+SUM(_xlfn.XLOOKUP($S123:$AL123,增益!$A:$A,增益!$I:$I,0)))/100)</f>
        <v>-0.3</v>
      </c>
      <c r="BB123" s="40" cm="1">
        <f t="array" ref="BB123">$G$11+VLOOKUP($R123,武学奇术!$A:$ZZ,10,FALSE)+SUM(_xlfn.XLOOKUP($S123:$AL123,增益!$A:$A,增益!$J:$J,0))</f>
        <v>0</v>
      </c>
      <c r="BC123">
        <f t="shared" si="17"/>
        <v>640.3</v>
      </c>
      <c r="BD123">
        <f t="shared" si="18"/>
        <v>1770.1</v>
      </c>
      <c r="BE123" s="40" cm="1">
        <f t="array" ref="BE123">IF($F$12-$I$4+VLOOKUP($R123,武学奇术!$A:$ZZ,11,FALSE)+SUM(_xlfn.XLOOKUP($S123:$AL123,增益!$A:$A,增益!$K:$K,0))&gt;0,($F$12-$I$4+VLOOKUP($R123,武学奇术!$A:$ZZ,11,FALSE)+SUM(_xlfn.XLOOKUP($S123:$AL123,增益!$A:$A,增益!$K:$K,0)))/200,($F$12-$I$4+VLOOKUP($R123,武学奇术!$A:$ZZ,11,FALSE)+SUM(_xlfn.XLOOKUP($S123:$AL123,增益!$A:$A,增益!$K:$K,0)))/100)</f>
        <v>0.09</v>
      </c>
      <c r="BF123" s="40" cm="1">
        <f t="array" ref="BF123">$G$12+VLOOKUP($R123,武学奇术!$A:$ZZ,12,FALSE)+SUM(_xlfn.XLOOKUP($S123:$AL123,增益!$A:$A,增益!$L:$L,0))</f>
        <v>0.27</v>
      </c>
      <c r="BG123">
        <f t="shared" si="19"/>
        <v>0</v>
      </c>
      <c r="BH123">
        <f t="shared" si="20"/>
        <v>0</v>
      </c>
      <c r="BI123" s="40" cm="1">
        <f t="array" ref="BI123">IF($F$13-$I$4+VLOOKUP($R123,武学奇术!$A:$ZZ,13,FALSE)+SUM(_xlfn.XLOOKUP($S123:$AL123,增益!$A:$A,增益!$M:$M,0))&gt;0,($F$13-$I$4+VLOOKUP($R123,武学奇术!$A:$ZZ,13,FALSE)+SUM(_xlfn.XLOOKUP($S123:$AL123,增益!$A:$A,增益!$K:$K,0)))/200,($F$13-$I$4+VLOOKUP($R123,武学奇术!$A:$ZZ,13,FALSE)+SUM(_xlfn.XLOOKUP($S123:$AL123,增益!$A:$A,增益!$M:$M,0)))/100)</f>
        <v>-0.3</v>
      </c>
      <c r="BJ123" s="40" cm="1">
        <f t="array" ref="BJ123">$G$13+VLOOKUP($R123,武学奇术!$A:$ZZ,14,FALSE)+SUM(_xlfn.XLOOKUP($S123:$AL123,增益!$A:$A,增益!$N:$N,0))</f>
        <v>0</v>
      </c>
      <c r="BK123">
        <f t="shared" si="21"/>
        <v>0</v>
      </c>
      <c r="BL123">
        <f t="shared" si="22"/>
        <v>0</v>
      </c>
      <c r="BM123" s="40" cm="1">
        <f t="array" ref="BM123">IF($F$14-$I$4+VLOOKUP($R123,武学奇术!$A:$ZZ,15,FALSE)+SUM(_xlfn.XLOOKUP($S123:$AL123,增益!$A:$A,增益!$O:$O,0))&gt;0,($F$14-$I$4+VLOOKUP($R123,武学奇术!$A:$ZZ,15,FALSE)+SUM(_xlfn.XLOOKUP($S123:$AL123,增益!$A:$A,增益!$O:$O,0)))/200,($F$14-$I$4+VLOOKUP($R123,武学奇术!$A:$ZZ,15,FALSE)+SUM(_xlfn.XLOOKUP($S123:$AL123,增益!$A:$A,增益!$O:$O,0)))/100)</f>
        <v>-0.3</v>
      </c>
      <c r="BN123" s="40" cm="1">
        <f t="array" ref="BN123">$G$14+VLOOKUP($R123,武学奇术!$A:$ZZ,16,FALSE)+SUM(_xlfn.XLOOKUP($S123:$AL123,增益!$A:$A,增益!$P:$P,0))</f>
        <v>0</v>
      </c>
      <c r="BO123" s="33">
        <f>MIN(IF(VLOOKUP($R123,武学奇术!$A:$ZZ,23,FALSE)=1,100%,$B$8),100%)</f>
        <v>0.9771</v>
      </c>
      <c r="BP123" s="33" cm="1">
        <f t="array" ref="BP123">IF(VLOOKUP($R123,武学奇术!$A:$ZZ,23,FALSE)=1,100%,MIN(80%,$B$9+VLOOKUP($R123,武学奇术!$A:$ZZ,17,FALSE)+SUM(_xlfn.XLOOKUP($S123:$AL123,增益!$A:$A,增益!$Q:$Q,0)))+$B$11+SUM(_xlfn.XLOOKUP($S123:$AL123,增益!$A:$A,增益!$U:$U,0)))*IF(VLOOKUP($R123,武学奇术!$A:$ZZ,24,FALSE)=1,0,1)</f>
        <v>0.8861</v>
      </c>
      <c r="BQ123" s="33" cm="1">
        <f t="array" ref="BQ123">1+$B$13+VLOOKUP($R123,武学奇术!$A:$ZZ,18,FALSE)+SUM(_xlfn.XLOOKUP($S123:$AL123,增益!$A:$A,增益!$R:$R,0))</f>
        <v>1.95</v>
      </c>
      <c r="BR123" s="33" cm="1">
        <f t="array" ref="BR123">IF(VLOOKUP($R123,武学奇术!$A:$ZZ,24,FALSE)=1,100%,MIN(40%,$B$10+VLOOKUP($R123,武学奇术!$A:$ZZ,19,FALSE)+SUM(_xlfn.XLOOKUP($S123:$AL123,增益!$A:$A,增益!$S:$S,0)))+$B$12+SUM(_xlfn.XLOOKUP($S123:$AL123,增益!$A:$A,增益!$V:$V,0)))*IF(VLOOKUP($R123,武学奇术!$A:$ZZ,23,FALSE)=1,0,1)</f>
        <v>0.0913</v>
      </c>
      <c r="BS123" s="33" cm="1">
        <f t="array" ref="BS123">1+$B$14+VLOOKUP($R123,武学奇术!$A:$ZZ,20,FALSE)+SUM(_xlfn.XLOOKUP($S123:$AL123,增益!$A:$A,增益!$T:$T,0))</f>
        <v>1.35</v>
      </c>
      <c r="BT123" s="33">
        <f t="shared" si="23"/>
        <v>0.86580831</v>
      </c>
      <c r="BU123" s="33">
        <f t="shared" si="24"/>
        <v>0.02208246</v>
      </c>
      <c r="BV123" s="33">
        <f>IF(VLOOKUP($R123,武学奇术!$A:$ZZ,22,FALSE)=1,0,(1-$BO123))*(1-$BR123)</f>
        <v>0.02080923</v>
      </c>
      <c r="BW123" s="33" cm="1">
        <f t="array" ref="BW123">SUM(_xlfn.XLOOKUP($S123:$AL123,增益!$A:$A,增益!$W:$W,0))+$I$5</f>
        <v>0.11</v>
      </c>
      <c r="BX123" s="33" cm="1">
        <f t="array" ref="BX123">VLOOKUP($R123,武学奇术!$A:$ZZ,32,FALSE)+SUM(_xlfn.XLOOKUP($S123:$AL123,增益!$A:$A,增益!$X:$X,0))</f>
        <v>0</v>
      </c>
    </row>
    <row r="124" spans="12:76">
      <c r="L124" s="46">
        <f t="shared" si="14"/>
        <v>0</v>
      </c>
      <c r="M124" s="46">
        <f>((($AT124+$AU124)/2*$AN124+$AO124)*(1+$AV124)*(1+$AW124)+(($AY124+$AZ124)/2*IF($G$1="鸣金",$AP124,$AN124)+IF($G$1="鸣金",$AQ124*1.5,0))*(1+$BA124)*(1+$BB124)+(($BC124+$BD124)/2*IF($G$1="裂石",$AP124,$AN124)+IF($G$1="裂石",$AQ124*1.5,0))*(1+$BE124)*(1+$BF124)+(($BG124+$BH124)/2*IF($G$1="牵丝",$AP124,$AN124)+IF($G$1="牵丝",$AQ124*1.5,0))*(1+$BI124)*(1+$BJ124)+(($BK124+$BL124)/2*IF($G$1="破竹",$AP124,$AN124)+IF($G$1="破竹",$AQ124*1.5,0))*(1+$BM124)*(1+$BN124))*(1+$AR124)*$BQ124*$Q124*(1+IF(VLOOKUP($R124,武学奇术!$A:$ZZ,30,FALSE)="蓄力技",$B$21,0))*(1+IF(VLOOKUP($R124,武学奇术!$A:$ZZ,30,FALSE)="派生技",$B$20,0))*(1+$BW124)*(1+$BX124)</f>
        <v>0</v>
      </c>
      <c r="N124" s="46">
        <f>(($AU124*$AN124+$AO124)*(1+$AV124)*(1+$AW124)+($AZ124*IF($G$1="鸣金",$AP124,$AN124)+IF($G$1="鸣金",$AQ124*1.5,0))*(1+$BA124)*(1+$BB124)+($BD124*IF($G$1="裂石",$AP124,$AN124)+IF($G$1="裂石",$AQ124*1.5,0))*(1+$BE124)*(1+$BF124)+($BH124*IF($G$1="牵丝",$AP124,$AN124)+IF($G$1="牵丝",$AQ124*1.5,0))*(1+$BI124)*(1+$BJ124)+($BL124*IF($G$1="破竹",$AP124,$AN124)+IF($G$1="破竹",$AQ124*1.5,0))*(1+$BM124)*(1+$BN124))*(1+$AR124)*$BS124*$Q124*(1+IF(VLOOKUP($R124,武学奇术!$A:$ZZ,30,FALSE)="蓄力技",$B$21,0))*(1+IF(VLOOKUP($R124,武学奇术!$A:$ZZ,30,FALSE)="派生技",$B$20,0))*(1+$BW124)*(1+$BX124)</f>
        <v>0</v>
      </c>
      <c r="O124" s="46">
        <f>((($AT124+$AU124)/2*$AN124+$AO124)*(1+$AV124)*(1+$AW124)+(($AY124+$AZ124)/2*IF($G$1="鸣金",$AP124,$AN124)+IF($G$1="鸣金",$AQ124*1.5,0))*(1+$BA124)*(1+$BB124)+(($BC124+$BD124)/2*IF($G$1="裂石",$AP124,$AN124)+IF($G$1="裂石",$AQ124*1.5,0))*(1+$BE124)*(1+$BF124)+(($BG124+$BH124)/2*IF($G$1="牵丝",$AP124,$AN124)+IF($G$1="牵丝",$AQ124*1.5,0))*(1+$BI124)*(1+$BJ124)+(($BK124+$BL124)/2*IF($G$1="破竹",$AP124,$AN124)+IF($G$1="破竹",$AQ124*1.5,0))*(1+$BM124)*(1+$BN124))*(1+$AR124)*$Q124*(1+IF(VLOOKUP($R124,武学奇术!$A:$ZZ,30,FALSE)="蓄力技",$B$21,0))*(1+IF(VLOOKUP($R124,武学奇术!$A:$ZZ,30,FALSE)="派生技",$B$20,0))*(1+$BW124)*(1+$BX124)</f>
        <v>0</v>
      </c>
      <c r="P124" s="46">
        <f>((($AT124*$AN124+$AO124)*(1+$AV124)*(1+$AW124)+($AY124*IF($G$1="鸣金",$AP124,$AN124)+IF($G$1="鸣金",$AQ124*1.5,0))*(1+$BA124)*(1+$BB124)+($BC124*IF($G$1="裂石",$AP124,$AN124)+IF($G$1="裂石",$AQ124*1.5,0))*(1+$BE124)*(1+$BF124)+($BG124*IF($G$1="牵丝",$AP124,$AN124)+IF($G$1="牵丝",$AQ124*1.5,0))*(1+$BI124)*(1+$BJ124)+($BK124*IF($G$1="破竹",$AP124,$AN124)+IF($G$1="破竹",$AQ124*1.5,0))*(1+$BM124)*(1+$BN124))*(1+$AR124))*$Q124*(1+IF(VLOOKUP($R124,武学奇术!$A:$ZZ,30,FALSE)="蓄力技",$B$21,0))*(1+IF(VLOOKUP($R124,武学奇术!$A:$ZZ,30,FALSE)="派生技",$B$20,0))*(1+$BW124)*(1+$BX124)</f>
        <v>0</v>
      </c>
      <c r="Q124" s="47">
        <f t="shared" si="31"/>
        <v>0</v>
      </c>
      <c r="R124" s="48" t="s">
        <v>192</v>
      </c>
      <c r="S124" s="48" t="s">
        <v>99</v>
      </c>
      <c r="T124" s="48" t="s">
        <v>182</v>
      </c>
      <c r="U124" s="48" t="s">
        <v>79</v>
      </c>
      <c r="V124" s="48" t="s">
        <v>90</v>
      </c>
      <c r="W124" s="48" t="s">
        <v>91</v>
      </c>
      <c r="X124" s="48" t="s">
        <v>80</v>
      </c>
      <c r="Y124" s="48" t="s">
        <v>80</v>
      </c>
      <c r="Z124" s="48" t="s">
        <v>80</v>
      </c>
      <c r="AA124" s="48" t="s">
        <v>80</v>
      </c>
      <c r="AB124" s="48" t="s">
        <v>80</v>
      </c>
      <c r="AC124" s="48" t="s">
        <v>80</v>
      </c>
      <c r="AD124" s="48" t="s">
        <v>80</v>
      </c>
      <c r="AE124" s="48" t="s">
        <v>80</v>
      </c>
      <c r="AF124" s="48" t="s">
        <v>83</v>
      </c>
      <c r="AG124" s="48" t="s">
        <v>84</v>
      </c>
      <c r="AH124" s="48" t="s">
        <v>80</v>
      </c>
      <c r="AI124" s="48" t="s">
        <v>80</v>
      </c>
      <c r="AJ124" s="48" t="s">
        <v>80</v>
      </c>
      <c r="AK124" s="48" t="s">
        <v>80</v>
      </c>
      <c r="AL124" s="48" t="s">
        <v>80</v>
      </c>
      <c r="AM124" t="str">
        <f>VLOOKUP($R124,武学奇术!$A:$ZZ,25,FALSE)</f>
        <v>心法</v>
      </c>
      <c r="AN124" s="33">
        <f>VLOOKUP($R124,武学奇术!$A:$ZZ,26,FALSE)</f>
        <v>1</v>
      </c>
      <c r="AO124" s="34">
        <f>VLOOKUP($R124,武学奇术!$A:$ZZ,27,FALSE)*(1+IF(OR($AM124=$F$4,$AM124=$F$5),$B$22,0))</f>
        <v>0</v>
      </c>
      <c r="AP124" s="33">
        <f>VLOOKUP($R124,武学奇术!$A:$ZZ,28,FALSE)</f>
        <v>1</v>
      </c>
      <c r="AQ124" s="34">
        <f>VLOOKUP($R124,武学奇术!$A:$ZZ,29,FALSE)*(1+IF(OR($AM124=$F$4,$AM124=$F$5),$B$22,0))</f>
        <v>0</v>
      </c>
      <c r="AR124" s="33" cm="1">
        <f t="array" ref="AR124">$G$3+IFERROR(VLOOKUP($AM124,$F$4:$G$7,2,FALSE),0)+VLOOKUP($R124,武学奇术!$A:$ZZ,2,FALSE)+SUM(_xlfn.XLOOKUP($S124:$AL124,增益!$A:$A,增益!$B:$B,0))</f>
        <v>0.3642</v>
      </c>
      <c r="AS124" s="33" cm="1">
        <f t="array" ref="AS124">VLOOKUP($R124,武学奇术!$A:$ZZ,5,FALSE)+SUM(_xlfn.XLOOKUP($S124:$AL124,增益!$A:$A,增益!$E:$E,0))</f>
        <v>0</v>
      </c>
      <c r="AT124" cm="1">
        <f t="array" ref="AT124">$D$10*(1+$AS124)+VLOOKUP($R124,武学奇术!$A:$ZZ,3,FALSE)+SUM(_xlfn.XLOOKUP($S124:$AL124,增益!$A:$A,增益!$C:$C,0))-$I$2</f>
        <v>4026</v>
      </c>
      <c r="AU124" cm="1">
        <f t="array" ref="AU124">$E$10*(1+$AS124)+VLOOKUP($R124,武学奇术!$A:$ZZ,4,FALSE)+SUM(_xlfn.XLOOKUP($S124:$AL124,增益!$A:$A,增益!$D:$D,0))-$I$2</f>
        <v>4026</v>
      </c>
      <c r="AV124" s="40" cm="1">
        <f t="array" ref="AV124">IF($F$10-$I$3+VLOOKUP($R124,武学奇术!$A:$ZZ,6,FALSE)+SUM(_xlfn.XLOOKUP($S124:$AL124,增益!$A:$A,增益!$F:$F,0))&gt;0,($F$10-$I$3+VLOOKUP($R124,武学奇术!$A:$ZZ,6,FALSE)+SUM(_xlfn.XLOOKUP($S124:$AL124,增益!$A:$A,增益!$F:$F,0)))/200,($F$10-$I$3+VLOOKUP($R124,武学奇术!$A:$ZZ,6,FALSE)+SUM(_xlfn.XLOOKUP($S124:$AL124,增益!$A:$A,增益!$F:$F,0)))/100)</f>
        <v>0.3284</v>
      </c>
      <c r="AW124" s="40" cm="1">
        <f t="array" ref="AW124">$G$10+VLOOKUP($R124,武学奇术!$A:$ZZ,7,FALSE)+SUM(_xlfn.XLOOKUP($S124:$AL124,增益!$A:$A,增益!$G:$G,0))</f>
        <v>0.12</v>
      </c>
      <c r="AX124" s="33" cm="1">
        <f t="array" ref="AX124">VLOOKUP($R124,武学奇术!$A:$ZZ,8,FALSE)+SUM(_xlfn.XLOOKUP($S124:$AL124,增益!$A:$A,增益!$H:$H,0))</f>
        <v>0</v>
      </c>
      <c r="AY124">
        <f t="shared" si="15"/>
        <v>0</v>
      </c>
      <c r="AZ124">
        <f t="shared" si="16"/>
        <v>0</v>
      </c>
      <c r="BA124" s="40" cm="1">
        <f t="array" ref="BA124">IF($F$11-$I$4+VLOOKUP($R124,武学奇术!$A:$ZZ,9,FALSE)+SUM(_xlfn.XLOOKUP($S124:$AL124,增益!$A:$A,增益!$I:$I,0))&gt;0,($F$11-$I$4+VLOOKUP($R124,武学奇术!$A:$ZZ,9,FALSE)+SUM(_xlfn.XLOOKUP($S124:$AL124,增益!$A:$A,增益!$I:$I,0)))/200,($F$11-$I$4+VLOOKUP($R124,武学奇术!$A:$ZZ,9,FALSE)+SUM(_xlfn.XLOOKUP($S124:$AL124,增益!$A:$A,增益!$I:$I,0)))/100)</f>
        <v>-0.14</v>
      </c>
      <c r="BB124" s="40" cm="1">
        <f t="array" ref="BB124">$G$11+VLOOKUP($R124,武学奇术!$A:$ZZ,10,FALSE)+SUM(_xlfn.XLOOKUP($S124:$AL124,增益!$A:$A,增益!$J:$J,0))</f>
        <v>0</v>
      </c>
      <c r="BC124">
        <f t="shared" si="17"/>
        <v>640.3</v>
      </c>
      <c r="BD124">
        <f t="shared" si="18"/>
        <v>1770.1</v>
      </c>
      <c r="BE124" s="40" cm="1">
        <f t="array" ref="BE124">IF($F$12-$I$4+VLOOKUP($R124,武学奇术!$A:$ZZ,11,FALSE)+SUM(_xlfn.XLOOKUP($S124:$AL124,增益!$A:$A,增益!$K:$K,0))&gt;0,($F$12-$I$4+VLOOKUP($R124,武学奇术!$A:$ZZ,11,FALSE)+SUM(_xlfn.XLOOKUP($S124:$AL124,增益!$A:$A,增益!$K:$K,0)))/200,($F$12-$I$4+VLOOKUP($R124,武学奇术!$A:$ZZ,11,FALSE)+SUM(_xlfn.XLOOKUP($S124:$AL124,增益!$A:$A,增益!$K:$K,0)))/100)</f>
        <v>0.17</v>
      </c>
      <c r="BF124" s="40" cm="1">
        <f t="array" ref="BF124">$G$12+VLOOKUP($R124,武学奇术!$A:$ZZ,12,FALSE)+SUM(_xlfn.XLOOKUP($S124:$AL124,增益!$A:$A,增益!$L:$L,0))</f>
        <v>0.27</v>
      </c>
      <c r="BG124">
        <f t="shared" si="19"/>
        <v>0</v>
      </c>
      <c r="BH124">
        <f t="shared" si="20"/>
        <v>0</v>
      </c>
      <c r="BI124" s="40" cm="1">
        <f t="array" ref="BI124">IF($F$13-$I$4+VLOOKUP($R124,武学奇术!$A:$ZZ,13,FALSE)+SUM(_xlfn.XLOOKUP($S124:$AL124,增益!$A:$A,增益!$M:$M,0))&gt;0,($F$13-$I$4+VLOOKUP($R124,武学奇术!$A:$ZZ,13,FALSE)+SUM(_xlfn.XLOOKUP($S124:$AL124,增益!$A:$A,增益!$K:$K,0)))/200,($F$13-$I$4+VLOOKUP($R124,武学奇术!$A:$ZZ,13,FALSE)+SUM(_xlfn.XLOOKUP($S124:$AL124,增益!$A:$A,增益!$M:$M,0)))/100)</f>
        <v>-0.14</v>
      </c>
      <c r="BJ124" s="40" cm="1">
        <f t="array" ref="BJ124">$G$13+VLOOKUP($R124,武学奇术!$A:$ZZ,14,FALSE)+SUM(_xlfn.XLOOKUP($S124:$AL124,增益!$A:$A,增益!$N:$N,0))</f>
        <v>0</v>
      </c>
      <c r="BK124">
        <f t="shared" si="21"/>
        <v>0</v>
      </c>
      <c r="BL124">
        <f t="shared" si="22"/>
        <v>0</v>
      </c>
      <c r="BM124" s="40" cm="1">
        <f t="array" ref="BM124">IF($F$14-$I$4+VLOOKUP($R124,武学奇术!$A:$ZZ,15,FALSE)+SUM(_xlfn.XLOOKUP($S124:$AL124,增益!$A:$A,增益!$O:$O,0))&gt;0,($F$14-$I$4+VLOOKUP($R124,武学奇术!$A:$ZZ,15,FALSE)+SUM(_xlfn.XLOOKUP($S124:$AL124,增益!$A:$A,增益!$O:$O,0)))/200,($F$14-$I$4+VLOOKUP($R124,武学奇术!$A:$ZZ,15,FALSE)+SUM(_xlfn.XLOOKUP($S124:$AL124,增益!$A:$A,增益!$O:$O,0)))/100)</f>
        <v>-0.14</v>
      </c>
      <c r="BN124" s="40" cm="1">
        <f t="array" ref="BN124">$G$14+VLOOKUP($R124,武学奇术!$A:$ZZ,16,FALSE)+SUM(_xlfn.XLOOKUP($S124:$AL124,增益!$A:$A,增益!$P:$P,0))</f>
        <v>0</v>
      </c>
      <c r="BO124" s="33">
        <f>MIN(IF(VLOOKUP($R124,武学奇术!$A:$ZZ,23,FALSE)=1,100%,$B$8),100%)</f>
        <v>0.9771</v>
      </c>
      <c r="BP124" s="33" cm="1">
        <f t="array" ref="BP124">IF(VLOOKUP($R124,武学奇术!$A:$ZZ,23,FALSE)=1,100%,MIN(80%,$B$9+VLOOKUP($R124,武学奇术!$A:$ZZ,17,FALSE)+SUM(_xlfn.XLOOKUP($S124:$AL124,增益!$A:$A,增益!$Q:$Q,0)))+$B$11+SUM(_xlfn.XLOOKUP($S124:$AL124,增益!$A:$A,增益!$U:$U,0)))*IF(VLOOKUP($R124,武学奇术!$A:$ZZ,24,FALSE)=1,0,1)</f>
        <v>0.8861</v>
      </c>
      <c r="BQ124" s="33" cm="1">
        <f t="array" ref="BQ124">1+$B$13+VLOOKUP($R124,武学奇术!$A:$ZZ,18,FALSE)+SUM(_xlfn.XLOOKUP($S124:$AL124,增益!$A:$A,增益!$R:$R,0))</f>
        <v>1.95</v>
      </c>
      <c r="BR124" s="33" cm="1">
        <f t="array" ref="BR124">IF(VLOOKUP($R124,武学奇术!$A:$ZZ,24,FALSE)=1,100%,MIN(40%,$B$10+VLOOKUP($R124,武学奇术!$A:$ZZ,19,FALSE)+SUM(_xlfn.XLOOKUP($S124:$AL124,增益!$A:$A,增益!$S:$S,0)))+$B$12+SUM(_xlfn.XLOOKUP($S124:$AL124,增益!$A:$A,增益!$V:$V,0)))*IF(VLOOKUP($R124,武学奇术!$A:$ZZ,23,FALSE)=1,0,1)</f>
        <v>0.0913</v>
      </c>
      <c r="BS124" s="33" cm="1">
        <f t="array" ref="BS124">1+$B$14+VLOOKUP($R124,武学奇术!$A:$ZZ,20,FALSE)+SUM(_xlfn.XLOOKUP($S124:$AL124,增益!$A:$A,增益!$T:$T,0))</f>
        <v>1.35</v>
      </c>
      <c r="BT124" s="33">
        <f t="shared" si="23"/>
        <v>0.86580831</v>
      </c>
      <c r="BU124" s="33">
        <f t="shared" si="24"/>
        <v>0.02208246</v>
      </c>
      <c r="BV124" s="33">
        <f>IF(VLOOKUP($R124,武学奇术!$A:$ZZ,22,FALSE)=1,0,(1-$BO124))*(1-$BR124)</f>
        <v>0.02080923</v>
      </c>
      <c r="BW124" s="33" cm="1">
        <f t="array" ref="BW124">SUM(_xlfn.XLOOKUP($S124:$AL124,增益!$A:$A,增益!$W:$W,0))+$I$5</f>
        <v>0.11</v>
      </c>
      <c r="BX124" s="33" cm="1">
        <f t="array" ref="BX124">VLOOKUP($R124,武学奇术!$A:$ZZ,32,FALSE)+SUM(_xlfn.XLOOKUP($S124:$AL124,增益!$A:$A,增益!$X:$X,0))</f>
        <v>0</v>
      </c>
    </row>
    <row r="125" spans="12:76">
      <c r="L125" s="46">
        <f t="shared" si="14"/>
        <v>0</v>
      </c>
      <c r="M125" s="46">
        <f>((($AT125+$AU125)/2*$AN125+$AO125)*(1+$AV125)*(1+$AW125)+(($AY125+$AZ125)/2*IF($G$1="鸣金",$AP125,$AN125)+IF($G$1="鸣金",$AQ125*1.5,0))*(1+$BA125)*(1+$BB125)+(($BC125+$BD125)/2*IF($G$1="裂石",$AP125,$AN125)+IF($G$1="裂石",$AQ125*1.5,0))*(1+$BE125)*(1+$BF125)+(($BG125+$BH125)/2*IF($G$1="牵丝",$AP125,$AN125)+IF($G$1="牵丝",$AQ125*1.5,0))*(1+$BI125)*(1+$BJ125)+(($BK125+$BL125)/2*IF($G$1="破竹",$AP125,$AN125)+IF($G$1="破竹",$AQ125*1.5,0))*(1+$BM125)*(1+$BN125))*(1+$AR125)*$BQ125*$Q125*(1+IF(VLOOKUP($R125,武学奇术!$A:$ZZ,30,FALSE)="蓄力技",$B$21,0))*(1+IF(VLOOKUP($R125,武学奇术!$A:$ZZ,30,FALSE)="派生技",$B$20,0))*(1+$BW125)*(1+$BX125)</f>
        <v>0</v>
      </c>
      <c r="N125" s="46">
        <f>(($AU125*$AN125+$AO125)*(1+$AV125)*(1+$AW125)+($AZ125*IF($G$1="鸣金",$AP125,$AN125)+IF($G$1="鸣金",$AQ125*1.5,0))*(1+$BA125)*(1+$BB125)+($BD125*IF($G$1="裂石",$AP125,$AN125)+IF($G$1="裂石",$AQ125*1.5,0))*(1+$BE125)*(1+$BF125)+($BH125*IF($G$1="牵丝",$AP125,$AN125)+IF($G$1="牵丝",$AQ125*1.5,0))*(1+$BI125)*(1+$BJ125)+($BL125*IF($G$1="破竹",$AP125,$AN125)+IF($G$1="破竹",$AQ125*1.5,0))*(1+$BM125)*(1+$BN125))*(1+$AR125)*$BS125*$Q125*(1+IF(VLOOKUP($R125,武学奇术!$A:$ZZ,30,FALSE)="蓄力技",$B$21,0))*(1+IF(VLOOKUP($R125,武学奇术!$A:$ZZ,30,FALSE)="派生技",$B$20,0))*(1+$BW125)*(1+$BX125)</f>
        <v>0</v>
      </c>
      <c r="O125" s="46">
        <f>((($AT125+$AU125)/2*$AN125+$AO125)*(1+$AV125)*(1+$AW125)+(($AY125+$AZ125)/2*IF($G$1="鸣金",$AP125,$AN125)+IF($G$1="鸣金",$AQ125*1.5,0))*(1+$BA125)*(1+$BB125)+(($BC125+$BD125)/2*IF($G$1="裂石",$AP125,$AN125)+IF($G$1="裂石",$AQ125*1.5,0))*(1+$BE125)*(1+$BF125)+(($BG125+$BH125)/2*IF($G$1="牵丝",$AP125,$AN125)+IF($G$1="牵丝",$AQ125*1.5,0))*(1+$BI125)*(1+$BJ125)+(($BK125+$BL125)/2*IF($G$1="破竹",$AP125,$AN125)+IF($G$1="破竹",$AQ125*1.5,0))*(1+$BM125)*(1+$BN125))*(1+$AR125)*$Q125*(1+IF(VLOOKUP($R125,武学奇术!$A:$ZZ,30,FALSE)="蓄力技",$B$21,0))*(1+IF(VLOOKUP($R125,武学奇术!$A:$ZZ,30,FALSE)="派生技",$B$20,0))*(1+$BW125)*(1+$BX125)</f>
        <v>0</v>
      </c>
      <c r="P125" s="46">
        <f>((($AT125*$AN125+$AO125)*(1+$AV125)*(1+$AW125)+($AY125*IF($G$1="鸣金",$AP125,$AN125)+IF($G$1="鸣金",$AQ125*1.5,0))*(1+$BA125)*(1+$BB125)+($BC125*IF($G$1="裂石",$AP125,$AN125)+IF($G$1="裂石",$AQ125*1.5,0))*(1+$BE125)*(1+$BF125)+($BG125*IF($G$1="牵丝",$AP125,$AN125)+IF($G$1="牵丝",$AQ125*1.5,0))*(1+$BI125)*(1+$BJ125)+($BK125*IF($G$1="破竹",$AP125,$AN125)+IF($G$1="破竹",$AQ125*1.5,0))*(1+$BM125)*(1+$BN125))*(1+$AR125))*$Q125*(1+IF(VLOOKUP($R125,武学奇术!$A:$ZZ,30,FALSE)="蓄力技",$B$21,0))*(1+IF(VLOOKUP($R125,武学奇术!$A:$ZZ,30,FALSE)="派生技",$B$20,0))*(1+$BW125)*(1+$BX125)</f>
        <v>0</v>
      </c>
      <c r="Q125" s="47">
        <f t="shared" si="31"/>
        <v>0</v>
      </c>
      <c r="R125" s="48" t="s">
        <v>192</v>
      </c>
      <c r="S125" s="48" t="s">
        <v>99</v>
      </c>
      <c r="T125" s="48" t="s">
        <v>182</v>
      </c>
      <c r="U125" s="48" t="s">
        <v>79</v>
      </c>
      <c r="V125" s="48" t="s">
        <v>80</v>
      </c>
      <c r="W125" s="48" t="s">
        <v>91</v>
      </c>
      <c r="X125" s="48" t="s">
        <v>80</v>
      </c>
      <c r="Y125" s="48" t="s">
        <v>80</v>
      </c>
      <c r="Z125" s="48" t="s">
        <v>80</v>
      </c>
      <c r="AA125" s="48" t="s">
        <v>183</v>
      </c>
      <c r="AB125" s="48" t="s">
        <v>184</v>
      </c>
      <c r="AC125" s="48" t="s">
        <v>193</v>
      </c>
      <c r="AD125" s="48" t="s">
        <v>80</v>
      </c>
      <c r="AE125" s="48" t="s">
        <v>80</v>
      </c>
      <c r="AF125" s="48" t="s">
        <v>83</v>
      </c>
      <c r="AG125" s="48" t="s">
        <v>84</v>
      </c>
      <c r="AH125" s="48" t="s">
        <v>80</v>
      </c>
      <c r="AI125" s="48" t="s">
        <v>80</v>
      </c>
      <c r="AJ125" s="48" t="s">
        <v>80</v>
      </c>
      <c r="AK125" s="48" t="s">
        <v>80</v>
      </c>
      <c r="AL125" s="48" t="s">
        <v>80</v>
      </c>
      <c r="AM125" t="str">
        <f>VLOOKUP($R125,武学奇术!$A:$ZZ,25,FALSE)</f>
        <v>心法</v>
      </c>
      <c r="AN125" s="33">
        <f>VLOOKUP($R125,武学奇术!$A:$ZZ,26,FALSE)</f>
        <v>1</v>
      </c>
      <c r="AO125" s="34">
        <f>VLOOKUP($R125,武学奇术!$A:$ZZ,27,FALSE)*(1+IF(OR($AM125=$F$4,$AM125=$F$5),$B$22,0))</f>
        <v>0</v>
      </c>
      <c r="AP125" s="33">
        <f>VLOOKUP($R125,武学奇术!$A:$ZZ,28,FALSE)</f>
        <v>1</v>
      </c>
      <c r="AQ125" s="34">
        <f>VLOOKUP($R125,武学奇术!$A:$ZZ,29,FALSE)*(1+IF(OR($AM125=$F$4,$AM125=$F$5),$B$22,0))</f>
        <v>0</v>
      </c>
      <c r="AR125" s="33" cm="1">
        <f t="array" ref="AR125">$G$3+IFERROR(VLOOKUP($AM125,$F$4:$G$7,2,FALSE),0)+VLOOKUP($R125,武学奇术!$A:$ZZ,2,FALSE)+SUM(_xlfn.XLOOKUP($S125:$AL125,增益!$A:$A,增益!$B:$B,0))</f>
        <v>0.2842</v>
      </c>
      <c r="AS125" s="33" cm="1">
        <f t="array" ref="AS125">VLOOKUP($R125,武学奇术!$A:$ZZ,5,FALSE)+SUM(_xlfn.XLOOKUP($S125:$AL125,增益!$A:$A,增益!$E:$E,0))</f>
        <v>0</v>
      </c>
      <c r="AT125" cm="1">
        <f t="array" ref="AT125">$D$10*(1+$AS125)+VLOOKUP($R125,武学奇术!$A:$ZZ,3,FALSE)+SUM(_xlfn.XLOOKUP($S125:$AL125,增益!$A:$A,增益!$C:$C,0))-$I$2</f>
        <v>4026</v>
      </c>
      <c r="AU125" cm="1">
        <f t="array" ref="AU125">$E$10*(1+$AS125)+VLOOKUP($R125,武学奇术!$A:$ZZ,4,FALSE)+SUM(_xlfn.XLOOKUP($S125:$AL125,增益!$A:$A,增益!$D:$D,0))-$I$2</f>
        <v>4026</v>
      </c>
      <c r="AV125" s="40" cm="1">
        <f t="array" ref="AV125">IF($F$10-$I$3+VLOOKUP($R125,武学奇术!$A:$ZZ,6,FALSE)+SUM(_xlfn.XLOOKUP($S125:$AL125,增益!$A:$A,增益!$F:$F,0))&gt;0,($F$10-$I$3+VLOOKUP($R125,武学奇术!$A:$ZZ,6,FALSE)+SUM(_xlfn.XLOOKUP($S125:$AL125,增益!$A:$A,增益!$F:$F,0)))/200,($F$10-$I$3+VLOOKUP($R125,武学奇术!$A:$ZZ,6,FALSE)+SUM(_xlfn.XLOOKUP($S125:$AL125,增益!$A:$A,增益!$F:$F,0)))/100)</f>
        <v>0.3284</v>
      </c>
      <c r="AW125" s="40" cm="1">
        <f t="array" ref="AW125">$G$10+VLOOKUP($R125,武学奇术!$A:$ZZ,7,FALSE)+SUM(_xlfn.XLOOKUP($S125:$AL125,增益!$A:$A,增益!$G:$G,0))</f>
        <v>0.12</v>
      </c>
      <c r="AX125" s="33" cm="1">
        <f t="array" ref="AX125">VLOOKUP($R125,武学奇术!$A:$ZZ,8,FALSE)+SUM(_xlfn.XLOOKUP($S125:$AL125,增益!$A:$A,增益!$H:$H,0))</f>
        <v>0</v>
      </c>
      <c r="AY125">
        <f t="shared" si="15"/>
        <v>0</v>
      </c>
      <c r="AZ125">
        <f t="shared" si="16"/>
        <v>0</v>
      </c>
      <c r="BA125" s="40" cm="1">
        <f t="array" ref="BA125">IF($F$11-$I$4+VLOOKUP($R125,武学奇术!$A:$ZZ,9,FALSE)+SUM(_xlfn.XLOOKUP($S125:$AL125,增益!$A:$A,增益!$I:$I,0))&gt;0,($F$11-$I$4+VLOOKUP($R125,武学奇术!$A:$ZZ,9,FALSE)+SUM(_xlfn.XLOOKUP($S125:$AL125,增益!$A:$A,增益!$I:$I,0)))/200,($F$11-$I$4+VLOOKUP($R125,武学奇术!$A:$ZZ,9,FALSE)+SUM(_xlfn.XLOOKUP($S125:$AL125,增益!$A:$A,增益!$I:$I,0)))/100)</f>
        <v>-0.3</v>
      </c>
      <c r="BB125" s="40" cm="1">
        <f t="array" ref="BB125">$G$11+VLOOKUP($R125,武学奇术!$A:$ZZ,10,FALSE)+SUM(_xlfn.XLOOKUP($S125:$AL125,增益!$A:$A,增益!$J:$J,0))</f>
        <v>0.1</v>
      </c>
      <c r="BC125">
        <f t="shared" si="17"/>
        <v>640.3</v>
      </c>
      <c r="BD125">
        <f t="shared" si="18"/>
        <v>1770.1</v>
      </c>
      <c r="BE125" s="40" cm="1">
        <f t="array" ref="BE125">IF($F$12-$I$4+VLOOKUP($R125,武学奇术!$A:$ZZ,11,FALSE)+SUM(_xlfn.XLOOKUP($S125:$AL125,增益!$A:$A,增益!$K:$K,0))&gt;0,($F$12-$I$4+VLOOKUP($R125,武学奇术!$A:$ZZ,11,FALSE)+SUM(_xlfn.XLOOKUP($S125:$AL125,增益!$A:$A,增益!$K:$K,0)))/200,($F$12-$I$4+VLOOKUP($R125,武学奇术!$A:$ZZ,11,FALSE)+SUM(_xlfn.XLOOKUP($S125:$AL125,增益!$A:$A,增益!$K:$K,0)))/100)</f>
        <v>0.09</v>
      </c>
      <c r="BF125" s="40" cm="1">
        <f t="array" ref="BF125">$G$12+VLOOKUP($R125,武学奇术!$A:$ZZ,12,FALSE)+SUM(_xlfn.XLOOKUP($S125:$AL125,增益!$A:$A,增益!$L:$L,0))</f>
        <v>0.27</v>
      </c>
      <c r="BG125">
        <f t="shared" si="19"/>
        <v>0</v>
      </c>
      <c r="BH125">
        <f t="shared" si="20"/>
        <v>0</v>
      </c>
      <c r="BI125" s="40" cm="1">
        <f t="array" ref="BI125">IF($F$13-$I$4+VLOOKUP($R125,武学奇术!$A:$ZZ,13,FALSE)+SUM(_xlfn.XLOOKUP($S125:$AL125,增益!$A:$A,增益!$M:$M,0))&gt;0,($F$13-$I$4+VLOOKUP($R125,武学奇术!$A:$ZZ,13,FALSE)+SUM(_xlfn.XLOOKUP($S125:$AL125,增益!$A:$A,增益!$K:$K,0)))/200,($F$13-$I$4+VLOOKUP($R125,武学奇术!$A:$ZZ,13,FALSE)+SUM(_xlfn.XLOOKUP($S125:$AL125,增益!$A:$A,增益!$M:$M,0)))/100)</f>
        <v>-0.3</v>
      </c>
      <c r="BJ125" s="40" cm="1">
        <f t="array" ref="BJ125">$G$13+VLOOKUP($R125,武学奇术!$A:$ZZ,14,FALSE)+SUM(_xlfn.XLOOKUP($S125:$AL125,增益!$A:$A,增益!$N:$N,0))</f>
        <v>0</v>
      </c>
      <c r="BK125">
        <f t="shared" si="21"/>
        <v>0</v>
      </c>
      <c r="BL125">
        <f t="shared" si="22"/>
        <v>0</v>
      </c>
      <c r="BM125" s="40" cm="1">
        <f t="array" ref="BM125">IF($F$14-$I$4+VLOOKUP($R125,武学奇术!$A:$ZZ,15,FALSE)+SUM(_xlfn.XLOOKUP($S125:$AL125,增益!$A:$A,增益!$O:$O,0))&gt;0,($F$14-$I$4+VLOOKUP($R125,武学奇术!$A:$ZZ,15,FALSE)+SUM(_xlfn.XLOOKUP($S125:$AL125,增益!$A:$A,增益!$O:$O,0)))/200,($F$14-$I$4+VLOOKUP($R125,武学奇术!$A:$ZZ,15,FALSE)+SUM(_xlfn.XLOOKUP($S125:$AL125,增益!$A:$A,增益!$O:$O,0)))/100)</f>
        <v>-0.3</v>
      </c>
      <c r="BN125" s="40" cm="1">
        <f t="array" ref="BN125">$G$14+VLOOKUP($R125,武学奇术!$A:$ZZ,16,FALSE)+SUM(_xlfn.XLOOKUP($S125:$AL125,增益!$A:$A,增益!$P:$P,0))</f>
        <v>0</v>
      </c>
      <c r="BO125" s="33">
        <f>MIN(IF(VLOOKUP($R125,武学奇术!$A:$ZZ,23,FALSE)=1,100%,$B$8),100%)</f>
        <v>0.9771</v>
      </c>
      <c r="BP125" s="33" cm="1">
        <f t="array" ref="BP125">IF(VLOOKUP($R125,武学奇术!$A:$ZZ,23,FALSE)=1,100%,MIN(80%,$B$9+VLOOKUP($R125,武学奇术!$A:$ZZ,17,FALSE)+SUM(_xlfn.XLOOKUP($S125:$AL125,增益!$A:$A,增益!$Q:$Q,0)))+$B$11+SUM(_xlfn.XLOOKUP($S125:$AL125,增益!$A:$A,增益!$U:$U,0)))*IF(VLOOKUP($R125,武学奇术!$A:$ZZ,24,FALSE)=1,0,1)</f>
        <v>0.8861</v>
      </c>
      <c r="BQ125" s="33" cm="1">
        <f t="array" ref="BQ125">1+$B$13+VLOOKUP($R125,武学奇术!$A:$ZZ,18,FALSE)+SUM(_xlfn.XLOOKUP($S125:$AL125,增益!$A:$A,增益!$R:$R,0))</f>
        <v>1.95</v>
      </c>
      <c r="BR125" s="33" cm="1">
        <f t="array" ref="BR125">IF(VLOOKUP($R125,武学奇术!$A:$ZZ,24,FALSE)=1,100%,MIN(40%,$B$10+VLOOKUP($R125,武学奇术!$A:$ZZ,19,FALSE)+SUM(_xlfn.XLOOKUP($S125:$AL125,增益!$A:$A,增益!$S:$S,0)))+$B$12+SUM(_xlfn.XLOOKUP($S125:$AL125,增益!$A:$A,增益!$V:$V,0)))*IF(VLOOKUP($R125,武学奇术!$A:$ZZ,23,FALSE)=1,0,1)</f>
        <v>0.0913</v>
      </c>
      <c r="BS125" s="33" cm="1">
        <f t="array" ref="BS125">1+$B$14+VLOOKUP($R125,武学奇术!$A:$ZZ,20,FALSE)+SUM(_xlfn.XLOOKUP($S125:$AL125,增益!$A:$A,增益!$T:$T,0))</f>
        <v>1.35</v>
      </c>
      <c r="BT125" s="33">
        <f t="shared" si="23"/>
        <v>0.86580831</v>
      </c>
      <c r="BU125" s="33">
        <f t="shared" si="24"/>
        <v>0.02208246</v>
      </c>
      <c r="BV125" s="33">
        <f>IF(VLOOKUP($R125,武学奇术!$A:$ZZ,22,FALSE)=1,0,(1-$BO125))*(1-$BR125)</f>
        <v>0.02080923</v>
      </c>
      <c r="BW125" s="33" cm="1">
        <f t="array" ref="BW125">SUM(_xlfn.XLOOKUP($S125:$AL125,增益!$A:$A,增益!$W:$W,0))+$I$5</f>
        <v>0.31</v>
      </c>
      <c r="BX125" s="33" cm="1">
        <f t="array" ref="BX125">VLOOKUP($R125,武学奇术!$A:$ZZ,32,FALSE)+SUM(_xlfn.XLOOKUP($S125:$AL125,增益!$A:$A,增益!$X:$X,0))</f>
        <v>0</v>
      </c>
    </row>
    <row r="126" spans="12:76">
      <c r="L126" s="46">
        <f t="shared" si="14"/>
        <v>0</v>
      </c>
      <c r="M126" s="46">
        <f>((($AT126+$AU126)/2*$AN126+$AO126)*(1+$AV126)*(1+$AW126)+(($AY126+$AZ126)/2*IF($G$1="鸣金",$AP126,$AN126)+IF($G$1="鸣金",$AQ126*1.5,0))*(1+$BA126)*(1+$BB126)+(($BC126+$BD126)/2*IF($G$1="裂石",$AP126,$AN126)+IF($G$1="裂石",$AQ126*1.5,0))*(1+$BE126)*(1+$BF126)+(($BG126+$BH126)/2*IF($G$1="牵丝",$AP126,$AN126)+IF($G$1="牵丝",$AQ126*1.5,0))*(1+$BI126)*(1+$BJ126)+(($BK126+$BL126)/2*IF($G$1="破竹",$AP126,$AN126)+IF($G$1="破竹",$AQ126*1.5,0))*(1+$BM126)*(1+$BN126))*(1+$AR126)*$BQ126*$Q126*(1+IF(VLOOKUP($R126,武学奇术!$A:$ZZ,30,FALSE)="蓄力技",$B$21,0))*(1+IF(VLOOKUP($R126,武学奇术!$A:$ZZ,30,FALSE)="派生技",$B$20,0))*(1+$BW126)*(1+$BX126)</f>
        <v>0</v>
      </c>
      <c r="N126" s="46">
        <f>(($AU126*$AN126+$AO126)*(1+$AV126)*(1+$AW126)+($AZ126*IF($G$1="鸣金",$AP126,$AN126)+IF($G$1="鸣金",$AQ126*1.5,0))*(1+$BA126)*(1+$BB126)+($BD126*IF($G$1="裂石",$AP126,$AN126)+IF($G$1="裂石",$AQ126*1.5,0))*(1+$BE126)*(1+$BF126)+($BH126*IF($G$1="牵丝",$AP126,$AN126)+IF($G$1="牵丝",$AQ126*1.5,0))*(1+$BI126)*(1+$BJ126)+($BL126*IF($G$1="破竹",$AP126,$AN126)+IF($G$1="破竹",$AQ126*1.5,0))*(1+$BM126)*(1+$BN126))*(1+$AR126)*$BS126*$Q126*(1+IF(VLOOKUP($R126,武学奇术!$A:$ZZ,30,FALSE)="蓄力技",$B$21,0))*(1+IF(VLOOKUP($R126,武学奇术!$A:$ZZ,30,FALSE)="派生技",$B$20,0))*(1+$BW126)*(1+$BX126)</f>
        <v>0</v>
      </c>
      <c r="O126" s="46">
        <f>((($AT126+$AU126)/2*$AN126+$AO126)*(1+$AV126)*(1+$AW126)+(($AY126+$AZ126)/2*IF($G$1="鸣金",$AP126,$AN126)+IF($G$1="鸣金",$AQ126*1.5,0))*(1+$BA126)*(1+$BB126)+(($BC126+$BD126)/2*IF($G$1="裂石",$AP126,$AN126)+IF($G$1="裂石",$AQ126*1.5,0))*(1+$BE126)*(1+$BF126)+(($BG126+$BH126)/2*IF($G$1="牵丝",$AP126,$AN126)+IF($G$1="牵丝",$AQ126*1.5,0))*(1+$BI126)*(1+$BJ126)+(($BK126+$BL126)/2*IF($G$1="破竹",$AP126,$AN126)+IF($G$1="破竹",$AQ126*1.5,0))*(1+$BM126)*(1+$BN126))*(1+$AR126)*$Q126*(1+IF(VLOOKUP($R126,武学奇术!$A:$ZZ,30,FALSE)="蓄力技",$B$21,0))*(1+IF(VLOOKUP($R126,武学奇术!$A:$ZZ,30,FALSE)="派生技",$B$20,0))*(1+$BW126)*(1+$BX126)</f>
        <v>0</v>
      </c>
      <c r="P126" s="46">
        <f>((($AT126*$AN126+$AO126)*(1+$AV126)*(1+$AW126)+($AY126*IF($G$1="鸣金",$AP126,$AN126)+IF($G$1="鸣金",$AQ126*1.5,0))*(1+$BA126)*(1+$BB126)+($BC126*IF($G$1="裂石",$AP126,$AN126)+IF($G$1="裂石",$AQ126*1.5,0))*(1+$BE126)*(1+$BF126)+($BG126*IF($G$1="牵丝",$AP126,$AN126)+IF($G$1="牵丝",$AQ126*1.5,0))*(1+$BI126)*(1+$BJ126)+($BK126*IF($G$1="破竹",$AP126,$AN126)+IF($G$1="破竹",$AQ126*1.5,0))*(1+$BM126)*(1+$BN126))*(1+$AR126))*$Q126*(1+IF(VLOOKUP($R126,武学奇术!$A:$ZZ,30,FALSE)="蓄力技",$B$21,0))*(1+IF(VLOOKUP($R126,武学奇术!$A:$ZZ,30,FALSE)="派生技",$B$20,0))*(1+$BW126)*(1+$BX126)</f>
        <v>0</v>
      </c>
      <c r="Q126" s="47">
        <f t="shared" si="31"/>
        <v>0</v>
      </c>
      <c r="R126" s="48" t="s">
        <v>192</v>
      </c>
      <c r="S126" s="48" t="s">
        <v>99</v>
      </c>
      <c r="T126" s="48" t="s">
        <v>182</v>
      </c>
      <c r="U126" s="48" t="s">
        <v>79</v>
      </c>
      <c r="V126" s="48" t="s">
        <v>80</v>
      </c>
      <c r="W126" s="48" t="s">
        <v>91</v>
      </c>
      <c r="X126" s="48" t="s">
        <v>80</v>
      </c>
      <c r="Y126" s="48" t="s">
        <v>80</v>
      </c>
      <c r="Z126" s="48" t="s">
        <v>80</v>
      </c>
      <c r="AA126" s="48" t="s">
        <v>80</v>
      </c>
      <c r="AB126" s="48" t="s">
        <v>80</v>
      </c>
      <c r="AC126" s="48" t="s">
        <v>80</v>
      </c>
      <c r="AD126" s="48" t="s">
        <v>80</v>
      </c>
      <c r="AE126" s="48" t="s">
        <v>80</v>
      </c>
      <c r="AF126" s="48" t="s">
        <v>83</v>
      </c>
      <c r="AG126" s="48" t="s">
        <v>84</v>
      </c>
      <c r="AH126" s="48" t="s">
        <v>80</v>
      </c>
      <c r="AI126" s="48" t="s">
        <v>80</v>
      </c>
      <c r="AJ126" s="48" t="s">
        <v>80</v>
      </c>
      <c r="AK126" s="48" t="s">
        <v>80</v>
      </c>
      <c r="AL126" s="48" t="s">
        <v>80</v>
      </c>
      <c r="AM126" t="str">
        <f>VLOOKUP($R126,武学奇术!$A:$ZZ,25,FALSE)</f>
        <v>心法</v>
      </c>
      <c r="AN126" s="33">
        <f>VLOOKUP($R126,武学奇术!$A:$ZZ,26,FALSE)</f>
        <v>1</v>
      </c>
      <c r="AO126" s="34">
        <f>VLOOKUP($R126,武学奇术!$A:$ZZ,27,FALSE)*(1+IF(OR($AM126=$F$4,$AM126=$F$5),$B$22,0))</f>
        <v>0</v>
      </c>
      <c r="AP126" s="33">
        <f>VLOOKUP($R126,武学奇术!$A:$ZZ,28,FALSE)</f>
        <v>1</v>
      </c>
      <c r="AQ126" s="34">
        <f>VLOOKUP($R126,武学奇术!$A:$ZZ,29,FALSE)*(1+IF(OR($AM126=$F$4,$AM126=$F$5),$B$22,0))</f>
        <v>0</v>
      </c>
      <c r="AR126" s="33" cm="1">
        <f t="array" ref="AR126">$G$3+IFERROR(VLOOKUP($AM126,$F$4:$G$7,2,FALSE),0)+VLOOKUP($R126,武学奇术!$A:$ZZ,2,FALSE)+SUM(_xlfn.XLOOKUP($S126:$AL126,增益!$A:$A,增益!$B:$B,0))</f>
        <v>0.2842</v>
      </c>
      <c r="AS126" s="33" cm="1">
        <f t="array" ref="AS126">VLOOKUP($R126,武学奇术!$A:$ZZ,5,FALSE)+SUM(_xlfn.XLOOKUP($S126:$AL126,增益!$A:$A,增益!$E:$E,0))</f>
        <v>0</v>
      </c>
      <c r="AT126" cm="1">
        <f t="array" ref="AT126">$D$10*(1+$AS126)+VLOOKUP($R126,武学奇术!$A:$ZZ,3,FALSE)+SUM(_xlfn.XLOOKUP($S126:$AL126,增益!$A:$A,增益!$C:$C,0))-$I$2</f>
        <v>4026</v>
      </c>
      <c r="AU126" cm="1">
        <f t="array" ref="AU126">$E$10*(1+$AS126)+VLOOKUP($R126,武学奇术!$A:$ZZ,4,FALSE)+SUM(_xlfn.XLOOKUP($S126:$AL126,增益!$A:$A,增益!$D:$D,0))-$I$2</f>
        <v>4026</v>
      </c>
      <c r="AV126" s="40" cm="1">
        <f t="array" ref="AV126">IF($F$10-$I$3+VLOOKUP($R126,武学奇术!$A:$ZZ,6,FALSE)+SUM(_xlfn.XLOOKUP($S126:$AL126,增益!$A:$A,增益!$F:$F,0))&gt;0,($F$10-$I$3+VLOOKUP($R126,武学奇术!$A:$ZZ,6,FALSE)+SUM(_xlfn.XLOOKUP($S126:$AL126,增益!$A:$A,增益!$F:$F,0)))/200,($F$10-$I$3+VLOOKUP($R126,武学奇术!$A:$ZZ,6,FALSE)+SUM(_xlfn.XLOOKUP($S126:$AL126,增益!$A:$A,增益!$F:$F,0)))/100)</f>
        <v>0.3284</v>
      </c>
      <c r="AW126" s="40" cm="1">
        <f t="array" ref="AW126">$G$10+VLOOKUP($R126,武学奇术!$A:$ZZ,7,FALSE)+SUM(_xlfn.XLOOKUP($S126:$AL126,增益!$A:$A,增益!$G:$G,0))</f>
        <v>0.12</v>
      </c>
      <c r="AX126" s="33" cm="1">
        <f t="array" ref="AX126">VLOOKUP($R126,武学奇术!$A:$ZZ,8,FALSE)+SUM(_xlfn.XLOOKUP($S126:$AL126,增益!$A:$A,增益!$H:$H,0))</f>
        <v>0</v>
      </c>
      <c r="AY126">
        <f t="shared" si="15"/>
        <v>0</v>
      </c>
      <c r="AZ126">
        <f t="shared" si="16"/>
        <v>0</v>
      </c>
      <c r="BA126" s="40" cm="1">
        <f t="array" ref="BA126">IF($F$11-$I$4+VLOOKUP($R126,武学奇术!$A:$ZZ,9,FALSE)+SUM(_xlfn.XLOOKUP($S126:$AL126,增益!$A:$A,增益!$I:$I,0))&gt;0,($F$11-$I$4+VLOOKUP($R126,武学奇术!$A:$ZZ,9,FALSE)+SUM(_xlfn.XLOOKUP($S126:$AL126,增益!$A:$A,增益!$I:$I,0)))/200,($F$11-$I$4+VLOOKUP($R126,武学奇术!$A:$ZZ,9,FALSE)+SUM(_xlfn.XLOOKUP($S126:$AL126,增益!$A:$A,增益!$I:$I,0)))/100)</f>
        <v>-0.3</v>
      </c>
      <c r="BB126" s="40" cm="1">
        <f t="array" ref="BB126">$G$11+VLOOKUP($R126,武学奇术!$A:$ZZ,10,FALSE)+SUM(_xlfn.XLOOKUP($S126:$AL126,增益!$A:$A,增益!$J:$J,0))</f>
        <v>0</v>
      </c>
      <c r="BC126">
        <f t="shared" si="17"/>
        <v>640.3</v>
      </c>
      <c r="BD126">
        <f t="shared" si="18"/>
        <v>1770.1</v>
      </c>
      <c r="BE126" s="40" cm="1">
        <f t="array" ref="BE126">IF($F$12-$I$4+VLOOKUP($R126,武学奇术!$A:$ZZ,11,FALSE)+SUM(_xlfn.XLOOKUP($S126:$AL126,增益!$A:$A,增益!$K:$K,0))&gt;0,($F$12-$I$4+VLOOKUP($R126,武学奇术!$A:$ZZ,11,FALSE)+SUM(_xlfn.XLOOKUP($S126:$AL126,增益!$A:$A,增益!$K:$K,0)))/200,($F$12-$I$4+VLOOKUP($R126,武学奇术!$A:$ZZ,11,FALSE)+SUM(_xlfn.XLOOKUP($S126:$AL126,增益!$A:$A,增益!$K:$K,0)))/100)</f>
        <v>0.09</v>
      </c>
      <c r="BF126" s="40" cm="1">
        <f t="array" ref="BF126">$G$12+VLOOKUP($R126,武学奇术!$A:$ZZ,12,FALSE)+SUM(_xlfn.XLOOKUP($S126:$AL126,增益!$A:$A,增益!$L:$L,0))</f>
        <v>0.27</v>
      </c>
      <c r="BG126">
        <f t="shared" si="19"/>
        <v>0</v>
      </c>
      <c r="BH126">
        <f t="shared" si="20"/>
        <v>0</v>
      </c>
      <c r="BI126" s="40" cm="1">
        <f t="array" ref="BI126">IF($F$13-$I$4+VLOOKUP($R126,武学奇术!$A:$ZZ,13,FALSE)+SUM(_xlfn.XLOOKUP($S126:$AL126,增益!$A:$A,增益!$M:$M,0))&gt;0,($F$13-$I$4+VLOOKUP($R126,武学奇术!$A:$ZZ,13,FALSE)+SUM(_xlfn.XLOOKUP($S126:$AL126,增益!$A:$A,增益!$K:$K,0)))/200,($F$13-$I$4+VLOOKUP($R126,武学奇术!$A:$ZZ,13,FALSE)+SUM(_xlfn.XLOOKUP($S126:$AL126,增益!$A:$A,增益!$M:$M,0)))/100)</f>
        <v>-0.3</v>
      </c>
      <c r="BJ126" s="40" cm="1">
        <f t="array" ref="BJ126">$G$13+VLOOKUP($R126,武学奇术!$A:$ZZ,14,FALSE)+SUM(_xlfn.XLOOKUP($S126:$AL126,增益!$A:$A,增益!$N:$N,0))</f>
        <v>0</v>
      </c>
      <c r="BK126">
        <f t="shared" si="21"/>
        <v>0</v>
      </c>
      <c r="BL126">
        <f t="shared" si="22"/>
        <v>0</v>
      </c>
      <c r="BM126" s="40" cm="1">
        <f t="array" ref="BM126">IF($F$14-$I$4+VLOOKUP($R126,武学奇术!$A:$ZZ,15,FALSE)+SUM(_xlfn.XLOOKUP($S126:$AL126,增益!$A:$A,增益!$O:$O,0))&gt;0,($F$14-$I$4+VLOOKUP($R126,武学奇术!$A:$ZZ,15,FALSE)+SUM(_xlfn.XLOOKUP($S126:$AL126,增益!$A:$A,增益!$O:$O,0)))/200,($F$14-$I$4+VLOOKUP($R126,武学奇术!$A:$ZZ,15,FALSE)+SUM(_xlfn.XLOOKUP($S126:$AL126,增益!$A:$A,增益!$O:$O,0)))/100)</f>
        <v>-0.3</v>
      </c>
      <c r="BN126" s="40" cm="1">
        <f t="array" ref="BN126">$G$14+VLOOKUP($R126,武学奇术!$A:$ZZ,16,FALSE)+SUM(_xlfn.XLOOKUP($S126:$AL126,增益!$A:$A,增益!$P:$P,0))</f>
        <v>0</v>
      </c>
      <c r="BO126" s="33">
        <f>MIN(IF(VLOOKUP($R126,武学奇术!$A:$ZZ,23,FALSE)=1,100%,$B$8),100%)</f>
        <v>0.9771</v>
      </c>
      <c r="BP126" s="33" cm="1">
        <f t="array" ref="BP126">IF(VLOOKUP($R126,武学奇术!$A:$ZZ,23,FALSE)=1,100%,MIN(80%,$B$9+VLOOKUP($R126,武学奇术!$A:$ZZ,17,FALSE)+SUM(_xlfn.XLOOKUP($S126:$AL126,增益!$A:$A,增益!$Q:$Q,0)))+$B$11+SUM(_xlfn.XLOOKUP($S126:$AL126,增益!$A:$A,增益!$U:$U,0)))*IF(VLOOKUP($R126,武学奇术!$A:$ZZ,24,FALSE)=1,0,1)</f>
        <v>0.8861</v>
      </c>
      <c r="BQ126" s="33" cm="1">
        <f t="array" ref="BQ126">1+$B$13+VLOOKUP($R126,武学奇术!$A:$ZZ,18,FALSE)+SUM(_xlfn.XLOOKUP($S126:$AL126,增益!$A:$A,增益!$R:$R,0))</f>
        <v>1.95</v>
      </c>
      <c r="BR126" s="33" cm="1">
        <f t="array" ref="BR126">IF(VLOOKUP($R126,武学奇术!$A:$ZZ,24,FALSE)=1,100%,MIN(40%,$B$10+VLOOKUP($R126,武学奇术!$A:$ZZ,19,FALSE)+SUM(_xlfn.XLOOKUP($S126:$AL126,增益!$A:$A,增益!$S:$S,0)))+$B$12+SUM(_xlfn.XLOOKUP($S126:$AL126,增益!$A:$A,增益!$V:$V,0)))*IF(VLOOKUP($R126,武学奇术!$A:$ZZ,23,FALSE)=1,0,1)</f>
        <v>0.0913</v>
      </c>
      <c r="BS126" s="33" cm="1">
        <f t="array" ref="BS126">1+$B$14+VLOOKUP($R126,武学奇术!$A:$ZZ,20,FALSE)+SUM(_xlfn.XLOOKUP($S126:$AL126,增益!$A:$A,增益!$T:$T,0))</f>
        <v>1.35</v>
      </c>
      <c r="BT126" s="33">
        <f t="shared" si="23"/>
        <v>0.86580831</v>
      </c>
      <c r="BU126" s="33">
        <f t="shared" si="24"/>
        <v>0.02208246</v>
      </c>
      <c r="BV126" s="33">
        <f>IF(VLOOKUP($R126,武学奇术!$A:$ZZ,22,FALSE)=1,0,(1-$BO126))*(1-$BR126)</f>
        <v>0.02080923</v>
      </c>
      <c r="BW126" s="33" cm="1">
        <f t="array" ref="BW126">SUM(_xlfn.XLOOKUP($S126:$AL126,增益!$A:$A,增益!$W:$W,0))+$I$5</f>
        <v>0.11</v>
      </c>
      <c r="BX126" s="33" cm="1">
        <f t="array" ref="BX126">VLOOKUP($R126,武学奇术!$A:$ZZ,32,FALSE)+SUM(_xlfn.XLOOKUP($S126:$AL126,增益!$A:$A,增益!$X:$X,0))</f>
        <v>0</v>
      </c>
    </row>
    <row r="127" spans="12:76">
      <c r="L127" s="46">
        <f t="shared" si="14"/>
        <v>0</v>
      </c>
      <c r="M127" s="46">
        <f>((($AT127+$AU127)/2*$AN127+$AO127)*(1+$AV127)*(1+$AW127)+(($AY127+$AZ127)/2*IF($G$1="鸣金",$AP127,$AN127)+IF($G$1="鸣金",$AQ127*1.5,0))*(1+$BA127)*(1+$BB127)+(($BC127+$BD127)/2*IF($G$1="裂石",$AP127,$AN127)+IF($G$1="裂石",$AQ127*1.5,0))*(1+$BE127)*(1+$BF127)+(($BG127+$BH127)/2*IF($G$1="牵丝",$AP127,$AN127)+IF($G$1="牵丝",$AQ127*1.5,0))*(1+$BI127)*(1+$BJ127)+(($BK127+$BL127)/2*IF($G$1="破竹",$AP127,$AN127)+IF($G$1="破竹",$AQ127*1.5,0))*(1+$BM127)*(1+$BN127))*(1+$AR127)*$BQ127*$Q127*(1+IF(VLOOKUP($R127,武学奇术!$A:$ZZ,30,FALSE)="蓄力技",$B$21,0))*(1+IF(VLOOKUP($R127,武学奇术!$A:$ZZ,30,FALSE)="派生技",$B$20,0))*(1+$BW127)*(1+$BX127)</f>
        <v>0</v>
      </c>
      <c r="N127" s="46">
        <f>(($AU127*$AN127+$AO127)*(1+$AV127)*(1+$AW127)+($AZ127*IF($G$1="鸣金",$AP127,$AN127)+IF($G$1="鸣金",$AQ127*1.5,0))*(1+$BA127)*(1+$BB127)+($BD127*IF($G$1="裂石",$AP127,$AN127)+IF($G$1="裂石",$AQ127*1.5,0))*(1+$BE127)*(1+$BF127)+($BH127*IF($G$1="牵丝",$AP127,$AN127)+IF($G$1="牵丝",$AQ127*1.5,0))*(1+$BI127)*(1+$BJ127)+($BL127*IF($G$1="破竹",$AP127,$AN127)+IF($G$1="破竹",$AQ127*1.5,0))*(1+$BM127)*(1+$BN127))*(1+$AR127)*$BS127*$Q127*(1+IF(VLOOKUP($R127,武学奇术!$A:$ZZ,30,FALSE)="蓄力技",$B$21,0))*(1+IF(VLOOKUP($R127,武学奇术!$A:$ZZ,30,FALSE)="派生技",$B$20,0))*(1+$BW127)*(1+$BX127)</f>
        <v>0</v>
      </c>
      <c r="O127" s="46">
        <f>((($AT127+$AU127)/2*$AN127+$AO127)*(1+$AV127)*(1+$AW127)+(($AY127+$AZ127)/2*IF($G$1="鸣金",$AP127,$AN127)+IF($G$1="鸣金",$AQ127*1.5,0))*(1+$BA127)*(1+$BB127)+(($BC127+$BD127)/2*IF($G$1="裂石",$AP127,$AN127)+IF($G$1="裂石",$AQ127*1.5,0))*(1+$BE127)*(1+$BF127)+(($BG127+$BH127)/2*IF($G$1="牵丝",$AP127,$AN127)+IF($G$1="牵丝",$AQ127*1.5,0))*(1+$BI127)*(1+$BJ127)+(($BK127+$BL127)/2*IF($G$1="破竹",$AP127,$AN127)+IF($G$1="破竹",$AQ127*1.5,0))*(1+$BM127)*(1+$BN127))*(1+$AR127)*$Q127*(1+IF(VLOOKUP($R127,武学奇术!$A:$ZZ,30,FALSE)="蓄力技",$B$21,0))*(1+IF(VLOOKUP($R127,武学奇术!$A:$ZZ,30,FALSE)="派生技",$B$20,0))*(1+$BW127)*(1+$BX127)</f>
        <v>0</v>
      </c>
      <c r="P127" s="46">
        <f>((($AT127*$AN127+$AO127)*(1+$AV127)*(1+$AW127)+($AY127*IF($G$1="鸣金",$AP127,$AN127)+IF($G$1="鸣金",$AQ127*1.5,0))*(1+$BA127)*(1+$BB127)+($BC127*IF($G$1="裂石",$AP127,$AN127)+IF($G$1="裂石",$AQ127*1.5,0))*(1+$BE127)*(1+$BF127)+($BG127*IF($G$1="牵丝",$AP127,$AN127)+IF($G$1="牵丝",$AQ127*1.5,0))*(1+$BI127)*(1+$BJ127)+($BK127*IF($G$1="破竹",$AP127,$AN127)+IF($G$1="破竹",$AQ127*1.5,0))*(1+$BM127)*(1+$BN127))*(1+$AR127))*$Q127*(1+IF(VLOOKUP($R127,武学奇术!$A:$ZZ,30,FALSE)="蓄力技",$B$21,0))*(1+IF(VLOOKUP($R127,武学奇术!$A:$ZZ,30,FALSE)="派生技",$B$20,0))*(1+$BW127)*(1+$BX127)</f>
        <v>0</v>
      </c>
      <c r="Q127" s="47">
        <v>1</v>
      </c>
      <c r="R127" s="48" t="s">
        <v>80</v>
      </c>
      <c r="S127" s="48" t="s">
        <v>80</v>
      </c>
      <c r="T127" s="48" t="s">
        <v>80</v>
      </c>
      <c r="U127" s="48" t="s">
        <v>80</v>
      </c>
      <c r="V127" s="48" t="s">
        <v>80</v>
      </c>
      <c r="W127" s="48" t="s">
        <v>80</v>
      </c>
      <c r="X127" s="48" t="s">
        <v>80</v>
      </c>
      <c r="Y127" s="48" t="s">
        <v>80</v>
      </c>
      <c r="Z127" s="48" t="s">
        <v>80</v>
      </c>
      <c r="AA127" s="48" t="s">
        <v>80</v>
      </c>
      <c r="AB127" s="48" t="s">
        <v>80</v>
      </c>
      <c r="AC127" s="48" t="s">
        <v>80</v>
      </c>
      <c r="AD127" s="48" t="s">
        <v>80</v>
      </c>
      <c r="AE127" s="48" t="s">
        <v>80</v>
      </c>
      <c r="AF127" s="48" t="s">
        <v>83</v>
      </c>
      <c r="AG127" s="48" t="s">
        <v>84</v>
      </c>
      <c r="AH127" s="48" t="s">
        <v>80</v>
      </c>
      <c r="AI127" s="48" t="s">
        <v>80</v>
      </c>
      <c r="AJ127" s="48" t="s">
        <v>80</v>
      </c>
      <c r="AK127" s="48" t="s">
        <v>80</v>
      </c>
      <c r="AL127" s="48" t="s">
        <v>80</v>
      </c>
      <c r="AM127" t="str">
        <f>VLOOKUP($R127,武学奇术!$A:$ZZ,25,FALSE)</f>
        <v>心法</v>
      </c>
      <c r="AN127" s="33">
        <f>VLOOKUP($R127,武学奇术!$A:$ZZ,26,FALSE)</f>
        <v>0</v>
      </c>
      <c r="AO127" s="34">
        <f>VLOOKUP($R127,武学奇术!$A:$ZZ,27,FALSE)*(1+IF(OR($AM127=$F$4,$AM127=$F$5),$B$22,0))</f>
        <v>0</v>
      </c>
      <c r="AP127" s="33">
        <f>VLOOKUP($R127,武学奇术!$A:$ZZ,28,FALSE)</f>
        <v>0</v>
      </c>
      <c r="AQ127" s="34">
        <f>VLOOKUP($R127,武学奇术!$A:$ZZ,29,FALSE)*(1+IF(OR($AM127=$F$4,$AM127=$F$5),$B$22,0))</f>
        <v>0</v>
      </c>
      <c r="AR127" s="33" cm="1">
        <f t="array" ref="AR127">$G$3+IFERROR(VLOOKUP($AM127,$F$4:$G$7,2,FALSE),0)+VLOOKUP($R127,武学奇术!$A:$ZZ,2,FALSE)+SUM(_xlfn.XLOOKUP($S127:$AL127,增益!$A:$A,增益!$B:$B,0))</f>
        <v>0.2342</v>
      </c>
      <c r="AS127" s="33" cm="1">
        <f t="array" ref="AS127">VLOOKUP($R127,武学奇术!$A:$ZZ,5,FALSE)+SUM(_xlfn.XLOOKUP($S127:$AL127,增益!$A:$A,增益!$E:$E,0))</f>
        <v>0</v>
      </c>
      <c r="AT127" cm="1">
        <f t="array" ref="AT127">$D$10*(1+$AS127)+VLOOKUP($R127,武学奇术!$A:$ZZ,3,FALSE)+SUM(_xlfn.XLOOKUP($S127:$AL127,增益!$A:$A,增益!$C:$C,0))-$I$2</f>
        <v>4026</v>
      </c>
      <c r="AU127" cm="1">
        <f t="array" ref="AU127">$E$10*(1+$AS127)+VLOOKUP($R127,武学奇术!$A:$ZZ,4,FALSE)+SUM(_xlfn.XLOOKUP($S127:$AL127,增益!$A:$A,增益!$D:$D,0))-$I$2</f>
        <v>4026</v>
      </c>
      <c r="AV127" s="40" cm="1">
        <f t="array" ref="AV127">IF($F$10-$I$3+VLOOKUP($R127,武学奇术!$A:$ZZ,6,FALSE)+SUM(_xlfn.XLOOKUP($S127:$AL127,增益!$A:$A,增益!$F:$F,0))&gt;0,($F$10-$I$3+VLOOKUP($R127,武学奇术!$A:$ZZ,6,FALSE)+SUM(_xlfn.XLOOKUP($S127:$AL127,增益!$A:$A,增益!$F:$F,0)))/200,($F$10-$I$3+VLOOKUP($R127,武学奇术!$A:$ZZ,6,FALSE)+SUM(_xlfn.XLOOKUP($S127:$AL127,增益!$A:$A,增益!$F:$F,0)))/100)</f>
        <v>0.2284</v>
      </c>
      <c r="AW127" s="40" cm="1">
        <f t="array" ref="AW127">$G$10+VLOOKUP($R127,武学奇术!$A:$ZZ,7,FALSE)+SUM(_xlfn.XLOOKUP($S127:$AL127,增益!$A:$A,增益!$G:$G,0))</f>
        <v>0</v>
      </c>
      <c r="AX127" s="33" cm="1">
        <f t="array" ref="AX127">VLOOKUP($R127,武学奇术!$A:$ZZ,8,FALSE)+SUM(_xlfn.XLOOKUP($S127:$AL127,增益!$A:$A,增益!$H:$H,0))</f>
        <v>0</v>
      </c>
      <c r="AY127">
        <f t="shared" si="15"/>
        <v>0</v>
      </c>
      <c r="AZ127">
        <f t="shared" si="16"/>
        <v>0</v>
      </c>
      <c r="BA127" s="40" cm="1">
        <f t="array" ref="BA127">IF($F$11-$I$4+VLOOKUP($R127,武学奇术!$A:$ZZ,9,FALSE)+SUM(_xlfn.XLOOKUP($S127:$AL127,增益!$A:$A,增益!$I:$I,0))&gt;0,($F$11-$I$4+VLOOKUP($R127,武学奇术!$A:$ZZ,9,FALSE)+SUM(_xlfn.XLOOKUP($S127:$AL127,增益!$A:$A,增益!$I:$I,0)))/200,($F$11-$I$4+VLOOKUP($R127,武学奇术!$A:$ZZ,9,FALSE)+SUM(_xlfn.XLOOKUP($S127:$AL127,增益!$A:$A,增益!$I:$I,0)))/100)</f>
        <v>-0.3</v>
      </c>
      <c r="BB127" s="40" cm="1">
        <f t="array" ref="BB127">$G$11+VLOOKUP($R127,武学奇术!$A:$ZZ,10,FALSE)+SUM(_xlfn.XLOOKUP($S127:$AL127,增益!$A:$A,增益!$J:$J,0))</f>
        <v>0</v>
      </c>
      <c r="BC127">
        <f t="shared" si="17"/>
        <v>640.3</v>
      </c>
      <c r="BD127">
        <f t="shared" si="18"/>
        <v>1770.1</v>
      </c>
      <c r="BE127" s="40" cm="1">
        <f t="array" ref="BE127">IF($F$12-$I$4+VLOOKUP($R127,武学奇术!$A:$ZZ,11,FALSE)+SUM(_xlfn.XLOOKUP($S127:$AL127,增益!$A:$A,增益!$K:$K,0))&gt;0,($F$12-$I$4+VLOOKUP($R127,武学奇术!$A:$ZZ,11,FALSE)+SUM(_xlfn.XLOOKUP($S127:$AL127,增益!$A:$A,增益!$K:$K,0)))/200,($F$12-$I$4+VLOOKUP($R127,武学奇术!$A:$ZZ,11,FALSE)+SUM(_xlfn.XLOOKUP($S127:$AL127,增益!$A:$A,增益!$K:$K,0)))/100)</f>
        <v>0.09</v>
      </c>
      <c r="BF127" s="40" cm="1">
        <f t="array" ref="BF127">$G$12+VLOOKUP($R127,武学奇术!$A:$ZZ,12,FALSE)+SUM(_xlfn.XLOOKUP($S127:$AL127,增益!$A:$A,增益!$L:$L,0))</f>
        <v>0.15</v>
      </c>
      <c r="BG127">
        <f t="shared" si="19"/>
        <v>0</v>
      </c>
      <c r="BH127">
        <f t="shared" si="20"/>
        <v>0</v>
      </c>
      <c r="BI127" s="40" cm="1">
        <f t="array" ref="BI127">IF($F$13-$I$4+VLOOKUP($R127,武学奇术!$A:$ZZ,13,FALSE)+SUM(_xlfn.XLOOKUP($S127:$AL127,增益!$A:$A,增益!$M:$M,0))&gt;0,($F$13-$I$4+VLOOKUP($R127,武学奇术!$A:$ZZ,13,FALSE)+SUM(_xlfn.XLOOKUP($S127:$AL127,增益!$A:$A,增益!$K:$K,0)))/200,($F$13-$I$4+VLOOKUP($R127,武学奇术!$A:$ZZ,13,FALSE)+SUM(_xlfn.XLOOKUP($S127:$AL127,增益!$A:$A,增益!$M:$M,0)))/100)</f>
        <v>-0.3</v>
      </c>
      <c r="BJ127" s="40" cm="1">
        <f t="array" ref="BJ127">$G$13+VLOOKUP($R127,武学奇术!$A:$ZZ,14,FALSE)+SUM(_xlfn.XLOOKUP($S127:$AL127,增益!$A:$A,增益!$N:$N,0))</f>
        <v>0</v>
      </c>
      <c r="BK127">
        <f t="shared" si="21"/>
        <v>0</v>
      </c>
      <c r="BL127">
        <f t="shared" si="22"/>
        <v>0</v>
      </c>
      <c r="BM127" s="40" cm="1">
        <f t="array" ref="BM127">IF($F$14-$I$4+VLOOKUP($R127,武学奇术!$A:$ZZ,15,FALSE)+SUM(_xlfn.XLOOKUP($S127:$AL127,增益!$A:$A,增益!$O:$O,0))&gt;0,($F$14-$I$4+VLOOKUP($R127,武学奇术!$A:$ZZ,15,FALSE)+SUM(_xlfn.XLOOKUP($S127:$AL127,增益!$A:$A,增益!$O:$O,0)))/200,($F$14-$I$4+VLOOKUP($R127,武学奇术!$A:$ZZ,15,FALSE)+SUM(_xlfn.XLOOKUP($S127:$AL127,增益!$A:$A,增益!$O:$O,0)))/100)</f>
        <v>-0.3</v>
      </c>
      <c r="BN127" s="40" cm="1">
        <f t="array" ref="BN127">$G$14+VLOOKUP($R127,武学奇术!$A:$ZZ,16,FALSE)+SUM(_xlfn.XLOOKUP($S127:$AL127,增益!$A:$A,增益!$P:$P,0))</f>
        <v>0</v>
      </c>
      <c r="BO127" s="33">
        <f>MIN(IF(VLOOKUP($R127,武学奇术!$A:$ZZ,23,FALSE)=1,100%,$B$8),100%)</f>
        <v>0.9771</v>
      </c>
      <c r="BP127" s="33" cm="1">
        <f t="array" ref="BP127">IF(VLOOKUP($R127,武学奇术!$A:$ZZ,23,FALSE)=1,100%,MIN(80%,$B$9+VLOOKUP($R127,武学奇术!$A:$ZZ,17,FALSE)+SUM(_xlfn.XLOOKUP($S127:$AL127,增益!$A:$A,增益!$Q:$Q,0)))+$B$11+SUM(_xlfn.XLOOKUP($S127:$AL127,增益!$A:$A,增益!$U:$U,0)))*IF(VLOOKUP($R127,武学奇术!$A:$ZZ,24,FALSE)=1,0,1)</f>
        <v>0.8861</v>
      </c>
      <c r="BQ127" s="33" cm="1">
        <f t="array" ref="BQ127">1+$B$13+VLOOKUP($R127,武学奇术!$A:$ZZ,18,FALSE)+SUM(_xlfn.XLOOKUP($S127:$AL127,增益!$A:$A,增益!$R:$R,0))</f>
        <v>1.54</v>
      </c>
      <c r="BR127" s="33" cm="1">
        <f t="array" ref="BR127">IF(VLOOKUP($R127,武学奇术!$A:$ZZ,24,FALSE)=1,100%,MIN(40%,$B$10+VLOOKUP($R127,武学奇术!$A:$ZZ,19,FALSE)+SUM(_xlfn.XLOOKUP($S127:$AL127,增益!$A:$A,增益!$S:$S,0)))+$B$12+SUM(_xlfn.XLOOKUP($S127:$AL127,增益!$A:$A,增益!$V:$V,0)))*IF(VLOOKUP($R127,武学奇术!$A:$ZZ,23,FALSE)=1,0,1)</f>
        <v>0.0913</v>
      </c>
      <c r="BS127" s="33" cm="1">
        <f t="array" ref="BS127">1+$B$14+VLOOKUP($R127,武学奇术!$A:$ZZ,20,FALSE)+SUM(_xlfn.XLOOKUP($S127:$AL127,增益!$A:$A,增益!$T:$T,0))</f>
        <v>1.35</v>
      </c>
      <c r="BT127" s="33">
        <f t="shared" si="23"/>
        <v>0.86580831</v>
      </c>
      <c r="BU127" s="33">
        <f t="shared" si="24"/>
        <v>0.02208246</v>
      </c>
      <c r="BV127" s="33">
        <f>IF(VLOOKUP($R127,武学奇术!$A:$ZZ,22,FALSE)=1,0,(1-$BO127))*(1-$BR127)</f>
        <v>0.02080923</v>
      </c>
      <c r="BW127" s="33" cm="1">
        <f t="array" ref="BW127">SUM(_xlfn.XLOOKUP($S127:$AL127,增益!$A:$A,增益!$W:$W,0))+$I$5</f>
        <v>0.11</v>
      </c>
      <c r="BX127" s="33" cm="1">
        <f t="array" ref="BX127">VLOOKUP($R127,武学奇术!$A:$ZZ,32,FALSE)+SUM(_xlfn.XLOOKUP($S127:$AL127,增益!$A:$A,增益!$X:$X,0))</f>
        <v>0</v>
      </c>
    </row>
    <row r="128" spans="12:76">
      <c r="L128" s="46">
        <f t="shared" si="14"/>
        <v>0</v>
      </c>
      <c r="M128" s="46">
        <f>((($AT128+$AU128)/2*$AN128+$AO128)*(1+$AV128)*(1+$AW128)+(($AY128+$AZ128)/2*IF($G$1="鸣金",$AP128,$AN128)+IF($G$1="鸣金",$AQ128*1.5,0))*(1+$BA128)*(1+$BB128)+(($BC128+$BD128)/2*IF($G$1="裂石",$AP128,$AN128)+IF($G$1="裂石",$AQ128*1.5,0))*(1+$BE128)*(1+$BF128)+(($BG128+$BH128)/2*IF($G$1="牵丝",$AP128,$AN128)+IF($G$1="牵丝",$AQ128*1.5,0))*(1+$BI128)*(1+$BJ128)+(($BK128+$BL128)/2*IF($G$1="破竹",$AP128,$AN128)+IF($G$1="破竹",$AQ128*1.5,0))*(1+$BM128)*(1+$BN128))*(1+$AR128)*$BQ128*$Q128*(1+IF(VLOOKUP($R128,武学奇术!$A:$ZZ,30,FALSE)="蓄力技",$B$21,0))*(1+IF(VLOOKUP($R128,武学奇术!$A:$ZZ,30,FALSE)="派生技",$B$20,0))*(1+$BW128)*(1+$BX128)</f>
        <v>0</v>
      </c>
      <c r="N128" s="46">
        <f>(($AU128*$AN128+$AO128)*(1+$AV128)*(1+$AW128)+($AZ128*IF($G$1="鸣金",$AP128,$AN128)+IF($G$1="鸣金",$AQ128*1.5,0))*(1+$BA128)*(1+$BB128)+($BD128*IF($G$1="裂石",$AP128,$AN128)+IF($G$1="裂石",$AQ128*1.5,0))*(1+$BE128)*(1+$BF128)+($BH128*IF($G$1="牵丝",$AP128,$AN128)+IF($G$1="牵丝",$AQ128*1.5,0))*(1+$BI128)*(1+$BJ128)+($BL128*IF($G$1="破竹",$AP128,$AN128)+IF($G$1="破竹",$AQ128*1.5,0))*(1+$BM128)*(1+$BN128))*(1+$AR128)*$BS128*$Q128*(1+IF(VLOOKUP($R128,武学奇术!$A:$ZZ,30,FALSE)="蓄力技",$B$21,0))*(1+IF(VLOOKUP($R128,武学奇术!$A:$ZZ,30,FALSE)="派生技",$B$20,0))*(1+$BW128)*(1+$BX128)</f>
        <v>0</v>
      </c>
      <c r="O128" s="46">
        <f>((($AT128+$AU128)/2*$AN128+$AO128)*(1+$AV128)*(1+$AW128)+(($AY128+$AZ128)/2*IF($G$1="鸣金",$AP128,$AN128)+IF($G$1="鸣金",$AQ128*1.5,0))*(1+$BA128)*(1+$BB128)+(($BC128+$BD128)/2*IF($G$1="裂石",$AP128,$AN128)+IF($G$1="裂石",$AQ128*1.5,0))*(1+$BE128)*(1+$BF128)+(($BG128+$BH128)/2*IF($G$1="牵丝",$AP128,$AN128)+IF($G$1="牵丝",$AQ128*1.5,0))*(1+$BI128)*(1+$BJ128)+(($BK128+$BL128)/2*IF($G$1="破竹",$AP128,$AN128)+IF($G$1="破竹",$AQ128*1.5,0))*(1+$BM128)*(1+$BN128))*(1+$AR128)*$Q128*(1+IF(VLOOKUP($R128,武学奇术!$A:$ZZ,30,FALSE)="蓄力技",$B$21,0))*(1+IF(VLOOKUP($R128,武学奇术!$A:$ZZ,30,FALSE)="派生技",$B$20,0))*(1+$BW128)*(1+$BX128)</f>
        <v>0</v>
      </c>
      <c r="P128" s="46">
        <f>((($AT128*$AN128+$AO128)*(1+$AV128)*(1+$AW128)+($AY128*IF($G$1="鸣金",$AP128,$AN128)+IF($G$1="鸣金",$AQ128*1.5,0))*(1+$BA128)*(1+$BB128)+($BC128*IF($G$1="裂石",$AP128,$AN128)+IF($G$1="裂石",$AQ128*1.5,0))*(1+$BE128)*(1+$BF128)+($BG128*IF($G$1="牵丝",$AP128,$AN128)+IF($G$1="牵丝",$AQ128*1.5,0))*(1+$BI128)*(1+$BJ128)+($BK128*IF($G$1="破竹",$AP128,$AN128)+IF($G$1="破竹",$AQ128*1.5,0))*(1+$BM128)*(1+$BN128))*(1+$AR128))*$Q128*(1+IF(VLOOKUP($R128,武学奇术!$A:$ZZ,30,FALSE)="蓄力技",$B$21,0))*(1+IF(VLOOKUP($R128,武学奇术!$A:$ZZ,30,FALSE)="派生技",$B$20,0))*(1+$BW128)*(1+$BX128)</f>
        <v>0</v>
      </c>
      <c r="Q128" s="47">
        <v>1</v>
      </c>
      <c r="R128" s="48" t="s">
        <v>80</v>
      </c>
      <c r="S128" s="48" t="s">
        <v>80</v>
      </c>
      <c r="T128" s="48" t="s">
        <v>80</v>
      </c>
      <c r="U128" s="48" t="s">
        <v>80</v>
      </c>
      <c r="V128" s="48" t="s">
        <v>80</v>
      </c>
      <c r="W128" s="48" t="s">
        <v>80</v>
      </c>
      <c r="X128" s="48" t="s">
        <v>80</v>
      </c>
      <c r="Y128" s="48" t="s">
        <v>80</v>
      </c>
      <c r="Z128" s="48" t="s">
        <v>80</v>
      </c>
      <c r="AA128" s="48" t="s">
        <v>80</v>
      </c>
      <c r="AB128" s="48" t="s">
        <v>80</v>
      </c>
      <c r="AC128" s="48" t="s">
        <v>80</v>
      </c>
      <c r="AD128" s="48" t="s">
        <v>80</v>
      </c>
      <c r="AE128" s="48" t="s">
        <v>80</v>
      </c>
      <c r="AF128" s="48" t="s">
        <v>83</v>
      </c>
      <c r="AG128" s="48" t="s">
        <v>84</v>
      </c>
      <c r="AH128" s="48" t="s">
        <v>80</v>
      </c>
      <c r="AI128" s="48" t="s">
        <v>80</v>
      </c>
      <c r="AJ128" s="48" t="s">
        <v>80</v>
      </c>
      <c r="AK128" s="48" t="s">
        <v>80</v>
      </c>
      <c r="AL128" s="48" t="s">
        <v>80</v>
      </c>
      <c r="AM128" t="str">
        <f>VLOOKUP($R128,武学奇术!$A:$ZZ,25,FALSE)</f>
        <v>心法</v>
      </c>
      <c r="AN128" s="33">
        <f>VLOOKUP($R128,武学奇术!$A:$ZZ,26,FALSE)</f>
        <v>0</v>
      </c>
      <c r="AO128" s="34">
        <f>VLOOKUP($R128,武学奇术!$A:$ZZ,27,FALSE)*(1+IF(OR($AM128=$F$4,$AM128=$F$5),$B$22,0))</f>
        <v>0</v>
      </c>
      <c r="AP128" s="33">
        <f>VLOOKUP($R128,武学奇术!$A:$ZZ,28,FALSE)</f>
        <v>0</v>
      </c>
      <c r="AQ128" s="34">
        <f>VLOOKUP($R128,武学奇术!$A:$ZZ,29,FALSE)*(1+IF(OR($AM128=$F$4,$AM128=$F$5),$B$22,0))</f>
        <v>0</v>
      </c>
      <c r="AR128" s="33" cm="1">
        <f t="array" ref="AR128">$G$3+IFERROR(VLOOKUP($AM128,$F$4:$G$7,2,FALSE),0)+VLOOKUP($R128,武学奇术!$A:$ZZ,2,FALSE)+SUM(_xlfn.XLOOKUP($S128:$AL128,增益!$A:$A,增益!$B:$B,0))</f>
        <v>0.2342</v>
      </c>
      <c r="AS128" s="33" cm="1">
        <f t="array" ref="AS128">VLOOKUP($R128,武学奇术!$A:$ZZ,5,FALSE)+SUM(_xlfn.XLOOKUP($S128:$AL128,增益!$A:$A,增益!$E:$E,0))</f>
        <v>0</v>
      </c>
      <c r="AT128" cm="1">
        <f t="array" ref="AT128">$D$10*(1+$AS128)+VLOOKUP($R128,武学奇术!$A:$ZZ,3,FALSE)+SUM(_xlfn.XLOOKUP($S128:$AL128,增益!$A:$A,增益!$C:$C,0))-$I$2</f>
        <v>4026</v>
      </c>
      <c r="AU128" cm="1">
        <f t="array" ref="AU128">$E$10*(1+$AS128)+VLOOKUP($R128,武学奇术!$A:$ZZ,4,FALSE)+SUM(_xlfn.XLOOKUP($S128:$AL128,增益!$A:$A,增益!$D:$D,0))-$I$2</f>
        <v>4026</v>
      </c>
      <c r="AV128" s="40" cm="1">
        <f t="array" ref="AV128">IF($F$10-$I$3+VLOOKUP($R128,武学奇术!$A:$ZZ,6,FALSE)+SUM(_xlfn.XLOOKUP($S128:$AL128,增益!$A:$A,增益!$F:$F,0))&gt;0,($F$10-$I$3+VLOOKUP($R128,武学奇术!$A:$ZZ,6,FALSE)+SUM(_xlfn.XLOOKUP($S128:$AL128,增益!$A:$A,增益!$F:$F,0)))/200,($F$10-$I$3+VLOOKUP($R128,武学奇术!$A:$ZZ,6,FALSE)+SUM(_xlfn.XLOOKUP($S128:$AL128,增益!$A:$A,增益!$F:$F,0)))/100)</f>
        <v>0.2284</v>
      </c>
      <c r="AW128" s="40" cm="1">
        <f t="array" ref="AW128">$G$10+VLOOKUP($R128,武学奇术!$A:$ZZ,7,FALSE)+SUM(_xlfn.XLOOKUP($S128:$AL128,增益!$A:$A,增益!$G:$G,0))</f>
        <v>0</v>
      </c>
      <c r="AX128" s="33" cm="1">
        <f t="array" ref="AX128">VLOOKUP($R128,武学奇术!$A:$ZZ,8,FALSE)+SUM(_xlfn.XLOOKUP($S128:$AL128,增益!$A:$A,增益!$H:$H,0))</f>
        <v>0</v>
      </c>
      <c r="AY128">
        <f t="shared" si="15"/>
        <v>0</v>
      </c>
      <c r="AZ128">
        <f t="shared" si="16"/>
        <v>0</v>
      </c>
      <c r="BA128" s="40" cm="1">
        <f t="array" ref="BA128">IF($F$11-$I$4+VLOOKUP($R128,武学奇术!$A:$ZZ,9,FALSE)+SUM(_xlfn.XLOOKUP($S128:$AL128,增益!$A:$A,增益!$I:$I,0))&gt;0,($F$11-$I$4+VLOOKUP($R128,武学奇术!$A:$ZZ,9,FALSE)+SUM(_xlfn.XLOOKUP($S128:$AL128,增益!$A:$A,增益!$I:$I,0)))/200,($F$11-$I$4+VLOOKUP($R128,武学奇术!$A:$ZZ,9,FALSE)+SUM(_xlfn.XLOOKUP($S128:$AL128,增益!$A:$A,增益!$I:$I,0)))/100)</f>
        <v>-0.3</v>
      </c>
      <c r="BB128" s="40" cm="1">
        <f t="array" ref="BB128">$G$11+VLOOKUP($R128,武学奇术!$A:$ZZ,10,FALSE)+SUM(_xlfn.XLOOKUP($S128:$AL128,增益!$A:$A,增益!$J:$J,0))</f>
        <v>0</v>
      </c>
      <c r="BC128">
        <f t="shared" si="17"/>
        <v>640.3</v>
      </c>
      <c r="BD128">
        <f t="shared" si="18"/>
        <v>1770.1</v>
      </c>
      <c r="BE128" s="40" cm="1">
        <f t="array" ref="BE128">IF($F$12-$I$4+VLOOKUP($R128,武学奇术!$A:$ZZ,11,FALSE)+SUM(_xlfn.XLOOKUP($S128:$AL128,增益!$A:$A,增益!$K:$K,0))&gt;0,($F$12-$I$4+VLOOKUP($R128,武学奇术!$A:$ZZ,11,FALSE)+SUM(_xlfn.XLOOKUP($S128:$AL128,增益!$A:$A,增益!$K:$K,0)))/200,($F$12-$I$4+VLOOKUP($R128,武学奇术!$A:$ZZ,11,FALSE)+SUM(_xlfn.XLOOKUP($S128:$AL128,增益!$A:$A,增益!$K:$K,0)))/100)</f>
        <v>0.09</v>
      </c>
      <c r="BF128" s="40" cm="1">
        <f t="array" ref="BF128">$G$12+VLOOKUP($R128,武学奇术!$A:$ZZ,12,FALSE)+SUM(_xlfn.XLOOKUP($S128:$AL128,增益!$A:$A,增益!$L:$L,0))</f>
        <v>0.15</v>
      </c>
      <c r="BG128">
        <f t="shared" si="19"/>
        <v>0</v>
      </c>
      <c r="BH128">
        <f t="shared" si="20"/>
        <v>0</v>
      </c>
      <c r="BI128" s="40" cm="1">
        <f t="array" ref="BI128">IF($F$13-$I$4+VLOOKUP($R128,武学奇术!$A:$ZZ,13,FALSE)+SUM(_xlfn.XLOOKUP($S128:$AL128,增益!$A:$A,增益!$M:$M,0))&gt;0,($F$13-$I$4+VLOOKUP($R128,武学奇术!$A:$ZZ,13,FALSE)+SUM(_xlfn.XLOOKUP($S128:$AL128,增益!$A:$A,增益!$K:$K,0)))/200,($F$13-$I$4+VLOOKUP($R128,武学奇术!$A:$ZZ,13,FALSE)+SUM(_xlfn.XLOOKUP($S128:$AL128,增益!$A:$A,增益!$M:$M,0)))/100)</f>
        <v>-0.3</v>
      </c>
      <c r="BJ128" s="40" cm="1">
        <f t="array" ref="BJ128">$G$13+VLOOKUP($R128,武学奇术!$A:$ZZ,14,FALSE)+SUM(_xlfn.XLOOKUP($S128:$AL128,增益!$A:$A,增益!$N:$N,0))</f>
        <v>0</v>
      </c>
      <c r="BK128">
        <f t="shared" si="21"/>
        <v>0</v>
      </c>
      <c r="BL128">
        <f t="shared" si="22"/>
        <v>0</v>
      </c>
      <c r="BM128" s="40" cm="1">
        <f t="array" ref="BM128">IF($F$14-$I$4+VLOOKUP($R128,武学奇术!$A:$ZZ,15,FALSE)+SUM(_xlfn.XLOOKUP($S128:$AL128,增益!$A:$A,增益!$O:$O,0))&gt;0,($F$14-$I$4+VLOOKUP($R128,武学奇术!$A:$ZZ,15,FALSE)+SUM(_xlfn.XLOOKUP($S128:$AL128,增益!$A:$A,增益!$O:$O,0)))/200,($F$14-$I$4+VLOOKUP($R128,武学奇术!$A:$ZZ,15,FALSE)+SUM(_xlfn.XLOOKUP($S128:$AL128,增益!$A:$A,增益!$O:$O,0)))/100)</f>
        <v>-0.3</v>
      </c>
      <c r="BN128" s="40" cm="1">
        <f t="array" ref="BN128">$G$14+VLOOKUP($R128,武学奇术!$A:$ZZ,16,FALSE)+SUM(_xlfn.XLOOKUP($S128:$AL128,增益!$A:$A,增益!$P:$P,0))</f>
        <v>0</v>
      </c>
      <c r="BO128" s="33">
        <f>MIN(IF(VLOOKUP($R128,武学奇术!$A:$ZZ,23,FALSE)=1,100%,$B$8),100%)</f>
        <v>0.9771</v>
      </c>
      <c r="BP128" s="33" cm="1">
        <f t="array" ref="BP128">IF(VLOOKUP($R128,武学奇术!$A:$ZZ,23,FALSE)=1,100%,MIN(80%,$B$9+VLOOKUP($R128,武学奇术!$A:$ZZ,17,FALSE)+SUM(_xlfn.XLOOKUP($S128:$AL128,增益!$A:$A,增益!$Q:$Q,0)))+$B$11+SUM(_xlfn.XLOOKUP($S128:$AL128,增益!$A:$A,增益!$U:$U,0)))*IF(VLOOKUP($R128,武学奇术!$A:$ZZ,24,FALSE)=1,0,1)</f>
        <v>0.8861</v>
      </c>
      <c r="BQ128" s="33" cm="1">
        <f t="array" ref="BQ128">1+$B$13+VLOOKUP($R128,武学奇术!$A:$ZZ,18,FALSE)+SUM(_xlfn.XLOOKUP($S128:$AL128,增益!$A:$A,增益!$R:$R,0))</f>
        <v>1.54</v>
      </c>
      <c r="BR128" s="33" cm="1">
        <f t="array" ref="BR128">IF(VLOOKUP($R128,武学奇术!$A:$ZZ,24,FALSE)=1,100%,MIN(40%,$B$10+VLOOKUP($R128,武学奇术!$A:$ZZ,19,FALSE)+SUM(_xlfn.XLOOKUP($S128:$AL128,增益!$A:$A,增益!$S:$S,0)))+$B$12+SUM(_xlfn.XLOOKUP($S128:$AL128,增益!$A:$A,增益!$V:$V,0)))*IF(VLOOKUP($R128,武学奇术!$A:$ZZ,23,FALSE)=1,0,1)</f>
        <v>0.0913</v>
      </c>
      <c r="BS128" s="33" cm="1">
        <f t="array" ref="BS128">1+$B$14+VLOOKUP($R128,武学奇术!$A:$ZZ,20,FALSE)+SUM(_xlfn.XLOOKUP($S128:$AL128,增益!$A:$A,增益!$T:$T,0))</f>
        <v>1.35</v>
      </c>
      <c r="BT128" s="33">
        <f t="shared" si="23"/>
        <v>0.86580831</v>
      </c>
      <c r="BU128" s="33">
        <f t="shared" si="24"/>
        <v>0.02208246</v>
      </c>
      <c r="BV128" s="33">
        <f>IF(VLOOKUP($R128,武学奇术!$A:$ZZ,22,FALSE)=1,0,(1-$BO128))*(1-$BR128)</f>
        <v>0.02080923</v>
      </c>
      <c r="BW128" s="33" cm="1">
        <f t="array" ref="BW128">SUM(_xlfn.XLOOKUP($S128:$AL128,增益!$A:$A,增益!$W:$W,0))+$I$5</f>
        <v>0.11</v>
      </c>
      <c r="BX128" s="33" cm="1">
        <f t="array" ref="BX128">VLOOKUP($R128,武学奇术!$A:$ZZ,32,FALSE)+SUM(_xlfn.XLOOKUP($S128:$AL128,增益!$A:$A,增益!$X:$X,0))</f>
        <v>0</v>
      </c>
    </row>
    <row r="129" spans="12:76">
      <c r="L129" s="46">
        <f t="shared" si="14"/>
        <v>0</v>
      </c>
      <c r="M129" s="46">
        <f>((($AT129+$AU129)/2*$AN129+$AO129)*(1+$AV129)*(1+$AW129)+(($AY129+$AZ129)/2*IF($G$1="鸣金",$AP129,$AN129)+IF($G$1="鸣金",$AQ129*1.5,0))*(1+$BA129)*(1+$BB129)+(($BC129+$BD129)/2*IF($G$1="裂石",$AP129,$AN129)+IF($G$1="裂石",$AQ129*1.5,0))*(1+$BE129)*(1+$BF129)+(($BG129+$BH129)/2*IF($G$1="牵丝",$AP129,$AN129)+IF($G$1="牵丝",$AQ129*1.5,0))*(1+$BI129)*(1+$BJ129)+(($BK129+$BL129)/2*IF($G$1="破竹",$AP129,$AN129)+IF($G$1="破竹",$AQ129*1.5,0))*(1+$BM129)*(1+$BN129))*(1+$AR129)*$BQ129*$Q129*(1+IF(VLOOKUP($R129,武学奇术!$A:$ZZ,30,FALSE)="蓄力技",$B$21,0))*(1+IF(VLOOKUP($R129,武学奇术!$A:$ZZ,30,FALSE)="派生技",$B$20,0))*(1+$BW129)*(1+$BX129)</f>
        <v>0</v>
      </c>
      <c r="N129" s="46">
        <f>(($AU129*$AN129+$AO129)*(1+$AV129)*(1+$AW129)+($AZ129*IF($G$1="鸣金",$AP129,$AN129)+IF($G$1="鸣金",$AQ129*1.5,0))*(1+$BA129)*(1+$BB129)+($BD129*IF($G$1="裂石",$AP129,$AN129)+IF($G$1="裂石",$AQ129*1.5,0))*(1+$BE129)*(1+$BF129)+($BH129*IF($G$1="牵丝",$AP129,$AN129)+IF($G$1="牵丝",$AQ129*1.5,0))*(1+$BI129)*(1+$BJ129)+($BL129*IF($G$1="破竹",$AP129,$AN129)+IF($G$1="破竹",$AQ129*1.5,0))*(1+$BM129)*(1+$BN129))*(1+$AR129)*$BS129*$Q129*(1+IF(VLOOKUP($R129,武学奇术!$A:$ZZ,30,FALSE)="蓄力技",$B$21,0))*(1+IF(VLOOKUP($R129,武学奇术!$A:$ZZ,30,FALSE)="派生技",$B$20,0))*(1+$BW129)*(1+$BX129)</f>
        <v>0</v>
      </c>
      <c r="O129" s="46">
        <f>((($AT129+$AU129)/2*$AN129+$AO129)*(1+$AV129)*(1+$AW129)+(($AY129+$AZ129)/2*IF($G$1="鸣金",$AP129,$AN129)+IF($G$1="鸣金",$AQ129*1.5,0))*(1+$BA129)*(1+$BB129)+(($BC129+$BD129)/2*IF($G$1="裂石",$AP129,$AN129)+IF($G$1="裂石",$AQ129*1.5,0))*(1+$BE129)*(1+$BF129)+(($BG129+$BH129)/2*IF($G$1="牵丝",$AP129,$AN129)+IF($G$1="牵丝",$AQ129*1.5,0))*(1+$BI129)*(1+$BJ129)+(($BK129+$BL129)/2*IF($G$1="破竹",$AP129,$AN129)+IF($G$1="破竹",$AQ129*1.5,0))*(1+$BM129)*(1+$BN129))*(1+$AR129)*$Q129*(1+IF(VLOOKUP($R129,武学奇术!$A:$ZZ,30,FALSE)="蓄力技",$B$21,0))*(1+IF(VLOOKUP($R129,武学奇术!$A:$ZZ,30,FALSE)="派生技",$B$20,0))*(1+$BW129)*(1+$BX129)</f>
        <v>0</v>
      </c>
      <c r="P129" s="46">
        <f>((($AT129*$AN129+$AO129)*(1+$AV129)*(1+$AW129)+($AY129*IF($G$1="鸣金",$AP129,$AN129)+IF($G$1="鸣金",$AQ129*1.5,0))*(1+$BA129)*(1+$BB129)+($BC129*IF($G$1="裂石",$AP129,$AN129)+IF($G$1="裂石",$AQ129*1.5,0))*(1+$BE129)*(1+$BF129)+($BG129*IF($G$1="牵丝",$AP129,$AN129)+IF($G$1="牵丝",$AQ129*1.5,0))*(1+$BI129)*(1+$BJ129)+($BK129*IF($G$1="破竹",$AP129,$AN129)+IF($G$1="破竹",$AQ129*1.5,0))*(1+$BM129)*(1+$BN129))*(1+$AR129))*$Q129*(1+IF(VLOOKUP($R129,武学奇术!$A:$ZZ,30,FALSE)="蓄力技",$B$21,0))*(1+IF(VLOOKUP($R129,武学奇术!$A:$ZZ,30,FALSE)="派生技",$B$20,0))*(1+$BW129)*(1+$BX129)</f>
        <v>0</v>
      </c>
      <c r="Q129" s="47">
        <f t="shared" ref="Q129:Q141" si="32">IF($E$24="唐刀",1,0)</f>
        <v>0</v>
      </c>
      <c r="R129" s="48" t="s">
        <v>76</v>
      </c>
      <c r="S129" s="48" t="s">
        <v>117</v>
      </c>
      <c r="T129" s="48" t="s">
        <v>78</v>
      </c>
      <c r="U129" s="48" t="s">
        <v>80</v>
      </c>
      <c r="V129" s="48" t="s">
        <v>80</v>
      </c>
      <c r="W129" s="48" t="s">
        <v>80</v>
      </c>
      <c r="X129" s="48" t="s">
        <v>80</v>
      </c>
      <c r="Y129" s="48" t="s">
        <v>80</v>
      </c>
      <c r="Z129" s="48" t="s">
        <v>81</v>
      </c>
      <c r="AA129" s="48" t="s">
        <v>80</v>
      </c>
      <c r="AB129" s="48" t="s">
        <v>80</v>
      </c>
      <c r="AC129" s="48" t="s">
        <v>80</v>
      </c>
      <c r="AD129" s="48" t="s">
        <v>80</v>
      </c>
      <c r="AE129" s="48" t="s">
        <v>80</v>
      </c>
      <c r="AF129" s="48" t="s">
        <v>83</v>
      </c>
      <c r="AG129" s="48" t="s">
        <v>84</v>
      </c>
      <c r="AH129" s="48" t="s">
        <v>80</v>
      </c>
      <c r="AI129" s="48" t="s">
        <v>80</v>
      </c>
      <c r="AJ129" s="48" t="s">
        <v>80</v>
      </c>
      <c r="AK129" s="48" t="s">
        <v>80</v>
      </c>
      <c r="AL129" s="48" t="s">
        <v>80</v>
      </c>
      <c r="AM129" t="str">
        <f>VLOOKUP($R129,武学奇术!$A:$ZZ,25,FALSE)</f>
        <v>群体奇术</v>
      </c>
      <c r="AN129" s="33">
        <f>VLOOKUP($R129,武学奇术!$A:$ZZ,26,FALSE)</f>
        <v>1.4906</v>
      </c>
      <c r="AO129" s="34">
        <f>VLOOKUP($R129,武学奇术!$A:$ZZ,27,FALSE)*(1+IF(OR($AM129=$F$4,$AM129=$F$5),$B$22,0))</f>
        <v>386</v>
      </c>
      <c r="AP129" s="33">
        <f>VLOOKUP($R129,武学奇术!$A:$ZZ,28,FALSE)</f>
        <v>2.2359</v>
      </c>
      <c r="AQ129" s="34">
        <f>VLOOKUP($R129,武学奇术!$A:$ZZ,29,FALSE)*(1+IF(OR($AM129=$F$4,$AM129=$F$5),$B$22,0))</f>
        <v>0</v>
      </c>
      <c r="AR129" s="33" cm="1">
        <f t="array" ref="AR129">$G$3+IFERROR(VLOOKUP($AM129,$F$4:$G$7,2,FALSE),0)+VLOOKUP($R129,武学奇术!$A:$ZZ,2,FALSE)+SUM(_xlfn.XLOOKUP($S129:$AL129,增益!$A:$A,增益!$B:$B,0))</f>
        <v>0.2642</v>
      </c>
      <c r="AS129" s="33" cm="1">
        <f t="array" ref="AS129">VLOOKUP($R129,武学奇术!$A:$ZZ,5,FALSE)+SUM(_xlfn.XLOOKUP($S129:$AL129,增益!$A:$A,增益!$E:$E,0))</f>
        <v>0</v>
      </c>
      <c r="AT129" cm="1">
        <f t="array" ref="AT129">$D$10*(1+$AS129)+VLOOKUP($R129,武学奇术!$A:$ZZ,3,FALSE)+SUM(_xlfn.XLOOKUP($S129:$AL129,增益!$A:$A,增益!$C:$C,0))-$I$2</f>
        <v>4026</v>
      </c>
      <c r="AU129" cm="1">
        <f t="array" ref="AU129">$E$10*(1+$AS129)+VLOOKUP($R129,武学奇术!$A:$ZZ,4,FALSE)+SUM(_xlfn.XLOOKUP($S129:$AL129,增益!$A:$A,增益!$D:$D,0))-$I$2</f>
        <v>4026</v>
      </c>
      <c r="AV129" s="40" cm="1">
        <f t="array" ref="AV129">IF($F$10-$I$3+VLOOKUP($R129,武学奇术!$A:$ZZ,6,FALSE)+SUM(_xlfn.XLOOKUP($S129:$AL129,增益!$A:$A,增益!$F:$F,0))&gt;0,($F$10-$I$3+VLOOKUP($R129,武学奇术!$A:$ZZ,6,FALSE)+SUM(_xlfn.XLOOKUP($S129:$AL129,增益!$A:$A,增益!$F:$F,0)))/200,($F$10-$I$3+VLOOKUP($R129,武学奇术!$A:$ZZ,6,FALSE)+SUM(_xlfn.XLOOKUP($S129:$AL129,增益!$A:$A,增益!$F:$F,0)))/100)</f>
        <v>0.2384</v>
      </c>
      <c r="AW129" s="40" cm="1">
        <f t="array" ref="AW129">$G$10+VLOOKUP($R129,武学奇术!$A:$ZZ,7,FALSE)+SUM(_xlfn.XLOOKUP($S129:$AL129,增益!$A:$A,增益!$G:$G,0))</f>
        <v>0</v>
      </c>
      <c r="AX129" s="33" cm="1">
        <f t="array" ref="AX129">VLOOKUP($R129,武学奇术!$A:$ZZ,8,FALSE)+SUM(_xlfn.XLOOKUP($S129:$AL129,增益!$A:$A,增益!$H:$H,0))</f>
        <v>0</v>
      </c>
      <c r="AY129">
        <f t="shared" si="15"/>
        <v>0</v>
      </c>
      <c r="AZ129">
        <f t="shared" si="16"/>
        <v>0</v>
      </c>
      <c r="BA129" s="40" cm="1">
        <f t="array" ref="BA129">IF($F$11-$I$4+VLOOKUP($R129,武学奇术!$A:$ZZ,9,FALSE)+SUM(_xlfn.XLOOKUP($S129:$AL129,增益!$A:$A,增益!$I:$I,0))&gt;0,($F$11-$I$4+VLOOKUP($R129,武学奇术!$A:$ZZ,9,FALSE)+SUM(_xlfn.XLOOKUP($S129:$AL129,增益!$A:$A,增益!$I:$I,0)))/200,($F$11-$I$4+VLOOKUP($R129,武学奇术!$A:$ZZ,9,FALSE)+SUM(_xlfn.XLOOKUP($S129:$AL129,增益!$A:$A,增益!$I:$I,0)))/100)</f>
        <v>-0.3</v>
      </c>
      <c r="BB129" s="40" cm="1">
        <f t="array" ref="BB129">$G$11+VLOOKUP($R129,武学奇术!$A:$ZZ,10,FALSE)+SUM(_xlfn.XLOOKUP($S129:$AL129,增益!$A:$A,增益!$J:$J,0))</f>
        <v>0</v>
      </c>
      <c r="BC129">
        <f t="shared" si="17"/>
        <v>640.3</v>
      </c>
      <c r="BD129">
        <f t="shared" si="18"/>
        <v>1770.1</v>
      </c>
      <c r="BE129" s="40" cm="1">
        <f t="array" ref="BE129">IF($F$12-$I$4+VLOOKUP($R129,武学奇术!$A:$ZZ,11,FALSE)+SUM(_xlfn.XLOOKUP($S129:$AL129,增益!$A:$A,增益!$K:$K,0))&gt;0,($F$12-$I$4+VLOOKUP($R129,武学奇术!$A:$ZZ,11,FALSE)+SUM(_xlfn.XLOOKUP($S129:$AL129,增益!$A:$A,增益!$K:$K,0)))/200,($F$12-$I$4+VLOOKUP($R129,武学奇术!$A:$ZZ,11,FALSE)+SUM(_xlfn.XLOOKUP($S129:$AL129,增益!$A:$A,增益!$K:$K,0)))/100)</f>
        <v>0.09</v>
      </c>
      <c r="BF129" s="40" cm="1">
        <f t="array" ref="BF129">$G$12+VLOOKUP($R129,武学奇术!$A:$ZZ,12,FALSE)+SUM(_xlfn.XLOOKUP($S129:$AL129,增益!$A:$A,增益!$L:$L,0))</f>
        <v>0.15</v>
      </c>
      <c r="BG129">
        <f t="shared" si="19"/>
        <v>0</v>
      </c>
      <c r="BH129">
        <f t="shared" si="20"/>
        <v>0</v>
      </c>
      <c r="BI129" s="40" cm="1">
        <f t="array" ref="BI129">IF($F$13-$I$4+VLOOKUP($R129,武学奇术!$A:$ZZ,13,FALSE)+SUM(_xlfn.XLOOKUP($S129:$AL129,增益!$A:$A,增益!$M:$M,0))&gt;0,($F$13-$I$4+VLOOKUP($R129,武学奇术!$A:$ZZ,13,FALSE)+SUM(_xlfn.XLOOKUP($S129:$AL129,增益!$A:$A,增益!$K:$K,0)))/200,($F$13-$I$4+VLOOKUP($R129,武学奇术!$A:$ZZ,13,FALSE)+SUM(_xlfn.XLOOKUP($S129:$AL129,增益!$A:$A,增益!$M:$M,0)))/100)</f>
        <v>-0.3</v>
      </c>
      <c r="BJ129" s="40" cm="1">
        <f t="array" ref="BJ129">$G$13+VLOOKUP($R129,武学奇术!$A:$ZZ,14,FALSE)+SUM(_xlfn.XLOOKUP($S129:$AL129,增益!$A:$A,增益!$N:$N,0))</f>
        <v>0</v>
      </c>
      <c r="BK129">
        <f t="shared" si="21"/>
        <v>0</v>
      </c>
      <c r="BL129">
        <f t="shared" si="22"/>
        <v>0</v>
      </c>
      <c r="BM129" s="40" cm="1">
        <f t="array" ref="BM129">IF($F$14-$I$4+VLOOKUP($R129,武学奇术!$A:$ZZ,15,FALSE)+SUM(_xlfn.XLOOKUP($S129:$AL129,增益!$A:$A,增益!$O:$O,0))&gt;0,($F$14-$I$4+VLOOKUP($R129,武学奇术!$A:$ZZ,15,FALSE)+SUM(_xlfn.XLOOKUP($S129:$AL129,增益!$A:$A,增益!$O:$O,0)))/200,($F$14-$I$4+VLOOKUP($R129,武学奇术!$A:$ZZ,15,FALSE)+SUM(_xlfn.XLOOKUP($S129:$AL129,增益!$A:$A,增益!$O:$O,0)))/100)</f>
        <v>-0.3</v>
      </c>
      <c r="BN129" s="40" cm="1">
        <f t="array" ref="BN129">$G$14+VLOOKUP($R129,武学奇术!$A:$ZZ,16,FALSE)+SUM(_xlfn.XLOOKUP($S129:$AL129,增益!$A:$A,增益!$P:$P,0))</f>
        <v>0</v>
      </c>
      <c r="BO129" s="33">
        <f>MIN(IF(VLOOKUP($R129,武学奇术!$A:$ZZ,23,FALSE)=1,100%,$B$8),100%)</f>
        <v>0.9771</v>
      </c>
      <c r="BP129" s="33" cm="1">
        <f t="array" ref="BP129">IF(VLOOKUP($R129,武学奇术!$A:$ZZ,23,FALSE)=1,100%,MIN(80%,$B$9+VLOOKUP($R129,武学奇术!$A:$ZZ,17,FALSE)+SUM(_xlfn.XLOOKUP($S129:$AL129,增益!$A:$A,增益!$Q:$Q,0)))+$B$11+SUM(_xlfn.XLOOKUP($S129:$AL129,增益!$A:$A,增益!$U:$U,0)))*IF(VLOOKUP($R129,武学奇术!$A:$ZZ,24,FALSE)=1,0,1)</f>
        <v>0.8861</v>
      </c>
      <c r="BQ129" s="33" cm="1">
        <f t="array" ref="BQ129">1+$B$13+VLOOKUP($R129,武学奇术!$A:$ZZ,18,FALSE)+SUM(_xlfn.XLOOKUP($S129:$AL129,增益!$A:$A,增益!$R:$R,0))</f>
        <v>1.76</v>
      </c>
      <c r="BR129" s="33" cm="1">
        <f t="array" ref="BR129">IF(VLOOKUP($R129,武学奇术!$A:$ZZ,24,FALSE)=1,100%,MIN(40%,$B$10+VLOOKUP($R129,武学奇术!$A:$ZZ,19,FALSE)+SUM(_xlfn.XLOOKUP($S129:$AL129,增益!$A:$A,增益!$S:$S,0)))+$B$12+SUM(_xlfn.XLOOKUP($S129:$AL129,增益!$A:$A,增益!$V:$V,0)))*IF(VLOOKUP($R129,武学奇术!$A:$ZZ,23,FALSE)=1,0,1)</f>
        <v>0.0913</v>
      </c>
      <c r="BS129" s="33" cm="1">
        <f t="array" ref="BS129">1+$B$14+VLOOKUP($R129,武学奇术!$A:$ZZ,20,FALSE)+SUM(_xlfn.XLOOKUP($S129:$AL129,增益!$A:$A,增益!$T:$T,0))</f>
        <v>1.35</v>
      </c>
      <c r="BT129" s="33">
        <f t="shared" si="23"/>
        <v>0.86580831</v>
      </c>
      <c r="BU129" s="33">
        <f t="shared" si="24"/>
        <v>0.02208246</v>
      </c>
      <c r="BV129" s="33">
        <f>IF(VLOOKUP($R129,武学奇术!$A:$ZZ,22,FALSE)=1,0,(1-$BO129))*(1-$BR129)</f>
        <v>0.02080923</v>
      </c>
      <c r="BW129" s="33" cm="1">
        <f t="array" ref="BW129">SUM(_xlfn.XLOOKUP($S129:$AL129,增益!$A:$A,增益!$W:$W,0))+$I$5</f>
        <v>0.11</v>
      </c>
      <c r="BX129" s="33" cm="1">
        <f t="array" ref="BX129">VLOOKUP($R129,武学奇术!$A:$ZZ,32,FALSE)+SUM(_xlfn.XLOOKUP($S129:$AL129,增益!$A:$A,增益!$X:$X,0))</f>
        <v>0</v>
      </c>
    </row>
    <row r="130" spans="12:76">
      <c r="L130" s="46">
        <f t="shared" ref="L130:L193" si="33">($M130*$BT130+$N130*$BR130+$O130*$BU130+$P130*$BV130)</f>
        <v>0</v>
      </c>
      <c r="M130" s="46">
        <f>((($AT130+$AU130)/2*$AN130+$AO130)*(1+$AV130)*(1+$AW130)+(($AY130+$AZ130)/2*IF($G$1="鸣金",$AP130,$AN130)+IF($G$1="鸣金",$AQ130*1.5,0))*(1+$BA130)*(1+$BB130)+(($BC130+$BD130)/2*IF($G$1="裂石",$AP130,$AN130)+IF($G$1="裂石",$AQ130*1.5,0))*(1+$BE130)*(1+$BF130)+(($BG130+$BH130)/2*IF($G$1="牵丝",$AP130,$AN130)+IF($G$1="牵丝",$AQ130*1.5,0))*(1+$BI130)*(1+$BJ130)+(($BK130+$BL130)/2*IF($G$1="破竹",$AP130,$AN130)+IF($G$1="破竹",$AQ130*1.5,0))*(1+$BM130)*(1+$BN130))*(1+$AR130)*$BQ130*$Q130*(1+IF(VLOOKUP($R130,武学奇术!$A:$ZZ,30,FALSE)="蓄力技",$B$21,0))*(1+IF(VLOOKUP($R130,武学奇术!$A:$ZZ,30,FALSE)="派生技",$B$20,0))*(1+$BW130)*(1+$BX130)</f>
        <v>0</v>
      </c>
      <c r="N130" s="46">
        <f>(($AU130*$AN130+$AO130)*(1+$AV130)*(1+$AW130)+($AZ130*IF($G$1="鸣金",$AP130,$AN130)+IF($G$1="鸣金",$AQ130*1.5,0))*(1+$BA130)*(1+$BB130)+($BD130*IF($G$1="裂石",$AP130,$AN130)+IF($G$1="裂石",$AQ130*1.5,0))*(1+$BE130)*(1+$BF130)+($BH130*IF($G$1="牵丝",$AP130,$AN130)+IF($G$1="牵丝",$AQ130*1.5,0))*(1+$BI130)*(1+$BJ130)+($BL130*IF($G$1="破竹",$AP130,$AN130)+IF($G$1="破竹",$AQ130*1.5,0))*(1+$BM130)*(1+$BN130))*(1+$AR130)*$BS130*$Q130*(1+IF(VLOOKUP($R130,武学奇术!$A:$ZZ,30,FALSE)="蓄力技",$B$21,0))*(1+IF(VLOOKUP($R130,武学奇术!$A:$ZZ,30,FALSE)="派生技",$B$20,0))*(1+$BW130)*(1+$BX130)</f>
        <v>0</v>
      </c>
      <c r="O130" s="46">
        <f>((($AT130+$AU130)/2*$AN130+$AO130)*(1+$AV130)*(1+$AW130)+(($AY130+$AZ130)/2*IF($G$1="鸣金",$AP130,$AN130)+IF($G$1="鸣金",$AQ130*1.5,0))*(1+$BA130)*(1+$BB130)+(($BC130+$BD130)/2*IF($G$1="裂石",$AP130,$AN130)+IF($G$1="裂石",$AQ130*1.5,0))*(1+$BE130)*(1+$BF130)+(($BG130+$BH130)/2*IF($G$1="牵丝",$AP130,$AN130)+IF($G$1="牵丝",$AQ130*1.5,0))*(1+$BI130)*(1+$BJ130)+(($BK130+$BL130)/2*IF($G$1="破竹",$AP130,$AN130)+IF($G$1="破竹",$AQ130*1.5,0))*(1+$BM130)*(1+$BN130))*(1+$AR130)*$Q130*(1+IF(VLOOKUP($R130,武学奇术!$A:$ZZ,30,FALSE)="蓄力技",$B$21,0))*(1+IF(VLOOKUP($R130,武学奇术!$A:$ZZ,30,FALSE)="派生技",$B$20,0))*(1+$BW130)*(1+$BX130)</f>
        <v>0</v>
      </c>
      <c r="P130" s="46">
        <f>((($AT130*$AN130+$AO130)*(1+$AV130)*(1+$AW130)+($AY130*IF($G$1="鸣金",$AP130,$AN130)+IF($G$1="鸣金",$AQ130*1.5,0))*(1+$BA130)*(1+$BB130)+($BC130*IF($G$1="裂石",$AP130,$AN130)+IF($G$1="裂石",$AQ130*1.5,0))*(1+$BE130)*(1+$BF130)+($BG130*IF($G$1="牵丝",$AP130,$AN130)+IF($G$1="牵丝",$AQ130*1.5,0))*(1+$BI130)*(1+$BJ130)+($BK130*IF($G$1="破竹",$AP130,$AN130)+IF($G$1="破竹",$AQ130*1.5,0))*(1+$BM130)*(1+$BN130))*(1+$AR130))*$Q130*(1+IF(VLOOKUP($R130,武学奇术!$A:$ZZ,30,FALSE)="蓄力技",$B$21,0))*(1+IF(VLOOKUP($R130,武学奇术!$A:$ZZ,30,FALSE)="派生技",$B$20,0))*(1+$BW130)*(1+$BX130)</f>
        <v>0</v>
      </c>
      <c r="Q130" s="47">
        <f t="shared" si="32"/>
        <v>0</v>
      </c>
      <c r="R130" s="48" t="s">
        <v>76</v>
      </c>
      <c r="S130" s="48" t="s">
        <v>77</v>
      </c>
      <c r="T130" s="48" t="s">
        <v>89</v>
      </c>
      <c r="U130" s="48" t="s">
        <v>79</v>
      </c>
      <c r="V130" s="48" t="s">
        <v>80</v>
      </c>
      <c r="W130" s="48" t="s">
        <v>80</v>
      </c>
      <c r="X130" s="48" t="s">
        <v>80</v>
      </c>
      <c r="Y130" s="48" t="s">
        <v>80</v>
      </c>
      <c r="Z130" s="48" t="s">
        <v>81</v>
      </c>
      <c r="AA130" s="48" t="s">
        <v>80</v>
      </c>
      <c r="AB130" s="48" t="s">
        <v>80</v>
      </c>
      <c r="AC130" s="48" t="s">
        <v>80</v>
      </c>
      <c r="AD130" s="48" t="s">
        <v>80</v>
      </c>
      <c r="AE130" s="48" t="s">
        <v>80</v>
      </c>
      <c r="AF130" s="48" t="s">
        <v>83</v>
      </c>
      <c r="AG130" s="48" t="s">
        <v>84</v>
      </c>
      <c r="AH130" s="48" t="s">
        <v>80</v>
      </c>
      <c r="AI130" s="48" t="s">
        <v>80</v>
      </c>
      <c r="AJ130" s="48" t="s">
        <v>80</v>
      </c>
      <c r="AK130" s="48" t="s">
        <v>80</v>
      </c>
      <c r="AL130" s="48" t="s">
        <v>80</v>
      </c>
      <c r="AM130" t="str">
        <f>VLOOKUP($R130,武学奇术!$A:$ZZ,25,FALSE)</f>
        <v>群体奇术</v>
      </c>
      <c r="AN130" s="33">
        <f>VLOOKUP($R130,武学奇术!$A:$ZZ,26,FALSE)</f>
        <v>1.4906</v>
      </c>
      <c r="AO130" s="34">
        <f>VLOOKUP($R130,武学奇术!$A:$ZZ,27,FALSE)*(1+IF(OR($AM130=$F$4,$AM130=$F$5),$B$22,0))</f>
        <v>386</v>
      </c>
      <c r="AP130" s="33">
        <f>VLOOKUP($R130,武学奇术!$A:$ZZ,28,FALSE)</f>
        <v>2.2359</v>
      </c>
      <c r="AQ130" s="34">
        <f>VLOOKUP($R130,武学奇术!$A:$ZZ,29,FALSE)*(1+IF(OR($AM130=$F$4,$AM130=$F$5),$B$22,0))</f>
        <v>0</v>
      </c>
      <c r="AR130" s="33" cm="1">
        <f t="array" ref="AR130">$G$3+IFERROR(VLOOKUP($AM130,$F$4:$G$7,2,FALSE),0)+VLOOKUP($R130,武学奇术!$A:$ZZ,2,FALSE)+SUM(_xlfn.XLOOKUP($S130:$AL130,增益!$A:$A,增益!$B:$B,0))</f>
        <v>0.2742</v>
      </c>
      <c r="AS130" s="33" cm="1">
        <f t="array" ref="AS130">VLOOKUP($R130,武学奇术!$A:$ZZ,5,FALSE)+SUM(_xlfn.XLOOKUP($S130:$AL130,增益!$A:$A,增益!$E:$E,0))</f>
        <v>0</v>
      </c>
      <c r="AT130" cm="1">
        <f t="array" ref="AT130">$D$10*(1+$AS130)+VLOOKUP($R130,武学奇术!$A:$ZZ,3,FALSE)+SUM(_xlfn.XLOOKUP($S130:$AL130,增益!$A:$A,增益!$C:$C,0))-$I$2</f>
        <v>4026</v>
      </c>
      <c r="AU130" cm="1">
        <f t="array" ref="AU130">$E$10*(1+$AS130)+VLOOKUP($R130,武学奇术!$A:$ZZ,4,FALSE)+SUM(_xlfn.XLOOKUP($S130:$AL130,增益!$A:$A,增益!$D:$D,0))-$I$2</f>
        <v>4026</v>
      </c>
      <c r="AV130" s="40" cm="1">
        <f t="array" ref="AV130">IF($F$10-$I$3+VLOOKUP($R130,武学奇术!$A:$ZZ,6,FALSE)+SUM(_xlfn.XLOOKUP($S130:$AL130,增益!$A:$A,增益!$F:$F,0))&gt;0,($F$10-$I$3+VLOOKUP($R130,武学奇术!$A:$ZZ,6,FALSE)+SUM(_xlfn.XLOOKUP($S130:$AL130,增益!$A:$A,增益!$F:$F,0)))/200,($F$10-$I$3+VLOOKUP($R130,武学奇术!$A:$ZZ,6,FALSE)+SUM(_xlfn.XLOOKUP($S130:$AL130,增益!$A:$A,增益!$F:$F,0)))/100)</f>
        <v>0.2484</v>
      </c>
      <c r="AW130" s="40" cm="1">
        <f t="array" ref="AW130">$G$10+VLOOKUP($R130,武学奇术!$A:$ZZ,7,FALSE)+SUM(_xlfn.XLOOKUP($S130:$AL130,增益!$A:$A,增益!$G:$G,0))</f>
        <v>0.12</v>
      </c>
      <c r="AX130" s="33" cm="1">
        <f t="array" ref="AX130">VLOOKUP($R130,武学奇术!$A:$ZZ,8,FALSE)+SUM(_xlfn.XLOOKUP($S130:$AL130,增益!$A:$A,增益!$H:$H,0))</f>
        <v>0</v>
      </c>
      <c r="AY130">
        <f t="shared" ref="AY130:AY193" si="34">$D$11*(1+$AX130)</f>
        <v>0</v>
      </c>
      <c r="AZ130">
        <f t="shared" ref="AZ130:AZ193" si="35">$E$11*(1+$AX130)</f>
        <v>0</v>
      </c>
      <c r="BA130" s="40" cm="1">
        <f t="array" ref="BA130">IF($F$11-$I$4+VLOOKUP($R130,武学奇术!$A:$ZZ,9,FALSE)+SUM(_xlfn.XLOOKUP($S130:$AL130,增益!$A:$A,增益!$I:$I,0))&gt;0,($F$11-$I$4+VLOOKUP($R130,武学奇术!$A:$ZZ,9,FALSE)+SUM(_xlfn.XLOOKUP($S130:$AL130,增益!$A:$A,增益!$I:$I,0)))/200,($F$11-$I$4+VLOOKUP($R130,武学奇术!$A:$ZZ,9,FALSE)+SUM(_xlfn.XLOOKUP($S130:$AL130,增益!$A:$A,增益!$I:$I,0)))/100)</f>
        <v>-0.3</v>
      </c>
      <c r="BB130" s="40" cm="1">
        <f t="array" ref="BB130">$G$11+VLOOKUP($R130,武学奇术!$A:$ZZ,10,FALSE)+SUM(_xlfn.XLOOKUP($S130:$AL130,增益!$A:$A,增益!$J:$J,0))</f>
        <v>0</v>
      </c>
      <c r="BC130">
        <f t="shared" ref="BC130:BC193" si="36">$D$12*(1+$AX130)</f>
        <v>640.3</v>
      </c>
      <c r="BD130">
        <f t="shared" ref="BD130:BD193" si="37">$E$12*(1+$AX130)</f>
        <v>1770.1</v>
      </c>
      <c r="BE130" s="40" cm="1">
        <f t="array" ref="BE130">IF($F$12-$I$4+VLOOKUP($R130,武学奇术!$A:$ZZ,11,FALSE)+SUM(_xlfn.XLOOKUP($S130:$AL130,增益!$A:$A,增益!$K:$K,0))&gt;0,($F$12-$I$4+VLOOKUP($R130,武学奇术!$A:$ZZ,11,FALSE)+SUM(_xlfn.XLOOKUP($S130:$AL130,增益!$A:$A,增益!$K:$K,0)))/200,($F$12-$I$4+VLOOKUP($R130,武学奇术!$A:$ZZ,11,FALSE)+SUM(_xlfn.XLOOKUP($S130:$AL130,增益!$A:$A,增益!$K:$K,0)))/100)</f>
        <v>0.09</v>
      </c>
      <c r="BF130" s="40" cm="1">
        <f t="array" ref="BF130">$G$12+VLOOKUP($R130,武学奇术!$A:$ZZ,12,FALSE)+SUM(_xlfn.XLOOKUP($S130:$AL130,增益!$A:$A,增益!$L:$L,0))</f>
        <v>0.27</v>
      </c>
      <c r="BG130">
        <f t="shared" ref="BG130:BG193" si="38">$D$13*(1+$AX130)</f>
        <v>0</v>
      </c>
      <c r="BH130">
        <f t="shared" ref="BH130:BH193" si="39">$E$13*(1+$AX130)</f>
        <v>0</v>
      </c>
      <c r="BI130" s="40" cm="1">
        <f t="array" ref="BI130">IF($F$13-$I$4+VLOOKUP($R130,武学奇术!$A:$ZZ,13,FALSE)+SUM(_xlfn.XLOOKUP($S130:$AL130,增益!$A:$A,增益!$M:$M,0))&gt;0,($F$13-$I$4+VLOOKUP($R130,武学奇术!$A:$ZZ,13,FALSE)+SUM(_xlfn.XLOOKUP($S130:$AL130,增益!$A:$A,增益!$K:$K,0)))/200,($F$13-$I$4+VLOOKUP($R130,武学奇术!$A:$ZZ,13,FALSE)+SUM(_xlfn.XLOOKUP($S130:$AL130,增益!$A:$A,增益!$M:$M,0)))/100)</f>
        <v>-0.3</v>
      </c>
      <c r="BJ130" s="40" cm="1">
        <f t="array" ref="BJ130">$G$13+VLOOKUP($R130,武学奇术!$A:$ZZ,14,FALSE)+SUM(_xlfn.XLOOKUP($S130:$AL130,增益!$A:$A,增益!$N:$N,0))</f>
        <v>0</v>
      </c>
      <c r="BK130">
        <f t="shared" ref="BK130:BK193" si="40">$D$14*(1+$AX130)</f>
        <v>0</v>
      </c>
      <c r="BL130">
        <f t="shared" ref="BL130:BL193" si="41">$E$14*(1+$AX130)</f>
        <v>0</v>
      </c>
      <c r="BM130" s="40" cm="1">
        <f t="array" ref="BM130">IF($F$14-$I$4+VLOOKUP($R130,武学奇术!$A:$ZZ,15,FALSE)+SUM(_xlfn.XLOOKUP($S130:$AL130,增益!$A:$A,增益!$O:$O,0))&gt;0,($F$14-$I$4+VLOOKUP($R130,武学奇术!$A:$ZZ,15,FALSE)+SUM(_xlfn.XLOOKUP($S130:$AL130,增益!$A:$A,增益!$O:$O,0)))/200,($F$14-$I$4+VLOOKUP($R130,武学奇术!$A:$ZZ,15,FALSE)+SUM(_xlfn.XLOOKUP($S130:$AL130,增益!$A:$A,增益!$O:$O,0)))/100)</f>
        <v>-0.3</v>
      </c>
      <c r="BN130" s="40" cm="1">
        <f t="array" ref="BN130">$G$14+VLOOKUP($R130,武学奇术!$A:$ZZ,16,FALSE)+SUM(_xlfn.XLOOKUP($S130:$AL130,增益!$A:$A,增益!$P:$P,0))</f>
        <v>0</v>
      </c>
      <c r="BO130" s="33">
        <f>MIN(IF(VLOOKUP($R130,武学奇术!$A:$ZZ,23,FALSE)=1,100%,$B$8),100%)</f>
        <v>0.9771</v>
      </c>
      <c r="BP130" s="33" cm="1">
        <f t="array" ref="BP130">IF(VLOOKUP($R130,武学奇术!$A:$ZZ,23,FALSE)=1,100%,MIN(80%,$B$9+VLOOKUP($R130,武学奇术!$A:$ZZ,17,FALSE)+SUM(_xlfn.XLOOKUP($S130:$AL130,增益!$A:$A,增益!$Q:$Q,0)))+$B$11+SUM(_xlfn.XLOOKUP($S130:$AL130,增益!$A:$A,增益!$U:$U,0)))*IF(VLOOKUP($R130,武学奇术!$A:$ZZ,24,FALSE)=1,0,1)</f>
        <v>0.8861</v>
      </c>
      <c r="BQ130" s="33" cm="1">
        <f t="array" ref="BQ130">1+$B$13+VLOOKUP($R130,武学奇术!$A:$ZZ,18,FALSE)+SUM(_xlfn.XLOOKUP($S130:$AL130,增益!$A:$A,增益!$R:$R,0))</f>
        <v>1.77</v>
      </c>
      <c r="BR130" s="33" cm="1">
        <f t="array" ref="BR130">IF(VLOOKUP($R130,武学奇术!$A:$ZZ,24,FALSE)=1,100%,MIN(40%,$B$10+VLOOKUP($R130,武学奇术!$A:$ZZ,19,FALSE)+SUM(_xlfn.XLOOKUP($S130:$AL130,增益!$A:$A,增益!$S:$S,0)))+$B$12+SUM(_xlfn.XLOOKUP($S130:$AL130,增益!$A:$A,增益!$V:$V,0)))*IF(VLOOKUP($R130,武学奇术!$A:$ZZ,23,FALSE)=1,0,1)</f>
        <v>0.0913</v>
      </c>
      <c r="BS130" s="33" cm="1">
        <f t="array" ref="BS130">1+$B$14+VLOOKUP($R130,武学奇术!$A:$ZZ,20,FALSE)+SUM(_xlfn.XLOOKUP($S130:$AL130,增益!$A:$A,增益!$T:$T,0))</f>
        <v>1.35</v>
      </c>
      <c r="BT130" s="33">
        <f t="shared" ref="BT130:BT193" si="42">MIN((1-BR130)*BO130,BO130*BP130)</f>
        <v>0.86580831</v>
      </c>
      <c r="BU130" s="33">
        <f t="shared" ref="BU130:BU193" si="43">1-BR130-BT130-BV130</f>
        <v>0.02208246</v>
      </c>
      <c r="BV130" s="33">
        <f>IF(VLOOKUP($R130,武学奇术!$A:$ZZ,22,FALSE)=1,0,(1-$BO130))*(1-$BR130)</f>
        <v>0.02080923</v>
      </c>
      <c r="BW130" s="33" cm="1">
        <f t="array" ref="BW130">SUM(_xlfn.XLOOKUP($S130:$AL130,增益!$A:$A,增益!$W:$W,0))+$I$5</f>
        <v>0.11</v>
      </c>
      <c r="BX130" s="33" cm="1">
        <f t="array" ref="BX130">VLOOKUP($R130,武学奇术!$A:$ZZ,32,FALSE)+SUM(_xlfn.XLOOKUP($S130:$AL130,增益!$A:$A,增益!$X:$X,0))</f>
        <v>0</v>
      </c>
    </row>
    <row r="131" spans="12:76">
      <c r="L131" s="46">
        <f t="shared" si="33"/>
        <v>0</v>
      </c>
      <c r="M131" s="46">
        <f>((($AT131+$AU131)/2*$AN131+$AO131)*(1+$AV131)*(1+$AW131)+(($AY131+$AZ131)/2*IF($G$1="鸣金",$AP131,$AN131)+IF($G$1="鸣金",$AQ131*1.5,0))*(1+$BA131)*(1+$BB131)+(($BC131+$BD131)/2*IF($G$1="裂石",$AP131,$AN131)+IF($G$1="裂石",$AQ131*1.5,0))*(1+$BE131)*(1+$BF131)+(($BG131+$BH131)/2*IF($G$1="牵丝",$AP131,$AN131)+IF($G$1="牵丝",$AQ131*1.5,0))*(1+$BI131)*(1+$BJ131)+(($BK131+$BL131)/2*IF($G$1="破竹",$AP131,$AN131)+IF($G$1="破竹",$AQ131*1.5,0))*(1+$BM131)*(1+$BN131))*(1+$AR131)*$BQ131*$Q131*(1+IF(VLOOKUP($R131,武学奇术!$A:$ZZ,30,FALSE)="蓄力技",$B$21,0))*(1+IF(VLOOKUP($R131,武学奇术!$A:$ZZ,30,FALSE)="派生技",$B$20,0))*(1+$BW131)*(1+$BX131)</f>
        <v>0</v>
      </c>
      <c r="N131" s="46">
        <f>(($AU131*$AN131+$AO131)*(1+$AV131)*(1+$AW131)+($AZ131*IF($G$1="鸣金",$AP131,$AN131)+IF($G$1="鸣金",$AQ131*1.5,0))*(1+$BA131)*(1+$BB131)+($BD131*IF($G$1="裂石",$AP131,$AN131)+IF($G$1="裂石",$AQ131*1.5,0))*(1+$BE131)*(1+$BF131)+($BH131*IF($G$1="牵丝",$AP131,$AN131)+IF($G$1="牵丝",$AQ131*1.5,0))*(1+$BI131)*(1+$BJ131)+($BL131*IF($G$1="破竹",$AP131,$AN131)+IF($G$1="破竹",$AQ131*1.5,0))*(1+$BM131)*(1+$BN131))*(1+$AR131)*$BS131*$Q131*(1+IF(VLOOKUP($R131,武学奇术!$A:$ZZ,30,FALSE)="蓄力技",$B$21,0))*(1+IF(VLOOKUP($R131,武学奇术!$A:$ZZ,30,FALSE)="派生技",$B$20,0))*(1+$BW131)*(1+$BX131)</f>
        <v>0</v>
      </c>
      <c r="O131" s="46">
        <f>((($AT131+$AU131)/2*$AN131+$AO131)*(1+$AV131)*(1+$AW131)+(($AY131+$AZ131)/2*IF($G$1="鸣金",$AP131,$AN131)+IF($G$1="鸣金",$AQ131*1.5,0))*(1+$BA131)*(1+$BB131)+(($BC131+$BD131)/2*IF($G$1="裂石",$AP131,$AN131)+IF($G$1="裂石",$AQ131*1.5,0))*(1+$BE131)*(1+$BF131)+(($BG131+$BH131)/2*IF($G$1="牵丝",$AP131,$AN131)+IF($G$1="牵丝",$AQ131*1.5,0))*(1+$BI131)*(1+$BJ131)+(($BK131+$BL131)/2*IF($G$1="破竹",$AP131,$AN131)+IF($G$1="破竹",$AQ131*1.5,0))*(1+$BM131)*(1+$BN131))*(1+$AR131)*$Q131*(1+IF(VLOOKUP($R131,武学奇术!$A:$ZZ,30,FALSE)="蓄力技",$B$21,0))*(1+IF(VLOOKUP($R131,武学奇术!$A:$ZZ,30,FALSE)="派生技",$B$20,0))*(1+$BW131)*(1+$BX131)</f>
        <v>0</v>
      </c>
      <c r="P131" s="46">
        <f>((($AT131*$AN131+$AO131)*(1+$AV131)*(1+$AW131)+($AY131*IF($G$1="鸣金",$AP131,$AN131)+IF($G$1="鸣金",$AQ131*1.5,0))*(1+$BA131)*(1+$BB131)+($BC131*IF($G$1="裂石",$AP131,$AN131)+IF($G$1="裂石",$AQ131*1.5,0))*(1+$BE131)*(1+$BF131)+($BG131*IF($G$1="牵丝",$AP131,$AN131)+IF($G$1="牵丝",$AQ131*1.5,0))*(1+$BI131)*(1+$BJ131)+($BK131*IF($G$1="破竹",$AP131,$AN131)+IF($G$1="破竹",$AQ131*1.5,0))*(1+$BM131)*(1+$BN131))*(1+$AR131))*$Q131*(1+IF(VLOOKUP($R131,武学奇术!$A:$ZZ,30,FALSE)="蓄力技",$B$21,0))*(1+IF(VLOOKUP($R131,武学奇术!$A:$ZZ,30,FALSE)="派生技",$B$20,0))*(1+$BW131)*(1+$BX131)</f>
        <v>0</v>
      </c>
      <c r="Q131" s="47">
        <f t="shared" si="32"/>
        <v>0</v>
      </c>
      <c r="R131" s="48" t="s">
        <v>76</v>
      </c>
      <c r="S131" s="48" t="s">
        <v>94</v>
      </c>
      <c r="T131" s="48" t="s">
        <v>95</v>
      </c>
      <c r="U131" s="48" t="s">
        <v>79</v>
      </c>
      <c r="V131" s="48" t="s">
        <v>90</v>
      </c>
      <c r="W131" s="48" t="s">
        <v>91</v>
      </c>
      <c r="X131" s="48" t="s">
        <v>80</v>
      </c>
      <c r="Y131" s="48" t="s">
        <v>80</v>
      </c>
      <c r="Z131" s="48" t="s">
        <v>81</v>
      </c>
      <c r="AA131" s="48" t="s">
        <v>80</v>
      </c>
      <c r="AB131" s="48" t="s">
        <v>80</v>
      </c>
      <c r="AC131" s="48" t="s">
        <v>80</v>
      </c>
      <c r="AD131" s="48" t="s">
        <v>80</v>
      </c>
      <c r="AE131" s="48" t="s">
        <v>80</v>
      </c>
      <c r="AF131" s="48" t="s">
        <v>83</v>
      </c>
      <c r="AG131" s="48" t="s">
        <v>84</v>
      </c>
      <c r="AH131" s="48" t="s">
        <v>80</v>
      </c>
      <c r="AI131" s="48" t="s">
        <v>80</v>
      </c>
      <c r="AJ131" s="48" t="s">
        <v>80</v>
      </c>
      <c r="AK131" s="48" t="s">
        <v>80</v>
      </c>
      <c r="AL131" s="48" t="s">
        <v>80</v>
      </c>
      <c r="AM131" t="str">
        <f>VLOOKUP($R131,武学奇术!$A:$ZZ,25,FALSE)</f>
        <v>群体奇术</v>
      </c>
      <c r="AN131" s="33">
        <f>VLOOKUP($R131,武学奇术!$A:$ZZ,26,FALSE)</f>
        <v>1.4906</v>
      </c>
      <c r="AO131" s="34">
        <f>VLOOKUP($R131,武学奇术!$A:$ZZ,27,FALSE)*(1+IF(OR($AM131=$F$4,$AM131=$F$5),$B$22,0))</f>
        <v>386</v>
      </c>
      <c r="AP131" s="33">
        <f>VLOOKUP($R131,武学奇术!$A:$ZZ,28,FALSE)</f>
        <v>2.2359</v>
      </c>
      <c r="AQ131" s="34">
        <f>VLOOKUP($R131,武学奇术!$A:$ZZ,29,FALSE)*(1+IF(OR($AM131=$F$4,$AM131=$F$5),$B$22,0))</f>
        <v>0</v>
      </c>
      <c r="AR131" s="33" cm="1">
        <f t="array" ref="AR131">$G$3+IFERROR(VLOOKUP($AM131,$F$4:$G$7,2,FALSE),0)+VLOOKUP($R131,武学奇术!$A:$ZZ,2,FALSE)+SUM(_xlfn.XLOOKUP($S131:$AL131,增益!$A:$A,增益!$B:$B,0))</f>
        <v>0.3742</v>
      </c>
      <c r="AS131" s="33" cm="1">
        <f t="array" ref="AS131">VLOOKUP($R131,武学奇术!$A:$ZZ,5,FALSE)+SUM(_xlfn.XLOOKUP($S131:$AL131,增益!$A:$A,增益!$E:$E,0))</f>
        <v>0</v>
      </c>
      <c r="AT131" cm="1">
        <f t="array" ref="AT131">$D$10*(1+$AS131)+VLOOKUP($R131,武学奇术!$A:$ZZ,3,FALSE)+SUM(_xlfn.XLOOKUP($S131:$AL131,增益!$A:$A,增益!$C:$C,0))-$I$2</f>
        <v>4026</v>
      </c>
      <c r="AU131" cm="1">
        <f t="array" ref="AU131">$E$10*(1+$AS131)+VLOOKUP($R131,武学奇术!$A:$ZZ,4,FALSE)+SUM(_xlfn.XLOOKUP($S131:$AL131,增益!$A:$A,增益!$D:$D,0))-$I$2</f>
        <v>4026</v>
      </c>
      <c r="AV131" s="40" cm="1">
        <f t="array" ref="AV131">IF($F$10-$I$3+VLOOKUP($R131,武学奇术!$A:$ZZ,6,FALSE)+SUM(_xlfn.XLOOKUP($S131:$AL131,增益!$A:$A,增益!$F:$F,0))&gt;0,($F$10-$I$3+VLOOKUP($R131,武学奇术!$A:$ZZ,6,FALSE)+SUM(_xlfn.XLOOKUP($S131:$AL131,增益!$A:$A,增益!$F:$F,0)))/200,($F$10-$I$3+VLOOKUP($R131,武学奇术!$A:$ZZ,6,FALSE)+SUM(_xlfn.XLOOKUP($S131:$AL131,增益!$A:$A,增益!$F:$F,0)))/100)</f>
        <v>0.3184</v>
      </c>
      <c r="AW131" s="40" cm="1">
        <f t="array" ref="AW131">$G$10+VLOOKUP($R131,武学奇术!$A:$ZZ,7,FALSE)+SUM(_xlfn.XLOOKUP($S131:$AL131,增益!$A:$A,增益!$G:$G,0))</f>
        <v>0.12</v>
      </c>
      <c r="AX131" s="33" cm="1">
        <f t="array" ref="AX131">VLOOKUP($R131,武学奇术!$A:$ZZ,8,FALSE)+SUM(_xlfn.XLOOKUP($S131:$AL131,增益!$A:$A,增益!$H:$H,0))</f>
        <v>0</v>
      </c>
      <c r="AY131">
        <f t="shared" si="34"/>
        <v>0</v>
      </c>
      <c r="AZ131">
        <f t="shared" si="35"/>
        <v>0</v>
      </c>
      <c r="BA131" s="40" cm="1">
        <f t="array" ref="BA131">IF($F$11-$I$4+VLOOKUP($R131,武学奇术!$A:$ZZ,9,FALSE)+SUM(_xlfn.XLOOKUP($S131:$AL131,增益!$A:$A,增益!$I:$I,0))&gt;0,($F$11-$I$4+VLOOKUP($R131,武学奇术!$A:$ZZ,9,FALSE)+SUM(_xlfn.XLOOKUP($S131:$AL131,增益!$A:$A,增益!$I:$I,0)))/200,($F$11-$I$4+VLOOKUP($R131,武学奇术!$A:$ZZ,9,FALSE)+SUM(_xlfn.XLOOKUP($S131:$AL131,增益!$A:$A,增益!$I:$I,0)))/100)</f>
        <v>-0.14</v>
      </c>
      <c r="BB131" s="40" cm="1">
        <f t="array" ref="BB131">$G$11+VLOOKUP($R131,武学奇术!$A:$ZZ,10,FALSE)+SUM(_xlfn.XLOOKUP($S131:$AL131,增益!$A:$A,增益!$J:$J,0))</f>
        <v>0</v>
      </c>
      <c r="BC131">
        <f t="shared" si="36"/>
        <v>640.3</v>
      </c>
      <c r="BD131">
        <f t="shared" si="37"/>
        <v>1770.1</v>
      </c>
      <c r="BE131" s="40" cm="1">
        <f t="array" ref="BE131">IF($F$12-$I$4+VLOOKUP($R131,武学奇术!$A:$ZZ,11,FALSE)+SUM(_xlfn.XLOOKUP($S131:$AL131,增益!$A:$A,增益!$K:$K,0))&gt;0,($F$12-$I$4+VLOOKUP($R131,武学奇术!$A:$ZZ,11,FALSE)+SUM(_xlfn.XLOOKUP($S131:$AL131,增益!$A:$A,增益!$K:$K,0)))/200,($F$12-$I$4+VLOOKUP($R131,武学奇术!$A:$ZZ,11,FALSE)+SUM(_xlfn.XLOOKUP($S131:$AL131,增益!$A:$A,增益!$K:$K,0)))/100)</f>
        <v>0.17</v>
      </c>
      <c r="BF131" s="40" cm="1">
        <f t="array" ref="BF131">$G$12+VLOOKUP($R131,武学奇术!$A:$ZZ,12,FALSE)+SUM(_xlfn.XLOOKUP($S131:$AL131,增益!$A:$A,增益!$L:$L,0))</f>
        <v>0.27</v>
      </c>
      <c r="BG131">
        <f t="shared" si="38"/>
        <v>0</v>
      </c>
      <c r="BH131">
        <f t="shared" si="39"/>
        <v>0</v>
      </c>
      <c r="BI131" s="40" cm="1">
        <f t="array" ref="BI131">IF($F$13-$I$4+VLOOKUP($R131,武学奇术!$A:$ZZ,13,FALSE)+SUM(_xlfn.XLOOKUP($S131:$AL131,增益!$A:$A,增益!$M:$M,0))&gt;0,($F$13-$I$4+VLOOKUP($R131,武学奇术!$A:$ZZ,13,FALSE)+SUM(_xlfn.XLOOKUP($S131:$AL131,增益!$A:$A,增益!$K:$K,0)))/200,($F$13-$I$4+VLOOKUP($R131,武学奇术!$A:$ZZ,13,FALSE)+SUM(_xlfn.XLOOKUP($S131:$AL131,增益!$A:$A,增益!$M:$M,0)))/100)</f>
        <v>-0.14</v>
      </c>
      <c r="BJ131" s="40" cm="1">
        <f t="array" ref="BJ131">$G$13+VLOOKUP($R131,武学奇术!$A:$ZZ,14,FALSE)+SUM(_xlfn.XLOOKUP($S131:$AL131,增益!$A:$A,增益!$N:$N,0))</f>
        <v>0</v>
      </c>
      <c r="BK131">
        <f t="shared" si="40"/>
        <v>0</v>
      </c>
      <c r="BL131">
        <f t="shared" si="41"/>
        <v>0</v>
      </c>
      <c r="BM131" s="40" cm="1">
        <f t="array" ref="BM131">IF($F$14-$I$4+VLOOKUP($R131,武学奇术!$A:$ZZ,15,FALSE)+SUM(_xlfn.XLOOKUP($S131:$AL131,增益!$A:$A,增益!$O:$O,0))&gt;0,($F$14-$I$4+VLOOKUP($R131,武学奇术!$A:$ZZ,15,FALSE)+SUM(_xlfn.XLOOKUP($S131:$AL131,增益!$A:$A,增益!$O:$O,0)))/200,($F$14-$I$4+VLOOKUP($R131,武学奇术!$A:$ZZ,15,FALSE)+SUM(_xlfn.XLOOKUP($S131:$AL131,增益!$A:$A,增益!$O:$O,0)))/100)</f>
        <v>-0.14</v>
      </c>
      <c r="BN131" s="40" cm="1">
        <f t="array" ref="BN131">$G$14+VLOOKUP($R131,武学奇术!$A:$ZZ,16,FALSE)+SUM(_xlfn.XLOOKUP($S131:$AL131,增益!$A:$A,增益!$P:$P,0))</f>
        <v>0</v>
      </c>
      <c r="BO131" s="33">
        <f>MIN(IF(VLOOKUP($R131,武学奇术!$A:$ZZ,23,FALSE)=1,100%,$B$8),100%)</f>
        <v>0.9771</v>
      </c>
      <c r="BP131" s="33" cm="1">
        <f t="array" ref="BP131">IF(VLOOKUP($R131,武学奇术!$A:$ZZ,23,FALSE)=1,100%,MIN(80%,$B$9+VLOOKUP($R131,武学奇术!$A:$ZZ,17,FALSE)+SUM(_xlfn.XLOOKUP($S131:$AL131,增益!$A:$A,增益!$Q:$Q,0)))+$B$11+SUM(_xlfn.XLOOKUP($S131:$AL131,增益!$A:$A,增益!$U:$U,0)))*IF(VLOOKUP($R131,武学奇术!$A:$ZZ,24,FALSE)=1,0,1)</f>
        <v>0.8861</v>
      </c>
      <c r="BQ131" s="33" cm="1">
        <f t="array" ref="BQ131">1+$B$13+VLOOKUP($R131,武学奇术!$A:$ZZ,18,FALSE)+SUM(_xlfn.XLOOKUP($S131:$AL131,增益!$A:$A,增益!$R:$R,0))</f>
        <v>1.88</v>
      </c>
      <c r="BR131" s="33" cm="1">
        <f t="array" ref="BR131">IF(VLOOKUP($R131,武学奇术!$A:$ZZ,24,FALSE)=1,100%,MIN(40%,$B$10+VLOOKUP($R131,武学奇术!$A:$ZZ,19,FALSE)+SUM(_xlfn.XLOOKUP($S131:$AL131,增益!$A:$A,增益!$S:$S,0)))+$B$12+SUM(_xlfn.XLOOKUP($S131:$AL131,增益!$A:$A,增益!$V:$V,0)))*IF(VLOOKUP($R131,武学奇术!$A:$ZZ,23,FALSE)=1,0,1)</f>
        <v>0.0913</v>
      </c>
      <c r="BS131" s="33" cm="1">
        <f t="array" ref="BS131">1+$B$14+VLOOKUP($R131,武学奇术!$A:$ZZ,20,FALSE)+SUM(_xlfn.XLOOKUP($S131:$AL131,增益!$A:$A,增益!$T:$T,0))</f>
        <v>1.35</v>
      </c>
      <c r="BT131" s="33">
        <f t="shared" si="42"/>
        <v>0.86580831</v>
      </c>
      <c r="BU131" s="33">
        <f t="shared" si="43"/>
        <v>0.02208246</v>
      </c>
      <c r="BV131" s="33">
        <f>IF(VLOOKUP($R131,武学奇术!$A:$ZZ,22,FALSE)=1,0,(1-$BO131))*(1-$BR131)</f>
        <v>0.02080923</v>
      </c>
      <c r="BW131" s="33" cm="1">
        <f t="array" ref="BW131">SUM(_xlfn.XLOOKUP($S131:$AL131,增益!$A:$A,增益!$W:$W,0))+$I$5</f>
        <v>0.11</v>
      </c>
      <c r="BX131" s="33" cm="1">
        <f t="array" ref="BX131">VLOOKUP($R131,武学奇术!$A:$ZZ,32,FALSE)+SUM(_xlfn.XLOOKUP($S131:$AL131,增益!$A:$A,增益!$X:$X,0))</f>
        <v>0</v>
      </c>
    </row>
    <row r="132" spans="12:76">
      <c r="L132" s="46">
        <f t="shared" si="33"/>
        <v>0</v>
      </c>
      <c r="M132" s="46">
        <f>((($AT132+$AU132)/2*$AN132+$AO132)*(1+$AV132)*(1+$AW132)+(($AY132+$AZ132)/2*IF($G$1="鸣金",$AP132,$AN132)+IF($G$1="鸣金",$AQ132*1.5,0))*(1+$BA132)*(1+$BB132)+(($BC132+$BD132)/2*IF($G$1="裂石",$AP132,$AN132)+IF($G$1="裂石",$AQ132*1.5,0))*(1+$BE132)*(1+$BF132)+(($BG132+$BH132)/2*IF($G$1="牵丝",$AP132,$AN132)+IF($G$1="牵丝",$AQ132*1.5,0))*(1+$BI132)*(1+$BJ132)+(($BK132+$BL132)/2*IF($G$1="破竹",$AP132,$AN132)+IF($G$1="破竹",$AQ132*1.5,0))*(1+$BM132)*(1+$BN132))*(1+$AR132)*$BQ132*$Q132*(1+IF(VLOOKUP($R132,武学奇术!$A:$ZZ,30,FALSE)="蓄力技",$B$21,0))*(1+IF(VLOOKUP($R132,武学奇术!$A:$ZZ,30,FALSE)="派生技",$B$20,0))*(1+$BW132)*(1+$BX132)</f>
        <v>0</v>
      </c>
      <c r="N132" s="46">
        <f>(($AU132*$AN132+$AO132)*(1+$AV132)*(1+$AW132)+($AZ132*IF($G$1="鸣金",$AP132,$AN132)+IF($G$1="鸣金",$AQ132*1.5,0))*(1+$BA132)*(1+$BB132)+($BD132*IF($G$1="裂石",$AP132,$AN132)+IF($G$1="裂石",$AQ132*1.5,0))*(1+$BE132)*(1+$BF132)+($BH132*IF($G$1="牵丝",$AP132,$AN132)+IF($G$1="牵丝",$AQ132*1.5,0))*(1+$BI132)*(1+$BJ132)+($BL132*IF($G$1="破竹",$AP132,$AN132)+IF($G$1="破竹",$AQ132*1.5,0))*(1+$BM132)*(1+$BN132))*(1+$AR132)*$BS132*$Q132*(1+IF(VLOOKUP($R132,武学奇术!$A:$ZZ,30,FALSE)="蓄力技",$B$21,0))*(1+IF(VLOOKUP($R132,武学奇术!$A:$ZZ,30,FALSE)="派生技",$B$20,0))*(1+$BW132)*(1+$BX132)</f>
        <v>0</v>
      </c>
      <c r="O132" s="46">
        <f>((($AT132+$AU132)/2*$AN132+$AO132)*(1+$AV132)*(1+$AW132)+(($AY132+$AZ132)/2*IF($G$1="鸣金",$AP132,$AN132)+IF($G$1="鸣金",$AQ132*1.5,0))*(1+$BA132)*(1+$BB132)+(($BC132+$BD132)/2*IF($G$1="裂石",$AP132,$AN132)+IF($G$1="裂石",$AQ132*1.5,0))*(1+$BE132)*(1+$BF132)+(($BG132+$BH132)/2*IF($G$1="牵丝",$AP132,$AN132)+IF($G$1="牵丝",$AQ132*1.5,0))*(1+$BI132)*(1+$BJ132)+(($BK132+$BL132)/2*IF($G$1="破竹",$AP132,$AN132)+IF($G$1="破竹",$AQ132*1.5,0))*(1+$BM132)*(1+$BN132))*(1+$AR132)*$Q132*(1+IF(VLOOKUP($R132,武学奇术!$A:$ZZ,30,FALSE)="蓄力技",$B$21,0))*(1+IF(VLOOKUP($R132,武学奇术!$A:$ZZ,30,FALSE)="派生技",$B$20,0))*(1+$BW132)*(1+$BX132)</f>
        <v>0</v>
      </c>
      <c r="P132" s="46">
        <f>((($AT132*$AN132+$AO132)*(1+$AV132)*(1+$AW132)+($AY132*IF($G$1="鸣金",$AP132,$AN132)+IF($G$1="鸣金",$AQ132*1.5,0))*(1+$BA132)*(1+$BB132)+($BC132*IF($G$1="裂石",$AP132,$AN132)+IF($G$1="裂石",$AQ132*1.5,0))*(1+$BE132)*(1+$BF132)+($BG132*IF($G$1="牵丝",$AP132,$AN132)+IF($G$1="牵丝",$AQ132*1.5,0))*(1+$BI132)*(1+$BJ132)+($BK132*IF($G$1="破竹",$AP132,$AN132)+IF($G$1="破竹",$AQ132*1.5,0))*(1+$BM132)*(1+$BN132))*(1+$AR132))*$Q132*(1+IF(VLOOKUP($R132,武学奇术!$A:$ZZ,30,FALSE)="蓄力技",$B$21,0))*(1+IF(VLOOKUP($R132,武学奇术!$A:$ZZ,30,FALSE)="派生技",$B$20,0))*(1+$BW132)*(1+$BX132)</f>
        <v>0</v>
      </c>
      <c r="Q132" s="47">
        <f t="shared" si="32"/>
        <v>0</v>
      </c>
      <c r="R132" s="48" t="s">
        <v>76</v>
      </c>
      <c r="S132" s="48" t="s">
        <v>99</v>
      </c>
      <c r="T132" s="48" t="s">
        <v>95</v>
      </c>
      <c r="U132" s="48" t="s">
        <v>79</v>
      </c>
      <c r="V132" s="48" t="s">
        <v>90</v>
      </c>
      <c r="W132" s="48" t="s">
        <v>91</v>
      </c>
      <c r="X132" s="48" t="s">
        <v>80</v>
      </c>
      <c r="Y132" s="48" t="s">
        <v>80</v>
      </c>
      <c r="Z132" s="48" t="s">
        <v>81</v>
      </c>
      <c r="AA132" s="48" t="s">
        <v>80</v>
      </c>
      <c r="AB132" s="48" t="s">
        <v>80</v>
      </c>
      <c r="AC132" s="48" t="s">
        <v>80</v>
      </c>
      <c r="AD132" s="48" t="s">
        <v>80</v>
      </c>
      <c r="AE132" s="48" t="s">
        <v>80</v>
      </c>
      <c r="AF132" s="48" t="s">
        <v>83</v>
      </c>
      <c r="AG132" s="48" t="s">
        <v>84</v>
      </c>
      <c r="AH132" s="48" t="s">
        <v>80</v>
      </c>
      <c r="AI132" s="48" t="s">
        <v>80</v>
      </c>
      <c r="AJ132" s="48" t="s">
        <v>80</v>
      </c>
      <c r="AK132" s="48" t="s">
        <v>80</v>
      </c>
      <c r="AL132" s="48" t="s">
        <v>80</v>
      </c>
      <c r="AM132" t="str">
        <f>VLOOKUP($R132,武学奇术!$A:$ZZ,25,FALSE)</f>
        <v>群体奇术</v>
      </c>
      <c r="AN132" s="33">
        <f>VLOOKUP($R132,武学奇术!$A:$ZZ,26,FALSE)</f>
        <v>1.4906</v>
      </c>
      <c r="AO132" s="34">
        <f>VLOOKUP($R132,武学奇术!$A:$ZZ,27,FALSE)*(1+IF(OR($AM132=$F$4,$AM132=$F$5),$B$22,0))</f>
        <v>386</v>
      </c>
      <c r="AP132" s="33">
        <f>VLOOKUP($R132,武学奇术!$A:$ZZ,28,FALSE)</f>
        <v>2.2359</v>
      </c>
      <c r="AQ132" s="34">
        <f>VLOOKUP($R132,武学奇术!$A:$ZZ,29,FALSE)*(1+IF(OR($AM132=$F$4,$AM132=$F$5),$B$22,0))</f>
        <v>0</v>
      </c>
      <c r="AR132" s="33" cm="1">
        <f t="array" ref="AR132">$G$3+IFERROR(VLOOKUP($AM132,$F$4:$G$7,2,FALSE),0)+VLOOKUP($R132,武学奇术!$A:$ZZ,2,FALSE)+SUM(_xlfn.XLOOKUP($S132:$AL132,增益!$A:$A,增益!$B:$B,0))</f>
        <v>0.3842</v>
      </c>
      <c r="AS132" s="33" cm="1">
        <f t="array" ref="AS132">VLOOKUP($R132,武学奇术!$A:$ZZ,5,FALSE)+SUM(_xlfn.XLOOKUP($S132:$AL132,增益!$A:$A,增益!$E:$E,0))</f>
        <v>0</v>
      </c>
      <c r="AT132" cm="1">
        <f t="array" ref="AT132">$D$10*(1+$AS132)+VLOOKUP($R132,武学奇术!$A:$ZZ,3,FALSE)+SUM(_xlfn.XLOOKUP($S132:$AL132,增益!$A:$A,增益!$C:$C,0))-$I$2</f>
        <v>4026</v>
      </c>
      <c r="AU132" cm="1">
        <f t="array" ref="AU132">$E$10*(1+$AS132)+VLOOKUP($R132,武学奇术!$A:$ZZ,4,FALSE)+SUM(_xlfn.XLOOKUP($S132:$AL132,增益!$A:$A,增益!$D:$D,0))-$I$2</f>
        <v>4026</v>
      </c>
      <c r="AV132" s="40" cm="1">
        <f t="array" ref="AV132">IF($F$10-$I$3+VLOOKUP($R132,武学奇术!$A:$ZZ,6,FALSE)+SUM(_xlfn.XLOOKUP($S132:$AL132,增益!$A:$A,增益!$F:$F,0))&gt;0,($F$10-$I$3+VLOOKUP($R132,武学奇术!$A:$ZZ,6,FALSE)+SUM(_xlfn.XLOOKUP($S132:$AL132,增益!$A:$A,增益!$F:$F,0)))/200,($F$10-$I$3+VLOOKUP($R132,武学奇术!$A:$ZZ,6,FALSE)+SUM(_xlfn.XLOOKUP($S132:$AL132,增益!$A:$A,增益!$F:$F,0)))/100)</f>
        <v>0.3284</v>
      </c>
      <c r="AW132" s="40" cm="1">
        <f t="array" ref="AW132">$G$10+VLOOKUP($R132,武学奇术!$A:$ZZ,7,FALSE)+SUM(_xlfn.XLOOKUP($S132:$AL132,增益!$A:$A,增益!$G:$G,0))</f>
        <v>0.12</v>
      </c>
      <c r="AX132" s="33" cm="1">
        <f t="array" ref="AX132">VLOOKUP($R132,武学奇术!$A:$ZZ,8,FALSE)+SUM(_xlfn.XLOOKUP($S132:$AL132,增益!$A:$A,增益!$H:$H,0))</f>
        <v>0</v>
      </c>
      <c r="AY132">
        <f t="shared" si="34"/>
        <v>0</v>
      </c>
      <c r="AZ132">
        <f t="shared" si="35"/>
        <v>0</v>
      </c>
      <c r="BA132" s="40" cm="1">
        <f t="array" ref="BA132">IF($F$11-$I$4+VLOOKUP($R132,武学奇术!$A:$ZZ,9,FALSE)+SUM(_xlfn.XLOOKUP($S132:$AL132,增益!$A:$A,增益!$I:$I,0))&gt;0,($F$11-$I$4+VLOOKUP($R132,武学奇术!$A:$ZZ,9,FALSE)+SUM(_xlfn.XLOOKUP($S132:$AL132,增益!$A:$A,增益!$I:$I,0)))/200,($F$11-$I$4+VLOOKUP($R132,武学奇术!$A:$ZZ,9,FALSE)+SUM(_xlfn.XLOOKUP($S132:$AL132,增益!$A:$A,增益!$I:$I,0)))/100)</f>
        <v>-0.14</v>
      </c>
      <c r="BB132" s="40" cm="1">
        <f t="array" ref="BB132">$G$11+VLOOKUP($R132,武学奇术!$A:$ZZ,10,FALSE)+SUM(_xlfn.XLOOKUP($S132:$AL132,增益!$A:$A,增益!$J:$J,0))</f>
        <v>0</v>
      </c>
      <c r="BC132">
        <f t="shared" si="36"/>
        <v>640.3</v>
      </c>
      <c r="BD132">
        <f t="shared" si="37"/>
        <v>1770.1</v>
      </c>
      <c r="BE132" s="40" cm="1">
        <f t="array" ref="BE132">IF($F$12-$I$4+VLOOKUP($R132,武学奇术!$A:$ZZ,11,FALSE)+SUM(_xlfn.XLOOKUP($S132:$AL132,增益!$A:$A,增益!$K:$K,0))&gt;0,($F$12-$I$4+VLOOKUP($R132,武学奇术!$A:$ZZ,11,FALSE)+SUM(_xlfn.XLOOKUP($S132:$AL132,增益!$A:$A,增益!$K:$K,0)))/200,($F$12-$I$4+VLOOKUP($R132,武学奇术!$A:$ZZ,11,FALSE)+SUM(_xlfn.XLOOKUP($S132:$AL132,增益!$A:$A,增益!$K:$K,0)))/100)</f>
        <v>0.17</v>
      </c>
      <c r="BF132" s="40" cm="1">
        <f t="array" ref="BF132">$G$12+VLOOKUP($R132,武学奇术!$A:$ZZ,12,FALSE)+SUM(_xlfn.XLOOKUP($S132:$AL132,增益!$A:$A,增益!$L:$L,0))</f>
        <v>0.27</v>
      </c>
      <c r="BG132">
        <f t="shared" si="38"/>
        <v>0</v>
      </c>
      <c r="BH132">
        <f t="shared" si="39"/>
        <v>0</v>
      </c>
      <c r="BI132" s="40" cm="1">
        <f t="array" ref="BI132">IF($F$13-$I$4+VLOOKUP($R132,武学奇术!$A:$ZZ,13,FALSE)+SUM(_xlfn.XLOOKUP($S132:$AL132,增益!$A:$A,增益!$M:$M,0))&gt;0,($F$13-$I$4+VLOOKUP($R132,武学奇术!$A:$ZZ,13,FALSE)+SUM(_xlfn.XLOOKUP($S132:$AL132,增益!$A:$A,增益!$K:$K,0)))/200,($F$13-$I$4+VLOOKUP($R132,武学奇术!$A:$ZZ,13,FALSE)+SUM(_xlfn.XLOOKUP($S132:$AL132,增益!$A:$A,增益!$M:$M,0)))/100)</f>
        <v>-0.14</v>
      </c>
      <c r="BJ132" s="40" cm="1">
        <f t="array" ref="BJ132">$G$13+VLOOKUP($R132,武学奇术!$A:$ZZ,14,FALSE)+SUM(_xlfn.XLOOKUP($S132:$AL132,增益!$A:$A,增益!$N:$N,0))</f>
        <v>0</v>
      </c>
      <c r="BK132">
        <f t="shared" si="40"/>
        <v>0</v>
      </c>
      <c r="BL132">
        <f t="shared" si="41"/>
        <v>0</v>
      </c>
      <c r="BM132" s="40" cm="1">
        <f t="array" ref="BM132">IF($F$14-$I$4+VLOOKUP($R132,武学奇术!$A:$ZZ,15,FALSE)+SUM(_xlfn.XLOOKUP($S132:$AL132,增益!$A:$A,增益!$O:$O,0))&gt;0,($F$14-$I$4+VLOOKUP($R132,武学奇术!$A:$ZZ,15,FALSE)+SUM(_xlfn.XLOOKUP($S132:$AL132,增益!$A:$A,增益!$O:$O,0)))/200,($F$14-$I$4+VLOOKUP($R132,武学奇术!$A:$ZZ,15,FALSE)+SUM(_xlfn.XLOOKUP($S132:$AL132,增益!$A:$A,增益!$O:$O,0)))/100)</f>
        <v>-0.14</v>
      </c>
      <c r="BN132" s="40" cm="1">
        <f t="array" ref="BN132">$G$14+VLOOKUP($R132,武学奇术!$A:$ZZ,16,FALSE)+SUM(_xlfn.XLOOKUP($S132:$AL132,增益!$A:$A,增益!$P:$P,0))</f>
        <v>0</v>
      </c>
      <c r="BO132" s="33">
        <f>MIN(IF(VLOOKUP($R132,武学奇术!$A:$ZZ,23,FALSE)=1,100%,$B$8),100%)</f>
        <v>0.9771</v>
      </c>
      <c r="BP132" s="33" cm="1">
        <f t="array" ref="BP132">IF(VLOOKUP($R132,武学奇术!$A:$ZZ,23,FALSE)=1,100%,MIN(80%,$B$9+VLOOKUP($R132,武学奇术!$A:$ZZ,17,FALSE)+SUM(_xlfn.XLOOKUP($S132:$AL132,增益!$A:$A,增益!$Q:$Q,0)))+$B$11+SUM(_xlfn.XLOOKUP($S132:$AL132,增益!$A:$A,增益!$U:$U,0)))*IF(VLOOKUP($R132,武学奇术!$A:$ZZ,24,FALSE)=1,0,1)</f>
        <v>0.8861</v>
      </c>
      <c r="BQ132" s="33" cm="1">
        <f t="array" ref="BQ132">1+$B$13+VLOOKUP($R132,武学奇术!$A:$ZZ,18,FALSE)+SUM(_xlfn.XLOOKUP($S132:$AL132,增益!$A:$A,增益!$R:$R,0))</f>
        <v>1.88</v>
      </c>
      <c r="BR132" s="33" cm="1">
        <f t="array" ref="BR132">IF(VLOOKUP($R132,武学奇术!$A:$ZZ,24,FALSE)=1,100%,MIN(40%,$B$10+VLOOKUP($R132,武学奇术!$A:$ZZ,19,FALSE)+SUM(_xlfn.XLOOKUP($S132:$AL132,增益!$A:$A,增益!$S:$S,0)))+$B$12+SUM(_xlfn.XLOOKUP($S132:$AL132,增益!$A:$A,增益!$V:$V,0)))*IF(VLOOKUP($R132,武学奇术!$A:$ZZ,23,FALSE)=1,0,1)</f>
        <v>0.0913</v>
      </c>
      <c r="BS132" s="33" cm="1">
        <f t="array" ref="BS132">1+$B$14+VLOOKUP($R132,武学奇术!$A:$ZZ,20,FALSE)+SUM(_xlfn.XLOOKUP($S132:$AL132,增益!$A:$A,增益!$T:$T,0))</f>
        <v>1.35</v>
      </c>
      <c r="BT132" s="33">
        <f t="shared" si="42"/>
        <v>0.86580831</v>
      </c>
      <c r="BU132" s="33">
        <f t="shared" si="43"/>
        <v>0.02208246</v>
      </c>
      <c r="BV132" s="33">
        <f>IF(VLOOKUP($R132,武学奇术!$A:$ZZ,22,FALSE)=1,0,(1-$BO132))*(1-$BR132)</f>
        <v>0.02080923</v>
      </c>
      <c r="BW132" s="33" cm="1">
        <f t="array" ref="BW132">SUM(_xlfn.XLOOKUP($S132:$AL132,增益!$A:$A,增益!$W:$W,0))+$I$5</f>
        <v>0.11</v>
      </c>
      <c r="BX132" s="33" cm="1">
        <f t="array" ref="BX132">VLOOKUP($R132,武学奇术!$A:$ZZ,32,FALSE)+SUM(_xlfn.XLOOKUP($S132:$AL132,增益!$A:$A,增益!$X:$X,0))</f>
        <v>0</v>
      </c>
    </row>
    <row r="133" spans="12:76">
      <c r="L133" s="46">
        <f t="shared" si="33"/>
        <v>0</v>
      </c>
      <c r="M133" s="46">
        <f>((($AT133+$AU133)/2*$AN133+$AO133)*(1+$AV133)*(1+$AW133)+(($AY133+$AZ133)/2*IF($G$1="鸣金",$AP133,$AN133)+IF($G$1="鸣金",$AQ133*1.5,0))*(1+$BA133)*(1+$BB133)+(($BC133+$BD133)/2*IF($G$1="裂石",$AP133,$AN133)+IF($G$1="裂石",$AQ133*1.5,0))*(1+$BE133)*(1+$BF133)+(($BG133+$BH133)/2*IF($G$1="牵丝",$AP133,$AN133)+IF($G$1="牵丝",$AQ133*1.5,0))*(1+$BI133)*(1+$BJ133)+(($BK133+$BL133)/2*IF($G$1="破竹",$AP133,$AN133)+IF($G$1="破竹",$AQ133*1.5,0))*(1+$BM133)*(1+$BN133))*(1+$AR133)*$BQ133*$Q133*(1+IF(VLOOKUP($R133,武学奇术!$A:$ZZ,30,FALSE)="蓄力技",$B$21,0))*(1+IF(VLOOKUP($R133,武学奇术!$A:$ZZ,30,FALSE)="派生技",$B$20,0))*(1+$BW133)*(1+$BX133)</f>
        <v>0</v>
      </c>
      <c r="N133" s="46">
        <f>(($AU133*$AN133+$AO133)*(1+$AV133)*(1+$AW133)+($AZ133*IF($G$1="鸣金",$AP133,$AN133)+IF($G$1="鸣金",$AQ133*1.5,0))*(1+$BA133)*(1+$BB133)+($BD133*IF($G$1="裂石",$AP133,$AN133)+IF($G$1="裂石",$AQ133*1.5,0))*(1+$BE133)*(1+$BF133)+($BH133*IF($G$1="牵丝",$AP133,$AN133)+IF($G$1="牵丝",$AQ133*1.5,0))*(1+$BI133)*(1+$BJ133)+($BL133*IF($G$1="破竹",$AP133,$AN133)+IF($G$1="破竹",$AQ133*1.5,0))*(1+$BM133)*(1+$BN133))*(1+$AR133)*$BS133*$Q133*(1+IF(VLOOKUP($R133,武学奇术!$A:$ZZ,30,FALSE)="蓄力技",$B$21,0))*(1+IF(VLOOKUP($R133,武学奇术!$A:$ZZ,30,FALSE)="派生技",$B$20,0))*(1+$BW133)*(1+$BX133)</f>
        <v>0</v>
      </c>
      <c r="O133" s="46">
        <f>((($AT133+$AU133)/2*$AN133+$AO133)*(1+$AV133)*(1+$AW133)+(($AY133+$AZ133)/2*IF($G$1="鸣金",$AP133,$AN133)+IF($G$1="鸣金",$AQ133*1.5,0))*(1+$BA133)*(1+$BB133)+(($BC133+$BD133)/2*IF($G$1="裂石",$AP133,$AN133)+IF($G$1="裂石",$AQ133*1.5,0))*(1+$BE133)*(1+$BF133)+(($BG133+$BH133)/2*IF($G$1="牵丝",$AP133,$AN133)+IF($G$1="牵丝",$AQ133*1.5,0))*(1+$BI133)*(1+$BJ133)+(($BK133+$BL133)/2*IF($G$1="破竹",$AP133,$AN133)+IF($G$1="破竹",$AQ133*1.5,0))*(1+$BM133)*(1+$BN133))*(1+$AR133)*$Q133*(1+IF(VLOOKUP($R133,武学奇术!$A:$ZZ,30,FALSE)="蓄力技",$B$21,0))*(1+IF(VLOOKUP($R133,武学奇术!$A:$ZZ,30,FALSE)="派生技",$B$20,0))*(1+$BW133)*(1+$BX133)</f>
        <v>0</v>
      </c>
      <c r="P133" s="46">
        <f>((($AT133*$AN133+$AO133)*(1+$AV133)*(1+$AW133)+($AY133*IF($G$1="鸣金",$AP133,$AN133)+IF($G$1="鸣金",$AQ133*1.5,0))*(1+$BA133)*(1+$BB133)+($BC133*IF($G$1="裂石",$AP133,$AN133)+IF($G$1="裂石",$AQ133*1.5,0))*(1+$BE133)*(1+$BF133)+($BG133*IF($G$1="牵丝",$AP133,$AN133)+IF($G$1="牵丝",$AQ133*1.5,0))*(1+$BI133)*(1+$BJ133)+($BK133*IF($G$1="破竹",$AP133,$AN133)+IF($G$1="破竹",$AQ133*1.5,0))*(1+$BM133)*(1+$BN133))*(1+$AR133))*$Q133*(1+IF(VLOOKUP($R133,武学奇术!$A:$ZZ,30,FALSE)="蓄力技",$B$21,0))*(1+IF(VLOOKUP($R133,武学奇术!$A:$ZZ,30,FALSE)="派生技",$B$20,0))*(1+$BW133)*(1+$BX133)</f>
        <v>0</v>
      </c>
      <c r="Q133" s="47">
        <f t="shared" si="32"/>
        <v>0</v>
      </c>
      <c r="R133" s="48" t="s">
        <v>76</v>
      </c>
      <c r="S133" s="48" t="s">
        <v>99</v>
      </c>
      <c r="T133" s="48" t="s">
        <v>103</v>
      </c>
      <c r="U133" s="48" t="s">
        <v>79</v>
      </c>
      <c r="V133" s="48" t="s">
        <v>90</v>
      </c>
      <c r="W133" s="48" t="s">
        <v>91</v>
      </c>
      <c r="X133" s="48" t="s">
        <v>80</v>
      </c>
      <c r="Y133" s="48" t="s">
        <v>80</v>
      </c>
      <c r="Z133" s="48" t="s">
        <v>81</v>
      </c>
      <c r="AA133" s="48" t="s">
        <v>80</v>
      </c>
      <c r="AB133" s="48" t="s">
        <v>80</v>
      </c>
      <c r="AC133" s="48" t="s">
        <v>80</v>
      </c>
      <c r="AD133" s="48" t="s">
        <v>80</v>
      </c>
      <c r="AE133" s="48" t="s">
        <v>80</v>
      </c>
      <c r="AF133" s="48" t="s">
        <v>83</v>
      </c>
      <c r="AG133" s="48" t="s">
        <v>84</v>
      </c>
      <c r="AH133" s="48" t="s">
        <v>80</v>
      </c>
      <c r="AI133" s="48" t="s">
        <v>80</v>
      </c>
      <c r="AJ133" s="48" t="s">
        <v>80</v>
      </c>
      <c r="AK133" s="48" t="s">
        <v>80</v>
      </c>
      <c r="AL133" s="48" t="s">
        <v>80</v>
      </c>
      <c r="AM133" t="str">
        <f>VLOOKUP($R133,武学奇术!$A:$ZZ,25,FALSE)</f>
        <v>群体奇术</v>
      </c>
      <c r="AN133" s="33">
        <f>VLOOKUP($R133,武学奇术!$A:$ZZ,26,FALSE)</f>
        <v>1.4906</v>
      </c>
      <c r="AO133" s="34">
        <f>VLOOKUP($R133,武学奇术!$A:$ZZ,27,FALSE)*(1+IF(OR($AM133=$F$4,$AM133=$F$5),$B$22,0))</f>
        <v>386</v>
      </c>
      <c r="AP133" s="33">
        <f>VLOOKUP($R133,武学奇术!$A:$ZZ,28,FALSE)</f>
        <v>2.2359</v>
      </c>
      <c r="AQ133" s="34">
        <f>VLOOKUP($R133,武学奇术!$A:$ZZ,29,FALSE)*(1+IF(OR($AM133=$F$4,$AM133=$F$5),$B$22,0))</f>
        <v>0</v>
      </c>
      <c r="AR133" s="33" cm="1">
        <f t="array" ref="AR133">$G$3+IFERROR(VLOOKUP($AM133,$F$4:$G$7,2,FALSE),0)+VLOOKUP($R133,武学奇术!$A:$ZZ,2,FALSE)+SUM(_xlfn.XLOOKUP($S133:$AL133,增益!$A:$A,增益!$B:$B,0))</f>
        <v>0.3842</v>
      </c>
      <c r="AS133" s="33" cm="1">
        <f t="array" ref="AS133">VLOOKUP($R133,武学奇术!$A:$ZZ,5,FALSE)+SUM(_xlfn.XLOOKUP($S133:$AL133,增益!$A:$A,增益!$E:$E,0))</f>
        <v>0</v>
      </c>
      <c r="AT133" cm="1">
        <f t="array" ref="AT133">$D$10*(1+$AS133)+VLOOKUP($R133,武学奇术!$A:$ZZ,3,FALSE)+SUM(_xlfn.XLOOKUP($S133:$AL133,增益!$A:$A,增益!$C:$C,0))-$I$2</f>
        <v>4026</v>
      </c>
      <c r="AU133" cm="1">
        <f t="array" ref="AU133">$E$10*(1+$AS133)+VLOOKUP($R133,武学奇术!$A:$ZZ,4,FALSE)+SUM(_xlfn.XLOOKUP($S133:$AL133,增益!$A:$A,增益!$D:$D,0))-$I$2</f>
        <v>4026</v>
      </c>
      <c r="AV133" s="40" cm="1">
        <f t="array" ref="AV133">IF($F$10-$I$3+VLOOKUP($R133,武学奇术!$A:$ZZ,6,FALSE)+SUM(_xlfn.XLOOKUP($S133:$AL133,增益!$A:$A,增益!$F:$F,0))&gt;0,($F$10-$I$3+VLOOKUP($R133,武学奇术!$A:$ZZ,6,FALSE)+SUM(_xlfn.XLOOKUP($S133:$AL133,增益!$A:$A,增益!$F:$F,0)))/200,($F$10-$I$3+VLOOKUP($R133,武学奇术!$A:$ZZ,6,FALSE)+SUM(_xlfn.XLOOKUP($S133:$AL133,增益!$A:$A,增益!$F:$F,0)))/100)</f>
        <v>0.3284</v>
      </c>
      <c r="AW133" s="40" cm="1">
        <f t="array" ref="AW133">$G$10+VLOOKUP($R133,武学奇术!$A:$ZZ,7,FALSE)+SUM(_xlfn.XLOOKUP($S133:$AL133,增益!$A:$A,增益!$G:$G,0))</f>
        <v>0.12</v>
      </c>
      <c r="AX133" s="33" cm="1">
        <f t="array" ref="AX133">VLOOKUP($R133,武学奇术!$A:$ZZ,8,FALSE)+SUM(_xlfn.XLOOKUP($S133:$AL133,增益!$A:$A,增益!$H:$H,0))</f>
        <v>0</v>
      </c>
      <c r="AY133">
        <f t="shared" si="34"/>
        <v>0</v>
      </c>
      <c r="AZ133">
        <f t="shared" si="35"/>
        <v>0</v>
      </c>
      <c r="BA133" s="40" cm="1">
        <f t="array" ref="BA133">IF($F$11-$I$4+VLOOKUP($R133,武学奇术!$A:$ZZ,9,FALSE)+SUM(_xlfn.XLOOKUP($S133:$AL133,增益!$A:$A,增益!$I:$I,0))&gt;0,($F$11-$I$4+VLOOKUP($R133,武学奇术!$A:$ZZ,9,FALSE)+SUM(_xlfn.XLOOKUP($S133:$AL133,增益!$A:$A,增益!$I:$I,0)))/200,($F$11-$I$4+VLOOKUP($R133,武学奇术!$A:$ZZ,9,FALSE)+SUM(_xlfn.XLOOKUP($S133:$AL133,增益!$A:$A,增益!$I:$I,0)))/100)</f>
        <v>-0.14</v>
      </c>
      <c r="BB133" s="40" cm="1">
        <f t="array" ref="BB133">$G$11+VLOOKUP($R133,武学奇术!$A:$ZZ,10,FALSE)+SUM(_xlfn.XLOOKUP($S133:$AL133,增益!$A:$A,增益!$J:$J,0))</f>
        <v>0</v>
      </c>
      <c r="BC133">
        <f t="shared" si="36"/>
        <v>640.3</v>
      </c>
      <c r="BD133">
        <f t="shared" si="37"/>
        <v>1770.1</v>
      </c>
      <c r="BE133" s="40" cm="1">
        <f t="array" ref="BE133">IF($F$12-$I$4+VLOOKUP($R133,武学奇术!$A:$ZZ,11,FALSE)+SUM(_xlfn.XLOOKUP($S133:$AL133,增益!$A:$A,增益!$K:$K,0))&gt;0,($F$12-$I$4+VLOOKUP($R133,武学奇术!$A:$ZZ,11,FALSE)+SUM(_xlfn.XLOOKUP($S133:$AL133,增益!$A:$A,增益!$K:$K,0)))/200,($F$12-$I$4+VLOOKUP($R133,武学奇术!$A:$ZZ,11,FALSE)+SUM(_xlfn.XLOOKUP($S133:$AL133,增益!$A:$A,增益!$K:$K,0)))/100)</f>
        <v>0.17</v>
      </c>
      <c r="BF133" s="40" cm="1">
        <f t="array" ref="BF133">$G$12+VLOOKUP($R133,武学奇术!$A:$ZZ,12,FALSE)+SUM(_xlfn.XLOOKUP($S133:$AL133,增益!$A:$A,增益!$L:$L,0))</f>
        <v>0.27</v>
      </c>
      <c r="BG133">
        <f t="shared" si="38"/>
        <v>0</v>
      </c>
      <c r="BH133">
        <f t="shared" si="39"/>
        <v>0</v>
      </c>
      <c r="BI133" s="40" cm="1">
        <f t="array" ref="BI133">IF($F$13-$I$4+VLOOKUP($R133,武学奇术!$A:$ZZ,13,FALSE)+SUM(_xlfn.XLOOKUP($S133:$AL133,增益!$A:$A,增益!$M:$M,0))&gt;0,($F$13-$I$4+VLOOKUP($R133,武学奇术!$A:$ZZ,13,FALSE)+SUM(_xlfn.XLOOKUP($S133:$AL133,增益!$A:$A,增益!$K:$K,0)))/200,($F$13-$I$4+VLOOKUP($R133,武学奇术!$A:$ZZ,13,FALSE)+SUM(_xlfn.XLOOKUP($S133:$AL133,增益!$A:$A,增益!$M:$M,0)))/100)</f>
        <v>-0.14</v>
      </c>
      <c r="BJ133" s="40" cm="1">
        <f t="array" ref="BJ133">$G$13+VLOOKUP($R133,武学奇术!$A:$ZZ,14,FALSE)+SUM(_xlfn.XLOOKUP($S133:$AL133,增益!$A:$A,增益!$N:$N,0))</f>
        <v>0</v>
      </c>
      <c r="BK133">
        <f t="shared" si="40"/>
        <v>0</v>
      </c>
      <c r="BL133">
        <f t="shared" si="41"/>
        <v>0</v>
      </c>
      <c r="BM133" s="40" cm="1">
        <f t="array" ref="BM133">IF($F$14-$I$4+VLOOKUP($R133,武学奇术!$A:$ZZ,15,FALSE)+SUM(_xlfn.XLOOKUP($S133:$AL133,增益!$A:$A,增益!$O:$O,0))&gt;0,($F$14-$I$4+VLOOKUP($R133,武学奇术!$A:$ZZ,15,FALSE)+SUM(_xlfn.XLOOKUP($S133:$AL133,增益!$A:$A,增益!$O:$O,0)))/200,($F$14-$I$4+VLOOKUP($R133,武学奇术!$A:$ZZ,15,FALSE)+SUM(_xlfn.XLOOKUP($S133:$AL133,增益!$A:$A,增益!$O:$O,0)))/100)</f>
        <v>-0.14</v>
      </c>
      <c r="BN133" s="40" cm="1">
        <f t="array" ref="BN133">$G$14+VLOOKUP($R133,武学奇术!$A:$ZZ,16,FALSE)+SUM(_xlfn.XLOOKUP($S133:$AL133,增益!$A:$A,增益!$P:$P,0))</f>
        <v>0</v>
      </c>
      <c r="BO133" s="33">
        <f>MIN(IF(VLOOKUP($R133,武学奇术!$A:$ZZ,23,FALSE)=1,100%,$B$8),100%)</f>
        <v>0.9771</v>
      </c>
      <c r="BP133" s="33" cm="1">
        <f t="array" ref="BP133">IF(VLOOKUP($R133,武学奇术!$A:$ZZ,23,FALSE)=1,100%,MIN(80%,$B$9+VLOOKUP($R133,武学奇术!$A:$ZZ,17,FALSE)+SUM(_xlfn.XLOOKUP($S133:$AL133,增益!$A:$A,增益!$Q:$Q,0)))+$B$11+SUM(_xlfn.XLOOKUP($S133:$AL133,增益!$A:$A,增益!$U:$U,0)))*IF(VLOOKUP($R133,武学奇术!$A:$ZZ,24,FALSE)=1,0,1)</f>
        <v>0.8861</v>
      </c>
      <c r="BQ133" s="33" cm="1">
        <f t="array" ref="BQ133">1+$B$13+VLOOKUP($R133,武学奇术!$A:$ZZ,18,FALSE)+SUM(_xlfn.XLOOKUP($S133:$AL133,增益!$A:$A,增益!$R:$R,0))</f>
        <v>1.9</v>
      </c>
      <c r="BR133" s="33" cm="1">
        <f t="array" ref="BR133">IF(VLOOKUP($R133,武学奇术!$A:$ZZ,24,FALSE)=1,100%,MIN(40%,$B$10+VLOOKUP($R133,武学奇术!$A:$ZZ,19,FALSE)+SUM(_xlfn.XLOOKUP($S133:$AL133,增益!$A:$A,增益!$S:$S,0)))+$B$12+SUM(_xlfn.XLOOKUP($S133:$AL133,增益!$A:$A,增益!$V:$V,0)))*IF(VLOOKUP($R133,武学奇术!$A:$ZZ,23,FALSE)=1,0,1)</f>
        <v>0.0913</v>
      </c>
      <c r="BS133" s="33" cm="1">
        <f t="array" ref="BS133">1+$B$14+VLOOKUP($R133,武学奇术!$A:$ZZ,20,FALSE)+SUM(_xlfn.XLOOKUP($S133:$AL133,增益!$A:$A,增益!$T:$T,0))</f>
        <v>1.35</v>
      </c>
      <c r="BT133" s="33">
        <f t="shared" si="42"/>
        <v>0.86580831</v>
      </c>
      <c r="BU133" s="33">
        <f t="shared" si="43"/>
        <v>0.02208246</v>
      </c>
      <c r="BV133" s="33">
        <f>IF(VLOOKUP($R133,武学奇术!$A:$ZZ,22,FALSE)=1,0,(1-$BO133))*(1-$BR133)</f>
        <v>0.02080923</v>
      </c>
      <c r="BW133" s="33" cm="1">
        <f t="array" ref="BW133">SUM(_xlfn.XLOOKUP($S133:$AL133,增益!$A:$A,增益!$W:$W,0))+$I$5</f>
        <v>0.11</v>
      </c>
      <c r="BX133" s="33" cm="1">
        <f t="array" ref="BX133">VLOOKUP($R133,武学奇术!$A:$ZZ,32,FALSE)+SUM(_xlfn.XLOOKUP($S133:$AL133,增益!$A:$A,增益!$X:$X,0))</f>
        <v>0</v>
      </c>
    </row>
    <row r="134" spans="12:76">
      <c r="L134" s="46">
        <f t="shared" si="33"/>
        <v>0</v>
      </c>
      <c r="M134" s="46">
        <f>((($AT134+$AU134)/2*$AN134+$AO134)*(1+$AV134)*(1+$AW134)+(($AY134+$AZ134)/2*IF($G$1="鸣金",$AP134,$AN134)+IF($G$1="鸣金",$AQ134*1.5,0))*(1+$BA134)*(1+$BB134)+(($BC134+$BD134)/2*IF($G$1="裂石",$AP134,$AN134)+IF($G$1="裂石",$AQ134*1.5,0))*(1+$BE134)*(1+$BF134)+(($BG134+$BH134)/2*IF($G$1="牵丝",$AP134,$AN134)+IF($G$1="牵丝",$AQ134*1.5,0))*(1+$BI134)*(1+$BJ134)+(($BK134+$BL134)/2*IF($G$1="破竹",$AP134,$AN134)+IF($G$1="破竹",$AQ134*1.5,0))*(1+$BM134)*(1+$BN134))*(1+$AR134)*$BQ134*$Q134*(1+IF(VLOOKUP($R134,武学奇术!$A:$ZZ,30,FALSE)="蓄力技",$B$21,0))*(1+IF(VLOOKUP($R134,武学奇术!$A:$ZZ,30,FALSE)="派生技",$B$20,0))*(1+$BW134)*(1+$BX134)</f>
        <v>0</v>
      </c>
      <c r="N134" s="46">
        <f>(($AU134*$AN134+$AO134)*(1+$AV134)*(1+$AW134)+($AZ134*IF($G$1="鸣金",$AP134,$AN134)+IF($G$1="鸣金",$AQ134*1.5,0))*(1+$BA134)*(1+$BB134)+($BD134*IF($G$1="裂石",$AP134,$AN134)+IF($G$1="裂石",$AQ134*1.5,0))*(1+$BE134)*(1+$BF134)+($BH134*IF($G$1="牵丝",$AP134,$AN134)+IF($G$1="牵丝",$AQ134*1.5,0))*(1+$BI134)*(1+$BJ134)+($BL134*IF($G$1="破竹",$AP134,$AN134)+IF($G$1="破竹",$AQ134*1.5,0))*(1+$BM134)*(1+$BN134))*(1+$AR134)*$BS134*$Q134*(1+IF(VLOOKUP($R134,武学奇术!$A:$ZZ,30,FALSE)="蓄力技",$B$21,0))*(1+IF(VLOOKUP($R134,武学奇术!$A:$ZZ,30,FALSE)="派生技",$B$20,0))*(1+$BW134)*(1+$BX134)</f>
        <v>0</v>
      </c>
      <c r="O134" s="46">
        <f>((($AT134+$AU134)/2*$AN134+$AO134)*(1+$AV134)*(1+$AW134)+(($AY134+$AZ134)/2*IF($G$1="鸣金",$AP134,$AN134)+IF($G$1="鸣金",$AQ134*1.5,0))*(1+$BA134)*(1+$BB134)+(($BC134+$BD134)/2*IF($G$1="裂石",$AP134,$AN134)+IF($G$1="裂石",$AQ134*1.5,0))*(1+$BE134)*(1+$BF134)+(($BG134+$BH134)/2*IF($G$1="牵丝",$AP134,$AN134)+IF($G$1="牵丝",$AQ134*1.5,0))*(1+$BI134)*(1+$BJ134)+(($BK134+$BL134)/2*IF($G$1="破竹",$AP134,$AN134)+IF($G$1="破竹",$AQ134*1.5,0))*(1+$BM134)*(1+$BN134))*(1+$AR134)*$Q134*(1+IF(VLOOKUP($R134,武学奇术!$A:$ZZ,30,FALSE)="蓄力技",$B$21,0))*(1+IF(VLOOKUP($R134,武学奇术!$A:$ZZ,30,FALSE)="派生技",$B$20,0))*(1+$BW134)*(1+$BX134)</f>
        <v>0</v>
      </c>
      <c r="P134" s="46">
        <f>((($AT134*$AN134+$AO134)*(1+$AV134)*(1+$AW134)+($AY134*IF($G$1="鸣金",$AP134,$AN134)+IF($G$1="鸣金",$AQ134*1.5,0))*(1+$BA134)*(1+$BB134)+($BC134*IF($G$1="裂石",$AP134,$AN134)+IF($G$1="裂石",$AQ134*1.5,0))*(1+$BE134)*(1+$BF134)+($BG134*IF($G$1="牵丝",$AP134,$AN134)+IF($G$1="牵丝",$AQ134*1.5,0))*(1+$BI134)*(1+$BJ134)+($BK134*IF($G$1="破竹",$AP134,$AN134)+IF($G$1="破竹",$AQ134*1.5,0))*(1+$BM134)*(1+$BN134))*(1+$AR134))*$Q134*(1+IF(VLOOKUP($R134,武学奇术!$A:$ZZ,30,FALSE)="蓄力技",$B$21,0))*(1+IF(VLOOKUP($R134,武学奇术!$A:$ZZ,30,FALSE)="派生技",$B$20,0))*(1+$BW134)*(1+$BX134)</f>
        <v>0</v>
      </c>
      <c r="Q134" s="47">
        <f t="shared" si="32"/>
        <v>0</v>
      </c>
      <c r="R134" s="48" t="s">
        <v>106</v>
      </c>
      <c r="S134" s="48" t="s">
        <v>77</v>
      </c>
      <c r="T134" s="48" t="s">
        <v>89</v>
      </c>
      <c r="U134" s="48" t="s">
        <v>79</v>
      </c>
      <c r="V134" s="48" t="s">
        <v>80</v>
      </c>
      <c r="W134" s="48" t="s">
        <v>91</v>
      </c>
      <c r="X134" s="48" t="s">
        <v>80</v>
      </c>
      <c r="Y134" s="48" t="s">
        <v>80</v>
      </c>
      <c r="Z134" s="48" t="s">
        <v>81</v>
      </c>
      <c r="AA134" s="48" t="s">
        <v>80</v>
      </c>
      <c r="AB134" s="48" t="s">
        <v>80</v>
      </c>
      <c r="AC134" s="48" t="s">
        <v>80</v>
      </c>
      <c r="AD134" s="48" t="s">
        <v>80</v>
      </c>
      <c r="AE134" s="48" t="s">
        <v>80</v>
      </c>
      <c r="AF134" s="48" t="s">
        <v>83</v>
      </c>
      <c r="AG134" s="48" t="s">
        <v>84</v>
      </c>
      <c r="AH134" s="48" t="s">
        <v>80</v>
      </c>
      <c r="AI134" s="48" t="s">
        <v>80</v>
      </c>
      <c r="AJ134" s="48" t="s">
        <v>80</v>
      </c>
      <c r="AK134" s="48" t="s">
        <v>80</v>
      </c>
      <c r="AL134" s="48" t="s">
        <v>80</v>
      </c>
      <c r="AM134" t="str">
        <f>VLOOKUP($R134,武学奇术!$A:$ZZ,25,FALSE)</f>
        <v>群体奇术</v>
      </c>
      <c r="AN134" s="33">
        <f>VLOOKUP($R134,武学奇术!$A:$ZZ,26,FALSE)</f>
        <v>2.3774</v>
      </c>
      <c r="AO134" s="34">
        <f>VLOOKUP($R134,武学奇术!$A:$ZZ,27,FALSE)*(1+IF(OR($AM134=$F$4,$AM134=$F$5),$B$22,0))</f>
        <v>476</v>
      </c>
      <c r="AP134" s="33">
        <f>VLOOKUP($R134,武学奇术!$A:$ZZ,28,FALSE)</f>
        <v>3.5661</v>
      </c>
      <c r="AQ134" s="34">
        <f>VLOOKUP($R134,武学奇术!$A:$ZZ,29,FALSE)*(1+IF(OR($AM134=$F$4,$AM134=$F$5),$B$22,0))</f>
        <v>0</v>
      </c>
      <c r="AR134" s="33" cm="1">
        <f t="array" ref="AR134">$G$3+IFERROR(VLOOKUP($AM134,$F$4:$G$7,2,FALSE),0)+VLOOKUP($R134,武学奇术!$A:$ZZ,2,FALSE)+SUM(_xlfn.XLOOKUP($S134:$AL134,增益!$A:$A,增益!$B:$B,0))</f>
        <v>0.2742</v>
      </c>
      <c r="AS134" s="33" cm="1">
        <f t="array" ref="AS134">VLOOKUP($R134,武学奇术!$A:$ZZ,5,FALSE)+SUM(_xlfn.XLOOKUP($S134:$AL134,增益!$A:$A,增益!$E:$E,0))</f>
        <v>0</v>
      </c>
      <c r="AT134" cm="1">
        <f t="array" ref="AT134">$D$10*(1+$AS134)+VLOOKUP($R134,武学奇术!$A:$ZZ,3,FALSE)+SUM(_xlfn.XLOOKUP($S134:$AL134,增益!$A:$A,增益!$C:$C,0))-$I$2</f>
        <v>4026</v>
      </c>
      <c r="AU134" cm="1">
        <f t="array" ref="AU134">$E$10*(1+$AS134)+VLOOKUP($R134,武学奇术!$A:$ZZ,4,FALSE)+SUM(_xlfn.XLOOKUP($S134:$AL134,增益!$A:$A,增益!$D:$D,0))-$I$2</f>
        <v>4026</v>
      </c>
      <c r="AV134" s="40" cm="1">
        <f t="array" ref="AV134">IF($F$10-$I$3+VLOOKUP($R134,武学奇术!$A:$ZZ,6,FALSE)+SUM(_xlfn.XLOOKUP($S134:$AL134,增益!$A:$A,增益!$F:$F,0))&gt;0,($F$10-$I$3+VLOOKUP($R134,武学奇术!$A:$ZZ,6,FALSE)+SUM(_xlfn.XLOOKUP($S134:$AL134,增益!$A:$A,增益!$F:$F,0)))/200,($F$10-$I$3+VLOOKUP($R134,武学奇术!$A:$ZZ,6,FALSE)+SUM(_xlfn.XLOOKUP($S134:$AL134,增益!$A:$A,增益!$F:$F,0)))/100)</f>
        <v>0.2984</v>
      </c>
      <c r="AW134" s="40" cm="1">
        <f t="array" ref="AW134">$G$10+VLOOKUP($R134,武学奇术!$A:$ZZ,7,FALSE)+SUM(_xlfn.XLOOKUP($S134:$AL134,增益!$A:$A,增益!$G:$G,0))</f>
        <v>0.12</v>
      </c>
      <c r="AX134" s="33" cm="1">
        <f t="array" ref="AX134">VLOOKUP($R134,武学奇术!$A:$ZZ,8,FALSE)+SUM(_xlfn.XLOOKUP($S134:$AL134,增益!$A:$A,增益!$H:$H,0))</f>
        <v>0</v>
      </c>
      <c r="AY134">
        <f t="shared" si="34"/>
        <v>0</v>
      </c>
      <c r="AZ134">
        <f t="shared" si="35"/>
        <v>0</v>
      </c>
      <c r="BA134" s="40" cm="1">
        <f t="array" ref="BA134">IF($F$11-$I$4+VLOOKUP($R134,武学奇术!$A:$ZZ,9,FALSE)+SUM(_xlfn.XLOOKUP($S134:$AL134,增益!$A:$A,增益!$I:$I,0))&gt;0,($F$11-$I$4+VLOOKUP($R134,武学奇术!$A:$ZZ,9,FALSE)+SUM(_xlfn.XLOOKUP($S134:$AL134,增益!$A:$A,增益!$I:$I,0)))/200,($F$11-$I$4+VLOOKUP($R134,武学奇术!$A:$ZZ,9,FALSE)+SUM(_xlfn.XLOOKUP($S134:$AL134,增益!$A:$A,增益!$I:$I,0)))/100)</f>
        <v>-0.3</v>
      </c>
      <c r="BB134" s="40" cm="1">
        <f t="array" ref="BB134">$G$11+VLOOKUP($R134,武学奇术!$A:$ZZ,10,FALSE)+SUM(_xlfn.XLOOKUP($S134:$AL134,增益!$A:$A,增益!$J:$J,0))</f>
        <v>0</v>
      </c>
      <c r="BC134">
        <f t="shared" si="36"/>
        <v>640.3</v>
      </c>
      <c r="BD134">
        <f t="shared" si="37"/>
        <v>1770.1</v>
      </c>
      <c r="BE134" s="40" cm="1">
        <f t="array" ref="BE134">IF($F$12-$I$4+VLOOKUP($R134,武学奇术!$A:$ZZ,11,FALSE)+SUM(_xlfn.XLOOKUP($S134:$AL134,增益!$A:$A,增益!$K:$K,0))&gt;0,($F$12-$I$4+VLOOKUP($R134,武学奇术!$A:$ZZ,11,FALSE)+SUM(_xlfn.XLOOKUP($S134:$AL134,增益!$A:$A,增益!$K:$K,0)))/200,($F$12-$I$4+VLOOKUP($R134,武学奇术!$A:$ZZ,11,FALSE)+SUM(_xlfn.XLOOKUP($S134:$AL134,增益!$A:$A,增益!$K:$K,0)))/100)</f>
        <v>0.09</v>
      </c>
      <c r="BF134" s="40" cm="1">
        <f t="array" ref="BF134">$G$12+VLOOKUP($R134,武学奇术!$A:$ZZ,12,FALSE)+SUM(_xlfn.XLOOKUP($S134:$AL134,增益!$A:$A,增益!$L:$L,0))</f>
        <v>0.27</v>
      </c>
      <c r="BG134">
        <f t="shared" si="38"/>
        <v>0</v>
      </c>
      <c r="BH134">
        <f t="shared" si="39"/>
        <v>0</v>
      </c>
      <c r="BI134" s="40" cm="1">
        <f t="array" ref="BI134">IF($F$13-$I$4+VLOOKUP($R134,武学奇术!$A:$ZZ,13,FALSE)+SUM(_xlfn.XLOOKUP($S134:$AL134,增益!$A:$A,增益!$M:$M,0))&gt;0,($F$13-$I$4+VLOOKUP($R134,武学奇术!$A:$ZZ,13,FALSE)+SUM(_xlfn.XLOOKUP($S134:$AL134,增益!$A:$A,增益!$K:$K,0)))/200,($F$13-$I$4+VLOOKUP($R134,武学奇术!$A:$ZZ,13,FALSE)+SUM(_xlfn.XLOOKUP($S134:$AL134,增益!$A:$A,增益!$M:$M,0)))/100)</f>
        <v>-0.3</v>
      </c>
      <c r="BJ134" s="40" cm="1">
        <f t="array" ref="BJ134">$G$13+VLOOKUP($R134,武学奇术!$A:$ZZ,14,FALSE)+SUM(_xlfn.XLOOKUP($S134:$AL134,增益!$A:$A,增益!$N:$N,0))</f>
        <v>0</v>
      </c>
      <c r="BK134">
        <f t="shared" si="40"/>
        <v>0</v>
      </c>
      <c r="BL134">
        <f t="shared" si="41"/>
        <v>0</v>
      </c>
      <c r="BM134" s="40" cm="1">
        <f t="array" ref="BM134">IF($F$14-$I$4+VLOOKUP($R134,武学奇术!$A:$ZZ,15,FALSE)+SUM(_xlfn.XLOOKUP($S134:$AL134,增益!$A:$A,增益!$O:$O,0))&gt;0,($F$14-$I$4+VLOOKUP($R134,武学奇术!$A:$ZZ,15,FALSE)+SUM(_xlfn.XLOOKUP($S134:$AL134,增益!$A:$A,增益!$O:$O,0)))/200,($F$14-$I$4+VLOOKUP($R134,武学奇术!$A:$ZZ,15,FALSE)+SUM(_xlfn.XLOOKUP($S134:$AL134,增益!$A:$A,增益!$O:$O,0)))/100)</f>
        <v>-0.3</v>
      </c>
      <c r="BN134" s="40" cm="1">
        <f t="array" ref="BN134">$G$14+VLOOKUP($R134,武学奇术!$A:$ZZ,16,FALSE)+SUM(_xlfn.XLOOKUP($S134:$AL134,增益!$A:$A,增益!$P:$P,0))</f>
        <v>0</v>
      </c>
      <c r="BO134" s="33">
        <f>MIN(IF(VLOOKUP($R134,武学奇术!$A:$ZZ,23,FALSE)=1,100%,$B$8),100%)</f>
        <v>0.9771</v>
      </c>
      <c r="BP134" s="33" cm="1">
        <f t="array" ref="BP134">IF(VLOOKUP($R134,武学奇术!$A:$ZZ,23,FALSE)=1,100%,MIN(80%,$B$9+VLOOKUP($R134,武学奇术!$A:$ZZ,17,FALSE)+SUM(_xlfn.XLOOKUP($S134:$AL134,增益!$A:$A,增益!$Q:$Q,0)))+$B$11+SUM(_xlfn.XLOOKUP($S134:$AL134,增益!$A:$A,增益!$U:$U,0)))*IF(VLOOKUP($R134,武学奇术!$A:$ZZ,24,FALSE)=1,0,1)</f>
        <v>0.8861</v>
      </c>
      <c r="BQ134" s="33" cm="1">
        <f t="array" ref="BQ134">1+$B$13+VLOOKUP($R134,武学奇术!$A:$ZZ,18,FALSE)+SUM(_xlfn.XLOOKUP($S134:$AL134,增益!$A:$A,增益!$R:$R,0))</f>
        <v>1.87</v>
      </c>
      <c r="BR134" s="33" cm="1">
        <f t="array" ref="BR134">IF(VLOOKUP($R134,武学奇术!$A:$ZZ,24,FALSE)=1,100%,MIN(40%,$B$10+VLOOKUP($R134,武学奇术!$A:$ZZ,19,FALSE)+SUM(_xlfn.XLOOKUP($S134:$AL134,增益!$A:$A,增益!$S:$S,0)))+$B$12+SUM(_xlfn.XLOOKUP($S134:$AL134,增益!$A:$A,增益!$V:$V,0)))*IF(VLOOKUP($R134,武学奇术!$A:$ZZ,23,FALSE)=1,0,1)</f>
        <v>0.0913</v>
      </c>
      <c r="BS134" s="33" cm="1">
        <f t="array" ref="BS134">1+$B$14+VLOOKUP($R134,武学奇术!$A:$ZZ,20,FALSE)+SUM(_xlfn.XLOOKUP($S134:$AL134,增益!$A:$A,增益!$T:$T,0))</f>
        <v>1.35</v>
      </c>
      <c r="BT134" s="33">
        <f t="shared" si="42"/>
        <v>0.86580831</v>
      </c>
      <c r="BU134" s="33">
        <f t="shared" si="43"/>
        <v>0.02208246</v>
      </c>
      <c r="BV134" s="33">
        <f>IF(VLOOKUP($R134,武学奇术!$A:$ZZ,22,FALSE)=1,0,(1-$BO134))*(1-$BR134)</f>
        <v>0.02080923</v>
      </c>
      <c r="BW134" s="33" cm="1">
        <f t="array" ref="BW134">SUM(_xlfn.XLOOKUP($S134:$AL134,增益!$A:$A,增益!$W:$W,0))+$I$5</f>
        <v>0.11</v>
      </c>
      <c r="BX134" s="33" cm="1">
        <f t="array" ref="BX134">VLOOKUP($R134,武学奇术!$A:$ZZ,32,FALSE)+SUM(_xlfn.XLOOKUP($S134:$AL134,增益!$A:$A,增益!$X:$X,0))</f>
        <v>0</v>
      </c>
    </row>
    <row r="135" spans="12:76">
      <c r="L135" s="46">
        <f t="shared" si="33"/>
        <v>0</v>
      </c>
      <c r="M135" s="46">
        <f>((($AT135+$AU135)/2*$AN135+$AO135)*(1+$AV135)*(1+$AW135)+(($AY135+$AZ135)/2*IF($G$1="鸣金",$AP135,$AN135)+IF($G$1="鸣金",$AQ135*1.5,0))*(1+$BA135)*(1+$BB135)+(($BC135+$BD135)/2*IF($G$1="裂石",$AP135,$AN135)+IF($G$1="裂石",$AQ135*1.5,0))*(1+$BE135)*(1+$BF135)+(($BG135+$BH135)/2*IF($G$1="牵丝",$AP135,$AN135)+IF($G$1="牵丝",$AQ135*1.5,0))*(1+$BI135)*(1+$BJ135)+(($BK135+$BL135)/2*IF($G$1="破竹",$AP135,$AN135)+IF($G$1="破竹",$AQ135*1.5,0))*(1+$BM135)*(1+$BN135))*(1+$AR135)*$BQ135*$Q135*(1+IF(VLOOKUP($R135,武学奇术!$A:$ZZ,30,FALSE)="蓄力技",$B$21,0))*(1+IF(VLOOKUP($R135,武学奇术!$A:$ZZ,30,FALSE)="派生技",$B$20,0))*(1+$BW135)*(1+$BX135)</f>
        <v>0</v>
      </c>
      <c r="N135" s="46">
        <f>(($AU135*$AN135+$AO135)*(1+$AV135)*(1+$AW135)+($AZ135*IF($G$1="鸣金",$AP135,$AN135)+IF($G$1="鸣金",$AQ135*1.5,0))*(1+$BA135)*(1+$BB135)+($BD135*IF($G$1="裂石",$AP135,$AN135)+IF($G$1="裂石",$AQ135*1.5,0))*(1+$BE135)*(1+$BF135)+($BH135*IF($G$1="牵丝",$AP135,$AN135)+IF($G$1="牵丝",$AQ135*1.5,0))*(1+$BI135)*(1+$BJ135)+($BL135*IF($G$1="破竹",$AP135,$AN135)+IF($G$1="破竹",$AQ135*1.5,0))*(1+$BM135)*(1+$BN135))*(1+$AR135)*$BS135*$Q135*(1+IF(VLOOKUP($R135,武学奇术!$A:$ZZ,30,FALSE)="蓄力技",$B$21,0))*(1+IF(VLOOKUP($R135,武学奇术!$A:$ZZ,30,FALSE)="派生技",$B$20,0))*(1+$BW135)*(1+$BX135)</f>
        <v>0</v>
      </c>
      <c r="O135" s="46">
        <f>((($AT135+$AU135)/2*$AN135+$AO135)*(1+$AV135)*(1+$AW135)+(($AY135+$AZ135)/2*IF($G$1="鸣金",$AP135,$AN135)+IF($G$1="鸣金",$AQ135*1.5,0))*(1+$BA135)*(1+$BB135)+(($BC135+$BD135)/2*IF($G$1="裂石",$AP135,$AN135)+IF($G$1="裂石",$AQ135*1.5,0))*(1+$BE135)*(1+$BF135)+(($BG135+$BH135)/2*IF($G$1="牵丝",$AP135,$AN135)+IF($G$1="牵丝",$AQ135*1.5,0))*(1+$BI135)*(1+$BJ135)+(($BK135+$BL135)/2*IF($G$1="破竹",$AP135,$AN135)+IF($G$1="破竹",$AQ135*1.5,0))*(1+$BM135)*(1+$BN135))*(1+$AR135)*$Q135*(1+IF(VLOOKUP($R135,武学奇术!$A:$ZZ,30,FALSE)="蓄力技",$B$21,0))*(1+IF(VLOOKUP($R135,武学奇术!$A:$ZZ,30,FALSE)="派生技",$B$20,0))*(1+$BW135)*(1+$BX135)</f>
        <v>0</v>
      </c>
      <c r="P135" s="46">
        <f>((($AT135*$AN135+$AO135)*(1+$AV135)*(1+$AW135)+($AY135*IF($G$1="鸣金",$AP135,$AN135)+IF($G$1="鸣金",$AQ135*1.5,0))*(1+$BA135)*(1+$BB135)+($BC135*IF($G$1="裂石",$AP135,$AN135)+IF($G$1="裂石",$AQ135*1.5,0))*(1+$BE135)*(1+$BF135)+($BG135*IF($G$1="牵丝",$AP135,$AN135)+IF($G$1="牵丝",$AQ135*1.5,0))*(1+$BI135)*(1+$BJ135)+($BK135*IF($G$1="破竹",$AP135,$AN135)+IF($G$1="破竹",$AQ135*1.5,0))*(1+$BM135)*(1+$BN135))*(1+$AR135))*$Q135*(1+IF(VLOOKUP($R135,武学奇术!$A:$ZZ,30,FALSE)="蓄力技",$B$21,0))*(1+IF(VLOOKUP($R135,武学奇术!$A:$ZZ,30,FALSE)="派生技",$B$20,0))*(1+$BW135)*(1+$BX135)</f>
        <v>0</v>
      </c>
      <c r="Q135" s="47">
        <f t="shared" si="32"/>
        <v>0</v>
      </c>
      <c r="R135" s="48" t="s">
        <v>106</v>
      </c>
      <c r="S135" s="48" t="s">
        <v>94</v>
      </c>
      <c r="T135" s="48" t="s">
        <v>95</v>
      </c>
      <c r="U135" s="48" t="s">
        <v>79</v>
      </c>
      <c r="V135" s="48" t="s">
        <v>80</v>
      </c>
      <c r="W135" s="48" t="s">
        <v>91</v>
      </c>
      <c r="X135" s="48" t="s">
        <v>80</v>
      </c>
      <c r="Y135" s="48" t="s">
        <v>80</v>
      </c>
      <c r="Z135" s="48" t="s">
        <v>81</v>
      </c>
      <c r="AA135" s="48" t="s">
        <v>80</v>
      </c>
      <c r="AB135" s="48" t="s">
        <v>80</v>
      </c>
      <c r="AC135" s="48" t="s">
        <v>80</v>
      </c>
      <c r="AD135" s="48" t="s">
        <v>80</v>
      </c>
      <c r="AE135" s="48" t="s">
        <v>80</v>
      </c>
      <c r="AF135" s="48" t="s">
        <v>83</v>
      </c>
      <c r="AG135" s="48" t="s">
        <v>84</v>
      </c>
      <c r="AH135" s="48" t="s">
        <v>80</v>
      </c>
      <c r="AI135" s="48" t="s">
        <v>80</v>
      </c>
      <c r="AJ135" s="48" t="s">
        <v>80</v>
      </c>
      <c r="AK135" s="48" t="s">
        <v>80</v>
      </c>
      <c r="AL135" s="48" t="s">
        <v>80</v>
      </c>
      <c r="AM135" t="str">
        <f>VLOOKUP($R135,武学奇术!$A:$ZZ,25,FALSE)</f>
        <v>群体奇术</v>
      </c>
      <c r="AN135" s="33">
        <f>VLOOKUP($R135,武学奇术!$A:$ZZ,26,FALSE)</f>
        <v>2.3774</v>
      </c>
      <c r="AO135" s="34">
        <f>VLOOKUP($R135,武学奇术!$A:$ZZ,27,FALSE)*(1+IF(OR($AM135=$F$4,$AM135=$F$5),$B$22,0))</f>
        <v>476</v>
      </c>
      <c r="AP135" s="33">
        <f>VLOOKUP($R135,武学奇术!$A:$ZZ,28,FALSE)</f>
        <v>3.5661</v>
      </c>
      <c r="AQ135" s="34">
        <f>VLOOKUP($R135,武学奇术!$A:$ZZ,29,FALSE)*(1+IF(OR($AM135=$F$4,$AM135=$F$5),$B$22,0))</f>
        <v>0</v>
      </c>
      <c r="AR135" s="33" cm="1">
        <f t="array" ref="AR135">$G$3+IFERROR(VLOOKUP($AM135,$F$4:$G$7,2,FALSE),0)+VLOOKUP($R135,武学奇术!$A:$ZZ,2,FALSE)+SUM(_xlfn.XLOOKUP($S135:$AL135,增益!$A:$A,增益!$B:$B,0))</f>
        <v>0.2942</v>
      </c>
      <c r="AS135" s="33" cm="1">
        <f t="array" ref="AS135">VLOOKUP($R135,武学奇术!$A:$ZZ,5,FALSE)+SUM(_xlfn.XLOOKUP($S135:$AL135,增益!$A:$A,增益!$E:$E,0))</f>
        <v>0</v>
      </c>
      <c r="AT135" cm="1">
        <f t="array" ref="AT135">$D$10*(1+$AS135)+VLOOKUP($R135,武学奇术!$A:$ZZ,3,FALSE)+SUM(_xlfn.XLOOKUP($S135:$AL135,增益!$A:$A,增益!$C:$C,0))-$I$2</f>
        <v>4026</v>
      </c>
      <c r="AU135" cm="1">
        <f t="array" ref="AU135">$E$10*(1+$AS135)+VLOOKUP($R135,武学奇术!$A:$ZZ,4,FALSE)+SUM(_xlfn.XLOOKUP($S135:$AL135,增益!$A:$A,增益!$D:$D,0))-$I$2</f>
        <v>4026</v>
      </c>
      <c r="AV135" s="40" cm="1">
        <f t="array" ref="AV135">IF($F$10-$I$3+VLOOKUP($R135,武学奇术!$A:$ZZ,6,FALSE)+SUM(_xlfn.XLOOKUP($S135:$AL135,增益!$A:$A,增益!$F:$F,0))&gt;0,($F$10-$I$3+VLOOKUP($R135,武学奇术!$A:$ZZ,6,FALSE)+SUM(_xlfn.XLOOKUP($S135:$AL135,增益!$A:$A,增益!$F:$F,0)))/200,($F$10-$I$3+VLOOKUP($R135,武学奇术!$A:$ZZ,6,FALSE)+SUM(_xlfn.XLOOKUP($S135:$AL135,增益!$A:$A,增益!$F:$F,0)))/100)</f>
        <v>0.3184</v>
      </c>
      <c r="AW135" s="40" cm="1">
        <f t="array" ref="AW135">$G$10+VLOOKUP($R135,武学奇术!$A:$ZZ,7,FALSE)+SUM(_xlfn.XLOOKUP($S135:$AL135,增益!$A:$A,增益!$G:$G,0))</f>
        <v>0.12</v>
      </c>
      <c r="AX135" s="33" cm="1">
        <f t="array" ref="AX135">VLOOKUP($R135,武学奇术!$A:$ZZ,8,FALSE)+SUM(_xlfn.XLOOKUP($S135:$AL135,增益!$A:$A,增益!$H:$H,0))</f>
        <v>0</v>
      </c>
      <c r="AY135">
        <f t="shared" si="34"/>
        <v>0</v>
      </c>
      <c r="AZ135">
        <f t="shared" si="35"/>
        <v>0</v>
      </c>
      <c r="BA135" s="40" cm="1">
        <f t="array" ref="BA135">IF($F$11-$I$4+VLOOKUP($R135,武学奇术!$A:$ZZ,9,FALSE)+SUM(_xlfn.XLOOKUP($S135:$AL135,增益!$A:$A,增益!$I:$I,0))&gt;0,($F$11-$I$4+VLOOKUP($R135,武学奇术!$A:$ZZ,9,FALSE)+SUM(_xlfn.XLOOKUP($S135:$AL135,增益!$A:$A,增益!$I:$I,0)))/200,($F$11-$I$4+VLOOKUP($R135,武学奇术!$A:$ZZ,9,FALSE)+SUM(_xlfn.XLOOKUP($S135:$AL135,增益!$A:$A,增益!$I:$I,0)))/100)</f>
        <v>-0.3</v>
      </c>
      <c r="BB135" s="40" cm="1">
        <f t="array" ref="BB135">$G$11+VLOOKUP($R135,武学奇术!$A:$ZZ,10,FALSE)+SUM(_xlfn.XLOOKUP($S135:$AL135,增益!$A:$A,增益!$J:$J,0))</f>
        <v>0</v>
      </c>
      <c r="BC135">
        <f t="shared" si="36"/>
        <v>640.3</v>
      </c>
      <c r="BD135">
        <f t="shared" si="37"/>
        <v>1770.1</v>
      </c>
      <c r="BE135" s="40" cm="1">
        <f t="array" ref="BE135">IF($F$12-$I$4+VLOOKUP($R135,武学奇术!$A:$ZZ,11,FALSE)+SUM(_xlfn.XLOOKUP($S135:$AL135,增益!$A:$A,增益!$K:$K,0))&gt;0,($F$12-$I$4+VLOOKUP($R135,武学奇术!$A:$ZZ,11,FALSE)+SUM(_xlfn.XLOOKUP($S135:$AL135,增益!$A:$A,增益!$K:$K,0)))/200,($F$12-$I$4+VLOOKUP($R135,武学奇术!$A:$ZZ,11,FALSE)+SUM(_xlfn.XLOOKUP($S135:$AL135,增益!$A:$A,增益!$K:$K,0)))/100)</f>
        <v>0.09</v>
      </c>
      <c r="BF135" s="40" cm="1">
        <f t="array" ref="BF135">$G$12+VLOOKUP($R135,武学奇术!$A:$ZZ,12,FALSE)+SUM(_xlfn.XLOOKUP($S135:$AL135,增益!$A:$A,增益!$L:$L,0))</f>
        <v>0.27</v>
      </c>
      <c r="BG135">
        <f t="shared" si="38"/>
        <v>0</v>
      </c>
      <c r="BH135">
        <f t="shared" si="39"/>
        <v>0</v>
      </c>
      <c r="BI135" s="40" cm="1">
        <f t="array" ref="BI135">IF($F$13-$I$4+VLOOKUP($R135,武学奇术!$A:$ZZ,13,FALSE)+SUM(_xlfn.XLOOKUP($S135:$AL135,增益!$A:$A,增益!$M:$M,0))&gt;0,($F$13-$I$4+VLOOKUP($R135,武学奇术!$A:$ZZ,13,FALSE)+SUM(_xlfn.XLOOKUP($S135:$AL135,增益!$A:$A,增益!$K:$K,0)))/200,($F$13-$I$4+VLOOKUP($R135,武学奇术!$A:$ZZ,13,FALSE)+SUM(_xlfn.XLOOKUP($S135:$AL135,增益!$A:$A,增益!$M:$M,0)))/100)</f>
        <v>-0.3</v>
      </c>
      <c r="BJ135" s="40" cm="1">
        <f t="array" ref="BJ135">$G$13+VLOOKUP($R135,武学奇术!$A:$ZZ,14,FALSE)+SUM(_xlfn.XLOOKUP($S135:$AL135,增益!$A:$A,增益!$N:$N,0))</f>
        <v>0</v>
      </c>
      <c r="BK135">
        <f t="shared" si="40"/>
        <v>0</v>
      </c>
      <c r="BL135">
        <f t="shared" si="41"/>
        <v>0</v>
      </c>
      <c r="BM135" s="40" cm="1">
        <f t="array" ref="BM135">IF($F$14-$I$4+VLOOKUP($R135,武学奇术!$A:$ZZ,15,FALSE)+SUM(_xlfn.XLOOKUP($S135:$AL135,增益!$A:$A,增益!$O:$O,0))&gt;0,($F$14-$I$4+VLOOKUP($R135,武学奇术!$A:$ZZ,15,FALSE)+SUM(_xlfn.XLOOKUP($S135:$AL135,增益!$A:$A,增益!$O:$O,0)))/200,($F$14-$I$4+VLOOKUP($R135,武学奇术!$A:$ZZ,15,FALSE)+SUM(_xlfn.XLOOKUP($S135:$AL135,增益!$A:$A,增益!$O:$O,0)))/100)</f>
        <v>-0.3</v>
      </c>
      <c r="BN135" s="40" cm="1">
        <f t="array" ref="BN135">$G$14+VLOOKUP($R135,武学奇术!$A:$ZZ,16,FALSE)+SUM(_xlfn.XLOOKUP($S135:$AL135,增益!$A:$A,增益!$P:$P,0))</f>
        <v>0</v>
      </c>
      <c r="BO135" s="33">
        <f>MIN(IF(VLOOKUP($R135,武学奇术!$A:$ZZ,23,FALSE)=1,100%,$B$8),100%)</f>
        <v>0.9771</v>
      </c>
      <c r="BP135" s="33" cm="1">
        <f t="array" ref="BP135">IF(VLOOKUP($R135,武学奇术!$A:$ZZ,23,FALSE)=1,100%,MIN(80%,$B$9+VLOOKUP($R135,武学奇术!$A:$ZZ,17,FALSE)+SUM(_xlfn.XLOOKUP($S135:$AL135,增益!$A:$A,增益!$Q:$Q,0)))+$B$11+SUM(_xlfn.XLOOKUP($S135:$AL135,增益!$A:$A,增益!$U:$U,0)))*IF(VLOOKUP($R135,武学奇术!$A:$ZZ,24,FALSE)=1,0,1)</f>
        <v>0.8861</v>
      </c>
      <c r="BQ135" s="33" cm="1">
        <f t="array" ref="BQ135">1+$B$13+VLOOKUP($R135,武学奇术!$A:$ZZ,18,FALSE)+SUM(_xlfn.XLOOKUP($S135:$AL135,增益!$A:$A,增益!$R:$R,0))</f>
        <v>1.88</v>
      </c>
      <c r="BR135" s="33" cm="1">
        <f t="array" ref="BR135">IF(VLOOKUP($R135,武学奇术!$A:$ZZ,24,FALSE)=1,100%,MIN(40%,$B$10+VLOOKUP($R135,武学奇术!$A:$ZZ,19,FALSE)+SUM(_xlfn.XLOOKUP($S135:$AL135,增益!$A:$A,增益!$S:$S,0)))+$B$12+SUM(_xlfn.XLOOKUP($S135:$AL135,增益!$A:$A,增益!$V:$V,0)))*IF(VLOOKUP($R135,武学奇术!$A:$ZZ,23,FALSE)=1,0,1)</f>
        <v>0.0913</v>
      </c>
      <c r="BS135" s="33" cm="1">
        <f t="array" ref="BS135">1+$B$14+VLOOKUP($R135,武学奇术!$A:$ZZ,20,FALSE)+SUM(_xlfn.XLOOKUP($S135:$AL135,增益!$A:$A,增益!$T:$T,0))</f>
        <v>1.35</v>
      </c>
      <c r="BT135" s="33">
        <f t="shared" si="42"/>
        <v>0.86580831</v>
      </c>
      <c r="BU135" s="33">
        <f t="shared" si="43"/>
        <v>0.02208246</v>
      </c>
      <c r="BV135" s="33">
        <f>IF(VLOOKUP($R135,武学奇术!$A:$ZZ,22,FALSE)=1,0,(1-$BO135))*(1-$BR135)</f>
        <v>0.02080923</v>
      </c>
      <c r="BW135" s="33" cm="1">
        <f t="array" ref="BW135">SUM(_xlfn.XLOOKUP($S135:$AL135,增益!$A:$A,增益!$W:$W,0))+$I$5</f>
        <v>0.11</v>
      </c>
      <c r="BX135" s="33" cm="1">
        <f t="array" ref="BX135">VLOOKUP($R135,武学奇术!$A:$ZZ,32,FALSE)+SUM(_xlfn.XLOOKUP($S135:$AL135,增益!$A:$A,增益!$X:$X,0))</f>
        <v>0</v>
      </c>
    </row>
    <row r="136" spans="12:76">
      <c r="L136" s="46">
        <f t="shared" si="33"/>
        <v>0</v>
      </c>
      <c r="M136" s="46">
        <f>((($AT136+$AU136)/2*$AN136+$AO136)*(1+$AV136)*(1+$AW136)+(($AY136+$AZ136)/2*IF($G$1="鸣金",$AP136,$AN136)+IF($G$1="鸣金",$AQ136*1.5,0))*(1+$BA136)*(1+$BB136)+(($BC136+$BD136)/2*IF($G$1="裂石",$AP136,$AN136)+IF($G$1="裂石",$AQ136*1.5,0))*(1+$BE136)*(1+$BF136)+(($BG136+$BH136)/2*IF($G$1="牵丝",$AP136,$AN136)+IF($G$1="牵丝",$AQ136*1.5,0))*(1+$BI136)*(1+$BJ136)+(($BK136+$BL136)/2*IF($G$1="破竹",$AP136,$AN136)+IF($G$1="破竹",$AQ136*1.5,0))*(1+$BM136)*(1+$BN136))*(1+$AR136)*$BQ136*$Q136*(1+IF(VLOOKUP($R136,武学奇术!$A:$ZZ,30,FALSE)="蓄力技",$B$21,0))*(1+IF(VLOOKUP($R136,武学奇术!$A:$ZZ,30,FALSE)="派生技",$B$20,0))*(1+$BW136)*(1+$BX136)</f>
        <v>0</v>
      </c>
      <c r="N136" s="46">
        <f>(($AU136*$AN136+$AO136)*(1+$AV136)*(1+$AW136)+($AZ136*IF($G$1="鸣金",$AP136,$AN136)+IF($G$1="鸣金",$AQ136*1.5,0))*(1+$BA136)*(1+$BB136)+($BD136*IF($G$1="裂石",$AP136,$AN136)+IF($G$1="裂石",$AQ136*1.5,0))*(1+$BE136)*(1+$BF136)+($BH136*IF($G$1="牵丝",$AP136,$AN136)+IF($G$1="牵丝",$AQ136*1.5,0))*(1+$BI136)*(1+$BJ136)+($BL136*IF($G$1="破竹",$AP136,$AN136)+IF($G$1="破竹",$AQ136*1.5,0))*(1+$BM136)*(1+$BN136))*(1+$AR136)*$BS136*$Q136*(1+IF(VLOOKUP($R136,武学奇术!$A:$ZZ,30,FALSE)="蓄力技",$B$21,0))*(1+IF(VLOOKUP($R136,武学奇术!$A:$ZZ,30,FALSE)="派生技",$B$20,0))*(1+$BW136)*(1+$BX136)</f>
        <v>0</v>
      </c>
      <c r="O136" s="46">
        <f>((($AT136+$AU136)/2*$AN136+$AO136)*(1+$AV136)*(1+$AW136)+(($AY136+$AZ136)/2*IF($G$1="鸣金",$AP136,$AN136)+IF($G$1="鸣金",$AQ136*1.5,0))*(1+$BA136)*(1+$BB136)+(($BC136+$BD136)/2*IF($G$1="裂石",$AP136,$AN136)+IF($G$1="裂石",$AQ136*1.5,0))*(1+$BE136)*(1+$BF136)+(($BG136+$BH136)/2*IF($G$1="牵丝",$AP136,$AN136)+IF($G$1="牵丝",$AQ136*1.5,0))*(1+$BI136)*(1+$BJ136)+(($BK136+$BL136)/2*IF($G$1="破竹",$AP136,$AN136)+IF($G$1="破竹",$AQ136*1.5,0))*(1+$BM136)*(1+$BN136))*(1+$AR136)*$Q136*(1+IF(VLOOKUP($R136,武学奇术!$A:$ZZ,30,FALSE)="蓄力技",$B$21,0))*(1+IF(VLOOKUP($R136,武学奇术!$A:$ZZ,30,FALSE)="派生技",$B$20,0))*(1+$BW136)*(1+$BX136)</f>
        <v>0</v>
      </c>
      <c r="P136" s="46">
        <f>((($AT136*$AN136+$AO136)*(1+$AV136)*(1+$AW136)+($AY136*IF($G$1="鸣金",$AP136,$AN136)+IF($G$1="鸣金",$AQ136*1.5,0))*(1+$BA136)*(1+$BB136)+($BC136*IF($G$1="裂石",$AP136,$AN136)+IF($G$1="裂石",$AQ136*1.5,0))*(1+$BE136)*(1+$BF136)+($BG136*IF($G$1="牵丝",$AP136,$AN136)+IF($G$1="牵丝",$AQ136*1.5,0))*(1+$BI136)*(1+$BJ136)+($BK136*IF($G$1="破竹",$AP136,$AN136)+IF($G$1="破竹",$AQ136*1.5,0))*(1+$BM136)*(1+$BN136))*(1+$AR136))*$Q136*(1+IF(VLOOKUP($R136,武学奇术!$A:$ZZ,30,FALSE)="蓄力技",$B$21,0))*(1+IF(VLOOKUP($R136,武学奇术!$A:$ZZ,30,FALSE)="派生技",$B$20,0))*(1+$BW136)*(1+$BX136)</f>
        <v>0</v>
      </c>
      <c r="Q136" s="47">
        <f t="shared" si="32"/>
        <v>0</v>
      </c>
      <c r="R136" s="48" t="s">
        <v>106</v>
      </c>
      <c r="S136" s="48" t="s">
        <v>94</v>
      </c>
      <c r="T136" s="48" t="s">
        <v>95</v>
      </c>
      <c r="U136" s="48" t="s">
        <v>79</v>
      </c>
      <c r="V136" s="48" t="s">
        <v>90</v>
      </c>
      <c r="W136" s="48" t="s">
        <v>91</v>
      </c>
      <c r="X136" s="48" t="s">
        <v>80</v>
      </c>
      <c r="Y136" s="48" t="s">
        <v>80</v>
      </c>
      <c r="Z136" s="48" t="s">
        <v>81</v>
      </c>
      <c r="AA136" s="48" t="s">
        <v>80</v>
      </c>
      <c r="AB136" s="48" t="s">
        <v>80</v>
      </c>
      <c r="AC136" s="48" t="s">
        <v>80</v>
      </c>
      <c r="AD136" s="48" t="s">
        <v>80</v>
      </c>
      <c r="AE136" s="48" t="s">
        <v>80</v>
      </c>
      <c r="AF136" s="48" t="s">
        <v>83</v>
      </c>
      <c r="AG136" s="48" t="s">
        <v>84</v>
      </c>
      <c r="AH136" s="48" t="s">
        <v>80</v>
      </c>
      <c r="AI136" s="48" t="s">
        <v>80</v>
      </c>
      <c r="AJ136" s="48" t="s">
        <v>80</v>
      </c>
      <c r="AK136" s="48" t="s">
        <v>80</v>
      </c>
      <c r="AL136" s="48" t="s">
        <v>80</v>
      </c>
      <c r="AM136" t="str">
        <f>VLOOKUP($R136,武学奇术!$A:$ZZ,25,FALSE)</f>
        <v>群体奇术</v>
      </c>
      <c r="AN136" s="33">
        <f>VLOOKUP($R136,武学奇术!$A:$ZZ,26,FALSE)</f>
        <v>2.3774</v>
      </c>
      <c r="AO136" s="34">
        <f>VLOOKUP($R136,武学奇术!$A:$ZZ,27,FALSE)*(1+IF(OR($AM136=$F$4,$AM136=$F$5),$B$22,0))</f>
        <v>476</v>
      </c>
      <c r="AP136" s="33">
        <f>VLOOKUP($R136,武学奇术!$A:$ZZ,28,FALSE)</f>
        <v>3.5661</v>
      </c>
      <c r="AQ136" s="34">
        <f>VLOOKUP($R136,武学奇术!$A:$ZZ,29,FALSE)*(1+IF(OR($AM136=$F$4,$AM136=$F$5),$B$22,0))</f>
        <v>0</v>
      </c>
      <c r="AR136" s="33" cm="1">
        <f t="array" ref="AR136">$G$3+IFERROR(VLOOKUP($AM136,$F$4:$G$7,2,FALSE),0)+VLOOKUP($R136,武学奇术!$A:$ZZ,2,FALSE)+SUM(_xlfn.XLOOKUP($S136:$AL136,增益!$A:$A,增益!$B:$B,0))</f>
        <v>0.3742</v>
      </c>
      <c r="AS136" s="33" cm="1">
        <f t="array" ref="AS136">VLOOKUP($R136,武学奇术!$A:$ZZ,5,FALSE)+SUM(_xlfn.XLOOKUP($S136:$AL136,增益!$A:$A,增益!$E:$E,0))</f>
        <v>0</v>
      </c>
      <c r="AT136" cm="1">
        <f t="array" ref="AT136">$D$10*(1+$AS136)+VLOOKUP($R136,武学奇术!$A:$ZZ,3,FALSE)+SUM(_xlfn.XLOOKUP($S136:$AL136,增益!$A:$A,增益!$C:$C,0))-$I$2</f>
        <v>4026</v>
      </c>
      <c r="AU136" cm="1">
        <f t="array" ref="AU136">$E$10*(1+$AS136)+VLOOKUP($R136,武学奇术!$A:$ZZ,4,FALSE)+SUM(_xlfn.XLOOKUP($S136:$AL136,增益!$A:$A,增益!$D:$D,0))-$I$2</f>
        <v>4026</v>
      </c>
      <c r="AV136" s="40" cm="1">
        <f t="array" ref="AV136">IF($F$10-$I$3+VLOOKUP($R136,武学奇术!$A:$ZZ,6,FALSE)+SUM(_xlfn.XLOOKUP($S136:$AL136,增益!$A:$A,增益!$F:$F,0))&gt;0,($F$10-$I$3+VLOOKUP($R136,武学奇术!$A:$ZZ,6,FALSE)+SUM(_xlfn.XLOOKUP($S136:$AL136,增益!$A:$A,增益!$F:$F,0)))/200,($F$10-$I$3+VLOOKUP($R136,武学奇术!$A:$ZZ,6,FALSE)+SUM(_xlfn.XLOOKUP($S136:$AL136,增益!$A:$A,增益!$F:$F,0)))/100)</f>
        <v>0.3184</v>
      </c>
      <c r="AW136" s="40" cm="1">
        <f t="array" ref="AW136">$G$10+VLOOKUP($R136,武学奇术!$A:$ZZ,7,FALSE)+SUM(_xlfn.XLOOKUP($S136:$AL136,增益!$A:$A,增益!$G:$G,0))</f>
        <v>0.12</v>
      </c>
      <c r="AX136" s="33" cm="1">
        <f t="array" ref="AX136">VLOOKUP($R136,武学奇术!$A:$ZZ,8,FALSE)+SUM(_xlfn.XLOOKUP($S136:$AL136,增益!$A:$A,增益!$H:$H,0))</f>
        <v>0</v>
      </c>
      <c r="AY136">
        <f t="shared" si="34"/>
        <v>0</v>
      </c>
      <c r="AZ136">
        <f t="shared" si="35"/>
        <v>0</v>
      </c>
      <c r="BA136" s="40" cm="1">
        <f t="array" ref="BA136">IF($F$11-$I$4+VLOOKUP($R136,武学奇术!$A:$ZZ,9,FALSE)+SUM(_xlfn.XLOOKUP($S136:$AL136,增益!$A:$A,增益!$I:$I,0))&gt;0,($F$11-$I$4+VLOOKUP($R136,武学奇术!$A:$ZZ,9,FALSE)+SUM(_xlfn.XLOOKUP($S136:$AL136,增益!$A:$A,增益!$I:$I,0)))/200,($F$11-$I$4+VLOOKUP($R136,武学奇术!$A:$ZZ,9,FALSE)+SUM(_xlfn.XLOOKUP($S136:$AL136,增益!$A:$A,增益!$I:$I,0)))/100)</f>
        <v>-0.14</v>
      </c>
      <c r="BB136" s="40" cm="1">
        <f t="array" ref="BB136">$G$11+VLOOKUP($R136,武学奇术!$A:$ZZ,10,FALSE)+SUM(_xlfn.XLOOKUP($S136:$AL136,增益!$A:$A,增益!$J:$J,0))</f>
        <v>0</v>
      </c>
      <c r="BC136">
        <f t="shared" si="36"/>
        <v>640.3</v>
      </c>
      <c r="BD136">
        <f t="shared" si="37"/>
        <v>1770.1</v>
      </c>
      <c r="BE136" s="40" cm="1">
        <f t="array" ref="BE136">IF($F$12-$I$4+VLOOKUP($R136,武学奇术!$A:$ZZ,11,FALSE)+SUM(_xlfn.XLOOKUP($S136:$AL136,增益!$A:$A,增益!$K:$K,0))&gt;0,($F$12-$I$4+VLOOKUP($R136,武学奇术!$A:$ZZ,11,FALSE)+SUM(_xlfn.XLOOKUP($S136:$AL136,增益!$A:$A,增益!$K:$K,0)))/200,($F$12-$I$4+VLOOKUP($R136,武学奇术!$A:$ZZ,11,FALSE)+SUM(_xlfn.XLOOKUP($S136:$AL136,增益!$A:$A,增益!$K:$K,0)))/100)</f>
        <v>0.17</v>
      </c>
      <c r="BF136" s="40" cm="1">
        <f t="array" ref="BF136">$G$12+VLOOKUP($R136,武学奇术!$A:$ZZ,12,FALSE)+SUM(_xlfn.XLOOKUP($S136:$AL136,增益!$A:$A,增益!$L:$L,0))</f>
        <v>0.27</v>
      </c>
      <c r="BG136">
        <f t="shared" si="38"/>
        <v>0</v>
      </c>
      <c r="BH136">
        <f t="shared" si="39"/>
        <v>0</v>
      </c>
      <c r="BI136" s="40" cm="1">
        <f t="array" ref="BI136">IF($F$13-$I$4+VLOOKUP($R136,武学奇术!$A:$ZZ,13,FALSE)+SUM(_xlfn.XLOOKUP($S136:$AL136,增益!$A:$A,增益!$M:$M,0))&gt;0,($F$13-$I$4+VLOOKUP($R136,武学奇术!$A:$ZZ,13,FALSE)+SUM(_xlfn.XLOOKUP($S136:$AL136,增益!$A:$A,增益!$K:$K,0)))/200,($F$13-$I$4+VLOOKUP($R136,武学奇术!$A:$ZZ,13,FALSE)+SUM(_xlfn.XLOOKUP($S136:$AL136,增益!$A:$A,增益!$M:$M,0)))/100)</f>
        <v>-0.14</v>
      </c>
      <c r="BJ136" s="40" cm="1">
        <f t="array" ref="BJ136">$G$13+VLOOKUP($R136,武学奇术!$A:$ZZ,14,FALSE)+SUM(_xlfn.XLOOKUP($S136:$AL136,增益!$A:$A,增益!$N:$N,0))</f>
        <v>0</v>
      </c>
      <c r="BK136">
        <f t="shared" si="40"/>
        <v>0</v>
      </c>
      <c r="BL136">
        <f t="shared" si="41"/>
        <v>0</v>
      </c>
      <c r="BM136" s="40" cm="1">
        <f t="array" ref="BM136">IF($F$14-$I$4+VLOOKUP($R136,武学奇术!$A:$ZZ,15,FALSE)+SUM(_xlfn.XLOOKUP($S136:$AL136,增益!$A:$A,增益!$O:$O,0))&gt;0,($F$14-$I$4+VLOOKUP($R136,武学奇术!$A:$ZZ,15,FALSE)+SUM(_xlfn.XLOOKUP($S136:$AL136,增益!$A:$A,增益!$O:$O,0)))/200,($F$14-$I$4+VLOOKUP($R136,武学奇术!$A:$ZZ,15,FALSE)+SUM(_xlfn.XLOOKUP($S136:$AL136,增益!$A:$A,增益!$O:$O,0)))/100)</f>
        <v>-0.14</v>
      </c>
      <c r="BN136" s="40" cm="1">
        <f t="array" ref="BN136">$G$14+VLOOKUP($R136,武学奇术!$A:$ZZ,16,FALSE)+SUM(_xlfn.XLOOKUP($S136:$AL136,增益!$A:$A,增益!$P:$P,0))</f>
        <v>0</v>
      </c>
      <c r="BO136" s="33">
        <f>MIN(IF(VLOOKUP($R136,武学奇术!$A:$ZZ,23,FALSE)=1,100%,$B$8),100%)</f>
        <v>0.9771</v>
      </c>
      <c r="BP136" s="33" cm="1">
        <f t="array" ref="BP136">IF(VLOOKUP($R136,武学奇术!$A:$ZZ,23,FALSE)=1,100%,MIN(80%,$B$9+VLOOKUP($R136,武学奇术!$A:$ZZ,17,FALSE)+SUM(_xlfn.XLOOKUP($S136:$AL136,增益!$A:$A,增益!$Q:$Q,0)))+$B$11+SUM(_xlfn.XLOOKUP($S136:$AL136,增益!$A:$A,增益!$U:$U,0)))*IF(VLOOKUP($R136,武学奇术!$A:$ZZ,24,FALSE)=1,0,1)</f>
        <v>0.8861</v>
      </c>
      <c r="BQ136" s="33" cm="1">
        <f t="array" ref="BQ136">1+$B$13+VLOOKUP($R136,武学奇术!$A:$ZZ,18,FALSE)+SUM(_xlfn.XLOOKUP($S136:$AL136,增益!$A:$A,增益!$R:$R,0))</f>
        <v>1.88</v>
      </c>
      <c r="BR136" s="33" cm="1">
        <f t="array" ref="BR136">IF(VLOOKUP($R136,武学奇术!$A:$ZZ,24,FALSE)=1,100%,MIN(40%,$B$10+VLOOKUP($R136,武学奇术!$A:$ZZ,19,FALSE)+SUM(_xlfn.XLOOKUP($S136:$AL136,增益!$A:$A,增益!$S:$S,0)))+$B$12+SUM(_xlfn.XLOOKUP($S136:$AL136,增益!$A:$A,增益!$V:$V,0)))*IF(VLOOKUP($R136,武学奇术!$A:$ZZ,23,FALSE)=1,0,1)</f>
        <v>0.0913</v>
      </c>
      <c r="BS136" s="33" cm="1">
        <f t="array" ref="BS136">1+$B$14+VLOOKUP($R136,武学奇术!$A:$ZZ,20,FALSE)+SUM(_xlfn.XLOOKUP($S136:$AL136,增益!$A:$A,增益!$T:$T,0))</f>
        <v>1.35</v>
      </c>
      <c r="BT136" s="33">
        <f t="shared" si="42"/>
        <v>0.86580831</v>
      </c>
      <c r="BU136" s="33">
        <f t="shared" si="43"/>
        <v>0.02208246</v>
      </c>
      <c r="BV136" s="33">
        <f>IF(VLOOKUP($R136,武学奇术!$A:$ZZ,22,FALSE)=1,0,(1-$BO136))*(1-$BR136)</f>
        <v>0.02080923</v>
      </c>
      <c r="BW136" s="33" cm="1">
        <f t="array" ref="BW136">SUM(_xlfn.XLOOKUP($S136:$AL136,增益!$A:$A,增益!$W:$W,0))+$I$5</f>
        <v>0.11</v>
      </c>
      <c r="BX136" s="33" cm="1">
        <f t="array" ref="BX136">VLOOKUP($R136,武学奇术!$A:$ZZ,32,FALSE)+SUM(_xlfn.XLOOKUP($S136:$AL136,增益!$A:$A,增益!$X:$X,0))</f>
        <v>0</v>
      </c>
    </row>
    <row r="137" spans="12:76">
      <c r="L137" s="46">
        <f t="shared" si="33"/>
        <v>0</v>
      </c>
      <c r="M137" s="46">
        <f>((($AT137+$AU137)/2*$AN137+$AO137)*(1+$AV137)*(1+$AW137)+(($AY137+$AZ137)/2*IF($G$1="鸣金",$AP137,$AN137)+IF($G$1="鸣金",$AQ137*1.5,0))*(1+$BA137)*(1+$BB137)+(($BC137+$BD137)/2*IF($G$1="裂石",$AP137,$AN137)+IF($G$1="裂石",$AQ137*1.5,0))*(1+$BE137)*(1+$BF137)+(($BG137+$BH137)/2*IF($G$1="牵丝",$AP137,$AN137)+IF($G$1="牵丝",$AQ137*1.5,0))*(1+$BI137)*(1+$BJ137)+(($BK137+$BL137)/2*IF($G$1="破竹",$AP137,$AN137)+IF($G$1="破竹",$AQ137*1.5,0))*(1+$BM137)*(1+$BN137))*(1+$AR137)*$BQ137*$Q137*(1+IF(VLOOKUP($R137,武学奇术!$A:$ZZ,30,FALSE)="蓄力技",$B$21,0))*(1+IF(VLOOKUP($R137,武学奇术!$A:$ZZ,30,FALSE)="派生技",$B$20,0))*(1+$BW137)*(1+$BX137)</f>
        <v>0</v>
      </c>
      <c r="N137" s="46">
        <f>(($AU137*$AN137+$AO137)*(1+$AV137)*(1+$AW137)+($AZ137*IF($G$1="鸣金",$AP137,$AN137)+IF($G$1="鸣金",$AQ137*1.5,0))*(1+$BA137)*(1+$BB137)+($BD137*IF($G$1="裂石",$AP137,$AN137)+IF($G$1="裂石",$AQ137*1.5,0))*(1+$BE137)*(1+$BF137)+($BH137*IF($G$1="牵丝",$AP137,$AN137)+IF($G$1="牵丝",$AQ137*1.5,0))*(1+$BI137)*(1+$BJ137)+($BL137*IF($G$1="破竹",$AP137,$AN137)+IF($G$1="破竹",$AQ137*1.5,0))*(1+$BM137)*(1+$BN137))*(1+$AR137)*$BS137*$Q137*(1+IF(VLOOKUP($R137,武学奇术!$A:$ZZ,30,FALSE)="蓄力技",$B$21,0))*(1+IF(VLOOKUP($R137,武学奇术!$A:$ZZ,30,FALSE)="派生技",$B$20,0))*(1+$BW137)*(1+$BX137)</f>
        <v>0</v>
      </c>
      <c r="O137" s="46">
        <f>((($AT137+$AU137)/2*$AN137+$AO137)*(1+$AV137)*(1+$AW137)+(($AY137+$AZ137)/2*IF($G$1="鸣金",$AP137,$AN137)+IF($G$1="鸣金",$AQ137*1.5,0))*(1+$BA137)*(1+$BB137)+(($BC137+$BD137)/2*IF($G$1="裂石",$AP137,$AN137)+IF($G$1="裂石",$AQ137*1.5,0))*(1+$BE137)*(1+$BF137)+(($BG137+$BH137)/2*IF($G$1="牵丝",$AP137,$AN137)+IF($G$1="牵丝",$AQ137*1.5,0))*(1+$BI137)*(1+$BJ137)+(($BK137+$BL137)/2*IF($G$1="破竹",$AP137,$AN137)+IF($G$1="破竹",$AQ137*1.5,0))*(1+$BM137)*(1+$BN137))*(1+$AR137)*$Q137*(1+IF(VLOOKUP($R137,武学奇术!$A:$ZZ,30,FALSE)="蓄力技",$B$21,0))*(1+IF(VLOOKUP($R137,武学奇术!$A:$ZZ,30,FALSE)="派生技",$B$20,0))*(1+$BW137)*(1+$BX137)</f>
        <v>0</v>
      </c>
      <c r="P137" s="46">
        <f>((($AT137*$AN137+$AO137)*(1+$AV137)*(1+$AW137)+($AY137*IF($G$1="鸣金",$AP137,$AN137)+IF($G$1="鸣金",$AQ137*1.5,0))*(1+$BA137)*(1+$BB137)+($BC137*IF($G$1="裂石",$AP137,$AN137)+IF($G$1="裂石",$AQ137*1.5,0))*(1+$BE137)*(1+$BF137)+($BG137*IF($G$1="牵丝",$AP137,$AN137)+IF($G$1="牵丝",$AQ137*1.5,0))*(1+$BI137)*(1+$BJ137)+($BK137*IF($G$1="破竹",$AP137,$AN137)+IF($G$1="破竹",$AQ137*1.5,0))*(1+$BM137)*(1+$BN137))*(1+$AR137))*$Q137*(1+IF(VLOOKUP($R137,武学奇术!$A:$ZZ,30,FALSE)="蓄力技",$B$21,0))*(1+IF(VLOOKUP($R137,武学奇术!$A:$ZZ,30,FALSE)="派生技",$B$20,0))*(1+$BW137)*(1+$BX137)</f>
        <v>0</v>
      </c>
      <c r="Q137" s="47">
        <f t="shared" si="32"/>
        <v>0</v>
      </c>
      <c r="R137" s="48" t="s">
        <v>106</v>
      </c>
      <c r="S137" s="48" t="s">
        <v>99</v>
      </c>
      <c r="T137" s="48" t="s">
        <v>100</v>
      </c>
      <c r="U137" s="48" t="s">
        <v>79</v>
      </c>
      <c r="V137" s="48" t="s">
        <v>90</v>
      </c>
      <c r="W137" s="48" t="s">
        <v>91</v>
      </c>
      <c r="X137" s="48" t="s">
        <v>80</v>
      </c>
      <c r="Y137" s="48" t="s">
        <v>80</v>
      </c>
      <c r="Z137" s="48" t="s">
        <v>81</v>
      </c>
      <c r="AA137" s="48" t="s">
        <v>80</v>
      </c>
      <c r="AB137" s="48" t="s">
        <v>80</v>
      </c>
      <c r="AC137" s="48" t="s">
        <v>80</v>
      </c>
      <c r="AD137" s="48" t="s">
        <v>80</v>
      </c>
      <c r="AE137" s="48" t="s">
        <v>80</v>
      </c>
      <c r="AF137" s="48" t="s">
        <v>83</v>
      </c>
      <c r="AG137" s="48" t="s">
        <v>84</v>
      </c>
      <c r="AH137" s="48" t="s">
        <v>80</v>
      </c>
      <c r="AI137" s="48" t="s">
        <v>80</v>
      </c>
      <c r="AJ137" s="48" t="s">
        <v>80</v>
      </c>
      <c r="AK137" s="48" t="s">
        <v>80</v>
      </c>
      <c r="AL137" s="48" t="s">
        <v>80</v>
      </c>
      <c r="AM137" t="str">
        <f>VLOOKUP($R137,武学奇术!$A:$ZZ,25,FALSE)</f>
        <v>群体奇术</v>
      </c>
      <c r="AN137" s="33">
        <f>VLOOKUP($R137,武学奇术!$A:$ZZ,26,FALSE)</f>
        <v>2.3774</v>
      </c>
      <c r="AO137" s="34">
        <f>VLOOKUP($R137,武学奇术!$A:$ZZ,27,FALSE)*(1+IF(OR($AM137=$F$4,$AM137=$F$5),$B$22,0))</f>
        <v>476</v>
      </c>
      <c r="AP137" s="33">
        <f>VLOOKUP($R137,武学奇术!$A:$ZZ,28,FALSE)</f>
        <v>3.5661</v>
      </c>
      <c r="AQ137" s="34">
        <f>VLOOKUP($R137,武学奇术!$A:$ZZ,29,FALSE)*(1+IF(OR($AM137=$F$4,$AM137=$F$5),$B$22,0))</f>
        <v>0</v>
      </c>
      <c r="AR137" s="33" cm="1">
        <f t="array" ref="AR137">$G$3+IFERROR(VLOOKUP($AM137,$F$4:$G$7,2,FALSE),0)+VLOOKUP($R137,武学奇术!$A:$ZZ,2,FALSE)+SUM(_xlfn.XLOOKUP($S137:$AL137,增益!$A:$A,增益!$B:$B,0))</f>
        <v>0.3842</v>
      </c>
      <c r="AS137" s="33" cm="1">
        <f t="array" ref="AS137">VLOOKUP($R137,武学奇术!$A:$ZZ,5,FALSE)+SUM(_xlfn.XLOOKUP($S137:$AL137,增益!$A:$A,增益!$E:$E,0))</f>
        <v>0</v>
      </c>
      <c r="AT137" cm="1">
        <f t="array" ref="AT137">$D$10*(1+$AS137)+VLOOKUP($R137,武学奇术!$A:$ZZ,3,FALSE)+SUM(_xlfn.XLOOKUP($S137:$AL137,增益!$A:$A,增益!$C:$C,0))-$I$2</f>
        <v>4026</v>
      </c>
      <c r="AU137" cm="1">
        <f t="array" ref="AU137">$E$10*(1+$AS137)+VLOOKUP($R137,武学奇术!$A:$ZZ,4,FALSE)+SUM(_xlfn.XLOOKUP($S137:$AL137,增益!$A:$A,增益!$D:$D,0))-$I$2</f>
        <v>4026</v>
      </c>
      <c r="AV137" s="40" cm="1">
        <f t="array" ref="AV137">IF($F$10-$I$3+VLOOKUP($R137,武学奇术!$A:$ZZ,6,FALSE)+SUM(_xlfn.XLOOKUP($S137:$AL137,增益!$A:$A,增益!$F:$F,0))&gt;0,($F$10-$I$3+VLOOKUP($R137,武学奇术!$A:$ZZ,6,FALSE)+SUM(_xlfn.XLOOKUP($S137:$AL137,增益!$A:$A,增益!$F:$F,0)))/200,($F$10-$I$3+VLOOKUP($R137,武学奇术!$A:$ZZ,6,FALSE)+SUM(_xlfn.XLOOKUP($S137:$AL137,增益!$A:$A,增益!$F:$F,0)))/100)</f>
        <v>0.3284</v>
      </c>
      <c r="AW137" s="40" cm="1">
        <f t="array" ref="AW137">$G$10+VLOOKUP($R137,武学奇术!$A:$ZZ,7,FALSE)+SUM(_xlfn.XLOOKUP($S137:$AL137,增益!$A:$A,增益!$G:$G,0))</f>
        <v>0.12</v>
      </c>
      <c r="AX137" s="33" cm="1">
        <f t="array" ref="AX137">VLOOKUP($R137,武学奇术!$A:$ZZ,8,FALSE)+SUM(_xlfn.XLOOKUP($S137:$AL137,增益!$A:$A,增益!$H:$H,0))</f>
        <v>0</v>
      </c>
      <c r="AY137">
        <f t="shared" si="34"/>
        <v>0</v>
      </c>
      <c r="AZ137">
        <f t="shared" si="35"/>
        <v>0</v>
      </c>
      <c r="BA137" s="40" cm="1">
        <f t="array" ref="BA137">IF($F$11-$I$4+VLOOKUP($R137,武学奇术!$A:$ZZ,9,FALSE)+SUM(_xlfn.XLOOKUP($S137:$AL137,增益!$A:$A,增益!$I:$I,0))&gt;0,($F$11-$I$4+VLOOKUP($R137,武学奇术!$A:$ZZ,9,FALSE)+SUM(_xlfn.XLOOKUP($S137:$AL137,增益!$A:$A,增益!$I:$I,0)))/200,($F$11-$I$4+VLOOKUP($R137,武学奇术!$A:$ZZ,9,FALSE)+SUM(_xlfn.XLOOKUP($S137:$AL137,增益!$A:$A,增益!$I:$I,0)))/100)</f>
        <v>-0.14</v>
      </c>
      <c r="BB137" s="40" cm="1">
        <f t="array" ref="BB137">$G$11+VLOOKUP($R137,武学奇术!$A:$ZZ,10,FALSE)+SUM(_xlfn.XLOOKUP($S137:$AL137,增益!$A:$A,增益!$J:$J,0))</f>
        <v>0</v>
      </c>
      <c r="BC137">
        <f t="shared" si="36"/>
        <v>640.3</v>
      </c>
      <c r="BD137">
        <f t="shared" si="37"/>
        <v>1770.1</v>
      </c>
      <c r="BE137" s="40" cm="1">
        <f t="array" ref="BE137">IF($F$12-$I$4+VLOOKUP($R137,武学奇术!$A:$ZZ,11,FALSE)+SUM(_xlfn.XLOOKUP($S137:$AL137,增益!$A:$A,增益!$K:$K,0))&gt;0,($F$12-$I$4+VLOOKUP($R137,武学奇术!$A:$ZZ,11,FALSE)+SUM(_xlfn.XLOOKUP($S137:$AL137,增益!$A:$A,增益!$K:$K,0)))/200,($F$12-$I$4+VLOOKUP($R137,武学奇术!$A:$ZZ,11,FALSE)+SUM(_xlfn.XLOOKUP($S137:$AL137,增益!$A:$A,增益!$K:$K,0)))/100)</f>
        <v>0.17</v>
      </c>
      <c r="BF137" s="40" cm="1">
        <f t="array" ref="BF137">$G$12+VLOOKUP($R137,武学奇术!$A:$ZZ,12,FALSE)+SUM(_xlfn.XLOOKUP($S137:$AL137,增益!$A:$A,增益!$L:$L,0))</f>
        <v>0.27</v>
      </c>
      <c r="BG137">
        <f t="shared" si="38"/>
        <v>0</v>
      </c>
      <c r="BH137">
        <f t="shared" si="39"/>
        <v>0</v>
      </c>
      <c r="BI137" s="40" cm="1">
        <f t="array" ref="BI137">IF($F$13-$I$4+VLOOKUP($R137,武学奇术!$A:$ZZ,13,FALSE)+SUM(_xlfn.XLOOKUP($S137:$AL137,增益!$A:$A,增益!$M:$M,0))&gt;0,($F$13-$I$4+VLOOKUP($R137,武学奇术!$A:$ZZ,13,FALSE)+SUM(_xlfn.XLOOKUP($S137:$AL137,增益!$A:$A,增益!$K:$K,0)))/200,($F$13-$I$4+VLOOKUP($R137,武学奇术!$A:$ZZ,13,FALSE)+SUM(_xlfn.XLOOKUP($S137:$AL137,增益!$A:$A,增益!$M:$M,0)))/100)</f>
        <v>-0.14</v>
      </c>
      <c r="BJ137" s="40" cm="1">
        <f t="array" ref="BJ137">$G$13+VLOOKUP($R137,武学奇术!$A:$ZZ,14,FALSE)+SUM(_xlfn.XLOOKUP($S137:$AL137,增益!$A:$A,增益!$N:$N,0))</f>
        <v>0</v>
      </c>
      <c r="BK137">
        <f t="shared" si="40"/>
        <v>0</v>
      </c>
      <c r="BL137">
        <f t="shared" si="41"/>
        <v>0</v>
      </c>
      <c r="BM137" s="40" cm="1">
        <f t="array" ref="BM137">IF($F$14-$I$4+VLOOKUP($R137,武学奇术!$A:$ZZ,15,FALSE)+SUM(_xlfn.XLOOKUP($S137:$AL137,增益!$A:$A,增益!$O:$O,0))&gt;0,($F$14-$I$4+VLOOKUP($R137,武学奇术!$A:$ZZ,15,FALSE)+SUM(_xlfn.XLOOKUP($S137:$AL137,增益!$A:$A,增益!$O:$O,0)))/200,($F$14-$I$4+VLOOKUP($R137,武学奇术!$A:$ZZ,15,FALSE)+SUM(_xlfn.XLOOKUP($S137:$AL137,增益!$A:$A,增益!$O:$O,0)))/100)</f>
        <v>-0.14</v>
      </c>
      <c r="BN137" s="40" cm="1">
        <f t="array" ref="BN137">$G$14+VLOOKUP($R137,武学奇术!$A:$ZZ,16,FALSE)+SUM(_xlfn.XLOOKUP($S137:$AL137,增益!$A:$A,增益!$P:$P,0))</f>
        <v>0</v>
      </c>
      <c r="BO137" s="33">
        <f>MIN(IF(VLOOKUP($R137,武学奇术!$A:$ZZ,23,FALSE)=1,100%,$B$8),100%)</f>
        <v>0.9771</v>
      </c>
      <c r="BP137" s="33" cm="1">
        <f t="array" ref="BP137">IF(VLOOKUP($R137,武学奇术!$A:$ZZ,23,FALSE)=1,100%,MIN(80%,$B$9+VLOOKUP($R137,武学奇术!$A:$ZZ,17,FALSE)+SUM(_xlfn.XLOOKUP($S137:$AL137,增益!$A:$A,增益!$Q:$Q,0)))+$B$11+SUM(_xlfn.XLOOKUP($S137:$AL137,增益!$A:$A,增益!$U:$U,0)))*IF(VLOOKUP($R137,武学奇术!$A:$ZZ,24,FALSE)=1,0,1)</f>
        <v>0.8861</v>
      </c>
      <c r="BQ137" s="33" cm="1">
        <f t="array" ref="BQ137">1+$B$13+VLOOKUP($R137,武学奇术!$A:$ZZ,18,FALSE)+SUM(_xlfn.XLOOKUP($S137:$AL137,增益!$A:$A,增益!$R:$R,0))</f>
        <v>1.89</v>
      </c>
      <c r="BR137" s="33" cm="1">
        <f t="array" ref="BR137">IF(VLOOKUP($R137,武学奇术!$A:$ZZ,24,FALSE)=1,100%,MIN(40%,$B$10+VLOOKUP($R137,武学奇术!$A:$ZZ,19,FALSE)+SUM(_xlfn.XLOOKUP($S137:$AL137,增益!$A:$A,增益!$S:$S,0)))+$B$12+SUM(_xlfn.XLOOKUP($S137:$AL137,增益!$A:$A,增益!$V:$V,0)))*IF(VLOOKUP($R137,武学奇术!$A:$ZZ,23,FALSE)=1,0,1)</f>
        <v>0.0913</v>
      </c>
      <c r="BS137" s="33" cm="1">
        <f t="array" ref="BS137">1+$B$14+VLOOKUP($R137,武学奇术!$A:$ZZ,20,FALSE)+SUM(_xlfn.XLOOKUP($S137:$AL137,增益!$A:$A,增益!$T:$T,0))</f>
        <v>1.35</v>
      </c>
      <c r="BT137" s="33">
        <f t="shared" si="42"/>
        <v>0.86580831</v>
      </c>
      <c r="BU137" s="33">
        <f t="shared" si="43"/>
        <v>0.02208246</v>
      </c>
      <c r="BV137" s="33">
        <f>IF(VLOOKUP($R137,武学奇术!$A:$ZZ,22,FALSE)=1,0,(1-$BO137))*(1-$BR137)</f>
        <v>0.02080923</v>
      </c>
      <c r="BW137" s="33" cm="1">
        <f t="array" ref="BW137">SUM(_xlfn.XLOOKUP($S137:$AL137,增益!$A:$A,增益!$W:$W,0))+$I$5</f>
        <v>0.11</v>
      </c>
      <c r="BX137" s="33" cm="1">
        <f t="array" ref="BX137">VLOOKUP($R137,武学奇术!$A:$ZZ,32,FALSE)+SUM(_xlfn.XLOOKUP($S137:$AL137,增益!$A:$A,增益!$X:$X,0))</f>
        <v>0</v>
      </c>
    </row>
    <row r="138" spans="12:76">
      <c r="L138" s="46">
        <f t="shared" si="33"/>
        <v>0</v>
      </c>
      <c r="M138" s="46">
        <f>((($AT138+$AU138)/2*$AN138+$AO138)*(1+$AV138)*(1+$AW138)+(($AY138+$AZ138)/2*IF($G$1="鸣金",$AP138,$AN138)+IF($G$1="鸣金",$AQ138*1.5,0))*(1+$BA138)*(1+$BB138)+(($BC138+$BD138)/2*IF($G$1="裂石",$AP138,$AN138)+IF($G$1="裂石",$AQ138*1.5,0))*(1+$BE138)*(1+$BF138)+(($BG138+$BH138)/2*IF($G$1="牵丝",$AP138,$AN138)+IF($G$1="牵丝",$AQ138*1.5,0))*(1+$BI138)*(1+$BJ138)+(($BK138+$BL138)/2*IF($G$1="破竹",$AP138,$AN138)+IF($G$1="破竹",$AQ138*1.5,0))*(1+$BM138)*(1+$BN138))*(1+$AR138)*$BQ138*$Q138*(1+IF(VLOOKUP($R138,武学奇术!$A:$ZZ,30,FALSE)="蓄力技",$B$21,0))*(1+IF(VLOOKUP($R138,武学奇术!$A:$ZZ,30,FALSE)="派生技",$B$20,0))*(1+$BW138)*(1+$BX138)</f>
        <v>0</v>
      </c>
      <c r="N138" s="46">
        <f>(($AU138*$AN138+$AO138)*(1+$AV138)*(1+$AW138)+($AZ138*IF($G$1="鸣金",$AP138,$AN138)+IF($G$1="鸣金",$AQ138*1.5,0))*(1+$BA138)*(1+$BB138)+($BD138*IF($G$1="裂石",$AP138,$AN138)+IF($G$1="裂石",$AQ138*1.5,0))*(1+$BE138)*(1+$BF138)+($BH138*IF($G$1="牵丝",$AP138,$AN138)+IF($G$1="牵丝",$AQ138*1.5,0))*(1+$BI138)*(1+$BJ138)+($BL138*IF($G$1="破竹",$AP138,$AN138)+IF($G$1="破竹",$AQ138*1.5,0))*(1+$BM138)*(1+$BN138))*(1+$AR138)*$BS138*$Q138*(1+IF(VLOOKUP($R138,武学奇术!$A:$ZZ,30,FALSE)="蓄力技",$B$21,0))*(1+IF(VLOOKUP($R138,武学奇术!$A:$ZZ,30,FALSE)="派生技",$B$20,0))*(1+$BW138)*(1+$BX138)</f>
        <v>0</v>
      </c>
      <c r="O138" s="46">
        <f>((($AT138+$AU138)/2*$AN138+$AO138)*(1+$AV138)*(1+$AW138)+(($AY138+$AZ138)/2*IF($G$1="鸣金",$AP138,$AN138)+IF($G$1="鸣金",$AQ138*1.5,0))*(1+$BA138)*(1+$BB138)+(($BC138+$BD138)/2*IF($G$1="裂石",$AP138,$AN138)+IF($G$1="裂石",$AQ138*1.5,0))*(1+$BE138)*(1+$BF138)+(($BG138+$BH138)/2*IF($G$1="牵丝",$AP138,$AN138)+IF($G$1="牵丝",$AQ138*1.5,0))*(1+$BI138)*(1+$BJ138)+(($BK138+$BL138)/2*IF($G$1="破竹",$AP138,$AN138)+IF($G$1="破竹",$AQ138*1.5,0))*(1+$BM138)*(1+$BN138))*(1+$AR138)*$Q138*(1+IF(VLOOKUP($R138,武学奇术!$A:$ZZ,30,FALSE)="蓄力技",$B$21,0))*(1+IF(VLOOKUP($R138,武学奇术!$A:$ZZ,30,FALSE)="派生技",$B$20,0))*(1+$BW138)*(1+$BX138)</f>
        <v>0</v>
      </c>
      <c r="P138" s="46">
        <f>((($AT138*$AN138+$AO138)*(1+$AV138)*(1+$AW138)+($AY138*IF($G$1="鸣金",$AP138,$AN138)+IF($G$1="鸣金",$AQ138*1.5,0))*(1+$BA138)*(1+$BB138)+($BC138*IF($G$1="裂石",$AP138,$AN138)+IF($G$1="裂石",$AQ138*1.5,0))*(1+$BE138)*(1+$BF138)+($BG138*IF($G$1="牵丝",$AP138,$AN138)+IF($G$1="牵丝",$AQ138*1.5,0))*(1+$BI138)*(1+$BJ138)+($BK138*IF($G$1="破竹",$AP138,$AN138)+IF($G$1="破竹",$AQ138*1.5,0))*(1+$BM138)*(1+$BN138))*(1+$AR138))*$Q138*(1+IF(VLOOKUP($R138,武学奇术!$A:$ZZ,30,FALSE)="蓄力技",$B$21,0))*(1+IF(VLOOKUP($R138,武学奇术!$A:$ZZ,30,FALSE)="派生技",$B$20,0))*(1+$BW138)*(1+$BX138)</f>
        <v>0</v>
      </c>
      <c r="Q138" s="47">
        <f t="shared" si="32"/>
        <v>0</v>
      </c>
      <c r="R138" s="48" t="s">
        <v>106</v>
      </c>
      <c r="S138" s="48" t="s">
        <v>99</v>
      </c>
      <c r="T138" s="48" t="s">
        <v>100</v>
      </c>
      <c r="U138" s="48" t="s">
        <v>79</v>
      </c>
      <c r="V138" s="48" t="s">
        <v>90</v>
      </c>
      <c r="W138" s="48" t="s">
        <v>91</v>
      </c>
      <c r="X138" s="48" t="s">
        <v>80</v>
      </c>
      <c r="Y138" s="48" t="s">
        <v>80</v>
      </c>
      <c r="Z138" s="48" t="s">
        <v>81</v>
      </c>
      <c r="AA138" s="48" t="s">
        <v>80</v>
      </c>
      <c r="AB138" s="48" t="s">
        <v>80</v>
      </c>
      <c r="AC138" s="48" t="s">
        <v>80</v>
      </c>
      <c r="AD138" s="48" t="s">
        <v>80</v>
      </c>
      <c r="AE138" s="48" t="s">
        <v>80</v>
      </c>
      <c r="AF138" s="48" t="s">
        <v>83</v>
      </c>
      <c r="AG138" s="48" t="s">
        <v>84</v>
      </c>
      <c r="AH138" s="48" t="s">
        <v>80</v>
      </c>
      <c r="AI138" s="48" t="s">
        <v>80</v>
      </c>
      <c r="AJ138" s="48" t="s">
        <v>80</v>
      </c>
      <c r="AK138" s="48" t="s">
        <v>80</v>
      </c>
      <c r="AL138" s="48" t="s">
        <v>80</v>
      </c>
      <c r="AM138" t="str">
        <f>VLOOKUP($R138,武学奇术!$A:$ZZ,25,FALSE)</f>
        <v>群体奇术</v>
      </c>
      <c r="AN138" s="33">
        <f>VLOOKUP($R138,武学奇术!$A:$ZZ,26,FALSE)</f>
        <v>2.3774</v>
      </c>
      <c r="AO138" s="34">
        <f>VLOOKUP($R138,武学奇术!$A:$ZZ,27,FALSE)*(1+IF(OR($AM138=$F$4,$AM138=$F$5),$B$22,0))</f>
        <v>476</v>
      </c>
      <c r="AP138" s="33">
        <f>VLOOKUP($R138,武学奇术!$A:$ZZ,28,FALSE)</f>
        <v>3.5661</v>
      </c>
      <c r="AQ138" s="34">
        <f>VLOOKUP($R138,武学奇术!$A:$ZZ,29,FALSE)*(1+IF(OR($AM138=$F$4,$AM138=$F$5),$B$22,0))</f>
        <v>0</v>
      </c>
      <c r="AR138" s="33" cm="1">
        <f t="array" ref="AR138">$G$3+IFERROR(VLOOKUP($AM138,$F$4:$G$7,2,FALSE),0)+VLOOKUP($R138,武学奇术!$A:$ZZ,2,FALSE)+SUM(_xlfn.XLOOKUP($S138:$AL138,增益!$A:$A,增益!$B:$B,0))</f>
        <v>0.3842</v>
      </c>
      <c r="AS138" s="33" cm="1">
        <f t="array" ref="AS138">VLOOKUP($R138,武学奇术!$A:$ZZ,5,FALSE)+SUM(_xlfn.XLOOKUP($S138:$AL138,增益!$A:$A,增益!$E:$E,0))</f>
        <v>0</v>
      </c>
      <c r="AT138" cm="1">
        <f t="array" ref="AT138">$D$10*(1+$AS138)+VLOOKUP($R138,武学奇术!$A:$ZZ,3,FALSE)+SUM(_xlfn.XLOOKUP($S138:$AL138,增益!$A:$A,增益!$C:$C,0))-$I$2</f>
        <v>4026</v>
      </c>
      <c r="AU138" cm="1">
        <f t="array" ref="AU138">$E$10*(1+$AS138)+VLOOKUP($R138,武学奇术!$A:$ZZ,4,FALSE)+SUM(_xlfn.XLOOKUP($S138:$AL138,增益!$A:$A,增益!$D:$D,0))-$I$2</f>
        <v>4026</v>
      </c>
      <c r="AV138" s="40" cm="1">
        <f t="array" ref="AV138">IF($F$10-$I$3+VLOOKUP($R138,武学奇术!$A:$ZZ,6,FALSE)+SUM(_xlfn.XLOOKUP($S138:$AL138,增益!$A:$A,增益!$F:$F,0))&gt;0,($F$10-$I$3+VLOOKUP($R138,武学奇术!$A:$ZZ,6,FALSE)+SUM(_xlfn.XLOOKUP($S138:$AL138,增益!$A:$A,增益!$F:$F,0)))/200,($F$10-$I$3+VLOOKUP($R138,武学奇术!$A:$ZZ,6,FALSE)+SUM(_xlfn.XLOOKUP($S138:$AL138,增益!$A:$A,增益!$F:$F,0)))/100)</f>
        <v>0.3284</v>
      </c>
      <c r="AW138" s="40" cm="1">
        <f t="array" ref="AW138">$G$10+VLOOKUP($R138,武学奇术!$A:$ZZ,7,FALSE)+SUM(_xlfn.XLOOKUP($S138:$AL138,增益!$A:$A,增益!$G:$G,0))</f>
        <v>0.12</v>
      </c>
      <c r="AX138" s="33" cm="1">
        <f t="array" ref="AX138">VLOOKUP($R138,武学奇术!$A:$ZZ,8,FALSE)+SUM(_xlfn.XLOOKUP($S138:$AL138,增益!$A:$A,增益!$H:$H,0))</f>
        <v>0</v>
      </c>
      <c r="AY138">
        <f t="shared" si="34"/>
        <v>0</v>
      </c>
      <c r="AZ138">
        <f t="shared" si="35"/>
        <v>0</v>
      </c>
      <c r="BA138" s="40" cm="1">
        <f t="array" ref="BA138">IF($F$11-$I$4+VLOOKUP($R138,武学奇术!$A:$ZZ,9,FALSE)+SUM(_xlfn.XLOOKUP($S138:$AL138,增益!$A:$A,增益!$I:$I,0))&gt;0,($F$11-$I$4+VLOOKUP($R138,武学奇术!$A:$ZZ,9,FALSE)+SUM(_xlfn.XLOOKUP($S138:$AL138,增益!$A:$A,增益!$I:$I,0)))/200,($F$11-$I$4+VLOOKUP($R138,武学奇术!$A:$ZZ,9,FALSE)+SUM(_xlfn.XLOOKUP($S138:$AL138,增益!$A:$A,增益!$I:$I,0)))/100)</f>
        <v>-0.14</v>
      </c>
      <c r="BB138" s="40" cm="1">
        <f t="array" ref="BB138">$G$11+VLOOKUP($R138,武学奇术!$A:$ZZ,10,FALSE)+SUM(_xlfn.XLOOKUP($S138:$AL138,增益!$A:$A,增益!$J:$J,0))</f>
        <v>0</v>
      </c>
      <c r="BC138">
        <f t="shared" si="36"/>
        <v>640.3</v>
      </c>
      <c r="BD138">
        <f t="shared" si="37"/>
        <v>1770.1</v>
      </c>
      <c r="BE138" s="40" cm="1">
        <f t="array" ref="BE138">IF($F$12-$I$4+VLOOKUP($R138,武学奇术!$A:$ZZ,11,FALSE)+SUM(_xlfn.XLOOKUP($S138:$AL138,增益!$A:$A,增益!$K:$K,0))&gt;0,($F$12-$I$4+VLOOKUP($R138,武学奇术!$A:$ZZ,11,FALSE)+SUM(_xlfn.XLOOKUP($S138:$AL138,增益!$A:$A,增益!$K:$K,0)))/200,($F$12-$I$4+VLOOKUP($R138,武学奇术!$A:$ZZ,11,FALSE)+SUM(_xlfn.XLOOKUP($S138:$AL138,增益!$A:$A,增益!$K:$K,0)))/100)</f>
        <v>0.17</v>
      </c>
      <c r="BF138" s="40" cm="1">
        <f t="array" ref="BF138">$G$12+VLOOKUP($R138,武学奇术!$A:$ZZ,12,FALSE)+SUM(_xlfn.XLOOKUP($S138:$AL138,增益!$A:$A,增益!$L:$L,0))</f>
        <v>0.27</v>
      </c>
      <c r="BG138">
        <f t="shared" si="38"/>
        <v>0</v>
      </c>
      <c r="BH138">
        <f t="shared" si="39"/>
        <v>0</v>
      </c>
      <c r="BI138" s="40" cm="1">
        <f t="array" ref="BI138">IF($F$13-$I$4+VLOOKUP($R138,武学奇术!$A:$ZZ,13,FALSE)+SUM(_xlfn.XLOOKUP($S138:$AL138,增益!$A:$A,增益!$M:$M,0))&gt;0,($F$13-$I$4+VLOOKUP($R138,武学奇术!$A:$ZZ,13,FALSE)+SUM(_xlfn.XLOOKUP($S138:$AL138,增益!$A:$A,增益!$K:$K,0)))/200,($F$13-$I$4+VLOOKUP($R138,武学奇术!$A:$ZZ,13,FALSE)+SUM(_xlfn.XLOOKUP($S138:$AL138,增益!$A:$A,增益!$M:$M,0)))/100)</f>
        <v>-0.14</v>
      </c>
      <c r="BJ138" s="40" cm="1">
        <f t="array" ref="BJ138">$G$13+VLOOKUP($R138,武学奇术!$A:$ZZ,14,FALSE)+SUM(_xlfn.XLOOKUP($S138:$AL138,增益!$A:$A,增益!$N:$N,0))</f>
        <v>0</v>
      </c>
      <c r="BK138">
        <f t="shared" si="40"/>
        <v>0</v>
      </c>
      <c r="BL138">
        <f t="shared" si="41"/>
        <v>0</v>
      </c>
      <c r="BM138" s="40" cm="1">
        <f t="array" ref="BM138">IF($F$14-$I$4+VLOOKUP($R138,武学奇术!$A:$ZZ,15,FALSE)+SUM(_xlfn.XLOOKUP($S138:$AL138,增益!$A:$A,增益!$O:$O,0))&gt;0,($F$14-$I$4+VLOOKUP($R138,武学奇术!$A:$ZZ,15,FALSE)+SUM(_xlfn.XLOOKUP($S138:$AL138,增益!$A:$A,增益!$O:$O,0)))/200,($F$14-$I$4+VLOOKUP($R138,武学奇术!$A:$ZZ,15,FALSE)+SUM(_xlfn.XLOOKUP($S138:$AL138,增益!$A:$A,增益!$O:$O,0)))/100)</f>
        <v>-0.14</v>
      </c>
      <c r="BN138" s="40" cm="1">
        <f t="array" ref="BN138">$G$14+VLOOKUP($R138,武学奇术!$A:$ZZ,16,FALSE)+SUM(_xlfn.XLOOKUP($S138:$AL138,增益!$A:$A,增益!$P:$P,0))</f>
        <v>0</v>
      </c>
      <c r="BO138" s="33">
        <f>MIN(IF(VLOOKUP($R138,武学奇术!$A:$ZZ,23,FALSE)=1,100%,$B$8),100%)</f>
        <v>0.9771</v>
      </c>
      <c r="BP138" s="33" cm="1">
        <f t="array" ref="BP138">IF(VLOOKUP($R138,武学奇术!$A:$ZZ,23,FALSE)=1,100%,MIN(80%,$B$9+VLOOKUP($R138,武学奇术!$A:$ZZ,17,FALSE)+SUM(_xlfn.XLOOKUP($S138:$AL138,增益!$A:$A,增益!$Q:$Q,0)))+$B$11+SUM(_xlfn.XLOOKUP($S138:$AL138,增益!$A:$A,增益!$U:$U,0)))*IF(VLOOKUP($R138,武学奇术!$A:$ZZ,24,FALSE)=1,0,1)</f>
        <v>0.8861</v>
      </c>
      <c r="BQ138" s="33" cm="1">
        <f t="array" ref="BQ138">1+$B$13+VLOOKUP($R138,武学奇术!$A:$ZZ,18,FALSE)+SUM(_xlfn.XLOOKUP($S138:$AL138,增益!$A:$A,增益!$R:$R,0))</f>
        <v>1.89</v>
      </c>
      <c r="BR138" s="33" cm="1">
        <f t="array" ref="BR138">IF(VLOOKUP($R138,武学奇术!$A:$ZZ,24,FALSE)=1,100%,MIN(40%,$B$10+VLOOKUP($R138,武学奇术!$A:$ZZ,19,FALSE)+SUM(_xlfn.XLOOKUP($S138:$AL138,增益!$A:$A,增益!$S:$S,0)))+$B$12+SUM(_xlfn.XLOOKUP($S138:$AL138,增益!$A:$A,增益!$V:$V,0)))*IF(VLOOKUP($R138,武学奇术!$A:$ZZ,23,FALSE)=1,0,1)</f>
        <v>0.0913</v>
      </c>
      <c r="BS138" s="33" cm="1">
        <f t="array" ref="BS138">1+$B$14+VLOOKUP($R138,武学奇术!$A:$ZZ,20,FALSE)+SUM(_xlfn.XLOOKUP($S138:$AL138,增益!$A:$A,增益!$T:$T,0))</f>
        <v>1.35</v>
      </c>
      <c r="BT138" s="33">
        <f t="shared" si="42"/>
        <v>0.86580831</v>
      </c>
      <c r="BU138" s="33">
        <f t="shared" si="43"/>
        <v>0.02208246</v>
      </c>
      <c r="BV138" s="33">
        <f>IF(VLOOKUP($R138,武学奇术!$A:$ZZ,22,FALSE)=1,0,(1-$BO138))*(1-$BR138)</f>
        <v>0.02080923</v>
      </c>
      <c r="BW138" s="33" cm="1">
        <f t="array" ref="BW138">SUM(_xlfn.XLOOKUP($S138:$AL138,增益!$A:$A,增益!$W:$W,0))+$I$5</f>
        <v>0.11</v>
      </c>
      <c r="BX138" s="33" cm="1">
        <f t="array" ref="BX138">VLOOKUP($R138,武学奇术!$A:$ZZ,32,FALSE)+SUM(_xlfn.XLOOKUP($S138:$AL138,增益!$A:$A,增益!$X:$X,0))</f>
        <v>0</v>
      </c>
    </row>
    <row r="139" spans="12:76">
      <c r="L139" s="46">
        <f t="shared" si="33"/>
        <v>0</v>
      </c>
      <c r="M139" s="46">
        <f>((($AT139+$AU139)/2*$AN139+$AO139)*(1+$AV139)*(1+$AW139)+(($AY139+$AZ139)/2*IF($G$1="鸣金",$AP139,$AN139)+IF($G$1="鸣金",$AQ139*1.5,0))*(1+$BA139)*(1+$BB139)+(($BC139+$BD139)/2*IF($G$1="裂石",$AP139,$AN139)+IF($G$1="裂石",$AQ139*1.5,0))*(1+$BE139)*(1+$BF139)+(($BG139+$BH139)/2*IF($G$1="牵丝",$AP139,$AN139)+IF($G$1="牵丝",$AQ139*1.5,0))*(1+$BI139)*(1+$BJ139)+(($BK139+$BL139)/2*IF($G$1="破竹",$AP139,$AN139)+IF($G$1="破竹",$AQ139*1.5,0))*(1+$BM139)*(1+$BN139))*(1+$AR139)*$BQ139*$Q139*(1+IF(VLOOKUP($R139,武学奇术!$A:$ZZ,30,FALSE)="蓄力技",$B$21,0))*(1+IF(VLOOKUP($R139,武学奇术!$A:$ZZ,30,FALSE)="派生技",$B$20,0))*(1+$BW139)*(1+$BX139)</f>
        <v>0</v>
      </c>
      <c r="N139" s="46">
        <f>(($AU139*$AN139+$AO139)*(1+$AV139)*(1+$AW139)+($AZ139*IF($G$1="鸣金",$AP139,$AN139)+IF($G$1="鸣金",$AQ139*1.5,0))*(1+$BA139)*(1+$BB139)+($BD139*IF($G$1="裂石",$AP139,$AN139)+IF($G$1="裂石",$AQ139*1.5,0))*(1+$BE139)*(1+$BF139)+($BH139*IF($G$1="牵丝",$AP139,$AN139)+IF($G$1="牵丝",$AQ139*1.5,0))*(1+$BI139)*(1+$BJ139)+($BL139*IF($G$1="破竹",$AP139,$AN139)+IF($G$1="破竹",$AQ139*1.5,0))*(1+$BM139)*(1+$BN139))*(1+$AR139)*$BS139*$Q139*(1+IF(VLOOKUP($R139,武学奇术!$A:$ZZ,30,FALSE)="蓄力技",$B$21,0))*(1+IF(VLOOKUP($R139,武学奇术!$A:$ZZ,30,FALSE)="派生技",$B$20,0))*(1+$BW139)*(1+$BX139)</f>
        <v>0</v>
      </c>
      <c r="O139" s="46">
        <f>((($AT139+$AU139)/2*$AN139+$AO139)*(1+$AV139)*(1+$AW139)+(($AY139+$AZ139)/2*IF($G$1="鸣金",$AP139,$AN139)+IF($G$1="鸣金",$AQ139*1.5,0))*(1+$BA139)*(1+$BB139)+(($BC139+$BD139)/2*IF($G$1="裂石",$AP139,$AN139)+IF($G$1="裂石",$AQ139*1.5,0))*(1+$BE139)*(1+$BF139)+(($BG139+$BH139)/2*IF($G$1="牵丝",$AP139,$AN139)+IF($G$1="牵丝",$AQ139*1.5,0))*(1+$BI139)*(1+$BJ139)+(($BK139+$BL139)/2*IF($G$1="破竹",$AP139,$AN139)+IF($G$1="破竹",$AQ139*1.5,0))*(1+$BM139)*(1+$BN139))*(1+$AR139)*$Q139*(1+IF(VLOOKUP($R139,武学奇术!$A:$ZZ,30,FALSE)="蓄力技",$B$21,0))*(1+IF(VLOOKUP($R139,武学奇术!$A:$ZZ,30,FALSE)="派生技",$B$20,0))*(1+$BW139)*(1+$BX139)</f>
        <v>0</v>
      </c>
      <c r="P139" s="46">
        <f>((($AT139*$AN139+$AO139)*(1+$AV139)*(1+$AW139)+($AY139*IF($G$1="鸣金",$AP139,$AN139)+IF($G$1="鸣金",$AQ139*1.5,0))*(1+$BA139)*(1+$BB139)+($BC139*IF($G$1="裂石",$AP139,$AN139)+IF($G$1="裂石",$AQ139*1.5,0))*(1+$BE139)*(1+$BF139)+($BG139*IF($G$1="牵丝",$AP139,$AN139)+IF($G$1="牵丝",$AQ139*1.5,0))*(1+$BI139)*(1+$BJ139)+($BK139*IF($G$1="破竹",$AP139,$AN139)+IF($G$1="破竹",$AQ139*1.5,0))*(1+$BM139)*(1+$BN139))*(1+$AR139))*$Q139*(1+IF(VLOOKUP($R139,武学奇术!$A:$ZZ,30,FALSE)="蓄力技",$B$21,0))*(1+IF(VLOOKUP($R139,武学奇术!$A:$ZZ,30,FALSE)="派生技",$B$20,0))*(1+$BW139)*(1+$BX139)</f>
        <v>0</v>
      </c>
      <c r="Q139" s="47">
        <f t="shared" si="32"/>
        <v>0</v>
      </c>
      <c r="R139" s="48" t="s">
        <v>175</v>
      </c>
      <c r="S139" s="48" t="s">
        <v>80</v>
      </c>
      <c r="T139" s="48" t="s">
        <v>80</v>
      </c>
      <c r="U139" s="48" t="s">
        <v>80</v>
      </c>
      <c r="V139" s="48" t="s">
        <v>80</v>
      </c>
      <c r="W139" s="48" t="s">
        <v>80</v>
      </c>
      <c r="X139" s="48" t="s">
        <v>80</v>
      </c>
      <c r="Y139" s="48" t="s">
        <v>80</v>
      </c>
      <c r="Z139" s="48" t="s">
        <v>80</v>
      </c>
      <c r="AA139" s="48" t="s">
        <v>80</v>
      </c>
      <c r="AB139" s="48" t="s">
        <v>80</v>
      </c>
      <c r="AC139" s="48" t="s">
        <v>80</v>
      </c>
      <c r="AD139" s="48" t="s">
        <v>80</v>
      </c>
      <c r="AE139" s="48" t="s">
        <v>80</v>
      </c>
      <c r="AF139" s="48" t="s">
        <v>83</v>
      </c>
      <c r="AG139" s="48" t="s">
        <v>84</v>
      </c>
      <c r="AH139" s="48" t="s">
        <v>80</v>
      </c>
      <c r="AI139" s="48" t="s">
        <v>80</v>
      </c>
      <c r="AJ139" s="48" t="s">
        <v>80</v>
      </c>
      <c r="AK139" s="48" t="s">
        <v>80</v>
      </c>
      <c r="AL139" s="48" t="s">
        <v>80</v>
      </c>
      <c r="AM139" t="str">
        <f>VLOOKUP($R139,武学奇术!$A:$ZZ,25,FALSE)</f>
        <v>横刀</v>
      </c>
      <c r="AN139" s="33">
        <f>VLOOKUP($R139,武学奇术!$A:$ZZ,26,FALSE)</f>
        <v>1.2338</v>
      </c>
      <c r="AO139" s="34">
        <f>VLOOKUP($R139,武学奇术!$A:$ZZ,27,FALSE)*(1+IF(OR($AM139=$F$4,$AM139=$F$5),$B$22,0))</f>
        <v>547.2</v>
      </c>
      <c r="AP139" s="33">
        <f>VLOOKUP($R139,武学奇术!$A:$ZZ,28,FALSE)</f>
        <v>1.8507</v>
      </c>
      <c r="AQ139" s="34">
        <f>VLOOKUP($R139,武学奇术!$A:$ZZ,29,FALSE)*(1+IF(OR($AM139=$F$4,$AM139=$F$5),$B$22,0))</f>
        <v>297.6</v>
      </c>
      <c r="AR139" s="33" cm="1">
        <f t="array" ref="AR139">$G$3+IFERROR(VLOOKUP($AM139,$F$4:$G$7,2,FALSE),0)+VLOOKUP($R139,武学奇术!$A:$ZZ,2,FALSE)+SUM(_xlfn.XLOOKUP($S139:$AL139,增益!$A:$A,增益!$B:$B,0))</f>
        <v>0.3189</v>
      </c>
      <c r="AS139" s="33" cm="1">
        <f t="array" ref="AS139">VLOOKUP($R139,武学奇术!$A:$ZZ,5,FALSE)+SUM(_xlfn.XLOOKUP($S139:$AL139,增益!$A:$A,增益!$E:$E,0))</f>
        <v>0</v>
      </c>
      <c r="AT139" cm="1">
        <f t="array" ref="AT139">$D$10*(1+$AS139)+VLOOKUP($R139,武学奇术!$A:$ZZ,3,FALSE)+SUM(_xlfn.XLOOKUP($S139:$AL139,增益!$A:$A,增益!$C:$C,0))-$I$2</f>
        <v>4026</v>
      </c>
      <c r="AU139" cm="1">
        <f t="array" ref="AU139">$E$10*(1+$AS139)+VLOOKUP($R139,武学奇术!$A:$ZZ,4,FALSE)+SUM(_xlfn.XLOOKUP($S139:$AL139,增益!$A:$A,增益!$D:$D,0))-$I$2</f>
        <v>4026</v>
      </c>
      <c r="AV139" s="40" cm="1">
        <f t="array" ref="AV139">IF($F$10-$I$3+VLOOKUP($R139,武学奇术!$A:$ZZ,6,FALSE)+SUM(_xlfn.XLOOKUP($S139:$AL139,增益!$A:$A,增益!$F:$F,0))&gt;0,($F$10-$I$3+VLOOKUP($R139,武学奇术!$A:$ZZ,6,FALSE)+SUM(_xlfn.XLOOKUP($S139:$AL139,增益!$A:$A,增益!$F:$F,0)))/200,($F$10-$I$3+VLOOKUP($R139,武学奇术!$A:$ZZ,6,FALSE)+SUM(_xlfn.XLOOKUP($S139:$AL139,增益!$A:$A,增益!$F:$F,0)))/100)</f>
        <v>0.2284</v>
      </c>
      <c r="AW139" s="40" cm="1">
        <f t="array" ref="AW139">$G$10+VLOOKUP($R139,武学奇术!$A:$ZZ,7,FALSE)+SUM(_xlfn.XLOOKUP($S139:$AL139,增益!$A:$A,增益!$G:$G,0))</f>
        <v>0</v>
      </c>
      <c r="AX139" s="33" cm="1">
        <f t="array" ref="AX139">VLOOKUP($R139,武学奇术!$A:$ZZ,8,FALSE)+SUM(_xlfn.XLOOKUP($S139:$AL139,增益!$A:$A,增益!$H:$H,0))</f>
        <v>0</v>
      </c>
      <c r="AY139">
        <f t="shared" si="34"/>
        <v>0</v>
      </c>
      <c r="AZ139">
        <f t="shared" si="35"/>
        <v>0</v>
      </c>
      <c r="BA139" s="40" cm="1">
        <f t="array" ref="BA139">IF($F$11-$I$4+VLOOKUP($R139,武学奇术!$A:$ZZ,9,FALSE)+SUM(_xlfn.XLOOKUP($S139:$AL139,增益!$A:$A,增益!$I:$I,0))&gt;0,($F$11-$I$4+VLOOKUP($R139,武学奇术!$A:$ZZ,9,FALSE)+SUM(_xlfn.XLOOKUP($S139:$AL139,增益!$A:$A,增益!$I:$I,0)))/200,($F$11-$I$4+VLOOKUP($R139,武学奇术!$A:$ZZ,9,FALSE)+SUM(_xlfn.XLOOKUP($S139:$AL139,增益!$A:$A,增益!$I:$I,0)))/100)</f>
        <v>-0.3</v>
      </c>
      <c r="BB139" s="40" cm="1">
        <f t="array" ref="BB139">$G$11+VLOOKUP($R139,武学奇术!$A:$ZZ,10,FALSE)+SUM(_xlfn.XLOOKUP($S139:$AL139,增益!$A:$A,增益!$J:$J,0))</f>
        <v>0</v>
      </c>
      <c r="BC139">
        <f t="shared" si="36"/>
        <v>640.3</v>
      </c>
      <c r="BD139">
        <f t="shared" si="37"/>
        <v>1770.1</v>
      </c>
      <c r="BE139" s="40" cm="1">
        <f t="array" ref="BE139">IF($F$12-$I$4+VLOOKUP($R139,武学奇术!$A:$ZZ,11,FALSE)+SUM(_xlfn.XLOOKUP($S139:$AL139,增益!$A:$A,增益!$K:$K,0))&gt;0,($F$12-$I$4+VLOOKUP($R139,武学奇术!$A:$ZZ,11,FALSE)+SUM(_xlfn.XLOOKUP($S139:$AL139,增益!$A:$A,增益!$K:$K,0)))/200,($F$12-$I$4+VLOOKUP($R139,武学奇术!$A:$ZZ,11,FALSE)+SUM(_xlfn.XLOOKUP($S139:$AL139,增益!$A:$A,增益!$K:$K,0)))/100)</f>
        <v>0.09</v>
      </c>
      <c r="BF139" s="40" cm="1">
        <f t="array" ref="BF139">$G$12+VLOOKUP($R139,武学奇术!$A:$ZZ,12,FALSE)+SUM(_xlfn.XLOOKUP($S139:$AL139,增益!$A:$A,增益!$L:$L,0))</f>
        <v>0.15</v>
      </c>
      <c r="BG139">
        <f t="shared" si="38"/>
        <v>0</v>
      </c>
      <c r="BH139">
        <f t="shared" si="39"/>
        <v>0</v>
      </c>
      <c r="BI139" s="40" cm="1">
        <f t="array" ref="BI139">IF($F$13-$I$4+VLOOKUP($R139,武学奇术!$A:$ZZ,13,FALSE)+SUM(_xlfn.XLOOKUP($S139:$AL139,增益!$A:$A,增益!$M:$M,0))&gt;0,($F$13-$I$4+VLOOKUP($R139,武学奇术!$A:$ZZ,13,FALSE)+SUM(_xlfn.XLOOKUP($S139:$AL139,增益!$A:$A,增益!$K:$K,0)))/200,($F$13-$I$4+VLOOKUP($R139,武学奇术!$A:$ZZ,13,FALSE)+SUM(_xlfn.XLOOKUP($S139:$AL139,增益!$A:$A,增益!$M:$M,0)))/100)</f>
        <v>-0.3</v>
      </c>
      <c r="BJ139" s="40" cm="1">
        <f t="array" ref="BJ139">$G$13+VLOOKUP($R139,武学奇术!$A:$ZZ,14,FALSE)+SUM(_xlfn.XLOOKUP($S139:$AL139,增益!$A:$A,增益!$N:$N,0))</f>
        <v>0</v>
      </c>
      <c r="BK139">
        <f t="shared" si="40"/>
        <v>0</v>
      </c>
      <c r="BL139">
        <f t="shared" si="41"/>
        <v>0</v>
      </c>
      <c r="BM139" s="40" cm="1">
        <f t="array" ref="BM139">IF($F$14-$I$4+VLOOKUP($R139,武学奇术!$A:$ZZ,15,FALSE)+SUM(_xlfn.XLOOKUP($S139:$AL139,增益!$A:$A,增益!$O:$O,0))&gt;0,($F$14-$I$4+VLOOKUP($R139,武学奇术!$A:$ZZ,15,FALSE)+SUM(_xlfn.XLOOKUP($S139:$AL139,增益!$A:$A,增益!$O:$O,0)))/200,($F$14-$I$4+VLOOKUP($R139,武学奇术!$A:$ZZ,15,FALSE)+SUM(_xlfn.XLOOKUP($S139:$AL139,增益!$A:$A,增益!$O:$O,0)))/100)</f>
        <v>-0.3</v>
      </c>
      <c r="BN139" s="40" cm="1">
        <f t="array" ref="BN139">$G$14+VLOOKUP($R139,武学奇术!$A:$ZZ,16,FALSE)+SUM(_xlfn.XLOOKUP($S139:$AL139,增益!$A:$A,增益!$P:$P,0))</f>
        <v>0</v>
      </c>
      <c r="BO139" s="33">
        <f>MIN(IF(VLOOKUP($R139,武学奇术!$A:$ZZ,23,FALSE)=1,100%,$B$8),100%)</f>
        <v>0.9771</v>
      </c>
      <c r="BP139" s="33" cm="1">
        <f t="array" ref="BP139">IF(VLOOKUP($R139,武学奇术!$A:$ZZ,23,FALSE)=1,100%,MIN(80%,$B$9+VLOOKUP($R139,武学奇术!$A:$ZZ,17,FALSE)+SUM(_xlfn.XLOOKUP($S139:$AL139,增益!$A:$A,增益!$Q:$Q,0)))+$B$11+SUM(_xlfn.XLOOKUP($S139:$AL139,增益!$A:$A,增益!$U:$U,0)))*IF(VLOOKUP($R139,武学奇术!$A:$ZZ,24,FALSE)=1,0,1)</f>
        <v>0.8861</v>
      </c>
      <c r="BQ139" s="33" cm="1">
        <f t="array" ref="BQ139">1+$B$13+VLOOKUP($R139,武学奇术!$A:$ZZ,18,FALSE)+SUM(_xlfn.XLOOKUP($S139:$AL139,增益!$A:$A,增益!$R:$R,0))</f>
        <v>1.75</v>
      </c>
      <c r="BR139" s="33" cm="1">
        <f t="array" ref="BR139">IF(VLOOKUP($R139,武学奇术!$A:$ZZ,24,FALSE)=1,100%,MIN(40%,$B$10+VLOOKUP($R139,武学奇术!$A:$ZZ,19,FALSE)+SUM(_xlfn.XLOOKUP($S139:$AL139,增益!$A:$A,增益!$S:$S,0)))+$B$12+SUM(_xlfn.XLOOKUP($S139:$AL139,增益!$A:$A,增益!$V:$V,0)))*IF(VLOOKUP($R139,武学奇术!$A:$ZZ,23,FALSE)=1,0,1)</f>
        <v>0.0913</v>
      </c>
      <c r="BS139" s="33" cm="1">
        <f t="array" ref="BS139">1+$B$14+VLOOKUP($R139,武学奇术!$A:$ZZ,20,FALSE)+SUM(_xlfn.XLOOKUP($S139:$AL139,增益!$A:$A,增益!$T:$T,0))</f>
        <v>1.35</v>
      </c>
      <c r="BT139" s="33">
        <f t="shared" si="42"/>
        <v>0.86580831</v>
      </c>
      <c r="BU139" s="33">
        <f t="shared" si="43"/>
        <v>0.02208246</v>
      </c>
      <c r="BV139" s="33">
        <f>IF(VLOOKUP($R139,武学奇术!$A:$ZZ,22,FALSE)=1,0,(1-$BO139))*(1-$BR139)</f>
        <v>0.02080923</v>
      </c>
      <c r="BW139" s="33" cm="1">
        <f t="array" ref="BW139">SUM(_xlfn.XLOOKUP($S139:$AL139,增益!$A:$A,增益!$W:$W,0))+$I$5</f>
        <v>0.11</v>
      </c>
      <c r="BX139" s="33" cm="1">
        <f t="array" ref="BX139">VLOOKUP($R139,武学奇术!$A:$ZZ,32,FALSE)+SUM(_xlfn.XLOOKUP($S139:$AL139,增益!$A:$A,增益!$X:$X,0))</f>
        <v>0</v>
      </c>
    </row>
    <row r="140" spans="12:76">
      <c r="L140" s="46">
        <f t="shared" si="33"/>
        <v>0</v>
      </c>
      <c r="M140" s="46">
        <f>((($AT140+$AU140)/2*$AN140+$AO140)*(1+$AV140)*(1+$AW140)+(($AY140+$AZ140)/2*IF($G$1="鸣金",$AP140,$AN140)+IF($G$1="鸣金",$AQ140*1.5,0))*(1+$BA140)*(1+$BB140)+(($BC140+$BD140)/2*IF($G$1="裂石",$AP140,$AN140)+IF($G$1="裂石",$AQ140*1.5,0))*(1+$BE140)*(1+$BF140)+(($BG140+$BH140)/2*IF($G$1="牵丝",$AP140,$AN140)+IF($G$1="牵丝",$AQ140*1.5,0))*(1+$BI140)*(1+$BJ140)+(($BK140+$BL140)/2*IF($G$1="破竹",$AP140,$AN140)+IF($G$1="破竹",$AQ140*1.5,0))*(1+$BM140)*(1+$BN140))*(1+$AR140)*$BQ140*$Q140*(1+IF(VLOOKUP($R140,武学奇术!$A:$ZZ,30,FALSE)="蓄力技",$B$21,0))*(1+IF(VLOOKUP($R140,武学奇术!$A:$ZZ,30,FALSE)="派生技",$B$20,0))*(1+$BW140)*(1+$BX140)</f>
        <v>0</v>
      </c>
      <c r="N140" s="46">
        <f>(($AU140*$AN140+$AO140)*(1+$AV140)*(1+$AW140)+($AZ140*IF($G$1="鸣金",$AP140,$AN140)+IF($G$1="鸣金",$AQ140*1.5,0))*(1+$BA140)*(1+$BB140)+($BD140*IF($G$1="裂石",$AP140,$AN140)+IF($G$1="裂石",$AQ140*1.5,0))*(1+$BE140)*(1+$BF140)+($BH140*IF($G$1="牵丝",$AP140,$AN140)+IF($G$1="牵丝",$AQ140*1.5,0))*(1+$BI140)*(1+$BJ140)+($BL140*IF($G$1="破竹",$AP140,$AN140)+IF($G$1="破竹",$AQ140*1.5,0))*(1+$BM140)*(1+$BN140))*(1+$AR140)*$BS140*$Q140*(1+IF(VLOOKUP($R140,武学奇术!$A:$ZZ,30,FALSE)="蓄力技",$B$21,0))*(1+IF(VLOOKUP($R140,武学奇术!$A:$ZZ,30,FALSE)="派生技",$B$20,0))*(1+$BW140)*(1+$BX140)</f>
        <v>0</v>
      </c>
      <c r="O140" s="46">
        <f>((($AT140+$AU140)/2*$AN140+$AO140)*(1+$AV140)*(1+$AW140)+(($AY140+$AZ140)/2*IF($G$1="鸣金",$AP140,$AN140)+IF($G$1="鸣金",$AQ140*1.5,0))*(1+$BA140)*(1+$BB140)+(($BC140+$BD140)/2*IF($G$1="裂石",$AP140,$AN140)+IF($G$1="裂石",$AQ140*1.5,0))*(1+$BE140)*(1+$BF140)+(($BG140+$BH140)/2*IF($G$1="牵丝",$AP140,$AN140)+IF($G$1="牵丝",$AQ140*1.5,0))*(1+$BI140)*(1+$BJ140)+(($BK140+$BL140)/2*IF($G$1="破竹",$AP140,$AN140)+IF($G$1="破竹",$AQ140*1.5,0))*(1+$BM140)*(1+$BN140))*(1+$AR140)*$Q140*(1+IF(VLOOKUP($R140,武学奇术!$A:$ZZ,30,FALSE)="蓄力技",$B$21,0))*(1+IF(VLOOKUP($R140,武学奇术!$A:$ZZ,30,FALSE)="派生技",$B$20,0))*(1+$BW140)*(1+$BX140)</f>
        <v>0</v>
      </c>
      <c r="P140" s="46">
        <f>((($AT140*$AN140+$AO140)*(1+$AV140)*(1+$AW140)+($AY140*IF($G$1="鸣金",$AP140,$AN140)+IF($G$1="鸣金",$AQ140*1.5,0))*(1+$BA140)*(1+$BB140)+($BC140*IF($G$1="裂石",$AP140,$AN140)+IF($G$1="裂石",$AQ140*1.5,0))*(1+$BE140)*(1+$BF140)+($BG140*IF($G$1="牵丝",$AP140,$AN140)+IF($G$1="牵丝",$AQ140*1.5,0))*(1+$BI140)*(1+$BJ140)+($BK140*IF($G$1="破竹",$AP140,$AN140)+IF($G$1="破竹",$AQ140*1.5,0))*(1+$BM140)*(1+$BN140))*(1+$AR140))*$Q140*(1+IF(VLOOKUP($R140,武学奇术!$A:$ZZ,30,FALSE)="蓄力技",$B$21,0))*(1+IF(VLOOKUP($R140,武学奇术!$A:$ZZ,30,FALSE)="派生技",$B$20,0))*(1+$BW140)*(1+$BX140)</f>
        <v>0</v>
      </c>
      <c r="Q140" s="47">
        <f t="shared" si="32"/>
        <v>0</v>
      </c>
      <c r="R140" s="48" t="s">
        <v>116</v>
      </c>
      <c r="S140" s="48" t="s">
        <v>117</v>
      </c>
      <c r="T140" s="48" t="s">
        <v>78</v>
      </c>
      <c r="U140" s="48" t="s">
        <v>80</v>
      </c>
      <c r="V140" s="48" t="s">
        <v>80</v>
      </c>
      <c r="W140" s="48" t="s">
        <v>80</v>
      </c>
      <c r="X140" s="48" t="s">
        <v>80</v>
      </c>
      <c r="Y140" s="48" t="s">
        <v>80</v>
      </c>
      <c r="Z140" s="48" t="s">
        <v>81</v>
      </c>
      <c r="AA140" s="48" t="s">
        <v>80</v>
      </c>
      <c r="AB140" s="48" t="s">
        <v>80</v>
      </c>
      <c r="AC140" s="48" t="s">
        <v>80</v>
      </c>
      <c r="AD140" s="48" t="s">
        <v>80</v>
      </c>
      <c r="AE140" s="48" t="s">
        <v>80</v>
      </c>
      <c r="AF140" s="48" t="s">
        <v>83</v>
      </c>
      <c r="AG140" s="48" t="s">
        <v>84</v>
      </c>
      <c r="AH140" s="48" t="s">
        <v>80</v>
      </c>
      <c r="AI140" s="48" t="s">
        <v>80</v>
      </c>
      <c r="AJ140" s="48" t="s">
        <v>80</v>
      </c>
      <c r="AK140" s="48" t="s">
        <v>80</v>
      </c>
      <c r="AL140" s="48" t="s">
        <v>80</v>
      </c>
      <c r="AM140" t="str">
        <f>VLOOKUP($R140,武学奇术!$A:$ZZ,25,FALSE)</f>
        <v>横刀</v>
      </c>
      <c r="AN140" s="33">
        <f>VLOOKUP($R140,武学奇术!$A:$ZZ,26,FALSE)</f>
        <v>3.7797</v>
      </c>
      <c r="AO140" s="34">
        <f>VLOOKUP($R140,武学奇术!$A:$ZZ,27,FALSE)*(1+IF(OR($AM140=$F$4,$AM140=$F$5),$B$22,0))</f>
        <v>1672</v>
      </c>
      <c r="AP140" s="33">
        <f>VLOOKUP($R140,武学奇术!$A:$ZZ,28,FALSE)</f>
        <v>5.6696</v>
      </c>
      <c r="AQ140" s="34">
        <f>VLOOKUP($R140,武学奇术!$A:$ZZ,29,FALSE)*(1+IF(OR($AM140=$F$4,$AM140=$F$5),$B$22,0))</f>
        <v>912</v>
      </c>
      <c r="AR140" s="33" cm="1">
        <f t="array" ref="AR140">$G$3+IFERROR(VLOOKUP($AM140,$F$4:$G$7,2,FALSE),0)+VLOOKUP($R140,武学奇术!$A:$ZZ,2,FALSE)+SUM(_xlfn.XLOOKUP($S140:$AL140,增益!$A:$A,增益!$B:$B,0))</f>
        <v>0.3489</v>
      </c>
      <c r="AS140" s="33" cm="1">
        <f t="array" ref="AS140">VLOOKUP($R140,武学奇术!$A:$ZZ,5,FALSE)+SUM(_xlfn.XLOOKUP($S140:$AL140,增益!$A:$A,增益!$E:$E,0))</f>
        <v>0</v>
      </c>
      <c r="AT140" cm="1">
        <f t="array" ref="AT140">$D$10*(1+$AS140)+VLOOKUP($R140,武学奇术!$A:$ZZ,3,FALSE)+SUM(_xlfn.XLOOKUP($S140:$AL140,增益!$A:$A,增益!$C:$C,0))-$I$2</f>
        <v>4026</v>
      </c>
      <c r="AU140" cm="1">
        <f t="array" ref="AU140">$E$10*(1+$AS140)+VLOOKUP($R140,武学奇术!$A:$ZZ,4,FALSE)+SUM(_xlfn.XLOOKUP($S140:$AL140,增益!$A:$A,增益!$D:$D,0))-$I$2</f>
        <v>4026</v>
      </c>
      <c r="AV140" s="40" cm="1">
        <f t="array" ref="AV140">IF($F$10-$I$3+VLOOKUP($R140,武学奇术!$A:$ZZ,6,FALSE)+SUM(_xlfn.XLOOKUP($S140:$AL140,增益!$A:$A,增益!$F:$F,0))&gt;0,($F$10-$I$3+VLOOKUP($R140,武学奇术!$A:$ZZ,6,FALSE)+SUM(_xlfn.XLOOKUP($S140:$AL140,增益!$A:$A,增益!$F:$F,0)))/200,($F$10-$I$3+VLOOKUP($R140,武学奇术!$A:$ZZ,6,FALSE)+SUM(_xlfn.XLOOKUP($S140:$AL140,增益!$A:$A,增益!$F:$F,0)))/100)</f>
        <v>0.2384</v>
      </c>
      <c r="AW140" s="40" cm="1">
        <f t="array" ref="AW140">$G$10+VLOOKUP($R140,武学奇术!$A:$ZZ,7,FALSE)+SUM(_xlfn.XLOOKUP($S140:$AL140,增益!$A:$A,增益!$G:$G,0))</f>
        <v>0</v>
      </c>
      <c r="AX140" s="33" cm="1">
        <f t="array" ref="AX140">VLOOKUP($R140,武学奇术!$A:$ZZ,8,FALSE)+SUM(_xlfn.XLOOKUP($S140:$AL140,增益!$A:$A,增益!$H:$H,0))</f>
        <v>0</v>
      </c>
      <c r="AY140">
        <f t="shared" si="34"/>
        <v>0</v>
      </c>
      <c r="AZ140">
        <f t="shared" si="35"/>
        <v>0</v>
      </c>
      <c r="BA140" s="40" cm="1">
        <f t="array" ref="BA140">IF($F$11-$I$4+VLOOKUP($R140,武学奇术!$A:$ZZ,9,FALSE)+SUM(_xlfn.XLOOKUP($S140:$AL140,增益!$A:$A,增益!$I:$I,0))&gt;0,($F$11-$I$4+VLOOKUP($R140,武学奇术!$A:$ZZ,9,FALSE)+SUM(_xlfn.XLOOKUP($S140:$AL140,增益!$A:$A,增益!$I:$I,0)))/200,($F$11-$I$4+VLOOKUP($R140,武学奇术!$A:$ZZ,9,FALSE)+SUM(_xlfn.XLOOKUP($S140:$AL140,增益!$A:$A,增益!$I:$I,0)))/100)</f>
        <v>-0.3</v>
      </c>
      <c r="BB140" s="40" cm="1">
        <f t="array" ref="BB140">$G$11+VLOOKUP($R140,武学奇术!$A:$ZZ,10,FALSE)+SUM(_xlfn.XLOOKUP($S140:$AL140,增益!$A:$A,增益!$J:$J,0))</f>
        <v>0</v>
      </c>
      <c r="BC140">
        <f t="shared" si="36"/>
        <v>640.3</v>
      </c>
      <c r="BD140">
        <f t="shared" si="37"/>
        <v>1770.1</v>
      </c>
      <c r="BE140" s="40" cm="1">
        <f t="array" ref="BE140">IF($F$12-$I$4+VLOOKUP($R140,武学奇术!$A:$ZZ,11,FALSE)+SUM(_xlfn.XLOOKUP($S140:$AL140,增益!$A:$A,增益!$K:$K,0))&gt;0,($F$12-$I$4+VLOOKUP($R140,武学奇术!$A:$ZZ,11,FALSE)+SUM(_xlfn.XLOOKUP($S140:$AL140,增益!$A:$A,增益!$K:$K,0)))/200,($F$12-$I$4+VLOOKUP($R140,武学奇术!$A:$ZZ,11,FALSE)+SUM(_xlfn.XLOOKUP($S140:$AL140,增益!$A:$A,增益!$K:$K,0)))/100)</f>
        <v>0.09</v>
      </c>
      <c r="BF140" s="40" cm="1">
        <f t="array" ref="BF140">$G$12+VLOOKUP($R140,武学奇术!$A:$ZZ,12,FALSE)+SUM(_xlfn.XLOOKUP($S140:$AL140,增益!$A:$A,增益!$L:$L,0))</f>
        <v>0.15</v>
      </c>
      <c r="BG140">
        <f t="shared" si="38"/>
        <v>0</v>
      </c>
      <c r="BH140">
        <f t="shared" si="39"/>
        <v>0</v>
      </c>
      <c r="BI140" s="40" cm="1">
        <f t="array" ref="BI140">IF($F$13-$I$4+VLOOKUP($R140,武学奇术!$A:$ZZ,13,FALSE)+SUM(_xlfn.XLOOKUP($S140:$AL140,增益!$A:$A,增益!$M:$M,0))&gt;0,($F$13-$I$4+VLOOKUP($R140,武学奇术!$A:$ZZ,13,FALSE)+SUM(_xlfn.XLOOKUP($S140:$AL140,增益!$A:$A,增益!$K:$K,0)))/200,($F$13-$I$4+VLOOKUP($R140,武学奇术!$A:$ZZ,13,FALSE)+SUM(_xlfn.XLOOKUP($S140:$AL140,增益!$A:$A,增益!$M:$M,0)))/100)</f>
        <v>-0.3</v>
      </c>
      <c r="BJ140" s="40" cm="1">
        <f t="array" ref="BJ140">$G$13+VLOOKUP($R140,武学奇术!$A:$ZZ,14,FALSE)+SUM(_xlfn.XLOOKUP($S140:$AL140,增益!$A:$A,增益!$N:$N,0))</f>
        <v>0</v>
      </c>
      <c r="BK140">
        <f t="shared" si="40"/>
        <v>0</v>
      </c>
      <c r="BL140">
        <f t="shared" si="41"/>
        <v>0</v>
      </c>
      <c r="BM140" s="40" cm="1">
        <f t="array" ref="BM140">IF($F$14-$I$4+VLOOKUP($R140,武学奇术!$A:$ZZ,15,FALSE)+SUM(_xlfn.XLOOKUP($S140:$AL140,增益!$A:$A,增益!$O:$O,0))&gt;0,($F$14-$I$4+VLOOKUP($R140,武学奇术!$A:$ZZ,15,FALSE)+SUM(_xlfn.XLOOKUP($S140:$AL140,增益!$A:$A,增益!$O:$O,0)))/200,($F$14-$I$4+VLOOKUP($R140,武学奇术!$A:$ZZ,15,FALSE)+SUM(_xlfn.XLOOKUP($S140:$AL140,增益!$A:$A,增益!$O:$O,0)))/100)</f>
        <v>-0.3</v>
      </c>
      <c r="BN140" s="40" cm="1">
        <f t="array" ref="BN140">$G$14+VLOOKUP($R140,武学奇术!$A:$ZZ,16,FALSE)+SUM(_xlfn.XLOOKUP($S140:$AL140,增益!$A:$A,增益!$P:$P,0))</f>
        <v>0</v>
      </c>
      <c r="BO140" s="33">
        <f>MIN(IF(VLOOKUP($R140,武学奇术!$A:$ZZ,23,FALSE)=1,100%,$B$8),100%)</f>
        <v>0.9771</v>
      </c>
      <c r="BP140" s="33" cm="1">
        <f t="array" ref="BP140">IF(VLOOKUP($R140,武学奇术!$A:$ZZ,23,FALSE)=1,100%,MIN(80%,$B$9+VLOOKUP($R140,武学奇术!$A:$ZZ,17,FALSE)+SUM(_xlfn.XLOOKUP($S140:$AL140,增益!$A:$A,增益!$Q:$Q,0)))+$B$11+SUM(_xlfn.XLOOKUP($S140:$AL140,增益!$A:$A,增益!$U:$U,0)))*IF(VLOOKUP($R140,武学奇术!$A:$ZZ,24,FALSE)=1,0,1)</f>
        <v>0.8861</v>
      </c>
      <c r="BQ140" s="33" cm="1">
        <f t="array" ref="BQ140">1+$B$13+VLOOKUP($R140,武学奇术!$A:$ZZ,18,FALSE)+SUM(_xlfn.XLOOKUP($S140:$AL140,增益!$A:$A,增益!$R:$R,0))</f>
        <v>1.76</v>
      </c>
      <c r="BR140" s="33" cm="1">
        <f t="array" ref="BR140">IF(VLOOKUP($R140,武学奇术!$A:$ZZ,24,FALSE)=1,100%,MIN(40%,$B$10+VLOOKUP($R140,武学奇术!$A:$ZZ,19,FALSE)+SUM(_xlfn.XLOOKUP($S140:$AL140,增益!$A:$A,增益!$S:$S,0)))+$B$12+SUM(_xlfn.XLOOKUP($S140:$AL140,增益!$A:$A,增益!$V:$V,0)))*IF(VLOOKUP($R140,武学奇术!$A:$ZZ,23,FALSE)=1,0,1)</f>
        <v>0.0913</v>
      </c>
      <c r="BS140" s="33" cm="1">
        <f t="array" ref="BS140">1+$B$14+VLOOKUP($R140,武学奇术!$A:$ZZ,20,FALSE)+SUM(_xlfn.XLOOKUP($S140:$AL140,增益!$A:$A,增益!$T:$T,0))</f>
        <v>1.35</v>
      </c>
      <c r="BT140" s="33">
        <f t="shared" si="42"/>
        <v>0.86580831</v>
      </c>
      <c r="BU140" s="33">
        <f t="shared" si="43"/>
        <v>0.02208246</v>
      </c>
      <c r="BV140" s="33">
        <f>IF(VLOOKUP($R140,武学奇术!$A:$ZZ,22,FALSE)=1,0,(1-$BO140))*(1-$BR140)</f>
        <v>0.02080923</v>
      </c>
      <c r="BW140" s="33" cm="1">
        <f t="array" ref="BW140">SUM(_xlfn.XLOOKUP($S140:$AL140,增益!$A:$A,增益!$W:$W,0))+$I$5</f>
        <v>0.11</v>
      </c>
      <c r="BX140" s="33" cm="1">
        <f t="array" ref="BX140">VLOOKUP($R140,武学奇术!$A:$ZZ,32,FALSE)+SUM(_xlfn.XLOOKUP($S140:$AL140,增益!$A:$A,增益!$X:$X,0))</f>
        <v>0</v>
      </c>
    </row>
    <row r="141" spans="12:76">
      <c r="L141" s="46">
        <f t="shared" si="33"/>
        <v>0</v>
      </c>
      <c r="M141" s="46">
        <f>((($AT141+$AU141)/2*$AN141+$AO141)*(1+$AV141)*(1+$AW141)+(($AY141+$AZ141)/2*IF($G$1="鸣金",$AP141,$AN141)+IF($G$1="鸣金",$AQ141*1.5,0))*(1+$BA141)*(1+$BB141)+(($BC141+$BD141)/2*IF($G$1="裂石",$AP141,$AN141)+IF($G$1="裂石",$AQ141*1.5,0))*(1+$BE141)*(1+$BF141)+(($BG141+$BH141)/2*IF($G$1="牵丝",$AP141,$AN141)+IF($G$1="牵丝",$AQ141*1.5,0))*(1+$BI141)*(1+$BJ141)+(($BK141+$BL141)/2*IF($G$1="破竹",$AP141,$AN141)+IF($G$1="破竹",$AQ141*1.5,0))*(1+$BM141)*(1+$BN141))*(1+$AR141)*$BQ141*$Q141*(1+IF(VLOOKUP($R141,武学奇术!$A:$ZZ,30,FALSE)="蓄力技",$B$21,0))*(1+IF(VLOOKUP($R141,武学奇术!$A:$ZZ,30,FALSE)="派生技",$B$20,0))*(1+$BW141)*(1+$BX141)</f>
        <v>0</v>
      </c>
      <c r="N141" s="46">
        <f>(($AU141*$AN141+$AO141)*(1+$AV141)*(1+$AW141)+($AZ141*IF($G$1="鸣金",$AP141,$AN141)+IF($G$1="鸣金",$AQ141*1.5,0))*(1+$BA141)*(1+$BB141)+($BD141*IF($G$1="裂石",$AP141,$AN141)+IF($G$1="裂石",$AQ141*1.5,0))*(1+$BE141)*(1+$BF141)+($BH141*IF($G$1="牵丝",$AP141,$AN141)+IF($G$1="牵丝",$AQ141*1.5,0))*(1+$BI141)*(1+$BJ141)+($BL141*IF($G$1="破竹",$AP141,$AN141)+IF($G$1="破竹",$AQ141*1.5,0))*(1+$BM141)*(1+$BN141))*(1+$AR141)*$BS141*$Q141*(1+IF(VLOOKUP($R141,武学奇术!$A:$ZZ,30,FALSE)="蓄力技",$B$21,0))*(1+IF(VLOOKUP($R141,武学奇术!$A:$ZZ,30,FALSE)="派生技",$B$20,0))*(1+$BW141)*(1+$BX141)</f>
        <v>0</v>
      </c>
      <c r="O141" s="46">
        <f>((($AT141+$AU141)/2*$AN141+$AO141)*(1+$AV141)*(1+$AW141)+(($AY141+$AZ141)/2*IF($G$1="鸣金",$AP141,$AN141)+IF($G$1="鸣金",$AQ141*1.5,0))*(1+$BA141)*(1+$BB141)+(($BC141+$BD141)/2*IF($G$1="裂石",$AP141,$AN141)+IF($G$1="裂石",$AQ141*1.5,0))*(1+$BE141)*(1+$BF141)+(($BG141+$BH141)/2*IF($G$1="牵丝",$AP141,$AN141)+IF($G$1="牵丝",$AQ141*1.5,0))*(1+$BI141)*(1+$BJ141)+(($BK141+$BL141)/2*IF($G$1="破竹",$AP141,$AN141)+IF($G$1="破竹",$AQ141*1.5,0))*(1+$BM141)*(1+$BN141))*(1+$AR141)*$Q141*(1+IF(VLOOKUP($R141,武学奇术!$A:$ZZ,30,FALSE)="蓄力技",$B$21,0))*(1+IF(VLOOKUP($R141,武学奇术!$A:$ZZ,30,FALSE)="派生技",$B$20,0))*(1+$BW141)*(1+$BX141)</f>
        <v>0</v>
      </c>
      <c r="P141" s="46">
        <f>((($AT141*$AN141+$AO141)*(1+$AV141)*(1+$AW141)+($AY141*IF($G$1="鸣金",$AP141,$AN141)+IF($G$1="鸣金",$AQ141*1.5,0))*(1+$BA141)*(1+$BB141)+($BC141*IF($G$1="裂石",$AP141,$AN141)+IF($G$1="裂石",$AQ141*1.5,0))*(1+$BE141)*(1+$BF141)+($BG141*IF($G$1="牵丝",$AP141,$AN141)+IF($G$1="牵丝",$AQ141*1.5,0))*(1+$BI141)*(1+$BJ141)+($BK141*IF($G$1="破竹",$AP141,$AN141)+IF($G$1="破竹",$AQ141*1.5,0))*(1+$BM141)*(1+$BN141))*(1+$AR141))*$Q141*(1+IF(VLOOKUP($R141,武学奇术!$A:$ZZ,30,FALSE)="蓄力技",$B$21,0))*(1+IF(VLOOKUP($R141,武学奇术!$A:$ZZ,30,FALSE)="派生技",$B$20,0))*(1+$BW141)*(1+$BX141)</f>
        <v>0</v>
      </c>
      <c r="Q141" s="47">
        <f t="shared" si="32"/>
        <v>0</v>
      </c>
      <c r="R141" s="48" t="s">
        <v>195</v>
      </c>
      <c r="S141" s="48" t="s">
        <v>77</v>
      </c>
      <c r="T141" s="48" t="s">
        <v>89</v>
      </c>
      <c r="U141" s="48" t="s">
        <v>79</v>
      </c>
      <c r="V141" s="48" t="s">
        <v>80</v>
      </c>
      <c r="W141" s="48" t="s">
        <v>80</v>
      </c>
      <c r="X141" s="48" t="s">
        <v>80</v>
      </c>
      <c r="Y141" s="48" t="s">
        <v>74</v>
      </c>
      <c r="Z141" s="48" t="s">
        <v>81</v>
      </c>
      <c r="AA141" s="48" t="s">
        <v>80</v>
      </c>
      <c r="AB141" s="48" t="s">
        <v>80</v>
      </c>
      <c r="AC141" s="48" t="s">
        <v>80</v>
      </c>
      <c r="AD141" s="48" t="s">
        <v>80</v>
      </c>
      <c r="AE141" s="48" t="s">
        <v>80</v>
      </c>
      <c r="AF141" s="48" t="s">
        <v>83</v>
      </c>
      <c r="AG141" s="48" t="s">
        <v>84</v>
      </c>
      <c r="AH141" s="48" t="s">
        <v>80</v>
      </c>
      <c r="AI141" s="48" t="s">
        <v>80</v>
      </c>
      <c r="AJ141" s="48" t="s">
        <v>80</v>
      </c>
      <c r="AK141" s="48" t="s">
        <v>80</v>
      </c>
      <c r="AL141" s="48" t="s">
        <v>80</v>
      </c>
      <c r="AM141" t="str">
        <f>VLOOKUP($R141,武学奇术!$A:$ZZ,25,FALSE)</f>
        <v>横刀</v>
      </c>
      <c r="AN141" s="33">
        <f>VLOOKUP($R141,武学奇术!$A:$ZZ,26,FALSE)</f>
        <v>3.6553</v>
      </c>
      <c r="AO141" s="34">
        <f>VLOOKUP($R141,武学奇术!$A:$ZZ,27,FALSE)*(1+IF(OR($AM141=$F$4,$AM141=$F$5),$B$22,0))</f>
        <v>1619.2</v>
      </c>
      <c r="AP141" s="33">
        <f>VLOOKUP($R141,武学奇术!$A:$ZZ,28,FALSE)</f>
        <v>5.4829</v>
      </c>
      <c r="AQ141" s="34">
        <f>VLOOKUP($R141,武学奇术!$A:$ZZ,29,FALSE)*(1+IF(OR($AM141=$F$4,$AM141=$F$5),$B$22,0))</f>
        <v>880</v>
      </c>
      <c r="AR141" s="33" cm="1">
        <f t="array" ref="AR141">$G$3+IFERROR(VLOOKUP($AM141,$F$4:$G$7,2,FALSE),0)+VLOOKUP($R141,武学奇术!$A:$ZZ,2,FALSE)+SUM(_xlfn.XLOOKUP($S141:$AL141,增益!$A:$A,增益!$B:$B,0))</f>
        <v>0.5389</v>
      </c>
      <c r="AS141" s="33" cm="1">
        <f t="array" ref="AS141">VLOOKUP($R141,武学奇术!$A:$ZZ,5,FALSE)+SUM(_xlfn.XLOOKUP($S141:$AL141,增益!$A:$A,增益!$E:$E,0))</f>
        <v>0</v>
      </c>
      <c r="AT141" cm="1">
        <f t="array" ref="AT141">$D$10*(1+$AS141)+VLOOKUP($R141,武学奇术!$A:$ZZ,3,FALSE)+SUM(_xlfn.XLOOKUP($S141:$AL141,增益!$A:$A,增益!$C:$C,0))-$I$2</f>
        <v>4026</v>
      </c>
      <c r="AU141" cm="1">
        <f t="array" ref="AU141">$E$10*(1+$AS141)+VLOOKUP($R141,武学奇术!$A:$ZZ,4,FALSE)+SUM(_xlfn.XLOOKUP($S141:$AL141,增益!$A:$A,增益!$D:$D,0))-$I$2</f>
        <v>4026</v>
      </c>
      <c r="AV141" s="40" cm="1">
        <f t="array" ref="AV141">IF($F$10-$I$3+VLOOKUP($R141,武学奇术!$A:$ZZ,6,FALSE)+SUM(_xlfn.XLOOKUP($S141:$AL141,增益!$A:$A,增益!$F:$F,0))&gt;0,($F$10-$I$3+VLOOKUP($R141,武学奇术!$A:$ZZ,6,FALSE)+SUM(_xlfn.XLOOKUP($S141:$AL141,增益!$A:$A,增益!$F:$F,0)))/200,($F$10-$I$3+VLOOKUP($R141,武学奇术!$A:$ZZ,6,FALSE)+SUM(_xlfn.XLOOKUP($S141:$AL141,增益!$A:$A,增益!$F:$F,0)))/100)</f>
        <v>0.2484</v>
      </c>
      <c r="AW141" s="40" cm="1">
        <f t="array" ref="AW141">$G$10+VLOOKUP($R141,武学奇术!$A:$ZZ,7,FALSE)+SUM(_xlfn.XLOOKUP($S141:$AL141,增益!$A:$A,增益!$G:$G,0))</f>
        <v>0.12</v>
      </c>
      <c r="AX141" s="33" cm="1">
        <f t="array" ref="AX141">VLOOKUP($R141,武学奇术!$A:$ZZ,8,FALSE)+SUM(_xlfn.XLOOKUP($S141:$AL141,增益!$A:$A,增益!$H:$H,0))</f>
        <v>0</v>
      </c>
      <c r="AY141">
        <f t="shared" si="34"/>
        <v>0</v>
      </c>
      <c r="AZ141">
        <f t="shared" si="35"/>
        <v>0</v>
      </c>
      <c r="BA141" s="40" cm="1">
        <f t="array" ref="BA141">IF($F$11-$I$4+VLOOKUP($R141,武学奇术!$A:$ZZ,9,FALSE)+SUM(_xlfn.XLOOKUP($S141:$AL141,增益!$A:$A,增益!$I:$I,0))&gt;0,($F$11-$I$4+VLOOKUP($R141,武学奇术!$A:$ZZ,9,FALSE)+SUM(_xlfn.XLOOKUP($S141:$AL141,增益!$A:$A,增益!$I:$I,0)))/200,($F$11-$I$4+VLOOKUP($R141,武学奇术!$A:$ZZ,9,FALSE)+SUM(_xlfn.XLOOKUP($S141:$AL141,增益!$A:$A,增益!$I:$I,0)))/100)</f>
        <v>-0.3</v>
      </c>
      <c r="BB141" s="40" cm="1">
        <f t="array" ref="BB141">$G$11+VLOOKUP($R141,武学奇术!$A:$ZZ,10,FALSE)+SUM(_xlfn.XLOOKUP($S141:$AL141,增益!$A:$A,增益!$J:$J,0))</f>
        <v>0</v>
      </c>
      <c r="BC141">
        <f t="shared" si="36"/>
        <v>640.3</v>
      </c>
      <c r="BD141">
        <f t="shared" si="37"/>
        <v>1770.1</v>
      </c>
      <c r="BE141" s="40" cm="1">
        <f t="array" ref="BE141">IF($F$12-$I$4+VLOOKUP($R141,武学奇术!$A:$ZZ,11,FALSE)+SUM(_xlfn.XLOOKUP($S141:$AL141,增益!$A:$A,增益!$K:$K,0))&gt;0,($F$12-$I$4+VLOOKUP($R141,武学奇术!$A:$ZZ,11,FALSE)+SUM(_xlfn.XLOOKUP($S141:$AL141,增益!$A:$A,增益!$K:$K,0)))/200,($F$12-$I$4+VLOOKUP($R141,武学奇术!$A:$ZZ,11,FALSE)+SUM(_xlfn.XLOOKUP($S141:$AL141,增益!$A:$A,增益!$K:$K,0)))/100)</f>
        <v>0.09</v>
      </c>
      <c r="BF141" s="40" cm="1">
        <f t="array" ref="BF141">$G$12+VLOOKUP($R141,武学奇术!$A:$ZZ,12,FALSE)+SUM(_xlfn.XLOOKUP($S141:$AL141,增益!$A:$A,增益!$L:$L,0))</f>
        <v>0.27</v>
      </c>
      <c r="BG141">
        <f t="shared" si="38"/>
        <v>0</v>
      </c>
      <c r="BH141">
        <f t="shared" si="39"/>
        <v>0</v>
      </c>
      <c r="BI141" s="40" cm="1">
        <f t="array" ref="BI141">IF($F$13-$I$4+VLOOKUP($R141,武学奇术!$A:$ZZ,13,FALSE)+SUM(_xlfn.XLOOKUP($S141:$AL141,增益!$A:$A,增益!$M:$M,0))&gt;0,($F$13-$I$4+VLOOKUP($R141,武学奇术!$A:$ZZ,13,FALSE)+SUM(_xlfn.XLOOKUP($S141:$AL141,增益!$A:$A,增益!$K:$K,0)))/200,($F$13-$I$4+VLOOKUP($R141,武学奇术!$A:$ZZ,13,FALSE)+SUM(_xlfn.XLOOKUP($S141:$AL141,增益!$A:$A,增益!$M:$M,0)))/100)</f>
        <v>-0.3</v>
      </c>
      <c r="BJ141" s="40" cm="1">
        <f t="array" ref="BJ141">$G$13+VLOOKUP($R141,武学奇术!$A:$ZZ,14,FALSE)+SUM(_xlfn.XLOOKUP($S141:$AL141,增益!$A:$A,增益!$N:$N,0))</f>
        <v>0</v>
      </c>
      <c r="BK141">
        <f t="shared" si="40"/>
        <v>0</v>
      </c>
      <c r="BL141">
        <f t="shared" si="41"/>
        <v>0</v>
      </c>
      <c r="BM141" s="40" cm="1">
        <f t="array" ref="BM141">IF($F$14-$I$4+VLOOKUP($R141,武学奇术!$A:$ZZ,15,FALSE)+SUM(_xlfn.XLOOKUP($S141:$AL141,增益!$A:$A,增益!$O:$O,0))&gt;0,($F$14-$I$4+VLOOKUP($R141,武学奇术!$A:$ZZ,15,FALSE)+SUM(_xlfn.XLOOKUP($S141:$AL141,增益!$A:$A,增益!$O:$O,0)))/200,($F$14-$I$4+VLOOKUP($R141,武学奇术!$A:$ZZ,15,FALSE)+SUM(_xlfn.XLOOKUP($S141:$AL141,增益!$A:$A,增益!$O:$O,0)))/100)</f>
        <v>-0.3</v>
      </c>
      <c r="BN141" s="40" cm="1">
        <f t="array" ref="BN141">$G$14+VLOOKUP($R141,武学奇术!$A:$ZZ,16,FALSE)+SUM(_xlfn.XLOOKUP($S141:$AL141,增益!$A:$A,增益!$P:$P,0))</f>
        <v>0</v>
      </c>
      <c r="BO141" s="33">
        <f>MIN(IF(VLOOKUP($R141,武学奇术!$A:$ZZ,23,FALSE)=1,100%,$B$8),100%)</f>
        <v>0.9771</v>
      </c>
      <c r="BP141" s="33" cm="1">
        <f t="array" ref="BP141">IF(VLOOKUP($R141,武学奇术!$A:$ZZ,23,FALSE)=1,100%,MIN(80%,$B$9+VLOOKUP($R141,武学奇术!$A:$ZZ,17,FALSE)+SUM(_xlfn.XLOOKUP($S141:$AL141,增益!$A:$A,增益!$Q:$Q,0)))+$B$11+SUM(_xlfn.XLOOKUP($S141:$AL141,增益!$A:$A,增益!$U:$U,0)))*IF(VLOOKUP($R141,武学奇术!$A:$ZZ,24,FALSE)=1,0,1)</f>
        <v>0.8861</v>
      </c>
      <c r="BQ141" s="33" cm="1">
        <f t="array" ref="BQ141">1+$B$13+VLOOKUP($R141,武学奇术!$A:$ZZ,18,FALSE)+SUM(_xlfn.XLOOKUP($S141:$AL141,增益!$A:$A,增益!$R:$R,0))</f>
        <v>1.77</v>
      </c>
      <c r="BR141" s="33" cm="1">
        <f t="array" ref="BR141">IF(VLOOKUP($R141,武学奇术!$A:$ZZ,24,FALSE)=1,100%,MIN(40%,$B$10+VLOOKUP($R141,武学奇术!$A:$ZZ,19,FALSE)+SUM(_xlfn.XLOOKUP($S141:$AL141,增益!$A:$A,增益!$S:$S,0)))+$B$12+SUM(_xlfn.XLOOKUP($S141:$AL141,增益!$A:$A,增益!$V:$V,0)))*IF(VLOOKUP($R141,武学奇术!$A:$ZZ,23,FALSE)=1,0,1)</f>
        <v>0.0913</v>
      </c>
      <c r="BS141" s="33" cm="1">
        <f t="array" ref="BS141">1+$B$14+VLOOKUP($R141,武学奇术!$A:$ZZ,20,FALSE)+SUM(_xlfn.XLOOKUP($S141:$AL141,增益!$A:$A,增益!$T:$T,0))</f>
        <v>1.35</v>
      </c>
      <c r="BT141" s="33">
        <f t="shared" si="42"/>
        <v>0.86580831</v>
      </c>
      <c r="BU141" s="33">
        <f t="shared" si="43"/>
        <v>0.02208246</v>
      </c>
      <c r="BV141" s="33">
        <f>IF(VLOOKUP($R141,武学奇术!$A:$ZZ,22,FALSE)=1,0,(1-$BO141))*(1-$BR141)</f>
        <v>0.02080923</v>
      </c>
      <c r="BW141" s="33" cm="1">
        <f t="array" ref="BW141">SUM(_xlfn.XLOOKUP($S141:$AL141,增益!$A:$A,增益!$W:$W,0))+$I$5</f>
        <v>0.11</v>
      </c>
      <c r="BX141" s="33" cm="1">
        <f t="array" ref="BX141">VLOOKUP($R141,武学奇术!$A:$ZZ,32,FALSE)+SUM(_xlfn.XLOOKUP($S141:$AL141,增益!$A:$A,增益!$X:$X,0))</f>
        <v>0</v>
      </c>
    </row>
    <row r="142" spans="12:76">
      <c r="L142" s="46">
        <f t="shared" si="33"/>
        <v>0</v>
      </c>
      <c r="M142" s="46">
        <f>((($AT142+$AU142)/2*$AN142+$AO142)*(1+$AV142)*(1+$AW142)+(($AY142+$AZ142)/2*IF($G$1="鸣金",$AP142,$AN142)+IF($G$1="鸣金",$AQ142*1.5,0))*(1+$BA142)*(1+$BB142)+(($BC142+$BD142)/2*IF($G$1="裂石",$AP142,$AN142)+IF($G$1="裂石",$AQ142*1.5,0))*(1+$BE142)*(1+$BF142)+(($BG142+$BH142)/2*IF($G$1="牵丝",$AP142,$AN142)+IF($G$1="牵丝",$AQ142*1.5,0))*(1+$BI142)*(1+$BJ142)+(($BK142+$BL142)/2*IF($G$1="破竹",$AP142,$AN142)+IF($G$1="破竹",$AQ142*1.5,0))*(1+$BM142)*(1+$BN142))*(1+$AR142)*$BQ142*$Q142*(1+IF(VLOOKUP($R142,武学奇术!$A:$ZZ,30,FALSE)="蓄力技",$B$21,0))*(1+IF(VLOOKUP($R142,武学奇术!$A:$ZZ,30,FALSE)="派生技",$B$20,0))*(1+$BW142)*(1+$BX142)</f>
        <v>0</v>
      </c>
      <c r="N142" s="46">
        <f>(($AU142*$AN142+$AO142)*(1+$AV142)*(1+$AW142)+($AZ142*IF($G$1="鸣金",$AP142,$AN142)+IF($G$1="鸣金",$AQ142*1.5,0))*(1+$BA142)*(1+$BB142)+($BD142*IF($G$1="裂石",$AP142,$AN142)+IF($G$1="裂石",$AQ142*1.5,0))*(1+$BE142)*(1+$BF142)+($BH142*IF($G$1="牵丝",$AP142,$AN142)+IF($G$1="牵丝",$AQ142*1.5,0))*(1+$BI142)*(1+$BJ142)+($BL142*IF($G$1="破竹",$AP142,$AN142)+IF($G$1="破竹",$AQ142*1.5,0))*(1+$BM142)*(1+$BN142))*(1+$AR142)*$BS142*$Q142*(1+IF(VLOOKUP($R142,武学奇术!$A:$ZZ,30,FALSE)="蓄力技",$B$21,0))*(1+IF(VLOOKUP($R142,武学奇术!$A:$ZZ,30,FALSE)="派生技",$B$20,0))*(1+$BW142)*(1+$BX142)</f>
        <v>0</v>
      </c>
      <c r="O142" s="46">
        <f>((($AT142+$AU142)/2*$AN142+$AO142)*(1+$AV142)*(1+$AW142)+(($AY142+$AZ142)/2*IF($G$1="鸣金",$AP142,$AN142)+IF($G$1="鸣金",$AQ142*1.5,0))*(1+$BA142)*(1+$BB142)+(($BC142+$BD142)/2*IF($G$1="裂石",$AP142,$AN142)+IF($G$1="裂石",$AQ142*1.5,0))*(1+$BE142)*(1+$BF142)+(($BG142+$BH142)/2*IF($G$1="牵丝",$AP142,$AN142)+IF($G$1="牵丝",$AQ142*1.5,0))*(1+$BI142)*(1+$BJ142)+(($BK142+$BL142)/2*IF($G$1="破竹",$AP142,$AN142)+IF($G$1="破竹",$AQ142*1.5,0))*(1+$BM142)*(1+$BN142))*(1+$AR142)*$Q142*(1+IF(VLOOKUP($R142,武学奇术!$A:$ZZ,30,FALSE)="蓄力技",$B$21,0))*(1+IF(VLOOKUP($R142,武学奇术!$A:$ZZ,30,FALSE)="派生技",$B$20,0))*(1+$BW142)*(1+$BX142)</f>
        <v>0</v>
      </c>
      <c r="P142" s="46">
        <f>((($AT142*$AN142+$AO142)*(1+$AV142)*(1+$AW142)+($AY142*IF($G$1="鸣金",$AP142,$AN142)+IF($G$1="鸣金",$AQ142*1.5,0))*(1+$BA142)*(1+$BB142)+($BC142*IF($G$1="裂石",$AP142,$AN142)+IF($G$1="裂石",$AQ142*1.5,0))*(1+$BE142)*(1+$BF142)+($BG142*IF($G$1="牵丝",$AP142,$AN142)+IF($G$1="牵丝",$AQ142*1.5,0))*(1+$BI142)*(1+$BJ142)+($BK142*IF($G$1="破竹",$AP142,$AN142)+IF($G$1="破竹",$AQ142*1.5,0))*(1+$BM142)*(1+$BN142))*(1+$AR142))*$Q142*(1+IF(VLOOKUP($R142,武学奇术!$A:$ZZ,30,FALSE)="蓄力技",$B$21,0))*(1+IF(VLOOKUP($R142,武学奇术!$A:$ZZ,30,FALSE)="派生技",$B$20,0))*(1+$BW142)*(1+$BX142)</f>
        <v>0</v>
      </c>
      <c r="Q142" s="47">
        <f t="shared" ref="Q142:Q145" si="44">IF($E$24="唐刀",0.25,0)</f>
        <v>0</v>
      </c>
      <c r="R142" s="48" t="s">
        <v>196</v>
      </c>
      <c r="S142" s="48" t="s">
        <v>77</v>
      </c>
      <c r="T142" s="48" t="s">
        <v>89</v>
      </c>
      <c r="U142" s="48" t="s">
        <v>79</v>
      </c>
      <c r="V142" s="48" t="s">
        <v>80</v>
      </c>
      <c r="W142" s="48" t="s">
        <v>123</v>
      </c>
      <c r="X142" s="48" t="s">
        <v>80</v>
      </c>
      <c r="Y142" s="48" t="s">
        <v>74</v>
      </c>
      <c r="Z142" s="48" t="s">
        <v>81</v>
      </c>
      <c r="AA142" s="48" t="s">
        <v>80</v>
      </c>
      <c r="AB142" s="48" t="s">
        <v>80</v>
      </c>
      <c r="AC142" s="48" t="s">
        <v>80</v>
      </c>
      <c r="AD142" s="48" t="s">
        <v>80</v>
      </c>
      <c r="AE142" s="48" t="s">
        <v>80</v>
      </c>
      <c r="AF142" s="48" t="s">
        <v>83</v>
      </c>
      <c r="AG142" s="48" t="s">
        <v>84</v>
      </c>
      <c r="AH142" s="48" t="s">
        <v>80</v>
      </c>
      <c r="AI142" s="48" t="s">
        <v>80</v>
      </c>
      <c r="AJ142" s="48" t="s">
        <v>80</v>
      </c>
      <c r="AK142" s="48" t="s">
        <v>80</v>
      </c>
      <c r="AL142" s="48" t="s">
        <v>80</v>
      </c>
      <c r="AM142" t="str">
        <f>VLOOKUP($R142,武学奇术!$A:$ZZ,25,FALSE)</f>
        <v>横刀</v>
      </c>
      <c r="AN142" s="33">
        <f>VLOOKUP($R142,武学奇术!$A:$ZZ,26,FALSE)</f>
        <v>1.47</v>
      </c>
      <c r="AO142" s="34">
        <f>VLOOKUP($R142,武学奇术!$A:$ZZ,27,FALSE)*(1+IF(OR($AM142=$F$4,$AM142=$F$5),$B$22,0))</f>
        <v>0</v>
      </c>
      <c r="AP142" s="33">
        <f>VLOOKUP($R142,武学奇术!$A:$ZZ,28,FALSE)</f>
        <v>2.205</v>
      </c>
      <c r="AQ142" s="34">
        <f>VLOOKUP($R142,武学奇术!$A:$ZZ,29,FALSE)*(1+IF(OR($AM142=$F$4,$AM142=$F$5),$B$22,0))</f>
        <v>0</v>
      </c>
      <c r="AR142" s="33" cm="1">
        <f t="array" ref="AR142">$G$3+IFERROR(VLOOKUP($AM142,$F$4:$G$7,2,FALSE),0)+VLOOKUP($R142,武学奇术!$A:$ZZ,2,FALSE)+SUM(_xlfn.XLOOKUP($S142:$AL142,增益!$A:$A,增益!$B:$B,0))</f>
        <v>0.4389</v>
      </c>
      <c r="AS142" s="33" cm="1">
        <f t="array" ref="AS142">VLOOKUP($R142,武学奇术!$A:$ZZ,5,FALSE)+SUM(_xlfn.XLOOKUP($S142:$AL142,增益!$A:$A,增益!$E:$E,0))</f>
        <v>0</v>
      </c>
      <c r="AT142" cm="1">
        <f t="array" ref="AT142">$D$10*(1+$AS142)+VLOOKUP($R142,武学奇术!$A:$ZZ,3,FALSE)+SUM(_xlfn.XLOOKUP($S142:$AL142,增益!$A:$A,增益!$C:$C,0))-$I$2</f>
        <v>4026</v>
      </c>
      <c r="AU142" cm="1">
        <f t="array" ref="AU142">$E$10*(1+$AS142)+VLOOKUP($R142,武学奇术!$A:$ZZ,4,FALSE)+SUM(_xlfn.XLOOKUP($S142:$AL142,增益!$A:$A,增益!$D:$D,0))-$I$2</f>
        <v>4026</v>
      </c>
      <c r="AV142" s="40" cm="1">
        <f t="array" ref="AV142">IF($F$10-$I$3+VLOOKUP($R142,武学奇术!$A:$ZZ,6,FALSE)+SUM(_xlfn.XLOOKUP($S142:$AL142,增益!$A:$A,增益!$F:$F,0))&gt;0,($F$10-$I$3+VLOOKUP($R142,武学奇术!$A:$ZZ,6,FALSE)+SUM(_xlfn.XLOOKUP($S142:$AL142,增益!$A:$A,增益!$F:$F,0)))/200,($F$10-$I$3+VLOOKUP($R142,武学奇术!$A:$ZZ,6,FALSE)+SUM(_xlfn.XLOOKUP($S142:$AL142,增益!$A:$A,增益!$F:$F,0)))/100)</f>
        <v>0.2634</v>
      </c>
      <c r="AW142" s="40" cm="1">
        <f t="array" ref="AW142">$G$10+VLOOKUP($R142,武学奇术!$A:$ZZ,7,FALSE)+SUM(_xlfn.XLOOKUP($S142:$AL142,增益!$A:$A,增益!$G:$G,0))</f>
        <v>0.12</v>
      </c>
      <c r="AX142" s="33" cm="1">
        <f t="array" ref="AX142">VLOOKUP($R142,武学奇术!$A:$ZZ,8,FALSE)+SUM(_xlfn.XLOOKUP($S142:$AL142,增益!$A:$A,增益!$H:$H,0))</f>
        <v>0</v>
      </c>
      <c r="AY142">
        <f t="shared" si="34"/>
        <v>0</v>
      </c>
      <c r="AZ142">
        <f t="shared" si="35"/>
        <v>0</v>
      </c>
      <c r="BA142" s="40" cm="1">
        <f t="array" ref="BA142">IF($F$11-$I$4+VLOOKUP($R142,武学奇术!$A:$ZZ,9,FALSE)+SUM(_xlfn.XLOOKUP($S142:$AL142,增益!$A:$A,增益!$I:$I,0))&gt;0,($F$11-$I$4+VLOOKUP($R142,武学奇术!$A:$ZZ,9,FALSE)+SUM(_xlfn.XLOOKUP($S142:$AL142,增益!$A:$A,增益!$I:$I,0)))/200,($F$11-$I$4+VLOOKUP($R142,武学奇术!$A:$ZZ,9,FALSE)+SUM(_xlfn.XLOOKUP($S142:$AL142,增益!$A:$A,增益!$I:$I,0)))/100)</f>
        <v>-0.3</v>
      </c>
      <c r="BB142" s="40" cm="1">
        <f t="array" ref="BB142">$G$11+VLOOKUP($R142,武学奇术!$A:$ZZ,10,FALSE)+SUM(_xlfn.XLOOKUP($S142:$AL142,增益!$A:$A,增益!$J:$J,0))</f>
        <v>0</v>
      </c>
      <c r="BC142">
        <f t="shared" si="36"/>
        <v>640.3</v>
      </c>
      <c r="BD142">
        <f t="shared" si="37"/>
        <v>1770.1</v>
      </c>
      <c r="BE142" s="40" cm="1">
        <f t="array" ref="BE142">IF($F$12-$I$4+VLOOKUP($R142,武学奇术!$A:$ZZ,11,FALSE)+SUM(_xlfn.XLOOKUP($S142:$AL142,增益!$A:$A,增益!$K:$K,0))&gt;0,($F$12-$I$4+VLOOKUP($R142,武学奇术!$A:$ZZ,11,FALSE)+SUM(_xlfn.XLOOKUP($S142:$AL142,增益!$A:$A,增益!$K:$K,0)))/200,($F$12-$I$4+VLOOKUP($R142,武学奇术!$A:$ZZ,11,FALSE)+SUM(_xlfn.XLOOKUP($S142:$AL142,增益!$A:$A,增益!$K:$K,0)))/100)</f>
        <v>0.09</v>
      </c>
      <c r="BF142" s="40" cm="1">
        <f t="array" ref="BF142">$G$12+VLOOKUP($R142,武学奇术!$A:$ZZ,12,FALSE)+SUM(_xlfn.XLOOKUP($S142:$AL142,增益!$A:$A,增益!$L:$L,0))</f>
        <v>0.27</v>
      </c>
      <c r="BG142">
        <f t="shared" si="38"/>
        <v>0</v>
      </c>
      <c r="BH142">
        <f t="shared" si="39"/>
        <v>0</v>
      </c>
      <c r="BI142" s="40" cm="1">
        <f t="array" ref="BI142">IF($F$13-$I$4+VLOOKUP($R142,武学奇术!$A:$ZZ,13,FALSE)+SUM(_xlfn.XLOOKUP($S142:$AL142,增益!$A:$A,增益!$M:$M,0))&gt;0,($F$13-$I$4+VLOOKUP($R142,武学奇术!$A:$ZZ,13,FALSE)+SUM(_xlfn.XLOOKUP($S142:$AL142,增益!$A:$A,增益!$K:$K,0)))/200,($F$13-$I$4+VLOOKUP($R142,武学奇术!$A:$ZZ,13,FALSE)+SUM(_xlfn.XLOOKUP($S142:$AL142,增益!$A:$A,增益!$M:$M,0)))/100)</f>
        <v>-0.3</v>
      </c>
      <c r="BJ142" s="40" cm="1">
        <f t="array" ref="BJ142">$G$13+VLOOKUP($R142,武学奇术!$A:$ZZ,14,FALSE)+SUM(_xlfn.XLOOKUP($S142:$AL142,增益!$A:$A,增益!$N:$N,0))</f>
        <v>0</v>
      </c>
      <c r="BK142">
        <f t="shared" si="40"/>
        <v>0</v>
      </c>
      <c r="BL142">
        <f t="shared" si="41"/>
        <v>0</v>
      </c>
      <c r="BM142" s="40" cm="1">
        <f t="array" ref="BM142">IF($F$14-$I$4+VLOOKUP($R142,武学奇术!$A:$ZZ,15,FALSE)+SUM(_xlfn.XLOOKUP($S142:$AL142,增益!$A:$A,增益!$O:$O,0))&gt;0,($F$14-$I$4+VLOOKUP($R142,武学奇术!$A:$ZZ,15,FALSE)+SUM(_xlfn.XLOOKUP($S142:$AL142,增益!$A:$A,增益!$O:$O,0)))/200,($F$14-$I$4+VLOOKUP($R142,武学奇术!$A:$ZZ,15,FALSE)+SUM(_xlfn.XLOOKUP($S142:$AL142,增益!$A:$A,增益!$O:$O,0)))/100)</f>
        <v>-0.3</v>
      </c>
      <c r="BN142" s="40" cm="1">
        <f t="array" ref="BN142">$G$14+VLOOKUP($R142,武学奇术!$A:$ZZ,16,FALSE)+SUM(_xlfn.XLOOKUP($S142:$AL142,增益!$A:$A,增益!$P:$P,0))</f>
        <v>0</v>
      </c>
      <c r="BO142" s="33">
        <f>MIN(IF(VLOOKUP($R142,武学奇术!$A:$ZZ,23,FALSE)=1,100%,$B$8),100%)</f>
        <v>0.9771</v>
      </c>
      <c r="BP142" s="33" cm="1">
        <f t="array" ref="BP142">IF(VLOOKUP($R142,武学奇术!$A:$ZZ,23,FALSE)=1,100%,MIN(80%,$B$9+VLOOKUP($R142,武学奇术!$A:$ZZ,17,FALSE)+SUM(_xlfn.XLOOKUP($S142:$AL142,增益!$A:$A,增益!$Q:$Q,0)))+$B$11+SUM(_xlfn.XLOOKUP($S142:$AL142,增益!$A:$A,增益!$U:$U,0)))*IF(VLOOKUP($R142,武学奇术!$A:$ZZ,24,FALSE)=1,0,1)</f>
        <v>0.8861</v>
      </c>
      <c r="BQ142" s="33" cm="1">
        <f t="array" ref="BQ142">1+$B$13+VLOOKUP($R142,武学奇术!$A:$ZZ,18,FALSE)+SUM(_xlfn.XLOOKUP($S142:$AL142,增益!$A:$A,增益!$R:$R,0))</f>
        <v>1.8</v>
      </c>
      <c r="BR142" s="33" cm="1">
        <f t="array" ref="BR142">IF(VLOOKUP($R142,武学奇术!$A:$ZZ,24,FALSE)=1,100%,MIN(40%,$B$10+VLOOKUP($R142,武学奇术!$A:$ZZ,19,FALSE)+SUM(_xlfn.XLOOKUP($S142:$AL142,增益!$A:$A,增益!$S:$S,0)))+$B$12+SUM(_xlfn.XLOOKUP($S142:$AL142,增益!$A:$A,增益!$V:$V,0)))*IF(VLOOKUP($R142,武学奇术!$A:$ZZ,23,FALSE)=1,0,1)</f>
        <v>0.0913</v>
      </c>
      <c r="BS142" s="33" cm="1">
        <f t="array" ref="BS142">1+$B$14+VLOOKUP($R142,武学奇术!$A:$ZZ,20,FALSE)+SUM(_xlfn.XLOOKUP($S142:$AL142,增益!$A:$A,增益!$T:$T,0))</f>
        <v>1.35</v>
      </c>
      <c r="BT142" s="33">
        <f t="shared" si="42"/>
        <v>0.86580831</v>
      </c>
      <c r="BU142" s="33">
        <f t="shared" si="43"/>
        <v>0.02208246</v>
      </c>
      <c r="BV142" s="33">
        <f>IF(VLOOKUP($R142,武学奇术!$A:$ZZ,22,FALSE)=1,0,(1-$BO142))*(1-$BR142)</f>
        <v>0.02080923</v>
      </c>
      <c r="BW142" s="33" cm="1">
        <f t="array" ref="BW142">SUM(_xlfn.XLOOKUP($S142:$AL142,增益!$A:$A,增益!$W:$W,0))+$I$5</f>
        <v>0.11</v>
      </c>
      <c r="BX142" s="33" cm="1">
        <f t="array" ref="BX142">VLOOKUP($R142,武学奇术!$A:$ZZ,32,FALSE)+SUM(_xlfn.XLOOKUP($S142:$AL142,增益!$A:$A,增益!$X:$X,0))</f>
        <v>0.4</v>
      </c>
    </row>
    <row r="143" spans="12:76">
      <c r="L143" s="46">
        <f t="shared" si="33"/>
        <v>0</v>
      </c>
      <c r="M143" s="46">
        <f>((($AT143+$AU143)/2*$AN143+$AO143)*(1+$AV143)*(1+$AW143)+(($AY143+$AZ143)/2*IF($G$1="鸣金",$AP143,$AN143)+IF($G$1="鸣金",$AQ143*1.5,0))*(1+$BA143)*(1+$BB143)+(($BC143+$BD143)/2*IF($G$1="裂石",$AP143,$AN143)+IF($G$1="裂石",$AQ143*1.5,0))*(1+$BE143)*(1+$BF143)+(($BG143+$BH143)/2*IF($G$1="牵丝",$AP143,$AN143)+IF($G$1="牵丝",$AQ143*1.5,0))*(1+$BI143)*(1+$BJ143)+(($BK143+$BL143)/2*IF($G$1="破竹",$AP143,$AN143)+IF($G$1="破竹",$AQ143*1.5,0))*(1+$BM143)*(1+$BN143))*(1+$AR143)*$BQ143*$Q143*(1+IF(VLOOKUP($R143,武学奇术!$A:$ZZ,30,FALSE)="蓄力技",$B$21,0))*(1+IF(VLOOKUP($R143,武学奇术!$A:$ZZ,30,FALSE)="派生技",$B$20,0))*(1+$BW143)*(1+$BX143)</f>
        <v>0</v>
      </c>
      <c r="N143" s="46">
        <f>(($AU143*$AN143+$AO143)*(1+$AV143)*(1+$AW143)+($AZ143*IF($G$1="鸣金",$AP143,$AN143)+IF($G$1="鸣金",$AQ143*1.5,0))*(1+$BA143)*(1+$BB143)+($BD143*IF($G$1="裂石",$AP143,$AN143)+IF($G$1="裂石",$AQ143*1.5,0))*(1+$BE143)*(1+$BF143)+($BH143*IF($G$1="牵丝",$AP143,$AN143)+IF($G$1="牵丝",$AQ143*1.5,0))*(1+$BI143)*(1+$BJ143)+($BL143*IF($G$1="破竹",$AP143,$AN143)+IF($G$1="破竹",$AQ143*1.5,0))*(1+$BM143)*(1+$BN143))*(1+$AR143)*$BS143*$Q143*(1+IF(VLOOKUP($R143,武学奇术!$A:$ZZ,30,FALSE)="蓄力技",$B$21,0))*(1+IF(VLOOKUP($R143,武学奇术!$A:$ZZ,30,FALSE)="派生技",$B$20,0))*(1+$BW143)*(1+$BX143)</f>
        <v>0</v>
      </c>
      <c r="O143" s="46">
        <f>((($AT143+$AU143)/2*$AN143+$AO143)*(1+$AV143)*(1+$AW143)+(($AY143+$AZ143)/2*IF($G$1="鸣金",$AP143,$AN143)+IF($G$1="鸣金",$AQ143*1.5,0))*(1+$BA143)*(1+$BB143)+(($BC143+$BD143)/2*IF($G$1="裂石",$AP143,$AN143)+IF($G$1="裂石",$AQ143*1.5,0))*(1+$BE143)*(1+$BF143)+(($BG143+$BH143)/2*IF($G$1="牵丝",$AP143,$AN143)+IF($G$1="牵丝",$AQ143*1.5,0))*(1+$BI143)*(1+$BJ143)+(($BK143+$BL143)/2*IF($G$1="破竹",$AP143,$AN143)+IF($G$1="破竹",$AQ143*1.5,0))*(1+$BM143)*(1+$BN143))*(1+$AR143)*$Q143*(1+IF(VLOOKUP($R143,武学奇术!$A:$ZZ,30,FALSE)="蓄力技",$B$21,0))*(1+IF(VLOOKUP($R143,武学奇术!$A:$ZZ,30,FALSE)="派生技",$B$20,0))*(1+$BW143)*(1+$BX143)</f>
        <v>0</v>
      </c>
      <c r="P143" s="46">
        <f>((($AT143*$AN143+$AO143)*(1+$AV143)*(1+$AW143)+($AY143*IF($G$1="鸣金",$AP143,$AN143)+IF($G$1="鸣金",$AQ143*1.5,0))*(1+$BA143)*(1+$BB143)+($BC143*IF($G$1="裂石",$AP143,$AN143)+IF($G$1="裂石",$AQ143*1.5,0))*(1+$BE143)*(1+$BF143)+($BG143*IF($G$1="牵丝",$AP143,$AN143)+IF($G$1="牵丝",$AQ143*1.5,0))*(1+$BI143)*(1+$BJ143)+($BK143*IF($G$1="破竹",$AP143,$AN143)+IF($G$1="破竹",$AQ143*1.5,0))*(1+$BM143)*(1+$BN143))*(1+$AR143))*$Q143*(1+IF(VLOOKUP($R143,武学奇术!$A:$ZZ,30,FALSE)="蓄力技",$B$21,0))*(1+IF(VLOOKUP($R143,武学奇术!$A:$ZZ,30,FALSE)="派生技",$B$20,0))*(1+$BW143)*(1+$BX143)</f>
        <v>0</v>
      </c>
      <c r="Q143" s="47">
        <f t="shared" si="44"/>
        <v>0</v>
      </c>
      <c r="R143" s="48" t="s">
        <v>196</v>
      </c>
      <c r="S143" s="48" t="s">
        <v>77</v>
      </c>
      <c r="T143" s="48" t="s">
        <v>89</v>
      </c>
      <c r="U143" s="48" t="s">
        <v>79</v>
      </c>
      <c r="V143" s="48" t="s">
        <v>80</v>
      </c>
      <c r="W143" s="48" t="s">
        <v>126</v>
      </c>
      <c r="X143" s="48" t="s">
        <v>80</v>
      </c>
      <c r="Y143" s="48" t="s">
        <v>74</v>
      </c>
      <c r="Z143" s="48" t="s">
        <v>81</v>
      </c>
      <c r="AA143" s="48" t="s">
        <v>80</v>
      </c>
      <c r="AB143" s="48" t="s">
        <v>80</v>
      </c>
      <c r="AC143" s="48" t="s">
        <v>80</v>
      </c>
      <c r="AD143" s="48" t="s">
        <v>80</v>
      </c>
      <c r="AE143" s="48" t="s">
        <v>80</v>
      </c>
      <c r="AF143" s="48" t="s">
        <v>83</v>
      </c>
      <c r="AG143" s="48" t="s">
        <v>84</v>
      </c>
      <c r="AH143" s="48" t="s">
        <v>80</v>
      </c>
      <c r="AI143" s="48" t="s">
        <v>80</v>
      </c>
      <c r="AJ143" s="48" t="s">
        <v>80</v>
      </c>
      <c r="AK143" s="48" t="s">
        <v>80</v>
      </c>
      <c r="AL143" s="48" t="s">
        <v>80</v>
      </c>
      <c r="AM143" t="str">
        <f>VLOOKUP($R143,武学奇术!$A:$ZZ,25,FALSE)</f>
        <v>横刀</v>
      </c>
      <c r="AN143" s="33">
        <f>VLOOKUP($R143,武学奇术!$A:$ZZ,26,FALSE)</f>
        <v>1.47</v>
      </c>
      <c r="AO143" s="34">
        <f>VLOOKUP($R143,武学奇术!$A:$ZZ,27,FALSE)*(1+IF(OR($AM143=$F$4,$AM143=$F$5),$B$22,0))</f>
        <v>0</v>
      </c>
      <c r="AP143" s="33">
        <f>VLOOKUP($R143,武学奇术!$A:$ZZ,28,FALSE)</f>
        <v>2.205</v>
      </c>
      <c r="AQ143" s="34">
        <f>VLOOKUP($R143,武学奇术!$A:$ZZ,29,FALSE)*(1+IF(OR($AM143=$F$4,$AM143=$F$5),$B$22,0))</f>
        <v>0</v>
      </c>
      <c r="AR143" s="33" cm="1">
        <f t="array" ref="AR143">$G$3+IFERROR(VLOOKUP($AM143,$F$4:$G$7,2,FALSE),0)+VLOOKUP($R143,武学奇术!$A:$ZZ,2,FALSE)+SUM(_xlfn.XLOOKUP($S143:$AL143,增益!$A:$A,增益!$B:$B,0))</f>
        <v>0.4389</v>
      </c>
      <c r="AS143" s="33" cm="1">
        <f t="array" ref="AS143">VLOOKUP($R143,武学奇术!$A:$ZZ,5,FALSE)+SUM(_xlfn.XLOOKUP($S143:$AL143,增益!$A:$A,增益!$E:$E,0))</f>
        <v>0</v>
      </c>
      <c r="AT143" cm="1">
        <f t="array" ref="AT143">$D$10*(1+$AS143)+VLOOKUP($R143,武学奇术!$A:$ZZ,3,FALSE)+SUM(_xlfn.XLOOKUP($S143:$AL143,增益!$A:$A,增益!$C:$C,0))-$I$2</f>
        <v>4026</v>
      </c>
      <c r="AU143" cm="1">
        <f t="array" ref="AU143">$E$10*(1+$AS143)+VLOOKUP($R143,武学奇术!$A:$ZZ,4,FALSE)+SUM(_xlfn.XLOOKUP($S143:$AL143,增益!$A:$A,增益!$D:$D,0))-$I$2</f>
        <v>4026</v>
      </c>
      <c r="AV143" s="40" cm="1">
        <f t="array" ref="AV143">IF($F$10-$I$3+VLOOKUP($R143,武学奇术!$A:$ZZ,6,FALSE)+SUM(_xlfn.XLOOKUP($S143:$AL143,增益!$A:$A,增益!$F:$F,0))&gt;0,($F$10-$I$3+VLOOKUP($R143,武学奇术!$A:$ZZ,6,FALSE)+SUM(_xlfn.XLOOKUP($S143:$AL143,增益!$A:$A,增益!$F:$F,0)))/200,($F$10-$I$3+VLOOKUP($R143,武学奇术!$A:$ZZ,6,FALSE)+SUM(_xlfn.XLOOKUP($S143:$AL143,增益!$A:$A,增益!$F:$F,0)))/100)</f>
        <v>0.2784</v>
      </c>
      <c r="AW143" s="40" cm="1">
        <f t="array" ref="AW143">$G$10+VLOOKUP($R143,武学奇术!$A:$ZZ,7,FALSE)+SUM(_xlfn.XLOOKUP($S143:$AL143,增益!$A:$A,增益!$G:$G,0))</f>
        <v>0.12</v>
      </c>
      <c r="AX143" s="33" cm="1">
        <f t="array" ref="AX143">VLOOKUP($R143,武学奇术!$A:$ZZ,8,FALSE)+SUM(_xlfn.XLOOKUP($S143:$AL143,增益!$A:$A,增益!$H:$H,0))</f>
        <v>0</v>
      </c>
      <c r="AY143">
        <f t="shared" si="34"/>
        <v>0</v>
      </c>
      <c r="AZ143">
        <f t="shared" si="35"/>
        <v>0</v>
      </c>
      <c r="BA143" s="40" cm="1">
        <f t="array" ref="BA143">IF($F$11-$I$4+VLOOKUP($R143,武学奇术!$A:$ZZ,9,FALSE)+SUM(_xlfn.XLOOKUP($S143:$AL143,增益!$A:$A,增益!$I:$I,0))&gt;0,($F$11-$I$4+VLOOKUP($R143,武学奇术!$A:$ZZ,9,FALSE)+SUM(_xlfn.XLOOKUP($S143:$AL143,增益!$A:$A,增益!$I:$I,0)))/200,($F$11-$I$4+VLOOKUP($R143,武学奇术!$A:$ZZ,9,FALSE)+SUM(_xlfn.XLOOKUP($S143:$AL143,增益!$A:$A,增益!$I:$I,0)))/100)</f>
        <v>-0.3</v>
      </c>
      <c r="BB143" s="40" cm="1">
        <f t="array" ref="BB143">$G$11+VLOOKUP($R143,武学奇术!$A:$ZZ,10,FALSE)+SUM(_xlfn.XLOOKUP($S143:$AL143,增益!$A:$A,增益!$J:$J,0))</f>
        <v>0</v>
      </c>
      <c r="BC143">
        <f t="shared" si="36"/>
        <v>640.3</v>
      </c>
      <c r="BD143">
        <f t="shared" si="37"/>
        <v>1770.1</v>
      </c>
      <c r="BE143" s="40" cm="1">
        <f t="array" ref="BE143">IF($F$12-$I$4+VLOOKUP($R143,武学奇术!$A:$ZZ,11,FALSE)+SUM(_xlfn.XLOOKUP($S143:$AL143,增益!$A:$A,增益!$K:$K,0))&gt;0,($F$12-$I$4+VLOOKUP($R143,武学奇术!$A:$ZZ,11,FALSE)+SUM(_xlfn.XLOOKUP($S143:$AL143,增益!$A:$A,增益!$K:$K,0)))/200,($F$12-$I$4+VLOOKUP($R143,武学奇术!$A:$ZZ,11,FALSE)+SUM(_xlfn.XLOOKUP($S143:$AL143,增益!$A:$A,增益!$K:$K,0)))/100)</f>
        <v>0.09</v>
      </c>
      <c r="BF143" s="40" cm="1">
        <f t="array" ref="BF143">$G$12+VLOOKUP($R143,武学奇术!$A:$ZZ,12,FALSE)+SUM(_xlfn.XLOOKUP($S143:$AL143,增益!$A:$A,增益!$L:$L,0))</f>
        <v>0.27</v>
      </c>
      <c r="BG143">
        <f t="shared" si="38"/>
        <v>0</v>
      </c>
      <c r="BH143">
        <f t="shared" si="39"/>
        <v>0</v>
      </c>
      <c r="BI143" s="40" cm="1">
        <f t="array" ref="BI143">IF($F$13-$I$4+VLOOKUP($R143,武学奇术!$A:$ZZ,13,FALSE)+SUM(_xlfn.XLOOKUP($S143:$AL143,增益!$A:$A,增益!$M:$M,0))&gt;0,($F$13-$I$4+VLOOKUP($R143,武学奇术!$A:$ZZ,13,FALSE)+SUM(_xlfn.XLOOKUP($S143:$AL143,增益!$A:$A,增益!$K:$K,0)))/200,($F$13-$I$4+VLOOKUP($R143,武学奇术!$A:$ZZ,13,FALSE)+SUM(_xlfn.XLOOKUP($S143:$AL143,增益!$A:$A,增益!$M:$M,0)))/100)</f>
        <v>-0.3</v>
      </c>
      <c r="BJ143" s="40" cm="1">
        <f t="array" ref="BJ143">$G$13+VLOOKUP($R143,武学奇术!$A:$ZZ,14,FALSE)+SUM(_xlfn.XLOOKUP($S143:$AL143,增益!$A:$A,增益!$N:$N,0))</f>
        <v>0</v>
      </c>
      <c r="BK143">
        <f t="shared" si="40"/>
        <v>0</v>
      </c>
      <c r="BL143">
        <f t="shared" si="41"/>
        <v>0</v>
      </c>
      <c r="BM143" s="40" cm="1">
        <f t="array" ref="BM143">IF($F$14-$I$4+VLOOKUP($R143,武学奇术!$A:$ZZ,15,FALSE)+SUM(_xlfn.XLOOKUP($S143:$AL143,增益!$A:$A,增益!$O:$O,0))&gt;0,($F$14-$I$4+VLOOKUP($R143,武学奇术!$A:$ZZ,15,FALSE)+SUM(_xlfn.XLOOKUP($S143:$AL143,增益!$A:$A,增益!$O:$O,0)))/200,($F$14-$I$4+VLOOKUP($R143,武学奇术!$A:$ZZ,15,FALSE)+SUM(_xlfn.XLOOKUP($S143:$AL143,增益!$A:$A,增益!$O:$O,0)))/100)</f>
        <v>-0.3</v>
      </c>
      <c r="BN143" s="40" cm="1">
        <f t="array" ref="BN143">$G$14+VLOOKUP($R143,武学奇术!$A:$ZZ,16,FALSE)+SUM(_xlfn.XLOOKUP($S143:$AL143,增益!$A:$A,增益!$P:$P,0))</f>
        <v>0</v>
      </c>
      <c r="BO143" s="33">
        <f>MIN(IF(VLOOKUP($R143,武学奇术!$A:$ZZ,23,FALSE)=1,100%,$B$8),100%)</f>
        <v>0.9771</v>
      </c>
      <c r="BP143" s="33" cm="1">
        <f t="array" ref="BP143">IF(VLOOKUP($R143,武学奇术!$A:$ZZ,23,FALSE)=1,100%,MIN(80%,$B$9+VLOOKUP($R143,武学奇术!$A:$ZZ,17,FALSE)+SUM(_xlfn.XLOOKUP($S143:$AL143,增益!$A:$A,增益!$Q:$Q,0)))+$B$11+SUM(_xlfn.XLOOKUP($S143:$AL143,增益!$A:$A,增益!$U:$U,0)))*IF(VLOOKUP($R143,武学奇术!$A:$ZZ,24,FALSE)=1,0,1)</f>
        <v>0.8861</v>
      </c>
      <c r="BQ143" s="33" cm="1">
        <f t="array" ref="BQ143">1+$B$13+VLOOKUP($R143,武学奇术!$A:$ZZ,18,FALSE)+SUM(_xlfn.XLOOKUP($S143:$AL143,增益!$A:$A,增益!$R:$R,0))</f>
        <v>1.83</v>
      </c>
      <c r="BR143" s="33" cm="1">
        <f t="array" ref="BR143">IF(VLOOKUP($R143,武学奇术!$A:$ZZ,24,FALSE)=1,100%,MIN(40%,$B$10+VLOOKUP($R143,武学奇术!$A:$ZZ,19,FALSE)+SUM(_xlfn.XLOOKUP($S143:$AL143,增益!$A:$A,增益!$S:$S,0)))+$B$12+SUM(_xlfn.XLOOKUP($S143:$AL143,增益!$A:$A,增益!$V:$V,0)))*IF(VLOOKUP($R143,武学奇术!$A:$ZZ,23,FALSE)=1,0,1)</f>
        <v>0.0913</v>
      </c>
      <c r="BS143" s="33" cm="1">
        <f t="array" ref="BS143">1+$B$14+VLOOKUP($R143,武学奇术!$A:$ZZ,20,FALSE)+SUM(_xlfn.XLOOKUP($S143:$AL143,增益!$A:$A,增益!$T:$T,0))</f>
        <v>1.35</v>
      </c>
      <c r="BT143" s="33">
        <f t="shared" si="42"/>
        <v>0.86580831</v>
      </c>
      <c r="BU143" s="33">
        <f t="shared" si="43"/>
        <v>0.02208246</v>
      </c>
      <c r="BV143" s="33">
        <f>IF(VLOOKUP($R143,武学奇术!$A:$ZZ,22,FALSE)=1,0,(1-$BO143))*(1-$BR143)</f>
        <v>0.02080923</v>
      </c>
      <c r="BW143" s="33" cm="1">
        <f t="array" ref="BW143">SUM(_xlfn.XLOOKUP($S143:$AL143,增益!$A:$A,增益!$W:$W,0))+$I$5</f>
        <v>0.11</v>
      </c>
      <c r="BX143" s="33" cm="1">
        <f t="array" ref="BX143">VLOOKUP($R143,武学奇术!$A:$ZZ,32,FALSE)+SUM(_xlfn.XLOOKUP($S143:$AL143,增益!$A:$A,增益!$X:$X,0))</f>
        <v>0.4</v>
      </c>
    </row>
    <row r="144" spans="12:76">
      <c r="L144" s="46">
        <f t="shared" si="33"/>
        <v>0</v>
      </c>
      <c r="M144" s="46">
        <f>((($AT144+$AU144)/2*$AN144+$AO144)*(1+$AV144)*(1+$AW144)+(($AY144+$AZ144)/2*IF($G$1="鸣金",$AP144,$AN144)+IF($G$1="鸣金",$AQ144*1.5,0))*(1+$BA144)*(1+$BB144)+(($BC144+$BD144)/2*IF($G$1="裂石",$AP144,$AN144)+IF($G$1="裂石",$AQ144*1.5,0))*(1+$BE144)*(1+$BF144)+(($BG144+$BH144)/2*IF($G$1="牵丝",$AP144,$AN144)+IF($G$1="牵丝",$AQ144*1.5,0))*(1+$BI144)*(1+$BJ144)+(($BK144+$BL144)/2*IF($G$1="破竹",$AP144,$AN144)+IF($G$1="破竹",$AQ144*1.5,0))*(1+$BM144)*(1+$BN144))*(1+$AR144)*$BQ144*$Q144*(1+IF(VLOOKUP($R144,武学奇术!$A:$ZZ,30,FALSE)="蓄力技",$B$21,0))*(1+IF(VLOOKUP($R144,武学奇术!$A:$ZZ,30,FALSE)="派生技",$B$20,0))*(1+$BW144)*(1+$BX144)</f>
        <v>0</v>
      </c>
      <c r="N144" s="46">
        <f>(($AU144*$AN144+$AO144)*(1+$AV144)*(1+$AW144)+($AZ144*IF($G$1="鸣金",$AP144,$AN144)+IF($G$1="鸣金",$AQ144*1.5,0))*(1+$BA144)*(1+$BB144)+($BD144*IF($G$1="裂石",$AP144,$AN144)+IF($G$1="裂石",$AQ144*1.5,0))*(1+$BE144)*(1+$BF144)+($BH144*IF($G$1="牵丝",$AP144,$AN144)+IF($G$1="牵丝",$AQ144*1.5,0))*(1+$BI144)*(1+$BJ144)+($BL144*IF($G$1="破竹",$AP144,$AN144)+IF($G$1="破竹",$AQ144*1.5,0))*(1+$BM144)*(1+$BN144))*(1+$AR144)*$BS144*$Q144*(1+IF(VLOOKUP($R144,武学奇术!$A:$ZZ,30,FALSE)="蓄力技",$B$21,0))*(1+IF(VLOOKUP($R144,武学奇术!$A:$ZZ,30,FALSE)="派生技",$B$20,0))*(1+$BW144)*(1+$BX144)</f>
        <v>0</v>
      </c>
      <c r="O144" s="46">
        <f>((($AT144+$AU144)/2*$AN144+$AO144)*(1+$AV144)*(1+$AW144)+(($AY144+$AZ144)/2*IF($G$1="鸣金",$AP144,$AN144)+IF($G$1="鸣金",$AQ144*1.5,0))*(1+$BA144)*(1+$BB144)+(($BC144+$BD144)/2*IF($G$1="裂石",$AP144,$AN144)+IF($G$1="裂石",$AQ144*1.5,0))*(1+$BE144)*(1+$BF144)+(($BG144+$BH144)/2*IF($G$1="牵丝",$AP144,$AN144)+IF($G$1="牵丝",$AQ144*1.5,0))*(1+$BI144)*(1+$BJ144)+(($BK144+$BL144)/2*IF($G$1="破竹",$AP144,$AN144)+IF($G$1="破竹",$AQ144*1.5,0))*(1+$BM144)*(1+$BN144))*(1+$AR144)*$Q144*(1+IF(VLOOKUP($R144,武学奇术!$A:$ZZ,30,FALSE)="蓄力技",$B$21,0))*(1+IF(VLOOKUP($R144,武学奇术!$A:$ZZ,30,FALSE)="派生技",$B$20,0))*(1+$BW144)*(1+$BX144)</f>
        <v>0</v>
      </c>
      <c r="P144" s="46">
        <f>((($AT144*$AN144+$AO144)*(1+$AV144)*(1+$AW144)+($AY144*IF($G$1="鸣金",$AP144,$AN144)+IF($G$1="鸣金",$AQ144*1.5,0))*(1+$BA144)*(1+$BB144)+($BC144*IF($G$1="裂石",$AP144,$AN144)+IF($G$1="裂石",$AQ144*1.5,0))*(1+$BE144)*(1+$BF144)+($BG144*IF($G$1="牵丝",$AP144,$AN144)+IF($G$1="牵丝",$AQ144*1.5,0))*(1+$BI144)*(1+$BJ144)+($BK144*IF($G$1="破竹",$AP144,$AN144)+IF($G$1="破竹",$AQ144*1.5,0))*(1+$BM144)*(1+$BN144))*(1+$AR144))*$Q144*(1+IF(VLOOKUP($R144,武学奇术!$A:$ZZ,30,FALSE)="蓄力技",$B$21,0))*(1+IF(VLOOKUP($R144,武学奇术!$A:$ZZ,30,FALSE)="派生技",$B$20,0))*(1+$BW144)*(1+$BX144)</f>
        <v>0</v>
      </c>
      <c r="Q144" s="47">
        <f t="shared" si="44"/>
        <v>0</v>
      </c>
      <c r="R144" s="48" t="s">
        <v>196</v>
      </c>
      <c r="S144" s="48" t="s">
        <v>77</v>
      </c>
      <c r="T144" s="48" t="s">
        <v>89</v>
      </c>
      <c r="U144" s="48" t="s">
        <v>79</v>
      </c>
      <c r="V144" s="48" t="s">
        <v>80</v>
      </c>
      <c r="W144" s="48" t="s">
        <v>132</v>
      </c>
      <c r="X144" s="48" t="s">
        <v>80</v>
      </c>
      <c r="Y144" s="48" t="s">
        <v>74</v>
      </c>
      <c r="Z144" s="48" t="s">
        <v>81</v>
      </c>
      <c r="AA144" s="48" t="s">
        <v>80</v>
      </c>
      <c r="AB144" s="48" t="s">
        <v>80</v>
      </c>
      <c r="AC144" s="48" t="s">
        <v>80</v>
      </c>
      <c r="AD144" s="48" t="s">
        <v>80</v>
      </c>
      <c r="AE144" s="48" t="s">
        <v>80</v>
      </c>
      <c r="AF144" s="48" t="s">
        <v>83</v>
      </c>
      <c r="AG144" s="48" t="s">
        <v>84</v>
      </c>
      <c r="AH144" s="48" t="s">
        <v>80</v>
      </c>
      <c r="AI144" s="48" t="s">
        <v>80</v>
      </c>
      <c r="AJ144" s="48" t="s">
        <v>80</v>
      </c>
      <c r="AK144" s="48" t="s">
        <v>80</v>
      </c>
      <c r="AL144" s="48" t="s">
        <v>80</v>
      </c>
      <c r="AM144" t="str">
        <f>VLOOKUP($R144,武学奇术!$A:$ZZ,25,FALSE)</f>
        <v>横刀</v>
      </c>
      <c r="AN144" s="33">
        <f>VLOOKUP($R144,武学奇术!$A:$ZZ,26,FALSE)</f>
        <v>1.47</v>
      </c>
      <c r="AO144" s="34">
        <f>VLOOKUP($R144,武学奇术!$A:$ZZ,27,FALSE)*(1+IF(OR($AM144=$F$4,$AM144=$F$5),$B$22,0))</f>
        <v>0</v>
      </c>
      <c r="AP144" s="33">
        <f>VLOOKUP($R144,武学奇术!$A:$ZZ,28,FALSE)</f>
        <v>2.205</v>
      </c>
      <c r="AQ144" s="34">
        <f>VLOOKUP($R144,武学奇术!$A:$ZZ,29,FALSE)*(1+IF(OR($AM144=$F$4,$AM144=$F$5),$B$22,0))</f>
        <v>0</v>
      </c>
      <c r="AR144" s="33" cm="1">
        <f t="array" ref="AR144">$G$3+IFERROR(VLOOKUP($AM144,$F$4:$G$7,2,FALSE),0)+VLOOKUP($R144,武学奇术!$A:$ZZ,2,FALSE)+SUM(_xlfn.XLOOKUP($S144:$AL144,增益!$A:$A,增益!$B:$B,0))</f>
        <v>0.4389</v>
      </c>
      <c r="AS144" s="33" cm="1">
        <f t="array" ref="AS144">VLOOKUP($R144,武学奇术!$A:$ZZ,5,FALSE)+SUM(_xlfn.XLOOKUP($S144:$AL144,增益!$A:$A,增益!$E:$E,0))</f>
        <v>0</v>
      </c>
      <c r="AT144" cm="1">
        <f t="array" ref="AT144">$D$10*(1+$AS144)+VLOOKUP($R144,武学奇术!$A:$ZZ,3,FALSE)+SUM(_xlfn.XLOOKUP($S144:$AL144,增益!$A:$A,增益!$C:$C,0))-$I$2</f>
        <v>4026</v>
      </c>
      <c r="AU144" cm="1">
        <f t="array" ref="AU144">$E$10*(1+$AS144)+VLOOKUP($R144,武学奇术!$A:$ZZ,4,FALSE)+SUM(_xlfn.XLOOKUP($S144:$AL144,增益!$A:$A,增益!$D:$D,0))-$I$2</f>
        <v>4026</v>
      </c>
      <c r="AV144" s="40" cm="1">
        <f t="array" ref="AV144">IF($F$10-$I$3+VLOOKUP($R144,武学奇术!$A:$ZZ,6,FALSE)+SUM(_xlfn.XLOOKUP($S144:$AL144,增益!$A:$A,增益!$F:$F,0))&gt;0,($F$10-$I$3+VLOOKUP($R144,武学奇术!$A:$ZZ,6,FALSE)+SUM(_xlfn.XLOOKUP($S144:$AL144,增益!$A:$A,增益!$F:$F,0)))/200,($F$10-$I$3+VLOOKUP($R144,武学奇术!$A:$ZZ,6,FALSE)+SUM(_xlfn.XLOOKUP($S144:$AL144,增益!$A:$A,增益!$F:$F,0)))/100)</f>
        <v>0.2934</v>
      </c>
      <c r="AW144" s="40" cm="1">
        <f t="array" ref="AW144">$G$10+VLOOKUP($R144,武学奇术!$A:$ZZ,7,FALSE)+SUM(_xlfn.XLOOKUP($S144:$AL144,增益!$A:$A,增益!$G:$G,0))</f>
        <v>0.12</v>
      </c>
      <c r="AX144" s="33" cm="1">
        <f t="array" ref="AX144">VLOOKUP($R144,武学奇术!$A:$ZZ,8,FALSE)+SUM(_xlfn.XLOOKUP($S144:$AL144,增益!$A:$A,增益!$H:$H,0))</f>
        <v>0</v>
      </c>
      <c r="AY144">
        <f t="shared" si="34"/>
        <v>0</v>
      </c>
      <c r="AZ144">
        <f t="shared" si="35"/>
        <v>0</v>
      </c>
      <c r="BA144" s="40" cm="1">
        <f t="array" ref="BA144">IF($F$11-$I$4+VLOOKUP($R144,武学奇术!$A:$ZZ,9,FALSE)+SUM(_xlfn.XLOOKUP($S144:$AL144,增益!$A:$A,增益!$I:$I,0))&gt;0,($F$11-$I$4+VLOOKUP($R144,武学奇术!$A:$ZZ,9,FALSE)+SUM(_xlfn.XLOOKUP($S144:$AL144,增益!$A:$A,增益!$I:$I,0)))/200,($F$11-$I$4+VLOOKUP($R144,武学奇术!$A:$ZZ,9,FALSE)+SUM(_xlfn.XLOOKUP($S144:$AL144,增益!$A:$A,增益!$I:$I,0)))/100)</f>
        <v>-0.3</v>
      </c>
      <c r="BB144" s="40" cm="1">
        <f t="array" ref="BB144">$G$11+VLOOKUP($R144,武学奇术!$A:$ZZ,10,FALSE)+SUM(_xlfn.XLOOKUP($S144:$AL144,增益!$A:$A,增益!$J:$J,0))</f>
        <v>0</v>
      </c>
      <c r="BC144">
        <f t="shared" si="36"/>
        <v>640.3</v>
      </c>
      <c r="BD144">
        <f t="shared" si="37"/>
        <v>1770.1</v>
      </c>
      <c r="BE144" s="40" cm="1">
        <f t="array" ref="BE144">IF($F$12-$I$4+VLOOKUP($R144,武学奇术!$A:$ZZ,11,FALSE)+SUM(_xlfn.XLOOKUP($S144:$AL144,增益!$A:$A,增益!$K:$K,0))&gt;0,($F$12-$I$4+VLOOKUP($R144,武学奇术!$A:$ZZ,11,FALSE)+SUM(_xlfn.XLOOKUP($S144:$AL144,增益!$A:$A,增益!$K:$K,0)))/200,($F$12-$I$4+VLOOKUP($R144,武学奇术!$A:$ZZ,11,FALSE)+SUM(_xlfn.XLOOKUP($S144:$AL144,增益!$A:$A,增益!$K:$K,0)))/100)</f>
        <v>0.09</v>
      </c>
      <c r="BF144" s="40" cm="1">
        <f t="array" ref="BF144">$G$12+VLOOKUP($R144,武学奇术!$A:$ZZ,12,FALSE)+SUM(_xlfn.XLOOKUP($S144:$AL144,增益!$A:$A,增益!$L:$L,0))</f>
        <v>0.27</v>
      </c>
      <c r="BG144">
        <f t="shared" si="38"/>
        <v>0</v>
      </c>
      <c r="BH144">
        <f t="shared" si="39"/>
        <v>0</v>
      </c>
      <c r="BI144" s="40" cm="1">
        <f t="array" ref="BI144">IF($F$13-$I$4+VLOOKUP($R144,武学奇术!$A:$ZZ,13,FALSE)+SUM(_xlfn.XLOOKUP($S144:$AL144,增益!$A:$A,增益!$M:$M,0))&gt;0,($F$13-$I$4+VLOOKUP($R144,武学奇术!$A:$ZZ,13,FALSE)+SUM(_xlfn.XLOOKUP($S144:$AL144,增益!$A:$A,增益!$K:$K,0)))/200,($F$13-$I$4+VLOOKUP($R144,武学奇术!$A:$ZZ,13,FALSE)+SUM(_xlfn.XLOOKUP($S144:$AL144,增益!$A:$A,增益!$M:$M,0)))/100)</f>
        <v>-0.3</v>
      </c>
      <c r="BJ144" s="40" cm="1">
        <f t="array" ref="BJ144">$G$13+VLOOKUP($R144,武学奇术!$A:$ZZ,14,FALSE)+SUM(_xlfn.XLOOKUP($S144:$AL144,增益!$A:$A,增益!$N:$N,0))</f>
        <v>0</v>
      </c>
      <c r="BK144">
        <f t="shared" si="40"/>
        <v>0</v>
      </c>
      <c r="BL144">
        <f t="shared" si="41"/>
        <v>0</v>
      </c>
      <c r="BM144" s="40" cm="1">
        <f t="array" ref="BM144">IF($F$14-$I$4+VLOOKUP($R144,武学奇术!$A:$ZZ,15,FALSE)+SUM(_xlfn.XLOOKUP($S144:$AL144,增益!$A:$A,增益!$O:$O,0))&gt;0,($F$14-$I$4+VLOOKUP($R144,武学奇术!$A:$ZZ,15,FALSE)+SUM(_xlfn.XLOOKUP($S144:$AL144,增益!$A:$A,增益!$O:$O,0)))/200,($F$14-$I$4+VLOOKUP($R144,武学奇术!$A:$ZZ,15,FALSE)+SUM(_xlfn.XLOOKUP($S144:$AL144,增益!$A:$A,增益!$O:$O,0)))/100)</f>
        <v>-0.3</v>
      </c>
      <c r="BN144" s="40" cm="1">
        <f t="array" ref="BN144">$G$14+VLOOKUP($R144,武学奇术!$A:$ZZ,16,FALSE)+SUM(_xlfn.XLOOKUP($S144:$AL144,增益!$A:$A,增益!$P:$P,0))</f>
        <v>0</v>
      </c>
      <c r="BO144" s="33">
        <f>MIN(IF(VLOOKUP($R144,武学奇术!$A:$ZZ,23,FALSE)=1,100%,$B$8),100%)</f>
        <v>0.9771</v>
      </c>
      <c r="BP144" s="33" cm="1">
        <f t="array" ref="BP144">IF(VLOOKUP($R144,武学奇术!$A:$ZZ,23,FALSE)=1,100%,MIN(80%,$B$9+VLOOKUP($R144,武学奇术!$A:$ZZ,17,FALSE)+SUM(_xlfn.XLOOKUP($S144:$AL144,增益!$A:$A,增益!$Q:$Q,0)))+$B$11+SUM(_xlfn.XLOOKUP($S144:$AL144,增益!$A:$A,增益!$U:$U,0)))*IF(VLOOKUP($R144,武学奇术!$A:$ZZ,24,FALSE)=1,0,1)</f>
        <v>0.8861</v>
      </c>
      <c r="BQ144" s="33" cm="1">
        <f t="array" ref="BQ144">1+$B$13+VLOOKUP($R144,武学奇术!$A:$ZZ,18,FALSE)+SUM(_xlfn.XLOOKUP($S144:$AL144,增益!$A:$A,增益!$R:$R,0))</f>
        <v>1.86</v>
      </c>
      <c r="BR144" s="33" cm="1">
        <f t="array" ref="BR144">IF(VLOOKUP($R144,武学奇术!$A:$ZZ,24,FALSE)=1,100%,MIN(40%,$B$10+VLOOKUP($R144,武学奇术!$A:$ZZ,19,FALSE)+SUM(_xlfn.XLOOKUP($S144:$AL144,增益!$A:$A,增益!$S:$S,0)))+$B$12+SUM(_xlfn.XLOOKUP($S144:$AL144,增益!$A:$A,增益!$V:$V,0)))*IF(VLOOKUP($R144,武学奇术!$A:$ZZ,23,FALSE)=1,0,1)</f>
        <v>0.0913</v>
      </c>
      <c r="BS144" s="33" cm="1">
        <f t="array" ref="BS144">1+$B$14+VLOOKUP($R144,武学奇术!$A:$ZZ,20,FALSE)+SUM(_xlfn.XLOOKUP($S144:$AL144,增益!$A:$A,增益!$T:$T,0))</f>
        <v>1.35</v>
      </c>
      <c r="BT144" s="33">
        <f t="shared" si="42"/>
        <v>0.86580831</v>
      </c>
      <c r="BU144" s="33">
        <f t="shared" si="43"/>
        <v>0.02208246</v>
      </c>
      <c r="BV144" s="33">
        <f>IF(VLOOKUP($R144,武学奇术!$A:$ZZ,22,FALSE)=1,0,(1-$BO144))*(1-$BR144)</f>
        <v>0.02080923</v>
      </c>
      <c r="BW144" s="33" cm="1">
        <f t="array" ref="BW144">SUM(_xlfn.XLOOKUP($S144:$AL144,增益!$A:$A,增益!$W:$W,0))+$I$5</f>
        <v>0.11</v>
      </c>
      <c r="BX144" s="33" cm="1">
        <f t="array" ref="BX144">VLOOKUP($R144,武学奇术!$A:$ZZ,32,FALSE)+SUM(_xlfn.XLOOKUP($S144:$AL144,增益!$A:$A,增益!$X:$X,0))</f>
        <v>0.4</v>
      </c>
    </row>
    <row r="145" spans="12:76">
      <c r="L145" s="46">
        <f t="shared" si="33"/>
        <v>0</v>
      </c>
      <c r="M145" s="46">
        <f>((($AT145+$AU145)/2*$AN145+$AO145)*(1+$AV145)*(1+$AW145)+(($AY145+$AZ145)/2*IF($G$1="鸣金",$AP145,$AN145)+IF($G$1="鸣金",$AQ145*1.5,0))*(1+$BA145)*(1+$BB145)+(($BC145+$BD145)/2*IF($G$1="裂石",$AP145,$AN145)+IF($G$1="裂石",$AQ145*1.5,0))*(1+$BE145)*(1+$BF145)+(($BG145+$BH145)/2*IF($G$1="牵丝",$AP145,$AN145)+IF($G$1="牵丝",$AQ145*1.5,0))*(1+$BI145)*(1+$BJ145)+(($BK145+$BL145)/2*IF($G$1="破竹",$AP145,$AN145)+IF($G$1="破竹",$AQ145*1.5,0))*(1+$BM145)*(1+$BN145))*(1+$AR145)*$BQ145*$Q145*(1+IF(VLOOKUP($R145,武学奇术!$A:$ZZ,30,FALSE)="蓄力技",$B$21,0))*(1+IF(VLOOKUP($R145,武学奇术!$A:$ZZ,30,FALSE)="派生技",$B$20,0))*(1+$BW145)*(1+$BX145)</f>
        <v>0</v>
      </c>
      <c r="N145" s="46">
        <f>(($AU145*$AN145+$AO145)*(1+$AV145)*(1+$AW145)+($AZ145*IF($G$1="鸣金",$AP145,$AN145)+IF($G$1="鸣金",$AQ145*1.5,0))*(1+$BA145)*(1+$BB145)+($BD145*IF($G$1="裂石",$AP145,$AN145)+IF($G$1="裂石",$AQ145*1.5,0))*(1+$BE145)*(1+$BF145)+($BH145*IF($G$1="牵丝",$AP145,$AN145)+IF($G$1="牵丝",$AQ145*1.5,0))*(1+$BI145)*(1+$BJ145)+($BL145*IF($G$1="破竹",$AP145,$AN145)+IF($G$1="破竹",$AQ145*1.5,0))*(1+$BM145)*(1+$BN145))*(1+$AR145)*$BS145*$Q145*(1+IF(VLOOKUP($R145,武学奇术!$A:$ZZ,30,FALSE)="蓄力技",$B$21,0))*(1+IF(VLOOKUP($R145,武学奇术!$A:$ZZ,30,FALSE)="派生技",$B$20,0))*(1+$BW145)*(1+$BX145)</f>
        <v>0</v>
      </c>
      <c r="O145" s="46">
        <f>((($AT145+$AU145)/2*$AN145+$AO145)*(1+$AV145)*(1+$AW145)+(($AY145+$AZ145)/2*IF($G$1="鸣金",$AP145,$AN145)+IF($G$1="鸣金",$AQ145*1.5,0))*(1+$BA145)*(1+$BB145)+(($BC145+$BD145)/2*IF($G$1="裂石",$AP145,$AN145)+IF($G$1="裂石",$AQ145*1.5,0))*(1+$BE145)*(1+$BF145)+(($BG145+$BH145)/2*IF($G$1="牵丝",$AP145,$AN145)+IF($G$1="牵丝",$AQ145*1.5,0))*(1+$BI145)*(1+$BJ145)+(($BK145+$BL145)/2*IF($G$1="破竹",$AP145,$AN145)+IF($G$1="破竹",$AQ145*1.5,0))*(1+$BM145)*(1+$BN145))*(1+$AR145)*$Q145*(1+IF(VLOOKUP($R145,武学奇术!$A:$ZZ,30,FALSE)="蓄力技",$B$21,0))*(1+IF(VLOOKUP($R145,武学奇术!$A:$ZZ,30,FALSE)="派生技",$B$20,0))*(1+$BW145)*(1+$BX145)</f>
        <v>0</v>
      </c>
      <c r="P145" s="46">
        <f>((($AT145*$AN145+$AO145)*(1+$AV145)*(1+$AW145)+($AY145*IF($G$1="鸣金",$AP145,$AN145)+IF($G$1="鸣金",$AQ145*1.5,0))*(1+$BA145)*(1+$BB145)+($BC145*IF($G$1="裂石",$AP145,$AN145)+IF($G$1="裂石",$AQ145*1.5,0))*(1+$BE145)*(1+$BF145)+($BG145*IF($G$1="牵丝",$AP145,$AN145)+IF($G$1="牵丝",$AQ145*1.5,0))*(1+$BI145)*(1+$BJ145)+($BK145*IF($G$1="破竹",$AP145,$AN145)+IF($G$1="破竹",$AQ145*1.5,0))*(1+$BM145)*(1+$BN145))*(1+$AR145))*$Q145*(1+IF(VLOOKUP($R145,武学奇术!$A:$ZZ,30,FALSE)="蓄力技",$B$21,0))*(1+IF(VLOOKUP($R145,武学奇术!$A:$ZZ,30,FALSE)="派生技",$B$20,0))*(1+$BW145)*(1+$BX145)</f>
        <v>0</v>
      </c>
      <c r="Q145" s="47">
        <f t="shared" si="44"/>
        <v>0</v>
      </c>
      <c r="R145" s="48" t="s">
        <v>196</v>
      </c>
      <c r="S145" s="48" t="s">
        <v>77</v>
      </c>
      <c r="T145" s="48" t="s">
        <v>89</v>
      </c>
      <c r="U145" s="48" t="s">
        <v>79</v>
      </c>
      <c r="V145" s="48" t="s">
        <v>80</v>
      </c>
      <c r="W145" s="48" t="s">
        <v>136</v>
      </c>
      <c r="X145" s="48" t="s">
        <v>80</v>
      </c>
      <c r="Y145" s="48" t="s">
        <v>74</v>
      </c>
      <c r="Z145" s="48" t="s">
        <v>81</v>
      </c>
      <c r="AA145" s="48" t="s">
        <v>80</v>
      </c>
      <c r="AB145" s="48" t="s">
        <v>80</v>
      </c>
      <c r="AC145" s="48" t="s">
        <v>80</v>
      </c>
      <c r="AD145" s="48" t="s">
        <v>80</v>
      </c>
      <c r="AE145" s="48" t="s">
        <v>80</v>
      </c>
      <c r="AF145" s="48" t="s">
        <v>83</v>
      </c>
      <c r="AG145" s="48" t="s">
        <v>84</v>
      </c>
      <c r="AH145" s="48" t="s">
        <v>80</v>
      </c>
      <c r="AI145" s="48" t="s">
        <v>80</v>
      </c>
      <c r="AJ145" s="48" t="s">
        <v>80</v>
      </c>
      <c r="AK145" s="48" t="s">
        <v>80</v>
      </c>
      <c r="AL145" s="48" t="s">
        <v>80</v>
      </c>
      <c r="AM145" t="str">
        <f>VLOOKUP($R145,武学奇术!$A:$ZZ,25,FALSE)</f>
        <v>横刀</v>
      </c>
      <c r="AN145" s="33">
        <f>VLOOKUP($R145,武学奇术!$A:$ZZ,26,FALSE)</f>
        <v>1.47</v>
      </c>
      <c r="AO145" s="34">
        <f>VLOOKUP($R145,武学奇术!$A:$ZZ,27,FALSE)*(1+IF(OR($AM145=$F$4,$AM145=$F$5),$B$22,0))</f>
        <v>0</v>
      </c>
      <c r="AP145" s="33">
        <f>VLOOKUP($R145,武学奇术!$A:$ZZ,28,FALSE)</f>
        <v>2.205</v>
      </c>
      <c r="AQ145" s="34">
        <f>VLOOKUP($R145,武学奇术!$A:$ZZ,29,FALSE)*(1+IF(OR($AM145=$F$4,$AM145=$F$5),$B$22,0))</f>
        <v>0</v>
      </c>
      <c r="AR145" s="33" cm="1">
        <f t="array" ref="AR145">$G$3+IFERROR(VLOOKUP($AM145,$F$4:$G$7,2,FALSE),0)+VLOOKUP($R145,武学奇术!$A:$ZZ,2,FALSE)+SUM(_xlfn.XLOOKUP($S145:$AL145,增益!$A:$A,增益!$B:$B,0))</f>
        <v>0.4389</v>
      </c>
      <c r="AS145" s="33" cm="1">
        <f t="array" ref="AS145">VLOOKUP($R145,武学奇术!$A:$ZZ,5,FALSE)+SUM(_xlfn.XLOOKUP($S145:$AL145,增益!$A:$A,增益!$E:$E,0))</f>
        <v>0</v>
      </c>
      <c r="AT145" cm="1">
        <f t="array" ref="AT145">$D$10*(1+$AS145)+VLOOKUP($R145,武学奇术!$A:$ZZ,3,FALSE)+SUM(_xlfn.XLOOKUP($S145:$AL145,增益!$A:$A,增益!$C:$C,0))-$I$2</f>
        <v>4026</v>
      </c>
      <c r="AU145" cm="1">
        <f t="array" ref="AU145">$E$10*(1+$AS145)+VLOOKUP($R145,武学奇术!$A:$ZZ,4,FALSE)+SUM(_xlfn.XLOOKUP($S145:$AL145,增益!$A:$A,增益!$D:$D,0))-$I$2</f>
        <v>4026</v>
      </c>
      <c r="AV145" s="40" cm="1">
        <f t="array" ref="AV145">IF($F$10-$I$3+VLOOKUP($R145,武学奇术!$A:$ZZ,6,FALSE)+SUM(_xlfn.XLOOKUP($S145:$AL145,增益!$A:$A,增益!$F:$F,0))&gt;0,($F$10-$I$3+VLOOKUP($R145,武学奇术!$A:$ZZ,6,FALSE)+SUM(_xlfn.XLOOKUP($S145:$AL145,增益!$A:$A,增益!$F:$F,0)))/200,($F$10-$I$3+VLOOKUP($R145,武学奇术!$A:$ZZ,6,FALSE)+SUM(_xlfn.XLOOKUP($S145:$AL145,增益!$A:$A,增益!$F:$F,0)))/100)</f>
        <v>0.3084</v>
      </c>
      <c r="AW145" s="40" cm="1">
        <f t="array" ref="AW145">$G$10+VLOOKUP($R145,武学奇术!$A:$ZZ,7,FALSE)+SUM(_xlfn.XLOOKUP($S145:$AL145,增益!$A:$A,增益!$G:$G,0))</f>
        <v>0.12</v>
      </c>
      <c r="AX145" s="33" cm="1">
        <f t="array" ref="AX145">VLOOKUP($R145,武学奇术!$A:$ZZ,8,FALSE)+SUM(_xlfn.XLOOKUP($S145:$AL145,增益!$A:$A,增益!$H:$H,0))</f>
        <v>0</v>
      </c>
      <c r="AY145">
        <f t="shared" si="34"/>
        <v>0</v>
      </c>
      <c r="AZ145">
        <f t="shared" si="35"/>
        <v>0</v>
      </c>
      <c r="BA145" s="40" cm="1">
        <f t="array" ref="BA145">IF($F$11-$I$4+VLOOKUP($R145,武学奇术!$A:$ZZ,9,FALSE)+SUM(_xlfn.XLOOKUP($S145:$AL145,增益!$A:$A,增益!$I:$I,0))&gt;0,($F$11-$I$4+VLOOKUP($R145,武学奇术!$A:$ZZ,9,FALSE)+SUM(_xlfn.XLOOKUP($S145:$AL145,增益!$A:$A,增益!$I:$I,0)))/200,($F$11-$I$4+VLOOKUP($R145,武学奇术!$A:$ZZ,9,FALSE)+SUM(_xlfn.XLOOKUP($S145:$AL145,增益!$A:$A,增益!$I:$I,0)))/100)</f>
        <v>-0.3</v>
      </c>
      <c r="BB145" s="40" cm="1">
        <f t="array" ref="BB145">$G$11+VLOOKUP($R145,武学奇术!$A:$ZZ,10,FALSE)+SUM(_xlfn.XLOOKUP($S145:$AL145,增益!$A:$A,增益!$J:$J,0))</f>
        <v>0</v>
      </c>
      <c r="BC145">
        <f t="shared" si="36"/>
        <v>640.3</v>
      </c>
      <c r="BD145">
        <f t="shared" si="37"/>
        <v>1770.1</v>
      </c>
      <c r="BE145" s="40" cm="1">
        <f t="array" ref="BE145">IF($F$12-$I$4+VLOOKUP($R145,武学奇术!$A:$ZZ,11,FALSE)+SUM(_xlfn.XLOOKUP($S145:$AL145,增益!$A:$A,增益!$K:$K,0))&gt;0,($F$12-$I$4+VLOOKUP($R145,武学奇术!$A:$ZZ,11,FALSE)+SUM(_xlfn.XLOOKUP($S145:$AL145,增益!$A:$A,增益!$K:$K,0)))/200,($F$12-$I$4+VLOOKUP($R145,武学奇术!$A:$ZZ,11,FALSE)+SUM(_xlfn.XLOOKUP($S145:$AL145,增益!$A:$A,增益!$K:$K,0)))/100)</f>
        <v>0.09</v>
      </c>
      <c r="BF145" s="40" cm="1">
        <f t="array" ref="BF145">$G$12+VLOOKUP($R145,武学奇术!$A:$ZZ,12,FALSE)+SUM(_xlfn.XLOOKUP($S145:$AL145,增益!$A:$A,增益!$L:$L,0))</f>
        <v>0.27</v>
      </c>
      <c r="BG145">
        <f t="shared" si="38"/>
        <v>0</v>
      </c>
      <c r="BH145">
        <f t="shared" si="39"/>
        <v>0</v>
      </c>
      <c r="BI145" s="40" cm="1">
        <f t="array" ref="BI145">IF($F$13-$I$4+VLOOKUP($R145,武学奇术!$A:$ZZ,13,FALSE)+SUM(_xlfn.XLOOKUP($S145:$AL145,增益!$A:$A,增益!$M:$M,0))&gt;0,($F$13-$I$4+VLOOKUP($R145,武学奇术!$A:$ZZ,13,FALSE)+SUM(_xlfn.XLOOKUP($S145:$AL145,增益!$A:$A,增益!$K:$K,0)))/200,($F$13-$I$4+VLOOKUP($R145,武学奇术!$A:$ZZ,13,FALSE)+SUM(_xlfn.XLOOKUP($S145:$AL145,增益!$A:$A,增益!$M:$M,0)))/100)</f>
        <v>-0.3</v>
      </c>
      <c r="BJ145" s="40" cm="1">
        <f t="array" ref="BJ145">$G$13+VLOOKUP($R145,武学奇术!$A:$ZZ,14,FALSE)+SUM(_xlfn.XLOOKUP($S145:$AL145,增益!$A:$A,增益!$N:$N,0))</f>
        <v>0</v>
      </c>
      <c r="BK145">
        <f t="shared" si="40"/>
        <v>0</v>
      </c>
      <c r="BL145">
        <f t="shared" si="41"/>
        <v>0</v>
      </c>
      <c r="BM145" s="40" cm="1">
        <f t="array" ref="BM145">IF($F$14-$I$4+VLOOKUP($R145,武学奇术!$A:$ZZ,15,FALSE)+SUM(_xlfn.XLOOKUP($S145:$AL145,增益!$A:$A,增益!$O:$O,0))&gt;0,($F$14-$I$4+VLOOKUP($R145,武学奇术!$A:$ZZ,15,FALSE)+SUM(_xlfn.XLOOKUP($S145:$AL145,增益!$A:$A,增益!$O:$O,0)))/200,($F$14-$I$4+VLOOKUP($R145,武学奇术!$A:$ZZ,15,FALSE)+SUM(_xlfn.XLOOKUP($S145:$AL145,增益!$A:$A,增益!$O:$O,0)))/100)</f>
        <v>-0.3</v>
      </c>
      <c r="BN145" s="40" cm="1">
        <f t="array" ref="BN145">$G$14+VLOOKUP($R145,武学奇术!$A:$ZZ,16,FALSE)+SUM(_xlfn.XLOOKUP($S145:$AL145,增益!$A:$A,增益!$P:$P,0))</f>
        <v>0</v>
      </c>
      <c r="BO145" s="33">
        <f>MIN(IF(VLOOKUP($R145,武学奇术!$A:$ZZ,23,FALSE)=1,100%,$B$8),100%)</f>
        <v>0.9771</v>
      </c>
      <c r="BP145" s="33" cm="1">
        <f t="array" ref="BP145">IF(VLOOKUP($R145,武学奇术!$A:$ZZ,23,FALSE)=1,100%,MIN(80%,$B$9+VLOOKUP($R145,武学奇术!$A:$ZZ,17,FALSE)+SUM(_xlfn.XLOOKUP($S145:$AL145,增益!$A:$A,增益!$Q:$Q,0)))+$B$11+SUM(_xlfn.XLOOKUP($S145:$AL145,增益!$A:$A,增益!$U:$U,0)))*IF(VLOOKUP($R145,武学奇术!$A:$ZZ,24,FALSE)=1,0,1)</f>
        <v>0.8861</v>
      </c>
      <c r="BQ145" s="33" cm="1">
        <f t="array" ref="BQ145">1+$B$13+VLOOKUP($R145,武学奇术!$A:$ZZ,18,FALSE)+SUM(_xlfn.XLOOKUP($S145:$AL145,增益!$A:$A,增益!$R:$R,0))</f>
        <v>1.89</v>
      </c>
      <c r="BR145" s="33" cm="1">
        <f t="array" ref="BR145">IF(VLOOKUP($R145,武学奇术!$A:$ZZ,24,FALSE)=1,100%,MIN(40%,$B$10+VLOOKUP($R145,武学奇术!$A:$ZZ,19,FALSE)+SUM(_xlfn.XLOOKUP($S145:$AL145,增益!$A:$A,增益!$S:$S,0)))+$B$12+SUM(_xlfn.XLOOKUP($S145:$AL145,增益!$A:$A,增益!$V:$V,0)))*IF(VLOOKUP($R145,武学奇术!$A:$ZZ,23,FALSE)=1,0,1)</f>
        <v>0.0913</v>
      </c>
      <c r="BS145" s="33" cm="1">
        <f t="array" ref="BS145">1+$B$14+VLOOKUP($R145,武学奇术!$A:$ZZ,20,FALSE)+SUM(_xlfn.XLOOKUP($S145:$AL145,增益!$A:$A,增益!$T:$T,0))</f>
        <v>1.35</v>
      </c>
      <c r="BT145" s="33">
        <f t="shared" si="42"/>
        <v>0.86580831</v>
      </c>
      <c r="BU145" s="33">
        <f t="shared" si="43"/>
        <v>0.02208246</v>
      </c>
      <c r="BV145" s="33">
        <f>IF(VLOOKUP($R145,武学奇术!$A:$ZZ,22,FALSE)=1,0,(1-$BO145))*(1-$BR145)</f>
        <v>0.02080923</v>
      </c>
      <c r="BW145" s="33" cm="1">
        <f t="array" ref="BW145">SUM(_xlfn.XLOOKUP($S145:$AL145,增益!$A:$A,增益!$W:$W,0))+$I$5</f>
        <v>0.11</v>
      </c>
      <c r="BX145" s="33" cm="1">
        <f t="array" ref="BX145">VLOOKUP($R145,武学奇术!$A:$ZZ,32,FALSE)+SUM(_xlfn.XLOOKUP($S145:$AL145,增益!$A:$A,增益!$X:$X,0))</f>
        <v>0.4</v>
      </c>
    </row>
    <row r="146" spans="12:76">
      <c r="L146" s="46">
        <f t="shared" si="33"/>
        <v>0</v>
      </c>
      <c r="M146" s="46">
        <f>((($AT146+$AU146)/2*$AN146+$AO146)*(1+$AV146)*(1+$AW146)+(($AY146+$AZ146)/2*IF($G$1="鸣金",$AP146,$AN146)+IF($G$1="鸣金",$AQ146*1.5,0))*(1+$BA146)*(1+$BB146)+(($BC146+$BD146)/2*IF($G$1="裂石",$AP146,$AN146)+IF($G$1="裂石",$AQ146*1.5,0))*(1+$BE146)*(1+$BF146)+(($BG146+$BH146)/2*IF($G$1="牵丝",$AP146,$AN146)+IF($G$1="牵丝",$AQ146*1.5,0))*(1+$BI146)*(1+$BJ146)+(($BK146+$BL146)/2*IF($G$1="破竹",$AP146,$AN146)+IF($G$1="破竹",$AQ146*1.5,0))*(1+$BM146)*(1+$BN146))*(1+$AR146)*$BQ146*$Q146*(1+IF(VLOOKUP($R146,武学奇术!$A:$ZZ,30,FALSE)="蓄力技",$B$21,0))*(1+IF(VLOOKUP($R146,武学奇术!$A:$ZZ,30,FALSE)="派生技",$B$20,0))*(1+$BW146)*(1+$BX146)</f>
        <v>0</v>
      </c>
      <c r="N146" s="46">
        <f>(($AU146*$AN146+$AO146)*(1+$AV146)*(1+$AW146)+($AZ146*IF($G$1="鸣金",$AP146,$AN146)+IF($G$1="鸣金",$AQ146*1.5,0))*(1+$BA146)*(1+$BB146)+($BD146*IF($G$1="裂石",$AP146,$AN146)+IF($G$1="裂石",$AQ146*1.5,0))*(1+$BE146)*(1+$BF146)+($BH146*IF($G$1="牵丝",$AP146,$AN146)+IF($G$1="牵丝",$AQ146*1.5,0))*(1+$BI146)*(1+$BJ146)+($BL146*IF($G$1="破竹",$AP146,$AN146)+IF($G$1="破竹",$AQ146*1.5,0))*(1+$BM146)*(1+$BN146))*(1+$AR146)*$BS146*$Q146*(1+IF(VLOOKUP($R146,武学奇术!$A:$ZZ,30,FALSE)="蓄力技",$B$21,0))*(1+IF(VLOOKUP($R146,武学奇术!$A:$ZZ,30,FALSE)="派生技",$B$20,0))*(1+$BW146)*(1+$BX146)</f>
        <v>0</v>
      </c>
      <c r="O146" s="46">
        <f>((($AT146+$AU146)/2*$AN146+$AO146)*(1+$AV146)*(1+$AW146)+(($AY146+$AZ146)/2*IF($G$1="鸣金",$AP146,$AN146)+IF($G$1="鸣金",$AQ146*1.5,0))*(1+$BA146)*(1+$BB146)+(($BC146+$BD146)/2*IF($G$1="裂石",$AP146,$AN146)+IF($G$1="裂石",$AQ146*1.5,0))*(1+$BE146)*(1+$BF146)+(($BG146+$BH146)/2*IF($G$1="牵丝",$AP146,$AN146)+IF($G$1="牵丝",$AQ146*1.5,0))*(1+$BI146)*(1+$BJ146)+(($BK146+$BL146)/2*IF($G$1="破竹",$AP146,$AN146)+IF($G$1="破竹",$AQ146*1.5,0))*(1+$BM146)*(1+$BN146))*(1+$AR146)*$Q146*(1+IF(VLOOKUP($R146,武学奇术!$A:$ZZ,30,FALSE)="蓄力技",$B$21,0))*(1+IF(VLOOKUP($R146,武学奇术!$A:$ZZ,30,FALSE)="派生技",$B$20,0))*(1+$BW146)*(1+$BX146)</f>
        <v>0</v>
      </c>
      <c r="P146" s="46">
        <f>((($AT146*$AN146+$AO146)*(1+$AV146)*(1+$AW146)+($AY146*IF($G$1="鸣金",$AP146,$AN146)+IF($G$1="鸣金",$AQ146*1.5,0))*(1+$BA146)*(1+$BB146)+($BC146*IF($G$1="裂石",$AP146,$AN146)+IF($G$1="裂石",$AQ146*1.5,0))*(1+$BE146)*(1+$BF146)+($BG146*IF($G$1="牵丝",$AP146,$AN146)+IF($G$1="牵丝",$AQ146*1.5,0))*(1+$BI146)*(1+$BJ146)+($BK146*IF($G$1="破竹",$AP146,$AN146)+IF($G$1="破竹",$AQ146*1.5,0))*(1+$BM146)*(1+$BN146))*(1+$AR146))*$Q146*(1+IF(VLOOKUP($R146,武学奇术!$A:$ZZ,30,FALSE)="蓄力技",$B$21,0))*(1+IF(VLOOKUP($R146,武学奇术!$A:$ZZ,30,FALSE)="派生技",$B$20,0))*(1+$BW146)*(1+$BX146)</f>
        <v>0</v>
      </c>
      <c r="Q146" s="47">
        <f t="shared" ref="Q146:Q178" si="45">IF($E$24="唐刀",1,0)</f>
        <v>0</v>
      </c>
      <c r="R146" s="48" t="s">
        <v>197</v>
      </c>
      <c r="S146" s="48" t="s">
        <v>88</v>
      </c>
      <c r="T146" s="48" t="s">
        <v>89</v>
      </c>
      <c r="U146" s="48" t="s">
        <v>79</v>
      </c>
      <c r="V146" s="48" t="s">
        <v>80</v>
      </c>
      <c r="W146" s="48" t="s">
        <v>91</v>
      </c>
      <c r="X146" s="48" t="s">
        <v>80</v>
      </c>
      <c r="Y146" s="48" t="s">
        <v>80</v>
      </c>
      <c r="Z146" s="48" t="s">
        <v>81</v>
      </c>
      <c r="AA146" s="48" t="s">
        <v>80</v>
      </c>
      <c r="AB146" s="48" t="s">
        <v>80</v>
      </c>
      <c r="AC146" s="48" t="s">
        <v>80</v>
      </c>
      <c r="AD146" s="48" t="s">
        <v>80</v>
      </c>
      <c r="AE146" s="48" t="s">
        <v>80</v>
      </c>
      <c r="AF146" s="48" t="s">
        <v>83</v>
      </c>
      <c r="AG146" s="48" t="s">
        <v>84</v>
      </c>
      <c r="AH146" s="48" t="s">
        <v>80</v>
      </c>
      <c r="AI146" s="48" t="s">
        <v>80</v>
      </c>
      <c r="AJ146" s="48" t="s">
        <v>80</v>
      </c>
      <c r="AK146" s="48" t="s">
        <v>80</v>
      </c>
      <c r="AL146" s="48" t="s">
        <v>80</v>
      </c>
      <c r="AM146" t="str">
        <f>VLOOKUP($R146,武学奇术!$A:$ZZ,25,FALSE)</f>
        <v>横刀</v>
      </c>
      <c r="AN146" s="33">
        <f>VLOOKUP($R146,武学奇术!$A:$ZZ,26,FALSE)</f>
        <v>2.4495</v>
      </c>
      <c r="AO146" s="34">
        <f>VLOOKUP($R146,武学奇术!$A:$ZZ,27,FALSE)*(1+IF(OR($AM146=$F$4,$AM146=$F$5),$B$22,0))</f>
        <v>1083.2</v>
      </c>
      <c r="AP146" s="33">
        <f>VLOOKUP($R146,武学奇术!$A:$ZZ,28,FALSE)</f>
        <v>3.6743</v>
      </c>
      <c r="AQ146" s="34">
        <f>VLOOKUP($R146,武学奇术!$A:$ZZ,29,FALSE)*(1+IF(OR($AM146=$F$4,$AM146=$F$5),$B$22,0))</f>
        <v>588.8</v>
      </c>
      <c r="AR146" s="33" cm="1">
        <f t="array" ref="AR146">$G$3+IFERROR(VLOOKUP($AM146,$F$4:$G$7,2,FALSE),0)+VLOOKUP($R146,武学奇术!$A:$ZZ,2,FALSE)+SUM(_xlfn.XLOOKUP($S146:$AL146,增益!$A:$A,增益!$B:$B,0))</f>
        <v>0.3689</v>
      </c>
      <c r="AS146" s="33" cm="1">
        <f t="array" ref="AS146">VLOOKUP($R146,武学奇术!$A:$ZZ,5,FALSE)+SUM(_xlfn.XLOOKUP($S146:$AL146,增益!$A:$A,增益!$E:$E,0))</f>
        <v>0</v>
      </c>
      <c r="AT146" cm="1">
        <f t="array" ref="AT146">$D$10*(1+$AS146)+VLOOKUP($R146,武学奇术!$A:$ZZ,3,FALSE)+SUM(_xlfn.XLOOKUP($S146:$AL146,增益!$A:$A,增益!$C:$C,0))-$I$2</f>
        <v>4026</v>
      </c>
      <c r="AU146" cm="1">
        <f t="array" ref="AU146">$E$10*(1+$AS146)+VLOOKUP($R146,武学奇术!$A:$ZZ,4,FALSE)+SUM(_xlfn.XLOOKUP($S146:$AL146,增益!$A:$A,增益!$D:$D,0))-$I$2</f>
        <v>4026</v>
      </c>
      <c r="AV146" s="40" cm="1">
        <f t="array" ref="AV146">IF($F$10-$I$3+VLOOKUP($R146,武学奇术!$A:$ZZ,6,FALSE)+SUM(_xlfn.XLOOKUP($S146:$AL146,增益!$A:$A,增益!$F:$F,0))&gt;0,($F$10-$I$3+VLOOKUP($R146,武学奇术!$A:$ZZ,6,FALSE)+SUM(_xlfn.XLOOKUP($S146:$AL146,增益!$A:$A,增益!$F:$F,0)))/200,($F$10-$I$3+VLOOKUP($R146,武学奇术!$A:$ZZ,6,FALSE)+SUM(_xlfn.XLOOKUP($S146:$AL146,增益!$A:$A,增益!$F:$F,0)))/100)</f>
        <v>0.3084</v>
      </c>
      <c r="AW146" s="40" cm="1">
        <f t="array" ref="AW146">$G$10+VLOOKUP($R146,武学奇术!$A:$ZZ,7,FALSE)+SUM(_xlfn.XLOOKUP($S146:$AL146,增益!$A:$A,增益!$G:$G,0))</f>
        <v>0.12</v>
      </c>
      <c r="AX146" s="33" cm="1">
        <f t="array" ref="AX146">VLOOKUP($R146,武学奇术!$A:$ZZ,8,FALSE)+SUM(_xlfn.XLOOKUP($S146:$AL146,增益!$A:$A,增益!$H:$H,0))</f>
        <v>0</v>
      </c>
      <c r="AY146">
        <f t="shared" si="34"/>
        <v>0</v>
      </c>
      <c r="AZ146">
        <f t="shared" si="35"/>
        <v>0</v>
      </c>
      <c r="BA146" s="40" cm="1">
        <f t="array" ref="BA146">IF($F$11-$I$4+VLOOKUP($R146,武学奇术!$A:$ZZ,9,FALSE)+SUM(_xlfn.XLOOKUP($S146:$AL146,增益!$A:$A,增益!$I:$I,0))&gt;0,($F$11-$I$4+VLOOKUP($R146,武学奇术!$A:$ZZ,9,FALSE)+SUM(_xlfn.XLOOKUP($S146:$AL146,增益!$A:$A,增益!$I:$I,0)))/200,($F$11-$I$4+VLOOKUP($R146,武学奇术!$A:$ZZ,9,FALSE)+SUM(_xlfn.XLOOKUP($S146:$AL146,增益!$A:$A,增益!$I:$I,0)))/100)</f>
        <v>-0.3</v>
      </c>
      <c r="BB146" s="40" cm="1">
        <f t="array" ref="BB146">$G$11+VLOOKUP($R146,武学奇术!$A:$ZZ,10,FALSE)+SUM(_xlfn.XLOOKUP($S146:$AL146,增益!$A:$A,增益!$J:$J,0))</f>
        <v>0</v>
      </c>
      <c r="BC146">
        <f t="shared" si="36"/>
        <v>640.3</v>
      </c>
      <c r="BD146">
        <f t="shared" si="37"/>
        <v>1770.1</v>
      </c>
      <c r="BE146" s="40" cm="1">
        <f t="array" ref="BE146">IF($F$12-$I$4+VLOOKUP($R146,武学奇术!$A:$ZZ,11,FALSE)+SUM(_xlfn.XLOOKUP($S146:$AL146,增益!$A:$A,增益!$K:$K,0))&gt;0,($F$12-$I$4+VLOOKUP($R146,武学奇术!$A:$ZZ,11,FALSE)+SUM(_xlfn.XLOOKUP($S146:$AL146,增益!$A:$A,增益!$K:$K,0)))/200,($F$12-$I$4+VLOOKUP($R146,武学奇术!$A:$ZZ,11,FALSE)+SUM(_xlfn.XLOOKUP($S146:$AL146,增益!$A:$A,增益!$K:$K,0)))/100)</f>
        <v>0.09</v>
      </c>
      <c r="BF146" s="40" cm="1">
        <f t="array" ref="BF146">$G$12+VLOOKUP($R146,武学奇术!$A:$ZZ,12,FALSE)+SUM(_xlfn.XLOOKUP($S146:$AL146,增益!$A:$A,增益!$L:$L,0))</f>
        <v>0.27</v>
      </c>
      <c r="BG146">
        <f t="shared" si="38"/>
        <v>0</v>
      </c>
      <c r="BH146">
        <f t="shared" si="39"/>
        <v>0</v>
      </c>
      <c r="BI146" s="40" cm="1">
        <f t="array" ref="BI146">IF($F$13-$I$4+VLOOKUP($R146,武学奇术!$A:$ZZ,13,FALSE)+SUM(_xlfn.XLOOKUP($S146:$AL146,增益!$A:$A,增益!$M:$M,0))&gt;0,($F$13-$I$4+VLOOKUP($R146,武学奇术!$A:$ZZ,13,FALSE)+SUM(_xlfn.XLOOKUP($S146:$AL146,增益!$A:$A,增益!$K:$K,0)))/200,($F$13-$I$4+VLOOKUP($R146,武学奇术!$A:$ZZ,13,FALSE)+SUM(_xlfn.XLOOKUP($S146:$AL146,增益!$A:$A,增益!$M:$M,0)))/100)</f>
        <v>-0.3</v>
      </c>
      <c r="BJ146" s="40" cm="1">
        <f t="array" ref="BJ146">$G$13+VLOOKUP($R146,武学奇术!$A:$ZZ,14,FALSE)+SUM(_xlfn.XLOOKUP($S146:$AL146,增益!$A:$A,增益!$N:$N,0))</f>
        <v>0</v>
      </c>
      <c r="BK146">
        <f t="shared" si="40"/>
        <v>0</v>
      </c>
      <c r="BL146">
        <f t="shared" si="41"/>
        <v>0</v>
      </c>
      <c r="BM146" s="40" cm="1">
        <f t="array" ref="BM146">IF($F$14-$I$4+VLOOKUP($R146,武学奇术!$A:$ZZ,15,FALSE)+SUM(_xlfn.XLOOKUP($S146:$AL146,增益!$A:$A,增益!$O:$O,0))&gt;0,($F$14-$I$4+VLOOKUP($R146,武学奇术!$A:$ZZ,15,FALSE)+SUM(_xlfn.XLOOKUP($S146:$AL146,增益!$A:$A,增益!$O:$O,0)))/200,($F$14-$I$4+VLOOKUP($R146,武学奇术!$A:$ZZ,15,FALSE)+SUM(_xlfn.XLOOKUP($S146:$AL146,增益!$A:$A,增益!$O:$O,0)))/100)</f>
        <v>-0.3</v>
      </c>
      <c r="BN146" s="40" cm="1">
        <f t="array" ref="BN146">$G$14+VLOOKUP($R146,武学奇术!$A:$ZZ,16,FALSE)+SUM(_xlfn.XLOOKUP($S146:$AL146,增益!$A:$A,增益!$P:$P,0))</f>
        <v>0</v>
      </c>
      <c r="BO146" s="33">
        <f>MIN(IF(VLOOKUP($R146,武学奇术!$A:$ZZ,23,FALSE)=1,100%,$B$8),100%)</f>
        <v>0.9771</v>
      </c>
      <c r="BP146" s="33" cm="1">
        <f t="array" ref="BP146">IF(VLOOKUP($R146,武学奇术!$A:$ZZ,23,FALSE)=1,100%,MIN(80%,$B$9+VLOOKUP($R146,武学奇术!$A:$ZZ,17,FALSE)+SUM(_xlfn.XLOOKUP($S146:$AL146,增益!$A:$A,增益!$Q:$Q,0)))+$B$11+SUM(_xlfn.XLOOKUP($S146:$AL146,增益!$A:$A,增益!$U:$U,0)))*IF(VLOOKUP($R146,武学奇术!$A:$ZZ,24,FALSE)=1,0,1)</f>
        <v>0.8861</v>
      </c>
      <c r="BQ146" s="33" cm="1">
        <f t="array" ref="BQ146">1+$B$13+VLOOKUP($R146,武学奇术!$A:$ZZ,18,FALSE)+SUM(_xlfn.XLOOKUP($S146:$AL146,增益!$A:$A,增益!$R:$R,0))</f>
        <v>1.87</v>
      </c>
      <c r="BR146" s="33" cm="1">
        <f t="array" ref="BR146">IF(VLOOKUP($R146,武学奇术!$A:$ZZ,24,FALSE)=1,100%,MIN(40%,$B$10+VLOOKUP($R146,武学奇术!$A:$ZZ,19,FALSE)+SUM(_xlfn.XLOOKUP($S146:$AL146,增益!$A:$A,增益!$S:$S,0)))+$B$12+SUM(_xlfn.XLOOKUP($S146:$AL146,增益!$A:$A,增益!$V:$V,0)))*IF(VLOOKUP($R146,武学奇术!$A:$ZZ,23,FALSE)=1,0,1)</f>
        <v>0.0913</v>
      </c>
      <c r="BS146" s="33" cm="1">
        <f t="array" ref="BS146">1+$B$14+VLOOKUP($R146,武学奇术!$A:$ZZ,20,FALSE)+SUM(_xlfn.XLOOKUP($S146:$AL146,增益!$A:$A,增益!$T:$T,0))</f>
        <v>1.35</v>
      </c>
      <c r="BT146" s="33">
        <f t="shared" si="42"/>
        <v>0.86580831</v>
      </c>
      <c r="BU146" s="33">
        <f t="shared" si="43"/>
        <v>0.02208246</v>
      </c>
      <c r="BV146" s="33">
        <f>IF(VLOOKUP($R146,武学奇术!$A:$ZZ,22,FALSE)=1,0,(1-$BO146))*(1-$BR146)</f>
        <v>0.02080923</v>
      </c>
      <c r="BW146" s="33" cm="1">
        <f t="array" ref="BW146">SUM(_xlfn.XLOOKUP($S146:$AL146,增益!$A:$A,增益!$W:$W,0))+$I$5</f>
        <v>0.11</v>
      </c>
      <c r="BX146" s="33" cm="1">
        <f t="array" ref="BX146">VLOOKUP($R146,武学奇术!$A:$ZZ,32,FALSE)+SUM(_xlfn.XLOOKUP($S146:$AL146,增益!$A:$A,增益!$X:$X,0))</f>
        <v>0</v>
      </c>
    </row>
    <row r="147" spans="12:76">
      <c r="L147" s="46">
        <f t="shared" si="33"/>
        <v>0</v>
      </c>
      <c r="M147" s="46">
        <f>((($AT147+$AU147)/2*$AN147+$AO147)*(1+$AV147)*(1+$AW147)+(($AY147+$AZ147)/2*IF($G$1="鸣金",$AP147,$AN147)+IF($G$1="鸣金",$AQ147*1.5,0))*(1+$BA147)*(1+$BB147)+(($BC147+$BD147)/2*IF($G$1="裂石",$AP147,$AN147)+IF($G$1="裂石",$AQ147*1.5,0))*(1+$BE147)*(1+$BF147)+(($BG147+$BH147)/2*IF($G$1="牵丝",$AP147,$AN147)+IF($G$1="牵丝",$AQ147*1.5,0))*(1+$BI147)*(1+$BJ147)+(($BK147+$BL147)/2*IF($G$1="破竹",$AP147,$AN147)+IF($G$1="破竹",$AQ147*1.5,0))*(1+$BM147)*(1+$BN147))*(1+$AR147)*$BQ147*$Q147*(1+IF(VLOOKUP($R147,武学奇术!$A:$ZZ,30,FALSE)="蓄力技",$B$21,0))*(1+IF(VLOOKUP($R147,武学奇术!$A:$ZZ,30,FALSE)="派生技",$B$20,0))*(1+$BW147)*(1+$BX147)</f>
        <v>0</v>
      </c>
      <c r="N147" s="46">
        <f>(($AU147*$AN147+$AO147)*(1+$AV147)*(1+$AW147)+($AZ147*IF($G$1="鸣金",$AP147,$AN147)+IF($G$1="鸣金",$AQ147*1.5,0))*(1+$BA147)*(1+$BB147)+($BD147*IF($G$1="裂石",$AP147,$AN147)+IF($G$1="裂石",$AQ147*1.5,0))*(1+$BE147)*(1+$BF147)+($BH147*IF($G$1="牵丝",$AP147,$AN147)+IF($G$1="牵丝",$AQ147*1.5,0))*(1+$BI147)*(1+$BJ147)+($BL147*IF($G$1="破竹",$AP147,$AN147)+IF($G$1="破竹",$AQ147*1.5,0))*(1+$BM147)*(1+$BN147))*(1+$AR147)*$BS147*$Q147*(1+IF(VLOOKUP($R147,武学奇术!$A:$ZZ,30,FALSE)="蓄力技",$B$21,0))*(1+IF(VLOOKUP($R147,武学奇术!$A:$ZZ,30,FALSE)="派生技",$B$20,0))*(1+$BW147)*(1+$BX147)</f>
        <v>0</v>
      </c>
      <c r="O147" s="46">
        <f>((($AT147+$AU147)/2*$AN147+$AO147)*(1+$AV147)*(1+$AW147)+(($AY147+$AZ147)/2*IF($G$1="鸣金",$AP147,$AN147)+IF($G$1="鸣金",$AQ147*1.5,0))*(1+$BA147)*(1+$BB147)+(($BC147+$BD147)/2*IF($G$1="裂石",$AP147,$AN147)+IF($G$1="裂石",$AQ147*1.5,0))*(1+$BE147)*(1+$BF147)+(($BG147+$BH147)/2*IF($G$1="牵丝",$AP147,$AN147)+IF($G$1="牵丝",$AQ147*1.5,0))*(1+$BI147)*(1+$BJ147)+(($BK147+$BL147)/2*IF($G$1="破竹",$AP147,$AN147)+IF($G$1="破竹",$AQ147*1.5,0))*(1+$BM147)*(1+$BN147))*(1+$AR147)*$Q147*(1+IF(VLOOKUP($R147,武学奇术!$A:$ZZ,30,FALSE)="蓄力技",$B$21,0))*(1+IF(VLOOKUP($R147,武学奇术!$A:$ZZ,30,FALSE)="派生技",$B$20,0))*(1+$BW147)*(1+$BX147)</f>
        <v>0</v>
      </c>
      <c r="P147" s="46">
        <f>((($AT147*$AN147+$AO147)*(1+$AV147)*(1+$AW147)+($AY147*IF($G$1="鸣金",$AP147,$AN147)+IF($G$1="鸣金",$AQ147*1.5,0))*(1+$BA147)*(1+$BB147)+($BC147*IF($G$1="裂石",$AP147,$AN147)+IF($G$1="裂石",$AQ147*1.5,0))*(1+$BE147)*(1+$BF147)+($BG147*IF($G$1="牵丝",$AP147,$AN147)+IF($G$1="牵丝",$AQ147*1.5,0))*(1+$BI147)*(1+$BJ147)+($BK147*IF($G$1="破竹",$AP147,$AN147)+IF($G$1="破竹",$AQ147*1.5,0))*(1+$BM147)*(1+$BN147))*(1+$AR147))*$Q147*(1+IF(VLOOKUP($R147,武学奇术!$A:$ZZ,30,FALSE)="蓄力技",$B$21,0))*(1+IF(VLOOKUP($R147,武学奇术!$A:$ZZ,30,FALSE)="派生技",$B$20,0))*(1+$BW147)*(1+$BX147)</f>
        <v>0</v>
      </c>
      <c r="Q147" s="47">
        <f t="shared" si="45"/>
        <v>0</v>
      </c>
      <c r="R147" s="48" t="s">
        <v>119</v>
      </c>
      <c r="S147" s="48" t="s">
        <v>88</v>
      </c>
      <c r="T147" s="48" t="s">
        <v>89</v>
      </c>
      <c r="U147" s="48" t="s">
        <v>79</v>
      </c>
      <c r="V147" s="48" t="s">
        <v>80</v>
      </c>
      <c r="W147" s="48" t="s">
        <v>141</v>
      </c>
      <c r="X147" s="48" t="s">
        <v>80</v>
      </c>
      <c r="Y147" s="48" t="s">
        <v>74</v>
      </c>
      <c r="Z147" s="48" t="s">
        <v>81</v>
      </c>
      <c r="AA147" s="48" t="s">
        <v>80</v>
      </c>
      <c r="AB147" s="48" t="s">
        <v>80</v>
      </c>
      <c r="AC147" s="48" t="s">
        <v>80</v>
      </c>
      <c r="AD147" s="48" t="s">
        <v>80</v>
      </c>
      <c r="AE147" s="48" t="s">
        <v>80</v>
      </c>
      <c r="AF147" s="48" t="s">
        <v>83</v>
      </c>
      <c r="AG147" s="48" t="s">
        <v>84</v>
      </c>
      <c r="AH147" s="48" t="s">
        <v>80</v>
      </c>
      <c r="AI147" s="48" t="s">
        <v>80</v>
      </c>
      <c r="AJ147" s="48" t="s">
        <v>80</v>
      </c>
      <c r="AK147" s="48" t="s">
        <v>80</v>
      </c>
      <c r="AL147" s="48" t="s">
        <v>80</v>
      </c>
      <c r="AM147" t="str">
        <f>VLOOKUP($R147,武学奇术!$A:$ZZ,25,FALSE)</f>
        <v>横刀</v>
      </c>
      <c r="AN147" s="33">
        <f>VLOOKUP($R147,武学奇术!$A:$ZZ,26,FALSE)</f>
        <v>2.1324</v>
      </c>
      <c r="AO147" s="34">
        <f>VLOOKUP($R147,武学奇术!$A:$ZZ,27,FALSE)*(1+IF(OR($AM147=$F$4,$AM147=$F$5),$B$22,0))</f>
        <v>944</v>
      </c>
      <c r="AP147" s="33">
        <f>VLOOKUP($R147,武学奇术!$A:$ZZ,28,FALSE)</f>
        <v>3.1986</v>
      </c>
      <c r="AQ147" s="34">
        <f>VLOOKUP($R147,武学奇术!$A:$ZZ,29,FALSE)*(1+IF(OR($AM147=$F$4,$AM147=$F$5),$B$22,0))</f>
        <v>515.2</v>
      </c>
      <c r="AR147" s="33" cm="1">
        <f t="array" ref="AR147">$G$3+IFERROR(VLOOKUP($AM147,$F$4:$G$7,2,FALSE),0)+VLOOKUP($R147,武学奇术!$A:$ZZ,2,FALSE)+SUM(_xlfn.XLOOKUP($S147:$AL147,增益!$A:$A,增益!$B:$B,0))</f>
        <v>0.4489</v>
      </c>
      <c r="AS147" s="33" cm="1">
        <f t="array" ref="AS147">VLOOKUP($R147,武学奇术!$A:$ZZ,5,FALSE)+SUM(_xlfn.XLOOKUP($S147:$AL147,增益!$A:$A,增益!$E:$E,0))</f>
        <v>0</v>
      </c>
      <c r="AT147" cm="1">
        <f t="array" ref="AT147">$D$10*(1+$AS147)+VLOOKUP($R147,武学奇术!$A:$ZZ,3,FALSE)+SUM(_xlfn.XLOOKUP($S147:$AL147,增益!$A:$A,增益!$C:$C,0))-$I$2</f>
        <v>4026</v>
      </c>
      <c r="AU147" cm="1">
        <f t="array" ref="AU147">$E$10*(1+$AS147)+VLOOKUP($R147,武学奇术!$A:$ZZ,4,FALSE)+SUM(_xlfn.XLOOKUP($S147:$AL147,增益!$A:$A,增益!$D:$D,0))-$I$2</f>
        <v>4026</v>
      </c>
      <c r="AV147" s="40" cm="1">
        <f t="array" ref="AV147">IF($F$10-$I$3+VLOOKUP($R147,武学奇术!$A:$ZZ,6,FALSE)+SUM(_xlfn.XLOOKUP($S147:$AL147,增益!$A:$A,增益!$F:$F,0))&gt;0,($F$10-$I$3+VLOOKUP($R147,武学奇术!$A:$ZZ,6,FALSE)+SUM(_xlfn.XLOOKUP($S147:$AL147,增益!$A:$A,增益!$F:$F,0)))/200,($F$10-$I$3+VLOOKUP($R147,武学奇术!$A:$ZZ,6,FALSE)+SUM(_xlfn.XLOOKUP($S147:$AL147,增益!$A:$A,增益!$F:$F,0)))/100)</f>
        <v>0.3334</v>
      </c>
      <c r="AW147" s="40" cm="1">
        <f t="array" ref="AW147">$G$10+VLOOKUP($R147,武学奇术!$A:$ZZ,7,FALSE)+SUM(_xlfn.XLOOKUP($S147:$AL147,增益!$A:$A,增益!$G:$G,0))</f>
        <v>0.12</v>
      </c>
      <c r="AX147" s="33" cm="1">
        <f t="array" ref="AX147">VLOOKUP($R147,武学奇术!$A:$ZZ,8,FALSE)+SUM(_xlfn.XLOOKUP($S147:$AL147,增益!$A:$A,增益!$H:$H,0))</f>
        <v>0</v>
      </c>
      <c r="AY147">
        <f t="shared" si="34"/>
        <v>0</v>
      </c>
      <c r="AZ147">
        <f t="shared" si="35"/>
        <v>0</v>
      </c>
      <c r="BA147" s="40" cm="1">
        <f t="array" ref="BA147">IF($F$11-$I$4+VLOOKUP($R147,武学奇术!$A:$ZZ,9,FALSE)+SUM(_xlfn.XLOOKUP($S147:$AL147,增益!$A:$A,增益!$I:$I,0))&gt;0,($F$11-$I$4+VLOOKUP($R147,武学奇术!$A:$ZZ,9,FALSE)+SUM(_xlfn.XLOOKUP($S147:$AL147,增益!$A:$A,增益!$I:$I,0)))/200,($F$11-$I$4+VLOOKUP($R147,武学奇术!$A:$ZZ,9,FALSE)+SUM(_xlfn.XLOOKUP($S147:$AL147,增益!$A:$A,增益!$I:$I,0)))/100)</f>
        <v>-0.3</v>
      </c>
      <c r="BB147" s="40" cm="1">
        <f t="array" ref="BB147">$G$11+VLOOKUP($R147,武学奇术!$A:$ZZ,10,FALSE)+SUM(_xlfn.XLOOKUP($S147:$AL147,增益!$A:$A,增益!$J:$J,0))</f>
        <v>0</v>
      </c>
      <c r="BC147">
        <f t="shared" si="36"/>
        <v>640.3</v>
      </c>
      <c r="BD147">
        <f t="shared" si="37"/>
        <v>1770.1</v>
      </c>
      <c r="BE147" s="40" cm="1">
        <f t="array" ref="BE147">IF($F$12-$I$4+VLOOKUP($R147,武学奇术!$A:$ZZ,11,FALSE)+SUM(_xlfn.XLOOKUP($S147:$AL147,增益!$A:$A,增益!$K:$K,0))&gt;0,($F$12-$I$4+VLOOKUP($R147,武学奇术!$A:$ZZ,11,FALSE)+SUM(_xlfn.XLOOKUP($S147:$AL147,增益!$A:$A,增益!$K:$K,0)))/200,($F$12-$I$4+VLOOKUP($R147,武学奇术!$A:$ZZ,11,FALSE)+SUM(_xlfn.XLOOKUP($S147:$AL147,增益!$A:$A,增益!$K:$K,0)))/100)</f>
        <v>0.09</v>
      </c>
      <c r="BF147" s="40" cm="1">
        <f t="array" ref="BF147">$G$12+VLOOKUP($R147,武学奇术!$A:$ZZ,12,FALSE)+SUM(_xlfn.XLOOKUP($S147:$AL147,增益!$A:$A,增益!$L:$L,0))</f>
        <v>0.27</v>
      </c>
      <c r="BG147">
        <f t="shared" si="38"/>
        <v>0</v>
      </c>
      <c r="BH147">
        <f t="shared" si="39"/>
        <v>0</v>
      </c>
      <c r="BI147" s="40" cm="1">
        <f t="array" ref="BI147">IF($F$13-$I$4+VLOOKUP($R147,武学奇术!$A:$ZZ,13,FALSE)+SUM(_xlfn.XLOOKUP($S147:$AL147,增益!$A:$A,增益!$M:$M,0))&gt;0,($F$13-$I$4+VLOOKUP($R147,武学奇术!$A:$ZZ,13,FALSE)+SUM(_xlfn.XLOOKUP($S147:$AL147,增益!$A:$A,增益!$K:$K,0)))/200,($F$13-$I$4+VLOOKUP($R147,武学奇术!$A:$ZZ,13,FALSE)+SUM(_xlfn.XLOOKUP($S147:$AL147,增益!$A:$A,增益!$M:$M,0)))/100)</f>
        <v>-0.3</v>
      </c>
      <c r="BJ147" s="40" cm="1">
        <f t="array" ref="BJ147">$G$13+VLOOKUP($R147,武学奇术!$A:$ZZ,14,FALSE)+SUM(_xlfn.XLOOKUP($S147:$AL147,增益!$A:$A,增益!$N:$N,0))</f>
        <v>0</v>
      </c>
      <c r="BK147">
        <f t="shared" si="40"/>
        <v>0</v>
      </c>
      <c r="BL147">
        <f t="shared" si="41"/>
        <v>0</v>
      </c>
      <c r="BM147" s="40" cm="1">
        <f t="array" ref="BM147">IF($F$14-$I$4+VLOOKUP($R147,武学奇术!$A:$ZZ,15,FALSE)+SUM(_xlfn.XLOOKUP($S147:$AL147,增益!$A:$A,增益!$O:$O,0))&gt;0,($F$14-$I$4+VLOOKUP($R147,武学奇术!$A:$ZZ,15,FALSE)+SUM(_xlfn.XLOOKUP($S147:$AL147,增益!$A:$A,增益!$O:$O,0)))/200,($F$14-$I$4+VLOOKUP($R147,武学奇术!$A:$ZZ,15,FALSE)+SUM(_xlfn.XLOOKUP($S147:$AL147,增益!$A:$A,增益!$O:$O,0)))/100)</f>
        <v>-0.3</v>
      </c>
      <c r="BN147" s="40" cm="1">
        <f t="array" ref="BN147">$G$14+VLOOKUP($R147,武学奇术!$A:$ZZ,16,FALSE)+SUM(_xlfn.XLOOKUP($S147:$AL147,增益!$A:$A,增益!$P:$P,0))</f>
        <v>0</v>
      </c>
      <c r="BO147" s="33">
        <f>MIN(IF(VLOOKUP($R147,武学奇术!$A:$ZZ,23,FALSE)=1,100%,$B$8),100%)</f>
        <v>0.9771</v>
      </c>
      <c r="BP147" s="33" cm="1">
        <f t="array" ref="BP147">IF(VLOOKUP($R147,武学奇术!$A:$ZZ,23,FALSE)=1,100%,MIN(80%,$B$9+VLOOKUP($R147,武学奇术!$A:$ZZ,17,FALSE)+SUM(_xlfn.XLOOKUP($S147:$AL147,增益!$A:$A,增益!$Q:$Q,0)))+$B$11+SUM(_xlfn.XLOOKUP($S147:$AL147,增益!$A:$A,增益!$U:$U,0)))*IF(VLOOKUP($R147,武学奇术!$A:$ZZ,24,FALSE)=1,0,1)</f>
        <v>0.8861</v>
      </c>
      <c r="BQ147" s="33" cm="1">
        <f t="array" ref="BQ147">1+$B$13+VLOOKUP($R147,武学奇术!$A:$ZZ,18,FALSE)+SUM(_xlfn.XLOOKUP($S147:$AL147,增益!$A:$A,增益!$R:$R,0))</f>
        <v>1.92</v>
      </c>
      <c r="BR147" s="33" cm="1">
        <f t="array" ref="BR147">IF(VLOOKUP($R147,武学奇术!$A:$ZZ,24,FALSE)=1,100%,MIN(40%,$B$10+VLOOKUP($R147,武学奇术!$A:$ZZ,19,FALSE)+SUM(_xlfn.XLOOKUP($S147:$AL147,增益!$A:$A,增益!$S:$S,0)))+$B$12+SUM(_xlfn.XLOOKUP($S147:$AL147,增益!$A:$A,增益!$V:$V,0)))*IF(VLOOKUP($R147,武学奇术!$A:$ZZ,23,FALSE)=1,0,1)</f>
        <v>0.0913</v>
      </c>
      <c r="BS147" s="33" cm="1">
        <f t="array" ref="BS147">1+$B$14+VLOOKUP($R147,武学奇术!$A:$ZZ,20,FALSE)+SUM(_xlfn.XLOOKUP($S147:$AL147,增益!$A:$A,增益!$T:$T,0))</f>
        <v>1.35</v>
      </c>
      <c r="BT147" s="33">
        <f t="shared" si="42"/>
        <v>0.86580831</v>
      </c>
      <c r="BU147" s="33">
        <f t="shared" si="43"/>
        <v>0.02208246</v>
      </c>
      <c r="BV147" s="33">
        <f>IF(VLOOKUP($R147,武学奇术!$A:$ZZ,22,FALSE)=1,0,(1-$BO147))*(1-$BR147)</f>
        <v>0.02080923</v>
      </c>
      <c r="BW147" s="33" cm="1">
        <f t="array" ref="BW147">SUM(_xlfn.XLOOKUP($S147:$AL147,增益!$A:$A,增益!$W:$W,0))+$I$5</f>
        <v>0.11</v>
      </c>
      <c r="BX147" s="33" cm="1">
        <f t="array" ref="BX147">VLOOKUP($R147,武学奇术!$A:$ZZ,32,FALSE)+SUM(_xlfn.XLOOKUP($S147:$AL147,增益!$A:$A,增益!$X:$X,0))</f>
        <v>0</v>
      </c>
    </row>
    <row r="148" spans="12:76">
      <c r="L148" s="46">
        <f t="shared" si="33"/>
        <v>0</v>
      </c>
      <c r="M148" s="46">
        <f>((($AT148+$AU148)/2*$AN148+$AO148)*(1+$AV148)*(1+$AW148)+(($AY148+$AZ148)/2*IF($G$1="鸣金",$AP148,$AN148)+IF($G$1="鸣金",$AQ148*1.5,0))*(1+$BA148)*(1+$BB148)+(($BC148+$BD148)/2*IF($G$1="裂石",$AP148,$AN148)+IF($G$1="裂石",$AQ148*1.5,0))*(1+$BE148)*(1+$BF148)+(($BG148+$BH148)/2*IF($G$1="牵丝",$AP148,$AN148)+IF($G$1="牵丝",$AQ148*1.5,0))*(1+$BI148)*(1+$BJ148)+(($BK148+$BL148)/2*IF($G$1="破竹",$AP148,$AN148)+IF($G$1="破竹",$AQ148*1.5,0))*(1+$BM148)*(1+$BN148))*(1+$AR148)*$BQ148*$Q148*(1+IF(VLOOKUP($R148,武学奇术!$A:$ZZ,30,FALSE)="蓄力技",$B$21,0))*(1+IF(VLOOKUP($R148,武学奇术!$A:$ZZ,30,FALSE)="派生技",$B$20,0))*(1+$BW148)*(1+$BX148)</f>
        <v>0</v>
      </c>
      <c r="N148" s="46">
        <f>(($AU148*$AN148+$AO148)*(1+$AV148)*(1+$AW148)+($AZ148*IF($G$1="鸣金",$AP148,$AN148)+IF($G$1="鸣金",$AQ148*1.5,0))*(1+$BA148)*(1+$BB148)+($BD148*IF($G$1="裂石",$AP148,$AN148)+IF($G$1="裂石",$AQ148*1.5,0))*(1+$BE148)*(1+$BF148)+($BH148*IF($G$1="牵丝",$AP148,$AN148)+IF($G$1="牵丝",$AQ148*1.5,0))*(1+$BI148)*(1+$BJ148)+($BL148*IF($G$1="破竹",$AP148,$AN148)+IF($G$1="破竹",$AQ148*1.5,0))*(1+$BM148)*(1+$BN148))*(1+$AR148)*$BS148*$Q148*(1+IF(VLOOKUP($R148,武学奇术!$A:$ZZ,30,FALSE)="蓄力技",$B$21,0))*(1+IF(VLOOKUP($R148,武学奇术!$A:$ZZ,30,FALSE)="派生技",$B$20,0))*(1+$BW148)*(1+$BX148)</f>
        <v>0</v>
      </c>
      <c r="O148" s="46">
        <f>((($AT148+$AU148)/2*$AN148+$AO148)*(1+$AV148)*(1+$AW148)+(($AY148+$AZ148)/2*IF($G$1="鸣金",$AP148,$AN148)+IF($G$1="鸣金",$AQ148*1.5,0))*(1+$BA148)*(1+$BB148)+(($BC148+$BD148)/2*IF($G$1="裂石",$AP148,$AN148)+IF($G$1="裂石",$AQ148*1.5,0))*(1+$BE148)*(1+$BF148)+(($BG148+$BH148)/2*IF($G$1="牵丝",$AP148,$AN148)+IF($G$1="牵丝",$AQ148*1.5,0))*(1+$BI148)*(1+$BJ148)+(($BK148+$BL148)/2*IF($G$1="破竹",$AP148,$AN148)+IF($G$1="破竹",$AQ148*1.5,0))*(1+$BM148)*(1+$BN148))*(1+$AR148)*$Q148*(1+IF(VLOOKUP($R148,武学奇术!$A:$ZZ,30,FALSE)="蓄力技",$B$21,0))*(1+IF(VLOOKUP($R148,武学奇术!$A:$ZZ,30,FALSE)="派生技",$B$20,0))*(1+$BW148)*(1+$BX148)</f>
        <v>0</v>
      </c>
      <c r="P148" s="46">
        <f>((($AT148*$AN148+$AO148)*(1+$AV148)*(1+$AW148)+($AY148*IF($G$1="鸣金",$AP148,$AN148)+IF($G$1="鸣金",$AQ148*1.5,0))*(1+$BA148)*(1+$BB148)+($BC148*IF($G$1="裂石",$AP148,$AN148)+IF($G$1="裂石",$AQ148*1.5,0))*(1+$BE148)*(1+$BF148)+($BG148*IF($G$1="牵丝",$AP148,$AN148)+IF($G$1="牵丝",$AQ148*1.5,0))*(1+$BI148)*(1+$BJ148)+($BK148*IF($G$1="破竹",$AP148,$AN148)+IF($G$1="破竹",$AQ148*1.5,0))*(1+$BM148)*(1+$BN148))*(1+$AR148))*$Q148*(1+IF(VLOOKUP($R148,武学奇术!$A:$ZZ,30,FALSE)="蓄力技",$B$21,0))*(1+IF(VLOOKUP($R148,武学奇术!$A:$ZZ,30,FALSE)="派生技",$B$20,0))*(1+$BW148)*(1+$BX148)</f>
        <v>0</v>
      </c>
      <c r="Q148" s="47">
        <f t="shared" si="45"/>
        <v>0</v>
      </c>
      <c r="R148" s="48" t="s">
        <v>122</v>
      </c>
      <c r="S148" s="48" t="s">
        <v>88</v>
      </c>
      <c r="T148" s="48" t="s">
        <v>89</v>
      </c>
      <c r="U148" s="48" t="s">
        <v>79</v>
      </c>
      <c r="V148" s="48" t="s">
        <v>90</v>
      </c>
      <c r="W148" s="48" t="s">
        <v>141</v>
      </c>
      <c r="X148" s="48" t="s">
        <v>80</v>
      </c>
      <c r="Y148" s="48" t="s">
        <v>74</v>
      </c>
      <c r="Z148" s="48" t="s">
        <v>81</v>
      </c>
      <c r="AA148" s="48" t="s">
        <v>80</v>
      </c>
      <c r="AB148" s="48" t="s">
        <v>80</v>
      </c>
      <c r="AC148" s="48" t="s">
        <v>80</v>
      </c>
      <c r="AD148" s="48" t="s">
        <v>80</v>
      </c>
      <c r="AE148" s="48" t="s">
        <v>80</v>
      </c>
      <c r="AF148" s="48" t="s">
        <v>83</v>
      </c>
      <c r="AG148" s="48" t="s">
        <v>84</v>
      </c>
      <c r="AH148" s="48" t="s">
        <v>80</v>
      </c>
      <c r="AI148" s="48" t="s">
        <v>80</v>
      </c>
      <c r="AJ148" s="48" t="s">
        <v>80</v>
      </c>
      <c r="AK148" s="48" t="s">
        <v>80</v>
      </c>
      <c r="AL148" s="48" t="s">
        <v>80</v>
      </c>
      <c r="AM148" t="str">
        <f>VLOOKUP($R148,武学奇术!$A:$ZZ,25,FALSE)</f>
        <v>横刀</v>
      </c>
      <c r="AN148" s="33">
        <f>VLOOKUP($R148,武学奇术!$A:$ZZ,26,FALSE)</f>
        <v>1.47</v>
      </c>
      <c r="AO148" s="34">
        <f>VLOOKUP($R148,武学奇术!$A:$ZZ,27,FALSE)*(1+IF(OR($AM148=$F$4,$AM148=$F$5),$B$22,0))</f>
        <v>0</v>
      </c>
      <c r="AP148" s="33">
        <f>VLOOKUP($R148,武学奇术!$A:$ZZ,28,FALSE)</f>
        <v>2.205</v>
      </c>
      <c r="AQ148" s="34">
        <f>VLOOKUP($R148,武学奇术!$A:$ZZ,29,FALSE)*(1+IF(OR($AM148=$F$4,$AM148=$F$5),$B$22,0))</f>
        <v>0</v>
      </c>
      <c r="AR148" s="33" cm="1">
        <f t="array" ref="AR148">$G$3+IFERROR(VLOOKUP($AM148,$F$4:$G$7,2,FALSE),0)+VLOOKUP($R148,武学奇术!$A:$ZZ,2,FALSE)+SUM(_xlfn.XLOOKUP($S148:$AL148,增益!$A:$A,增益!$B:$B,0))</f>
        <v>0.5289</v>
      </c>
      <c r="AS148" s="33" cm="1">
        <f t="array" ref="AS148">VLOOKUP($R148,武学奇术!$A:$ZZ,5,FALSE)+SUM(_xlfn.XLOOKUP($S148:$AL148,增益!$A:$A,增益!$E:$E,0))</f>
        <v>0</v>
      </c>
      <c r="AT148" cm="1">
        <f t="array" ref="AT148">$D$10*(1+$AS148)+VLOOKUP($R148,武学奇术!$A:$ZZ,3,FALSE)+SUM(_xlfn.XLOOKUP($S148:$AL148,增益!$A:$A,增益!$C:$C,0))-$I$2</f>
        <v>4026</v>
      </c>
      <c r="AU148" cm="1">
        <f t="array" ref="AU148">$E$10*(1+$AS148)+VLOOKUP($R148,武学奇术!$A:$ZZ,4,FALSE)+SUM(_xlfn.XLOOKUP($S148:$AL148,增益!$A:$A,增益!$D:$D,0))-$I$2</f>
        <v>4026</v>
      </c>
      <c r="AV148" s="40" cm="1">
        <f t="array" ref="AV148">IF($F$10-$I$3+VLOOKUP($R148,武学奇术!$A:$ZZ,6,FALSE)+SUM(_xlfn.XLOOKUP($S148:$AL148,增益!$A:$A,增益!$F:$F,0))&gt;0,($F$10-$I$3+VLOOKUP($R148,武学奇术!$A:$ZZ,6,FALSE)+SUM(_xlfn.XLOOKUP($S148:$AL148,增益!$A:$A,增益!$F:$F,0)))/200,($F$10-$I$3+VLOOKUP($R148,武学奇术!$A:$ZZ,6,FALSE)+SUM(_xlfn.XLOOKUP($S148:$AL148,增益!$A:$A,增益!$F:$F,0)))/100)</f>
        <v>0.3334</v>
      </c>
      <c r="AW148" s="40" cm="1">
        <f t="array" ref="AW148">$G$10+VLOOKUP($R148,武学奇术!$A:$ZZ,7,FALSE)+SUM(_xlfn.XLOOKUP($S148:$AL148,增益!$A:$A,增益!$G:$G,0))</f>
        <v>0.12</v>
      </c>
      <c r="AX148" s="33" cm="1">
        <f t="array" ref="AX148">VLOOKUP($R148,武学奇术!$A:$ZZ,8,FALSE)+SUM(_xlfn.XLOOKUP($S148:$AL148,增益!$A:$A,增益!$H:$H,0))</f>
        <v>0</v>
      </c>
      <c r="AY148">
        <f t="shared" si="34"/>
        <v>0</v>
      </c>
      <c r="AZ148">
        <f t="shared" si="35"/>
        <v>0</v>
      </c>
      <c r="BA148" s="40" cm="1">
        <f t="array" ref="BA148">IF($F$11-$I$4+VLOOKUP($R148,武学奇术!$A:$ZZ,9,FALSE)+SUM(_xlfn.XLOOKUP($S148:$AL148,增益!$A:$A,增益!$I:$I,0))&gt;0,($F$11-$I$4+VLOOKUP($R148,武学奇术!$A:$ZZ,9,FALSE)+SUM(_xlfn.XLOOKUP($S148:$AL148,增益!$A:$A,增益!$I:$I,0)))/200,($F$11-$I$4+VLOOKUP($R148,武学奇术!$A:$ZZ,9,FALSE)+SUM(_xlfn.XLOOKUP($S148:$AL148,增益!$A:$A,增益!$I:$I,0)))/100)</f>
        <v>-0.14</v>
      </c>
      <c r="BB148" s="40" cm="1">
        <f t="array" ref="BB148">$G$11+VLOOKUP($R148,武学奇术!$A:$ZZ,10,FALSE)+SUM(_xlfn.XLOOKUP($S148:$AL148,增益!$A:$A,增益!$J:$J,0))</f>
        <v>0</v>
      </c>
      <c r="BC148">
        <f t="shared" si="36"/>
        <v>640.3</v>
      </c>
      <c r="BD148">
        <f t="shared" si="37"/>
        <v>1770.1</v>
      </c>
      <c r="BE148" s="40" cm="1">
        <f t="array" ref="BE148">IF($F$12-$I$4+VLOOKUP($R148,武学奇术!$A:$ZZ,11,FALSE)+SUM(_xlfn.XLOOKUP($S148:$AL148,增益!$A:$A,增益!$K:$K,0))&gt;0,($F$12-$I$4+VLOOKUP($R148,武学奇术!$A:$ZZ,11,FALSE)+SUM(_xlfn.XLOOKUP($S148:$AL148,增益!$A:$A,增益!$K:$K,0)))/200,($F$12-$I$4+VLOOKUP($R148,武学奇术!$A:$ZZ,11,FALSE)+SUM(_xlfn.XLOOKUP($S148:$AL148,增益!$A:$A,增益!$K:$K,0)))/100)</f>
        <v>0.17</v>
      </c>
      <c r="BF148" s="40" cm="1">
        <f t="array" ref="BF148">$G$12+VLOOKUP($R148,武学奇术!$A:$ZZ,12,FALSE)+SUM(_xlfn.XLOOKUP($S148:$AL148,增益!$A:$A,增益!$L:$L,0))</f>
        <v>0.27</v>
      </c>
      <c r="BG148">
        <f t="shared" si="38"/>
        <v>0</v>
      </c>
      <c r="BH148">
        <f t="shared" si="39"/>
        <v>0</v>
      </c>
      <c r="BI148" s="40" cm="1">
        <f t="array" ref="BI148">IF($F$13-$I$4+VLOOKUP($R148,武学奇术!$A:$ZZ,13,FALSE)+SUM(_xlfn.XLOOKUP($S148:$AL148,增益!$A:$A,增益!$M:$M,0))&gt;0,($F$13-$I$4+VLOOKUP($R148,武学奇术!$A:$ZZ,13,FALSE)+SUM(_xlfn.XLOOKUP($S148:$AL148,增益!$A:$A,增益!$K:$K,0)))/200,($F$13-$I$4+VLOOKUP($R148,武学奇术!$A:$ZZ,13,FALSE)+SUM(_xlfn.XLOOKUP($S148:$AL148,增益!$A:$A,增益!$M:$M,0)))/100)</f>
        <v>-0.14</v>
      </c>
      <c r="BJ148" s="40" cm="1">
        <f t="array" ref="BJ148">$G$13+VLOOKUP($R148,武学奇术!$A:$ZZ,14,FALSE)+SUM(_xlfn.XLOOKUP($S148:$AL148,增益!$A:$A,增益!$N:$N,0))</f>
        <v>0</v>
      </c>
      <c r="BK148">
        <f t="shared" si="40"/>
        <v>0</v>
      </c>
      <c r="BL148">
        <f t="shared" si="41"/>
        <v>0</v>
      </c>
      <c r="BM148" s="40" cm="1">
        <f t="array" ref="BM148">IF($F$14-$I$4+VLOOKUP($R148,武学奇术!$A:$ZZ,15,FALSE)+SUM(_xlfn.XLOOKUP($S148:$AL148,增益!$A:$A,增益!$O:$O,0))&gt;0,($F$14-$I$4+VLOOKUP($R148,武学奇术!$A:$ZZ,15,FALSE)+SUM(_xlfn.XLOOKUP($S148:$AL148,增益!$A:$A,增益!$O:$O,0)))/200,($F$14-$I$4+VLOOKUP($R148,武学奇术!$A:$ZZ,15,FALSE)+SUM(_xlfn.XLOOKUP($S148:$AL148,增益!$A:$A,增益!$O:$O,0)))/100)</f>
        <v>-0.14</v>
      </c>
      <c r="BN148" s="40" cm="1">
        <f t="array" ref="BN148">$G$14+VLOOKUP($R148,武学奇术!$A:$ZZ,16,FALSE)+SUM(_xlfn.XLOOKUP($S148:$AL148,增益!$A:$A,增益!$P:$P,0))</f>
        <v>0</v>
      </c>
      <c r="BO148" s="33">
        <f>MIN(IF(VLOOKUP($R148,武学奇术!$A:$ZZ,23,FALSE)=1,100%,$B$8),100%)</f>
        <v>0.9771</v>
      </c>
      <c r="BP148" s="33" cm="1">
        <f t="array" ref="BP148">IF(VLOOKUP($R148,武学奇术!$A:$ZZ,23,FALSE)=1,100%,MIN(80%,$B$9+VLOOKUP($R148,武学奇术!$A:$ZZ,17,FALSE)+SUM(_xlfn.XLOOKUP($S148:$AL148,增益!$A:$A,增益!$Q:$Q,0)))+$B$11+SUM(_xlfn.XLOOKUP($S148:$AL148,增益!$A:$A,增益!$U:$U,0)))*IF(VLOOKUP($R148,武学奇术!$A:$ZZ,24,FALSE)=1,0,1)</f>
        <v>0.8861</v>
      </c>
      <c r="BQ148" s="33" cm="1">
        <f t="array" ref="BQ148">1+$B$13+VLOOKUP($R148,武学奇术!$A:$ZZ,18,FALSE)+SUM(_xlfn.XLOOKUP($S148:$AL148,增益!$A:$A,增益!$R:$R,0))</f>
        <v>1.92</v>
      </c>
      <c r="BR148" s="33" cm="1">
        <f t="array" ref="BR148">IF(VLOOKUP($R148,武学奇术!$A:$ZZ,24,FALSE)=1,100%,MIN(40%,$B$10+VLOOKUP($R148,武学奇术!$A:$ZZ,19,FALSE)+SUM(_xlfn.XLOOKUP($S148:$AL148,增益!$A:$A,增益!$S:$S,0)))+$B$12+SUM(_xlfn.XLOOKUP($S148:$AL148,增益!$A:$A,增益!$V:$V,0)))*IF(VLOOKUP($R148,武学奇术!$A:$ZZ,23,FALSE)=1,0,1)</f>
        <v>0.0913</v>
      </c>
      <c r="BS148" s="33" cm="1">
        <f t="array" ref="BS148">1+$B$14+VLOOKUP($R148,武学奇术!$A:$ZZ,20,FALSE)+SUM(_xlfn.XLOOKUP($S148:$AL148,增益!$A:$A,增益!$T:$T,0))</f>
        <v>1.35</v>
      </c>
      <c r="BT148" s="33">
        <f t="shared" si="42"/>
        <v>0.86580831</v>
      </c>
      <c r="BU148" s="33">
        <f t="shared" si="43"/>
        <v>0.02208246</v>
      </c>
      <c r="BV148" s="33">
        <f>IF(VLOOKUP($R148,武学奇术!$A:$ZZ,22,FALSE)=1,0,(1-$BO148))*(1-$BR148)</f>
        <v>0.02080923</v>
      </c>
      <c r="BW148" s="33" cm="1">
        <f t="array" ref="BW148">SUM(_xlfn.XLOOKUP($S148:$AL148,增益!$A:$A,增益!$W:$W,0))+$I$5</f>
        <v>0.11</v>
      </c>
      <c r="BX148" s="33" cm="1">
        <f t="array" ref="BX148">VLOOKUP($R148,武学奇术!$A:$ZZ,32,FALSE)+SUM(_xlfn.XLOOKUP($S148:$AL148,增益!$A:$A,增益!$X:$X,0))</f>
        <v>0</v>
      </c>
    </row>
    <row r="149" spans="12:76">
      <c r="L149" s="46">
        <f t="shared" si="33"/>
        <v>0</v>
      </c>
      <c r="M149" s="46">
        <f>((($AT149+$AU149)/2*$AN149+$AO149)*(1+$AV149)*(1+$AW149)+(($AY149+$AZ149)/2*IF($G$1="鸣金",$AP149,$AN149)+IF($G$1="鸣金",$AQ149*1.5,0))*(1+$BA149)*(1+$BB149)+(($BC149+$BD149)/2*IF($G$1="裂石",$AP149,$AN149)+IF($G$1="裂石",$AQ149*1.5,0))*(1+$BE149)*(1+$BF149)+(($BG149+$BH149)/2*IF($G$1="牵丝",$AP149,$AN149)+IF($G$1="牵丝",$AQ149*1.5,0))*(1+$BI149)*(1+$BJ149)+(($BK149+$BL149)/2*IF($G$1="破竹",$AP149,$AN149)+IF($G$1="破竹",$AQ149*1.5,0))*(1+$BM149)*(1+$BN149))*(1+$AR149)*$BQ149*$Q149*(1+IF(VLOOKUP($R149,武学奇术!$A:$ZZ,30,FALSE)="蓄力技",$B$21,0))*(1+IF(VLOOKUP($R149,武学奇术!$A:$ZZ,30,FALSE)="派生技",$B$20,0))*(1+$BW149)*(1+$BX149)</f>
        <v>0</v>
      </c>
      <c r="N149" s="46">
        <f>(($AU149*$AN149+$AO149)*(1+$AV149)*(1+$AW149)+($AZ149*IF($G$1="鸣金",$AP149,$AN149)+IF($G$1="鸣金",$AQ149*1.5,0))*(1+$BA149)*(1+$BB149)+($BD149*IF($G$1="裂石",$AP149,$AN149)+IF($G$1="裂石",$AQ149*1.5,0))*(1+$BE149)*(1+$BF149)+($BH149*IF($G$1="牵丝",$AP149,$AN149)+IF($G$1="牵丝",$AQ149*1.5,0))*(1+$BI149)*(1+$BJ149)+($BL149*IF($G$1="破竹",$AP149,$AN149)+IF($G$1="破竹",$AQ149*1.5,0))*(1+$BM149)*(1+$BN149))*(1+$AR149)*$BS149*$Q149*(1+IF(VLOOKUP($R149,武学奇术!$A:$ZZ,30,FALSE)="蓄力技",$B$21,0))*(1+IF(VLOOKUP($R149,武学奇术!$A:$ZZ,30,FALSE)="派生技",$B$20,0))*(1+$BW149)*(1+$BX149)</f>
        <v>0</v>
      </c>
      <c r="O149" s="46">
        <f>((($AT149+$AU149)/2*$AN149+$AO149)*(1+$AV149)*(1+$AW149)+(($AY149+$AZ149)/2*IF($G$1="鸣金",$AP149,$AN149)+IF($G$1="鸣金",$AQ149*1.5,0))*(1+$BA149)*(1+$BB149)+(($BC149+$BD149)/2*IF($G$1="裂石",$AP149,$AN149)+IF($G$1="裂石",$AQ149*1.5,0))*(1+$BE149)*(1+$BF149)+(($BG149+$BH149)/2*IF($G$1="牵丝",$AP149,$AN149)+IF($G$1="牵丝",$AQ149*1.5,0))*(1+$BI149)*(1+$BJ149)+(($BK149+$BL149)/2*IF($G$1="破竹",$AP149,$AN149)+IF($G$1="破竹",$AQ149*1.5,0))*(1+$BM149)*(1+$BN149))*(1+$AR149)*$Q149*(1+IF(VLOOKUP($R149,武学奇术!$A:$ZZ,30,FALSE)="蓄力技",$B$21,0))*(1+IF(VLOOKUP($R149,武学奇术!$A:$ZZ,30,FALSE)="派生技",$B$20,0))*(1+$BW149)*(1+$BX149)</f>
        <v>0</v>
      </c>
      <c r="P149" s="46">
        <f>((($AT149*$AN149+$AO149)*(1+$AV149)*(1+$AW149)+($AY149*IF($G$1="鸣金",$AP149,$AN149)+IF($G$1="鸣金",$AQ149*1.5,0))*(1+$BA149)*(1+$BB149)+($BC149*IF($G$1="裂石",$AP149,$AN149)+IF($G$1="裂石",$AQ149*1.5,0))*(1+$BE149)*(1+$BF149)+($BG149*IF($G$1="牵丝",$AP149,$AN149)+IF($G$1="牵丝",$AQ149*1.5,0))*(1+$BI149)*(1+$BJ149)+($BK149*IF($G$1="破竹",$AP149,$AN149)+IF($G$1="破竹",$AQ149*1.5,0))*(1+$BM149)*(1+$BN149))*(1+$AR149))*$Q149*(1+IF(VLOOKUP($R149,武学奇术!$A:$ZZ,30,FALSE)="蓄力技",$B$21,0))*(1+IF(VLOOKUP($R149,武学奇术!$A:$ZZ,30,FALSE)="派生技",$B$20,0))*(1+$BW149)*(1+$BX149)</f>
        <v>0</v>
      </c>
      <c r="Q149" s="47">
        <f t="shared" si="45"/>
        <v>0</v>
      </c>
      <c r="R149" s="48" t="s">
        <v>195</v>
      </c>
      <c r="S149" s="48" t="s">
        <v>94</v>
      </c>
      <c r="T149" s="48" t="s">
        <v>95</v>
      </c>
      <c r="U149" s="48" t="s">
        <v>79</v>
      </c>
      <c r="V149" s="48" t="s">
        <v>90</v>
      </c>
      <c r="W149" s="48" t="s">
        <v>141</v>
      </c>
      <c r="X149" s="48" t="s">
        <v>80</v>
      </c>
      <c r="Y149" s="48" t="s">
        <v>74</v>
      </c>
      <c r="Z149" s="48" t="s">
        <v>81</v>
      </c>
      <c r="AA149" s="48" t="s">
        <v>80</v>
      </c>
      <c r="AB149" s="48" t="s">
        <v>80</v>
      </c>
      <c r="AC149" s="48" t="s">
        <v>80</v>
      </c>
      <c r="AD149" s="48" t="s">
        <v>80</v>
      </c>
      <c r="AE149" s="48" t="s">
        <v>80</v>
      </c>
      <c r="AF149" s="48" t="s">
        <v>83</v>
      </c>
      <c r="AG149" s="48" t="s">
        <v>84</v>
      </c>
      <c r="AH149" s="48" t="s">
        <v>80</v>
      </c>
      <c r="AI149" s="48" t="s">
        <v>80</v>
      </c>
      <c r="AJ149" s="48" t="s">
        <v>80</v>
      </c>
      <c r="AK149" s="48" t="s">
        <v>80</v>
      </c>
      <c r="AL149" s="48" t="s">
        <v>80</v>
      </c>
      <c r="AM149" t="str">
        <f>VLOOKUP($R149,武学奇术!$A:$ZZ,25,FALSE)</f>
        <v>横刀</v>
      </c>
      <c r="AN149" s="33">
        <f>VLOOKUP($R149,武学奇术!$A:$ZZ,26,FALSE)</f>
        <v>3.6553</v>
      </c>
      <c r="AO149" s="34">
        <f>VLOOKUP($R149,武学奇术!$A:$ZZ,27,FALSE)*(1+IF(OR($AM149=$F$4,$AM149=$F$5),$B$22,0))</f>
        <v>1619.2</v>
      </c>
      <c r="AP149" s="33">
        <f>VLOOKUP($R149,武学奇术!$A:$ZZ,28,FALSE)</f>
        <v>5.4829</v>
      </c>
      <c r="AQ149" s="34">
        <f>VLOOKUP($R149,武学奇术!$A:$ZZ,29,FALSE)*(1+IF(OR($AM149=$F$4,$AM149=$F$5),$B$22,0))</f>
        <v>880</v>
      </c>
      <c r="AR149" s="33" cm="1">
        <f t="array" ref="AR149">$G$3+IFERROR(VLOOKUP($AM149,$F$4:$G$7,2,FALSE),0)+VLOOKUP($R149,武学奇术!$A:$ZZ,2,FALSE)+SUM(_xlfn.XLOOKUP($S149:$AL149,增益!$A:$A,增益!$B:$B,0))</f>
        <v>0.6389</v>
      </c>
      <c r="AS149" s="33" cm="1">
        <f t="array" ref="AS149">VLOOKUP($R149,武学奇术!$A:$ZZ,5,FALSE)+SUM(_xlfn.XLOOKUP($S149:$AL149,增益!$A:$A,增益!$E:$E,0))</f>
        <v>0</v>
      </c>
      <c r="AT149" cm="1">
        <f t="array" ref="AT149">$D$10*(1+$AS149)+VLOOKUP($R149,武学奇术!$A:$ZZ,3,FALSE)+SUM(_xlfn.XLOOKUP($S149:$AL149,增益!$A:$A,增益!$C:$C,0))-$I$2</f>
        <v>4026</v>
      </c>
      <c r="AU149" cm="1">
        <f t="array" ref="AU149">$E$10*(1+$AS149)+VLOOKUP($R149,武学奇术!$A:$ZZ,4,FALSE)+SUM(_xlfn.XLOOKUP($S149:$AL149,增益!$A:$A,增益!$D:$D,0))-$I$2</f>
        <v>4026</v>
      </c>
      <c r="AV149" s="40" cm="1">
        <f t="array" ref="AV149">IF($F$10-$I$3+VLOOKUP($R149,武学奇术!$A:$ZZ,6,FALSE)+SUM(_xlfn.XLOOKUP($S149:$AL149,增益!$A:$A,增益!$F:$F,0))&gt;0,($F$10-$I$3+VLOOKUP($R149,武学奇术!$A:$ZZ,6,FALSE)+SUM(_xlfn.XLOOKUP($S149:$AL149,增益!$A:$A,增益!$F:$F,0)))/200,($F$10-$I$3+VLOOKUP($R149,武学奇术!$A:$ZZ,6,FALSE)+SUM(_xlfn.XLOOKUP($S149:$AL149,增益!$A:$A,增益!$F:$F,0)))/100)</f>
        <v>0.3434</v>
      </c>
      <c r="AW149" s="40" cm="1">
        <f t="array" ref="AW149">$G$10+VLOOKUP($R149,武学奇术!$A:$ZZ,7,FALSE)+SUM(_xlfn.XLOOKUP($S149:$AL149,增益!$A:$A,增益!$G:$G,0))</f>
        <v>0.12</v>
      </c>
      <c r="AX149" s="33" cm="1">
        <f t="array" ref="AX149">VLOOKUP($R149,武学奇术!$A:$ZZ,8,FALSE)+SUM(_xlfn.XLOOKUP($S149:$AL149,增益!$A:$A,增益!$H:$H,0))</f>
        <v>0</v>
      </c>
      <c r="AY149">
        <f t="shared" si="34"/>
        <v>0</v>
      </c>
      <c r="AZ149">
        <f t="shared" si="35"/>
        <v>0</v>
      </c>
      <c r="BA149" s="40" cm="1">
        <f t="array" ref="BA149">IF($F$11-$I$4+VLOOKUP($R149,武学奇术!$A:$ZZ,9,FALSE)+SUM(_xlfn.XLOOKUP($S149:$AL149,增益!$A:$A,增益!$I:$I,0))&gt;0,($F$11-$I$4+VLOOKUP($R149,武学奇术!$A:$ZZ,9,FALSE)+SUM(_xlfn.XLOOKUP($S149:$AL149,增益!$A:$A,增益!$I:$I,0)))/200,($F$11-$I$4+VLOOKUP($R149,武学奇术!$A:$ZZ,9,FALSE)+SUM(_xlfn.XLOOKUP($S149:$AL149,增益!$A:$A,增益!$I:$I,0)))/100)</f>
        <v>-0.14</v>
      </c>
      <c r="BB149" s="40" cm="1">
        <f t="array" ref="BB149">$G$11+VLOOKUP($R149,武学奇术!$A:$ZZ,10,FALSE)+SUM(_xlfn.XLOOKUP($S149:$AL149,增益!$A:$A,增益!$J:$J,0))</f>
        <v>0</v>
      </c>
      <c r="BC149">
        <f t="shared" si="36"/>
        <v>640.3</v>
      </c>
      <c r="BD149">
        <f t="shared" si="37"/>
        <v>1770.1</v>
      </c>
      <c r="BE149" s="40" cm="1">
        <f t="array" ref="BE149">IF($F$12-$I$4+VLOOKUP($R149,武学奇术!$A:$ZZ,11,FALSE)+SUM(_xlfn.XLOOKUP($S149:$AL149,增益!$A:$A,增益!$K:$K,0))&gt;0,($F$12-$I$4+VLOOKUP($R149,武学奇术!$A:$ZZ,11,FALSE)+SUM(_xlfn.XLOOKUP($S149:$AL149,增益!$A:$A,增益!$K:$K,0)))/200,($F$12-$I$4+VLOOKUP($R149,武学奇术!$A:$ZZ,11,FALSE)+SUM(_xlfn.XLOOKUP($S149:$AL149,增益!$A:$A,增益!$K:$K,0)))/100)</f>
        <v>0.17</v>
      </c>
      <c r="BF149" s="40" cm="1">
        <f t="array" ref="BF149">$G$12+VLOOKUP($R149,武学奇术!$A:$ZZ,12,FALSE)+SUM(_xlfn.XLOOKUP($S149:$AL149,增益!$A:$A,增益!$L:$L,0))</f>
        <v>0.27</v>
      </c>
      <c r="BG149">
        <f t="shared" si="38"/>
        <v>0</v>
      </c>
      <c r="BH149">
        <f t="shared" si="39"/>
        <v>0</v>
      </c>
      <c r="BI149" s="40" cm="1">
        <f t="array" ref="BI149">IF($F$13-$I$4+VLOOKUP($R149,武学奇术!$A:$ZZ,13,FALSE)+SUM(_xlfn.XLOOKUP($S149:$AL149,增益!$A:$A,增益!$M:$M,0))&gt;0,($F$13-$I$4+VLOOKUP($R149,武学奇术!$A:$ZZ,13,FALSE)+SUM(_xlfn.XLOOKUP($S149:$AL149,增益!$A:$A,增益!$K:$K,0)))/200,($F$13-$I$4+VLOOKUP($R149,武学奇术!$A:$ZZ,13,FALSE)+SUM(_xlfn.XLOOKUP($S149:$AL149,增益!$A:$A,增益!$M:$M,0)))/100)</f>
        <v>-0.14</v>
      </c>
      <c r="BJ149" s="40" cm="1">
        <f t="array" ref="BJ149">$G$13+VLOOKUP($R149,武学奇术!$A:$ZZ,14,FALSE)+SUM(_xlfn.XLOOKUP($S149:$AL149,增益!$A:$A,增益!$N:$N,0))</f>
        <v>0</v>
      </c>
      <c r="BK149">
        <f t="shared" si="40"/>
        <v>0</v>
      </c>
      <c r="BL149">
        <f t="shared" si="41"/>
        <v>0</v>
      </c>
      <c r="BM149" s="40" cm="1">
        <f t="array" ref="BM149">IF($F$14-$I$4+VLOOKUP($R149,武学奇术!$A:$ZZ,15,FALSE)+SUM(_xlfn.XLOOKUP($S149:$AL149,增益!$A:$A,增益!$O:$O,0))&gt;0,($F$14-$I$4+VLOOKUP($R149,武学奇术!$A:$ZZ,15,FALSE)+SUM(_xlfn.XLOOKUP($S149:$AL149,增益!$A:$A,增益!$O:$O,0)))/200,($F$14-$I$4+VLOOKUP($R149,武学奇术!$A:$ZZ,15,FALSE)+SUM(_xlfn.XLOOKUP($S149:$AL149,增益!$A:$A,增益!$O:$O,0)))/100)</f>
        <v>-0.14</v>
      </c>
      <c r="BN149" s="40" cm="1">
        <f t="array" ref="BN149">$G$14+VLOOKUP($R149,武学奇术!$A:$ZZ,16,FALSE)+SUM(_xlfn.XLOOKUP($S149:$AL149,增益!$A:$A,增益!$P:$P,0))</f>
        <v>0</v>
      </c>
      <c r="BO149" s="33">
        <f>MIN(IF(VLOOKUP($R149,武学奇术!$A:$ZZ,23,FALSE)=1,100%,$B$8),100%)</f>
        <v>0.9771</v>
      </c>
      <c r="BP149" s="33" cm="1">
        <f t="array" ref="BP149">IF(VLOOKUP($R149,武学奇术!$A:$ZZ,23,FALSE)=1,100%,MIN(80%,$B$9+VLOOKUP($R149,武学奇术!$A:$ZZ,17,FALSE)+SUM(_xlfn.XLOOKUP($S149:$AL149,增益!$A:$A,增益!$Q:$Q,0)))+$B$11+SUM(_xlfn.XLOOKUP($S149:$AL149,增益!$A:$A,增益!$U:$U,0)))*IF(VLOOKUP($R149,武学奇术!$A:$ZZ,24,FALSE)=1,0,1)</f>
        <v>0.8861</v>
      </c>
      <c r="BQ149" s="33" cm="1">
        <f t="array" ref="BQ149">1+$B$13+VLOOKUP($R149,武学奇术!$A:$ZZ,18,FALSE)+SUM(_xlfn.XLOOKUP($S149:$AL149,增益!$A:$A,增益!$R:$R,0))</f>
        <v>1.93</v>
      </c>
      <c r="BR149" s="33" cm="1">
        <f t="array" ref="BR149">IF(VLOOKUP($R149,武学奇术!$A:$ZZ,24,FALSE)=1,100%,MIN(40%,$B$10+VLOOKUP($R149,武学奇术!$A:$ZZ,19,FALSE)+SUM(_xlfn.XLOOKUP($S149:$AL149,增益!$A:$A,增益!$S:$S,0)))+$B$12+SUM(_xlfn.XLOOKUP($S149:$AL149,增益!$A:$A,增益!$V:$V,0)))*IF(VLOOKUP($R149,武学奇术!$A:$ZZ,23,FALSE)=1,0,1)</f>
        <v>0.0913</v>
      </c>
      <c r="BS149" s="33" cm="1">
        <f t="array" ref="BS149">1+$B$14+VLOOKUP($R149,武学奇术!$A:$ZZ,20,FALSE)+SUM(_xlfn.XLOOKUP($S149:$AL149,增益!$A:$A,增益!$T:$T,0))</f>
        <v>1.35</v>
      </c>
      <c r="BT149" s="33">
        <f t="shared" si="42"/>
        <v>0.86580831</v>
      </c>
      <c r="BU149" s="33">
        <f t="shared" si="43"/>
        <v>0.02208246</v>
      </c>
      <c r="BV149" s="33">
        <f>IF(VLOOKUP($R149,武学奇术!$A:$ZZ,22,FALSE)=1,0,(1-$BO149))*(1-$BR149)</f>
        <v>0.02080923</v>
      </c>
      <c r="BW149" s="33" cm="1">
        <f t="array" ref="BW149">SUM(_xlfn.XLOOKUP($S149:$AL149,增益!$A:$A,增益!$W:$W,0))+$I$5</f>
        <v>0.11</v>
      </c>
      <c r="BX149" s="33" cm="1">
        <f t="array" ref="BX149">VLOOKUP($R149,武学奇术!$A:$ZZ,32,FALSE)+SUM(_xlfn.XLOOKUP($S149:$AL149,增益!$A:$A,增益!$X:$X,0))</f>
        <v>0</v>
      </c>
    </row>
    <row r="150" spans="12:76">
      <c r="L150" s="46">
        <f t="shared" si="33"/>
        <v>0</v>
      </c>
      <c r="M150" s="46">
        <f>((($AT150+$AU150)/2*$AN150+$AO150)*(1+$AV150)*(1+$AW150)+(($AY150+$AZ150)/2*IF($G$1="鸣金",$AP150,$AN150)+IF($G$1="鸣金",$AQ150*1.5,0))*(1+$BA150)*(1+$BB150)+(($BC150+$BD150)/2*IF($G$1="裂石",$AP150,$AN150)+IF($G$1="裂石",$AQ150*1.5,0))*(1+$BE150)*(1+$BF150)+(($BG150+$BH150)/2*IF($G$1="牵丝",$AP150,$AN150)+IF($G$1="牵丝",$AQ150*1.5,0))*(1+$BI150)*(1+$BJ150)+(($BK150+$BL150)/2*IF($G$1="破竹",$AP150,$AN150)+IF($G$1="破竹",$AQ150*1.5,0))*(1+$BM150)*(1+$BN150))*(1+$AR150)*$BQ150*$Q150*(1+IF(VLOOKUP($R150,武学奇术!$A:$ZZ,30,FALSE)="蓄力技",$B$21,0))*(1+IF(VLOOKUP($R150,武学奇术!$A:$ZZ,30,FALSE)="派生技",$B$20,0))*(1+$BW150)*(1+$BX150)</f>
        <v>0</v>
      </c>
      <c r="N150" s="46">
        <f>(($AU150*$AN150+$AO150)*(1+$AV150)*(1+$AW150)+($AZ150*IF($G$1="鸣金",$AP150,$AN150)+IF($G$1="鸣金",$AQ150*1.5,0))*(1+$BA150)*(1+$BB150)+($BD150*IF($G$1="裂石",$AP150,$AN150)+IF($G$1="裂石",$AQ150*1.5,0))*(1+$BE150)*(1+$BF150)+($BH150*IF($G$1="牵丝",$AP150,$AN150)+IF($G$1="牵丝",$AQ150*1.5,0))*(1+$BI150)*(1+$BJ150)+($BL150*IF($G$1="破竹",$AP150,$AN150)+IF($G$1="破竹",$AQ150*1.5,0))*(1+$BM150)*(1+$BN150))*(1+$AR150)*$BS150*$Q150*(1+IF(VLOOKUP($R150,武学奇术!$A:$ZZ,30,FALSE)="蓄力技",$B$21,0))*(1+IF(VLOOKUP($R150,武学奇术!$A:$ZZ,30,FALSE)="派生技",$B$20,0))*(1+$BW150)*(1+$BX150)</f>
        <v>0</v>
      </c>
      <c r="O150" s="46">
        <f>((($AT150+$AU150)/2*$AN150+$AO150)*(1+$AV150)*(1+$AW150)+(($AY150+$AZ150)/2*IF($G$1="鸣金",$AP150,$AN150)+IF($G$1="鸣金",$AQ150*1.5,0))*(1+$BA150)*(1+$BB150)+(($BC150+$BD150)/2*IF($G$1="裂石",$AP150,$AN150)+IF($G$1="裂石",$AQ150*1.5,0))*(1+$BE150)*(1+$BF150)+(($BG150+$BH150)/2*IF($G$1="牵丝",$AP150,$AN150)+IF($G$1="牵丝",$AQ150*1.5,0))*(1+$BI150)*(1+$BJ150)+(($BK150+$BL150)/2*IF($G$1="破竹",$AP150,$AN150)+IF($G$1="破竹",$AQ150*1.5,0))*(1+$BM150)*(1+$BN150))*(1+$AR150)*$Q150*(1+IF(VLOOKUP($R150,武学奇术!$A:$ZZ,30,FALSE)="蓄力技",$B$21,0))*(1+IF(VLOOKUP($R150,武学奇术!$A:$ZZ,30,FALSE)="派生技",$B$20,0))*(1+$BW150)*(1+$BX150)</f>
        <v>0</v>
      </c>
      <c r="P150" s="46">
        <f>((($AT150*$AN150+$AO150)*(1+$AV150)*(1+$AW150)+($AY150*IF($G$1="鸣金",$AP150,$AN150)+IF($G$1="鸣金",$AQ150*1.5,0))*(1+$BA150)*(1+$BB150)+($BC150*IF($G$1="裂石",$AP150,$AN150)+IF($G$1="裂石",$AQ150*1.5,0))*(1+$BE150)*(1+$BF150)+($BG150*IF($G$1="牵丝",$AP150,$AN150)+IF($G$1="牵丝",$AQ150*1.5,0))*(1+$BI150)*(1+$BJ150)+($BK150*IF($G$1="破竹",$AP150,$AN150)+IF($G$1="破竹",$AQ150*1.5,0))*(1+$BM150)*(1+$BN150))*(1+$AR150))*$Q150*(1+IF(VLOOKUP($R150,武学奇术!$A:$ZZ,30,FALSE)="蓄力技",$B$21,0))*(1+IF(VLOOKUP($R150,武学奇术!$A:$ZZ,30,FALSE)="派生技",$B$20,0))*(1+$BW150)*(1+$BX150)</f>
        <v>0</v>
      </c>
      <c r="Q150" s="47">
        <f t="shared" si="45"/>
        <v>0</v>
      </c>
      <c r="R150" s="48" t="s">
        <v>196</v>
      </c>
      <c r="S150" s="48" t="s">
        <v>94</v>
      </c>
      <c r="T150" s="48" t="s">
        <v>95</v>
      </c>
      <c r="U150" s="48" t="s">
        <v>79</v>
      </c>
      <c r="V150" s="48" t="s">
        <v>90</v>
      </c>
      <c r="W150" s="48" t="s">
        <v>141</v>
      </c>
      <c r="X150" s="48" t="s">
        <v>80</v>
      </c>
      <c r="Y150" s="48" t="s">
        <v>74</v>
      </c>
      <c r="Z150" s="48" t="s">
        <v>81</v>
      </c>
      <c r="AA150" s="48" t="s">
        <v>80</v>
      </c>
      <c r="AB150" s="48" t="s">
        <v>80</v>
      </c>
      <c r="AC150" s="48" t="s">
        <v>80</v>
      </c>
      <c r="AD150" s="48" t="s">
        <v>80</v>
      </c>
      <c r="AE150" s="48" t="s">
        <v>80</v>
      </c>
      <c r="AF150" s="48" t="s">
        <v>83</v>
      </c>
      <c r="AG150" s="48" t="s">
        <v>84</v>
      </c>
      <c r="AH150" s="48" t="s">
        <v>80</v>
      </c>
      <c r="AI150" s="48" t="s">
        <v>80</v>
      </c>
      <c r="AJ150" s="48" t="s">
        <v>80</v>
      </c>
      <c r="AK150" s="48" t="s">
        <v>80</v>
      </c>
      <c r="AL150" s="48" t="s">
        <v>80</v>
      </c>
      <c r="AM150" t="str">
        <f>VLOOKUP($R150,武学奇术!$A:$ZZ,25,FALSE)</f>
        <v>横刀</v>
      </c>
      <c r="AN150" s="33">
        <f>VLOOKUP($R150,武学奇术!$A:$ZZ,26,FALSE)</f>
        <v>1.47</v>
      </c>
      <c r="AO150" s="34">
        <f>VLOOKUP($R150,武学奇术!$A:$ZZ,27,FALSE)*(1+IF(OR($AM150=$F$4,$AM150=$F$5),$B$22,0))</f>
        <v>0</v>
      </c>
      <c r="AP150" s="33">
        <f>VLOOKUP($R150,武学奇术!$A:$ZZ,28,FALSE)</f>
        <v>2.205</v>
      </c>
      <c r="AQ150" s="34">
        <f>VLOOKUP($R150,武学奇术!$A:$ZZ,29,FALSE)*(1+IF(OR($AM150=$F$4,$AM150=$F$5),$B$22,0))</f>
        <v>0</v>
      </c>
      <c r="AR150" s="33" cm="1">
        <f t="array" ref="AR150">$G$3+IFERROR(VLOOKUP($AM150,$F$4:$G$7,2,FALSE),0)+VLOOKUP($R150,武学奇术!$A:$ZZ,2,FALSE)+SUM(_xlfn.XLOOKUP($S150:$AL150,增益!$A:$A,增益!$B:$B,0))</f>
        <v>0.5389</v>
      </c>
      <c r="AS150" s="33" cm="1">
        <f t="array" ref="AS150">VLOOKUP($R150,武学奇术!$A:$ZZ,5,FALSE)+SUM(_xlfn.XLOOKUP($S150:$AL150,增益!$A:$A,增益!$E:$E,0))</f>
        <v>0</v>
      </c>
      <c r="AT150" cm="1">
        <f t="array" ref="AT150">$D$10*(1+$AS150)+VLOOKUP($R150,武学奇术!$A:$ZZ,3,FALSE)+SUM(_xlfn.XLOOKUP($S150:$AL150,增益!$A:$A,增益!$C:$C,0))-$I$2</f>
        <v>4026</v>
      </c>
      <c r="AU150" cm="1">
        <f t="array" ref="AU150">$E$10*(1+$AS150)+VLOOKUP($R150,武学奇术!$A:$ZZ,4,FALSE)+SUM(_xlfn.XLOOKUP($S150:$AL150,增益!$A:$A,增益!$D:$D,0))-$I$2</f>
        <v>4026</v>
      </c>
      <c r="AV150" s="40" cm="1">
        <f t="array" ref="AV150">IF($F$10-$I$3+VLOOKUP($R150,武学奇术!$A:$ZZ,6,FALSE)+SUM(_xlfn.XLOOKUP($S150:$AL150,增益!$A:$A,增益!$F:$F,0))&gt;0,($F$10-$I$3+VLOOKUP($R150,武学奇术!$A:$ZZ,6,FALSE)+SUM(_xlfn.XLOOKUP($S150:$AL150,增益!$A:$A,增益!$F:$F,0)))/200,($F$10-$I$3+VLOOKUP($R150,武学奇术!$A:$ZZ,6,FALSE)+SUM(_xlfn.XLOOKUP($S150:$AL150,增益!$A:$A,增益!$F:$F,0)))/100)</f>
        <v>0.3434</v>
      </c>
      <c r="AW150" s="40" cm="1">
        <f t="array" ref="AW150">$G$10+VLOOKUP($R150,武学奇术!$A:$ZZ,7,FALSE)+SUM(_xlfn.XLOOKUP($S150:$AL150,增益!$A:$A,增益!$G:$G,0))</f>
        <v>0.12</v>
      </c>
      <c r="AX150" s="33" cm="1">
        <f t="array" ref="AX150">VLOOKUP($R150,武学奇术!$A:$ZZ,8,FALSE)+SUM(_xlfn.XLOOKUP($S150:$AL150,增益!$A:$A,增益!$H:$H,0))</f>
        <v>0</v>
      </c>
      <c r="AY150">
        <f t="shared" si="34"/>
        <v>0</v>
      </c>
      <c r="AZ150">
        <f t="shared" si="35"/>
        <v>0</v>
      </c>
      <c r="BA150" s="40" cm="1">
        <f t="array" ref="BA150">IF($F$11-$I$4+VLOOKUP($R150,武学奇术!$A:$ZZ,9,FALSE)+SUM(_xlfn.XLOOKUP($S150:$AL150,增益!$A:$A,增益!$I:$I,0))&gt;0,($F$11-$I$4+VLOOKUP($R150,武学奇术!$A:$ZZ,9,FALSE)+SUM(_xlfn.XLOOKUP($S150:$AL150,增益!$A:$A,增益!$I:$I,0)))/200,($F$11-$I$4+VLOOKUP($R150,武学奇术!$A:$ZZ,9,FALSE)+SUM(_xlfn.XLOOKUP($S150:$AL150,增益!$A:$A,增益!$I:$I,0)))/100)</f>
        <v>-0.14</v>
      </c>
      <c r="BB150" s="40" cm="1">
        <f t="array" ref="BB150">$G$11+VLOOKUP($R150,武学奇术!$A:$ZZ,10,FALSE)+SUM(_xlfn.XLOOKUP($S150:$AL150,增益!$A:$A,增益!$J:$J,0))</f>
        <v>0</v>
      </c>
      <c r="BC150">
        <f t="shared" si="36"/>
        <v>640.3</v>
      </c>
      <c r="BD150">
        <f t="shared" si="37"/>
        <v>1770.1</v>
      </c>
      <c r="BE150" s="40" cm="1">
        <f t="array" ref="BE150">IF($F$12-$I$4+VLOOKUP($R150,武学奇术!$A:$ZZ,11,FALSE)+SUM(_xlfn.XLOOKUP($S150:$AL150,增益!$A:$A,增益!$K:$K,0))&gt;0,($F$12-$I$4+VLOOKUP($R150,武学奇术!$A:$ZZ,11,FALSE)+SUM(_xlfn.XLOOKUP($S150:$AL150,增益!$A:$A,增益!$K:$K,0)))/200,($F$12-$I$4+VLOOKUP($R150,武学奇术!$A:$ZZ,11,FALSE)+SUM(_xlfn.XLOOKUP($S150:$AL150,增益!$A:$A,增益!$K:$K,0)))/100)</f>
        <v>0.17</v>
      </c>
      <c r="BF150" s="40" cm="1">
        <f t="array" ref="BF150">$G$12+VLOOKUP($R150,武学奇术!$A:$ZZ,12,FALSE)+SUM(_xlfn.XLOOKUP($S150:$AL150,增益!$A:$A,增益!$L:$L,0))</f>
        <v>0.27</v>
      </c>
      <c r="BG150">
        <f t="shared" si="38"/>
        <v>0</v>
      </c>
      <c r="BH150">
        <f t="shared" si="39"/>
        <v>0</v>
      </c>
      <c r="BI150" s="40" cm="1">
        <f t="array" ref="BI150">IF($F$13-$I$4+VLOOKUP($R150,武学奇术!$A:$ZZ,13,FALSE)+SUM(_xlfn.XLOOKUP($S150:$AL150,增益!$A:$A,增益!$M:$M,0))&gt;0,($F$13-$I$4+VLOOKUP($R150,武学奇术!$A:$ZZ,13,FALSE)+SUM(_xlfn.XLOOKUP($S150:$AL150,增益!$A:$A,增益!$K:$K,0)))/200,($F$13-$I$4+VLOOKUP($R150,武学奇术!$A:$ZZ,13,FALSE)+SUM(_xlfn.XLOOKUP($S150:$AL150,增益!$A:$A,增益!$M:$M,0)))/100)</f>
        <v>-0.14</v>
      </c>
      <c r="BJ150" s="40" cm="1">
        <f t="array" ref="BJ150">$G$13+VLOOKUP($R150,武学奇术!$A:$ZZ,14,FALSE)+SUM(_xlfn.XLOOKUP($S150:$AL150,增益!$A:$A,增益!$N:$N,0))</f>
        <v>0</v>
      </c>
      <c r="BK150">
        <f t="shared" si="40"/>
        <v>0</v>
      </c>
      <c r="BL150">
        <f t="shared" si="41"/>
        <v>0</v>
      </c>
      <c r="BM150" s="40" cm="1">
        <f t="array" ref="BM150">IF($F$14-$I$4+VLOOKUP($R150,武学奇术!$A:$ZZ,15,FALSE)+SUM(_xlfn.XLOOKUP($S150:$AL150,增益!$A:$A,增益!$O:$O,0))&gt;0,($F$14-$I$4+VLOOKUP($R150,武学奇术!$A:$ZZ,15,FALSE)+SUM(_xlfn.XLOOKUP($S150:$AL150,增益!$A:$A,增益!$O:$O,0)))/200,($F$14-$I$4+VLOOKUP($R150,武学奇术!$A:$ZZ,15,FALSE)+SUM(_xlfn.XLOOKUP($S150:$AL150,增益!$A:$A,增益!$O:$O,0)))/100)</f>
        <v>-0.14</v>
      </c>
      <c r="BN150" s="40" cm="1">
        <f t="array" ref="BN150">$G$14+VLOOKUP($R150,武学奇术!$A:$ZZ,16,FALSE)+SUM(_xlfn.XLOOKUP($S150:$AL150,增益!$A:$A,增益!$P:$P,0))</f>
        <v>0</v>
      </c>
      <c r="BO150" s="33">
        <f>MIN(IF(VLOOKUP($R150,武学奇术!$A:$ZZ,23,FALSE)=1,100%,$B$8),100%)</f>
        <v>0.9771</v>
      </c>
      <c r="BP150" s="33" cm="1">
        <f t="array" ref="BP150">IF(VLOOKUP($R150,武学奇术!$A:$ZZ,23,FALSE)=1,100%,MIN(80%,$B$9+VLOOKUP($R150,武学奇术!$A:$ZZ,17,FALSE)+SUM(_xlfn.XLOOKUP($S150:$AL150,增益!$A:$A,增益!$Q:$Q,0)))+$B$11+SUM(_xlfn.XLOOKUP($S150:$AL150,增益!$A:$A,增益!$U:$U,0)))*IF(VLOOKUP($R150,武学奇术!$A:$ZZ,24,FALSE)=1,0,1)</f>
        <v>0.8861</v>
      </c>
      <c r="BQ150" s="33" cm="1">
        <f t="array" ref="BQ150">1+$B$13+VLOOKUP($R150,武学奇术!$A:$ZZ,18,FALSE)+SUM(_xlfn.XLOOKUP($S150:$AL150,增益!$A:$A,增益!$R:$R,0))</f>
        <v>1.93</v>
      </c>
      <c r="BR150" s="33" cm="1">
        <f t="array" ref="BR150">IF(VLOOKUP($R150,武学奇术!$A:$ZZ,24,FALSE)=1,100%,MIN(40%,$B$10+VLOOKUP($R150,武学奇术!$A:$ZZ,19,FALSE)+SUM(_xlfn.XLOOKUP($S150:$AL150,增益!$A:$A,增益!$S:$S,0)))+$B$12+SUM(_xlfn.XLOOKUP($S150:$AL150,增益!$A:$A,增益!$V:$V,0)))*IF(VLOOKUP($R150,武学奇术!$A:$ZZ,23,FALSE)=1,0,1)</f>
        <v>0.0913</v>
      </c>
      <c r="BS150" s="33" cm="1">
        <f t="array" ref="BS150">1+$B$14+VLOOKUP($R150,武学奇术!$A:$ZZ,20,FALSE)+SUM(_xlfn.XLOOKUP($S150:$AL150,增益!$A:$A,增益!$T:$T,0))</f>
        <v>1.35</v>
      </c>
      <c r="BT150" s="33">
        <f t="shared" si="42"/>
        <v>0.86580831</v>
      </c>
      <c r="BU150" s="33">
        <f t="shared" si="43"/>
        <v>0.02208246</v>
      </c>
      <c r="BV150" s="33">
        <f>IF(VLOOKUP($R150,武学奇术!$A:$ZZ,22,FALSE)=1,0,(1-$BO150))*(1-$BR150)</f>
        <v>0.02080923</v>
      </c>
      <c r="BW150" s="33" cm="1">
        <f t="array" ref="BW150">SUM(_xlfn.XLOOKUP($S150:$AL150,增益!$A:$A,增益!$W:$W,0))+$I$5</f>
        <v>0.11</v>
      </c>
      <c r="BX150" s="33" cm="1">
        <f t="array" ref="BX150">VLOOKUP($R150,武学奇术!$A:$ZZ,32,FALSE)+SUM(_xlfn.XLOOKUP($S150:$AL150,增益!$A:$A,增益!$X:$X,0))</f>
        <v>0.4</v>
      </c>
    </row>
    <row r="151" spans="12:76">
      <c r="L151" s="46">
        <f t="shared" si="33"/>
        <v>0</v>
      </c>
      <c r="M151" s="46">
        <f>((($AT151+$AU151)/2*$AN151+$AO151)*(1+$AV151)*(1+$AW151)+(($AY151+$AZ151)/2*IF($G$1="鸣金",$AP151,$AN151)+IF($G$1="鸣金",$AQ151*1.5,0))*(1+$BA151)*(1+$BB151)+(($BC151+$BD151)/2*IF($G$1="裂石",$AP151,$AN151)+IF($G$1="裂石",$AQ151*1.5,0))*(1+$BE151)*(1+$BF151)+(($BG151+$BH151)/2*IF($G$1="牵丝",$AP151,$AN151)+IF($G$1="牵丝",$AQ151*1.5,0))*(1+$BI151)*(1+$BJ151)+(($BK151+$BL151)/2*IF($G$1="破竹",$AP151,$AN151)+IF($G$1="破竹",$AQ151*1.5,0))*(1+$BM151)*(1+$BN151))*(1+$AR151)*$BQ151*$Q151*(1+IF(VLOOKUP($R151,武学奇术!$A:$ZZ,30,FALSE)="蓄力技",$B$21,0))*(1+IF(VLOOKUP($R151,武学奇术!$A:$ZZ,30,FALSE)="派生技",$B$20,0))*(1+$BW151)*(1+$BX151)</f>
        <v>0</v>
      </c>
      <c r="N151" s="46">
        <f>(($AU151*$AN151+$AO151)*(1+$AV151)*(1+$AW151)+($AZ151*IF($G$1="鸣金",$AP151,$AN151)+IF($G$1="鸣金",$AQ151*1.5,0))*(1+$BA151)*(1+$BB151)+($BD151*IF($G$1="裂石",$AP151,$AN151)+IF($G$1="裂石",$AQ151*1.5,0))*(1+$BE151)*(1+$BF151)+($BH151*IF($G$1="牵丝",$AP151,$AN151)+IF($G$1="牵丝",$AQ151*1.5,0))*(1+$BI151)*(1+$BJ151)+($BL151*IF($G$1="破竹",$AP151,$AN151)+IF($G$1="破竹",$AQ151*1.5,0))*(1+$BM151)*(1+$BN151))*(1+$AR151)*$BS151*$Q151*(1+IF(VLOOKUP($R151,武学奇术!$A:$ZZ,30,FALSE)="蓄力技",$B$21,0))*(1+IF(VLOOKUP($R151,武学奇术!$A:$ZZ,30,FALSE)="派生技",$B$20,0))*(1+$BW151)*(1+$BX151)</f>
        <v>0</v>
      </c>
      <c r="O151" s="46">
        <f>((($AT151+$AU151)/2*$AN151+$AO151)*(1+$AV151)*(1+$AW151)+(($AY151+$AZ151)/2*IF($G$1="鸣金",$AP151,$AN151)+IF($G$1="鸣金",$AQ151*1.5,0))*(1+$BA151)*(1+$BB151)+(($BC151+$BD151)/2*IF($G$1="裂石",$AP151,$AN151)+IF($G$1="裂石",$AQ151*1.5,0))*(1+$BE151)*(1+$BF151)+(($BG151+$BH151)/2*IF($G$1="牵丝",$AP151,$AN151)+IF($G$1="牵丝",$AQ151*1.5,0))*(1+$BI151)*(1+$BJ151)+(($BK151+$BL151)/2*IF($G$1="破竹",$AP151,$AN151)+IF($G$1="破竹",$AQ151*1.5,0))*(1+$BM151)*(1+$BN151))*(1+$AR151)*$Q151*(1+IF(VLOOKUP($R151,武学奇术!$A:$ZZ,30,FALSE)="蓄力技",$B$21,0))*(1+IF(VLOOKUP($R151,武学奇术!$A:$ZZ,30,FALSE)="派生技",$B$20,0))*(1+$BW151)*(1+$BX151)</f>
        <v>0</v>
      </c>
      <c r="P151" s="46">
        <f>((($AT151*$AN151+$AO151)*(1+$AV151)*(1+$AW151)+($AY151*IF($G$1="鸣金",$AP151,$AN151)+IF($G$1="鸣金",$AQ151*1.5,0))*(1+$BA151)*(1+$BB151)+($BC151*IF($G$1="裂石",$AP151,$AN151)+IF($G$1="裂石",$AQ151*1.5,0))*(1+$BE151)*(1+$BF151)+($BG151*IF($G$1="牵丝",$AP151,$AN151)+IF($G$1="牵丝",$AQ151*1.5,0))*(1+$BI151)*(1+$BJ151)+($BK151*IF($G$1="破竹",$AP151,$AN151)+IF($G$1="破竹",$AQ151*1.5,0))*(1+$BM151)*(1+$BN151))*(1+$AR151))*$Q151*(1+IF(VLOOKUP($R151,武学奇术!$A:$ZZ,30,FALSE)="蓄力技",$B$21,0))*(1+IF(VLOOKUP($R151,武学奇术!$A:$ZZ,30,FALSE)="派生技",$B$20,0))*(1+$BW151)*(1+$BX151)</f>
        <v>0</v>
      </c>
      <c r="Q151" s="47">
        <f t="shared" si="45"/>
        <v>0</v>
      </c>
      <c r="R151" s="48" t="s">
        <v>197</v>
      </c>
      <c r="S151" s="48" t="s">
        <v>99</v>
      </c>
      <c r="T151" s="48" t="s">
        <v>95</v>
      </c>
      <c r="U151" s="48" t="s">
        <v>79</v>
      </c>
      <c r="V151" s="48" t="s">
        <v>90</v>
      </c>
      <c r="W151" s="48" t="s">
        <v>91</v>
      </c>
      <c r="X151" s="48" t="s">
        <v>80</v>
      </c>
      <c r="Y151" s="48" t="s">
        <v>80</v>
      </c>
      <c r="Z151" s="48" t="s">
        <v>81</v>
      </c>
      <c r="AA151" s="48" t="s">
        <v>80</v>
      </c>
      <c r="AB151" s="48" t="s">
        <v>80</v>
      </c>
      <c r="AC151" s="48" t="s">
        <v>80</v>
      </c>
      <c r="AD151" s="48" t="s">
        <v>80</v>
      </c>
      <c r="AE151" s="48" t="s">
        <v>80</v>
      </c>
      <c r="AF151" s="48" t="s">
        <v>83</v>
      </c>
      <c r="AG151" s="48" t="s">
        <v>84</v>
      </c>
      <c r="AH151" s="48" t="s">
        <v>80</v>
      </c>
      <c r="AI151" s="48" t="s">
        <v>80</v>
      </c>
      <c r="AJ151" s="48" t="s">
        <v>80</v>
      </c>
      <c r="AK151" s="48" t="s">
        <v>80</v>
      </c>
      <c r="AL151" s="48" t="s">
        <v>80</v>
      </c>
      <c r="AM151" t="str">
        <f>VLOOKUP($R151,武学奇术!$A:$ZZ,25,FALSE)</f>
        <v>横刀</v>
      </c>
      <c r="AN151" s="33">
        <f>VLOOKUP($R151,武学奇术!$A:$ZZ,26,FALSE)</f>
        <v>2.4495</v>
      </c>
      <c r="AO151" s="34">
        <f>VLOOKUP($R151,武学奇术!$A:$ZZ,27,FALSE)*(1+IF(OR($AM151=$F$4,$AM151=$F$5),$B$22,0))</f>
        <v>1083.2</v>
      </c>
      <c r="AP151" s="33">
        <f>VLOOKUP($R151,武学奇术!$A:$ZZ,28,FALSE)</f>
        <v>3.6743</v>
      </c>
      <c r="AQ151" s="34">
        <f>VLOOKUP($R151,武学奇术!$A:$ZZ,29,FALSE)*(1+IF(OR($AM151=$F$4,$AM151=$F$5),$B$22,0))</f>
        <v>588.8</v>
      </c>
      <c r="AR151" s="33" cm="1">
        <f t="array" ref="AR151">$G$3+IFERROR(VLOOKUP($AM151,$F$4:$G$7,2,FALSE),0)+VLOOKUP($R151,武学奇术!$A:$ZZ,2,FALSE)+SUM(_xlfn.XLOOKUP($S151:$AL151,增益!$A:$A,增益!$B:$B,0))</f>
        <v>0.4689</v>
      </c>
      <c r="AS151" s="33" cm="1">
        <f t="array" ref="AS151">VLOOKUP($R151,武学奇术!$A:$ZZ,5,FALSE)+SUM(_xlfn.XLOOKUP($S151:$AL151,增益!$A:$A,增益!$E:$E,0))</f>
        <v>0</v>
      </c>
      <c r="AT151" cm="1">
        <f t="array" ref="AT151">$D$10*(1+$AS151)+VLOOKUP($R151,武学奇术!$A:$ZZ,3,FALSE)+SUM(_xlfn.XLOOKUP($S151:$AL151,增益!$A:$A,增益!$C:$C,0))-$I$2</f>
        <v>4026</v>
      </c>
      <c r="AU151" cm="1">
        <f t="array" ref="AU151">$E$10*(1+$AS151)+VLOOKUP($R151,武学奇术!$A:$ZZ,4,FALSE)+SUM(_xlfn.XLOOKUP($S151:$AL151,增益!$A:$A,增益!$D:$D,0))-$I$2</f>
        <v>4026</v>
      </c>
      <c r="AV151" s="40" cm="1">
        <f t="array" ref="AV151">IF($F$10-$I$3+VLOOKUP($R151,武学奇术!$A:$ZZ,6,FALSE)+SUM(_xlfn.XLOOKUP($S151:$AL151,增益!$A:$A,增益!$F:$F,0))&gt;0,($F$10-$I$3+VLOOKUP($R151,武学奇术!$A:$ZZ,6,FALSE)+SUM(_xlfn.XLOOKUP($S151:$AL151,增益!$A:$A,增益!$F:$F,0)))/200,($F$10-$I$3+VLOOKUP($R151,武学奇术!$A:$ZZ,6,FALSE)+SUM(_xlfn.XLOOKUP($S151:$AL151,增益!$A:$A,增益!$F:$F,0)))/100)</f>
        <v>0.3284</v>
      </c>
      <c r="AW151" s="40" cm="1">
        <f t="array" ref="AW151">$G$10+VLOOKUP($R151,武学奇术!$A:$ZZ,7,FALSE)+SUM(_xlfn.XLOOKUP($S151:$AL151,增益!$A:$A,增益!$G:$G,0))</f>
        <v>0.12</v>
      </c>
      <c r="AX151" s="33" cm="1">
        <f t="array" ref="AX151">VLOOKUP($R151,武学奇术!$A:$ZZ,8,FALSE)+SUM(_xlfn.XLOOKUP($S151:$AL151,增益!$A:$A,增益!$H:$H,0))</f>
        <v>0</v>
      </c>
      <c r="AY151">
        <f t="shared" si="34"/>
        <v>0</v>
      </c>
      <c r="AZ151">
        <f t="shared" si="35"/>
        <v>0</v>
      </c>
      <c r="BA151" s="40" cm="1">
        <f t="array" ref="BA151">IF($F$11-$I$4+VLOOKUP($R151,武学奇术!$A:$ZZ,9,FALSE)+SUM(_xlfn.XLOOKUP($S151:$AL151,增益!$A:$A,增益!$I:$I,0))&gt;0,($F$11-$I$4+VLOOKUP($R151,武学奇术!$A:$ZZ,9,FALSE)+SUM(_xlfn.XLOOKUP($S151:$AL151,增益!$A:$A,增益!$I:$I,0)))/200,($F$11-$I$4+VLOOKUP($R151,武学奇术!$A:$ZZ,9,FALSE)+SUM(_xlfn.XLOOKUP($S151:$AL151,增益!$A:$A,增益!$I:$I,0)))/100)</f>
        <v>-0.14</v>
      </c>
      <c r="BB151" s="40" cm="1">
        <f t="array" ref="BB151">$G$11+VLOOKUP($R151,武学奇术!$A:$ZZ,10,FALSE)+SUM(_xlfn.XLOOKUP($S151:$AL151,增益!$A:$A,增益!$J:$J,0))</f>
        <v>0</v>
      </c>
      <c r="BC151">
        <f t="shared" si="36"/>
        <v>640.3</v>
      </c>
      <c r="BD151">
        <f t="shared" si="37"/>
        <v>1770.1</v>
      </c>
      <c r="BE151" s="40" cm="1">
        <f t="array" ref="BE151">IF($F$12-$I$4+VLOOKUP($R151,武学奇术!$A:$ZZ,11,FALSE)+SUM(_xlfn.XLOOKUP($S151:$AL151,增益!$A:$A,增益!$K:$K,0))&gt;0,($F$12-$I$4+VLOOKUP($R151,武学奇术!$A:$ZZ,11,FALSE)+SUM(_xlfn.XLOOKUP($S151:$AL151,增益!$A:$A,增益!$K:$K,0)))/200,($F$12-$I$4+VLOOKUP($R151,武学奇术!$A:$ZZ,11,FALSE)+SUM(_xlfn.XLOOKUP($S151:$AL151,增益!$A:$A,增益!$K:$K,0)))/100)</f>
        <v>0.17</v>
      </c>
      <c r="BF151" s="40" cm="1">
        <f t="array" ref="BF151">$G$12+VLOOKUP($R151,武学奇术!$A:$ZZ,12,FALSE)+SUM(_xlfn.XLOOKUP($S151:$AL151,增益!$A:$A,增益!$L:$L,0))</f>
        <v>0.27</v>
      </c>
      <c r="BG151">
        <f t="shared" si="38"/>
        <v>0</v>
      </c>
      <c r="BH151">
        <f t="shared" si="39"/>
        <v>0</v>
      </c>
      <c r="BI151" s="40" cm="1">
        <f t="array" ref="BI151">IF($F$13-$I$4+VLOOKUP($R151,武学奇术!$A:$ZZ,13,FALSE)+SUM(_xlfn.XLOOKUP($S151:$AL151,增益!$A:$A,增益!$M:$M,0))&gt;0,($F$13-$I$4+VLOOKUP($R151,武学奇术!$A:$ZZ,13,FALSE)+SUM(_xlfn.XLOOKUP($S151:$AL151,增益!$A:$A,增益!$K:$K,0)))/200,($F$13-$I$4+VLOOKUP($R151,武学奇术!$A:$ZZ,13,FALSE)+SUM(_xlfn.XLOOKUP($S151:$AL151,增益!$A:$A,增益!$M:$M,0)))/100)</f>
        <v>-0.14</v>
      </c>
      <c r="BJ151" s="40" cm="1">
        <f t="array" ref="BJ151">$G$13+VLOOKUP($R151,武学奇术!$A:$ZZ,14,FALSE)+SUM(_xlfn.XLOOKUP($S151:$AL151,增益!$A:$A,增益!$N:$N,0))</f>
        <v>0</v>
      </c>
      <c r="BK151">
        <f t="shared" si="40"/>
        <v>0</v>
      </c>
      <c r="BL151">
        <f t="shared" si="41"/>
        <v>0</v>
      </c>
      <c r="BM151" s="40" cm="1">
        <f t="array" ref="BM151">IF($F$14-$I$4+VLOOKUP($R151,武学奇术!$A:$ZZ,15,FALSE)+SUM(_xlfn.XLOOKUP($S151:$AL151,增益!$A:$A,增益!$O:$O,0))&gt;0,($F$14-$I$4+VLOOKUP($R151,武学奇术!$A:$ZZ,15,FALSE)+SUM(_xlfn.XLOOKUP($S151:$AL151,增益!$A:$A,增益!$O:$O,0)))/200,($F$14-$I$4+VLOOKUP($R151,武学奇术!$A:$ZZ,15,FALSE)+SUM(_xlfn.XLOOKUP($S151:$AL151,增益!$A:$A,增益!$O:$O,0)))/100)</f>
        <v>-0.14</v>
      </c>
      <c r="BN151" s="40" cm="1">
        <f t="array" ref="BN151">$G$14+VLOOKUP($R151,武学奇术!$A:$ZZ,16,FALSE)+SUM(_xlfn.XLOOKUP($S151:$AL151,增益!$A:$A,增益!$P:$P,0))</f>
        <v>0</v>
      </c>
      <c r="BO151" s="33">
        <f>MIN(IF(VLOOKUP($R151,武学奇术!$A:$ZZ,23,FALSE)=1,100%,$B$8),100%)</f>
        <v>0.9771</v>
      </c>
      <c r="BP151" s="33" cm="1">
        <f t="array" ref="BP151">IF(VLOOKUP($R151,武学奇术!$A:$ZZ,23,FALSE)=1,100%,MIN(80%,$B$9+VLOOKUP($R151,武学奇术!$A:$ZZ,17,FALSE)+SUM(_xlfn.XLOOKUP($S151:$AL151,增益!$A:$A,增益!$Q:$Q,0)))+$B$11+SUM(_xlfn.XLOOKUP($S151:$AL151,增益!$A:$A,增益!$U:$U,0)))*IF(VLOOKUP($R151,武学奇术!$A:$ZZ,24,FALSE)=1,0,1)</f>
        <v>0.8861</v>
      </c>
      <c r="BQ151" s="33" cm="1">
        <f t="array" ref="BQ151">1+$B$13+VLOOKUP($R151,武学奇术!$A:$ZZ,18,FALSE)+SUM(_xlfn.XLOOKUP($S151:$AL151,增益!$A:$A,增益!$R:$R,0))</f>
        <v>1.88</v>
      </c>
      <c r="BR151" s="33" cm="1">
        <f t="array" ref="BR151">IF(VLOOKUP($R151,武学奇术!$A:$ZZ,24,FALSE)=1,100%,MIN(40%,$B$10+VLOOKUP($R151,武学奇术!$A:$ZZ,19,FALSE)+SUM(_xlfn.XLOOKUP($S151:$AL151,增益!$A:$A,增益!$S:$S,0)))+$B$12+SUM(_xlfn.XLOOKUP($S151:$AL151,增益!$A:$A,增益!$V:$V,0)))*IF(VLOOKUP($R151,武学奇术!$A:$ZZ,23,FALSE)=1,0,1)</f>
        <v>0.0913</v>
      </c>
      <c r="BS151" s="33" cm="1">
        <f t="array" ref="BS151">1+$B$14+VLOOKUP($R151,武学奇术!$A:$ZZ,20,FALSE)+SUM(_xlfn.XLOOKUP($S151:$AL151,增益!$A:$A,增益!$T:$T,0))</f>
        <v>1.35</v>
      </c>
      <c r="BT151" s="33">
        <f t="shared" si="42"/>
        <v>0.86580831</v>
      </c>
      <c r="BU151" s="33">
        <f t="shared" si="43"/>
        <v>0.02208246</v>
      </c>
      <c r="BV151" s="33">
        <f>IF(VLOOKUP($R151,武学奇术!$A:$ZZ,22,FALSE)=1,0,(1-$BO151))*(1-$BR151)</f>
        <v>0.02080923</v>
      </c>
      <c r="BW151" s="33" cm="1">
        <f t="array" ref="BW151">SUM(_xlfn.XLOOKUP($S151:$AL151,增益!$A:$A,增益!$W:$W,0))+$I$5</f>
        <v>0.11</v>
      </c>
      <c r="BX151" s="33" cm="1">
        <f t="array" ref="BX151">VLOOKUP($R151,武学奇术!$A:$ZZ,32,FALSE)+SUM(_xlfn.XLOOKUP($S151:$AL151,增益!$A:$A,增益!$X:$X,0))</f>
        <v>0</v>
      </c>
    </row>
    <row r="152" spans="12:76">
      <c r="L152" s="46">
        <f t="shared" si="33"/>
        <v>0</v>
      </c>
      <c r="M152" s="46">
        <f>((($AT152+$AU152)/2*$AN152+$AO152)*(1+$AV152)*(1+$AW152)+(($AY152+$AZ152)/2*IF($G$1="鸣金",$AP152,$AN152)+IF($G$1="鸣金",$AQ152*1.5,0))*(1+$BA152)*(1+$BB152)+(($BC152+$BD152)/2*IF($G$1="裂石",$AP152,$AN152)+IF($G$1="裂石",$AQ152*1.5,0))*(1+$BE152)*(1+$BF152)+(($BG152+$BH152)/2*IF($G$1="牵丝",$AP152,$AN152)+IF($G$1="牵丝",$AQ152*1.5,0))*(1+$BI152)*(1+$BJ152)+(($BK152+$BL152)/2*IF($G$1="破竹",$AP152,$AN152)+IF($G$1="破竹",$AQ152*1.5,0))*(1+$BM152)*(1+$BN152))*(1+$AR152)*$BQ152*$Q152*(1+IF(VLOOKUP($R152,武学奇术!$A:$ZZ,30,FALSE)="蓄力技",$B$21,0))*(1+IF(VLOOKUP($R152,武学奇术!$A:$ZZ,30,FALSE)="派生技",$B$20,0))*(1+$BW152)*(1+$BX152)</f>
        <v>0</v>
      </c>
      <c r="N152" s="46">
        <f>(($AU152*$AN152+$AO152)*(1+$AV152)*(1+$AW152)+($AZ152*IF($G$1="鸣金",$AP152,$AN152)+IF($G$1="鸣金",$AQ152*1.5,0))*(1+$BA152)*(1+$BB152)+($BD152*IF($G$1="裂石",$AP152,$AN152)+IF($G$1="裂石",$AQ152*1.5,0))*(1+$BE152)*(1+$BF152)+($BH152*IF($G$1="牵丝",$AP152,$AN152)+IF($G$1="牵丝",$AQ152*1.5,0))*(1+$BI152)*(1+$BJ152)+($BL152*IF($G$1="破竹",$AP152,$AN152)+IF($G$1="破竹",$AQ152*1.5,0))*(1+$BM152)*(1+$BN152))*(1+$AR152)*$BS152*$Q152*(1+IF(VLOOKUP($R152,武学奇术!$A:$ZZ,30,FALSE)="蓄力技",$B$21,0))*(1+IF(VLOOKUP($R152,武学奇术!$A:$ZZ,30,FALSE)="派生技",$B$20,0))*(1+$BW152)*(1+$BX152)</f>
        <v>0</v>
      </c>
      <c r="O152" s="46">
        <f>((($AT152+$AU152)/2*$AN152+$AO152)*(1+$AV152)*(1+$AW152)+(($AY152+$AZ152)/2*IF($G$1="鸣金",$AP152,$AN152)+IF($G$1="鸣金",$AQ152*1.5,0))*(1+$BA152)*(1+$BB152)+(($BC152+$BD152)/2*IF($G$1="裂石",$AP152,$AN152)+IF($G$1="裂石",$AQ152*1.5,0))*(1+$BE152)*(1+$BF152)+(($BG152+$BH152)/2*IF($G$1="牵丝",$AP152,$AN152)+IF($G$1="牵丝",$AQ152*1.5,0))*(1+$BI152)*(1+$BJ152)+(($BK152+$BL152)/2*IF($G$1="破竹",$AP152,$AN152)+IF($G$1="破竹",$AQ152*1.5,0))*(1+$BM152)*(1+$BN152))*(1+$AR152)*$Q152*(1+IF(VLOOKUP($R152,武学奇术!$A:$ZZ,30,FALSE)="蓄力技",$B$21,0))*(1+IF(VLOOKUP($R152,武学奇术!$A:$ZZ,30,FALSE)="派生技",$B$20,0))*(1+$BW152)*(1+$BX152)</f>
        <v>0</v>
      </c>
      <c r="P152" s="46">
        <f>((($AT152*$AN152+$AO152)*(1+$AV152)*(1+$AW152)+($AY152*IF($G$1="鸣金",$AP152,$AN152)+IF($G$1="鸣金",$AQ152*1.5,0))*(1+$BA152)*(1+$BB152)+($BC152*IF($G$1="裂石",$AP152,$AN152)+IF($G$1="裂石",$AQ152*1.5,0))*(1+$BE152)*(1+$BF152)+($BG152*IF($G$1="牵丝",$AP152,$AN152)+IF($G$1="牵丝",$AQ152*1.5,0))*(1+$BI152)*(1+$BJ152)+($BK152*IF($G$1="破竹",$AP152,$AN152)+IF($G$1="破竹",$AQ152*1.5,0))*(1+$BM152)*(1+$BN152))*(1+$AR152))*$Q152*(1+IF(VLOOKUP($R152,武学奇术!$A:$ZZ,30,FALSE)="蓄力技",$B$21,0))*(1+IF(VLOOKUP($R152,武学奇术!$A:$ZZ,30,FALSE)="派生技",$B$20,0))*(1+$BW152)*(1+$BX152)</f>
        <v>0</v>
      </c>
      <c r="Q152" s="47">
        <f t="shared" si="45"/>
        <v>0</v>
      </c>
      <c r="R152" s="48" t="s">
        <v>195</v>
      </c>
      <c r="S152" s="48" t="s">
        <v>99</v>
      </c>
      <c r="T152" s="48" t="s">
        <v>95</v>
      </c>
      <c r="U152" s="48" t="s">
        <v>79</v>
      </c>
      <c r="V152" s="48" t="s">
        <v>90</v>
      </c>
      <c r="W152" s="48" t="s">
        <v>141</v>
      </c>
      <c r="X152" s="48" t="s">
        <v>80</v>
      </c>
      <c r="Y152" s="48" t="s">
        <v>74</v>
      </c>
      <c r="Z152" s="48" t="s">
        <v>81</v>
      </c>
      <c r="AA152" s="48" t="s">
        <v>80</v>
      </c>
      <c r="AB152" s="48" t="s">
        <v>80</v>
      </c>
      <c r="AC152" s="48" t="s">
        <v>80</v>
      </c>
      <c r="AD152" s="48" t="s">
        <v>80</v>
      </c>
      <c r="AE152" s="48" t="s">
        <v>80</v>
      </c>
      <c r="AF152" s="48" t="s">
        <v>83</v>
      </c>
      <c r="AG152" s="48" t="s">
        <v>84</v>
      </c>
      <c r="AH152" s="48" t="s">
        <v>80</v>
      </c>
      <c r="AI152" s="48" t="s">
        <v>80</v>
      </c>
      <c r="AJ152" s="48" t="s">
        <v>80</v>
      </c>
      <c r="AK152" s="48" t="s">
        <v>80</v>
      </c>
      <c r="AL152" s="48" t="s">
        <v>80</v>
      </c>
      <c r="AM152" t="str">
        <f>VLOOKUP($R152,武学奇术!$A:$ZZ,25,FALSE)</f>
        <v>横刀</v>
      </c>
      <c r="AN152" s="33">
        <f>VLOOKUP($R152,武学奇术!$A:$ZZ,26,FALSE)</f>
        <v>3.6553</v>
      </c>
      <c r="AO152" s="34">
        <f>VLOOKUP($R152,武学奇术!$A:$ZZ,27,FALSE)*(1+IF(OR($AM152=$F$4,$AM152=$F$5),$B$22,0))</f>
        <v>1619.2</v>
      </c>
      <c r="AP152" s="33">
        <f>VLOOKUP($R152,武学奇术!$A:$ZZ,28,FALSE)</f>
        <v>5.4829</v>
      </c>
      <c r="AQ152" s="34">
        <f>VLOOKUP($R152,武学奇术!$A:$ZZ,29,FALSE)*(1+IF(OR($AM152=$F$4,$AM152=$F$5),$B$22,0))</f>
        <v>880</v>
      </c>
      <c r="AR152" s="33" cm="1">
        <f t="array" ref="AR152">$G$3+IFERROR(VLOOKUP($AM152,$F$4:$G$7,2,FALSE),0)+VLOOKUP($R152,武学奇术!$A:$ZZ,2,FALSE)+SUM(_xlfn.XLOOKUP($S152:$AL152,增益!$A:$A,增益!$B:$B,0))</f>
        <v>0.6489</v>
      </c>
      <c r="AS152" s="33" cm="1">
        <f t="array" ref="AS152">VLOOKUP($R152,武学奇术!$A:$ZZ,5,FALSE)+SUM(_xlfn.XLOOKUP($S152:$AL152,增益!$A:$A,增益!$E:$E,0))</f>
        <v>0</v>
      </c>
      <c r="AT152" cm="1">
        <f t="array" ref="AT152">$D$10*(1+$AS152)+VLOOKUP($R152,武学奇术!$A:$ZZ,3,FALSE)+SUM(_xlfn.XLOOKUP($S152:$AL152,增益!$A:$A,增益!$C:$C,0))-$I$2</f>
        <v>4026</v>
      </c>
      <c r="AU152" cm="1">
        <f t="array" ref="AU152">$E$10*(1+$AS152)+VLOOKUP($R152,武学奇术!$A:$ZZ,4,FALSE)+SUM(_xlfn.XLOOKUP($S152:$AL152,增益!$A:$A,增益!$D:$D,0))-$I$2</f>
        <v>4026</v>
      </c>
      <c r="AV152" s="40" cm="1">
        <f t="array" ref="AV152">IF($F$10-$I$3+VLOOKUP($R152,武学奇术!$A:$ZZ,6,FALSE)+SUM(_xlfn.XLOOKUP($S152:$AL152,增益!$A:$A,增益!$F:$F,0))&gt;0,($F$10-$I$3+VLOOKUP($R152,武学奇术!$A:$ZZ,6,FALSE)+SUM(_xlfn.XLOOKUP($S152:$AL152,增益!$A:$A,增益!$F:$F,0)))/200,($F$10-$I$3+VLOOKUP($R152,武学奇术!$A:$ZZ,6,FALSE)+SUM(_xlfn.XLOOKUP($S152:$AL152,增益!$A:$A,增益!$F:$F,0)))/100)</f>
        <v>0.3534</v>
      </c>
      <c r="AW152" s="40" cm="1">
        <f t="array" ref="AW152">$G$10+VLOOKUP($R152,武学奇术!$A:$ZZ,7,FALSE)+SUM(_xlfn.XLOOKUP($S152:$AL152,增益!$A:$A,增益!$G:$G,0))</f>
        <v>0.12</v>
      </c>
      <c r="AX152" s="33" cm="1">
        <f t="array" ref="AX152">VLOOKUP($R152,武学奇术!$A:$ZZ,8,FALSE)+SUM(_xlfn.XLOOKUP($S152:$AL152,增益!$A:$A,增益!$H:$H,0))</f>
        <v>0</v>
      </c>
      <c r="AY152">
        <f t="shared" si="34"/>
        <v>0</v>
      </c>
      <c r="AZ152">
        <f t="shared" si="35"/>
        <v>0</v>
      </c>
      <c r="BA152" s="40" cm="1">
        <f t="array" ref="BA152">IF($F$11-$I$4+VLOOKUP($R152,武学奇术!$A:$ZZ,9,FALSE)+SUM(_xlfn.XLOOKUP($S152:$AL152,增益!$A:$A,增益!$I:$I,0))&gt;0,($F$11-$I$4+VLOOKUP($R152,武学奇术!$A:$ZZ,9,FALSE)+SUM(_xlfn.XLOOKUP($S152:$AL152,增益!$A:$A,增益!$I:$I,0)))/200,($F$11-$I$4+VLOOKUP($R152,武学奇术!$A:$ZZ,9,FALSE)+SUM(_xlfn.XLOOKUP($S152:$AL152,增益!$A:$A,增益!$I:$I,0)))/100)</f>
        <v>-0.14</v>
      </c>
      <c r="BB152" s="40" cm="1">
        <f t="array" ref="BB152">$G$11+VLOOKUP($R152,武学奇术!$A:$ZZ,10,FALSE)+SUM(_xlfn.XLOOKUP($S152:$AL152,增益!$A:$A,增益!$J:$J,0))</f>
        <v>0</v>
      </c>
      <c r="BC152">
        <f t="shared" si="36"/>
        <v>640.3</v>
      </c>
      <c r="BD152">
        <f t="shared" si="37"/>
        <v>1770.1</v>
      </c>
      <c r="BE152" s="40" cm="1">
        <f t="array" ref="BE152">IF($F$12-$I$4+VLOOKUP($R152,武学奇术!$A:$ZZ,11,FALSE)+SUM(_xlfn.XLOOKUP($S152:$AL152,增益!$A:$A,增益!$K:$K,0))&gt;0,($F$12-$I$4+VLOOKUP($R152,武学奇术!$A:$ZZ,11,FALSE)+SUM(_xlfn.XLOOKUP($S152:$AL152,增益!$A:$A,增益!$K:$K,0)))/200,($F$12-$I$4+VLOOKUP($R152,武学奇术!$A:$ZZ,11,FALSE)+SUM(_xlfn.XLOOKUP($S152:$AL152,增益!$A:$A,增益!$K:$K,0)))/100)</f>
        <v>0.17</v>
      </c>
      <c r="BF152" s="40" cm="1">
        <f t="array" ref="BF152">$G$12+VLOOKUP($R152,武学奇术!$A:$ZZ,12,FALSE)+SUM(_xlfn.XLOOKUP($S152:$AL152,增益!$A:$A,增益!$L:$L,0))</f>
        <v>0.27</v>
      </c>
      <c r="BG152">
        <f t="shared" si="38"/>
        <v>0</v>
      </c>
      <c r="BH152">
        <f t="shared" si="39"/>
        <v>0</v>
      </c>
      <c r="BI152" s="40" cm="1">
        <f t="array" ref="BI152">IF($F$13-$I$4+VLOOKUP($R152,武学奇术!$A:$ZZ,13,FALSE)+SUM(_xlfn.XLOOKUP($S152:$AL152,增益!$A:$A,增益!$M:$M,0))&gt;0,($F$13-$I$4+VLOOKUP($R152,武学奇术!$A:$ZZ,13,FALSE)+SUM(_xlfn.XLOOKUP($S152:$AL152,增益!$A:$A,增益!$K:$K,0)))/200,($F$13-$I$4+VLOOKUP($R152,武学奇术!$A:$ZZ,13,FALSE)+SUM(_xlfn.XLOOKUP($S152:$AL152,增益!$A:$A,增益!$M:$M,0)))/100)</f>
        <v>-0.14</v>
      </c>
      <c r="BJ152" s="40" cm="1">
        <f t="array" ref="BJ152">$G$13+VLOOKUP($R152,武学奇术!$A:$ZZ,14,FALSE)+SUM(_xlfn.XLOOKUP($S152:$AL152,增益!$A:$A,增益!$N:$N,0))</f>
        <v>0</v>
      </c>
      <c r="BK152">
        <f t="shared" si="40"/>
        <v>0</v>
      </c>
      <c r="BL152">
        <f t="shared" si="41"/>
        <v>0</v>
      </c>
      <c r="BM152" s="40" cm="1">
        <f t="array" ref="BM152">IF($F$14-$I$4+VLOOKUP($R152,武学奇术!$A:$ZZ,15,FALSE)+SUM(_xlfn.XLOOKUP($S152:$AL152,增益!$A:$A,增益!$O:$O,0))&gt;0,($F$14-$I$4+VLOOKUP($R152,武学奇术!$A:$ZZ,15,FALSE)+SUM(_xlfn.XLOOKUP($S152:$AL152,增益!$A:$A,增益!$O:$O,0)))/200,($F$14-$I$4+VLOOKUP($R152,武学奇术!$A:$ZZ,15,FALSE)+SUM(_xlfn.XLOOKUP($S152:$AL152,增益!$A:$A,增益!$O:$O,0)))/100)</f>
        <v>-0.14</v>
      </c>
      <c r="BN152" s="40" cm="1">
        <f t="array" ref="BN152">$G$14+VLOOKUP($R152,武学奇术!$A:$ZZ,16,FALSE)+SUM(_xlfn.XLOOKUP($S152:$AL152,增益!$A:$A,增益!$P:$P,0))</f>
        <v>0</v>
      </c>
      <c r="BO152" s="33">
        <f>MIN(IF(VLOOKUP($R152,武学奇术!$A:$ZZ,23,FALSE)=1,100%,$B$8),100%)</f>
        <v>0.9771</v>
      </c>
      <c r="BP152" s="33" cm="1">
        <f t="array" ref="BP152">IF(VLOOKUP($R152,武学奇术!$A:$ZZ,23,FALSE)=1,100%,MIN(80%,$B$9+VLOOKUP($R152,武学奇术!$A:$ZZ,17,FALSE)+SUM(_xlfn.XLOOKUP($S152:$AL152,增益!$A:$A,增益!$Q:$Q,0)))+$B$11+SUM(_xlfn.XLOOKUP($S152:$AL152,增益!$A:$A,增益!$U:$U,0)))*IF(VLOOKUP($R152,武学奇术!$A:$ZZ,24,FALSE)=1,0,1)</f>
        <v>0.8861</v>
      </c>
      <c r="BQ152" s="33" cm="1">
        <f t="array" ref="BQ152">1+$B$13+VLOOKUP($R152,武学奇术!$A:$ZZ,18,FALSE)+SUM(_xlfn.XLOOKUP($S152:$AL152,增益!$A:$A,增益!$R:$R,0))</f>
        <v>1.93</v>
      </c>
      <c r="BR152" s="33" cm="1">
        <f t="array" ref="BR152">IF(VLOOKUP($R152,武学奇术!$A:$ZZ,24,FALSE)=1,100%,MIN(40%,$B$10+VLOOKUP($R152,武学奇术!$A:$ZZ,19,FALSE)+SUM(_xlfn.XLOOKUP($S152:$AL152,增益!$A:$A,增益!$S:$S,0)))+$B$12+SUM(_xlfn.XLOOKUP($S152:$AL152,增益!$A:$A,增益!$V:$V,0)))*IF(VLOOKUP($R152,武学奇术!$A:$ZZ,23,FALSE)=1,0,1)</f>
        <v>0.0913</v>
      </c>
      <c r="BS152" s="33" cm="1">
        <f t="array" ref="BS152">1+$B$14+VLOOKUP($R152,武学奇术!$A:$ZZ,20,FALSE)+SUM(_xlfn.XLOOKUP($S152:$AL152,增益!$A:$A,增益!$T:$T,0))</f>
        <v>1.35</v>
      </c>
      <c r="BT152" s="33">
        <f t="shared" si="42"/>
        <v>0.86580831</v>
      </c>
      <c r="BU152" s="33">
        <f t="shared" si="43"/>
        <v>0.02208246</v>
      </c>
      <c r="BV152" s="33">
        <f>IF(VLOOKUP($R152,武学奇术!$A:$ZZ,22,FALSE)=1,0,(1-$BO152))*(1-$BR152)</f>
        <v>0.02080923</v>
      </c>
      <c r="BW152" s="33" cm="1">
        <f t="array" ref="BW152">SUM(_xlfn.XLOOKUP($S152:$AL152,增益!$A:$A,增益!$W:$W,0))+$I$5</f>
        <v>0.11</v>
      </c>
      <c r="BX152" s="33" cm="1">
        <f t="array" ref="BX152">VLOOKUP($R152,武学奇术!$A:$ZZ,32,FALSE)+SUM(_xlfn.XLOOKUP($S152:$AL152,增益!$A:$A,增益!$X:$X,0))</f>
        <v>0</v>
      </c>
    </row>
    <row r="153" spans="12:76">
      <c r="L153" s="46">
        <f t="shared" si="33"/>
        <v>0</v>
      </c>
      <c r="M153" s="46">
        <f>((($AT153+$AU153)/2*$AN153+$AO153)*(1+$AV153)*(1+$AW153)+(($AY153+$AZ153)/2*IF($G$1="鸣金",$AP153,$AN153)+IF($G$1="鸣金",$AQ153*1.5,0))*(1+$BA153)*(1+$BB153)+(($BC153+$BD153)/2*IF($G$1="裂石",$AP153,$AN153)+IF($G$1="裂石",$AQ153*1.5,0))*(1+$BE153)*(1+$BF153)+(($BG153+$BH153)/2*IF($G$1="牵丝",$AP153,$AN153)+IF($G$1="牵丝",$AQ153*1.5,0))*(1+$BI153)*(1+$BJ153)+(($BK153+$BL153)/2*IF($G$1="破竹",$AP153,$AN153)+IF($G$1="破竹",$AQ153*1.5,0))*(1+$BM153)*(1+$BN153))*(1+$AR153)*$BQ153*$Q153*(1+IF(VLOOKUP($R153,武学奇术!$A:$ZZ,30,FALSE)="蓄力技",$B$21,0))*(1+IF(VLOOKUP($R153,武学奇术!$A:$ZZ,30,FALSE)="派生技",$B$20,0))*(1+$BW153)*(1+$BX153)</f>
        <v>0</v>
      </c>
      <c r="N153" s="46">
        <f>(($AU153*$AN153+$AO153)*(1+$AV153)*(1+$AW153)+($AZ153*IF($G$1="鸣金",$AP153,$AN153)+IF($G$1="鸣金",$AQ153*1.5,0))*(1+$BA153)*(1+$BB153)+($BD153*IF($G$1="裂石",$AP153,$AN153)+IF($G$1="裂石",$AQ153*1.5,0))*(1+$BE153)*(1+$BF153)+($BH153*IF($G$1="牵丝",$AP153,$AN153)+IF($G$1="牵丝",$AQ153*1.5,0))*(1+$BI153)*(1+$BJ153)+($BL153*IF($G$1="破竹",$AP153,$AN153)+IF($G$1="破竹",$AQ153*1.5,0))*(1+$BM153)*(1+$BN153))*(1+$AR153)*$BS153*$Q153*(1+IF(VLOOKUP($R153,武学奇术!$A:$ZZ,30,FALSE)="蓄力技",$B$21,0))*(1+IF(VLOOKUP($R153,武学奇术!$A:$ZZ,30,FALSE)="派生技",$B$20,0))*(1+$BW153)*(1+$BX153)</f>
        <v>0</v>
      </c>
      <c r="O153" s="46">
        <f>((($AT153+$AU153)/2*$AN153+$AO153)*(1+$AV153)*(1+$AW153)+(($AY153+$AZ153)/2*IF($G$1="鸣金",$AP153,$AN153)+IF($G$1="鸣金",$AQ153*1.5,0))*(1+$BA153)*(1+$BB153)+(($BC153+$BD153)/2*IF($G$1="裂石",$AP153,$AN153)+IF($G$1="裂石",$AQ153*1.5,0))*(1+$BE153)*(1+$BF153)+(($BG153+$BH153)/2*IF($G$1="牵丝",$AP153,$AN153)+IF($G$1="牵丝",$AQ153*1.5,0))*(1+$BI153)*(1+$BJ153)+(($BK153+$BL153)/2*IF($G$1="破竹",$AP153,$AN153)+IF($G$1="破竹",$AQ153*1.5,0))*(1+$BM153)*(1+$BN153))*(1+$AR153)*$Q153*(1+IF(VLOOKUP($R153,武学奇术!$A:$ZZ,30,FALSE)="蓄力技",$B$21,0))*(1+IF(VLOOKUP($R153,武学奇术!$A:$ZZ,30,FALSE)="派生技",$B$20,0))*(1+$BW153)*(1+$BX153)</f>
        <v>0</v>
      </c>
      <c r="P153" s="46">
        <f>((($AT153*$AN153+$AO153)*(1+$AV153)*(1+$AW153)+($AY153*IF($G$1="鸣金",$AP153,$AN153)+IF($G$1="鸣金",$AQ153*1.5,0))*(1+$BA153)*(1+$BB153)+($BC153*IF($G$1="裂石",$AP153,$AN153)+IF($G$1="裂石",$AQ153*1.5,0))*(1+$BE153)*(1+$BF153)+($BG153*IF($G$1="牵丝",$AP153,$AN153)+IF($G$1="牵丝",$AQ153*1.5,0))*(1+$BI153)*(1+$BJ153)+($BK153*IF($G$1="破竹",$AP153,$AN153)+IF($G$1="破竹",$AQ153*1.5,0))*(1+$BM153)*(1+$BN153))*(1+$AR153))*$Q153*(1+IF(VLOOKUP($R153,武学奇术!$A:$ZZ,30,FALSE)="蓄力技",$B$21,0))*(1+IF(VLOOKUP($R153,武学奇术!$A:$ZZ,30,FALSE)="派生技",$B$20,0))*(1+$BW153)*(1+$BX153)</f>
        <v>0</v>
      </c>
      <c r="Q153" s="47">
        <f t="shared" si="45"/>
        <v>0</v>
      </c>
      <c r="R153" s="48" t="s">
        <v>196</v>
      </c>
      <c r="S153" s="48" t="s">
        <v>99</v>
      </c>
      <c r="T153" s="48" t="s">
        <v>95</v>
      </c>
      <c r="U153" s="48" t="s">
        <v>79</v>
      </c>
      <c r="V153" s="48" t="s">
        <v>90</v>
      </c>
      <c r="W153" s="48" t="s">
        <v>141</v>
      </c>
      <c r="X153" s="48" t="s">
        <v>80</v>
      </c>
      <c r="Y153" s="48" t="s">
        <v>74</v>
      </c>
      <c r="Z153" s="48" t="s">
        <v>81</v>
      </c>
      <c r="AA153" s="48" t="s">
        <v>80</v>
      </c>
      <c r="AB153" s="48" t="s">
        <v>80</v>
      </c>
      <c r="AC153" s="48" t="s">
        <v>80</v>
      </c>
      <c r="AD153" s="48" t="s">
        <v>80</v>
      </c>
      <c r="AE153" s="48" t="s">
        <v>80</v>
      </c>
      <c r="AF153" s="48" t="s">
        <v>83</v>
      </c>
      <c r="AG153" s="48" t="s">
        <v>84</v>
      </c>
      <c r="AH153" s="48" t="s">
        <v>80</v>
      </c>
      <c r="AI153" s="48" t="s">
        <v>80</v>
      </c>
      <c r="AJ153" s="48" t="s">
        <v>80</v>
      </c>
      <c r="AK153" s="48" t="s">
        <v>80</v>
      </c>
      <c r="AL153" s="48" t="s">
        <v>80</v>
      </c>
      <c r="AM153" t="str">
        <f>VLOOKUP($R153,武学奇术!$A:$ZZ,25,FALSE)</f>
        <v>横刀</v>
      </c>
      <c r="AN153" s="33">
        <f>VLOOKUP($R153,武学奇术!$A:$ZZ,26,FALSE)</f>
        <v>1.47</v>
      </c>
      <c r="AO153" s="34">
        <f>VLOOKUP($R153,武学奇术!$A:$ZZ,27,FALSE)*(1+IF(OR($AM153=$F$4,$AM153=$F$5),$B$22,0))</f>
        <v>0</v>
      </c>
      <c r="AP153" s="33">
        <f>VLOOKUP($R153,武学奇术!$A:$ZZ,28,FALSE)</f>
        <v>2.205</v>
      </c>
      <c r="AQ153" s="34">
        <f>VLOOKUP($R153,武学奇术!$A:$ZZ,29,FALSE)*(1+IF(OR($AM153=$F$4,$AM153=$F$5),$B$22,0))</f>
        <v>0</v>
      </c>
      <c r="AR153" s="33" cm="1">
        <f t="array" ref="AR153">$G$3+IFERROR(VLOOKUP($AM153,$F$4:$G$7,2,FALSE),0)+VLOOKUP($R153,武学奇术!$A:$ZZ,2,FALSE)+SUM(_xlfn.XLOOKUP($S153:$AL153,增益!$A:$A,增益!$B:$B,0))</f>
        <v>0.5489</v>
      </c>
      <c r="AS153" s="33" cm="1">
        <f t="array" ref="AS153">VLOOKUP($R153,武学奇术!$A:$ZZ,5,FALSE)+SUM(_xlfn.XLOOKUP($S153:$AL153,增益!$A:$A,增益!$E:$E,0))</f>
        <v>0</v>
      </c>
      <c r="AT153" cm="1">
        <f t="array" ref="AT153">$D$10*(1+$AS153)+VLOOKUP($R153,武学奇术!$A:$ZZ,3,FALSE)+SUM(_xlfn.XLOOKUP($S153:$AL153,增益!$A:$A,增益!$C:$C,0))-$I$2</f>
        <v>4026</v>
      </c>
      <c r="AU153" cm="1">
        <f t="array" ref="AU153">$E$10*(1+$AS153)+VLOOKUP($R153,武学奇术!$A:$ZZ,4,FALSE)+SUM(_xlfn.XLOOKUP($S153:$AL153,增益!$A:$A,增益!$D:$D,0))-$I$2</f>
        <v>4026</v>
      </c>
      <c r="AV153" s="40" cm="1">
        <f t="array" ref="AV153">IF($F$10-$I$3+VLOOKUP($R153,武学奇术!$A:$ZZ,6,FALSE)+SUM(_xlfn.XLOOKUP($S153:$AL153,增益!$A:$A,增益!$F:$F,0))&gt;0,($F$10-$I$3+VLOOKUP($R153,武学奇术!$A:$ZZ,6,FALSE)+SUM(_xlfn.XLOOKUP($S153:$AL153,增益!$A:$A,增益!$F:$F,0)))/200,($F$10-$I$3+VLOOKUP($R153,武学奇术!$A:$ZZ,6,FALSE)+SUM(_xlfn.XLOOKUP($S153:$AL153,增益!$A:$A,增益!$F:$F,0)))/100)</f>
        <v>0.3534</v>
      </c>
      <c r="AW153" s="40" cm="1">
        <f t="array" ref="AW153">$G$10+VLOOKUP($R153,武学奇术!$A:$ZZ,7,FALSE)+SUM(_xlfn.XLOOKUP($S153:$AL153,增益!$A:$A,增益!$G:$G,0))</f>
        <v>0.12</v>
      </c>
      <c r="AX153" s="33" cm="1">
        <f t="array" ref="AX153">VLOOKUP($R153,武学奇术!$A:$ZZ,8,FALSE)+SUM(_xlfn.XLOOKUP($S153:$AL153,增益!$A:$A,增益!$H:$H,0))</f>
        <v>0</v>
      </c>
      <c r="AY153">
        <f t="shared" si="34"/>
        <v>0</v>
      </c>
      <c r="AZ153">
        <f t="shared" si="35"/>
        <v>0</v>
      </c>
      <c r="BA153" s="40" cm="1">
        <f t="array" ref="BA153">IF($F$11-$I$4+VLOOKUP($R153,武学奇术!$A:$ZZ,9,FALSE)+SUM(_xlfn.XLOOKUP($S153:$AL153,增益!$A:$A,增益!$I:$I,0))&gt;0,($F$11-$I$4+VLOOKUP($R153,武学奇术!$A:$ZZ,9,FALSE)+SUM(_xlfn.XLOOKUP($S153:$AL153,增益!$A:$A,增益!$I:$I,0)))/200,($F$11-$I$4+VLOOKUP($R153,武学奇术!$A:$ZZ,9,FALSE)+SUM(_xlfn.XLOOKUP($S153:$AL153,增益!$A:$A,增益!$I:$I,0)))/100)</f>
        <v>-0.14</v>
      </c>
      <c r="BB153" s="40" cm="1">
        <f t="array" ref="BB153">$G$11+VLOOKUP($R153,武学奇术!$A:$ZZ,10,FALSE)+SUM(_xlfn.XLOOKUP($S153:$AL153,增益!$A:$A,增益!$J:$J,0))</f>
        <v>0</v>
      </c>
      <c r="BC153">
        <f t="shared" si="36"/>
        <v>640.3</v>
      </c>
      <c r="BD153">
        <f t="shared" si="37"/>
        <v>1770.1</v>
      </c>
      <c r="BE153" s="40" cm="1">
        <f t="array" ref="BE153">IF($F$12-$I$4+VLOOKUP($R153,武学奇术!$A:$ZZ,11,FALSE)+SUM(_xlfn.XLOOKUP($S153:$AL153,增益!$A:$A,增益!$K:$K,0))&gt;0,($F$12-$I$4+VLOOKUP($R153,武学奇术!$A:$ZZ,11,FALSE)+SUM(_xlfn.XLOOKUP($S153:$AL153,增益!$A:$A,增益!$K:$K,0)))/200,($F$12-$I$4+VLOOKUP($R153,武学奇术!$A:$ZZ,11,FALSE)+SUM(_xlfn.XLOOKUP($S153:$AL153,增益!$A:$A,增益!$K:$K,0)))/100)</f>
        <v>0.17</v>
      </c>
      <c r="BF153" s="40" cm="1">
        <f t="array" ref="BF153">$G$12+VLOOKUP($R153,武学奇术!$A:$ZZ,12,FALSE)+SUM(_xlfn.XLOOKUP($S153:$AL153,增益!$A:$A,增益!$L:$L,0))</f>
        <v>0.27</v>
      </c>
      <c r="BG153">
        <f t="shared" si="38"/>
        <v>0</v>
      </c>
      <c r="BH153">
        <f t="shared" si="39"/>
        <v>0</v>
      </c>
      <c r="BI153" s="40" cm="1">
        <f t="array" ref="BI153">IF($F$13-$I$4+VLOOKUP($R153,武学奇术!$A:$ZZ,13,FALSE)+SUM(_xlfn.XLOOKUP($S153:$AL153,增益!$A:$A,增益!$M:$M,0))&gt;0,($F$13-$I$4+VLOOKUP($R153,武学奇术!$A:$ZZ,13,FALSE)+SUM(_xlfn.XLOOKUP($S153:$AL153,增益!$A:$A,增益!$K:$K,0)))/200,($F$13-$I$4+VLOOKUP($R153,武学奇术!$A:$ZZ,13,FALSE)+SUM(_xlfn.XLOOKUP($S153:$AL153,增益!$A:$A,增益!$M:$M,0)))/100)</f>
        <v>-0.14</v>
      </c>
      <c r="BJ153" s="40" cm="1">
        <f t="array" ref="BJ153">$G$13+VLOOKUP($R153,武学奇术!$A:$ZZ,14,FALSE)+SUM(_xlfn.XLOOKUP($S153:$AL153,增益!$A:$A,增益!$N:$N,0))</f>
        <v>0</v>
      </c>
      <c r="BK153">
        <f t="shared" si="40"/>
        <v>0</v>
      </c>
      <c r="BL153">
        <f t="shared" si="41"/>
        <v>0</v>
      </c>
      <c r="BM153" s="40" cm="1">
        <f t="array" ref="BM153">IF($F$14-$I$4+VLOOKUP($R153,武学奇术!$A:$ZZ,15,FALSE)+SUM(_xlfn.XLOOKUP($S153:$AL153,增益!$A:$A,增益!$O:$O,0))&gt;0,($F$14-$I$4+VLOOKUP($R153,武学奇术!$A:$ZZ,15,FALSE)+SUM(_xlfn.XLOOKUP($S153:$AL153,增益!$A:$A,增益!$O:$O,0)))/200,($F$14-$I$4+VLOOKUP($R153,武学奇术!$A:$ZZ,15,FALSE)+SUM(_xlfn.XLOOKUP($S153:$AL153,增益!$A:$A,增益!$O:$O,0)))/100)</f>
        <v>-0.14</v>
      </c>
      <c r="BN153" s="40" cm="1">
        <f t="array" ref="BN153">$G$14+VLOOKUP($R153,武学奇术!$A:$ZZ,16,FALSE)+SUM(_xlfn.XLOOKUP($S153:$AL153,增益!$A:$A,增益!$P:$P,0))</f>
        <v>0</v>
      </c>
      <c r="BO153" s="33">
        <f>MIN(IF(VLOOKUP($R153,武学奇术!$A:$ZZ,23,FALSE)=1,100%,$B$8),100%)</f>
        <v>0.9771</v>
      </c>
      <c r="BP153" s="33" cm="1">
        <f t="array" ref="BP153">IF(VLOOKUP($R153,武学奇术!$A:$ZZ,23,FALSE)=1,100%,MIN(80%,$B$9+VLOOKUP($R153,武学奇术!$A:$ZZ,17,FALSE)+SUM(_xlfn.XLOOKUP($S153:$AL153,增益!$A:$A,增益!$Q:$Q,0)))+$B$11+SUM(_xlfn.XLOOKUP($S153:$AL153,增益!$A:$A,增益!$U:$U,0)))*IF(VLOOKUP($R153,武学奇术!$A:$ZZ,24,FALSE)=1,0,1)</f>
        <v>0.8861</v>
      </c>
      <c r="BQ153" s="33" cm="1">
        <f t="array" ref="BQ153">1+$B$13+VLOOKUP($R153,武学奇术!$A:$ZZ,18,FALSE)+SUM(_xlfn.XLOOKUP($S153:$AL153,增益!$A:$A,增益!$R:$R,0))</f>
        <v>1.93</v>
      </c>
      <c r="BR153" s="33" cm="1">
        <f t="array" ref="BR153">IF(VLOOKUP($R153,武学奇术!$A:$ZZ,24,FALSE)=1,100%,MIN(40%,$B$10+VLOOKUP($R153,武学奇术!$A:$ZZ,19,FALSE)+SUM(_xlfn.XLOOKUP($S153:$AL153,增益!$A:$A,增益!$S:$S,0)))+$B$12+SUM(_xlfn.XLOOKUP($S153:$AL153,增益!$A:$A,增益!$V:$V,0)))*IF(VLOOKUP($R153,武学奇术!$A:$ZZ,23,FALSE)=1,0,1)</f>
        <v>0.0913</v>
      </c>
      <c r="BS153" s="33" cm="1">
        <f t="array" ref="BS153">1+$B$14+VLOOKUP($R153,武学奇术!$A:$ZZ,20,FALSE)+SUM(_xlfn.XLOOKUP($S153:$AL153,增益!$A:$A,增益!$T:$T,0))</f>
        <v>1.35</v>
      </c>
      <c r="BT153" s="33">
        <f t="shared" si="42"/>
        <v>0.86580831</v>
      </c>
      <c r="BU153" s="33">
        <f t="shared" si="43"/>
        <v>0.02208246</v>
      </c>
      <c r="BV153" s="33">
        <f>IF(VLOOKUP($R153,武学奇术!$A:$ZZ,22,FALSE)=1,0,(1-$BO153))*(1-$BR153)</f>
        <v>0.02080923</v>
      </c>
      <c r="BW153" s="33" cm="1">
        <f t="array" ref="BW153">SUM(_xlfn.XLOOKUP($S153:$AL153,增益!$A:$A,增益!$W:$W,0))+$I$5</f>
        <v>0.11</v>
      </c>
      <c r="BX153" s="33" cm="1">
        <f t="array" ref="BX153">VLOOKUP($R153,武学奇术!$A:$ZZ,32,FALSE)+SUM(_xlfn.XLOOKUP($S153:$AL153,增益!$A:$A,增益!$X:$X,0))</f>
        <v>0.4</v>
      </c>
    </row>
    <row r="154" spans="12:76">
      <c r="L154" s="46">
        <f t="shared" si="33"/>
        <v>0</v>
      </c>
      <c r="M154" s="46">
        <f>((($AT154+$AU154)/2*$AN154+$AO154)*(1+$AV154)*(1+$AW154)+(($AY154+$AZ154)/2*IF($G$1="鸣金",$AP154,$AN154)+IF($G$1="鸣金",$AQ154*1.5,0))*(1+$BA154)*(1+$BB154)+(($BC154+$BD154)/2*IF($G$1="裂石",$AP154,$AN154)+IF($G$1="裂石",$AQ154*1.5,0))*(1+$BE154)*(1+$BF154)+(($BG154+$BH154)/2*IF($G$1="牵丝",$AP154,$AN154)+IF($G$1="牵丝",$AQ154*1.5,0))*(1+$BI154)*(1+$BJ154)+(($BK154+$BL154)/2*IF($G$1="破竹",$AP154,$AN154)+IF($G$1="破竹",$AQ154*1.5,0))*(1+$BM154)*(1+$BN154))*(1+$AR154)*$BQ154*$Q154*(1+IF(VLOOKUP($R154,武学奇术!$A:$ZZ,30,FALSE)="蓄力技",$B$21,0))*(1+IF(VLOOKUP($R154,武学奇术!$A:$ZZ,30,FALSE)="派生技",$B$20,0))*(1+$BW154)*(1+$BX154)</f>
        <v>0</v>
      </c>
      <c r="N154" s="46">
        <f>(($AU154*$AN154+$AO154)*(1+$AV154)*(1+$AW154)+($AZ154*IF($G$1="鸣金",$AP154,$AN154)+IF($G$1="鸣金",$AQ154*1.5,0))*(1+$BA154)*(1+$BB154)+($BD154*IF($G$1="裂石",$AP154,$AN154)+IF($G$1="裂石",$AQ154*1.5,0))*(1+$BE154)*(1+$BF154)+($BH154*IF($G$1="牵丝",$AP154,$AN154)+IF($G$1="牵丝",$AQ154*1.5,0))*(1+$BI154)*(1+$BJ154)+($BL154*IF($G$1="破竹",$AP154,$AN154)+IF($G$1="破竹",$AQ154*1.5,0))*(1+$BM154)*(1+$BN154))*(1+$AR154)*$BS154*$Q154*(1+IF(VLOOKUP($R154,武学奇术!$A:$ZZ,30,FALSE)="蓄力技",$B$21,0))*(1+IF(VLOOKUP($R154,武学奇术!$A:$ZZ,30,FALSE)="派生技",$B$20,0))*(1+$BW154)*(1+$BX154)</f>
        <v>0</v>
      </c>
      <c r="O154" s="46">
        <f>((($AT154+$AU154)/2*$AN154+$AO154)*(1+$AV154)*(1+$AW154)+(($AY154+$AZ154)/2*IF($G$1="鸣金",$AP154,$AN154)+IF($G$1="鸣金",$AQ154*1.5,0))*(1+$BA154)*(1+$BB154)+(($BC154+$BD154)/2*IF($G$1="裂石",$AP154,$AN154)+IF($G$1="裂石",$AQ154*1.5,0))*(1+$BE154)*(1+$BF154)+(($BG154+$BH154)/2*IF($G$1="牵丝",$AP154,$AN154)+IF($G$1="牵丝",$AQ154*1.5,0))*(1+$BI154)*(1+$BJ154)+(($BK154+$BL154)/2*IF($G$1="破竹",$AP154,$AN154)+IF($G$1="破竹",$AQ154*1.5,0))*(1+$BM154)*(1+$BN154))*(1+$AR154)*$Q154*(1+IF(VLOOKUP($R154,武学奇术!$A:$ZZ,30,FALSE)="蓄力技",$B$21,0))*(1+IF(VLOOKUP($R154,武学奇术!$A:$ZZ,30,FALSE)="派生技",$B$20,0))*(1+$BW154)*(1+$BX154)</f>
        <v>0</v>
      </c>
      <c r="P154" s="46">
        <f>((($AT154*$AN154+$AO154)*(1+$AV154)*(1+$AW154)+($AY154*IF($G$1="鸣金",$AP154,$AN154)+IF($G$1="鸣金",$AQ154*1.5,0))*(1+$BA154)*(1+$BB154)+($BC154*IF($G$1="裂石",$AP154,$AN154)+IF($G$1="裂石",$AQ154*1.5,0))*(1+$BE154)*(1+$BF154)+($BG154*IF($G$1="牵丝",$AP154,$AN154)+IF($G$1="牵丝",$AQ154*1.5,0))*(1+$BI154)*(1+$BJ154)+($BK154*IF($G$1="破竹",$AP154,$AN154)+IF($G$1="破竹",$AQ154*1.5,0))*(1+$BM154)*(1+$BN154))*(1+$AR154))*$Q154*(1+IF(VLOOKUP($R154,武学奇术!$A:$ZZ,30,FALSE)="蓄力技",$B$21,0))*(1+IF(VLOOKUP($R154,武学奇术!$A:$ZZ,30,FALSE)="派生技",$B$20,0))*(1+$BW154)*(1+$BX154)</f>
        <v>0</v>
      </c>
      <c r="Q154" s="47">
        <f t="shared" si="45"/>
        <v>0</v>
      </c>
      <c r="R154" s="48" t="s">
        <v>197</v>
      </c>
      <c r="S154" s="48" t="s">
        <v>99</v>
      </c>
      <c r="T154" s="48" t="s">
        <v>100</v>
      </c>
      <c r="U154" s="48" t="s">
        <v>79</v>
      </c>
      <c r="V154" s="48" t="s">
        <v>90</v>
      </c>
      <c r="W154" s="48" t="s">
        <v>91</v>
      </c>
      <c r="X154" s="48" t="s">
        <v>80</v>
      </c>
      <c r="Y154" s="48" t="s">
        <v>80</v>
      </c>
      <c r="Z154" s="48" t="s">
        <v>81</v>
      </c>
      <c r="AA154" s="48" t="s">
        <v>80</v>
      </c>
      <c r="AB154" s="48" t="s">
        <v>80</v>
      </c>
      <c r="AC154" s="48" t="s">
        <v>80</v>
      </c>
      <c r="AD154" s="48" t="s">
        <v>80</v>
      </c>
      <c r="AE154" s="48" t="s">
        <v>80</v>
      </c>
      <c r="AF154" s="48" t="s">
        <v>83</v>
      </c>
      <c r="AG154" s="48" t="s">
        <v>84</v>
      </c>
      <c r="AH154" s="48" t="s">
        <v>80</v>
      </c>
      <c r="AI154" s="48" t="s">
        <v>80</v>
      </c>
      <c r="AJ154" s="48" t="s">
        <v>80</v>
      </c>
      <c r="AK154" s="48" t="s">
        <v>80</v>
      </c>
      <c r="AL154" s="48" t="s">
        <v>80</v>
      </c>
      <c r="AM154" t="str">
        <f>VLOOKUP($R154,武学奇术!$A:$ZZ,25,FALSE)</f>
        <v>横刀</v>
      </c>
      <c r="AN154" s="33">
        <f>VLOOKUP($R154,武学奇术!$A:$ZZ,26,FALSE)</f>
        <v>2.4495</v>
      </c>
      <c r="AO154" s="34">
        <f>VLOOKUP($R154,武学奇术!$A:$ZZ,27,FALSE)*(1+IF(OR($AM154=$F$4,$AM154=$F$5),$B$22,0))</f>
        <v>1083.2</v>
      </c>
      <c r="AP154" s="33">
        <f>VLOOKUP($R154,武学奇术!$A:$ZZ,28,FALSE)</f>
        <v>3.6743</v>
      </c>
      <c r="AQ154" s="34">
        <f>VLOOKUP($R154,武学奇术!$A:$ZZ,29,FALSE)*(1+IF(OR($AM154=$F$4,$AM154=$F$5),$B$22,0))</f>
        <v>588.8</v>
      </c>
      <c r="AR154" s="33" cm="1">
        <f t="array" ref="AR154">$G$3+IFERROR(VLOOKUP($AM154,$F$4:$G$7,2,FALSE),0)+VLOOKUP($R154,武学奇术!$A:$ZZ,2,FALSE)+SUM(_xlfn.XLOOKUP($S154:$AL154,增益!$A:$A,增益!$B:$B,0))</f>
        <v>0.4689</v>
      </c>
      <c r="AS154" s="33" cm="1">
        <f t="array" ref="AS154">VLOOKUP($R154,武学奇术!$A:$ZZ,5,FALSE)+SUM(_xlfn.XLOOKUP($S154:$AL154,增益!$A:$A,增益!$E:$E,0))</f>
        <v>0</v>
      </c>
      <c r="AT154" cm="1">
        <f t="array" ref="AT154">$D$10*(1+$AS154)+VLOOKUP($R154,武学奇术!$A:$ZZ,3,FALSE)+SUM(_xlfn.XLOOKUP($S154:$AL154,增益!$A:$A,增益!$C:$C,0))-$I$2</f>
        <v>4026</v>
      </c>
      <c r="AU154" cm="1">
        <f t="array" ref="AU154">$E$10*(1+$AS154)+VLOOKUP($R154,武学奇术!$A:$ZZ,4,FALSE)+SUM(_xlfn.XLOOKUP($S154:$AL154,增益!$A:$A,增益!$D:$D,0))-$I$2</f>
        <v>4026</v>
      </c>
      <c r="AV154" s="40" cm="1">
        <f t="array" ref="AV154">IF($F$10-$I$3+VLOOKUP($R154,武学奇术!$A:$ZZ,6,FALSE)+SUM(_xlfn.XLOOKUP($S154:$AL154,增益!$A:$A,增益!$F:$F,0))&gt;0,($F$10-$I$3+VLOOKUP($R154,武学奇术!$A:$ZZ,6,FALSE)+SUM(_xlfn.XLOOKUP($S154:$AL154,增益!$A:$A,增益!$F:$F,0)))/200,($F$10-$I$3+VLOOKUP($R154,武学奇术!$A:$ZZ,6,FALSE)+SUM(_xlfn.XLOOKUP($S154:$AL154,增益!$A:$A,增益!$F:$F,0)))/100)</f>
        <v>0.3284</v>
      </c>
      <c r="AW154" s="40" cm="1">
        <f t="array" ref="AW154">$G$10+VLOOKUP($R154,武学奇术!$A:$ZZ,7,FALSE)+SUM(_xlfn.XLOOKUP($S154:$AL154,增益!$A:$A,增益!$G:$G,0))</f>
        <v>0.12</v>
      </c>
      <c r="AX154" s="33" cm="1">
        <f t="array" ref="AX154">VLOOKUP($R154,武学奇术!$A:$ZZ,8,FALSE)+SUM(_xlfn.XLOOKUP($S154:$AL154,增益!$A:$A,增益!$H:$H,0))</f>
        <v>0</v>
      </c>
      <c r="AY154">
        <f t="shared" si="34"/>
        <v>0</v>
      </c>
      <c r="AZ154">
        <f t="shared" si="35"/>
        <v>0</v>
      </c>
      <c r="BA154" s="40" cm="1">
        <f t="array" ref="BA154">IF($F$11-$I$4+VLOOKUP($R154,武学奇术!$A:$ZZ,9,FALSE)+SUM(_xlfn.XLOOKUP($S154:$AL154,增益!$A:$A,增益!$I:$I,0))&gt;0,($F$11-$I$4+VLOOKUP($R154,武学奇术!$A:$ZZ,9,FALSE)+SUM(_xlfn.XLOOKUP($S154:$AL154,增益!$A:$A,增益!$I:$I,0)))/200,($F$11-$I$4+VLOOKUP($R154,武学奇术!$A:$ZZ,9,FALSE)+SUM(_xlfn.XLOOKUP($S154:$AL154,增益!$A:$A,增益!$I:$I,0)))/100)</f>
        <v>-0.14</v>
      </c>
      <c r="BB154" s="40" cm="1">
        <f t="array" ref="BB154">$G$11+VLOOKUP($R154,武学奇术!$A:$ZZ,10,FALSE)+SUM(_xlfn.XLOOKUP($S154:$AL154,增益!$A:$A,增益!$J:$J,0))</f>
        <v>0</v>
      </c>
      <c r="BC154">
        <f t="shared" si="36"/>
        <v>640.3</v>
      </c>
      <c r="BD154">
        <f t="shared" si="37"/>
        <v>1770.1</v>
      </c>
      <c r="BE154" s="40" cm="1">
        <f t="array" ref="BE154">IF($F$12-$I$4+VLOOKUP($R154,武学奇术!$A:$ZZ,11,FALSE)+SUM(_xlfn.XLOOKUP($S154:$AL154,增益!$A:$A,增益!$K:$K,0))&gt;0,($F$12-$I$4+VLOOKUP($R154,武学奇术!$A:$ZZ,11,FALSE)+SUM(_xlfn.XLOOKUP($S154:$AL154,增益!$A:$A,增益!$K:$K,0)))/200,($F$12-$I$4+VLOOKUP($R154,武学奇术!$A:$ZZ,11,FALSE)+SUM(_xlfn.XLOOKUP($S154:$AL154,增益!$A:$A,增益!$K:$K,0)))/100)</f>
        <v>0.17</v>
      </c>
      <c r="BF154" s="40" cm="1">
        <f t="array" ref="BF154">$G$12+VLOOKUP($R154,武学奇术!$A:$ZZ,12,FALSE)+SUM(_xlfn.XLOOKUP($S154:$AL154,增益!$A:$A,增益!$L:$L,0))</f>
        <v>0.27</v>
      </c>
      <c r="BG154">
        <f t="shared" si="38"/>
        <v>0</v>
      </c>
      <c r="BH154">
        <f t="shared" si="39"/>
        <v>0</v>
      </c>
      <c r="BI154" s="40" cm="1">
        <f t="array" ref="BI154">IF($F$13-$I$4+VLOOKUP($R154,武学奇术!$A:$ZZ,13,FALSE)+SUM(_xlfn.XLOOKUP($S154:$AL154,增益!$A:$A,增益!$M:$M,0))&gt;0,($F$13-$I$4+VLOOKUP($R154,武学奇术!$A:$ZZ,13,FALSE)+SUM(_xlfn.XLOOKUP($S154:$AL154,增益!$A:$A,增益!$K:$K,0)))/200,($F$13-$I$4+VLOOKUP($R154,武学奇术!$A:$ZZ,13,FALSE)+SUM(_xlfn.XLOOKUP($S154:$AL154,增益!$A:$A,增益!$M:$M,0)))/100)</f>
        <v>-0.14</v>
      </c>
      <c r="BJ154" s="40" cm="1">
        <f t="array" ref="BJ154">$G$13+VLOOKUP($R154,武学奇术!$A:$ZZ,14,FALSE)+SUM(_xlfn.XLOOKUP($S154:$AL154,增益!$A:$A,增益!$N:$N,0))</f>
        <v>0</v>
      </c>
      <c r="BK154">
        <f t="shared" si="40"/>
        <v>0</v>
      </c>
      <c r="BL154">
        <f t="shared" si="41"/>
        <v>0</v>
      </c>
      <c r="BM154" s="40" cm="1">
        <f t="array" ref="BM154">IF($F$14-$I$4+VLOOKUP($R154,武学奇术!$A:$ZZ,15,FALSE)+SUM(_xlfn.XLOOKUP($S154:$AL154,增益!$A:$A,增益!$O:$O,0))&gt;0,($F$14-$I$4+VLOOKUP($R154,武学奇术!$A:$ZZ,15,FALSE)+SUM(_xlfn.XLOOKUP($S154:$AL154,增益!$A:$A,增益!$O:$O,0)))/200,($F$14-$I$4+VLOOKUP($R154,武学奇术!$A:$ZZ,15,FALSE)+SUM(_xlfn.XLOOKUP($S154:$AL154,增益!$A:$A,增益!$O:$O,0)))/100)</f>
        <v>-0.14</v>
      </c>
      <c r="BN154" s="40" cm="1">
        <f t="array" ref="BN154">$G$14+VLOOKUP($R154,武学奇术!$A:$ZZ,16,FALSE)+SUM(_xlfn.XLOOKUP($S154:$AL154,增益!$A:$A,增益!$P:$P,0))</f>
        <v>0</v>
      </c>
      <c r="BO154" s="33">
        <f>MIN(IF(VLOOKUP($R154,武学奇术!$A:$ZZ,23,FALSE)=1,100%,$B$8),100%)</f>
        <v>0.9771</v>
      </c>
      <c r="BP154" s="33" cm="1">
        <f t="array" ref="BP154">IF(VLOOKUP($R154,武学奇术!$A:$ZZ,23,FALSE)=1,100%,MIN(80%,$B$9+VLOOKUP($R154,武学奇术!$A:$ZZ,17,FALSE)+SUM(_xlfn.XLOOKUP($S154:$AL154,增益!$A:$A,增益!$Q:$Q,0)))+$B$11+SUM(_xlfn.XLOOKUP($S154:$AL154,增益!$A:$A,增益!$U:$U,0)))*IF(VLOOKUP($R154,武学奇术!$A:$ZZ,24,FALSE)=1,0,1)</f>
        <v>0.8861</v>
      </c>
      <c r="BQ154" s="33" cm="1">
        <f t="array" ref="BQ154">1+$B$13+VLOOKUP($R154,武学奇术!$A:$ZZ,18,FALSE)+SUM(_xlfn.XLOOKUP($S154:$AL154,增益!$A:$A,增益!$R:$R,0))</f>
        <v>1.89</v>
      </c>
      <c r="BR154" s="33" cm="1">
        <f t="array" ref="BR154">IF(VLOOKUP($R154,武学奇术!$A:$ZZ,24,FALSE)=1,100%,MIN(40%,$B$10+VLOOKUP($R154,武学奇术!$A:$ZZ,19,FALSE)+SUM(_xlfn.XLOOKUP($S154:$AL154,增益!$A:$A,增益!$S:$S,0)))+$B$12+SUM(_xlfn.XLOOKUP($S154:$AL154,增益!$A:$A,增益!$V:$V,0)))*IF(VLOOKUP($R154,武学奇术!$A:$ZZ,23,FALSE)=1,0,1)</f>
        <v>0.0913</v>
      </c>
      <c r="BS154" s="33" cm="1">
        <f t="array" ref="BS154">1+$B$14+VLOOKUP($R154,武学奇术!$A:$ZZ,20,FALSE)+SUM(_xlfn.XLOOKUP($S154:$AL154,增益!$A:$A,增益!$T:$T,0))</f>
        <v>1.35</v>
      </c>
      <c r="BT154" s="33">
        <f t="shared" si="42"/>
        <v>0.86580831</v>
      </c>
      <c r="BU154" s="33">
        <f t="shared" si="43"/>
        <v>0.02208246</v>
      </c>
      <c r="BV154" s="33">
        <f>IF(VLOOKUP($R154,武学奇术!$A:$ZZ,22,FALSE)=1,0,(1-$BO154))*(1-$BR154)</f>
        <v>0.02080923</v>
      </c>
      <c r="BW154" s="33" cm="1">
        <f t="array" ref="BW154">SUM(_xlfn.XLOOKUP($S154:$AL154,增益!$A:$A,增益!$W:$W,0))+$I$5</f>
        <v>0.11</v>
      </c>
      <c r="BX154" s="33" cm="1">
        <f t="array" ref="BX154">VLOOKUP($R154,武学奇术!$A:$ZZ,32,FALSE)+SUM(_xlfn.XLOOKUP($S154:$AL154,增益!$A:$A,增益!$X:$X,0))</f>
        <v>0</v>
      </c>
    </row>
    <row r="155" spans="12:76">
      <c r="L155" s="46">
        <f t="shared" si="33"/>
        <v>0</v>
      </c>
      <c r="M155" s="46">
        <f>((($AT155+$AU155)/2*$AN155+$AO155)*(1+$AV155)*(1+$AW155)+(($AY155+$AZ155)/2*IF($G$1="鸣金",$AP155,$AN155)+IF($G$1="鸣金",$AQ155*1.5,0))*(1+$BA155)*(1+$BB155)+(($BC155+$BD155)/2*IF($G$1="裂石",$AP155,$AN155)+IF($G$1="裂石",$AQ155*1.5,0))*(1+$BE155)*(1+$BF155)+(($BG155+$BH155)/2*IF($G$1="牵丝",$AP155,$AN155)+IF($G$1="牵丝",$AQ155*1.5,0))*(1+$BI155)*(1+$BJ155)+(($BK155+$BL155)/2*IF($G$1="破竹",$AP155,$AN155)+IF($G$1="破竹",$AQ155*1.5,0))*(1+$BM155)*(1+$BN155))*(1+$AR155)*$BQ155*$Q155*(1+IF(VLOOKUP($R155,武学奇术!$A:$ZZ,30,FALSE)="蓄力技",$B$21,0))*(1+IF(VLOOKUP($R155,武学奇术!$A:$ZZ,30,FALSE)="派生技",$B$20,0))*(1+$BW155)*(1+$BX155)</f>
        <v>0</v>
      </c>
      <c r="N155" s="46">
        <f>(($AU155*$AN155+$AO155)*(1+$AV155)*(1+$AW155)+($AZ155*IF($G$1="鸣金",$AP155,$AN155)+IF($G$1="鸣金",$AQ155*1.5,0))*(1+$BA155)*(1+$BB155)+($BD155*IF($G$1="裂石",$AP155,$AN155)+IF($G$1="裂石",$AQ155*1.5,0))*(1+$BE155)*(1+$BF155)+($BH155*IF($G$1="牵丝",$AP155,$AN155)+IF($G$1="牵丝",$AQ155*1.5,0))*(1+$BI155)*(1+$BJ155)+($BL155*IF($G$1="破竹",$AP155,$AN155)+IF($G$1="破竹",$AQ155*1.5,0))*(1+$BM155)*(1+$BN155))*(1+$AR155)*$BS155*$Q155*(1+IF(VLOOKUP($R155,武学奇术!$A:$ZZ,30,FALSE)="蓄力技",$B$21,0))*(1+IF(VLOOKUP($R155,武学奇术!$A:$ZZ,30,FALSE)="派生技",$B$20,0))*(1+$BW155)*(1+$BX155)</f>
        <v>0</v>
      </c>
      <c r="O155" s="46">
        <f>((($AT155+$AU155)/2*$AN155+$AO155)*(1+$AV155)*(1+$AW155)+(($AY155+$AZ155)/2*IF($G$1="鸣金",$AP155,$AN155)+IF($G$1="鸣金",$AQ155*1.5,0))*(1+$BA155)*(1+$BB155)+(($BC155+$BD155)/2*IF($G$1="裂石",$AP155,$AN155)+IF($G$1="裂石",$AQ155*1.5,0))*(1+$BE155)*(1+$BF155)+(($BG155+$BH155)/2*IF($G$1="牵丝",$AP155,$AN155)+IF($G$1="牵丝",$AQ155*1.5,0))*(1+$BI155)*(1+$BJ155)+(($BK155+$BL155)/2*IF($G$1="破竹",$AP155,$AN155)+IF($G$1="破竹",$AQ155*1.5,0))*(1+$BM155)*(1+$BN155))*(1+$AR155)*$Q155*(1+IF(VLOOKUP($R155,武学奇术!$A:$ZZ,30,FALSE)="蓄力技",$B$21,0))*(1+IF(VLOOKUP($R155,武学奇术!$A:$ZZ,30,FALSE)="派生技",$B$20,0))*(1+$BW155)*(1+$BX155)</f>
        <v>0</v>
      </c>
      <c r="P155" s="46">
        <f>((($AT155*$AN155+$AO155)*(1+$AV155)*(1+$AW155)+($AY155*IF($G$1="鸣金",$AP155,$AN155)+IF($G$1="鸣金",$AQ155*1.5,0))*(1+$BA155)*(1+$BB155)+($BC155*IF($G$1="裂石",$AP155,$AN155)+IF($G$1="裂石",$AQ155*1.5,0))*(1+$BE155)*(1+$BF155)+($BG155*IF($G$1="牵丝",$AP155,$AN155)+IF($G$1="牵丝",$AQ155*1.5,0))*(1+$BI155)*(1+$BJ155)+($BK155*IF($G$1="破竹",$AP155,$AN155)+IF($G$1="破竹",$AQ155*1.5,0))*(1+$BM155)*(1+$BN155))*(1+$AR155))*$Q155*(1+IF(VLOOKUP($R155,武学奇术!$A:$ZZ,30,FALSE)="蓄力技",$B$21,0))*(1+IF(VLOOKUP($R155,武学奇术!$A:$ZZ,30,FALSE)="派生技",$B$20,0))*(1+$BW155)*(1+$BX155)</f>
        <v>0</v>
      </c>
      <c r="Q155" s="47">
        <f t="shared" si="45"/>
        <v>0</v>
      </c>
      <c r="R155" s="48" t="s">
        <v>195</v>
      </c>
      <c r="S155" s="48" t="s">
        <v>99</v>
      </c>
      <c r="T155" s="48" t="s">
        <v>100</v>
      </c>
      <c r="U155" s="48" t="s">
        <v>79</v>
      </c>
      <c r="V155" s="48" t="s">
        <v>90</v>
      </c>
      <c r="W155" s="48" t="s">
        <v>141</v>
      </c>
      <c r="X155" s="48" t="s">
        <v>80</v>
      </c>
      <c r="Y155" s="48" t="s">
        <v>74</v>
      </c>
      <c r="Z155" s="48" t="s">
        <v>81</v>
      </c>
      <c r="AA155" s="48" t="s">
        <v>80</v>
      </c>
      <c r="AB155" s="48" t="s">
        <v>80</v>
      </c>
      <c r="AC155" s="48" t="s">
        <v>80</v>
      </c>
      <c r="AD155" s="48" t="s">
        <v>80</v>
      </c>
      <c r="AE155" s="48" t="s">
        <v>80</v>
      </c>
      <c r="AF155" s="48" t="s">
        <v>83</v>
      </c>
      <c r="AG155" s="48" t="s">
        <v>84</v>
      </c>
      <c r="AH155" s="48" t="s">
        <v>80</v>
      </c>
      <c r="AI155" s="48" t="s">
        <v>80</v>
      </c>
      <c r="AJ155" s="48" t="s">
        <v>80</v>
      </c>
      <c r="AK155" s="48" t="s">
        <v>80</v>
      </c>
      <c r="AL155" s="48" t="s">
        <v>80</v>
      </c>
      <c r="AM155" t="str">
        <f>VLOOKUP($R155,武学奇术!$A:$ZZ,25,FALSE)</f>
        <v>横刀</v>
      </c>
      <c r="AN155" s="33">
        <f>VLOOKUP($R155,武学奇术!$A:$ZZ,26,FALSE)</f>
        <v>3.6553</v>
      </c>
      <c r="AO155" s="34">
        <f>VLOOKUP($R155,武学奇术!$A:$ZZ,27,FALSE)*(1+IF(OR($AM155=$F$4,$AM155=$F$5),$B$22,0))</f>
        <v>1619.2</v>
      </c>
      <c r="AP155" s="33">
        <f>VLOOKUP($R155,武学奇术!$A:$ZZ,28,FALSE)</f>
        <v>5.4829</v>
      </c>
      <c r="AQ155" s="34">
        <f>VLOOKUP($R155,武学奇术!$A:$ZZ,29,FALSE)*(1+IF(OR($AM155=$F$4,$AM155=$F$5),$B$22,0))</f>
        <v>880</v>
      </c>
      <c r="AR155" s="33" cm="1">
        <f t="array" ref="AR155">$G$3+IFERROR(VLOOKUP($AM155,$F$4:$G$7,2,FALSE),0)+VLOOKUP($R155,武学奇术!$A:$ZZ,2,FALSE)+SUM(_xlfn.XLOOKUP($S155:$AL155,增益!$A:$A,增益!$B:$B,0))</f>
        <v>0.6489</v>
      </c>
      <c r="AS155" s="33" cm="1">
        <f t="array" ref="AS155">VLOOKUP($R155,武学奇术!$A:$ZZ,5,FALSE)+SUM(_xlfn.XLOOKUP($S155:$AL155,增益!$A:$A,增益!$E:$E,0))</f>
        <v>0</v>
      </c>
      <c r="AT155" cm="1">
        <f t="array" ref="AT155">$D$10*(1+$AS155)+VLOOKUP($R155,武学奇术!$A:$ZZ,3,FALSE)+SUM(_xlfn.XLOOKUP($S155:$AL155,增益!$A:$A,增益!$C:$C,0))-$I$2</f>
        <v>4026</v>
      </c>
      <c r="AU155" cm="1">
        <f t="array" ref="AU155">$E$10*(1+$AS155)+VLOOKUP($R155,武学奇术!$A:$ZZ,4,FALSE)+SUM(_xlfn.XLOOKUP($S155:$AL155,增益!$A:$A,增益!$D:$D,0))-$I$2</f>
        <v>4026</v>
      </c>
      <c r="AV155" s="40" cm="1">
        <f t="array" ref="AV155">IF($F$10-$I$3+VLOOKUP($R155,武学奇术!$A:$ZZ,6,FALSE)+SUM(_xlfn.XLOOKUP($S155:$AL155,增益!$A:$A,增益!$F:$F,0))&gt;0,($F$10-$I$3+VLOOKUP($R155,武学奇术!$A:$ZZ,6,FALSE)+SUM(_xlfn.XLOOKUP($S155:$AL155,增益!$A:$A,增益!$F:$F,0)))/200,($F$10-$I$3+VLOOKUP($R155,武学奇术!$A:$ZZ,6,FALSE)+SUM(_xlfn.XLOOKUP($S155:$AL155,增益!$A:$A,增益!$F:$F,0)))/100)</f>
        <v>0.3534</v>
      </c>
      <c r="AW155" s="40" cm="1">
        <f t="array" ref="AW155">$G$10+VLOOKUP($R155,武学奇术!$A:$ZZ,7,FALSE)+SUM(_xlfn.XLOOKUP($S155:$AL155,增益!$A:$A,增益!$G:$G,0))</f>
        <v>0.12</v>
      </c>
      <c r="AX155" s="33" cm="1">
        <f t="array" ref="AX155">VLOOKUP($R155,武学奇术!$A:$ZZ,8,FALSE)+SUM(_xlfn.XLOOKUP($S155:$AL155,增益!$A:$A,增益!$H:$H,0))</f>
        <v>0</v>
      </c>
      <c r="AY155">
        <f t="shared" si="34"/>
        <v>0</v>
      </c>
      <c r="AZ155">
        <f t="shared" si="35"/>
        <v>0</v>
      </c>
      <c r="BA155" s="40" cm="1">
        <f t="array" ref="BA155">IF($F$11-$I$4+VLOOKUP($R155,武学奇术!$A:$ZZ,9,FALSE)+SUM(_xlfn.XLOOKUP($S155:$AL155,增益!$A:$A,增益!$I:$I,0))&gt;0,($F$11-$I$4+VLOOKUP($R155,武学奇术!$A:$ZZ,9,FALSE)+SUM(_xlfn.XLOOKUP($S155:$AL155,增益!$A:$A,增益!$I:$I,0)))/200,($F$11-$I$4+VLOOKUP($R155,武学奇术!$A:$ZZ,9,FALSE)+SUM(_xlfn.XLOOKUP($S155:$AL155,增益!$A:$A,增益!$I:$I,0)))/100)</f>
        <v>-0.14</v>
      </c>
      <c r="BB155" s="40" cm="1">
        <f t="array" ref="BB155">$G$11+VLOOKUP($R155,武学奇术!$A:$ZZ,10,FALSE)+SUM(_xlfn.XLOOKUP($S155:$AL155,增益!$A:$A,增益!$J:$J,0))</f>
        <v>0</v>
      </c>
      <c r="BC155">
        <f t="shared" si="36"/>
        <v>640.3</v>
      </c>
      <c r="BD155">
        <f t="shared" si="37"/>
        <v>1770.1</v>
      </c>
      <c r="BE155" s="40" cm="1">
        <f t="array" ref="BE155">IF($F$12-$I$4+VLOOKUP($R155,武学奇术!$A:$ZZ,11,FALSE)+SUM(_xlfn.XLOOKUP($S155:$AL155,增益!$A:$A,增益!$K:$K,0))&gt;0,($F$12-$I$4+VLOOKUP($R155,武学奇术!$A:$ZZ,11,FALSE)+SUM(_xlfn.XLOOKUP($S155:$AL155,增益!$A:$A,增益!$K:$K,0)))/200,($F$12-$I$4+VLOOKUP($R155,武学奇术!$A:$ZZ,11,FALSE)+SUM(_xlfn.XLOOKUP($S155:$AL155,增益!$A:$A,增益!$K:$K,0)))/100)</f>
        <v>0.17</v>
      </c>
      <c r="BF155" s="40" cm="1">
        <f t="array" ref="BF155">$G$12+VLOOKUP($R155,武学奇术!$A:$ZZ,12,FALSE)+SUM(_xlfn.XLOOKUP($S155:$AL155,增益!$A:$A,增益!$L:$L,0))</f>
        <v>0.27</v>
      </c>
      <c r="BG155">
        <f t="shared" si="38"/>
        <v>0</v>
      </c>
      <c r="BH155">
        <f t="shared" si="39"/>
        <v>0</v>
      </c>
      <c r="BI155" s="40" cm="1">
        <f t="array" ref="BI155">IF($F$13-$I$4+VLOOKUP($R155,武学奇术!$A:$ZZ,13,FALSE)+SUM(_xlfn.XLOOKUP($S155:$AL155,增益!$A:$A,增益!$M:$M,0))&gt;0,($F$13-$I$4+VLOOKUP($R155,武学奇术!$A:$ZZ,13,FALSE)+SUM(_xlfn.XLOOKUP($S155:$AL155,增益!$A:$A,增益!$K:$K,0)))/200,($F$13-$I$4+VLOOKUP($R155,武学奇术!$A:$ZZ,13,FALSE)+SUM(_xlfn.XLOOKUP($S155:$AL155,增益!$A:$A,增益!$M:$M,0)))/100)</f>
        <v>-0.14</v>
      </c>
      <c r="BJ155" s="40" cm="1">
        <f t="array" ref="BJ155">$G$13+VLOOKUP($R155,武学奇术!$A:$ZZ,14,FALSE)+SUM(_xlfn.XLOOKUP($S155:$AL155,增益!$A:$A,增益!$N:$N,0))</f>
        <v>0</v>
      </c>
      <c r="BK155">
        <f t="shared" si="40"/>
        <v>0</v>
      </c>
      <c r="BL155">
        <f t="shared" si="41"/>
        <v>0</v>
      </c>
      <c r="BM155" s="40" cm="1">
        <f t="array" ref="BM155">IF($F$14-$I$4+VLOOKUP($R155,武学奇术!$A:$ZZ,15,FALSE)+SUM(_xlfn.XLOOKUP($S155:$AL155,增益!$A:$A,增益!$O:$O,0))&gt;0,($F$14-$I$4+VLOOKUP($R155,武学奇术!$A:$ZZ,15,FALSE)+SUM(_xlfn.XLOOKUP($S155:$AL155,增益!$A:$A,增益!$O:$O,0)))/200,($F$14-$I$4+VLOOKUP($R155,武学奇术!$A:$ZZ,15,FALSE)+SUM(_xlfn.XLOOKUP($S155:$AL155,增益!$A:$A,增益!$O:$O,0)))/100)</f>
        <v>-0.14</v>
      </c>
      <c r="BN155" s="40" cm="1">
        <f t="array" ref="BN155">$G$14+VLOOKUP($R155,武学奇术!$A:$ZZ,16,FALSE)+SUM(_xlfn.XLOOKUP($S155:$AL155,增益!$A:$A,增益!$P:$P,0))</f>
        <v>0</v>
      </c>
      <c r="BO155" s="33">
        <f>MIN(IF(VLOOKUP($R155,武学奇术!$A:$ZZ,23,FALSE)=1,100%,$B$8),100%)</f>
        <v>0.9771</v>
      </c>
      <c r="BP155" s="33" cm="1">
        <f t="array" ref="BP155">IF(VLOOKUP($R155,武学奇术!$A:$ZZ,23,FALSE)=1,100%,MIN(80%,$B$9+VLOOKUP($R155,武学奇术!$A:$ZZ,17,FALSE)+SUM(_xlfn.XLOOKUP($S155:$AL155,增益!$A:$A,增益!$Q:$Q,0)))+$B$11+SUM(_xlfn.XLOOKUP($S155:$AL155,增益!$A:$A,增益!$U:$U,0)))*IF(VLOOKUP($R155,武学奇术!$A:$ZZ,24,FALSE)=1,0,1)</f>
        <v>0.8861</v>
      </c>
      <c r="BQ155" s="33" cm="1">
        <f t="array" ref="BQ155">1+$B$13+VLOOKUP($R155,武学奇术!$A:$ZZ,18,FALSE)+SUM(_xlfn.XLOOKUP($S155:$AL155,增益!$A:$A,增益!$R:$R,0))</f>
        <v>1.94</v>
      </c>
      <c r="BR155" s="33" cm="1">
        <f t="array" ref="BR155">IF(VLOOKUP($R155,武学奇术!$A:$ZZ,24,FALSE)=1,100%,MIN(40%,$B$10+VLOOKUP($R155,武学奇术!$A:$ZZ,19,FALSE)+SUM(_xlfn.XLOOKUP($S155:$AL155,增益!$A:$A,增益!$S:$S,0)))+$B$12+SUM(_xlfn.XLOOKUP($S155:$AL155,增益!$A:$A,增益!$V:$V,0)))*IF(VLOOKUP($R155,武学奇术!$A:$ZZ,23,FALSE)=1,0,1)</f>
        <v>0.0913</v>
      </c>
      <c r="BS155" s="33" cm="1">
        <f t="array" ref="BS155">1+$B$14+VLOOKUP($R155,武学奇术!$A:$ZZ,20,FALSE)+SUM(_xlfn.XLOOKUP($S155:$AL155,增益!$A:$A,增益!$T:$T,0))</f>
        <v>1.35</v>
      </c>
      <c r="BT155" s="33">
        <f t="shared" si="42"/>
        <v>0.86580831</v>
      </c>
      <c r="BU155" s="33">
        <f t="shared" si="43"/>
        <v>0.02208246</v>
      </c>
      <c r="BV155" s="33">
        <f>IF(VLOOKUP($R155,武学奇术!$A:$ZZ,22,FALSE)=1,0,(1-$BO155))*(1-$BR155)</f>
        <v>0.02080923</v>
      </c>
      <c r="BW155" s="33" cm="1">
        <f t="array" ref="BW155">SUM(_xlfn.XLOOKUP($S155:$AL155,增益!$A:$A,增益!$W:$W,0))+$I$5</f>
        <v>0.11</v>
      </c>
      <c r="BX155" s="33" cm="1">
        <f t="array" ref="BX155">VLOOKUP($R155,武学奇术!$A:$ZZ,32,FALSE)+SUM(_xlfn.XLOOKUP($S155:$AL155,增益!$A:$A,增益!$X:$X,0))</f>
        <v>0</v>
      </c>
    </row>
    <row r="156" spans="12:76">
      <c r="L156" s="46">
        <f t="shared" si="33"/>
        <v>0</v>
      </c>
      <c r="M156" s="46">
        <f>((($AT156+$AU156)/2*$AN156+$AO156)*(1+$AV156)*(1+$AW156)+(($AY156+$AZ156)/2*IF($G$1="鸣金",$AP156,$AN156)+IF($G$1="鸣金",$AQ156*1.5,0))*(1+$BA156)*(1+$BB156)+(($BC156+$BD156)/2*IF($G$1="裂石",$AP156,$AN156)+IF($G$1="裂石",$AQ156*1.5,0))*(1+$BE156)*(1+$BF156)+(($BG156+$BH156)/2*IF($G$1="牵丝",$AP156,$AN156)+IF($G$1="牵丝",$AQ156*1.5,0))*(1+$BI156)*(1+$BJ156)+(($BK156+$BL156)/2*IF($G$1="破竹",$AP156,$AN156)+IF($G$1="破竹",$AQ156*1.5,0))*(1+$BM156)*(1+$BN156))*(1+$AR156)*$BQ156*$Q156*(1+IF(VLOOKUP($R156,武学奇术!$A:$ZZ,30,FALSE)="蓄力技",$B$21,0))*(1+IF(VLOOKUP($R156,武学奇术!$A:$ZZ,30,FALSE)="派生技",$B$20,0))*(1+$BW156)*(1+$BX156)</f>
        <v>0</v>
      </c>
      <c r="N156" s="46">
        <f>(($AU156*$AN156+$AO156)*(1+$AV156)*(1+$AW156)+($AZ156*IF($G$1="鸣金",$AP156,$AN156)+IF($G$1="鸣金",$AQ156*1.5,0))*(1+$BA156)*(1+$BB156)+($BD156*IF($G$1="裂石",$AP156,$AN156)+IF($G$1="裂石",$AQ156*1.5,0))*(1+$BE156)*(1+$BF156)+($BH156*IF($G$1="牵丝",$AP156,$AN156)+IF($G$1="牵丝",$AQ156*1.5,0))*(1+$BI156)*(1+$BJ156)+($BL156*IF($G$1="破竹",$AP156,$AN156)+IF($G$1="破竹",$AQ156*1.5,0))*(1+$BM156)*(1+$BN156))*(1+$AR156)*$BS156*$Q156*(1+IF(VLOOKUP($R156,武学奇术!$A:$ZZ,30,FALSE)="蓄力技",$B$21,0))*(1+IF(VLOOKUP($R156,武学奇术!$A:$ZZ,30,FALSE)="派生技",$B$20,0))*(1+$BW156)*(1+$BX156)</f>
        <v>0</v>
      </c>
      <c r="O156" s="46">
        <f>((($AT156+$AU156)/2*$AN156+$AO156)*(1+$AV156)*(1+$AW156)+(($AY156+$AZ156)/2*IF($G$1="鸣金",$AP156,$AN156)+IF($G$1="鸣金",$AQ156*1.5,0))*(1+$BA156)*(1+$BB156)+(($BC156+$BD156)/2*IF($G$1="裂石",$AP156,$AN156)+IF($G$1="裂石",$AQ156*1.5,0))*(1+$BE156)*(1+$BF156)+(($BG156+$BH156)/2*IF($G$1="牵丝",$AP156,$AN156)+IF($G$1="牵丝",$AQ156*1.5,0))*(1+$BI156)*(1+$BJ156)+(($BK156+$BL156)/2*IF($G$1="破竹",$AP156,$AN156)+IF($G$1="破竹",$AQ156*1.5,0))*(1+$BM156)*(1+$BN156))*(1+$AR156)*$Q156*(1+IF(VLOOKUP($R156,武学奇术!$A:$ZZ,30,FALSE)="蓄力技",$B$21,0))*(1+IF(VLOOKUP($R156,武学奇术!$A:$ZZ,30,FALSE)="派生技",$B$20,0))*(1+$BW156)*(1+$BX156)</f>
        <v>0</v>
      </c>
      <c r="P156" s="46">
        <f>((($AT156*$AN156+$AO156)*(1+$AV156)*(1+$AW156)+($AY156*IF($G$1="鸣金",$AP156,$AN156)+IF($G$1="鸣金",$AQ156*1.5,0))*(1+$BA156)*(1+$BB156)+($BC156*IF($G$1="裂石",$AP156,$AN156)+IF($G$1="裂石",$AQ156*1.5,0))*(1+$BE156)*(1+$BF156)+($BG156*IF($G$1="牵丝",$AP156,$AN156)+IF($G$1="牵丝",$AQ156*1.5,0))*(1+$BI156)*(1+$BJ156)+($BK156*IF($G$1="破竹",$AP156,$AN156)+IF($G$1="破竹",$AQ156*1.5,0))*(1+$BM156)*(1+$BN156))*(1+$AR156))*$Q156*(1+IF(VLOOKUP($R156,武学奇术!$A:$ZZ,30,FALSE)="蓄力技",$B$21,0))*(1+IF(VLOOKUP($R156,武学奇术!$A:$ZZ,30,FALSE)="派生技",$B$20,0))*(1+$BW156)*(1+$BX156)</f>
        <v>0</v>
      </c>
      <c r="Q156" s="47">
        <f t="shared" si="45"/>
        <v>0</v>
      </c>
      <c r="R156" s="48" t="s">
        <v>196</v>
      </c>
      <c r="S156" s="48" t="s">
        <v>99</v>
      </c>
      <c r="T156" s="48" t="s">
        <v>100</v>
      </c>
      <c r="U156" s="48" t="s">
        <v>79</v>
      </c>
      <c r="V156" s="48" t="s">
        <v>90</v>
      </c>
      <c r="W156" s="48" t="s">
        <v>141</v>
      </c>
      <c r="X156" s="48" t="s">
        <v>80</v>
      </c>
      <c r="Y156" s="48" t="s">
        <v>74</v>
      </c>
      <c r="Z156" s="48" t="s">
        <v>81</v>
      </c>
      <c r="AA156" s="48" t="s">
        <v>80</v>
      </c>
      <c r="AB156" s="48" t="s">
        <v>80</v>
      </c>
      <c r="AC156" s="48" t="s">
        <v>80</v>
      </c>
      <c r="AD156" s="48" t="s">
        <v>80</v>
      </c>
      <c r="AE156" s="48" t="s">
        <v>80</v>
      </c>
      <c r="AF156" s="48" t="s">
        <v>83</v>
      </c>
      <c r="AG156" s="48" t="s">
        <v>84</v>
      </c>
      <c r="AH156" s="48" t="s">
        <v>80</v>
      </c>
      <c r="AI156" s="48" t="s">
        <v>80</v>
      </c>
      <c r="AJ156" s="48" t="s">
        <v>80</v>
      </c>
      <c r="AK156" s="48" t="s">
        <v>80</v>
      </c>
      <c r="AL156" s="48" t="s">
        <v>80</v>
      </c>
      <c r="AM156" t="str">
        <f>VLOOKUP($R156,武学奇术!$A:$ZZ,25,FALSE)</f>
        <v>横刀</v>
      </c>
      <c r="AN156" s="33">
        <f>VLOOKUP($R156,武学奇术!$A:$ZZ,26,FALSE)</f>
        <v>1.47</v>
      </c>
      <c r="AO156" s="34">
        <f>VLOOKUP($R156,武学奇术!$A:$ZZ,27,FALSE)*(1+IF(OR($AM156=$F$4,$AM156=$F$5),$B$22,0))</f>
        <v>0</v>
      </c>
      <c r="AP156" s="33">
        <f>VLOOKUP($R156,武学奇术!$A:$ZZ,28,FALSE)</f>
        <v>2.205</v>
      </c>
      <c r="AQ156" s="34">
        <f>VLOOKUP($R156,武学奇术!$A:$ZZ,29,FALSE)*(1+IF(OR($AM156=$F$4,$AM156=$F$5),$B$22,0))</f>
        <v>0</v>
      </c>
      <c r="AR156" s="33" cm="1">
        <f t="array" ref="AR156">$G$3+IFERROR(VLOOKUP($AM156,$F$4:$G$7,2,FALSE),0)+VLOOKUP($R156,武学奇术!$A:$ZZ,2,FALSE)+SUM(_xlfn.XLOOKUP($S156:$AL156,增益!$A:$A,增益!$B:$B,0))</f>
        <v>0.5489</v>
      </c>
      <c r="AS156" s="33" cm="1">
        <f t="array" ref="AS156">VLOOKUP($R156,武学奇术!$A:$ZZ,5,FALSE)+SUM(_xlfn.XLOOKUP($S156:$AL156,增益!$A:$A,增益!$E:$E,0))</f>
        <v>0</v>
      </c>
      <c r="AT156" cm="1">
        <f t="array" ref="AT156">$D$10*(1+$AS156)+VLOOKUP($R156,武学奇术!$A:$ZZ,3,FALSE)+SUM(_xlfn.XLOOKUP($S156:$AL156,增益!$A:$A,增益!$C:$C,0))-$I$2</f>
        <v>4026</v>
      </c>
      <c r="AU156" cm="1">
        <f t="array" ref="AU156">$E$10*(1+$AS156)+VLOOKUP($R156,武学奇术!$A:$ZZ,4,FALSE)+SUM(_xlfn.XLOOKUP($S156:$AL156,增益!$A:$A,增益!$D:$D,0))-$I$2</f>
        <v>4026</v>
      </c>
      <c r="AV156" s="40" cm="1">
        <f t="array" ref="AV156">IF($F$10-$I$3+VLOOKUP($R156,武学奇术!$A:$ZZ,6,FALSE)+SUM(_xlfn.XLOOKUP($S156:$AL156,增益!$A:$A,增益!$F:$F,0))&gt;0,($F$10-$I$3+VLOOKUP($R156,武学奇术!$A:$ZZ,6,FALSE)+SUM(_xlfn.XLOOKUP($S156:$AL156,增益!$A:$A,增益!$F:$F,0)))/200,($F$10-$I$3+VLOOKUP($R156,武学奇术!$A:$ZZ,6,FALSE)+SUM(_xlfn.XLOOKUP($S156:$AL156,增益!$A:$A,增益!$F:$F,0)))/100)</f>
        <v>0.3534</v>
      </c>
      <c r="AW156" s="40" cm="1">
        <f t="array" ref="AW156">$G$10+VLOOKUP($R156,武学奇术!$A:$ZZ,7,FALSE)+SUM(_xlfn.XLOOKUP($S156:$AL156,增益!$A:$A,增益!$G:$G,0))</f>
        <v>0.12</v>
      </c>
      <c r="AX156" s="33" cm="1">
        <f t="array" ref="AX156">VLOOKUP($R156,武学奇术!$A:$ZZ,8,FALSE)+SUM(_xlfn.XLOOKUP($S156:$AL156,增益!$A:$A,增益!$H:$H,0))</f>
        <v>0</v>
      </c>
      <c r="AY156">
        <f t="shared" si="34"/>
        <v>0</v>
      </c>
      <c r="AZ156">
        <f t="shared" si="35"/>
        <v>0</v>
      </c>
      <c r="BA156" s="40" cm="1">
        <f t="array" ref="BA156">IF($F$11-$I$4+VLOOKUP($R156,武学奇术!$A:$ZZ,9,FALSE)+SUM(_xlfn.XLOOKUP($S156:$AL156,增益!$A:$A,增益!$I:$I,0))&gt;0,($F$11-$I$4+VLOOKUP($R156,武学奇术!$A:$ZZ,9,FALSE)+SUM(_xlfn.XLOOKUP($S156:$AL156,增益!$A:$A,增益!$I:$I,0)))/200,($F$11-$I$4+VLOOKUP($R156,武学奇术!$A:$ZZ,9,FALSE)+SUM(_xlfn.XLOOKUP($S156:$AL156,增益!$A:$A,增益!$I:$I,0)))/100)</f>
        <v>-0.14</v>
      </c>
      <c r="BB156" s="40" cm="1">
        <f t="array" ref="BB156">$G$11+VLOOKUP($R156,武学奇术!$A:$ZZ,10,FALSE)+SUM(_xlfn.XLOOKUP($S156:$AL156,增益!$A:$A,增益!$J:$J,0))</f>
        <v>0</v>
      </c>
      <c r="BC156">
        <f t="shared" si="36"/>
        <v>640.3</v>
      </c>
      <c r="BD156">
        <f t="shared" si="37"/>
        <v>1770.1</v>
      </c>
      <c r="BE156" s="40" cm="1">
        <f t="array" ref="BE156">IF($F$12-$I$4+VLOOKUP($R156,武学奇术!$A:$ZZ,11,FALSE)+SUM(_xlfn.XLOOKUP($S156:$AL156,增益!$A:$A,增益!$K:$K,0))&gt;0,($F$12-$I$4+VLOOKUP($R156,武学奇术!$A:$ZZ,11,FALSE)+SUM(_xlfn.XLOOKUP($S156:$AL156,增益!$A:$A,增益!$K:$K,0)))/200,($F$12-$I$4+VLOOKUP($R156,武学奇术!$A:$ZZ,11,FALSE)+SUM(_xlfn.XLOOKUP($S156:$AL156,增益!$A:$A,增益!$K:$K,0)))/100)</f>
        <v>0.17</v>
      </c>
      <c r="BF156" s="40" cm="1">
        <f t="array" ref="BF156">$G$12+VLOOKUP($R156,武学奇术!$A:$ZZ,12,FALSE)+SUM(_xlfn.XLOOKUP($S156:$AL156,增益!$A:$A,增益!$L:$L,0))</f>
        <v>0.27</v>
      </c>
      <c r="BG156">
        <f t="shared" si="38"/>
        <v>0</v>
      </c>
      <c r="BH156">
        <f t="shared" si="39"/>
        <v>0</v>
      </c>
      <c r="BI156" s="40" cm="1">
        <f t="array" ref="BI156">IF($F$13-$I$4+VLOOKUP($R156,武学奇术!$A:$ZZ,13,FALSE)+SUM(_xlfn.XLOOKUP($S156:$AL156,增益!$A:$A,增益!$M:$M,0))&gt;0,($F$13-$I$4+VLOOKUP($R156,武学奇术!$A:$ZZ,13,FALSE)+SUM(_xlfn.XLOOKUP($S156:$AL156,增益!$A:$A,增益!$K:$K,0)))/200,($F$13-$I$4+VLOOKUP($R156,武学奇术!$A:$ZZ,13,FALSE)+SUM(_xlfn.XLOOKUP($S156:$AL156,增益!$A:$A,增益!$M:$M,0)))/100)</f>
        <v>-0.14</v>
      </c>
      <c r="BJ156" s="40" cm="1">
        <f t="array" ref="BJ156">$G$13+VLOOKUP($R156,武学奇术!$A:$ZZ,14,FALSE)+SUM(_xlfn.XLOOKUP($S156:$AL156,增益!$A:$A,增益!$N:$N,0))</f>
        <v>0</v>
      </c>
      <c r="BK156">
        <f t="shared" si="40"/>
        <v>0</v>
      </c>
      <c r="BL156">
        <f t="shared" si="41"/>
        <v>0</v>
      </c>
      <c r="BM156" s="40" cm="1">
        <f t="array" ref="BM156">IF($F$14-$I$4+VLOOKUP($R156,武学奇术!$A:$ZZ,15,FALSE)+SUM(_xlfn.XLOOKUP($S156:$AL156,增益!$A:$A,增益!$O:$O,0))&gt;0,($F$14-$I$4+VLOOKUP($R156,武学奇术!$A:$ZZ,15,FALSE)+SUM(_xlfn.XLOOKUP($S156:$AL156,增益!$A:$A,增益!$O:$O,0)))/200,($F$14-$I$4+VLOOKUP($R156,武学奇术!$A:$ZZ,15,FALSE)+SUM(_xlfn.XLOOKUP($S156:$AL156,增益!$A:$A,增益!$O:$O,0)))/100)</f>
        <v>-0.14</v>
      </c>
      <c r="BN156" s="40" cm="1">
        <f t="array" ref="BN156">$G$14+VLOOKUP($R156,武学奇术!$A:$ZZ,16,FALSE)+SUM(_xlfn.XLOOKUP($S156:$AL156,增益!$A:$A,增益!$P:$P,0))</f>
        <v>0</v>
      </c>
      <c r="BO156" s="33">
        <f>MIN(IF(VLOOKUP($R156,武学奇术!$A:$ZZ,23,FALSE)=1,100%,$B$8),100%)</f>
        <v>0.9771</v>
      </c>
      <c r="BP156" s="33" cm="1">
        <f t="array" ref="BP156">IF(VLOOKUP($R156,武学奇术!$A:$ZZ,23,FALSE)=1,100%,MIN(80%,$B$9+VLOOKUP($R156,武学奇术!$A:$ZZ,17,FALSE)+SUM(_xlfn.XLOOKUP($S156:$AL156,增益!$A:$A,增益!$Q:$Q,0)))+$B$11+SUM(_xlfn.XLOOKUP($S156:$AL156,增益!$A:$A,增益!$U:$U,0)))*IF(VLOOKUP($R156,武学奇术!$A:$ZZ,24,FALSE)=1,0,1)</f>
        <v>0.8861</v>
      </c>
      <c r="BQ156" s="33" cm="1">
        <f t="array" ref="BQ156">1+$B$13+VLOOKUP($R156,武学奇术!$A:$ZZ,18,FALSE)+SUM(_xlfn.XLOOKUP($S156:$AL156,增益!$A:$A,增益!$R:$R,0))</f>
        <v>1.94</v>
      </c>
      <c r="BR156" s="33" cm="1">
        <f t="array" ref="BR156">IF(VLOOKUP($R156,武学奇术!$A:$ZZ,24,FALSE)=1,100%,MIN(40%,$B$10+VLOOKUP($R156,武学奇术!$A:$ZZ,19,FALSE)+SUM(_xlfn.XLOOKUP($S156:$AL156,增益!$A:$A,增益!$S:$S,0)))+$B$12+SUM(_xlfn.XLOOKUP($S156:$AL156,增益!$A:$A,增益!$V:$V,0)))*IF(VLOOKUP($R156,武学奇术!$A:$ZZ,23,FALSE)=1,0,1)</f>
        <v>0.0913</v>
      </c>
      <c r="BS156" s="33" cm="1">
        <f t="array" ref="BS156">1+$B$14+VLOOKUP($R156,武学奇术!$A:$ZZ,20,FALSE)+SUM(_xlfn.XLOOKUP($S156:$AL156,增益!$A:$A,增益!$T:$T,0))</f>
        <v>1.35</v>
      </c>
      <c r="BT156" s="33">
        <f t="shared" si="42"/>
        <v>0.86580831</v>
      </c>
      <c r="BU156" s="33">
        <f t="shared" si="43"/>
        <v>0.02208246</v>
      </c>
      <c r="BV156" s="33">
        <f>IF(VLOOKUP($R156,武学奇术!$A:$ZZ,22,FALSE)=1,0,(1-$BO156))*(1-$BR156)</f>
        <v>0.02080923</v>
      </c>
      <c r="BW156" s="33" cm="1">
        <f t="array" ref="BW156">SUM(_xlfn.XLOOKUP($S156:$AL156,增益!$A:$A,增益!$W:$W,0))+$I$5</f>
        <v>0.11</v>
      </c>
      <c r="BX156" s="33" cm="1">
        <f t="array" ref="BX156">VLOOKUP($R156,武学奇术!$A:$ZZ,32,FALSE)+SUM(_xlfn.XLOOKUP($S156:$AL156,增益!$A:$A,增益!$X:$X,0))</f>
        <v>0.4</v>
      </c>
    </row>
    <row r="157" spans="12:76">
      <c r="L157" s="46">
        <f t="shared" si="33"/>
        <v>0</v>
      </c>
      <c r="M157" s="46">
        <f>((($AT157+$AU157)/2*$AN157+$AO157)*(1+$AV157)*(1+$AW157)+(($AY157+$AZ157)/2*IF($G$1="鸣金",$AP157,$AN157)+IF($G$1="鸣金",$AQ157*1.5,0))*(1+$BA157)*(1+$BB157)+(($BC157+$BD157)/2*IF($G$1="裂石",$AP157,$AN157)+IF($G$1="裂石",$AQ157*1.5,0))*(1+$BE157)*(1+$BF157)+(($BG157+$BH157)/2*IF($G$1="牵丝",$AP157,$AN157)+IF($G$1="牵丝",$AQ157*1.5,0))*(1+$BI157)*(1+$BJ157)+(($BK157+$BL157)/2*IF($G$1="破竹",$AP157,$AN157)+IF($G$1="破竹",$AQ157*1.5,0))*(1+$BM157)*(1+$BN157))*(1+$AR157)*$BQ157*$Q157*(1+IF(VLOOKUP($R157,武学奇术!$A:$ZZ,30,FALSE)="蓄力技",$B$21,0))*(1+IF(VLOOKUP($R157,武学奇术!$A:$ZZ,30,FALSE)="派生技",$B$20,0))*(1+$BW157)*(1+$BX157)</f>
        <v>0</v>
      </c>
      <c r="N157" s="46">
        <f>(($AU157*$AN157+$AO157)*(1+$AV157)*(1+$AW157)+($AZ157*IF($G$1="鸣金",$AP157,$AN157)+IF($G$1="鸣金",$AQ157*1.5,0))*(1+$BA157)*(1+$BB157)+($BD157*IF($G$1="裂石",$AP157,$AN157)+IF($G$1="裂石",$AQ157*1.5,0))*(1+$BE157)*(1+$BF157)+($BH157*IF($G$1="牵丝",$AP157,$AN157)+IF($G$1="牵丝",$AQ157*1.5,0))*(1+$BI157)*(1+$BJ157)+($BL157*IF($G$1="破竹",$AP157,$AN157)+IF($G$1="破竹",$AQ157*1.5,0))*(1+$BM157)*(1+$BN157))*(1+$AR157)*$BS157*$Q157*(1+IF(VLOOKUP($R157,武学奇术!$A:$ZZ,30,FALSE)="蓄力技",$B$21,0))*(1+IF(VLOOKUP($R157,武学奇术!$A:$ZZ,30,FALSE)="派生技",$B$20,0))*(1+$BW157)*(1+$BX157)</f>
        <v>0</v>
      </c>
      <c r="O157" s="46">
        <f>((($AT157+$AU157)/2*$AN157+$AO157)*(1+$AV157)*(1+$AW157)+(($AY157+$AZ157)/2*IF($G$1="鸣金",$AP157,$AN157)+IF($G$1="鸣金",$AQ157*1.5,0))*(1+$BA157)*(1+$BB157)+(($BC157+$BD157)/2*IF($G$1="裂石",$AP157,$AN157)+IF($G$1="裂石",$AQ157*1.5,0))*(1+$BE157)*(1+$BF157)+(($BG157+$BH157)/2*IF($G$1="牵丝",$AP157,$AN157)+IF($G$1="牵丝",$AQ157*1.5,0))*(1+$BI157)*(1+$BJ157)+(($BK157+$BL157)/2*IF($G$1="破竹",$AP157,$AN157)+IF($G$1="破竹",$AQ157*1.5,0))*(1+$BM157)*(1+$BN157))*(1+$AR157)*$Q157*(1+IF(VLOOKUP($R157,武学奇术!$A:$ZZ,30,FALSE)="蓄力技",$B$21,0))*(1+IF(VLOOKUP($R157,武学奇术!$A:$ZZ,30,FALSE)="派生技",$B$20,0))*(1+$BW157)*(1+$BX157)</f>
        <v>0</v>
      </c>
      <c r="P157" s="46">
        <f>((($AT157*$AN157+$AO157)*(1+$AV157)*(1+$AW157)+($AY157*IF($G$1="鸣金",$AP157,$AN157)+IF($G$1="鸣金",$AQ157*1.5,0))*(1+$BA157)*(1+$BB157)+($BC157*IF($G$1="裂石",$AP157,$AN157)+IF($G$1="裂石",$AQ157*1.5,0))*(1+$BE157)*(1+$BF157)+($BG157*IF($G$1="牵丝",$AP157,$AN157)+IF($G$1="牵丝",$AQ157*1.5,0))*(1+$BI157)*(1+$BJ157)+($BK157*IF($G$1="破竹",$AP157,$AN157)+IF($G$1="破竹",$AQ157*1.5,0))*(1+$BM157)*(1+$BN157))*(1+$AR157))*$Q157*(1+IF(VLOOKUP($R157,武学奇术!$A:$ZZ,30,FALSE)="蓄力技",$B$21,0))*(1+IF(VLOOKUP($R157,武学奇术!$A:$ZZ,30,FALSE)="派生技",$B$20,0))*(1+$BW157)*(1+$BX157)</f>
        <v>0</v>
      </c>
      <c r="Q157" s="47">
        <f t="shared" si="45"/>
        <v>0</v>
      </c>
      <c r="R157" s="48" t="s">
        <v>197</v>
      </c>
      <c r="S157" s="48" t="s">
        <v>99</v>
      </c>
      <c r="T157" s="48" t="s">
        <v>103</v>
      </c>
      <c r="U157" s="48" t="s">
        <v>79</v>
      </c>
      <c r="V157" s="48" t="s">
        <v>90</v>
      </c>
      <c r="W157" s="48" t="s">
        <v>91</v>
      </c>
      <c r="X157" s="48" t="s">
        <v>80</v>
      </c>
      <c r="Y157" s="48" t="s">
        <v>80</v>
      </c>
      <c r="Z157" s="48" t="s">
        <v>81</v>
      </c>
      <c r="AA157" s="48" t="s">
        <v>80</v>
      </c>
      <c r="AB157" s="48" t="s">
        <v>80</v>
      </c>
      <c r="AC157" s="48" t="s">
        <v>80</v>
      </c>
      <c r="AD157" s="48" t="s">
        <v>80</v>
      </c>
      <c r="AE157" s="48" t="s">
        <v>80</v>
      </c>
      <c r="AF157" s="48" t="s">
        <v>83</v>
      </c>
      <c r="AG157" s="48" t="s">
        <v>84</v>
      </c>
      <c r="AH157" s="48" t="s">
        <v>80</v>
      </c>
      <c r="AI157" s="48" t="s">
        <v>80</v>
      </c>
      <c r="AJ157" s="48" t="s">
        <v>80</v>
      </c>
      <c r="AK157" s="48" t="s">
        <v>80</v>
      </c>
      <c r="AL157" s="48" t="s">
        <v>80</v>
      </c>
      <c r="AM157" t="str">
        <f>VLOOKUP($R157,武学奇术!$A:$ZZ,25,FALSE)</f>
        <v>横刀</v>
      </c>
      <c r="AN157" s="33">
        <f>VLOOKUP($R157,武学奇术!$A:$ZZ,26,FALSE)</f>
        <v>2.4495</v>
      </c>
      <c r="AO157" s="34">
        <f>VLOOKUP($R157,武学奇术!$A:$ZZ,27,FALSE)*(1+IF(OR($AM157=$F$4,$AM157=$F$5),$B$22,0))</f>
        <v>1083.2</v>
      </c>
      <c r="AP157" s="33">
        <f>VLOOKUP($R157,武学奇术!$A:$ZZ,28,FALSE)</f>
        <v>3.6743</v>
      </c>
      <c r="AQ157" s="34">
        <f>VLOOKUP($R157,武学奇术!$A:$ZZ,29,FALSE)*(1+IF(OR($AM157=$F$4,$AM157=$F$5),$B$22,0))</f>
        <v>588.8</v>
      </c>
      <c r="AR157" s="33" cm="1">
        <f t="array" ref="AR157">$G$3+IFERROR(VLOOKUP($AM157,$F$4:$G$7,2,FALSE),0)+VLOOKUP($R157,武学奇术!$A:$ZZ,2,FALSE)+SUM(_xlfn.XLOOKUP($S157:$AL157,增益!$A:$A,增益!$B:$B,0))</f>
        <v>0.4689</v>
      </c>
      <c r="AS157" s="33" cm="1">
        <f t="array" ref="AS157">VLOOKUP($R157,武学奇术!$A:$ZZ,5,FALSE)+SUM(_xlfn.XLOOKUP($S157:$AL157,增益!$A:$A,增益!$E:$E,0))</f>
        <v>0</v>
      </c>
      <c r="AT157" cm="1">
        <f t="array" ref="AT157">$D$10*(1+$AS157)+VLOOKUP($R157,武学奇术!$A:$ZZ,3,FALSE)+SUM(_xlfn.XLOOKUP($S157:$AL157,增益!$A:$A,增益!$C:$C,0))-$I$2</f>
        <v>4026</v>
      </c>
      <c r="AU157" cm="1">
        <f t="array" ref="AU157">$E$10*(1+$AS157)+VLOOKUP($R157,武学奇术!$A:$ZZ,4,FALSE)+SUM(_xlfn.XLOOKUP($S157:$AL157,增益!$A:$A,增益!$D:$D,0))-$I$2</f>
        <v>4026</v>
      </c>
      <c r="AV157" s="40" cm="1">
        <f t="array" ref="AV157">IF($F$10-$I$3+VLOOKUP($R157,武学奇术!$A:$ZZ,6,FALSE)+SUM(_xlfn.XLOOKUP($S157:$AL157,增益!$A:$A,增益!$F:$F,0))&gt;0,($F$10-$I$3+VLOOKUP($R157,武学奇术!$A:$ZZ,6,FALSE)+SUM(_xlfn.XLOOKUP($S157:$AL157,增益!$A:$A,增益!$F:$F,0)))/200,($F$10-$I$3+VLOOKUP($R157,武学奇术!$A:$ZZ,6,FALSE)+SUM(_xlfn.XLOOKUP($S157:$AL157,增益!$A:$A,增益!$F:$F,0)))/100)</f>
        <v>0.3284</v>
      </c>
      <c r="AW157" s="40" cm="1">
        <f t="array" ref="AW157">$G$10+VLOOKUP($R157,武学奇术!$A:$ZZ,7,FALSE)+SUM(_xlfn.XLOOKUP($S157:$AL157,增益!$A:$A,增益!$G:$G,0))</f>
        <v>0.12</v>
      </c>
      <c r="AX157" s="33" cm="1">
        <f t="array" ref="AX157">VLOOKUP($R157,武学奇术!$A:$ZZ,8,FALSE)+SUM(_xlfn.XLOOKUP($S157:$AL157,增益!$A:$A,增益!$H:$H,0))</f>
        <v>0</v>
      </c>
      <c r="AY157">
        <f t="shared" si="34"/>
        <v>0</v>
      </c>
      <c r="AZ157">
        <f t="shared" si="35"/>
        <v>0</v>
      </c>
      <c r="BA157" s="40" cm="1">
        <f t="array" ref="BA157">IF($F$11-$I$4+VLOOKUP($R157,武学奇术!$A:$ZZ,9,FALSE)+SUM(_xlfn.XLOOKUP($S157:$AL157,增益!$A:$A,增益!$I:$I,0))&gt;0,($F$11-$I$4+VLOOKUP($R157,武学奇术!$A:$ZZ,9,FALSE)+SUM(_xlfn.XLOOKUP($S157:$AL157,增益!$A:$A,增益!$I:$I,0)))/200,($F$11-$I$4+VLOOKUP($R157,武学奇术!$A:$ZZ,9,FALSE)+SUM(_xlfn.XLOOKUP($S157:$AL157,增益!$A:$A,增益!$I:$I,0)))/100)</f>
        <v>-0.14</v>
      </c>
      <c r="BB157" s="40" cm="1">
        <f t="array" ref="BB157">$G$11+VLOOKUP($R157,武学奇术!$A:$ZZ,10,FALSE)+SUM(_xlfn.XLOOKUP($S157:$AL157,增益!$A:$A,增益!$J:$J,0))</f>
        <v>0</v>
      </c>
      <c r="BC157">
        <f t="shared" si="36"/>
        <v>640.3</v>
      </c>
      <c r="BD157">
        <f t="shared" si="37"/>
        <v>1770.1</v>
      </c>
      <c r="BE157" s="40" cm="1">
        <f t="array" ref="BE157">IF($F$12-$I$4+VLOOKUP($R157,武学奇术!$A:$ZZ,11,FALSE)+SUM(_xlfn.XLOOKUP($S157:$AL157,增益!$A:$A,增益!$K:$K,0))&gt;0,($F$12-$I$4+VLOOKUP($R157,武学奇术!$A:$ZZ,11,FALSE)+SUM(_xlfn.XLOOKUP($S157:$AL157,增益!$A:$A,增益!$K:$K,0)))/200,($F$12-$I$4+VLOOKUP($R157,武学奇术!$A:$ZZ,11,FALSE)+SUM(_xlfn.XLOOKUP($S157:$AL157,增益!$A:$A,增益!$K:$K,0)))/100)</f>
        <v>0.17</v>
      </c>
      <c r="BF157" s="40" cm="1">
        <f t="array" ref="BF157">$G$12+VLOOKUP($R157,武学奇术!$A:$ZZ,12,FALSE)+SUM(_xlfn.XLOOKUP($S157:$AL157,增益!$A:$A,增益!$L:$L,0))</f>
        <v>0.27</v>
      </c>
      <c r="BG157">
        <f t="shared" si="38"/>
        <v>0</v>
      </c>
      <c r="BH157">
        <f t="shared" si="39"/>
        <v>0</v>
      </c>
      <c r="BI157" s="40" cm="1">
        <f t="array" ref="BI157">IF($F$13-$I$4+VLOOKUP($R157,武学奇术!$A:$ZZ,13,FALSE)+SUM(_xlfn.XLOOKUP($S157:$AL157,增益!$A:$A,增益!$M:$M,0))&gt;0,($F$13-$I$4+VLOOKUP($R157,武学奇术!$A:$ZZ,13,FALSE)+SUM(_xlfn.XLOOKUP($S157:$AL157,增益!$A:$A,增益!$K:$K,0)))/200,($F$13-$I$4+VLOOKUP($R157,武学奇术!$A:$ZZ,13,FALSE)+SUM(_xlfn.XLOOKUP($S157:$AL157,增益!$A:$A,增益!$M:$M,0)))/100)</f>
        <v>-0.14</v>
      </c>
      <c r="BJ157" s="40" cm="1">
        <f t="array" ref="BJ157">$G$13+VLOOKUP($R157,武学奇术!$A:$ZZ,14,FALSE)+SUM(_xlfn.XLOOKUP($S157:$AL157,增益!$A:$A,增益!$N:$N,0))</f>
        <v>0</v>
      </c>
      <c r="BK157">
        <f t="shared" si="40"/>
        <v>0</v>
      </c>
      <c r="BL157">
        <f t="shared" si="41"/>
        <v>0</v>
      </c>
      <c r="BM157" s="40" cm="1">
        <f t="array" ref="BM157">IF($F$14-$I$4+VLOOKUP($R157,武学奇术!$A:$ZZ,15,FALSE)+SUM(_xlfn.XLOOKUP($S157:$AL157,增益!$A:$A,增益!$O:$O,0))&gt;0,($F$14-$I$4+VLOOKUP($R157,武学奇术!$A:$ZZ,15,FALSE)+SUM(_xlfn.XLOOKUP($S157:$AL157,增益!$A:$A,增益!$O:$O,0)))/200,($F$14-$I$4+VLOOKUP($R157,武学奇术!$A:$ZZ,15,FALSE)+SUM(_xlfn.XLOOKUP($S157:$AL157,增益!$A:$A,增益!$O:$O,0)))/100)</f>
        <v>-0.14</v>
      </c>
      <c r="BN157" s="40" cm="1">
        <f t="array" ref="BN157">$G$14+VLOOKUP($R157,武学奇术!$A:$ZZ,16,FALSE)+SUM(_xlfn.XLOOKUP($S157:$AL157,增益!$A:$A,增益!$P:$P,0))</f>
        <v>0</v>
      </c>
      <c r="BO157" s="33">
        <f>MIN(IF(VLOOKUP($R157,武学奇术!$A:$ZZ,23,FALSE)=1,100%,$B$8),100%)</f>
        <v>0.9771</v>
      </c>
      <c r="BP157" s="33" cm="1">
        <f t="array" ref="BP157">IF(VLOOKUP($R157,武学奇术!$A:$ZZ,23,FALSE)=1,100%,MIN(80%,$B$9+VLOOKUP($R157,武学奇术!$A:$ZZ,17,FALSE)+SUM(_xlfn.XLOOKUP($S157:$AL157,增益!$A:$A,增益!$Q:$Q,0)))+$B$11+SUM(_xlfn.XLOOKUP($S157:$AL157,增益!$A:$A,增益!$U:$U,0)))*IF(VLOOKUP($R157,武学奇术!$A:$ZZ,24,FALSE)=1,0,1)</f>
        <v>0.8861</v>
      </c>
      <c r="BQ157" s="33" cm="1">
        <f t="array" ref="BQ157">1+$B$13+VLOOKUP($R157,武学奇术!$A:$ZZ,18,FALSE)+SUM(_xlfn.XLOOKUP($S157:$AL157,增益!$A:$A,增益!$R:$R,0))</f>
        <v>1.9</v>
      </c>
      <c r="BR157" s="33" cm="1">
        <f t="array" ref="BR157">IF(VLOOKUP($R157,武学奇术!$A:$ZZ,24,FALSE)=1,100%,MIN(40%,$B$10+VLOOKUP($R157,武学奇术!$A:$ZZ,19,FALSE)+SUM(_xlfn.XLOOKUP($S157:$AL157,增益!$A:$A,增益!$S:$S,0)))+$B$12+SUM(_xlfn.XLOOKUP($S157:$AL157,增益!$A:$A,增益!$V:$V,0)))*IF(VLOOKUP($R157,武学奇术!$A:$ZZ,23,FALSE)=1,0,1)</f>
        <v>0.0913</v>
      </c>
      <c r="BS157" s="33" cm="1">
        <f t="array" ref="BS157">1+$B$14+VLOOKUP($R157,武学奇术!$A:$ZZ,20,FALSE)+SUM(_xlfn.XLOOKUP($S157:$AL157,增益!$A:$A,增益!$T:$T,0))</f>
        <v>1.35</v>
      </c>
      <c r="BT157" s="33">
        <f t="shared" si="42"/>
        <v>0.86580831</v>
      </c>
      <c r="BU157" s="33">
        <f t="shared" si="43"/>
        <v>0.02208246</v>
      </c>
      <c r="BV157" s="33">
        <f>IF(VLOOKUP($R157,武学奇术!$A:$ZZ,22,FALSE)=1,0,(1-$BO157))*(1-$BR157)</f>
        <v>0.02080923</v>
      </c>
      <c r="BW157" s="33" cm="1">
        <f t="array" ref="BW157">SUM(_xlfn.XLOOKUP($S157:$AL157,增益!$A:$A,增益!$W:$W,0))+$I$5</f>
        <v>0.11</v>
      </c>
      <c r="BX157" s="33" cm="1">
        <f t="array" ref="BX157">VLOOKUP($R157,武学奇术!$A:$ZZ,32,FALSE)+SUM(_xlfn.XLOOKUP($S157:$AL157,增益!$A:$A,增益!$X:$X,0))</f>
        <v>0</v>
      </c>
    </row>
    <row r="158" spans="12:76">
      <c r="L158" s="46">
        <f t="shared" si="33"/>
        <v>0</v>
      </c>
      <c r="M158" s="46">
        <f>((($AT158+$AU158)/2*$AN158+$AO158)*(1+$AV158)*(1+$AW158)+(($AY158+$AZ158)/2*IF($G$1="鸣金",$AP158,$AN158)+IF($G$1="鸣金",$AQ158*1.5,0))*(1+$BA158)*(1+$BB158)+(($BC158+$BD158)/2*IF($G$1="裂石",$AP158,$AN158)+IF($G$1="裂石",$AQ158*1.5,0))*(1+$BE158)*(1+$BF158)+(($BG158+$BH158)/2*IF($G$1="牵丝",$AP158,$AN158)+IF($G$1="牵丝",$AQ158*1.5,0))*(1+$BI158)*(1+$BJ158)+(($BK158+$BL158)/2*IF($G$1="破竹",$AP158,$AN158)+IF($G$1="破竹",$AQ158*1.5,0))*(1+$BM158)*(1+$BN158))*(1+$AR158)*$BQ158*$Q158*(1+IF(VLOOKUP($R158,武学奇术!$A:$ZZ,30,FALSE)="蓄力技",$B$21,0))*(1+IF(VLOOKUP($R158,武学奇术!$A:$ZZ,30,FALSE)="派生技",$B$20,0))*(1+$BW158)*(1+$BX158)</f>
        <v>0</v>
      </c>
      <c r="N158" s="46">
        <f>(($AU158*$AN158+$AO158)*(1+$AV158)*(1+$AW158)+($AZ158*IF($G$1="鸣金",$AP158,$AN158)+IF($G$1="鸣金",$AQ158*1.5,0))*(1+$BA158)*(1+$BB158)+($BD158*IF($G$1="裂石",$AP158,$AN158)+IF($G$1="裂石",$AQ158*1.5,0))*(1+$BE158)*(1+$BF158)+($BH158*IF($G$1="牵丝",$AP158,$AN158)+IF($G$1="牵丝",$AQ158*1.5,0))*(1+$BI158)*(1+$BJ158)+($BL158*IF($G$1="破竹",$AP158,$AN158)+IF($G$1="破竹",$AQ158*1.5,0))*(1+$BM158)*(1+$BN158))*(1+$AR158)*$BS158*$Q158*(1+IF(VLOOKUP($R158,武学奇术!$A:$ZZ,30,FALSE)="蓄力技",$B$21,0))*(1+IF(VLOOKUP($R158,武学奇术!$A:$ZZ,30,FALSE)="派生技",$B$20,0))*(1+$BW158)*(1+$BX158)</f>
        <v>0</v>
      </c>
      <c r="O158" s="46">
        <f>((($AT158+$AU158)/2*$AN158+$AO158)*(1+$AV158)*(1+$AW158)+(($AY158+$AZ158)/2*IF($G$1="鸣金",$AP158,$AN158)+IF($G$1="鸣金",$AQ158*1.5,0))*(1+$BA158)*(1+$BB158)+(($BC158+$BD158)/2*IF($G$1="裂石",$AP158,$AN158)+IF($G$1="裂石",$AQ158*1.5,0))*(1+$BE158)*(1+$BF158)+(($BG158+$BH158)/2*IF($G$1="牵丝",$AP158,$AN158)+IF($G$1="牵丝",$AQ158*1.5,0))*(1+$BI158)*(1+$BJ158)+(($BK158+$BL158)/2*IF($G$1="破竹",$AP158,$AN158)+IF($G$1="破竹",$AQ158*1.5,0))*(1+$BM158)*(1+$BN158))*(1+$AR158)*$Q158*(1+IF(VLOOKUP($R158,武学奇术!$A:$ZZ,30,FALSE)="蓄力技",$B$21,0))*(1+IF(VLOOKUP($R158,武学奇术!$A:$ZZ,30,FALSE)="派生技",$B$20,0))*(1+$BW158)*(1+$BX158)</f>
        <v>0</v>
      </c>
      <c r="P158" s="46">
        <f>((($AT158*$AN158+$AO158)*(1+$AV158)*(1+$AW158)+($AY158*IF($G$1="鸣金",$AP158,$AN158)+IF($G$1="鸣金",$AQ158*1.5,0))*(1+$BA158)*(1+$BB158)+($BC158*IF($G$1="裂石",$AP158,$AN158)+IF($G$1="裂石",$AQ158*1.5,0))*(1+$BE158)*(1+$BF158)+($BG158*IF($G$1="牵丝",$AP158,$AN158)+IF($G$1="牵丝",$AQ158*1.5,0))*(1+$BI158)*(1+$BJ158)+($BK158*IF($G$1="破竹",$AP158,$AN158)+IF($G$1="破竹",$AQ158*1.5,0))*(1+$BM158)*(1+$BN158))*(1+$AR158))*$Q158*(1+IF(VLOOKUP($R158,武学奇术!$A:$ZZ,30,FALSE)="蓄力技",$B$21,0))*(1+IF(VLOOKUP($R158,武学奇术!$A:$ZZ,30,FALSE)="派生技",$B$20,0))*(1+$BW158)*(1+$BX158)</f>
        <v>0</v>
      </c>
      <c r="Q158" s="47">
        <f t="shared" si="45"/>
        <v>0</v>
      </c>
      <c r="R158" s="48" t="s">
        <v>165</v>
      </c>
      <c r="S158" s="48" t="s">
        <v>99</v>
      </c>
      <c r="T158" s="48" t="s">
        <v>103</v>
      </c>
      <c r="U158" s="48" t="s">
        <v>79</v>
      </c>
      <c r="V158" s="48" t="s">
        <v>90</v>
      </c>
      <c r="W158" s="48" t="s">
        <v>91</v>
      </c>
      <c r="X158" s="48" t="s">
        <v>80</v>
      </c>
      <c r="Y158" s="48" t="s">
        <v>80</v>
      </c>
      <c r="Z158" s="48" t="s">
        <v>80</v>
      </c>
      <c r="AA158" s="48" t="s">
        <v>80</v>
      </c>
      <c r="AB158" s="48" t="s">
        <v>80</v>
      </c>
      <c r="AC158" s="48" t="s">
        <v>80</v>
      </c>
      <c r="AD158" s="48" t="s">
        <v>80</v>
      </c>
      <c r="AE158" s="48" t="s">
        <v>80</v>
      </c>
      <c r="AF158" s="48" t="s">
        <v>83</v>
      </c>
      <c r="AG158" s="48" t="s">
        <v>84</v>
      </c>
      <c r="AH158" s="48" t="s">
        <v>80</v>
      </c>
      <c r="AI158" s="48" t="s">
        <v>80</v>
      </c>
      <c r="AJ158" s="48" t="s">
        <v>80</v>
      </c>
      <c r="AK158" s="48" t="s">
        <v>80</v>
      </c>
      <c r="AL158" s="48" t="s">
        <v>80</v>
      </c>
      <c r="AM158" t="str">
        <f>VLOOKUP($R158,武学奇术!$A:$ZZ,25,FALSE)</f>
        <v>单体奇术</v>
      </c>
      <c r="AN158" s="33">
        <f>VLOOKUP($R158,武学奇术!$A:$ZZ,26,FALSE)</f>
        <v>7.1094</v>
      </c>
      <c r="AO158" s="34">
        <f>VLOOKUP($R158,武学奇术!$A:$ZZ,27,FALSE)*(1+IF(OR($AM158=$F$4,$AM158=$F$5),$B$22,0))</f>
        <v>1420</v>
      </c>
      <c r="AP158" s="33">
        <f>VLOOKUP($R158,武学奇术!$A:$ZZ,28,FALSE)</f>
        <v>10.6641</v>
      </c>
      <c r="AQ158" s="34">
        <f>VLOOKUP($R158,武学奇术!$A:$ZZ,29,FALSE)*(1+IF(OR($AM158=$F$4,$AM158=$F$5),$B$22,0))</f>
        <v>0</v>
      </c>
      <c r="AR158" s="33" cm="1">
        <f t="array" ref="AR158">$G$3+IFERROR(VLOOKUP($AM158,$F$4:$G$7,2,FALSE),0)+VLOOKUP($R158,武学奇术!$A:$ZZ,2,FALSE)+SUM(_xlfn.XLOOKUP($S158:$AL158,增益!$A:$A,增益!$B:$B,0))</f>
        <v>0.3642</v>
      </c>
      <c r="AS158" s="33" cm="1">
        <f t="array" ref="AS158">VLOOKUP($R158,武学奇术!$A:$ZZ,5,FALSE)+SUM(_xlfn.XLOOKUP($S158:$AL158,增益!$A:$A,增益!$E:$E,0))</f>
        <v>0</v>
      </c>
      <c r="AT158" cm="1">
        <f t="array" ref="AT158">$D$10*(1+$AS158)+VLOOKUP($R158,武学奇术!$A:$ZZ,3,FALSE)+SUM(_xlfn.XLOOKUP($S158:$AL158,增益!$A:$A,增益!$C:$C,0))-$I$2</f>
        <v>4026</v>
      </c>
      <c r="AU158" cm="1">
        <f t="array" ref="AU158">$E$10*(1+$AS158)+VLOOKUP($R158,武学奇术!$A:$ZZ,4,FALSE)+SUM(_xlfn.XLOOKUP($S158:$AL158,增益!$A:$A,增益!$D:$D,0))-$I$2</f>
        <v>4026</v>
      </c>
      <c r="AV158" s="40" cm="1">
        <f t="array" ref="AV158">IF($F$10-$I$3+VLOOKUP($R158,武学奇术!$A:$ZZ,6,FALSE)+SUM(_xlfn.XLOOKUP($S158:$AL158,增益!$A:$A,增益!$F:$F,0))&gt;0,($F$10-$I$3+VLOOKUP($R158,武学奇术!$A:$ZZ,6,FALSE)+SUM(_xlfn.XLOOKUP($S158:$AL158,增益!$A:$A,增益!$F:$F,0)))/200,($F$10-$I$3+VLOOKUP($R158,武学奇术!$A:$ZZ,6,FALSE)+SUM(_xlfn.XLOOKUP($S158:$AL158,增益!$A:$A,增益!$F:$F,0)))/100)</f>
        <v>0.3284</v>
      </c>
      <c r="AW158" s="40" cm="1">
        <f t="array" ref="AW158">$G$10+VLOOKUP($R158,武学奇术!$A:$ZZ,7,FALSE)+SUM(_xlfn.XLOOKUP($S158:$AL158,增益!$A:$A,增益!$G:$G,0))</f>
        <v>0.12</v>
      </c>
      <c r="AX158" s="33" cm="1">
        <f t="array" ref="AX158">VLOOKUP($R158,武学奇术!$A:$ZZ,8,FALSE)+SUM(_xlfn.XLOOKUP($S158:$AL158,增益!$A:$A,增益!$H:$H,0))</f>
        <v>0</v>
      </c>
      <c r="AY158">
        <f t="shared" si="34"/>
        <v>0</v>
      </c>
      <c r="AZ158">
        <f t="shared" si="35"/>
        <v>0</v>
      </c>
      <c r="BA158" s="40" cm="1">
        <f t="array" ref="BA158">IF($F$11-$I$4+VLOOKUP($R158,武学奇术!$A:$ZZ,9,FALSE)+SUM(_xlfn.XLOOKUP($S158:$AL158,增益!$A:$A,增益!$I:$I,0))&gt;0,($F$11-$I$4+VLOOKUP($R158,武学奇术!$A:$ZZ,9,FALSE)+SUM(_xlfn.XLOOKUP($S158:$AL158,增益!$A:$A,增益!$I:$I,0)))/200,($F$11-$I$4+VLOOKUP($R158,武学奇术!$A:$ZZ,9,FALSE)+SUM(_xlfn.XLOOKUP($S158:$AL158,增益!$A:$A,增益!$I:$I,0)))/100)</f>
        <v>-0.14</v>
      </c>
      <c r="BB158" s="40" cm="1">
        <f t="array" ref="BB158">$G$11+VLOOKUP($R158,武学奇术!$A:$ZZ,10,FALSE)+SUM(_xlfn.XLOOKUP($S158:$AL158,增益!$A:$A,增益!$J:$J,0))</f>
        <v>0</v>
      </c>
      <c r="BC158">
        <f t="shared" si="36"/>
        <v>640.3</v>
      </c>
      <c r="BD158">
        <f t="shared" si="37"/>
        <v>1770.1</v>
      </c>
      <c r="BE158" s="40" cm="1">
        <f t="array" ref="BE158">IF($F$12-$I$4+VLOOKUP($R158,武学奇术!$A:$ZZ,11,FALSE)+SUM(_xlfn.XLOOKUP($S158:$AL158,增益!$A:$A,增益!$K:$K,0))&gt;0,($F$12-$I$4+VLOOKUP($R158,武学奇术!$A:$ZZ,11,FALSE)+SUM(_xlfn.XLOOKUP($S158:$AL158,增益!$A:$A,增益!$K:$K,0)))/200,($F$12-$I$4+VLOOKUP($R158,武学奇术!$A:$ZZ,11,FALSE)+SUM(_xlfn.XLOOKUP($S158:$AL158,增益!$A:$A,增益!$K:$K,0)))/100)</f>
        <v>0.17</v>
      </c>
      <c r="BF158" s="40" cm="1">
        <f t="array" ref="BF158">$G$12+VLOOKUP($R158,武学奇术!$A:$ZZ,12,FALSE)+SUM(_xlfn.XLOOKUP($S158:$AL158,增益!$A:$A,增益!$L:$L,0))</f>
        <v>0.27</v>
      </c>
      <c r="BG158">
        <f t="shared" si="38"/>
        <v>0</v>
      </c>
      <c r="BH158">
        <f t="shared" si="39"/>
        <v>0</v>
      </c>
      <c r="BI158" s="40" cm="1">
        <f t="array" ref="BI158">IF($F$13-$I$4+VLOOKUP($R158,武学奇术!$A:$ZZ,13,FALSE)+SUM(_xlfn.XLOOKUP($S158:$AL158,增益!$A:$A,增益!$M:$M,0))&gt;0,($F$13-$I$4+VLOOKUP($R158,武学奇术!$A:$ZZ,13,FALSE)+SUM(_xlfn.XLOOKUP($S158:$AL158,增益!$A:$A,增益!$K:$K,0)))/200,($F$13-$I$4+VLOOKUP($R158,武学奇术!$A:$ZZ,13,FALSE)+SUM(_xlfn.XLOOKUP($S158:$AL158,增益!$A:$A,增益!$M:$M,0)))/100)</f>
        <v>-0.14</v>
      </c>
      <c r="BJ158" s="40" cm="1">
        <f t="array" ref="BJ158">$G$13+VLOOKUP($R158,武学奇术!$A:$ZZ,14,FALSE)+SUM(_xlfn.XLOOKUP($S158:$AL158,增益!$A:$A,增益!$N:$N,0))</f>
        <v>0</v>
      </c>
      <c r="BK158">
        <f t="shared" si="40"/>
        <v>0</v>
      </c>
      <c r="BL158">
        <f t="shared" si="41"/>
        <v>0</v>
      </c>
      <c r="BM158" s="40" cm="1">
        <f t="array" ref="BM158">IF($F$14-$I$4+VLOOKUP($R158,武学奇术!$A:$ZZ,15,FALSE)+SUM(_xlfn.XLOOKUP($S158:$AL158,增益!$A:$A,增益!$O:$O,0))&gt;0,($F$14-$I$4+VLOOKUP($R158,武学奇术!$A:$ZZ,15,FALSE)+SUM(_xlfn.XLOOKUP($S158:$AL158,增益!$A:$A,增益!$O:$O,0)))/200,($F$14-$I$4+VLOOKUP($R158,武学奇术!$A:$ZZ,15,FALSE)+SUM(_xlfn.XLOOKUP($S158:$AL158,增益!$A:$A,增益!$O:$O,0)))/100)</f>
        <v>-0.14</v>
      </c>
      <c r="BN158" s="40" cm="1">
        <f t="array" ref="BN158">$G$14+VLOOKUP($R158,武学奇术!$A:$ZZ,16,FALSE)+SUM(_xlfn.XLOOKUP($S158:$AL158,增益!$A:$A,增益!$P:$P,0))</f>
        <v>0</v>
      </c>
      <c r="BO158" s="33">
        <f>MIN(IF(VLOOKUP($R158,武学奇术!$A:$ZZ,23,FALSE)=1,100%,$B$8),100%)</f>
        <v>0.9771</v>
      </c>
      <c r="BP158" s="33" cm="1">
        <f t="array" ref="BP158">IF(VLOOKUP($R158,武学奇术!$A:$ZZ,23,FALSE)=1,100%,MIN(80%,$B$9+VLOOKUP($R158,武学奇术!$A:$ZZ,17,FALSE)+SUM(_xlfn.XLOOKUP($S158:$AL158,增益!$A:$A,增益!$Q:$Q,0)))+$B$11+SUM(_xlfn.XLOOKUP($S158:$AL158,增益!$A:$A,增益!$U:$U,0)))*IF(VLOOKUP($R158,武学奇术!$A:$ZZ,24,FALSE)=1,0,1)</f>
        <v>0.8861</v>
      </c>
      <c r="BQ158" s="33" cm="1">
        <f t="array" ref="BQ158">1+$B$13+VLOOKUP($R158,武学奇术!$A:$ZZ,18,FALSE)+SUM(_xlfn.XLOOKUP($S158:$AL158,增益!$A:$A,增益!$R:$R,0))</f>
        <v>1.9</v>
      </c>
      <c r="BR158" s="33" cm="1">
        <f t="array" ref="BR158">IF(VLOOKUP($R158,武学奇术!$A:$ZZ,24,FALSE)=1,100%,MIN(40%,$B$10+VLOOKUP($R158,武学奇术!$A:$ZZ,19,FALSE)+SUM(_xlfn.XLOOKUP($S158:$AL158,增益!$A:$A,增益!$S:$S,0)))+$B$12+SUM(_xlfn.XLOOKUP($S158:$AL158,增益!$A:$A,增益!$V:$V,0)))*IF(VLOOKUP($R158,武学奇术!$A:$ZZ,23,FALSE)=1,0,1)</f>
        <v>0.0913</v>
      </c>
      <c r="BS158" s="33" cm="1">
        <f t="array" ref="BS158">1+$B$14+VLOOKUP($R158,武学奇术!$A:$ZZ,20,FALSE)+SUM(_xlfn.XLOOKUP($S158:$AL158,增益!$A:$A,增益!$T:$T,0))</f>
        <v>1.35</v>
      </c>
      <c r="BT158" s="33">
        <f t="shared" si="42"/>
        <v>0.86580831</v>
      </c>
      <c r="BU158" s="33">
        <f t="shared" si="43"/>
        <v>0.02208246</v>
      </c>
      <c r="BV158" s="33">
        <f>IF(VLOOKUP($R158,武学奇术!$A:$ZZ,22,FALSE)=1,0,(1-$BO158))*(1-$BR158)</f>
        <v>0.02080923</v>
      </c>
      <c r="BW158" s="33" cm="1">
        <f t="array" ref="BW158">SUM(_xlfn.XLOOKUP($S158:$AL158,增益!$A:$A,增益!$W:$W,0))+$I$5</f>
        <v>0.11</v>
      </c>
      <c r="BX158" s="33" cm="1">
        <f t="array" ref="BX158">VLOOKUP($R158,武学奇术!$A:$ZZ,32,FALSE)+SUM(_xlfn.XLOOKUP($S158:$AL158,增益!$A:$A,增益!$X:$X,0))</f>
        <v>0</v>
      </c>
    </row>
    <row r="159" spans="12:76">
      <c r="L159" s="46">
        <f t="shared" si="33"/>
        <v>0</v>
      </c>
      <c r="M159" s="46">
        <f>((($AT159+$AU159)/2*$AN159+$AO159)*(1+$AV159)*(1+$AW159)+(($AY159+$AZ159)/2*IF($G$1="鸣金",$AP159,$AN159)+IF($G$1="鸣金",$AQ159*1.5,0))*(1+$BA159)*(1+$BB159)+(($BC159+$BD159)/2*IF($G$1="裂石",$AP159,$AN159)+IF($G$1="裂石",$AQ159*1.5,0))*(1+$BE159)*(1+$BF159)+(($BG159+$BH159)/2*IF($G$1="牵丝",$AP159,$AN159)+IF($G$1="牵丝",$AQ159*1.5,0))*(1+$BI159)*(1+$BJ159)+(($BK159+$BL159)/2*IF($G$1="破竹",$AP159,$AN159)+IF($G$1="破竹",$AQ159*1.5,0))*(1+$BM159)*(1+$BN159))*(1+$AR159)*$BQ159*$Q159*(1+IF(VLOOKUP($R159,武学奇术!$A:$ZZ,30,FALSE)="蓄力技",$B$21,0))*(1+IF(VLOOKUP($R159,武学奇术!$A:$ZZ,30,FALSE)="派生技",$B$20,0))*(1+$BW159)*(1+$BX159)</f>
        <v>0</v>
      </c>
      <c r="N159" s="46">
        <f>(($AU159*$AN159+$AO159)*(1+$AV159)*(1+$AW159)+($AZ159*IF($G$1="鸣金",$AP159,$AN159)+IF($G$1="鸣金",$AQ159*1.5,0))*(1+$BA159)*(1+$BB159)+($BD159*IF($G$1="裂石",$AP159,$AN159)+IF($G$1="裂石",$AQ159*1.5,0))*(1+$BE159)*(1+$BF159)+($BH159*IF($G$1="牵丝",$AP159,$AN159)+IF($G$1="牵丝",$AQ159*1.5,0))*(1+$BI159)*(1+$BJ159)+($BL159*IF($G$1="破竹",$AP159,$AN159)+IF($G$1="破竹",$AQ159*1.5,0))*(1+$BM159)*(1+$BN159))*(1+$AR159)*$BS159*$Q159*(1+IF(VLOOKUP($R159,武学奇术!$A:$ZZ,30,FALSE)="蓄力技",$B$21,0))*(1+IF(VLOOKUP($R159,武学奇术!$A:$ZZ,30,FALSE)="派生技",$B$20,0))*(1+$BW159)*(1+$BX159)</f>
        <v>0</v>
      </c>
      <c r="O159" s="46">
        <f>((($AT159+$AU159)/2*$AN159+$AO159)*(1+$AV159)*(1+$AW159)+(($AY159+$AZ159)/2*IF($G$1="鸣金",$AP159,$AN159)+IF($G$1="鸣金",$AQ159*1.5,0))*(1+$BA159)*(1+$BB159)+(($BC159+$BD159)/2*IF($G$1="裂石",$AP159,$AN159)+IF($G$1="裂石",$AQ159*1.5,0))*(1+$BE159)*(1+$BF159)+(($BG159+$BH159)/2*IF($G$1="牵丝",$AP159,$AN159)+IF($G$1="牵丝",$AQ159*1.5,0))*(1+$BI159)*(1+$BJ159)+(($BK159+$BL159)/2*IF($G$1="破竹",$AP159,$AN159)+IF($G$1="破竹",$AQ159*1.5,0))*(1+$BM159)*(1+$BN159))*(1+$AR159)*$Q159*(1+IF(VLOOKUP($R159,武学奇术!$A:$ZZ,30,FALSE)="蓄力技",$B$21,0))*(1+IF(VLOOKUP($R159,武学奇术!$A:$ZZ,30,FALSE)="派生技",$B$20,0))*(1+$BW159)*(1+$BX159)</f>
        <v>0</v>
      </c>
      <c r="P159" s="46">
        <f>((($AT159*$AN159+$AO159)*(1+$AV159)*(1+$AW159)+($AY159*IF($G$1="鸣金",$AP159,$AN159)+IF($G$1="鸣金",$AQ159*1.5,0))*(1+$BA159)*(1+$BB159)+($BC159*IF($G$1="裂石",$AP159,$AN159)+IF($G$1="裂石",$AQ159*1.5,0))*(1+$BE159)*(1+$BF159)+($BG159*IF($G$1="牵丝",$AP159,$AN159)+IF($G$1="牵丝",$AQ159*1.5,0))*(1+$BI159)*(1+$BJ159)+($BK159*IF($G$1="破竹",$AP159,$AN159)+IF($G$1="破竹",$AQ159*1.5,0))*(1+$BM159)*(1+$BN159))*(1+$AR159))*$Q159*(1+IF(VLOOKUP($R159,武学奇术!$A:$ZZ,30,FALSE)="蓄力技",$B$21,0))*(1+IF(VLOOKUP($R159,武学奇术!$A:$ZZ,30,FALSE)="派生技",$B$20,0))*(1+$BW159)*(1+$BX159)</f>
        <v>0</v>
      </c>
      <c r="Q159" s="47">
        <f t="shared" si="45"/>
        <v>0</v>
      </c>
      <c r="R159" s="48" t="s">
        <v>199</v>
      </c>
      <c r="S159" s="48" t="s">
        <v>99</v>
      </c>
      <c r="T159" s="48" t="s">
        <v>170</v>
      </c>
      <c r="U159" s="48" t="s">
        <v>79</v>
      </c>
      <c r="V159" s="48" t="s">
        <v>90</v>
      </c>
      <c r="W159" s="48" t="s">
        <v>141</v>
      </c>
      <c r="X159" s="48" t="s">
        <v>80</v>
      </c>
      <c r="Y159" s="48" t="s">
        <v>74</v>
      </c>
      <c r="Z159" s="48" t="s">
        <v>80</v>
      </c>
      <c r="AA159" s="48" t="s">
        <v>80</v>
      </c>
      <c r="AB159" s="48" t="s">
        <v>80</v>
      </c>
      <c r="AC159" s="48" t="s">
        <v>80</v>
      </c>
      <c r="AD159" s="48" t="s">
        <v>80</v>
      </c>
      <c r="AE159" s="48" t="s">
        <v>80</v>
      </c>
      <c r="AF159" s="48" t="s">
        <v>83</v>
      </c>
      <c r="AG159" s="48" t="s">
        <v>84</v>
      </c>
      <c r="AH159" s="48" t="s">
        <v>80</v>
      </c>
      <c r="AI159" s="48" t="s">
        <v>80</v>
      </c>
      <c r="AJ159" s="48" t="s">
        <v>80</v>
      </c>
      <c r="AK159" s="48" t="s">
        <v>80</v>
      </c>
      <c r="AL159" s="48" t="s">
        <v>80</v>
      </c>
      <c r="AM159" t="str">
        <f>VLOOKUP($R159,武学奇术!$A:$ZZ,25,FALSE)</f>
        <v>横刀</v>
      </c>
      <c r="AN159" s="33">
        <f>VLOOKUP($R159,武学奇术!$A:$ZZ,26,FALSE)</f>
        <v>2.8245</v>
      </c>
      <c r="AO159" s="34">
        <f>VLOOKUP($R159,武学奇术!$A:$ZZ,27,FALSE)*(1+IF(OR($AM159=$F$4,$AM159=$F$5),$B$22,0))</f>
        <v>1251.2</v>
      </c>
      <c r="AP159" s="33">
        <f>VLOOKUP($R159,武学奇术!$A:$ZZ,28,FALSE)</f>
        <v>4.236808</v>
      </c>
      <c r="AQ159" s="34">
        <f>VLOOKUP($R159,武学奇术!$A:$ZZ,29,FALSE)*(1+IF(OR($AM159=$F$4,$AM159=$F$5),$B$22,0))</f>
        <v>680</v>
      </c>
      <c r="AR159" s="33" cm="1">
        <f t="array" ref="AR159">$G$3+IFERROR(VLOOKUP($AM159,$F$4:$G$7,2,FALSE),0)+VLOOKUP($R159,武学奇术!$A:$ZZ,2,FALSE)+SUM(_xlfn.XLOOKUP($S159:$AL159,增益!$A:$A,增益!$B:$B,0))</f>
        <v>0.6289</v>
      </c>
      <c r="AS159" s="33" cm="1">
        <f t="array" ref="AS159">VLOOKUP($R159,武学奇术!$A:$ZZ,5,FALSE)+SUM(_xlfn.XLOOKUP($S159:$AL159,增益!$A:$A,增益!$E:$E,0))</f>
        <v>0</v>
      </c>
      <c r="AT159" cm="1">
        <f t="array" ref="AT159">$D$10*(1+$AS159)+VLOOKUP($R159,武学奇术!$A:$ZZ,3,FALSE)+SUM(_xlfn.XLOOKUP($S159:$AL159,增益!$A:$A,增益!$C:$C,0))-$I$2</f>
        <v>4026</v>
      </c>
      <c r="AU159" cm="1">
        <f t="array" ref="AU159">$E$10*(1+$AS159)+VLOOKUP($R159,武学奇术!$A:$ZZ,4,FALSE)+SUM(_xlfn.XLOOKUP($S159:$AL159,增益!$A:$A,增益!$D:$D,0))-$I$2</f>
        <v>4026</v>
      </c>
      <c r="AV159" s="40" cm="1">
        <f t="array" ref="AV159">IF($F$10-$I$3+VLOOKUP($R159,武学奇术!$A:$ZZ,6,FALSE)+SUM(_xlfn.XLOOKUP($S159:$AL159,增益!$A:$A,增益!$F:$F,0))&gt;0,($F$10-$I$3+VLOOKUP($R159,武学奇术!$A:$ZZ,6,FALSE)+SUM(_xlfn.XLOOKUP($S159:$AL159,增益!$A:$A,增益!$F:$F,0)))/200,($F$10-$I$3+VLOOKUP($R159,武学奇术!$A:$ZZ,6,FALSE)+SUM(_xlfn.XLOOKUP($S159:$AL159,增益!$A:$A,增益!$F:$F,0)))/100)</f>
        <v>0.3534</v>
      </c>
      <c r="AW159" s="40" cm="1">
        <f t="array" ref="AW159">$G$10+VLOOKUP($R159,武学奇术!$A:$ZZ,7,FALSE)+SUM(_xlfn.XLOOKUP($S159:$AL159,增益!$A:$A,增益!$G:$G,0))</f>
        <v>0.12</v>
      </c>
      <c r="AX159" s="33" cm="1">
        <f t="array" ref="AX159">VLOOKUP($R159,武学奇术!$A:$ZZ,8,FALSE)+SUM(_xlfn.XLOOKUP($S159:$AL159,增益!$A:$A,增益!$H:$H,0))</f>
        <v>0</v>
      </c>
      <c r="AY159">
        <f t="shared" si="34"/>
        <v>0</v>
      </c>
      <c r="AZ159">
        <f t="shared" si="35"/>
        <v>0</v>
      </c>
      <c r="BA159" s="40" cm="1">
        <f t="array" ref="BA159">IF($F$11-$I$4+VLOOKUP($R159,武学奇术!$A:$ZZ,9,FALSE)+SUM(_xlfn.XLOOKUP($S159:$AL159,增益!$A:$A,增益!$I:$I,0))&gt;0,($F$11-$I$4+VLOOKUP($R159,武学奇术!$A:$ZZ,9,FALSE)+SUM(_xlfn.XLOOKUP($S159:$AL159,增益!$A:$A,增益!$I:$I,0)))/200,($F$11-$I$4+VLOOKUP($R159,武学奇术!$A:$ZZ,9,FALSE)+SUM(_xlfn.XLOOKUP($S159:$AL159,增益!$A:$A,增益!$I:$I,0)))/100)</f>
        <v>-0.14</v>
      </c>
      <c r="BB159" s="40" cm="1">
        <f t="array" ref="BB159">$G$11+VLOOKUP($R159,武学奇术!$A:$ZZ,10,FALSE)+SUM(_xlfn.XLOOKUP($S159:$AL159,增益!$A:$A,增益!$J:$J,0))</f>
        <v>0</v>
      </c>
      <c r="BC159">
        <f t="shared" si="36"/>
        <v>640.3</v>
      </c>
      <c r="BD159">
        <f t="shared" si="37"/>
        <v>1770.1</v>
      </c>
      <c r="BE159" s="40" cm="1">
        <f t="array" ref="BE159">IF($F$12-$I$4+VLOOKUP($R159,武学奇术!$A:$ZZ,11,FALSE)+SUM(_xlfn.XLOOKUP($S159:$AL159,增益!$A:$A,增益!$K:$K,0))&gt;0,($F$12-$I$4+VLOOKUP($R159,武学奇术!$A:$ZZ,11,FALSE)+SUM(_xlfn.XLOOKUP($S159:$AL159,增益!$A:$A,增益!$K:$K,0)))/200,($F$12-$I$4+VLOOKUP($R159,武学奇术!$A:$ZZ,11,FALSE)+SUM(_xlfn.XLOOKUP($S159:$AL159,增益!$A:$A,增益!$K:$K,0)))/100)</f>
        <v>0.17</v>
      </c>
      <c r="BF159" s="40" cm="1">
        <f t="array" ref="BF159">$G$12+VLOOKUP($R159,武学奇术!$A:$ZZ,12,FALSE)+SUM(_xlfn.XLOOKUP($S159:$AL159,增益!$A:$A,增益!$L:$L,0))</f>
        <v>0.27</v>
      </c>
      <c r="BG159">
        <f t="shared" si="38"/>
        <v>0</v>
      </c>
      <c r="BH159">
        <f t="shared" si="39"/>
        <v>0</v>
      </c>
      <c r="BI159" s="40" cm="1">
        <f t="array" ref="BI159">IF($F$13-$I$4+VLOOKUP($R159,武学奇术!$A:$ZZ,13,FALSE)+SUM(_xlfn.XLOOKUP($S159:$AL159,增益!$A:$A,增益!$M:$M,0))&gt;0,($F$13-$I$4+VLOOKUP($R159,武学奇术!$A:$ZZ,13,FALSE)+SUM(_xlfn.XLOOKUP($S159:$AL159,增益!$A:$A,增益!$K:$K,0)))/200,($F$13-$I$4+VLOOKUP($R159,武学奇术!$A:$ZZ,13,FALSE)+SUM(_xlfn.XLOOKUP($S159:$AL159,增益!$A:$A,增益!$M:$M,0)))/100)</f>
        <v>-0.14</v>
      </c>
      <c r="BJ159" s="40" cm="1">
        <f t="array" ref="BJ159">$G$13+VLOOKUP($R159,武学奇术!$A:$ZZ,14,FALSE)+SUM(_xlfn.XLOOKUP($S159:$AL159,增益!$A:$A,增益!$N:$N,0))</f>
        <v>0</v>
      </c>
      <c r="BK159">
        <f t="shared" si="40"/>
        <v>0</v>
      </c>
      <c r="BL159">
        <f t="shared" si="41"/>
        <v>0</v>
      </c>
      <c r="BM159" s="40" cm="1">
        <f t="array" ref="BM159">IF($F$14-$I$4+VLOOKUP($R159,武学奇术!$A:$ZZ,15,FALSE)+SUM(_xlfn.XLOOKUP($S159:$AL159,增益!$A:$A,增益!$O:$O,0))&gt;0,($F$14-$I$4+VLOOKUP($R159,武学奇术!$A:$ZZ,15,FALSE)+SUM(_xlfn.XLOOKUP($S159:$AL159,增益!$A:$A,增益!$O:$O,0)))/200,($F$14-$I$4+VLOOKUP($R159,武学奇术!$A:$ZZ,15,FALSE)+SUM(_xlfn.XLOOKUP($S159:$AL159,增益!$A:$A,增益!$O:$O,0)))/100)</f>
        <v>-0.14</v>
      </c>
      <c r="BN159" s="40" cm="1">
        <f t="array" ref="BN159">$G$14+VLOOKUP($R159,武学奇术!$A:$ZZ,16,FALSE)+SUM(_xlfn.XLOOKUP($S159:$AL159,增益!$A:$A,增益!$P:$P,0))</f>
        <v>0</v>
      </c>
      <c r="BO159" s="33">
        <f>MIN(IF(VLOOKUP($R159,武学奇术!$A:$ZZ,23,FALSE)=1,100%,$B$8),100%)</f>
        <v>0.9771</v>
      </c>
      <c r="BP159" s="33" cm="1">
        <f t="array" ref="BP159">IF(VLOOKUP($R159,武学奇术!$A:$ZZ,23,FALSE)=1,100%,MIN(80%,$B$9+VLOOKUP($R159,武学奇术!$A:$ZZ,17,FALSE)+SUM(_xlfn.XLOOKUP($S159:$AL159,增益!$A:$A,增益!$Q:$Q,0)))+$B$11+SUM(_xlfn.XLOOKUP($S159:$AL159,增益!$A:$A,增益!$U:$U,0)))*IF(VLOOKUP($R159,武学奇术!$A:$ZZ,24,FALSE)=1,0,1)</f>
        <v>0.8861</v>
      </c>
      <c r="BQ159" s="33" cm="1">
        <f t="array" ref="BQ159">1+$B$13+VLOOKUP($R159,武学奇术!$A:$ZZ,18,FALSE)+SUM(_xlfn.XLOOKUP($S159:$AL159,增益!$A:$A,增益!$R:$R,0))</f>
        <v>1.96</v>
      </c>
      <c r="BR159" s="33" cm="1">
        <f t="array" ref="BR159">IF(VLOOKUP($R159,武学奇术!$A:$ZZ,24,FALSE)=1,100%,MIN(40%,$B$10+VLOOKUP($R159,武学奇术!$A:$ZZ,19,FALSE)+SUM(_xlfn.XLOOKUP($S159:$AL159,增益!$A:$A,增益!$S:$S,0)))+$B$12+SUM(_xlfn.XLOOKUP($S159:$AL159,增益!$A:$A,增益!$V:$V,0)))*IF(VLOOKUP($R159,武学奇术!$A:$ZZ,23,FALSE)=1,0,1)</f>
        <v>0.0913</v>
      </c>
      <c r="BS159" s="33" cm="1">
        <f t="array" ref="BS159">1+$B$14+VLOOKUP($R159,武学奇术!$A:$ZZ,20,FALSE)+SUM(_xlfn.XLOOKUP($S159:$AL159,增益!$A:$A,增益!$T:$T,0))</f>
        <v>1.35</v>
      </c>
      <c r="BT159" s="33">
        <f t="shared" si="42"/>
        <v>0.86580831</v>
      </c>
      <c r="BU159" s="33">
        <f t="shared" si="43"/>
        <v>0.02208246</v>
      </c>
      <c r="BV159" s="33">
        <f>IF(VLOOKUP($R159,武学奇术!$A:$ZZ,22,FALSE)=1,0,(1-$BO159))*(1-$BR159)</f>
        <v>0.02080923</v>
      </c>
      <c r="BW159" s="33" cm="1">
        <f t="array" ref="BW159">SUM(_xlfn.XLOOKUP($S159:$AL159,增益!$A:$A,增益!$W:$W,0))+$I$5</f>
        <v>0.11</v>
      </c>
      <c r="BX159" s="33" cm="1">
        <f t="array" ref="BX159">VLOOKUP($R159,武学奇术!$A:$ZZ,32,FALSE)+SUM(_xlfn.XLOOKUP($S159:$AL159,增益!$A:$A,增益!$X:$X,0))</f>
        <v>0</v>
      </c>
    </row>
    <row r="160" spans="12:76">
      <c r="L160" s="46">
        <f t="shared" si="33"/>
        <v>0</v>
      </c>
      <c r="M160" s="46">
        <f>((($AT160+$AU160)/2*$AN160+$AO160)*(1+$AV160)*(1+$AW160)+(($AY160+$AZ160)/2*IF($G$1="鸣金",$AP160,$AN160)+IF($G$1="鸣金",$AQ160*1.5,0))*(1+$BA160)*(1+$BB160)+(($BC160+$BD160)/2*IF($G$1="裂石",$AP160,$AN160)+IF($G$1="裂石",$AQ160*1.5,0))*(1+$BE160)*(1+$BF160)+(($BG160+$BH160)/2*IF($G$1="牵丝",$AP160,$AN160)+IF($G$1="牵丝",$AQ160*1.5,0))*(1+$BI160)*(1+$BJ160)+(($BK160+$BL160)/2*IF($G$1="破竹",$AP160,$AN160)+IF($G$1="破竹",$AQ160*1.5,0))*(1+$BM160)*(1+$BN160))*(1+$AR160)*$BQ160*$Q160*(1+IF(VLOOKUP($R160,武学奇术!$A:$ZZ,30,FALSE)="蓄力技",$B$21,0))*(1+IF(VLOOKUP($R160,武学奇术!$A:$ZZ,30,FALSE)="派生技",$B$20,0))*(1+$BW160)*(1+$BX160)</f>
        <v>0</v>
      </c>
      <c r="N160" s="46">
        <f>(($AU160*$AN160+$AO160)*(1+$AV160)*(1+$AW160)+($AZ160*IF($G$1="鸣金",$AP160,$AN160)+IF($G$1="鸣金",$AQ160*1.5,0))*(1+$BA160)*(1+$BB160)+($BD160*IF($G$1="裂石",$AP160,$AN160)+IF($G$1="裂石",$AQ160*1.5,0))*(1+$BE160)*(1+$BF160)+($BH160*IF($G$1="牵丝",$AP160,$AN160)+IF($G$1="牵丝",$AQ160*1.5,0))*(1+$BI160)*(1+$BJ160)+($BL160*IF($G$1="破竹",$AP160,$AN160)+IF($G$1="破竹",$AQ160*1.5,0))*(1+$BM160)*(1+$BN160))*(1+$AR160)*$BS160*$Q160*(1+IF(VLOOKUP($R160,武学奇术!$A:$ZZ,30,FALSE)="蓄力技",$B$21,0))*(1+IF(VLOOKUP($R160,武学奇术!$A:$ZZ,30,FALSE)="派生技",$B$20,0))*(1+$BW160)*(1+$BX160)</f>
        <v>0</v>
      </c>
      <c r="O160" s="46">
        <f>((($AT160+$AU160)/2*$AN160+$AO160)*(1+$AV160)*(1+$AW160)+(($AY160+$AZ160)/2*IF($G$1="鸣金",$AP160,$AN160)+IF($G$1="鸣金",$AQ160*1.5,0))*(1+$BA160)*(1+$BB160)+(($BC160+$BD160)/2*IF($G$1="裂石",$AP160,$AN160)+IF($G$1="裂石",$AQ160*1.5,0))*(1+$BE160)*(1+$BF160)+(($BG160+$BH160)/2*IF($G$1="牵丝",$AP160,$AN160)+IF($G$1="牵丝",$AQ160*1.5,0))*(1+$BI160)*(1+$BJ160)+(($BK160+$BL160)/2*IF($G$1="破竹",$AP160,$AN160)+IF($G$1="破竹",$AQ160*1.5,0))*(1+$BM160)*(1+$BN160))*(1+$AR160)*$Q160*(1+IF(VLOOKUP($R160,武学奇术!$A:$ZZ,30,FALSE)="蓄力技",$B$21,0))*(1+IF(VLOOKUP($R160,武学奇术!$A:$ZZ,30,FALSE)="派生技",$B$20,0))*(1+$BW160)*(1+$BX160)</f>
        <v>0</v>
      </c>
      <c r="P160" s="46">
        <f>((($AT160*$AN160+$AO160)*(1+$AV160)*(1+$AW160)+($AY160*IF($G$1="鸣金",$AP160,$AN160)+IF($G$1="鸣金",$AQ160*1.5,0))*(1+$BA160)*(1+$BB160)+($BC160*IF($G$1="裂石",$AP160,$AN160)+IF($G$1="裂石",$AQ160*1.5,0))*(1+$BE160)*(1+$BF160)+($BG160*IF($G$1="牵丝",$AP160,$AN160)+IF($G$1="牵丝",$AQ160*1.5,0))*(1+$BI160)*(1+$BJ160)+($BK160*IF($G$1="破竹",$AP160,$AN160)+IF($G$1="破竹",$AQ160*1.5,0))*(1+$BM160)*(1+$BN160))*(1+$AR160))*$Q160*(1+IF(VLOOKUP($R160,武学奇术!$A:$ZZ,30,FALSE)="蓄力技",$B$21,0))*(1+IF(VLOOKUP($R160,武学奇术!$A:$ZZ,30,FALSE)="派生技",$B$20,0))*(1+$BW160)*(1+$BX160)</f>
        <v>0</v>
      </c>
      <c r="Q160" s="47">
        <f t="shared" si="45"/>
        <v>0</v>
      </c>
      <c r="R160" s="48" t="s">
        <v>122</v>
      </c>
      <c r="S160" s="48" t="s">
        <v>99</v>
      </c>
      <c r="T160" s="48" t="s">
        <v>170</v>
      </c>
      <c r="U160" s="48" t="s">
        <v>79</v>
      </c>
      <c r="V160" s="48" t="s">
        <v>90</v>
      </c>
      <c r="W160" s="48" t="s">
        <v>141</v>
      </c>
      <c r="X160" s="48" t="s">
        <v>80</v>
      </c>
      <c r="Y160" s="48" t="s">
        <v>74</v>
      </c>
      <c r="Z160" s="48" t="s">
        <v>80</v>
      </c>
      <c r="AA160" s="48" t="s">
        <v>80</v>
      </c>
      <c r="AB160" s="48" t="s">
        <v>80</v>
      </c>
      <c r="AC160" s="48" t="s">
        <v>80</v>
      </c>
      <c r="AD160" s="48" t="s">
        <v>80</v>
      </c>
      <c r="AE160" s="48" t="s">
        <v>80</v>
      </c>
      <c r="AF160" s="48" t="s">
        <v>83</v>
      </c>
      <c r="AG160" s="48" t="s">
        <v>84</v>
      </c>
      <c r="AH160" s="48" t="s">
        <v>80</v>
      </c>
      <c r="AI160" s="48" t="s">
        <v>80</v>
      </c>
      <c r="AJ160" s="48" t="s">
        <v>80</v>
      </c>
      <c r="AK160" s="48" t="s">
        <v>80</v>
      </c>
      <c r="AL160" s="48" t="s">
        <v>80</v>
      </c>
      <c r="AM160" t="str">
        <f>VLOOKUP($R160,武学奇术!$A:$ZZ,25,FALSE)</f>
        <v>横刀</v>
      </c>
      <c r="AN160" s="33">
        <f>VLOOKUP($R160,武学奇术!$A:$ZZ,26,FALSE)</f>
        <v>1.47</v>
      </c>
      <c r="AO160" s="34">
        <f>VLOOKUP($R160,武学奇术!$A:$ZZ,27,FALSE)*(1+IF(OR($AM160=$F$4,$AM160=$F$5),$B$22,0))</f>
        <v>0</v>
      </c>
      <c r="AP160" s="33">
        <f>VLOOKUP($R160,武学奇术!$A:$ZZ,28,FALSE)</f>
        <v>2.205</v>
      </c>
      <c r="AQ160" s="34">
        <f>VLOOKUP($R160,武学奇术!$A:$ZZ,29,FALSE)*(1+IF(OR($AM160=$F$4,$AM160=$F$5),$B$22,0))</f>
        <v>0</v>
      </c>
      <c r="AR160" s="33" cm="1">
        <f t="array" ref="AR160">$G$3+IFERROR(VLOOKUP($AM160,$F$4:$G$7,2,FALSE),0)+VLOOKUP($R160,武学奇术!$A:$ZZ,2,FALSE)+SUM(_xlfn.XLOOKUP($S160:$AL160,增益!$A:$A,增益!$B:$B,0))</f>
        <v>0.5289</v>
      </c>
      <c r="AS160" s="33" cm="1">
        <f t="array" ref="AS160">VLOOKUP($R160,武学奇术!$A:$ZZ,5,FALSE)+SUM(_xlfn.XLOOKUP($S160:$AL160,增益!$A:$A,增益!$E:$E,0))</f>
        <v>0</v>
      </c>
      <c r="AT160" cm="1">
        <f t="array" ref="AT160">$D$10*(1+$AS160)+VLOOKUP($R160,武学奇术!$A:$ZZ,3,FALSE)+SUM(_xlfn.XLOOKUP($S160:$AL160,增益!$A:$A,增益!$C:$C,0))-$I$2</f>
        <v>4026</v>
      </c>
      <c r="AU160" cm="1">
        <f t="array" ref="AU160">$E$10*(1+$AS160)+VLOOKUP($R160,武学奇术!$A:$ZZ,4,FALSE)+SUM(_xlfn.XLOOKUP($S160:$AL160,增益!$A:$A,增益!$D:$D,0))-$I$2</f>
        <v>4026</v>
      </c>
      <c r="AV160" s="40" cm="1">
        <f t="array" ref="AV160">IF($F$10-$I$3+VLOOKUP($R160,武学奇术!$A:$ZZ,6,FALSE)+SUM(_xlfn.XLOOKUP($S160:$AL160,增益!$A:$A,增益!$F:$F,0))&gt;0,($F$10-$I$3+VLOOKUP($R160,武学奇术!$A:$ZZ,6,FALSE)+SUM(_xlfn.XLOOKUP($S160:$AL160,增益!$A:$A,增益!$F:$F,0)))/200,($F$10-$I$3+VLOOKUP($R160,武学奇术!$A:$ZZ,6,FALSE)+SUM(_xlfn.XLOOKUP($S160:$AL160,增益!$A:$A,增益!$F:$F,0)))/100)</f>
        <v>0.3534</v>
      </c>
      <c r="AW160" s="40" cm="1">
        <f t="array" ref="AW160">$G$10+VLOOKUP($R160,武学奇术!$A:$ZZ,7,FALSE)+SUM(_xlfn.XLOOKUP($S160:$AL160,增益!$A:$A,增益!$G:$G,0))</f>
        <v>0.12</v>
      </c>
      <c r="AX160" s="33" cm="1">
        <f t="array" ref="AX160">VLOOKUP($R160,武学奇术!$A:$ZZ,8,FALSE)+SUM(_xlfn.XLOOKUP($S160:$AL160,增益!$A:$A,增益!$H:$H,0))</f>
        <v>0</v>
      </c>
      <c r="AY160">
        <f t="shared" si="34"/>
        <v>0</v>
      </c>
      <c r="AZ160">
        <f t="shared" si="35"/>
        <v>0</v>
      </c>
      <c r="BA160" s="40" cm="1">
        <f t="array" ref="BA160">IF($F$11-$I$4+VLOOKUP($R160,武学奇术!$A:$ZZ,9,FALSE)+SUM(_xlfn.XLOOKUP($S160:$AL160,增益!$A:$A,增益!$I:$I,0))&gt;0,($F$11-$I$4+VLOOKUP($R160,武学奇术!$A:$ZZ,9,FALSE)+SUM(_xlfn.XLOOKUP($S160:$AL160,增益!$A:$A,增益!$I:$I,0)))/200,($F$11-$I$4+VLOOKUP($R160,武学奇术!$A:$ZZ,9,FALSE)+SUM(_xlfn.XLOOKUP($S160:$AL160,增益!$A:$A,增益!$I:$I,0)))/100)</f>
        <v>-0.14</v>
      </c>
      <c r="BB160" s="40" cm="1">
        <f t="array" ref="BB160">$G$11+VLOOKUP($R160,武学奇术!$A:$ZZ,10,FALSE)+SUM(_xlfn.XLOOKUP($S160:$AL160,增益!$A:$A,增益!$J:$J,0))</f>
        <v>0</v>
      </c>
      <c r="BC160">
        <f t="shared" si="36"/>
        <v>640.3</v>
      </c>
      <c r="BD160">
        <f t="shared" si="37"/>
        <v>1770.1</v>
      </c>
      <c r="BE160" s="40" cm="1">
        <f t="array" ref="BE160">IF($F$12-$I$4+VLOOKUP($R160,武学奇术!$A:$ZZ,11,FALSE)+SUM(_xlfn.XLOOKUP($S160:$AL160,增益!$A:$A,增益!$K:$K,0))&gt;0,($F$12-$I$4+VLOOKUP($R160,武学奇术!$A:$ZZ,11,FALSE)+SUM(_xlfn.XLOOKUP($S160:$AL160,增益!$A:$A,增益!$K:$K,0)))/200,($F$12-$I$4+VLOOKUP($R160,武学奇术!$A:$ZZ,11,FALSE)+SUM(_xlfn.XLOOKUP($S160:$AL160,增益!$A:$A,增益!$K:$K,0)))/100)</f>
        <v>0.17</v>
      </c>
      <c r="BF160" s="40" cm="1">
        <f t="array" ref="BF160">$G$12+VLOOKUP($R160,武学奇术!$A:$ZZ,12,FALSE)+SUM(_xlfn.XLOOKUP($S160:$AL160,增益!$A:$A,增益!$L:$L,0))</f>
        <v>0.27</v>
      </c>
      <c r="BG160">
        <f t="shared" si="38"/>
        <v>0</v>
      </c>
      <c r="BH160">
        <f t="shared" si="39"/>
        <v>0</v>
      </c>
      <c r="BI160" s="40" cm="1">
        <f t="array" ref="BI160">IF($F$13-$I$4+VLOOKUP($R160,武学奇术!$A:$ZZ,13,FALSE)+SUM(_xlfn.XLOOKUP($S160:$AL160,增益!$A:$A,增益!$M:$M,0))&gt;0,($F$13-$I$4+VLOOKUP($R160,武学奇术!$A:$ZZ,13,FALSE)+SUM(_xlfn.XLOOKUP($S160:$AL160,增益!$A:$A,增益!$K:$K,0)))/200,($F$13-$I$4+VLOOKUP($R160,武学奇术!$A:$ZZ,13,FALSE)+SUM(_xlfn.XLOOKUP($S160:$AL160,增益!$A:$A,增益!$M:$M,0)))/100)</f>
        <v>-0.14</v>
      </c>
      <c r="BJ160" s="40" cm="1">
        <f t="array" ref="BJ160">$G$13+VLOOKUP($R160,武学奇术!$A:$ZZ,14,FALSE)+SUM(_xlfn.XLOOKUP($S160:$AL160,增益!$A:$A,增益!$N:$N,0))</f>
        <v>0</v>
      </c>
      <c r="BK160">
        <f t="shared" si="40"/>
        <v>0</v>
      </c>
      <c r="BL160">
        <f t="shared" si="41"/>
        <v>0</v>
      </c>
      <c r="BM160" s="40" cm="1">
        <f t="array" ref="BM160">IF($F$14-$I$4+VLOOKUP($R160,武学奇术!$A:$ZZ,15,FALSE)+SUM(_xlfn.XLOOKUP($S160:$AL160,增益!$A:$A,增益!$O:$O,0))&gt;0,($F$14-$I$4+VLOOKUP($R160,武学奇术!$A:$ZZ,15,FALSE)+SUM(_xlfn.XLOOKUP($S160:$AL160,增益!$A:$A,增益!$O:$O,0)))/200,($F$14-$I$4+VLOOKUP($R160,武学奇术!$A:$ZZ,15,FALSE)+SUM(_xlfn.XLOOKUP($S160:$AL160,增益!$A:$A,增益!$O:$O,0)))/100)</f>
        <v>-0.14</v>
      </c>
      <c r="BN160" s="40" cm="1">
        <f t="array" ref="BN160">$G$14+VLOOKUP($R160,武学奇术!$A:$ZZ,16,FALSE)+SUM(_xlfn.XLOOKUP($S160:$AL160,增益!$A:$A,增益!$P:$P,0))</f>
        <v>0</v>
      </c>
      <c r="BO160" s="33">
        <f>MIN(IF(VLOOKUP($R160,武学奇术!$A:$ZZ,23,FALSE)=1,100%,$B$8),100%)</f>
        <v>0.9771</v>
      </c>
      <c r="BP160" s="33" cm="1">
        <f t="array" ref="BP160">IF(VLOOKUP($R160,武学奇术!$A:$ZZ,23,FALSE)=1,100%,MIN(80%,$B$9+VLOOKUP($R160,武学奇术!$A:$ZZ,17,FALSE)+SUM(_xlfn.XLOOKUP($S160:$AL160,增益!$A:$A,增益!$Q:$Q,0)))+$B$11+SUM(_xlfn.XLOOKUP($S160:$AL160,增益!$A:$A,增益!$U:$U,0)))*IF(VLOOKUP($R160,武学奇术!$A:$ZZ,24,FALSE)=1,0,1)</f>
        <v>0.8861</v>
      </c>
      <c r="BQ160" s="33" cm="1">
        <f t="array" ref="BQ160">1+$B$13+VLOOKUP($R160,武学奇术!$A:$ZZ,18,FALSE)+SUM(_xlfn.XLOOKUP($S160:$AL160,增益!$A:$A,增益!$R:$R,0))</f>
        <v>1.96</v>
      </c>
      <c r="BR160" s="33" cm="1">
        <f t="array" ref="BR160">IF(VLOOKUP($R160,武学奇术!$A:$ZZ,24,FALSE)=1,100%,MIN(40%,$B$10+VLOOKUP($R160,武学奇术!$A:$ZZ,19,FALSE)+SUM(_xlfn.XLOOKUP($S160:$AL160,增益!$A:$A,增益!$S:$S,0)))+$B$12+SUM(_xlfn.XLOOKUP($S160:$AL160,增益!$A:$A,增益!$V:$V,0)))*IF(VLOOKUP($R160,武学奇术!$A:$ZZ,23,FALSE)=1,0,1)</f>
        <v>0.0913</v>
      </c>
      <c r="BS160" s="33" cm="1">
        <f t="array" ref="BS160">1+$B$14+VLOOKUP($R160,武学奇术!$A:$ZZ,20,FALSE)+SUM(_xlfn.XLOOKUP($S160:$AL160,增益!$A:$A,增益!$T:$T,0))</f>
        <v>1.35</v>
      </c>
      <c r="BT160" s="33">
        <f t="shared" si="42"/>
        <v>0.86580831</v>
      </c>
      <c r="BU160" s="33">
        <f t="shared" si="43"/>
        <v>0.02208246</v>
      </c>
      <c r="BV160" s="33">
        <f>IF(VLOOKUP($R160,武学奇术!$A:$ZZ,22,FALSE)=1,0,(1-$BO160))*(1-$BR160)</f>
        <v>0.02080923</v>
      </c>
      <c r="BW160" s="33" cm="1">
        <f t="array" ref="BW160">SUM(_xlfn.XLOOKUP($S160:$AL160,增益!$A:$A,增益!$W:$W,0))+$I$5</f>
        <v>0.11</v>
      </c>
      <c r="BX160" s="33" cm="1">
        <f t="array" ref="BX160">VLOOKUP($R160,武学奇术!$A:$ZZ,32,FALSE)+SUM(_xlfn.XLOOKUP($S160:$AL160,增益!$A:$A,增益!$X:$X,0))</f>
        <v>0</v>
      </c>
    </row>
    <row r="161" spans="12:76">
      <c r="L161" s="46">
        <f t="shared" si="33"/>
        <v>0</v>
      </c>
      <c r="M161" s="46">
        <f>((($AT161+$AU161)/2*$AN161+$AO161)*(1+$AV161)*(1+$AW161)+(($AY161+$AZ161)/2*IF($G$1="鸣金",$AP161,$AN161)+IF($G$1="鸣金",$AQ161*1.5,0))*(1+$BA161)*(1+$BB161)+(($BC161+$BD161)/2*IF($G$1="裂石",$AP161,$AN161)+IF($G$1="裂石",$AQ161*1.5,0))*(1+$BE161)*(1+$BF161)+(($BG161+$BH161)/2*IF($G$1="牵丝",$AP161,$AN161)+IF($G$1="牵丝",$AQ161*1.5,0))*(1+$BI161)*(1+$BJ161)+(($BK161+$BL161)/2*IF($G$1="破竹",$AP161,$AN161)+IF($G$1="破竹",$AQ161*1.5,0))*(1+$BM161)*(1+$BN161))*(1+$AR161)*$BQ161*$Q161*(1+IF(VLOOKUP($R161,武学奇术!$A:$ZZ,30,FALSE)="蓄力技",$B$21,0))*(1+IF(VLOOKUP($R161,武学奇术!$A:$ZZ,30,FALSE)="派生技",$B$20,0))*(1+$BW161)*(1+$BX161)</f>
        <v>0</v>
      </c>
      <c r="N161" s="46">
        <f>(($AU161*$AN161+$AO161)*(1+$AV161)*(1+$AW161)+($AZ161*IF($G$1="鸣金",$AP161,$AN161)+IF($G$1="鸣金",$AQ161*1.5,0))*(1+$BA161)*(1+$BB161)+($BD161*IF($G$1="裂石",$AP161,$AN161)+IF($G$1="裂石",$AQ161*1.5,0))*(1+$BE161)*(1+$BF161)+($BH161*IF($G$1="牵丝",$AP161,$AN161)+IF($G$1="牵丝",$AQ161*1.5,0))*(1+$BI161)*(1+$BJ161)+($BL161*IF($G$1="破竹",$AP161,$AN161)+IF($G$1="破竹",$AQ161*1.5,0))*(1+$BM161)*(1+$BN161))*(1+$AR161)*$BS161*$Q161*(1+IF(VLOOKUP($R161,武学奇术!$A:$ZZ,30,FALSE)="蓄力技",$B$21,0))*(1+IF(VLOOKUP($R161,武学奇术!$A:$ZZ,30,FALSE)="派生技",$B$20,0))*(1+$BW161)*(1+$BX161)</f>
        <v>0</v>
      </c>
      <c r="O161" s="46">
        <f>((($AT161+$AU161)/2*$AN161+$AO161)*(1+$AV161)*(1+$AW161)+(($AY161+$AZ161)/2*IF($G$1="鸣金",$AP161,$AN161)+IF($G$1="鸣金",$AQ161*1.5,0))*(1+$BA161)*(1+$BB161)+(($BC161+$BD161)/2*IF($G$1="裂石",$AP161,$AN161)+IF($G$1="裂石",$AQ161*1.5,0))*(1+$BE161)*(1+$BF161)+(($BG161+$BH161)/2*IF($G$1="牵丝",$AP161,$AN161)+IF($G$1="牵丝",$AQ161*1.5,0))*(1+$BI161)*(1+$BJ161)+(($BK161+$BL161)/2*IF($G$1="破竹",$AP161,$AN161)+IF($G$1="破竹",$AQ161*1.5,0))*(1+$BM161)*(1+$BN161))*(1+$AR161)*$Q161*(1+IF(VLOOKUP($R161,武学奇术!$A:$ZZ,30,FALSE)="蓄力技",$B$21,0))*(1+IF(VLOOKUP($R161,武学奇术!$A:$ZZ,30,FALSE)="派生技",$B$20,0))*(1+$BW161)*(1+$BX161)</f>
        <v>0</v>
      </c>
      <c r="P161" s="46">
        <f>((($AT161*$AN161+$AO161)*(1+$AV161)*(1+$AW161)+($AY161*IF($G$1="鸣金",$AP161,$AN161)+IF($G$1="鸣金",$AQ161*1.5,0))*(1+$BA161)*(1+$BB161)+($BC161*IF($G$1="裂石",$AP161,$AN161)+IF($G$1="裂石",$AQ161*1.5,0))*(1+$BE161)*(1+$BF161)+($BG161*IF($G$1="牵丝",$AP161,$AN161)+IF($G$1="牵丝",$AQ161*1.5,0))*(1+$BI161)*(1+$BJ161)+($BK161*IF($G$1="破竹",$AP161,$AN161)+IF($G$1="破竹",$AQ161*1.5,0))*(1+$BM161)*(1+$BN161))*(1+$AR161))*$Q161*(1+IF(VLOOKUP($R161,武学奇术!$A:$ZZ,30,FALSE)="蓄力技",$B$21,0))*(1+IF(VLOOKUP($R161,武学奇术!$A:$ZZ,30,FALSE)="派生技",$B$20,0))*(1+$BW161)*(1+$BX161)</f>
        <v>0</v>
      </c>
      <c r="Q161" s="47">
        <f t="shared" si="45"/>
        <v>0</v>
      </c>
      <c r="R161" s="48" t="s">
        <v>197</v>
      </c>
      <c r="S161" s="48" t="s">
        <v>99</v>
      </c>
      <c r="T161" s="48" t="s">
        <v>170</v>
      </c>
      <c r="U161" s="48" t="s">
        <v>79</v>
      </c>
      <c r="V161" s="48" t="s">
        <v>90</v>
      </c>
      <c r="W161" s="48" t="s">
        <v>91</v>
      </c>
      <c r="X161" s="48" t="s">
        <v>80</v>
      </c>
      <c r="Y161" s="48" t="s">
        <v>80</v>
      </c>
      <c r="Z161" s="48" t="s">
        <v>80</v>
      </c>
      <c r="AA161" s="48" t="s">
        <v>80</v>
      </c>
      <c r="AB161" s="48" t="s">
        <v>80</v>
      </c>
      <c r="AC161" s="48" t="s">
        <v>80</v>
      </c>
      <c r="AD161" s="48" t="s">
        <v>80</v>
      </c>
      <c r="AE161" s="48" t="s">
        <v>80</v>
      </c>
      <c r="AF161" s="48" t="s">
        <v>83</v>
      </c>
      <c r="AG161" s="48" t="s">
        <v>84</v>
      </c>
      <c r="AH161" s="48" t="s">
        <v>80</v>
      </c>
      <c r="AI161" s="48" t="s">
        <v>80</v>
      </c>
      <c r="AJ161" s="48" t="s">
        <v>80</v>
      </c>
      <c r="AK161" s="48" t="s">
        <v>80</v>
      </c>
      <c r="AL161" s="48" t="s">
        <v>80</v>
      </c>
      <c r="AM161" t="str">
        <f>VLOOKUP($R161,武学奇术!$A:$ZZ,25,FALSE)</f>
        <v>横刀</v>
      </c>
      <c r="AN161" s="33">
        <f>VLOOKUP($R161,武学奇术!$A:$ZZ,26,FALSE)</f>
        <v>2.4495</v>
      </c>
      <c r="AO161" s="34">
        <f>VLOOKUP($R161,武学奇术!$A:$ZZ,27,FALSE)*(1+IF(OR($AM161=$F$4,$AM161=$F$5),$B$22,0))</f>
        <v>1083.2</v>
      </c>
      <c r="AP161" s="33">
        <f>VLOOKUP($R161,武学奇术!$A:$ZZ,28,FALSE)</f>
        <v>3.6743</v>
      </c>
      <c r="AQ161" s="34">
        <f>VLOOKUP($R161,武学奇术!$A:$ZZ,29,FALSE)*(1+IF(OR($AM161=$F$4,$AM161=$F$5),$B$22,0))</f>
        <v>588.8</v>
      </c>
      <c r="AR161" s="33" cm="1">
        <f t="array" ref="AR161">$G$3+IFERROR(VLOOKUP($AM161,$F$4:$G$7,2,FALSE),0)+VLOOKUP($R161,武学奇术!$A:$ZZ,2,FALSE)+SUM(_xlfn.XLOOKUP($S161:$AL161,增益!$A:$A,增益!$B:$B,0))</f>
        <v>0.4489</v>
      </c>
      <c r="AS161" s="33" cm="1">
        <f t="array" ref="AS161">VLOOKUP($R161,武学奇术!$A:$ZZ,5,FALSE)+SUM(_xlfn.XLOOKUP($S161:$AL161,增益!$A:$A,增益!$E:$E,0))</f>
        <v>0</v>
      </c>
      <c r="AT161" cm="1">
        <f t="array" ref="AT161">$D$10*(1+$AS161)+VLOOKUP($R161,武学奇术!$A:$ZZ,3,FALSE)+SUM(_xlfn.XLOOKUP($S161:$AL161,增益!$A:$A,增益!$C:$C,0))-$I$2</f>
        <v>4026</v>
      </c>
      <c r="AU161" cm="1">
        <f t="array" ref="AU161">$E$10*(1+$AS161)+VLOOKUP($R161,武学奇术!$A:$ZZ,4,FALSE)+SUM(_xlfn.XLOOKUP($S161:$AL161,增益!$A:$A,增益!$D:$D,0))-$I$2</f>
        <v>4026</v>
      </c>
      <c r="AV161" s="40" cm="1">
        <f t="array" ref="AV161">IF($F$10-$I$3+VLOOKUP($R161,武学奇术!$A:$ZZ,6,FALSE)+SUM(_xlfn.XLOOKUP($S161:$AL161,增益!$A:$A,增益!$F:$F,0))&gt;0,($F$10-$I$3+VLOOKUP($R161,武学奇术!$A:$ZZ,6,FALSE)+SUM(_xlfn.XLOOKUP($S161:$AL161,增益!$A:$A,增益!$F:$F,0)))/200,($F$10-$I$3+VLOOKUP($R161,武学奇术!$A:$ZZ,6,FALSE)+SUM(_xlfn.XLOOKUP($S161:$AL161,增益!$A:$A,增益!$F:$F,0)))/100)</f>
        <v>0.3284</v>
      </c>
      <c r="AW161" s="40" cm="1">
        <f t="array" ref="AW161">$G$10+VLOOKUP($R161,武学奇术!$A:$ZZ,7,FALSE)+SUM(_xlfn.XLOOKUP($S161:$AL161,增益!$A:$A,增益!$G:$G,0))</f>
        <v>0.12</v>
      </c>
      <c r="AX161" s="33" cm="1">
        <f t="array" ref="AX161">VLOOKUP($R161,武学奇术!$A:$ZZ,8,FALSE)+SUM(_xlfn.XLOOKUP($S161:$AL161,增益!$A:$A,增益!$H:$H,0))</f>
        <v>0</v>
      </c>
      <c r="AY161">
        <f t="shared" si="34"/>
        <v>0</v>
      </c>
      <c r="AZ161">
        <f t="shared" si="35"/>
        <v>0</v>
      </c>
      <c r="BA161" s="40" cm="1">
        <f t="array" ref="BA161">IF($F$11-$I$4+VLOOKUP($R161,武学奇术!$A:$ZZ,9,FALSE)+SUM(_xlfn.XLOOKUP($S161:$AL161,增益!$A:$A,增益!$I:$I,0))&gt;0,($F$11-$I$4+VLOOKUP($R161,武学奇术!$A:$ZZ,9,FALSE)+SUM(_xlfn.XLOOKUP($S161:$AL161,增益!$A:$A,增益!$I:$I,0)))/200,($F$11-$I$4+VLOOKUP($R161,武学奇术!$A:$ZZ,9,FALSE)+SUM(_xlfn.XLOOKUP($S161:$AL161,增益!$A:$A,增益!$I:$I,0)))/100)</f>
        <v>-0.14</v>
      </c>
      <c r="BB161" s="40" cm="1">
        <f t="array" ref="BB161">$G$11+VLOOKUP($R161,武学奇术!$A:$ZZ,10,FALSE)+SUM(_xlfn.XLOOKUP($S161:$AL161,增益!$A:$A,增益!$J:$J,0))</f>
        <v>0</v>
      </c>
      <c r="BC161">
        <f t="shared" si="36"/>
        <v>640.3</v>
      </c>
      <c r="BD161">
        <f t="shared" si="37"/>
        <v>1770.1</v>
      </c>
      <c r="BE161" s="40" cm="1">
        <f t="array" ref="BE161">IF($F$12-$I$4+VLOOKUP($R161,武学奇术!$A:$ZZ,11,FALSE)+SUM(_xlfn.XLOOKUP($S161:$AL161,增益!$A:$A,增益!$K:$K,0))&gt;0,($F$12-$I$4+VLOOKUP($R161,武学奇术!$A:$ZZ,11,FALSE)+SUM(_xlfn.XLOOKUP($S161:$AL161,增益!$A:$A,增益!$K:$K,0)))/200,($F$12-$I$4+VLOOKUP($R161,武学奇术!$A:$ZZ,11,FALSE)+SUM(_xlfn.XLOOKUP($S161:$AL161,增益!$A:$A,增益!$K:$K,0)))/100)</f>
        <v>0.17</v>
      </c>
      <c r="BF161" s="40" cm="1">
        <f t="array" ref="BF161">$G$12+VLOOKUP($R161,武学奇术!$A:$ZZ,12,FALSE)+SUM(_xlfn.XLOOKUP($S161:$AL161,增益!$A:$A,增益!$L:$L,0))</f>
        <v>0.27</v>
      </c>
      <c r="BG161">
        <f t="shared" si="38"/>
        <v>0</v>
      </c>
      <c r="BH161">
        <f t="shared" si="39"/>
        <v>0</v>
      </c>
      <c r="BI161" s="40" cm="1">
        <f t="array" ref="BI161">IF($F$13-$I$4+VLOOKUP($R161,武学奇术!$A:$ZZ,13,FALSE)+SUM(_xlfn.XLOOKUP($S161:$AL161,增益!$A:$A,增益!$M:$M,0))&gt;0,($F$13-$I$4+VLOOKUP($R161,武学奇术!$A:$ZZ,13,FALSE)+SUM(_xlfn.XLOOKUP($S161:$AL161,增益!$A:$A,增益!$K:$K,0)))/200,($F$13-$I$4+VLOOKUP($R161,武学奇术!$A:$ZZ,13,FALSE)+SUM(_xlfn.XLOOKUP($S161:$AL161,增益!$A:$A,增益!$M:$M,0)))/100)</f>
        <v>-0.14</v>
      </c>
      <c r="BJ161" s="40" cm="1">
        <f t="array" ref="BJ161">$G$13+VLOOKUP($R161,武学奇术!$A:$ZZ,14,FALSE)+SUM(_xlfn.XLOOKUP($S161:$AL161,增益!$A:$A,增益!$N:$N,0))</f>
        <v>0</v>
      </c>
      <c r="BK161">
        <f t="shared" si="40"/>
        <v>0</v>
      </c>
      <c r="BL161">
        <f t="shared" si="41"/>
        <v>0</v>
      </c>
      <c r="BM161" s="40" cm="1">
        <f t="array" ref="BM161">IF($F$14-$I$4+VLOOKUP($R161,武学奇术!$A:$ZZ,15,FALSE)+SUM(_xlfn.XLOOKUP($S161:$AL161,增益!$A:$A,增益!$O:$O,0))&gt;0,($F$14-$I$4+VLOOKUP($R161,武学奇术!$A:$ZZ,15,FALSE)+SUM(_xlfn.XLOOKUP($S161:$AL161,增益!$A:$A,增益!$O:$O,0)))/200,($F$14-$I$4+VLOOKUP($R161,武学奇术!$A:$ZZ,15,FALSE)+SUM(_xlfn.XLOOKUP($S161:$AL161,增益!$A:$A,增益!$O:$O,0)))/100)</f>
        <v>-0.14</v>
      </c>
      <c r="BN161" s="40" cm="1">
        <f t="array" ref="BN161">$G$14+VLOOKUP($R161,武学奇术!$A:$ZZ,16,FALSE)+SUM(_xlfn.XLOOKUP($S161:$AL161,增益!$A:$A,增益!$P:$P,0))</f>
        <v>0</v>
      </c>
      <c r="BO161" s="33">
        <f>MIN(IF(VLOOKUP($R161,武学奇术!$A:$ZZ,23,FALSE)=1,100%,$B$8),100%)</f>
        <v>0.9771</v>
      </c>
      <c r="BP161" s="33" cm="1">
        <f t="array" ref="BP161">IF(VLOOKUP($R161,武学奇术!$A:$ZZ,23,FALSE)=1,100%,MIN(80%,$B$9+VLOOKUP($R161,武学奇术!$A:$ZZ,17,FALSE)+SUM(_xlfn.XLOOKUP($S161:$AL161,增益!$A:$A,增益!$Q:$Q,0)))+$B$11+SUM(_xlfn.XLOOKUP($S161:$AL161,增益!$A:$A,增益!$U:$U,0)))*IF(VLOOKUP($R161,武学奇术!$A:$ZZ,24,FALSE)=1,0,1)</f>
        <v>0.8861</v>
      </c>
      <c r="BQ161" s="33" cm="1">
        <f t="array" ref="BQ161">1+$B$13+VLOOKUP($R161,武学奇术!$A:$ZZ,18,FALSE)+SUM(_xlfn.XLOOKUP($S161:$AL161,增益!$A:$A,增益!$R:$R,0))</f>
        <v>1.91</v>
      </c>
      <c r="BR161" s="33" cm="1">
        <f t="array" ref="BR161">IF(VLOOKUP($R161,武学奇术!$A:$ZZ,24,FALSE)=1,100%,MIN(40%,$B$10+VLOOKUP($R161,武学奇术!$A:$ZZ,19,FALSE)+SUM(_xlfn.XLOOKUP($S161:$AL161,增益!$A:$A,增益!$S:$S,0)))+$B$12+SUM(_xlfn.XLOOKUP($S161:$AL161,增益!$A:$A,增益!$V:$V,0)))*IF(VLOOKUP($R161,武学奇术!$A:$ZZ,23,FALSE)=1,0,1)</f>
        <v>0.0913</v>
      </c>
      <c r="BS161" s="33" cm="1">
        <f t="array" ref="BS161">1+$B$14+VLOOKUP($R161,武学奇术!$A:$ZZ,20,FALSE)+SUM(_xlfn.XLOOKUP($S161:$AL161,增益!$A:$A,增益!$T:$T,0))</f>
        <v>1.35</v>
      </c>
      <c r="BT161" s="33">
        <f t="shared" si="42"/>
        <v>0.86580831</v>
      </c>
      <c r="BU161" s="33">
        <f t="shared" si="43"/>
        <v>0.02208246</v>
      </c>
      <c r="BV161" s="33">
        <f>IF(VLOOKUP($R161,武学奇术!$A:$ZZ,22,FALSE)=1,0,(1-$BO161))*(1-$BR161)</f>
        <v>0.02080923</v>
      </c>
      <c r="BW161" s="33" cm="1">
        <f t="array" ref="BW161">SUM(_xlfn.XLOOKUP($S161:$AL161,增益!$A:$A,增益!$W:$W,0))+$I$5</f>
        <v>0.11</v>
      </c>
      <c r="BX161" s="33" cm="1">
        <f t="array" ref="BX161">VLOOKUP($R161,武学奇术!$A:$ZZ,32,FALSE)+SUM(_xlfn.XLOOKUP($S161:$AL161,增益!$A:$A,增益!$X:$X,0))</f>
        <v>0</v>
      </c>
    </row>
    <row r="162" spans="12:76">
      <c r="L162" s="46">
        <f t="shared" si="33"/>
        <v>0</v>
      </c>
      <c r="M162" s="46">
        <f>((($AT162+$AU162)/2*$AN162+$AO162)*(1+$AV162)*(1+$AW162)+(($AY162+$AZ162)/2*IF($G$1="鸣金",$AP162,$AN162)+IF($G$1="鸣金",$AQ162*1.5,0))*(1+$BA162)*(1+$BB162)+(($BC162+$BD162)/2*IF($G$1="裂石",$AP162,$AN162)+IF($G$1="裂石",$AQ162*1.5,0))*(1+$BE162)*(1+$BF162)+(($BG162+$BH162)/2*IF($G$1="牵丝",$AP162,$AN162)+IF($G$1="牵丝",$AQ162*1.5,0))*(1+$BI162)*(1+$BJ162)+(($BK162+$BL162)/2*IF($G$1="破竹",$AP162,$AN162)+IF($G$1="破竹",$AQ162*1.5,0))*(1+$BM162)*(1+$BN162))*(1+$AR162)*$BQ162*$Q162*(1+IF(VLOOKUP($R162,武学奇术!$A:$ZZ,30,FALSE)="蓄力技",$B$21,0))*(1+IF(VLOOKUP($R162,武学奇术!$A:$ZZ,30,FALSE)="派生技",$B$20,0))*(1+$BW162)*(1+$BX162)</f>
        <v>0</v>
      </c>
      <c r="N162" s="46">
        <f>(($AU162*$AN162+$AO162)*(1+$AV162)*(1+$AW162)+($AZ162*IF($G$1="鸣金",$AP162,$AN162)+IF($G$1="鸣金",$AQ162*1.5,0))*(1+$BA162)*(1+$BB162)+($BD162*IF($G$1="裂石",$AP162,$AN162)+IF($G$1="裂石",$AQ162*1.5,0))*(1+$BE162)*(1+$BF162)+($BH162*IF($G$1="牵丝",$AP162,$AN162)+IF($G$1="牵丝",$AQ162*1.5,0))*(1+$BI162)*(1+$BJ162)+($BL162*IF($G$1="破竹",$AP162,$AN162)+IF($G$1="破竹",$AQ162*1.5,0))*(1+$BM162)*(1+$BN162))*(1+$AR162)*$BS162*$Q162*(1+IF(VLOOKUP($R162,武学奇术!$A:$ZZ,30,FALSE)="蓄力技",$B$21,0))*(1+IF(VLOOKUP($R162,武学奇术!$A:$ZZ,30,FALSE)="派生技",$B$20,0))*(1+$BW162)*(1+$BX162)</f>
        <v>0</v>
      </c>
      <c r="O162" s="46">
        <f>((($AT162+$AU162)/2*$AN162+$AO162)*(1+$AV162)*(1+$AW162)+(($AY162+$AZ162)/2*IF($G$1="鸣金",$AP162,$AN162)+IF($G$1="鸣金",$AQ162*1.5,0))*(1+$BA162)*(1+$BB162)+(($BC162+$BD162)/2*IF($G$1="裂石",$AP162,$AN162)+IF($G$1="裂石",$AQ162*1.5,0))*(1+$BE162)*(1+$BF162)+(($BG162+$BH162)/2*IF($G$1="牵丝",$AP162,$AN162)+IF($G$1="牵丝",$AQ162*1.5,0))*(1+$BI162)*(1+$BJ162)+(($BK162+$BL162)/2*IF($G$1="破竹",$AP162,$AN162)+IF($G$1="破竹",$AQ162*1.5,0))*(1+$BM162)*(1+$BN162))*(1+$AR162)*$Q162*(1+IF(VLOOKUP($R162,武学奇术!$A:$ZZ,30,FALSE)="蓄力技",$B$21,0))*(1+IF(VLOOKUP($R162,武学奇术!$A:$ZZ,30,FALSE)="派生技",$B$20,0))*(1+$BW162)*(1+$BX162)</f>
        <v>0</v>
      </c>
      <c r="P162" s="46">
        <f>((($AT162*$AN162+$AO162)*(1+$AV162)*(1+$AW162)+($AY162*IF($G$1="鸣金",$AP162,$AN162)+IF($G$1="鸣金",$AQ162*1.5,0))*(1+$BA162)*(1+$BB162)+($BC162*IF($G$1="裂石",$AP162,$AN162)+IF($G$1="裂石",$AQ162*1.5,0))*(1+$BE162)*(1+$BF162)+($BG162*IF($G$1="牵丝",$AP162,$AN162)+IF($G$1="牵丝",$AQ162*1.5,0))*(1+$BI162)*(1+$BJ162)+($BK162*IF($G$1="破竹",$AP162,$AN162)+IF($G$1="破竹",$AQ162*1.5,0))*(1+$BM162)*(1+$BN162))*(1+$AR162))*$Q162*(1+IF(VLOOKUP($R162,武学奇术!$A:$ZZ,30,FALSE)="蓄力技",$B$21,0))*(1+IF(VLOOKUP($R162,武学奇术!$A:$ZZ,30,FALSE)="派生技",$B$20,0))*(1+$BW162)*(1+$BX162)</f>
        <v>0</v>
      </c>
      <c r="Q162" s="47">
        <f t="shared" si="45"/>
        <v>0</v>
      </c>
      <c r="R162" s="48" t="s">
        <v>199</v>
      </c>
      <c r="S162" s="48" t="s">
        <v>99</v>
      </c>
      <c r="T162" s="48" t="s">
        <v>170</v>
      </c>
      <c r="U162" s="48" t="s">
        <v>79</v>
      </c>
      <c r="V162" s="48" t="s">
        <v>90</v>
      </c>
      <c r="W162" s="48" t="s">
        <v>141</v>
      </c>
      <c r="X162" s="48" t="s">
        <v>80</v>
      </c>
      <c r="Y162" s="48" t="s">
        <v>74</v>
      </c>
      <c r="Z162" s="48" t="s">
        <v>80</v>
      </c>
      <c r="AA162" s="48" t="s">
        <v>80</v>
      </c>
      <c r="AB162" s="48" t="s">
        <v>80</v>
      </c>
      <c r="AC162" s="48" t="s">
        <v>80</v>
      </c>
      <c r="AD162" s="48" t="s">
        <v>80</v>
      </c>
      <c r="AE162" s="48" t="s">
        <v>80</v>
      </c>
      <c r="AF162" s="48" t="s">
        <v>83</v>
      </c>
      <c r="AG162" s="48" t="s">
        <v>84</v>
      </c>
      <c r="AH162" s="48" t="s">
        <v>80</v>
      </c>
      <c r="AI162" s="48" t="s">
        <v>80</v>
      </c>
      <c r="AJ162" s="48" t="s">
        <v>80</v>
      </c>
      <c r="AK162" s="48" t="s">
        <v>80</v>
      </c>
      <c r="AL162" s="48" t="s">
        <v>80</v>
      </c>
      <c r="AM162" t="str">
        <f>VLOOKUP($R162,武学奇术!$A:$ZZ,25,FALSE)</f>
        <v>横刀</v>
      </c>
      <c r="AN162" s="33">
        <f>VLOOKUP($R162,武学奇术!$A:$ZZ,26,FALSE)</f>
        <v>2.8245</v>
      </c>
      <c r="AO162" s="34">
        <f>VLOOKUP($R162,武学奇术!$A:$ZZ,27,FALSE)*(1+IF(OR($AM162=$F$4,$AM162=$F$5),$B$22,0))</f>
        <v>1251.2</v>
      </c>
      <c r="AP162" s="33">
        <f>VLOOKUP($R162,武学奇术!$A:$ZZ,28,FALSE)</f>
        <v>4.236808</v>
      </c>
      <c r="AQ162" s="34">
        <f>VLOOKUP($R162,武学奇术!$A:$ZZ,29,FALSE)*(1+IF(OR($AM162=$F$4,$AM162=$F$5),$B$22,0))</f>
        <v>680</v>
      </c>
      <c r="AR162" s="33" cm="1">
        <f t="array" ref="AR162">$G$3+IFERROR(VLOOKUP($AM162,$F$4:$G$7,2,FALSE),0)+VLOOKUP($R162,武学奇术!$A:$ZZ,2,FALSE)+SUM(_xlfn.XLOOKUP($S162:$AL162,增益!$A:$A,增益!$B:$B,0))</f>
        <v>0.6289</v>
      </c>
      <c r="AS162" s="33" cm="1">
        <f t="array" ref="AS162">VLOOKUP($R162,武学奇术!$A:$ZZ,5,FALSE)+SUM(_xlfn.XLOOKUP($S162:$AL162,增益!$A:$A,增益!$E:$E,0))</f>
        <v>0</v>
      </c>
      <c r="AT162" cm="1">
        <f t="array" ref="AT162">$D$10*(1+$AS162)+VLOOKUP($R162,武学奇术!$A:$ZZ,3,FALSE)+SUM(_xlfn.XLOOKUP($S162:$AL162,增益!$A:$A,增益!$C:$C,0))-$I$2</f>
        <v>4026</v>
      </c>
      <c r="AU162" cm="1">
        <f t="array" ref="AU162">$E$10*(1+$AS162)+VLOOKUP($R162,武学奇术!$A:$ZZ,4,FALSE)+SUM(_xlfn.XLOOKUP($S162:$AL162,增益!$A:$A,增益!$D:$D,0))-$I$2</f>
        <v>4026</v>
      </c>
      <c r="AV162" s="40" cm="1">
        <f t="array" ref="AV162">IF($F$10-$I$3+VLOOKUP($R162,武学奇术!$A:$ZZ,6,FALSE)+SUM(_xlfn.XLOOKUP($S162:$AL162,增益!$A:$A,增益!$F:$F,0))&gt;0,($F$10-$I$3+VLOOKUP($R162,武学奇术!$A:$ZZ,6,FALSE)+SUM(_xlfn.XLOOKUP($S162:$AL162,增益!$A:$A,增益!$F:$F,0)))/200,($F$10-$I$3+VLOOKUP($R162,武学奇术!$A:$ZZ,6,FALSE)+SUM(_xlfn.XLOOKUP($S162:$AL162,增益!$A:$A,增益!$F:$F,0)))/100)</f>
        <v>0.3534</v>
      </c>
      <c r="AW162" s="40" cm="1">
        <f t="array" ref="AW162">$G$10+VLOOKUP($R162,武学奇术!$A:$ZZ,7,FALSE)+SUM(_xlfn.XLOOKUP($S162:$AL162,增益!$A:$A,增益!$G:$G,0))</f>
        <v>0.12</v>
      </c>
      <c r="AX162" s="33" cm="1">
        <f t="array" ref="AX162">VLOOKUP($R162,武学奇术!$A:$ZZ,8,FALSE)+SUM(_xlfn.XLOOKUP($S162:$AL162,增益!$A:$A,增益!$H:$H,0))</f>
        <v>0</v>
      </c>
      <c r="AY162">
        <f t="shared" si="34"/>
        <v>0</v>
      </c>
      <c r="AZ162">
        <f t="shared" si="35"/>
        <v>0</v>
      </c>
      <c r="BA162" s="40" cm="1">
        <f t="array" ref="BA162">IF($F$11-$I$4+VLOOKUP($R162,武学奇术!$A:$ZZ,9,FALSE)+SUM(_xlfn.XLOOKUP($S162:$AL162,增益!$A:$A,增益!$I:$I,0))&gt;0,($F$11-$I$4+VLOOKUP($R162,武学奇术!$A:$ZZ,9,FALSE)+SUM(_xlfn.XLOOKUP($S162:$AL162,增益!$A:$A,增益!$I:$I,0)))/200,($F$11-$I$4+VLOOKUP($R162,武学奇术!$A:$ZZ,9,FALSE)+SUM(_xlfn.XLOOKUP($S162:$AL162,增益!$A:$A,增益!$I:$I,0)))/100)</f>
        <v>-0.14</v>
      </c>
      <c r="BB162" s="40" cm="1">
        <f t="array" ref="BB162">$G$11+VLOOKUP($R162,武学奇术!$A:$ZZ,10,FALSE)+SUM(_xlfn.XLOOKUP($S162:$AL162,增益!$A:$A,增益!$J:$J,0))</f>
        <v>0</v>
      </c>
      <c r="BC162">
        <f t="shared" si="36"/>
        <v>640.3</v>
      </c>
      <c r="BD162">
        <f t="shared" si="37"/>
        <v>1770.1</v>
      </c>
      <c r="BE162" s="40" cm="1">
        <f t="array" ref="BE162">IF($F$12-$I$4+VLOOKUP($R162,武学奇术!$A:$ZZ,11,FALSE)+SUM(_xlfn.XLOOKUP($S162:$AL162,增益!$A:$A,增益!$K:$K,0))&gt;0,($F$12-$I$4+VLOOKUP($R162,武学奇术!$A:$ZZ,11,FALSE)+SUM(_xlfn.XLOOKUP($S162:$AL162,增益!$A:$A,增益!$K:$K,0)))/200,($F$12-$I$4+VLOOKUP($R162,武学奇术!$A:$ZZ,11,FALSE)+SUM(_xlfn.XLOOKUP($S162:$AL162,增益!$A:$A,增益!$K:$K,0)))/100)</f>
        <v>0.17</v>
      </c>
      <c r="BF162" s="40" cm="1">
        <f t="array" ref="BF162">$G$12+VLOOKUP($R162,武学奇术!$A:$ZZ,12,FALSE)+SUM(_xlfn.XLOOKUP($S162:$AL162,增益!$A:$A,增益!$L:$L,0))</f>
        <v>0.27</v>
      </c>
      <c r="BG162">
        <f t="shared" si="38"/>
        <v>0</v>
      </c>
      <c r="BH162">
        <f t="shared" si="39"/>
        <v>0</v>
      </c>
      <c r="BI162" s="40" cm="1">
        <f t="array" ref="BI162">IF($F$13-$I$4+VLOOKUP($R162,武学奇术!$A:$ZZ,13,FALSE)+SUM(_xlfn.XLOOKUP($S162:$AL162,增益!$A:$A,增益!$M:$M,0))&gt;0,($F$13-$I$4+VLOOKUP($R162,武学奇术!$A:$ZZ,13,FALSE)+SUM(_xlfn.XLOOKUP($S162:$AL162,增益!$A:$A,增益!$K:$K,0)))/200,($F$13-$I$4+VLOOKUP($R162,武学奇术!$A:$ZZ,13,FALSE)+SUM(_xlfn.XLOOKUP($S162:$AL162,增益!$A:$A,增益!$M:$M,0)))/100)</f>
        <v>-0.14</v>
      </c>
      <c r="BJ162" s="40" cm="1">
        <f t="array" ref="BJ162">$G$13+VLOOKUP($R162,武学奇术!$A:$ZZ,14,FALSE)+SUM(_xlfn.XLOOKUP($S162:$AL162,增益!$A:$A,增益!$N:$N,0))</f>
        <v>0</v>
      </c>
      <c r="BK162">
        <f t="shared" si="40"/>
        <v>0</v>
      </c>
      <c r="BL162">
        <f t="shared" si="41"/>
        <v>0</v>
      </c>
      <c r="BM162" s="40" cm="1">
        <f t="array" ref="BM162">IF($F$14-$I$4+VLOOKUP($R162,武学奇术!$A:$ZZ,15,FALSE)+SUM(_xlfn.XLOOKUP($S162:$AL162,增益!$A:$A,增益!$O:$O,0))&gt;0,($F$14-$I$4+VLOOKUP($R162,武学奇术!$A:$ZZ,15,FALSE)+SUM(_xlfn.XLOOKUP($S162:$AL162,增益!$A:$A,增益!$O:$O,0)))/200,($F$14-$I$4+VLOOKUP($R162,武学奇术!$A:$ZZ,15,FALSE)+SUM(_xlfn.XLOOKUP($S162:$AL162,增益!$A:$A,增益!$O:$O,0)))/100)</f>
        <v>-0.14</v>
      </c>
      <c r="BN162" s="40" cm="1">
        <f t="array" ref="BN162">$G$14+VLOOKUP($R162,武学奇术!$A:$ZZ,16,FALSE)+SUM(_xlfn.XLOOKUP($S162:$AL162,增益!$A:$A,增益!$P:$P,0))</f>
        <v>0</v>
      </c>
      <c r="BO162" s="33">
        <f>MIN(IF(VLOOKUP($R162,武学奇术!$A:$ZZ,23,FALSE)=1,100%,$B$8),100%)</f>
        <v>0.9771</v>
      </c>
      <c r="BP162" s="33" cm="1">
        <f t="array" ref="BP162">IF(VLOOKUP($R162,武学奇术!$A:$ZZ,23,FALSE)=1,100%,MIN(80%,$B$9+VLOOKUP($R162,武学奇术!$A:$ZZ,17,FALSE)+SUM(_xlfn.XLOOKUP($S162:$AL162,增益!$A:$A,增益!$Q:$Q,0)))+$B$11+SUM(_xlfn.XLOOKUP($S162:$AL162,增益!$A:$A,增益!$U:$U,0)))*IF(VLOOKUP($R162,武学奇术!$A:$ZZ,24,FALSE)=1,0,1)</f>
        <v>0.8861</v>
      </c>
      <c r="BQ162" s="33" cm="1">
        <f t="array" ref="BQ162">1+$B$13+VLOOKUP($R162,武学奇术!$A:$ZZ,18,FALSE)+SUM(_xlfn.XLOOKUP($S162:$AL162,增益!$A:$A,增益!$R:$R,0))</f>
        <v>1.96</v>
      </c>
      <c r="BR162" s="33" cm="1">
        <f t="array" ref="BR162">IF(VLOOKUP($R162,武学奇术!$A:$ZZ,24,FALSE)=1,100%,MIN(40%,$B$10+VLOOKUP($R162,武学奇术!$A:$ZZ,19,FALSE)+SUM(_xlfn.XLOOKUP($S162:$AL162,增益!$A:$A,增益!$S:$S,0)))+$B$12+SUM(_xlfn.XLOOKUP($S162:$AL162,增益!$A:$A,增益!$V:$V,0)))*IF(VLOOKUP($R162,武学奇术!$A:$ZZ,23,FALSE)=1,0,1)</f>
        <v>0.0913</v>
      </c>
      <c r="BS162" s="33" cm="1">
        <f t="array" ref="BS162">1+$B$14+VLOOKUP($R162,武学奇术!$A:$ZZ,20,FALSE)+SUM(_xlfn.XLOOKUP($S162:$AL162,增益!$A:$A,增益!$T:$T,0))</f>
        <v>1.35</v>
      </c>
      <c r="BT162" s="33">
        <f t="shared" si="42"/>
        <v>0.86580831</v>
      </c>
      <c r="BU162" s="33">
        <f t="shared" si="43"/>
        <v>0.02208246</v>
      </c>
      <c r="BV162" s="33">
        <f>IF(VLOOKUP($R162,武学奇术!$A:$ZZ,22,FALSE)=1,0,(1-$BO162))*(1-$BR162)</f>
        <v>0.02080923</v>
      </c>
      <c r="BW162" s="33" cm="1">
        <f t="array" ref="BW162">SUM(_xlfn.XLOOKUP($S162:$AL162,增益!$A:$A,增益!$W:$W,0))+$I$5</f>
        <v>0.11</v>
      </c>
      <c r="BX162" s="33" cm="1">
        <f t="array" ref="BX162">VLOOKUP($R162,武学奇术!$A:$ZZ,32,FALSE)+SUM(_xlfn.XLOOKUP($S162:$AL162,增益!$A:$A,增益!$X:$X,0))</f>
        <v>0</v>
      </c>
    </row>
    <row r="163" spans="12:76">
      <c r="L163" s="46">
        <f t="shared" si="33"/>
        <v>0</v>
      </c>
      <c r="M163" s="46">
        <f>((($AT163+$AU163)/2*$AN163+$AO163)*(1+$AV163)*(1+$AW163)+(($AY163+$AZ163)/2*IF($G$1="鸣金",$AP163,$AN163)+IF($G$1="鸣金",$AQ163*1.5,0))*(1+$BA163)*(1+$BB163)+(($BC163+$BD163)/2*IF($G$1="裂石",$AP163,$AN163)+IF($G$1="裂石",$AQ163*1.5,0))*(1+$BE163)*(1+$BF163)+(($BG163+$BH163)/2*IF($G$1="牵丝",$AP163,$AN163)+IF($G$1="牵丝",$AQ163*1.5,0))*(1+$BI163)*(1+$BJ163)+(($BK163+$BL163)/2*IF($G$1="破竹",$AP163,$AN163)+IF($G$1="破竹",$AQ163*1.5,0))*(1+$BM163)*(1+$BN163))*(1+$AR163)*$BQ163*$Q163*(1+IF(VLOOKUP($R163,武学奇术!$A:$ZZ,30,FALSE)="蓄力技",$B$21,0))*(1+IF(VLOOKUP($R163,武学奇术!$A:$ZZ,30,FALSE)="派生技",$B$20,0))*(1+$BW163)*(1+$BX163)</f>
        <v>0</v>
      </c>
      <c r="N163" s="46">
        <f>(($AU163*$AN163+$AO163)*(1+$AV163)*(1+$AW163)+($AZ163*IF($G$1="鸣金",$AP163,$AN163)+IF($G$1="鸣金",$AQ163*1.5,0))*(1+$BA163)*(1+$BB163)+($BD163*IF($G$1="裂石",$AP163,$AN163)+IF($G$1="裂石",$AQ163*1.5,0))*(1+$BE163)*(1+$BF163)+($BH163*IF($G$1="牵丝",$AP163,$AN163)+IF($G$1="牵丝",$AQ163*1.5,0))*(1+$BI163)*(1+$BJ163)+($BL163*IF($G$1="破竹",$AP163,$AN163)+IF($G$1="破竹",$AQ163*1.5,0))*(1+$BM163)*(1+$BN163))*(1+$AR163)*$BS163*$Q163*(1+IF(VLOOKUP($R163,武学奇术!$A:$ZZ,30,FALSE)="蓄力技",$B$21,0))*(1+IF(VLOOKUP($R163,武学奇术!$A:$ZZ,30,FALSE)="派生技",$B$20,0))*(1+$BW163)*(1+$BX163)</f>
        <v>0</v>
      </c>
      <c r="O163" s="46">
        <f>((($AT163+$AU163)/2*$AN163+$AO163)*(1+$AV163)*(1+$AW163)+(($AY163+$AZ163)/2*IF($G$1="鸣金",$AP163,$AN163)+IF($G$1="鸣金",$AQ163*1.5,0))*(1+$BA163)*(1+$BB163)+(($BC163+$BD163)/2*IF($G$1="裂石",$AP163,$AN163)+IF($G$1="裂石",$AQ163*1.5,0))*(1+$BE163)*(1+$BF163)+(($BG163+$BH163)/2*IF($G$1="牵丝",$AP163,$AN163)+IF($G$1="牵丝",$AQ163*1.5,0))*(1+$BI163)*(1+$BJ163)+(($BK163+$BL163)/2*IF($G$1="破竹",$AP163,$AN163)+IF($G$1="破竹",$AQ163*1.5,0))*(1+$BM163)*(1+$BN163))*(1+$AR163)*$Q163*(1+IF(VLOOKUP($R163,武学奇术!$A:$ZZ,30,FALSE)="蓄力技",$B$21,0))*(1+IF(VLOOKUP($R163,武学奇术!$A:$ZZ,30,FALSE)="派生技",$B$20,0))*(1+$BW163)*(1+$BX163)</f>
        <v>0</v>
      </c>
      <c r="P163" s="46">
        <f>((($AT163*$AN163+$AO163)*(1+$AV163)*(1+$AW163)+($AY163*IF($G$1="鸣金",$AP163,$AN163)+IF($G$1="鸣金",$AQ163*1.5,0))*(1+$BA163)*(1+$BB163)+($BC163*IF($G$1="裂石",$AP163,$AN163)+IF($G$1="裂石",$AQ163*1.5,0))*(1+$BE163)*(1+$BF163)+($BG163*IF($G$1="牵丝",$AP163,$AN163)+IF($G$1="牵丝",$AQ163*1.5,0))*(1+$BI163)*(1+$BJ163)+($BK163*IF($G$1="破竹",$AP163,$AN163)+IF($G$1="破竹",$AQ163*1.5,0))*(1+$BM163)*(1+$BN163))*(1+$AR163))*$Q163*(1+IF(VLOOKUP($R163,武学奇术!$A:$ZZ,30,FALSE)="蓄力技",$B$21,0))*(1+IF(VLOOKUP($R163,武学奇术!$A:$ZZ,30,FALSE)="派生技",$B$20,0))*(1+$BW163)*(1+$BX163)</f>
        <v>0</v>
      </c>
      <c r="Q163" s="47">
        <f t="shared" si="45"/>
        <v>0</v>
      </c>
      <c r="R163" s="48" t="s">
        <v>122</v>
      </c>
      <c r="S163" s="48" t="s">
        <v>99</v>
      </c>
      <c r="T163" s="48" t="s">
        <v>170</v>
      </c>
      <c r="U163" s="48" t="s">
        <v>79</v>
      </c>
      <c r="V163" s="48" t="s">
        <v>90</v>
      </c>
      <c r="W163" s="48" t="s">
        <v>141</v>
      </c>
      <c r="X163" s="48" t="s">
        <v>80</v>
      </c>
      <c r="Y163" s="48" t="s">
        <v>74</v>
      </c>
      <c r="Z163" s="48" t="s">
        <v>80</v>
      </c>
      <c r="AA163" s="48" t="s">
        <v>80</v>
      </c>
      <c r="AB163" s="48" t="s">
        <v>80</v>
      </c>
      <c r="AC163" s="48" t="s">
        <v>80</v>
      </c>
      <c r="AD163" s="48" t="s">
        <v>80</v>
      </c>
      <c r="AE163" s="48" t="s">
        <v>80</v>
      </c>
      <c r="AF163" s="48" t="s">
        <v>83</v>
      </c>
      <c r="AG163" s="48" t="s">
        <v>84</v>
      </c>
      <c r="AH163" s="48" t="s">
        <v>80</v>
      </c>
      <c r="AI163" s="48" t="s">
        <v>80</v>
      </c>
      <c r="AJ163" s="48" t="s">
        <v>80</v>
      </c>
      <c r="AK163" s="48" t="s">
        <v>80</v>
      </c>
      <c r="AL163" s="48" t="s">
        <v>80</v>
      </c>
      <c r="AM163" t="str">
        <f>VLOOKUP($R163,武学奇术!$A:$ZZ,25,FALSE)</f>
        <v>横刀</v>
      </c>
      <c r="AN163" s="33">
        <f>VLOOKUP($R163,武学奇术!$A:$ZZ,26,FALSE)</f>
        <v>1.47</v>
      </c>
      <c r="AO163" s="34">
        <f>VLOOKUP($R163,武学奇术!$A:$ZZ,27,FALSE)*(1+IF(OR($AM163=$F$4,$AM163=$F$5),$B$22,0))</f>
        <v>0</v>
      </c>
      <c r="AP163" s="33">
        <f>VLOOKUP($R163,武学奇术!$A:$ZZ,28,FALSE)</f>
        <v>2.205</v>
      </c>
      <c r="AQ163" s="34">
        <f>VLOOKUP($R163,武学奇术!$A:$ZZ,29,FALSE)*(1+IF(OR($AM163=$F$4,$AM163=$F$5),$B$22,0))</f>
        <v>0</v>
      </c>
      <c r="AR163" s="33" cm="1">
        <f t="array" ref="AR163">$G$3+IFERROR(VLOOKUP($AM163,$F$4:$G$7,2,FALSE),0)+VLOOKUP($R163,武学奇术!$A:$ZZ,2,FALSE)+SUM(_xlfn.XLOOKUP($S163:$AL163,增益!$A:$A,增益!$B:$B,0))</f>
        <v>0.5289</v>
      </c>
      <c r="AS163" s="33" cm="1">
        <f t="array" ref="AS163">VLOOKUP($R163,武学奇术!$A:$ZZ,5,FALSE)+SUM(_xlfn.XLOOKUP($S163:$AL163,增益!$A:$A,增益!$E:$E,0))</f>
        <v>0</v>
      </c>
      <c r="AT163" cm="1">
        <f t="array" ref="AT163">$D$10*(1+$AS163)+VLOOKUP($R163,武学奇术!$A:$ZZ,3,FALSE)+SUM(_xlfn.XLOOKUP($S163:$AL163,增益!$A:$A,增益!$C:$C,0))-$I$2</f>
        <v>4026</v>
      </c>
      <c r="AU163" cm="1">
        <f t="array" ref="AU163">$E$10*(1+$AS163)+VLOOKUP($R163,武学奇术!$A:$ZZ,4,FALSE)+SUM(_xlfn.XLOOKUP($S163:$AL163,增益!$A:$A,增益!$D:$D,0))-$I$2</f>
        <v>4026</v>
      </c>
      <c r="AV163" s="40" cm="1">
        <f t="array" ref="AV163">IF($F$10-$I$3+VLOOKUP($R163,武学奇术!$A:$ZZ,6,FALSE)+SUM(_xlfn.XLOOKUP($S163:$AL163,增益!$A:$A,增益!$F:$F,0))&gt;0,($F$10-$I$3+VLOOKUP($R163,武学奇术!$A:$ZZ,6,FALSE)+SUM(_xlfn.XLOOKUP($S163:$AL163,增益!$A:$A,增益!$F:$F,0)))/200,($F$10-$I$3+VLOOKUP($R163,武学奇术!$A:$ZZ,6,FALSE)+SUM(_xlfn.XLOOKUP($S163:$AL163,增益!$A:$A,增益!$F:$F,0)))/100)</f>
        <v>0.3534</v>
      </c>
      <c r="AW163" s="40" cm="1">
        <f t="array" ref="AW163">$G$10+VLOOKUP($R163,武学奇术!$A:$ZZ,7,FALSE)+SUM(_xlfn.XLOOKUP($S163:$AL163,增益!$A:$A,增益!$G:$G,0))</f>
        <v>0.12</v>
      </c>
      <c r="AX163" s="33" cm="1">
        <f t="array" ref="AX163">VLOOKUP($R163,武学奇术!$A:$ZZ,8,FALSE)+SUM(_xlfn.XLOOKUP($S163:$AL163,增益!$A:$A,增益!$H:$H,0))</f>
        <v>0</v>
      </c>
      <c r="AY163">
        <f t="shared" si="34"/>
        <v>0</v>
      </c>
      <c r="AZ163">
        <f t="shared" si="35"/>
        <v>0</v>
      </c>
      <c r="BA163" s="40" cm="1">
        <f t="array" ref="BA163">IF($F$11-$I$4+VLOOKUP($R163,武学奇术!$A:$ZZ,9,FALSE)+SUM(_xlfn.XLOOKUP($S163:$AL163,增益!$A:$A,增益!$I:$I,0))&gt;0,($F$11-$I$4+VLOOKUP($R163,武学奇术!$A:$ZZ,9,FALSE)+SUM(_xlfn.XLOOKUP($S163:$AL163,增益!$A:$A,增益!$I:$I,0)))/200,($F$11-$I$4+VLOOKUP($R163,武学奇术!$A:$ZZ,9,FALSE)+SUM(_xlfn.XLOOKUP($S163:$AL163,增益!$A:$A,增益!$I:$I,0)))/100)</f>
        <v>-0.14</v>
      </c>
      <c r="BB163" s="40" cm="1">
        <f t="array" ref="BB163">$G$11+VLOOKUP($R163,武学奇术!$A:$ZZ,10,FALSE)+SUM(_xlfn.XLOOKUP($S163:$AL163,增益!$A:$A,增益!$J:$J,0))</f>
        <v>0</v>
      </c>
      <c r="BC163">
        <f t="shared" si="36"/>
        <v>640.3</v>
      </c>
      <c r="BD163">
        <f t="shared" si="37"/>
        <v>1770.1</v>
      </c>
      <c r="BE163" s="40" cm="1">
        <f t="array" ref="BE163">IF($F$12-$I$4+VLOOKUP($R163,武学奇术!$A:$ZZ,11,FALSE)+SUM(_xlfn.XLOOKUP($S163:$AL163,增益!$A:$A,增益!$K:$K,0))&gt;0,($F$12-$I$4+VLOOKUP($R163,武学奇术!$A:$ZZ,11,FALSE)+SUM(_xlfn.XLOOKUP($S163:$AL163,增益!$A:$A,增益!$K:$K,0)))/200,($F$12-$I$4+VLOOKUP($R163,武学奇术!$A:$ZZ,11,FALSE)+SUM(_xlfn.XLOOKUP($S163:$AL163,增益!$A:$A,增益!$K:$K,0)))/100)</f>
        <v>0.17</v>
      </c>
      <c r="BF163" s="40" cm="1">
        <f t="array" ref="BF163">$G$12+VLOOKUP($R163,武学奇术!$A:$ZZ,12,FALSE)+SUM(_xlfn.XLOOKUP($S163:$AL163,增益!$A:$A,增益!$L:$L,0))</f>
        <v>0.27</v>
      </c>
      <c r="BG163">
        <f t="shared" si="38"/>
        <v>0</v>
      </c>
      <c r="BH163">
        <f t="shared" si="39"/>
        <v>0</v>
      </c>
      <c r="BI163" s="40" cm="1">
        <f t="array" ref="BI163">IF($F$13-$I$4+VLOOKUP($R163,武学奇术!$A:$ZZ,13,FALSE)+SUM(_xlfn.XLOOKUP($S163:$AL163,增益!$A:$A,增益!$M:$M,0))&gt;0,($F$13-$I$4+VLOOKUP($R163,武学奇术!$A:$ZZ,13,FALSE)+SUM(_xlfn.XLOOKUP($S163:$AL163,增益!$A:$A,增益!$K:$K,0)))/200,($F$13-$I$4+VLOOKUP($R163,武学奇术!$A:$ZZ,13,FALSE)+SUM(_xlfn.XLOOKUP($S163:$AL163,增益!$A:$A,增益!$M:$M,0)))/100)</f>
        <v>-0.14</v>
      </c>
      <c r="BJ163" s="40" cm="1">
        <f t="array" ref="BJ163">$G$13+VLOOKUP($R163,武学奇术!$A:$ZZ,14,FALSE)+SUM(_xlfn.XLOOKUP($S163:$AL163,增益!$A:$A,增益!$N:$N,0))</f>
        <v>0</v>
      </c>
      <c r="BK163">
        <f t="shared" si="40"/>
        <v>0</v>
      </c>
      <c r="BL163">
        <f t="shared" si="41"/>
        <v>0</v>
      </c>
      <c r="BM163" s="40" cm="1">
        <f t="array" ref="BM163">IF($F$14-$I$4+VLOOKUP($R163,武学奇术!$A:$ZZ,15,FALSE)+SUM(_xlfn.XLOOKUP($S163:$AL163,增益!$A:$A,增益!$O:$O,0))&gt;0,($F$14-$I$4+VLOOKUP($R163,武学奇术!$A:$ZZ,15,FALSE)+SUM(_xlfn.XLOOKUP($S163:$AL163,增益!$A:$A,增益!$O:$O,0)))/200,($F$14-$I$4+VLOOKUP($R163,武学奇术!$A:$ZZ,15,FALSE)+SUM(_xlfn.XLOOKUP($S163:$AL163,增益!$A:$A,增益!$O:$O,0)))/100)</f>
        <v>-0.14</v>
      </c>
      <c r="BN163" s="40" cm="1">
        <f t="array" ref="BN163">$G$14+VLOOKUP($R163,武学奇术!$A:$ZZ,16,FALSE)+SUM(_xlfn.XLOOKUP($S163:$AL163,增益!$A:$A,增益!$P:$P,0))</f>
        <v>0</v>
      </c>
      <c r="BO163" s="33">
        <f>MIN(IF(VLOOKUP($R163,武学奇术!$A:$ZZ,23,FALSE)=1,100%,$B$8),100%)</f>
        <v>0.9771</v>
      </c>
      <c r="BP163" s="33" cm="1">
        <f t="array" ref="BP163">IF(VLOOKUP($R163,武学奇术!$A:$ZZ,23,FALSE)=1,100%,MIN(80%,$B$9+VLOOKUP($R163,武学奇术!$A:$ZZ,17,FALSE)+SUM(_xlfn.XLOOKUP($S163:$AL163,增益!$A:$A,增益!$Q:$Q,0)))+$B$11+SUM(_xlfn.XLOOKUP($S163:$AL163,增益!$A:$A,增益!$U:$U,0)))*IF(VLOOKUP($R163,武学奇术!$A:$ZZ,24,FALSE)=1,0,1)</f>
        <v>0.8861</v>
      </c>
      <c r="BQ163" s="33" cm="1">
        <f t="array" ref="BQ163">1+$B$13+VLOOKUP($R163,武学奇术!$A:$ZZ,18,FALSE)+SUM(_xlfn.XLOOKUP($S163:$AL163,增益!$A:$A,增益!$R:$R,0))</f>
        <v>1.96</v>
      </c>
      <c r="BR163" s="33" cm="1">
        <f t="array" ref="BR163">IF(VLOOKUP($R163,武学奇术!$A:$ZZ,24,FALSE)=1,100%,MIN(40%,$B$10+VLOOKUP($R163,武学奇术!$A:$ZZ,19,FALSE)+SUM(_xlfn.XLOOKUP($S163:$AL163,增益!$A:$A,增益!$S:$S,0)))+$B$12+SUM(_xlfn.XLOOKUP($S163:$AL163,增益!$A:$A,增益!$V:$V,0)))*IF(VLOOKUP($R163,武学奇术!$A:$ZZ,23,FALSE)=1,0,1)</f>
        <v>0.0913</v>
      </c>
      <c r="BS163" s="33" cm="1">
        <f t="array" ref="BS163">1+$B$14+VLOOKUP($R163,武学奇术!$A:$ZZ,20,FALSE)+SUM(_xlfn.XLOOKUP($S163:$AL163,增益!$A:$A,增益!$T:$T,0))</f>
        <v>1.35</v>
      </c>
      <c r="BT163" s="33">
        <f t="shared" si="42"/>
        <v>0.86580831</v>
      </c>
      <c r="BU163" s="33">
        <f t="shared" si="43"/>
        <v>0.02208246</v>
      </c>
      <c r="BV163" s="33">
        <f>IF(VLOOKUP($R163,武学奇术!$A:$ZZ,22,FALSE)=1,0,(1-$BO163))*(1-$BR163)</f>
        <v>0.02080923</v>
      </c>
      <c r="BW163" s="33" cm="1">
        <f t="array" ref="BW163">SUM(_xlfn.XLOOKUP($S163:$AL163,增益!$A:$A,增益!$W:$W,0))+$I$5</f>
        <v>0.11</v>
      </c>
      <c r="BX163" s="33" cm="1">
        <f t="array" ref="BX163">VLOOKUP($R163,武学奇术!$A:$ZZ,32,FALSE)+SUM(_xlfn.XLOOKUP($S163:$AL163,增益!$A:$A,增益!$X:$X,0))</f>
        <v>0</v>
      </c>
    </row>
    <row r="164" spans="12:76">
      <c r="L164" s="46">
        <f t="shared" si="33"/>
        <v>0</v>
      </c>
      <c r="M164" s="46">
        <f>((($AT164+$AU164)/2*$AN164+$AO164)*(1+$AV164)*(1+$AW164)+(($AY164+$AZ164)/2*IF($G$1="鸣金",$AP164,$AN164)+IF($G$1="鸣金",$AQ164*1.5,0))*(1+$BA164)*(1+$BB164)+(($BC164+$BD164)/2*IF($G$1="裂石",$AP164,$AN164)+IF($G$1="裂石",$AQ164*1.5,0))*(1+$BE164)*(1+$BF164)+(($BG164+$BH164)/2*IF($G$1="牵丝",$AP164,$AN164)+IF($G$1="牵丝",$AQ164*1.5,0))*(1+$BI164)*(1+$BJ164)+(($BK164+$BL164)/2*IF($G$1="破竹",$AP164,$AN164)+IF($G$1="破竹",$AQ164*1.5,0))*(1+$BM164)*(1+$BN164))*(1+$AR164)*$BQ164*$Q164*(1+IF(VLOOKUP($R164,武学奇术!$A:$ZZ,30,FALSE)="蓄力技",$B$21,0))*(1+IF(VLOOKUP($R164,武学奇术!$A:$ZZ,30,FALSE)="派生技",$B$20,0))*(1+$BW164)*(1+$BX164)</f>
        <v>0</v>
      </c>
      <c r="N164" s="46">
        <f>(($AU164*$AN164+$AO164)*(1+$AV164)*(1+$AW164)+($AZ164*IF($G$1="鸣金",$AP164,$AN164)+IF($G$1="鸣金",$AQ164*1.5,0))*(1+$BA164)*(1+$BB164)+($BD164*IF($G$1="裂石",$AP164,$AN164)+IF($G$1="裂石",$AQ164*1.5,0))*(1+$BE164)*(1+$BF164)+($BH164*IF($G$1="牵丝",$AP164,$AN164)+IF($G$1="牵丝",$AQ164*1.5,0))*(1+$BI164)*(1+$BJ164)+($BL164*IF($G$1="破竹",$AP164,$AN164)+IF($G$1="破竹",$AQ164*1.5,0))*(1+$BM164)*(1+$BN164))*(1+$AR164)*$BS164*$Q164*(1+IF(VLOOKUP($R164,武学奇术!$A:$ZZ,30,FALSE)="蓄力技",$B$21,0))*(1+IF(VLOOKUP($R164,武学奇术!$A:$ZZ,30,FALSE)="派生技",$B$20,0))*(1+$BW164)*(1+$BX164)</f>
        <v>0</v>
      </c>
      <c r="O164" s="46">
        <f>((($AT164+$AU164)/2*$AN164+$AO164)*(1+$AV164)*(1+$AW164)+(($AY164+$AZ164)/2*IF($G$1="鸣金",$AP164,$AN164)+IF($G$1="鸣金",$AQ164*1.5,0))*(1+$BA164)*(1+$BB164)+(($BC164+$BD164)/2*IF($G$1="裂石",$AP164,$AN164)+IF($G$1="裂石",$AQ164*1.5,0))*(1+$BE164)*(1+$BF164)+(($BG164+$BH164)/2*IF($G$1="牵丝",$AP164,$AN164)+IF($G$1="牵丝",$AQ164*1.5,0))*(1+$BI164)*(1+$BJ164)+(($BK164+$BL164)/2*IF($G$1="破竹",$AP164,$AN164)+IF($G$1="破竹",$AQ164*1.5,0))*(1+$BM164)*(1+$BN164))*(1+$AR164)*$Q164*(1+IF(VLOOKUP($R164,武学奇术!$A:$ZZ,30,FALSE)="蓄力技",$B$21,0))*(1+IF(VLOOKUP($R164,武学奇术!$A:$ZZ,30,FALSE)="派生技",$B$20,0))*(1+$BW164)*(1+$BX164)</f>
        <v>0</v>
      </c>
      <c r="P164" s="46">
        <f>((($AT164*$AN164+$AO164)*(1+$AV164)*(1+$AW164)+($AY164*IF($G$1="鸣金",$AP164,$AN164)+IF($G$1="鸣金",$AQ164*1.5,0))*(1+$BA164)*(1+$BB164)+($BC164*IF($G$1="裂石",$AP164,$AN164)+IF($G$1="裂石",$AQ164*1.5,0))*(1+$BE164)*(1+$BF164)+($BG164*IF($G$1="牵丝",$AP164,$AN164)+IF($G$1="牵丝",$AQ164*1.5,0))*(1+$BI164)*(1+$BJ164)+($BK164*IF($G$1="破竹",$AP164,$AN164)+IF($G$1="破竹",$AQ164*1.5,0))*(1+$BM164)*(1+$BN164))*(1+$AR164))*$Q164*(1+IF(VLOOKUP($R164,武学奇术!$A:$ZZ,30,FALSE)="蓄力技",$B$21,0))*(1+IF(VLOOKUP($R164,武学奇术!$A:$ZZ,30,FALSE)="派生技",$B$20,0))*(1+$BW164)*(1+$BX164)</f>
        <v>0</v>
      </c>
      <c r="Q164" s="47">
        <f t="shared" si="45"/>
        <v>0</v>
      </c>
      <c r="R164" s="48" t="s">
        <v>172</v>
      </c>
      <c r="S164" s="48" t="s">
        <v>99</v>
      </c>
      <c r="T164" s="48" t="s">
        <v>176</v>
      </c>
      <c r="U164" s="48" t="s">
        <v>79</v>
      </c>
      <c r="V164" s="48" t="s">
        <v>90</v>
      </c>
      <c r="W164" s="48" t="s">
        <v>141</v>
      </c>
      <c r="X164" s="48" t="s">
        <v>80</v>
      </c>
      <c r="Y164" s="48" t="s">
        <v>74</v>
      </c>
      <c r="Z164" s="48" t="s">
        <v>80</v>
      </c>
      <c r="AA164" s="48" t="s">
        <v>80</v>
      </c>
      <c r="AB164" s="48" t="s">
        <v>80</v>
      </c>
      <c r="AC164" s="48" t="s">
        <v>80</v>
      </c>
      <c r="AD164" s="48" t="s">
        <v>80</v>
      </c>
      <c r="AE164" s="48" t="s">
        <v>80</v>
      </c>
      <c r="AF164" s="48" t="s">
        <v>83</v>
      </c>
      <c r="AG164" s="48" t="s">
        <v>84</v>
      </c>
      <c r="AH164" s="48" t="s">
        <v>80</v>
      </c>
      <c r="AI164" s="48" t="s">
        <v>80</v>
      </c>
      <c r="AJ164" s="48" t="s">
        <v>80</v>
      </c>
      <c r="AK164" s="48" t="s">
        <v>80</v>
      </c>
      <c r="AL164" s="48" t="s">
        <v>80</v>
      </c>
      <c r="AM164" t="str">
        <f>VLOOKUP($R164,武学奇术!$A:$ZZ,25,FALSE)</f>
        <v>陌刀</v>
      </c>
      <c r="AN164" s="33">
        <f>VLOOKUP($R164,武学奇术!$A:$ZZ,26,FALSE)</f>
        <v>3.5256</v>
      </c>
      <c r="AO164" s="34">
        <f>VLOOKUP($R164,武学奇术!$A:$ZZ,27,FALSE)*(1+IF(OR($AM164=$F$4,$AM164=$F$5),$B$22,0))</f>
        <v>846.144</v>
      </c>
      <c r="AP164" s="33">
        <f>VLOOKUP($R164,武学奇术!$A:$ZZ,28,FALSE)</f>
        <v>5.2884</v>
      </c>
      <c r="AQ164" s="34">
        <f>VLOOKUP($R164,武学奇术!$A:$ZZ,29,FALSE)*(1+IF(OR($AM164=$F$4,$AM164=$F$5),$B$22,0))</f>
        <v>851.2</v>
      </c>
      <c r="AR164" s="33" cm="1">
        <f t="array" ref="AR164">$G$3+IFERROR(VLOOKUP($AM164,$F$4:$G$7,2,FALSE),0)+VLOOKUP($R164,武学奇术!$A:$ZZ,2,FALSE)+SUM(_xlfn.XLOOKUP($S164:$AL164,增益!$A:$A,增益!$B:$B,0))</f>
        <v>0.6143</v>
      </c>
      <c r="AS164" s="33" cm="1">
        <f t="array" ref="AS164">VLOOKUP($R164,武学奇术!$A:$ZZ,5,FALSE)+SUM(_xlfn.XLOOKUP($S164:$AL164,增益!$A:$A,增益!$E:$E,0))</f>
        <v>0</v>
      </c>
      <c r="AT164" cm="1">
        <f t="array" ref="AT164">$D$10*(1+$AS164)+VLOOKUP($R164,武学奇术!$A:$ZZ,3,FALSE)+SUM(_xlfn.XLOOKUP($S164:$AL164,增益!$A:$A,增益!$C:$C,0))-$I$2</f>
        <v>4026</v>
      </c>
      <c r="AU164" cm="1">
        <f t="array" ref="AU164">$E$10*(1+$AS164)+VLOOKUP($R164,武学奇术!$A:$ZZ,4,FALSE)+SUM(_xlfn.XLOOKUP($S164:$AL164,增益!$A:$A,增益!$D:$D,0))-$I$2</f>
        <v>4026</v>
      </c>
      <c r="AV164" s="40" cm="1">
        <f t="array" ref="AV164">IF($F$10-$I$3+VLOOKUP($R164,武学奇术!$A:$ZZ,6,FALSE)+SUM(_xlfn.XLOOKUP($S164:$AL164,增益!$A:$A,增益!$F:$F,0))&gt;0,($F$10-$I$3+VLOOKUP($R164,武学奇术!$A:$ZZ,6,FALSE)+SUM(_xlfn.XLOOKUP($S164:$AL164,增益!$A:$A,增益!$F:$F,0)))/200,($F$10-$I$3+VLOOKUP($R164,武学奇术!$A:$ZZ,6,FALSE)+SUM(_xlfn.XLOOKUP($S164:$AL164,增益!$A:$A,增益!$F:$F,0)))/100)</f>
        <v>0.3534</v>
      </c>
      <c r="AW164" s="40" cm="1">
        <f t="array" ref="AW164">$G$10+VLOOKUP($R164,武学奇术!$A:$ZZ,7,FALSE)+SUM(_xlfn.XLOOKUP($S164:$AL164,增益!$A:$A,增益!$G:$G,0))</f>
        <v>0.12</v>
      </c>
      <c r="AX164" s="33" cm="1">
        <f t="array" ref="AX164">VLOOKUP($R164,武学奇术!$A:$ZZ,8,FALSE)+SUM(_xlfn.XLOOKUP($S164:$AL164,增益!$A:$A,增益!$H:$H,0))</f>
        <v>0</v>
      </c>
      <c r="AY164">
        <f t="shared" si="34"/>
        <v>0</v>
      </c>
      <c r="AZ164">
        <f t="shared" si="35"/>
        <v>0</v>
      </c>
      <c r="BA164" s="40" cm="1">
        <f t="array" ref="BA164">IF($F$11-$I$4+VLOOKUP($R164,武学奇术!$A:$ZZ,9,FALSE)+SUM(_xlfn.XLOOKUP($S164:$AL164,增益!$A:$A,增益!$I:$I,0))&gt;0,($F$11-$I$4+VLOOKUP($R164,武学奇术!$A:$ZZ,9,FALSE)+SUM(_xlfn.XLOOKUP($S164:$AL164,增益!$A:$A,增益!$I:$I,0)))/200,($F$11-$I$4+VLOOKUP($R164,武学奇术!$A:$ZZ,9,FALSE)+SUM(_xlfn.XLOOKUP($S164:$AL164,增益!$A:$A,增益!$I:$I,0)))/100)</f>
        <v>-0.14</v>
      </c>
      <c r="BB164" s="40" cm="1">
        <f t="array" ref="BB164">$G$11+VLOOKUP($R164,武学奇术!$A:$ZZ,10,FALSE)+SUM(_xlfn.XLOOKUP($S164:$AL164,增益!$A:$A,增益!$J:$J,0))</f>
        <v>0</v>
      </c>
      <c r="BC164">
        <f t="shared" si="36"/>
        <v>640.3</v>
      </c>
      <c r="BD164">
        <f t="shared" si="37"/>
        <v>1770.1</v>
      </c>
      <c r="BE164" s="40" cm="1">
        <f t="array" ref="BE164">IF($F$12-$I$4+VLOOKUP($R164,武学奇术!$A:$ZZ,11,FALSE)+SUM(_xlfn.XLOOKUP($S164:$AL164,增益!$A:$A,增益!$K:$K,0))&gt;0,($F$12-$I$4+VLOOKUP($R164,武学奇术!$A:$ZZ,11,FALSE)+SUM(_xlfn.XLOOKUP($S164:$AL164,增益!$A:$A,增益!$K:$K,0)))/200,($F$12-$I$4+VLOOKUP($R164,武学奇术!$A:$ZZ,11,FALSE)+SUM(_xlfn.XLOOKUP($S164:$AL164,增益!$A:$A,增益!$K:$K,0)))/100)</f>
        <v>0.17</v>
      </c>
      <c r="BF164" s="40" cm="1">
        <f t="array" ref="BF164">$G$12+VLOOKUP($R164,武学奇术!$A:$ZZ,12,FALSE)+SUM(_xlfn.XLOOKUP($S164:$AL164,增益!$A:$A,增益!$L:$L,0))</f>
        <v>0.27</v>
      </c>
      <c r="BG164">
        <f t="shared" si="38"/>
        <v>0</v>
      </c>
      <c r="BH164">
        <f t="shared" si="39"/>
        <v>0</v>
      </c>
      <c r="BI164" s="40" cm="1">
        <f t="array" ref="BI164">IF($F$13-$I$4+VLOOKUP($R164,武学奇术!$A:$ZZ,13,FALSE)+SUM(_xlfn.XLOOKUP($S164:$AL164,增益!$A:$A,增益!$M:$M,0))&gt;0,($F$13-$I$4+VLOOKUP($R164,武学奇术!$A:$ZZ,13,FALSE)+SUM(_xlfn.XLOOKUP($S164:$AL164,增益!$A:$A,增益!$K:$K,0)))/200,($F$13-$I$4+VLOOKUP($R164,武学奇术!$A:$ZZ,13,FALSE)+SUM(_xlfn.XLOOKUP($S164:$AL164,增益!$A:$A,增益!$M:$M,0)))/100)</f>
        <v>-0.14</v>
      </c>
      <c r="BJ164" s="40" cm="1">
        <f t="array" ref="BJ164">$G$13+VLOOKUP($R164,武学奇术!$A:$ZZ,14,FALSE)+SUM(_xlfn.XLOOKUP($S164:$AL164,增益!$A:$A,增益!$N:$N,0))</f>
        <v>0</v>
      </c>
      <c r="BK164">
        <f t="shared" si="40"/>
        <v>0</v>
      </c>
      <c r="BL164">
        <f t="shared" si="41"/>
        <v>0</v>
      </c>
      <c r="BM164" s="40" cm="1">
        <f t="array" ref="BM164">IF($F$14-$I$4+VLOOKUP($R164,武学奇术!$A:$ZZ,15,FALSE)+SUM(_xlfn.XLOOKUP($S164:$AL164,增益!$A:$A,增益!$O:$O,0))&gt;0,($F$14-$I$4+VLOOKUP($R164,武学奇术!$A:$ZZ,15,FALSE)+SUM(_xlfn.XLOOKUP($S164:$AL164,增益!$A:$A,增益!$O:$O,0)))/200,($F$14-$I$4+VLOOKUP($R164,武学奇术!$A:$ZZ,15,FALSE)+SUM(_xlfn.XLOOKUP($S164:$AL164,增益!$A:$A,增益!$O:$O,0)))/100)</f>
        <v>-0.14</v>
      </c>
      <c r="BN164" s="40" cm="1">
        <f t="array" ref="BN164">$G$14+VLOOKUP($R164,武学奇术!$A:$ZZ,16,FALSE)+SUM(_xlfn.XLOOKUP($S164:$AL164,增益!$A:$A,增益!$P:$P,0))</f>
        <v>0</v>
      </c>
      <c r="BO164" s="33">
        <f>MIN(IF(VLOOKUP($R164,武学奇术!$A:$ZZ,23,FALSE)=1,100%,$B$8),100%)</f>
        <v>0.9771</v>
      </c>
      <c r="BP164" s="33" cm="1">
        <f t="array" ref="BP164">IF(VLOOKUP($R164,武学奇术!$A:$ZZ,23,FALSE)=1,100%,MIN(80%,$B$9+VLOOKUP($R164,武学奇术!$A:$ZZ,17,FALSE)+SUM(_xlfn.XLOOKUP($S164:$AL164,增益!$A:$A,增益!$Q:$Q,0)))+$B$11+SUM(_xlfn.XLOOKUP($S164:$AL164,增益!$A:$A,增益!$U:$U,0)))*IF(VLOOKUP($R164,武学奇术!$A:$ZZ,24,FALSE)=1,0,1)</f>
        <v>0.8861</v>
      </c>
      <c r="BQ164" s="33" cm="1">
        <f t="array" ref="BQ164">1+$B$13+VLOOKUP($R164,武学奇术!$A:$ZZ,18,FALSE)+SUM(_xlfn.XLOOKUP($S164:$AL164,增益!$A:$A,增益!$R:$R,0))</f>
        <v>1.97</v>
      </c>
      <c r="BR164" s="33" cm="1">
        <f t="array" ref="BR164">IF(VLOOKUP($R164,武学奇术!$A:$ZZ,24,FALSE)=1,100%,MIN(40%,$B$10+VLOOKUP($R164,武学奇术!$A:$ZZ,19,FALSE)+SUM(_xlfn.XLOOKUP($S164:$AL164,增益!$A:$A,增益!$S:$S,0)))+$B$12+SUM(_xlfn.XLOOKUP($S164:$AL164,增益!$A:$A,增益!$V:$V,0)))*IF(VLOOKUP($R164,武学奇术!$A:$ZZ,23,FALSE)=1,0,1)</f>
        <v>0.0913</v>
      </c>
      <c r="BS164" s="33" cm="1">
        <f t="array" ref="BS164">1+$B$14+VLOOKUP($R164,武学奇术!$A:$ZZ,20,FALSE)+SUM(_xlfn.XLOOKUP($S164:$AL164,增益!$A:$A,增益!$T:$T,0))</f>
        <v>1.35</v>
      </c>
      <c r="BT164" s="33">
        <f t="shared" si="42"/>
        <v>0.86580831</v>
      </c>
      <c r="BU164" s="33">
        <f t="shared" si="43"/>
        <v>0.02208246</v>
      </c>
      <c r="BV164" s="33">
        <f>IF(VLOOKUP($R164,武学奇术!$A:$ZZ,22,FALSE)=1,0,(1-$BO164))*(1-$BR164)</f>
        <v>0.02080923</v>
      </c>
      <c r="BW164" s="33" cm="1">
        <f t="array" ref="BW164">SUM(_xlfn.XLOOKUP($S164:$AL164,增益!$A:$A,增益!$W:$W,0))+$I$5</f>
        <v>0.11</v>
      </c>
      <c r="BX164" s="33" cm="1">
        <f t="array" ref="BX164">VLOOKUP($R164,武学奇术!$A:$ZZ,32,FALSE)+SUM(_xlfn.XLOOKUP($S164:$AL164,增益!$A:$A,增益!$X:$X,0))</f>
        <v>0</v>
      </c>
    </row>
    <row r="165" spans="12:76">
      <c r="L165" s="46">
        <f t="shared" si="33"/>
        <v>0</v>
      </c>
      <c r="M165" s="46">
        <f>((($AT165+$AU165)/2*$AN165+$AO165)*(1+$AV165)*(1+$AW165)+(($AY165+$AZ165)/2*IF($G$1="鸣金",$AP165,$AN165)+IF($G$1="鸣金",$AQ165*1.5,0))*(1+$BA165)*(1+$BB165)+(($BC165+$BD165)/2*IF($G$1="裂石",$AP165,$AN165)+IF($G$1="裂石",$AQ165*1.5,0))*(1+$BE165)*(1+$BF165)+(($BG165+$BH165)/2*IF($G$1="牵丝",$AP165,$AN165)+IF($G$1="牵丝",$AQ165*1.5,0))*(1+$BI165)*(1+$BJ165)+(($BK165+$BL165)/2*IF($G$1="破竹",$AP165,$AN165)+IF($G$1="破竹",$AQ165*1.5,0))*(1+$BM165)*(1+$BN165))*(1+$AR165)*$BQ165*$Q165*(1+IF(VLOOKUP($R165,武学奇术!$A:$ZZ,30,FALSE)="蓄力技",$B$21,0))*(1+IF(VLOOKUP($R165,武学奇术!$A:$ZZ,30,FALSE)="派生技",$B$20,0))*(1+$BW165)*(1+$BX165)</f>
        <v>0</v>
      </c>
      <c r="N165" s="46">
        <f>(($AU165*$AN165+$AO165)*(1+$AV165)*(1+$AW165)+($AZ165*IF($G$1="鸣金",$AP165,$AN165)+IF($G$1="鸣金",$AQ165*1.5,0))*(1+$BA165)*(1+$BB165)+($BD165*IF($G$1="裂石",$AP165,$AN165)+IF($G$1="裂石",$AQ165*1.5,0))*(1+$BE165)*(1+$BF165)+($BH165*IF($G$1="牵丝",$AP165,$AN165)+IF($G$1="牵丝",$AQ165*1.5,0))*(1+$BI165)*(1+$BJ165)+($BL165*IF($G$1="破竹",$AP165,$AN165)+IF($G$1="破竹",$AQ165*1.5,0))*(1+$BM165)*(1+$BN165))*(1+$AR165)*$BS165*$Q165*(1+IF(VLOOKUP($R165,武学奇术!$A:$ZZ,30,FALSE)="蓄力技",$B$21,0))*(1+IF(VLOOKUP($R165,武学奇术!$A:$ZZ,30,FALSE)="派生技",$B$20,0))*(1+$BW165)*(1+$BX165)</f>
        <v>0</v>
      </c>
      <c r="O165" s="46">
        <f>((($AT165+$AU165)/2*$AN165+$AO165)*(1+$AV165)*(1+$AW165)+(($AY165+$AZ165)/2*IF($G$1="鸣金",$AP165,$AN165)+IF($G$1="鸣金",$AQ165*1.5,0))*(1+$BA165)*(1+$BB165)+(($BC165+$BD165)/2*IF($G$1="裂石",$AP165,$AN165)+IF($G$1="裂石",$AQ165*1.5,0))*(1+$BE165)*(1+$BF165)+(($BG165+$BH165)/2*IF($G$1="牵丝",$AP165,$AN165)+IF($G$1="牵丝",$AQ165*1.5,0))*(1+$BI165)*(1+$BJ165)+(($BK165+$BL165)/2*IF($G$1="破竹",$AP165,$AN165)+IF($G$1="破竹",$AQ165*1.5,0))*(1+$BM165)*(1+$BN165))*(1+$AR165)*$Q165*(1+IF(VLOOKUP($R165,武学奇术!$A:$ZZ,30,FALSE)="蓄力技",$B$21,0))*(1+IF(VLOOKUP($R165,武学奇术!$A:$ZZ,30,FALSE)="派生技",$B$20,0))*(1+$BW165)*(1+$BX165)</f>
        <v>0</v>
      </c>
      <c r="P165" s="46">
        <f>((($AT165*$AN165+$AO165)*(1+$AV165)*(1+$AW165)+($AY165*IF($G$1="鸣金",$AP165,$AN165)+IF($G$1="鸣金",$AQ165*1.5,0))*(1+$BA165)*(1+$BB165)+($BC165*IF($G$1="裂石",$AP165,$AN165)+IF($G$1="裂石",$AQ165*1.5,0))*(1+$BE165)*(1+$BF165)+($BG165*IF($G$1="牵丝",$AP165,$AN165)+IF($G$1="牵丝",$AQ165*1.5,0))*(1+$BI165)*(1+$BJ165)+($BK165*IF($G$1="破竹",$AP165,$AN165)+IF($G$1="破竹",$AQ165*1.5,0))*(1+$BM165)*(1+$BN165))*(1+$AR165))*$Q165*(1+IF(VLOOKUP($R165,武学奇术!$A:$ZZ,30,FALSE)="蓄力技",$B$21,0))*(1+IF(VLOOKUP($R165,武学奇术!$A:$ZZ,30,FALSE)="派生技",$B$20,0))*(1+$BW165)*(1+$BX165)</f>
        <v>0</v>
      </c>
      <c r="Q165" s="47">
        <f t="shared" si="45"/>
        <v>0</v>
      </c>
      <c r="R165" s="48" t="s">
        <v>173</v>
      </c>
      <c r="S165" s="48" t="s">
        <v>99</v>
      </c>
      <c r="T165" s="48" t="s">
        <v>176</v>
      </c>
      <c r="U165" s="48" t="s">
        <v>79</v>
      </c>
      <c r="V165" s="48" t="s">
        <v>90</v>
      </c>
      <c r="W165" s="48" t="s">
        <v>141</v>
      </c>
      <c r="X165" s="48" t="s">
        <v>80</v>
      </c>
      <c r="Y165" s="48" t="s">
        <v>74</v>
      </c>
      <c r="Z165" s="48" t="s">
        <v>80</v>
      </c>
      <c r="AA165" s="48" t="s">
        <v>80</v>
      </c>
      <c r="AB165" s="48" t="s">
        <v>80</v>
      </c>
      <c r="AC165" s="48" t="s">
        <v>80</v>
      </c>
      <c r="AD165" s="48" t="s">
        <v>80</v>
      </c>
      <c r="AE165" s="48" t="s">
        <v>80</v>
      </c>
      <c r="AF165" s="48" t="s">
        <v>83</v>
      </c>
      <c r="AG165" s="48" t="s">
        <v>84</v>
      </c>
      <c r="AH165" s="48" t="s">
        <v>80</v>
      </c>
      <c r="AI165" s="48" t="s">
        <v>80</v>
      </c>
      <c r="AJ165" s="48" t="s">
        <v>80</v>
      </c>
      <c r="AK165" s="48" t="s">
        <v>80</v>
      </c>
      <c r="AL165" s="48" t="s">
        <v>80</v>
      </c>
      <c r="AM165" t="str">
        <f>VLOOKUP($R165,武学奇术!$A:$ZZ,25,FALSE)</f>
        <v>陌刀</v>
      </c>
      <c r="AN165" s="33">
        <f>VLOOKUP($R165,武学奇术!$A:$ZZ,26,FALSE)</f>
        <v>1.05</v>
      </c>
      <c r="AO165" s="34">
        <f>VLOOKUP($R165,武学奇术!$A:$ZZ,27,FALSE)*(1+IF(OR($AM165=$F$4,$AM165=$F$5),$B$22,0))</f>
        <v>0</v>
      </c>
      <c r="AP165" s="33">
        <f>VLOOKUP($R165,武学奇术!$A:$ZZ,28,FALSE)</f>
        <v>1.575</v>
      </c>
      <c r="AQ165" s="34">
        <f>VLOOKUP($R165,武学奇术!$A:$ZZ,29,FALSE)*(1+IF(OR($AM165=$F$4,$AM165=$F$5),$B$22,0))</f>
        <v>0</v>
      </c>
      <c r="AR165" s="33" cm="1">
        <f t="array" ref="AR165">$G$3+IFERROR(VLOOKUP($AM165,$F$4:$G$7,2,FALSE),0)+VLOOKUP($R165,武学奇术!$A:$ZZ,2,FALSE)+SUM(_xlfn.XLOOKUP($S165:$AL165,增益!$A:$A,增益!$B:$B,0))</f>
        <v>0.6143</v>
      </c>
      <c r="AS165" s="33" cm="1">
        <f t="array" ref="AS165">VLOOKUP($R165,武学奇术!$A:$ZZ,5,FALSE)+SUM(_xlfn.XLOOKUP($S165:$AL165,增益!$A:$A,增益!$E:$E,0))</f>
        <v>0</v>
      </c>
      <c r="AT165" cm="1">
        <f t="array" ref="AT165">$D$10*(1+$AS165)+VLOOKUP($R165,武学奇术!$A:$ZZ,3,FALSE)+SUM(_xlfn.XLOOKUP($S165:$AL165,增益!$A:$A,增益!$C:$C,0))-$I$2</f>
        <v>4026</v>
      </c>
      <c r="AU165" cm="1">
        <f t="array" ref="AU165">$E$10*(1+$AS165)+VLOOKUP($R165,武学奇术!$A:$ZZ,4,FALSE)+SUM(_xlfn.XLOOKUP($S165:$AL165,增益!$A:$A,增益!$D:$D,0))-$I$2</f>
        <v>4026</v>
      </c>
      <c r="AV165" s="40" cm="1">
        <f t="array" ref="AV165">IF($F$10-$I$3+VLOOKUP($R165,武学奇术!$A:$ZZ,6,FALSE)+SUM(_xlfn.XLOOKUP($S165:$AL165,增益!$A:$A,增益!$F:$F,0))&gt;0,($F$10-$I$3+VLOOKUP($R165,武学奇术!$A:$ZZ,6,FALSE)+SUM(_xlfn.XLOOKUP($S165:$AL165,增益!$A:$A,增益!$F:$F,0)))/200,($F$10-$I$3+VLOOKUP($R165,武学奇术!$A:$ZZ,6,FALSE)+SUM(_xlfn.XLOOKUP($S165:$AL165,增益!$A:$A,增益!$F:$F,0)))/100)</f>
        <v>0.3534</v>
      </c>
      <c r="AW165" s="40" cm="1">
        <f t="array" ref="AW165">$G$10+VLOOKUP($R165,武学奇术!$A:$ZZ,7,FALSE)+SUM(_xlfn.XLOOKUP($S165:$AL165,增益!$A:$A,增益!$G:$G,0))</f>
        <v>0.12</v>
      </c>
      <c r="AX165" s="33" cm="1">
        <f t="array" ref="AX165">VLOOKUP($R165,武学奇术!$A:$ZZ,8,FALSE)+SUM(_xlfn.XLOOKUP($S165:$AL165,增益!$A:$A,增益!$H:$H,0))</f>
        <v>0</v>
      </c>
      <c r="AY165">
        <f t="shared" si="34"/>
        <v>0</v>
      </c>
      <c r="AZ165">
        <f t="shared" si="35"/>
        <v>0</v>
      </c>
      <c r="BA165" s="40" cm="1">
        <f t="array" ref="BA165">IF($F$11-$I$4+VLOOKUP($R165,武学奇术!$A:$ZZ,9,FALSE)+SUM(_xlfn.XLOOKUP($S165:$AL165,增益!$A:$A,增益!$I:$I,0))&gt;0,($F$11-$I$4+VLOOKUP($R165,武学奇术!$A:$ZZ,9,FALSE)+SUM(_xlfn.XLOOKUP($S165:$AL165,增益!$A:$A,增益!$I:$I,0)))/200,($F$11-$I$4+VLOOKUP($R165,武学奇术!$A:$ZZ,9,FALSE)+SUM(_xlfn.XLOOKUP($S165:$AL165,增益!$A:$A,增益!$I:$I,0)))/100)</f>
        <v>-0.14</v>
      </c>
      <c r="BB165" s="40" cm="1">
        <f t="array" ref="BB165">$G$11+VLOOKUP($R165,武学奇术!$A:$ZZ,10,FALSE)+SUM(_xlfn.XLOOKUP($S165:$AL165,增益!$A:$A,增益!$J:$J,0))</f>
        <v>0</v>
      </c>
      <c r="BC165">
        <f t="shared" si="36"/>
        <v>640.3</v>
      </c>
      <c r="BD165">
        <f t="shared" si="37"/>
        <v>1770.1</v>
      </c>
      <c r="BE165" s="40" cm="1">
        <f t="array" ref="BE165">IF($F$12-$I$4+VLOOKUP($R165,武学奇术!$A:$ZZ,11,FALSE)+SUM(_xlfn.XLOOKUP($S165:$AL165,增益!$A:$A,增益!$K:$K,0))&gt;0,($F$12-$I$4+VLOOKUP($R165,武学奇术!$A:$ZZ,11,FALSE)+SUM(_xlfn.XLOOKUP($S165:$AL165,增益!$A:$A,增益!$K:$K,0)))/200,($F$12-$I$4+VLOOKUP($R165,武学奇术!$A:$ZZ,11,FALSE)+SUM(_xlfn.XLOOKUP($S165:$AL165,增益!$A:$A,增益!$K:$K,0)))/100)</f>
        <v>0.17</v>
      </c>
      <c r="BF165" s="40" cm="1">
        <f t="array" ref="BF165">$G$12+VLOOKUP($R165,武学奇术!$A:$ZZ,12,FALSE)+SUM(_xlfn.XLOOKUP($S165:$AL165,增益!$A:$A,增益!$L:$L,0))</f>
        <v>0.27</v>
      </c>
      <c r="BG165">
        <f t="shared" si="38"/>
        <v>0</v>
      </c>
      <c r="BH165">
        <f t="shared" si="39"/>
        <v>0</v>
      </c>
      <c r="BI165" s="40" cm="1">
        <f t="array" ref="BI165">IF($F$13-$I$4+VLOOKUP($R165,武学奇术!$A:$ZZ,13,FALSE)+SUM(_xlfn.XLOOKUP($S165:$AL165,增益!$A:$A,增益!$M:$M,0))&gt;0,($F$13-$I$4+VLOOKUP($R165,武学奇术!$A:$ZZ,13,FALSE)+SUM(_xlfn.XLOOKUP($S165:$AL165,增益!$A:$A,增益!$K:$K,0)))/200,($F$13-$I$4+VLOOKUP($R165,武学奇术!$A:$ZZ,13,FALSE)+SUM(_xlfn.XLOOKUP($S165:$AL165,增益!$A:$A,增益!$M:$M,0)))/100)</f>
        <v>-0.14</v>
      </c>
      <c r="BJ165" s="40" cm="1">
        <f t="array" ref="BJ165">$G$13+VLOOKUP($R165,武学奇术!$A:$ZZ,14,FALSE)+SUM(_xlfn.XLOOKUP($S165:$AL165,增益!$A:$A,增益!$N:$N,0))</f>
        <v>0</v>
      </c>
      <c r="BK165">
        <f t="shared" si="40"/>
        <v>0</v>
      </c>
      <c r="BL165">
        <f t="shared" si="41"/>
        <v>0</v>
      </c>
      <c r="BM165" s="40" cm="1">
        <f t="array" ref="BM165">IF($F$14-$I$4+VLOOKUP($R165,武学奇术!$A:$ZZ,15,FALSE)+SUM(_xlfn.XLOOKUP($S165:$AL165,增益!$A:$A,增益!$O:$O,0))&gt;0,($F$14-$I$4+VLOOKUP($R165,武学奇术!$A:$ZZ,15,FALSE)+SUM(_xlfn.XLOOKUP($S165:$AL165,增益!$A:$A,增益!$O:$O,0)))/200,($F$14-$I$4+VLOOKUP($R165,武学奇术!$A:$ZZ,15,FALSE)+SUM(_xlfn.XLOOKUP($S165:$AL165,增益!$A:$A,增益!$O:$O,0)))/100)</f>
        <v>-0.14</v>
      </c>
      <c r="BN165" s="40" cm="1">
        <f t="array" ref="BN165">$G$14+VLOOKUP($R165,武学奇术!$A:$ZZ,16,FALSE)+SUM(_xlfn.XLOOKUP($S165:$AL165,增益!$A:$A,增益!$P:$P,0))</f>
        <v>0</v>
      </c>
      <c r="BO165" s="33">
        <f>MIN(IF(VLOOKUP($R165,武学奇术!$A:$ZZ,23,FALSE)=1,100%,$B$8),100%)</f>
        <v>0.9771</v>
      </c>
      <c r="BP165" s="33" cm="1">
        <f t="array" ref="BP165">IF(VLOOKUP($R165,武学奇术!$A:$ZZ,23,FALSE)=1,100%,MIN(80%,$B$9+VLOOKUP($R165,武学奇术!$A:$ZZ,17,FALSE)+SUM(_xlfn.XLOOKUP($S165:$AL165,增益!$A:$A,增益!$Q:$Q,0)))+$B$11+SUM(_xlfn.XLOOKUP($S165:$AL165,增益!$A:$A,增益!$U:$U,0)))*IF(VLOOKUP($R165,武学奇术!$A:$ZZ,24,FALSE)=1,0,1)</f>
        <v>0.8861</v>
      </c>
      <c r="BQ165" s="33" cm="1">
        <f t="array" ref="BQ165">1+$B$13+VLOOKUP($R165,武学奇术!$A:$ZZ,18,FALSE)+SUM(_xlfn.XLOOKUP($S165:$AL165,增益!$A:$A,增益!$R:$R,0))</f>
        <v>1.97</v>
      </c>
      <c r="BR165" s="33" cm="1">
        <f t="array" ref="BR165">IF(VLOOKUP($R165,武学奇术!$A:$ZZ,24,FALSE)=1,100%,MIN(40%,$B$10+VLOOKUP($R165,武学奇术!$A:$ZZ,19,FALSE)+SUM(_xlfn.XLOOKUP($S165:$AL165,增益!$A:$A,增益!$S:$S,0)))+$B$12+SUM(_xlfn.XLOOKUP($S165:$AL165,增益!$A:$A,增益!$V:$V,0)))*IF(VLOOKUP($R165,武学奇术!$A:$ZZ,23,FALSE)=1,0,1)</f>
        <v>0.0913</v>
      </c>
      <c r="BS165" s="33" cm="1">
        <f t="array" ref="BS165">1+$B$14+VLOOKUP($R165,武学奇术!$A:$ZZ,20,FALSE)+SUM(_xlfn.XLOOKUP($S165:$AL165,增益!$A:$A,增益!$T:$T,0))</f>
        <v>1.35</v>
      </c>
      <c r="BT165" s="33">
        <f t="shared" si="42"/>
        <v>0.86580831</v>
      </c>
      <c r="BU165" s="33">
        <f t="shared" si="43"/>
        <v>0.02208246</v>
      </c>
      <c r="BV165" s="33">
        <f>IF(VLOOKUP($R165,武学奇术!$A:$ZZ,22,FALSE)=1,0,(1-$BO165))*(1-$BR165)</f>
        <v>0.02080923</v>
      </c>
      <c r="BW165" s="33" cm="1">
        <f t="array" ref="BW165">SUM(_xlfn.XLOOKUP($S165:$AL165,增益!$A:$A,增益!$W:$W,0))+$I$5</f>
        <v>0.11</v>
      </c>
      <c r="BX165" s="33" cm="1">
        <f t="array" ref="BX165">VLOOKUP($R165,武学奇术!$A:$ZZ,32,FALSE)+SUM(_xlfn.XLOOKUP($S165:$AL165,增益!$A:$A,增益!$X:$X,0))</f>
        <v>0</v>
      </c>
    </row>
    <row r="166" spans="12:76">
      <c r="L166" s="46">
        <f t="shared" si="33"/>
        <v>0</v>
      </c>
      <c r="M166" s="46">
        <f>((($AT166+$AU166)/2*$AN166+$AO166)*(1+$AV166)*(1+$AW166)+(($AY166+$AZ166)/2*IF($G$1="鸣金",$AP166,$AN166)+IF($G$1="鸣金",$AQ166*1.5,0))*(1+$BA166)*(1+$BB166)+(($BC166+$BD166)/2*IF($G$1="裂石",$AP166,$AN166)+IF($G$1="裂石",$AQ166*1.5,0))*(1+$BE166)*(1+$BF166)+(($BG166+$BH166)/2*IF($G$1="牵丝",$AP166,$AN166)+IF($G$1="牵丝",$AQ166*1.5,0))*(1+$BI166)*(1+$BJ166)+(($BK166+$BL166)/2*IF($G$1="破竹",$AP166,$AN166)+IF($G$1="破竹",$AQ166*1.5,0))*(1+$BM166)*(1+$BN166))*(1+$AR166)*$BQ166*$Q166*(1+IF(VLOOKUP($R166,武学奇术!$A:$ZZ,30,FALSE)="蓄力技",$B$21,0))*(1+IF(VLOOKUP($R166,武学奇术!$A:$ZZ,30,FALSE)="派生技",$B$20,0))*(1+$BW166)*(1+$BX166)</f>
        <v>0</v>
      </c>
      <c r="N166" s="46">
        <f>(($AU166*$AN166+$AO166)*(1+$AV166)*(1+$AW166)+($AZ166*IF($G$1="鸣金",$AP166,$AN166)+IF($G$1="鸣金",$AQ166*1.5,0))*(1+$BA166)*(1+$BB166)+($BD166*IF($G$1="裂石",$AP166,$AN166)+IF($G$1="裂石",$AQ166*1.5,0))*(1+$BE166)*(1+$BF166)+($BH166*IF($G$1="牵丝",$AP166,$AN166)+IF($G$1="牵丝",$AQ166*1.5,0))*(1+$BI166)*(1+$BJ166)+($BL166*IF($G$1="破竹",$AP166,$AN166)+IF($G$1="破竹",$AQ166*1.5,0))*(1+$BM166)*(1+$BN166))*(1+$AR166)*$BS166*$Q166*(1+IF(VLOOKUP($R166,武学奇术!$A:$ZZ,30,FALSE)="蓄力技",$B$21,0))*(1+IF(VLOOKUP($R166,武学奇术!$A:$ZZ,30,FALSE)="派生技",$B$20,0))*(1+$BW166)*(1+$BX166)</f>
        <v>0</v>
      </c>
      <c r="O166" s="46">
        <f>((($AT166+$AU166)/2*$AN166+$AO166)*(1+$AV166)*(1+$AW166)+(($AY166+$AZ166)/2*IF($G$1="鸣金",$AP166,$AN166)+IF($G$1="鸣金",$AQ166*1.5,0))*(1+$BA166)*(1+$BB166)+(($BC166+$BD166)/2*IF($G$1="裂石",$AP166,$AN166)+IF($G$1="裂石",$AQ166*1.5,0))*(1+$BE166)*(1+$BF166)+(($BG166+$BH166)/2*IF($G$1="牵丝",$AP166,$AN166)+IF($G$1="牵丝",$AQ166*1.5,0))*(1+$BI166)*(1+$BJ166)+(($BK166+$BL166)/2*IF($G$1="破竹",$AP166,$AN166)+IF($G$1="破竹",$AQ166*1.5,0))*(1+$BM166)*(1+$BN166))*(1+$AR166)*$Q166*(1+IF(VLOOKUP($R166,武学奇术!$A:$ZZ,30,FALSE)="蓄力技",$B$21,0))*(1+IF(VLOOKUP($R166,武学奇术!$A:$ZZ,30,FALSE)="派生技",$B$20,0))*(1+$BW166)*(1+$BX166)</f>
        <v>0</v>
      </c>
      <c r="P166" s="46">
        <f>((($AT166*$AN166+$AO166)*(1+$AV166)*(1+$AW166)+($AY166*IF($G$1="鸣金",$AP166,$AN166)+IF($G$1="鸣金",$AQ166*1.5,0))*(1+$BA166)*(1+$BB166)+($BC166*IF($G$1="裂石",$AP166,$AN166)+IF($G$1="裂石",$AQ166*1.5,0))*(1+$BE166)*(1+$BF166)+($BG166*IF($G$1="牵丝",$AP166,$AN166)+IF($G$1="牵丝",$AQ166*1.5,0))*(1+$BI166)*(1+$BJ166)+($BK166*IF($G$1="破竹",$AP166,$AN166)+IF($G$1="破竹",$AQ166*1.5,0))*(1+$BM166)*(1+$BN166))*(1+$AR166))*$Q166*(1+IF(VLOOKUP($R166,武学奇术!$A:$ZZ,30,FALSE)="蓄力技",$B$21,0))*(1+IF(VLOOKUP($R166,武学奇术!$A:$ZZ,30,FALSE)="派生技",$B$20,0))*(1+$BW166)*(1+$BX166)</f>
        <v>0</v>
      </c>
      <c r="Q166" s="47">
        <f t="shared" si="45"/>
        <v>0</v>
      </c>
      <c r="R166" s="48" t="s">
        <v>200</v>
      </c>
      <c r="S166" s="48" t="s">
        <v>99</v>
      </c>
      <c r="T166" s="48" t="s">
        <v>176</v>
      </c>
      <c r="U166" s="48" t="s">
        <v>79</v>
      </c>
      <c r="V166" s="48" t="s">
        <v>90</v>
      </c>
      <c r="W166" s="48" t="s">
        <v>91</v>
      </c>
      <c r="X166" s="48" t="s">
        <v>80</v>
      </c>
      <c r="Y166" s="48" t="s">
        <v>80</v>
      </c>
      <c r="Z166" s="48" t="s">
        <v>80</v>
      </c>
      <c r="AA166" s="48" t="s">
        <v>80</v>
      </c>
      <c r="AB166" s="48" t="s">
        <v>80</v>
      </c>
      <c r="AC166" s="48" t="s">
        <v>80</v>
      </c>
      <c r="AD166" s="48" t="s">
        <v>80</v>
      </c>
      <c r="AE166" s="48" t="s">
        <v>80</v>
      </c>
      <c r="AF166" s="48" t="s">
        <v>83</v>
      </c>
      <c r="AG166" s="48" t="s">
        <v>84</v>
      </c>
      <c r="AH166" s="48" t="s">
        <v>80</v>
      </c>
      <c r="AI166" s="48" t="s">
        <v>80</v>
      </c>
      <c r="AJ166" s="48" t="s">
        <v>80</v>
      </c>
      <c r="AK166" s="48" t="s">
        <v>80</v>
      </c>
      <c r="AL166" s="48" t="s">
        <v>80</v>
      </c>
      <c r="AM166" t="str">
        <f>VLOOKUP($R166,武学奇术!$A:$ZZ,25,FALSE)</f>
        <v>横刀</v>
      </c>
      <c r="AN166" s="33">
        <f>VLOOKUP($R166,武学奇术!$A:$ZZ,26,FALSE)</f>
        <v>0.6486</v>
      </c>
      <c r="AO166" s="34">
        <f>VLOOKUP($R166,武学奇术!$A:$ZZ,27,FALSE)*(1+IF(OR($AM166=$F$4,$AM166=$F$5),$B$22,0))</f>
        <v>288</v>
      </c>
      <c r="AP166" s="33">
        <f>VLOOKUP($R166,武学奇术!$A:$ZZ,28,FALSE)</f>
        <v>0.9729</v>
      </c>
      <c r="AQ166" s="34">
        <f>VLOOKUP($R166,武学奇术!$A:$ZZ,29,FALSE)*(1+IF(OR($AM166=$F$4,$AM166=$F$5),$B$22,0))</f>
        <v>156.8</v>
      </c>
      <c r="AR166" s="33" cm="1">
        <f t="array" ref="AR166">$G$3+IFERROR(VLOOKUP($AM166,$F$4:$G$7,2,FALSE),0)+VLOOKUP($R166,武学奇术!$A:$ZZ,2,FALSE)+SUM(_xlfn.XLOOKUP($S166:$AL166,增益!$A:$A,增益!$B:$B,0))</f>
        <v>0.4489</v>
      </c>
      <c r="AS166" s="33" cm="1">
        <f t="array" ref="AS166">VLOOKUP($R166,武学奇术!$A:$ZZ,5,FALSE)+SUM(_xlfn.XLOOKUP($S166:$AL166,增益!$A:$A,增益!$E:$E,0))</f>
        <v>0</v>
      </c>
      <c r="AT166" cm="1">
        <f t="array" ref="AT166">$D$10*(1+$AS166)+VLOOKUP($R166,武学奇术!$A:$ZZ,3,FALSE)+SUM(_xlfn.XLOOKUP($S166:$AL166,增益!$A:$A,增益!$C:$C,0))-$I$2</f>
        <v>4026</v>
      </c>
      <c r="AU166" cm="1">
        <f t="array" ref="AU166">$E$10*(1+$AS166)+VLOOKUP($R166,武学奇术!$A:$ZZ,4,FALSE)+SUM(_xlfn.XLOOKUP($S166:$AL166,增益!$A:$A,增益!$D:$D,0))-$I$2</f>
        <v>4026</v>
      </c>
      <c r="AV166" s="40" cm="1">
        <f t="array" ref="AV166">IF($F$10-$I$3+VLOOKUP($R166,武学奇术!$A:$ZZ,6,FALSE)+SUM(_xlfn.XLOOKUP($S166:$AL166,增益!$A:$A,增益!$F:$F,0))&gt;0,($F$10-$I$3+VLOOKUP($R166,武学奇术!$A:$ZZ,6,FALSE)+SUM(_xlfn.XLOOKUP($S166:$AL166,增益!$A:$A,增益!$F:$F,0)))/200,($F$10-$I$3+VLOOKUP($R166,武学奇术!$A:$ZZ,6,FALSE)+SUM(_xlfn.XLOOKUP($S166:$AL166,增益!$A:$A,增益!$F:$F,0)))/100)</f>
        <v>0.3284</v>
      </c>
      <c r="AW166" s="40" cm="1">
        <f t="array" ref="AW166">$G$10+VLOOKUP($R166,武学奇术!$A:$ZZ,7,FALSE)+SUM(_xlfn.XLOOKUP($S166:$AL166,增益!$A:$A,增益!$G:$G,0))</f>
        <v>0.12</v>
      </c>
      <c r="AX166" s="33" cm="1">
        <f t="array" ref="AX166">VLOOKUP($R166,武学奇术!$A:$ZZ,8,FALSE)+SUM(_xlfn.XLOOKUP($S166:$AL166,增益!$A:$A,增益!$H:$H,0))</f>
        <v>0</v>
      </c>
      <c r="AY166">
        <f t="shared" si="34"/>
        <v>0</v>
      </c>
      <c r="AZ166">
        <f t="shared" si="35"/>
        <v>0</v>
      </c>
      <c r="BA166" s="40" cm="1">
        <f t="array" ref="BA166">IF($F$11-$I$4+VLOOKUP($R166,武学奇术!$A:$ZZ,9,FALSE)+SUM(_xlfn.XLOOKUP($S166:$AL166,增益!$A:$A,增益!$I:$I,0))&gt;0,($F$11-$I$4+VLOOKUP($R166,武学奇术!$A:$ZZ,9,FALSE)+SUM(_xlfn.XLOOKUP($S166:$AL166,增益!$A:$A,增益!$I:$I,0)))/200,($F$11-$I$4+VLOOKUP($R166,武学奇术!$A:$ZZ,9,FALSE)+SUM(_xlfn.XLOOKUP($S166:$AL166,增益!$A:$A,增益!$I:$I,0)))/100)</f>
        <v>-0.14</v>
      </c>
      <c r="BB166" s="40" cm="1">
        <f t="array" ref="BB166">$G$11+VLOOKUP($R166,武学奇术!$A:$ZZ,10,FALSE)+SUM(_xlfn.XLOOKUP($S166:$AL166,增益!$A:$A,增益!$J:$J,0))</f>
        <v>0</v>
      </c>
      <c r="BC166">
        <f t="shared" si="36"/>
        <v>640.3</v>
      </c>
      <c r="BD166">
        <f t="shared" si="37"/>
        <v>1770.1</v>
      </c>
      <c r="BE166" s="40" cm="1">
        <f t="array" ref="BE166">IF($F$12-$I$4+VLOOKUP($R166,武学奇术!$A:$ZZ,11,FALSE)+SUM(_xlfn.XLOOKUP($S166:$AL166,增益!$A:$A,增益!$K:$K,0))&gt;0,($F$12-$I$4+VLOOKUP($R166,武学奇术!$A:$ZZ,11,FALSE)+SUM(_xlfn.XLOOKUP($S166:$AL166,增益!$A:$A,增益!$K:$K,0)))/200,($F$12-$I$4+VLOOKUP($R166,武学奇术!$A:$ZZ,11,FALSE)+SUM(_xlfn.XLOOKUP($S166:$AL166,增益!$A:$A,增益!$K:$K,0)))/100)</f>
        <v>0.17</v>
      </c>
      <c r="BF166" s="40" cm="1">
        <f t="array" ref="BF166">$G$12+VLOOKUP($R166,武学奇术!$A:$ZZ,12,FALSE)+SUM(_xlfn.XLOOKUP($S166:$AL166,增益!$A:$A,增益!$L:$L,0))</f>
        <v>0.27</v>
      </c>
      <c r="BG166">
        <f t="shared" si="38"/>
        <v>0</v>
      </c>
      <c r="BH166">
        <f t="shared" si="39"/>
        <v>0</v>
      </c>
      <c r="BI166" s="40" cm="1">
        <f t="array" ref="BI166">IF($F$13-$I$4+VLOOKUP($R166,武学奇术!$A:$ZZ,13,FALSE)+SUM(_xlfn.XLOOKUP($S166:$AL166,增益!$A:$A,增益!$M:$M,0))&gt;0,($F$13-$I$4+VLOOKUP($R166,武学奇术!$A:$ZZ,13,FALSE)+SUM(_xlfn.XLOOKUP($S166:$AL166,增益!$A:$A,增益!$K:$K,0)))/200,($F$13-$I$4+VLOOKUP($R166,武学奇术!$A:$ZZ,13,FALSE)+SUM(_xlfn.XLOOKUP($S166:$AL166,增益!$A:$A,增益!$M:$M,0)))/100)</f>
        <v>-0.14</v>
      </c>
      <c r="BJ166" s="40" cm="1">
        <f t="array" ref="BJ166">$G$13+VLOOKUP($R166,武学奇术!$A:$ZZ,14,FALSE)+SUM(_xlfn.XLOOKUP($S166:$AL166,增益!$A:$A,增益!$N:$N,0))</f>
        <v>0</v>
      </c>
      <c r="BK166">
        <f t="shared" si="40"/>
        <v>0</v>
      </c>
      <c r="BL166">
        <f t="shared" si="41"/>
        <v>0</v>
      </c>
      <c r="BM166" s="40" cm="1">
        <f t="array" ref="BM166">IF($F$14-$I$4+VLOOKUP($R166,武学奇术!$A:$ZZ,15,FALSE)+SUM(_xlfn.XLOOKUP($S166:$AL166,增益!$A:$A,增益!$O:$O,0))&gt;0,($F$14-$I$4+VLOOKUP($R166,武学奇术!$A:$ZZ,15,FALSE)+SUM(_xlfn.XLOOKUP($S166:$AL166,增益!$A:$A,增益!$O:$O,0)))/200,($F$14-$I$4+VLOOKUP($R166,武学奇术!$A:$ZZ,15,FALSE)+SUM(_xlfn.XLOOKUP($S166:$AL166,增益!$A:$A,增益!$O:$O,0)))/100)</f>
        <v>-0.14</v>
      </c>
      <c r="BN166" s="40" cm="1">
        <f t="array" ref="BN166">$G$14+VLOOKUP($R166,武学奇术!$A:$ZZ,16,FALSE)+SUM(_xlfn.XLOOKUP($S166:$AL166,增益!$A:$A,增益!$P:$P,0))</f>
        <v>0</v>
      </c>
      <c r="BO166" s="33">
        <f>MIN(IF(VLOOKUP($R166,武学奇术!$A:$ZZ,23,FALSE)=1,100%,$B$8),100%)</f>
        <v>0.9771</v>
      </c>
      <c r="BP166" s="33" cm="1">
        <f t="array" ref="BP166">IF(VLOOKUP($R166,武学奇术!$A:$ZZ,23,FALSE)=1,100%,MIN(80%,$B$9+VLOOKUP($R166,武学奇术!$A:$ZZ,17,FALSE)+SUM(_xlfn.XLOOKUP($S166:$AL166,增益!$A:$A,增益!$Q:$Q,0)))+$B$11+SUM(_xlfn.XLOOKUP($S166:$AL166,增益!$A:$A,增益!$U:$U,0)))*IF(VLOOKUP($R166,武学奇术!$A:$ZZ,24,FALSE)=1,0,1)</f>
        <v>0.8861</v>
      </c>
      <c r="BQ166" s="33" cm="1">
        <f t="array" ref="BQ166">1+$B$13+VLOOKUP($R166,武学奇术!$A:$ZZ,18,FALSE)+SUM(_xlfn.XLOOKUP($S166:$AL166,增益!$A:$A,增益!$R:$R,0))</f>
        <v>1.92</v>
      </c>
      <c r="BR166" s="33" cm="1">
        <f t="array" ref="BR166">IF(VLOOKUP($R166,武学奇术!$A:$ZZ,24,FALSE)=1,100%,MIN(40%,$B$10+VLOOKUP($R166,武学奇术!$A:$ZZ,19,FALSE)+SUM(_xlfn.XLOOKUP($S166:$AL166,增益!$A:$A,增益!$S:$S,0)))+$B$12+SUM(_xlfn.XLOOKUP($S166:$AL166,增益!$A:$A,增益!$V:$V,0)))*IF(VLOOKUP($R166,武学奇术!$A:$ZZ,23,FALSE)=1,0,1)</f>
        <v>0.0913</v>
      </c>
      <c r="BS166" s="33" cm="1">
        <f t="array" ref="BS166">1+$B$14+VLOOKUP($R166,武学奇术!$A:$ZZ,20,FALSE)+SUM(_xlfn.XLOOKUP($S166:$AL166,增益!$A:$A,增益!$T:$T,0))</f>
        <v>1.35</v>
      </c>
      <c r="BT166" s="33">
        <f t="shared" si="42"/>
        <v>0.86580831</v>
      </c>
      <c r="BU166" s="33">
        <f t="shared" si="43"/>
        <v>0.02208246</v>
      </c>
      <c r="BV166" s="33">
        <f>IF(VLOOKUP($R166,武学奇术!$A:$ZZ,22,FALSE)=1,0,(1-$BO166))*(1-$BR166)</f>
        <v>0.02080923</v>
      </c>
      <c r="BW166" s="33" cm="1">
        <f t="array" ref="BW166">SUM(_xlfn.XLOOKUP($S166:$AL166,增益!$A:$A,增益!$W:$W,0))+$I$5</f>
        <v>0.11</v>
      </c>
      <c r="BX166" s="33" cm="1">
        <f t="array" ref="BX166">VLOOKUP($R166,武学奇术!$A:$ZZ,32,FALSE)+SUM(_xlfn.XLOOKUP($S166:$AL166,增益!$A:$A,增益!$X:$X,0))</f>
        <v>0</v>
      </c>
    </row>
    <row r="167" spans="12:76">
      <c r="L167" s="46">
        <f t="shared" si="33"/>
        <v>0</v>
      </c>
      <c r="M167" s="46">
        <f>((($AT167+$AU167)/2*$AN167+$AO167)*(1+$AV167)*(1+$AW167)+(($AY167+$AZ167)/2*IF($G$1="鸣金",$AP167,$AN167)+IF($G$1="鸣金",$AQ167*1.5,0))*(1+$BA167)*(1+$BB167)+(($BC167+$BD167)/2*IF($G$1="裂石",$AP167,$AN167)+IF($G$1="裂石",$AQ167*1.5,0))*(1+$BE167)*(1+$BF167)+(($BG167+$BH167)/2*IF($G$1="牵丝",$AP167,$AN167)+IF($G$1="牵丝",$AQ167*1.5,0))*(1+$BI167)*(1+$BJ167)+(($BK167+$BL167)/2*IF($G$1="破竹",$AP167,$AN167)+IF($G$1="破竹",$AQ167*1.5,0))*(1+$BM167)*(1+$BN167))*(1+$AR167)*$BQ167*$Q167*(1+IF(VLOOKUP($R167,武学奇术!$A:$ZZ,30,FALSE)="蓄力技",$B$21,0))*(1+IF(VLOOKUP($R167,武学奇术!$A:$ZZ,30,FALSE)="派生技",$B$20,0))*(1+$BW167)*(1+$BX167)</f>
        <v>0</v>
      </c>
      <c r="N167" s="46">
        <f>(($AU167*$AN167+$AO167)*(1+$AV167)*(1+$AW167)+($AZ167*IF($G$1="鸣金",$AP167,$AN167)+IF($G$1="鸣金",$AQ167*1.5,0))*(1+$BA167)*(1+$BB167)+($BD167*IF($G$1="裂石",$AP167,$AN167)+IF($G$1="裂石",$AQ167*1.5,0))*(1+$BE167)*(1+$BF167)+($BH167*IF($G$1="牵丝",$AP167,$AN167)+IF($G$1="牵丝",$AQ167*1.5,0))*(1+$BI167)*(1+$BJ167)+($BL167*IF($G$1="破竹",$AP167,$AN167)+IF($G$1="破竹",$AQ167*1.5,0))*(1+$BM167)*(1+$BN167))*(1+$AR167)*$BS167*$Q167*(1+IF(VLOOKUP($R167,武学奇术!$A:$ZZ,30,FALSE)="蓄力技",$B$21,0))*(1+IF(VLOOKUP($R167,武学奇术!$A:$ZZ,30,FALSE)="派生技",$B$20,0))*(1+$BW167)*(1+$BX167)</f>
        <v>0</v>
      </c>
      <c r="O167" s="46">
        <f>((($AT167+$AU167)/2*$AN167+$AO167)*(1+$AV167)*(1+$AW167)+(($AY167+$AZ167)/2*IF($G$1="鸣金",$AP167,$AN167)+IF($G$1="鸣金",$AQ167*1.5,0))*(1+$BA167)*(1+$BB167)+(($BC167+$BD167)/2*IF($G$1="裂石",$AP167,$AN167)+IF($G$1="裂石",$AQ167*1.5,0))*(1+$BE167)*(1+$BF167)+(($BG167+$BH167)/2*IF($G$1="牵丝",$AP167,$AN167)+IF($G$1="牵丝",$AQ167*1.5,0))*(1+$BI167)*(1+$BJ167)+(($BK167+$BL167)/2*IF($G$1="破竹",$AP167,$AN167)+IF($G$1="破竹",$AQ167*1.5,0))*(1+$BM167)*(1+$BN167))*(1+$AR167)*$Q167*(1+IF(VLOOKUP($R167,武学奇术!$A:$ZZ,30,FALSE)="蓄力技",$B$21,0))*(1+IF(VLOOKUP($R167,武学奇术!$A:$ZZ,30,FALSE)="派生技",$B$20,0))*(1+$BW167)*(1+$BX167)</f>
        <v>0</v>
      </c>
      <c r="P167" s="46">
        <f>((($AT167*$AN167+$AO167)*(1+$AV167)*(1+$AW167)+($AY167*IF($G$1="鸣金",$AP167,$AN167)+IF($G$1="鸣金",$AQ167*1.5,0))*(1+$BA167)*(1+$BB167)+($BC167*IF($G$1="裂石",$AP167,$AN167)+IF($G$1="裂石",$AQ167*1.5,0))*(1+$BE167)*(1+$BF167)+($BG167*IF($G$1="牵丝",$AP167,$AN167)+IF($G$1="牵丝",$AQ167*1.5,0))*(1+$BI167)*(1+$BJ167)+($BK167*IF($G$1="破竹",$AP167,$AN167)+IF($G$1="破竹",$AQ167*1.5,0))*(1+$BM167)*(1+$BN167))*(1+$AR167))*$Q167*(1+IF(VLOOKUP($R167,武学奇术!$A:$ZZ,30,FALSE)="蓄力技",$B$21,0))*(1+IF(VLOOKUP($R167,武学奇术!$A:$ZZ,30,FALSE)="派生技",$B$20,0))*(1+$BW167)*(1+$BX167)</f>
        <v>0</v>
      </c>
      <c r="Q167" s="47">
        <f t="shared" si="45"/>
        <v>0</v>
      </c>
      <c r="R167" s="48" t="s">
        <v>175</v>
      </c>
      <c r="S167" s="48" t="s">
        <v>99</v>
      </c>
      <c r="T167" s="48" t="s">
        <v>176</v>
      </c>
      <c r="U167" s="48" t="s">
        <v>80</v>
      </c>
      <c r="V167" s="48" t="s">
        <v>90</v>
      </c>
      <c r="W167" s="48" t="s">
        <v>91</v>
      </c>
      <c r="X167" s="48" t="s">
        <v>80</v>
      </c>
      <c r="Y167" s="48" t="s">
        <v>80</v>
      </c>
      <c r="Z167" s="48" t="s">
        <v>80</v>
      </c>
      <c r="AA167" s="48" t="s">
        <v>80</v>
      </c>
      <c r="AB167" s="48" t="s">
        <v>80</v>
      </c>
      <c r="AC167" s="48" t="s">
        <v>80</v>
      </c>
      <c r="AD167" s="48" t="s">
        <v>80</v>
      </c>
      <c r="AE167" s="48" t="s">
        <v>80</v>
      </c>
      <c r="AF167" s="48" t="s">
        <v>83</v>
      </c>
      <c r="AG167" s="48" t="s">
        <v>84</v>
      </c>
      <c r="AH167" s="48" t="s">
        <v>80</v>
      </c>
      <c r="AI167" s="48" t="s">
        <v>80</v>
      </c>
      <c r="AJ167" s="48" t="s">
        <v>80</v>
      </c>
      <c r="AK167" s="48" t="s">
        <v>80</v>
      </c>
      <c r="AL167" s="48" t="s">
        <v>80</v>
      </c>
      <c r="AM167" t="str">
        <f>VLOOKUP($R167,武学奇术!$A:$ZZ,25,FALSE)</f>
        <v>横刀</v>
      </c>
      <c r="AN167" s="33">
        <f>VLOOKUP($R167,武学奇术!$A:$ZZ,26,FALSE)</f>
        <v>1.2338</v>
      </c>
      <c r="AO167" s="34">
        <f>VLOOKUP($R167,武学奇术!$A:$ZZ,27,FALSE)*(1+IF(OR($AM167=$F$4,$AM167=$F$5),$B$22,0))</f>
        <v>547.2</v>
      </c>
      <c r="AP167" s="33">
        <f>VLOOKUP($R167,武学奇术!$A:$ZZ,28,FALSE)</f>
        <v>1.8507</v>
      </c>
      <c r="AQ167" s="34">
        <f>VLOOKUP($R167,武学奇术!$A:$ZZ,29,FALSE)*(1+IF(OR($AM167=$F$4,$AM167=$F$5),$B$22,0))</f>
        <v>297.6</v>
      </c>
      <c r="AR167" s="33" cm="1">
        <f t="array" ref="AR167">$G$3+IFERROR(VLOOKUP($AM167,$F$4:$G$7,2,FALSE),0)+VLOOKUP($R167,武学奇术!$A:$ZZ,2,FALSE)+SUM(_xlfn.XLOOKUP($S167:$AL167,增益!$A:$A,增益!$B:$B,0))</f>
        <v>0.4489</v>
      </c>
      <c r="AS167" s="33" cm="1">
        <f t="array" ref="AS167">VLOOKUP($R167,武学奇术!$A:$ZZ,5,FALSE)+SUM(_xlfn.XLOOKUP($S167:$AL167,增益!$A:$A,增益!$E:$E,0))</f>
        <v>0</v>
      </c>
      <c r="AT167" cm="1">
        <f t="array" ref="AT167">$D$10*(1+$AS167)+VLOOKUP($R167,武学奇术!$A:$ZZ,3,FALSE)+SUM(_xlfn.XLOOKUP($S167:$AL167,增益!$A:$A,增益!$C:$C,0))-$I$2</f>
        <v>4026</v>
      </c>
      <c r="AU167" cm="1">
        <f t="array" ref="AU167">$E$10*(1+$AS167)+VLOOKUP($R167,武学奇术!$A:$ZZ,4,FALSE)+SUM(_xlfn.XLOOKUP($S167:$AL167,增益!$A:$A,增益!$D:$D,0))-$I$2</f>
        <v>4026</v>
      </c>
      <c r="AV167" s="40" cm="1">
        <f t="array" ref="AV167">IF($F$10-$I$3+VLOOKUP($R167,武学奇术!$A:$ZZ,6,FALSE)+SUM(_xlfn.XLOOKUP($S167:$AL167,增益!$A:$A,增益!$F:$F,0))&gt;0,($F$10-$I$3+VLOOKUP($R167,武学奇术!$A:$ZZ,6,FALSE)+SUM(_xlfn.XLOOKUP($S167:$AL167,增益!$A:$A,增益!$F:$F,0)))/200,($F$10-$I$3+VLOOKUP($R167,武学奇术!$A:$ZZ,6,FALSE)+SUM(_xlfn.XLOOKUP($S167:$AL167,增益!$A:$A,增益!$F:$F,0)))/100)</f>
        <v>0.3284</v>
      </c>
      <c r="AW167" s="40" cm="1">
        <f t="array" ref="AW167">$G$10+VLOOKUP($R167,武学奇术!$A:$ZZ,7,FALSE)+SUM(_xlfn.XLOOKUP($S167:$AL167,增益!$A:$A,增益!$G:$G,0))</f>
        <v>0</v>
      </c>
      <c r="AX167" s="33" cm="1">
        <f t="array" ref="AX167">VLOOKUP($R167,武学奇术!$A:$ZZ,8,FALSE)+SUM(_xlfn.XLOOKUP($S167:$AL167,增益!$A:$A,增益!$H:$H,0))</f>
        <v>0</v>
      </c>
      <c r="AY167">
        <f t="shared" si="34"/>
        <v>0</v>
      </c>
      <c r="AZ167">
        <f t="shared" si="35"/>
        <v>0</v>
      </c>
      <c r="BA167" s="40" cm="1">
        <f t="array" ref="BA167">IF($F$11-$I$4+VLOOKUP($R167,武学奇术!$A:$ZZ,9,FALSE)+SUM(_xlfn.XLOOKUP($S167:$AL167,增益!$A:$A,增益!$I:$I,0))&gt;0,($F$11-$I$4+VLOOKUP($R167,武学奇术!$A:$ZZ,9,FALSE)+SUM(_xlfn.XLOOKUP($S167:$AL167,增益!$A:$A,增益!$I:$I,0)))/200,($F$11-$I$4+VLOOKUP($R167,武学奇术!$A:$ZZ,9,FALSE)+SUM(_xlfn.XLOOKUP($S167:$AL167,增益!$A:$A,增益!$I:$I,0)))/100)</f>
        <v>-0.14</v>
      </c>
      <c r="BB167" s="40" cm="1">
        <f t="array" ref="BB167">$G$11+VLOOKUP($R167,武学奇术!$A:$ZZ,10,FALSE)+SUM(_xlfn.XLOOKUP($S167:$AL167,增益!$A:$A,增益!$J:$J,0))</f>
        <v>0</v>
      </c>
      <c r="BC167">
        <f t="shared" si="36"/>
        <v>640.3</v>
      </c>
      <c r="BD167">
        <f t="shared" si="37"/>
        <v>1770.1</v>
      </c>
      <c r="BE167" s="40" cm="1">
        <f t="array" ref="BE167">IF($F$12-$I$4+VLOOKUP($R167,武学奇术!$A:$ZZ,11,FALSE)+SUM(_xlfn.XLOOKUP($S167:$AL167,增益!$A:$A,增益!$K:$K,0))&gt;0,($F$12-$I$4+VLOOKUP($R167,武学奇术!$A:$ZZ,11,FALSE)+SUM(_xlfn.XLOOKUP($S167:$AL167,增益!$A:$A,增益!$K:$K,0)))/200,($F$12-$I$4+VLOOKUP($R167,武学奇术!$A:$ZZ,11,FALSE)+SUM(_xlfn.XLOOKUP($S167:$AL167,增益!$A:$A,增益!$K:$K,0)))/100)</f>
        <v>0.17</v>
      </c>
      <c r="BF167" s="40" cm="1">
        <f t="array" ref="BF167">$G$12+VLOOKUP($R167,武学奇术!$A:$ZZ,12,FALSE)+SUM(_xlfn.XLOOKUP($S167:$AL167,增益!$A:$A,增益!$L:$L,0))</f>
        <v>0.15</v>
      </c>
      <c r="BG167">
        <f t="shared" si="38"/>
        <v>0</v>
      </c>
      <c r="BH167">
        <f t="shared" si="39"/>
        <v>0</v>
      </c>
      <c r="BI167" s="40" cm="1">
        <f t="array" ref="BI167">IF($F$13-$I$4+VLOOKUP($R167,武学奇术!$A:$ZZ,13,FALSE)+SUM(_xlfn.XLOOKUP($S167:$AL167,增益!$A:$A,增益!$M:$M,0))&gt;0,($F$13-$I$4+VLOOKUP($R167,武学奇术!$A:$ZZ,13,FALSE)+SUM(_xlfn.XLOOKUP($S167:$AL167,增益!$A:$A,增益!$K:$K,0)))/200,($F$13-$I$4+VLOOKUP($R167,武学奇术!$A:$ZZ,13,FALSE)+SUM(_xlfn.XLOOKUP($S167:$AL167,增益!$A:$A,增益!$M:$M,0)))/100)</f>
        <v>-0.14</v>
      </c>
      <c r="BJ167" s="40" cm="1">
        <f t="array" ref="BJ167">$G$13+VLOOKUP($R167,武学奇术!$A:$ZZ,14,FALSE)+SUM(_xlfn.XLOOKUP($S167:$AL167,增益!$A:$A,增益!$N:$N,0))</f>
        <v>0</v>
      </c>
      <c r="BK167">
        <f t="shared" si="40"/>
        <v>0</v>
      </c>
      <c r="BL167">
        <f t="shared" si="41"/>
        <v>0</v>
      </c>
      <c r="BM167" s="40" cm="1">
        <f t="array" ref="BM167">IF($F$14-$I$4+VLOOKUP($R167,武学奇术!$A:$ZZ,15,FALSE)+SUM(_xlfn.XLOOKUP($S167:$AL167,增益!$A:$A,增益!$O:$O,0))&gt;0,($F$14-$I$4+VLOOKUP($R167,武学奇术!$A:$ZZ,15,FALSE)+SUM(_xlfn.XLOOKUP($S167:$AL167,增益!$A:$A,增益!$O:$O,0)))/200,($F$14-$I$4+VLOOKUP($R167,武学奇术!$A:$ZZ,15,FALSE)+SUM(_xlfn.XLOOKUP($S167:$AL167,增益!$A:$A,增益!$O:$O,0)))/100)</f>
        <v>-0.14</v>
      </c>
      <c r="BN167" s="40" cm="1">
        <f t="array" ref="BN167">$G$14+VLOOKUP($R167,武学奇术!$A:$ZZ,16,FALSE)+SUM(_xlfn.XLOOKUP($S167:$AL167,增益!$A:$A,增益!$P:$P,0))</f>
        <v>0</v>
      </c>
      <c r="BO167" s="33">
        <f>MIN(IF(VLOOKUP($R167,武学奇术!$A:$ZZ,23,FALSE)=1,100%,$B$8),100%)</f>
        <v>0.9771</v>
      </c>
      <c r="BP167" s="33" cm="1">
        <f t="array" ref="BP167">IF(VLOOKUP($R167,武学奇术!$A:$ZZ,23,FALSE)=1,100%,MIN(80%,$B$9+VLOOKUP($R167,武学奇术!$A:$ZZ,17,FALSE)+SUM(_xlfn.XLOOKUP($S167:$AL167,增益!$A:$A,增益!$Q:$Q,0)))+$B$11+SUM(_xlfn.XLOOKUP($S167:$AL167,增益!$A:$A,增益!$U:$U,0)))*IF(VLOOKUP($R167,武学奇术!$A:$ZZ,24,FALSE)=1,0,1)</f>
        <v>0.8861</v>
      </c>
      <c r="BQ167" s="33" cm="1">
        <f t="array" ref="BQ167">1+$B$13+VLOOKUP($R167,武学奇术!$A:$ZZ,18,FALSE)+SUM(_xlfn.XLOOKUP($S167:$AL167,增益!$A:$A,增益!$R:$R,0))</f>
        <v>1.92</v>
      </c>
      <c r="BR167" s="33" cm="1">
        <f t="array" ref="BR167">IF(VLOOKUP($R167,武学奇术!$A:$ZZ,24,FALSE)=1,100%,MIN(40%,$B$10+VLOOKUP($R167,武学奇术!$A:$ZZ,19,FALSE)+SUM(_xlfn.XLOOKUP($S167:$AL167,增益!$A:$A,增益!$S:$S,0)))+$B$12+SUM(_xlfn.XLOOKUP($S167:$AL167,增益!$A:$A,增益!$V:$V,0)))*IF(VLOOKUP($R167,武学奇术!$A:$ZZ,23,FALSE)=1,0,1)</f>
        <v>0.0913</v>
      </c>
      <c r="BS167" s="33" cm="1">
        <f t="array" ref="BS167">1+$B$14+VLOOKUP($R167,武学奇术!$A:$ZZ,20,FALSE)+SUM(_xlfn.XLOOKUP($S167:$AL167,增益!$A:$A,增益!$T:$T,0))</f>
        <v>1.35</v>
      </c>
      <c r="BT167" s="33">
        <f t="shared" si="42"/>
        <v>0.86580831</v>
      </c>
      <c r="BU167" s="33">
        <f t="shared" si="43"/>
        <v>0.02208246</v>
      </c>
      <c r="BV167" s="33">
        <f>IF(VLOOKUP($R167,武学奇术!$A:$ZZ,22,FALSE)=1,0,(1-$BO167))*(1-$BR167)</f>
        <v>0.02080923</v>
      </c>
      <c r="BW167" s="33" cm="1">
        <f t="array" ref="BW167">SUM(_xlfn.XLOOKUP($S167:$AL167,增益!$A:$A,增益!$W:$W,0))+$I$5</f>
        <v>0.11</v>
      </c>
      <c r="BX167" s="33" cm="1">
        <f t="array" ref="BX167">VLOOKUP($R167,武学奇术!$A:$ZZ,32,FALSE)+SUM(_xlfn.XLOOKUP($S167:$AL167,增益!$A:$A,增益!$X:$X,0))</f>
        <v>0</v>
      </c>
    </row>
    <row r="168" spans="12:76">
      <c r="L168" s="46">
        <f t="shared" si="33"/>
        <v>0</v>
      </c>
      <c r="M168" s="46">
        <f>((($AT168+$AU168)/2*$AN168+$AO168)*(1+$AV168)*(1+$AW168)+(($AY168+$AZ168)/2*IF($G$1="鸣金",$AP168,$AN168)+IF($G$1="鸣金",$AQ168*1.5,0))*(1+$BA168)*(1+$BB168)+(($BC168+$BD168)/2*IF($G$1="裂石",$AP168,$AN168)+IF($G$1="裂石",$AQ168*1.5,0))*(1+$BE168)*(1+$BF168)+(($BG168+$BH168)/2*IF($G$1="牵丝",$AP168,$AN168)+IF($G$1="牵丝",$AQ168*1.5,0))*(1+$BI168)*(1+$BJ168)+(($BK168+$BL168)/2*IF($G$1="破竹",$AP168,$AN168)+IF($G$1="破竹",$AQ168*1.5,0))*(1+$BM168)*(1+$BN168))*(1+$AR168)*$BQ168*$Q168*(1+IF(VLOOKUP($R168,武学奇术!$A:$ZZ,30,FALSE)="蓄力技",$B$21,0))*(1+IF(VLOOKUP($R168,武学奇术!$A:$ZZ,30,FALSE)="派生技",$B$20,0))*(1+$BW168)*(1+$BX168)</f>
        <v>0</v>
      </c>
      <c r="N168" s="46">
        <f>(($AU168*$AN168+$AO168)*(1+$AV168)*(1+$AW168)+($AZ168*IF($G$1="鸣金",$AP168,$AN168)+IF($G$1="鸣金",$AQ168*1.5,0))*(1+$BA168)*(1+$BB168)+($BD168*IF($G$1="裂石",$AP168,$AN168)+IF($G$1="裂石",$AQ168*1.5,0))*(1+$BE168)*(1+$BF168)+($BH168*IF($G$1="牵丝",$AP168,$AN168)+IF($G$1="牵丝",$AQ168*1.5,0))*(1+$BI168)*(1+$BJ168)+($BL168*IF($G$1="破竹",$AP168,$AN168)+IF($G$1="破竹",$AQ168*1.5,0))*(1+$BM168)*(1+$BN168))*(1+$AR168)*$BS168*$Q168*(1+IF(VLOOKUP($R168,武学奇术!$A:$ZZ,30,FALSE)="蓄力技",$B$21,0))*(1+IF(VLOOKUP($R168,武学奇术!$A:$ZZ,30,FALSE)="派生技",$B$20,0))*(1+$BW168)*(1+$BX168)</f>
        <v>0</v>
      </c>
      <c r="O168" s="46">
        <f>((($AT168+$AU168)/2*$AN168+$AO168)*(1+$AV168)*(1+$AW168)+(($AY168+$AZ168)/2*IF($G$1="鸣金",$AP168,$AN168)+IF($G$1="鸣金",$AQ168*1.5,0))*(1+$BA168)*(1+$BB168)+(($BC168+$BD168)/2*IF($G$1="裂石",$AP168,$AN168)+IF($G$1="裂石",$AQ168*1.5,0))*(1+$BE168)*(1+$BF168)+(($BG168+$BH168)/2*IF($G$1="牵丝",$AP168,$AN168)+IF($G$1="牵丝",$AQ168*1.5,0))*(1+$BI168)*(1+$BJ168)+(($BK168+$BL168)/2*IF($G$1="破竹",$AP168,$AN168)+IF($G$1="破竹",$AQ168*1.5,0))*(1+$BM168)*(1+$BN168))*(1+$AR168)*$Q168*(1+IF(VLOOKUP($R168,武学奇术!$A:$ZZ,30,FALSE)="蓄力技",$B$21,0))*(1+IF(VLOOKUP($R168,武学奇术!$A:$ZZ,30,FALSE)="派生技",$B$20,0))*(1+$BW168)*(1+$BX168)</f>
        <v>0</v>
      </c>
      <c r="P168" s="46">
        <f>((($AT168*$AN168+$AO168)*(1+$AV168)*(1+$AW168)+($AY168*IF($G$1="鸣金",$AP168,$AN168)+IF($G$1="鸣金",$AQ168*1.5,0))*(1+$BA168)*(1+$BB168)+($BC168*IF($G$1="裂石",$AP168,$AN168)+IF($G$1="裂石",$AQ168*1.5,0))*(1+$BE168)*(1+$BF168)+($BG168*IF($G$1="牵丝",$AP168,$AN168)+IF($G$1="牵丝",$AQ168*1.5,0))*(1+$BI168)*(1+$BJ168)+($BK168*IF($G$1="破竹",$AP168,$AN168)+IF($G$1="破竹",$AQ168*1.5,0))*(1+$BM168)*(1+$BN168))*(1+$AR168))*$Q168*(1+IF(VLOOKUP($R168,武学奇术!$A:$ZZ,30,FALSE)="蓄力技",$B$21,0))*(1+IF(VLOOKUP($R168,武学奇术!$A:$ZZ,30,FALSE)="派生技",$B$20,0))*(1+$BW168)*(1+$BX168)</f>
        <v>0</v>
      </c>
      <c r="Q168" s="47">
        <f t="shared" si="45"/>
        <v>0</v>
      </c>
      <c r="R168" s="48" t="s">
        <v>116</v>
      </c>
      <c r="S168" s="48" t="s">
        <v>99</v>
      </c>
      <c r="T168" s="48" t="s">
        <v>178</v>
      </c>
      <c r="U168" s="48" t="s">
        <v>80</v>
      </c>
      <c r="V168" s="48" t="s">
        <v>80</v>
      </c>
      <c r="W168" s="48" t="s">
        <v>91</v>
      </c>
      <c r="X168" s="48" t="s">
        <v>80</v>
      </c>
      <c r="Y168" s="48" t="s">
        <v>80</v>
      </c>
      <c r="Z168" s="48" t="s">
        <v>80</v>
      </c>
      <c r="AA168" s="48" t="s">
        <v>80</v>
      </c>
      <c r="AB168" s="48" t="s">
        <v>80</v>
      </c>
      <c r="AC168" s="48" t="s">
        <v>80</v>
      </c>
      <c r="AD168" s="48" t="s">
        <v>80</v>
      </c>
      <c r="AE168" s="48" t="s">
        <v>80</v>
      </c>
      <c r="AF168" s="48" t="s">
        <v>83</v>
      </c>
      <c r="AG168" s="48" t="s">
        <v>84</v>
      </c>
      <c r="AH168" s="48" t="s">
        <v>80</v>
      </c>
      <c r="AI168" s="48" t="s">
        <v>80</v>
      </c>
      <c r="AJ168" s="48" t="s">
        <v>80</v>
      </c>
      <c r="AK168" s="48" t="s">
        <v>80</v>
      </c>
      <c r="AL168" s="48" t="s">
        <v>80</v>
      </c>
      <c r="AM168" t="str">
        <f>VLOOKUP($R168,武学奇术!$A:$ZZ,25,FALSE)</f>
        <v>横刀</v>
      </c>
      <c r="AN168" s="33">
        <f>VLOOKUP($R168,武学奇术!$A:$ZZ,26,FALSE)</f>
        <v>3.7797</v>
      </c>
      <c r="AO168" s="34">
        <f>VLOOKUP($R168,武学奇术!$A:$ZZ,27,FALSE)*(1+IF(OR($AM168=$F$4,$AM168=$F$5),$B$22,0))</f>
        <v>1672</v>
      </c>
      <c r="AP168" s="33">
        <f>VLOOKUP($R168,武学奇术!$A:$ZZ,28,FALSE)</f>
        <v>5.6696</v>
      </c>
      <c r="AQ168" s="34">
        <f>VLOOKUP($R168,武学奇术!$A:$ZZ,29,FALSE)*(1+IF(OR($AM168=$F$4,$AM168=$F$5),$B$22,0))</f>
        <v>912</v>
      </c>
      <c r="AR168" s="33" cm="1">
        <f t="array" ref="AR168">$G$3+IFERROR(VLOOKUP($AM168,$F$4:$G$7,2,FALSE),0)+VLOOKUP($R168,武学奇术!$A:$ZZ,2,FALSE)+SUM(_xlfn.XLOOKUP($S168:$AL168,增益!$A:$A,增益!$B:$B,0))</f>
        <v>0.3689</v>
      </c>
      <c r="AS168" s="33" cm="1">
        <f t="array" ref="AS168">VLOOKUP($R168,武学奇术!$A:$ZZ,5,FALSE)+SUM(_xlfn.XLOOKUP($S168:$AL168,增益!$A:$A,增益!$E:$E,0))</f>
        <v>0</v>
      </c>
      <c r="AT168" cm="1">
        <f t="array" ref="AT168">$D$10*(1+$AS168)+VLOOKUP($R168,武学奇术!$A:$ZZ,3,FALSE)+SUM(_xlfn.XLOOKUP($S168:$AL168,增益!$A:$A,增益!$C:$C,0))-$I$2</f>
        <v>4026</v>
      </c>
      <c r="AU168" cm="1">
        <f t="array" ref="AU168">$E$10*(1+$AS168)+VLOOKUP($R168,武学奇术!$A:$ZZ,4,FALSE)+SUM(_xlfn.XLOOKUP($S168:$AL168,增益!$A:$A,增益!$D:$D,0))-$I$2</f>
        <v>4026</v>
      </c>
      <c r="AV168" s="40" cm="1">
        <f t="array" ref="AV168">IF($F$10-$I$3+VLOOKUP($R168,武学奇术!$A:$ZZ,6,FALSE)+SUM(_xlfn.XLOOKUP($S168:$AL168,增益!$A:$A,增益!$F:$F,0))&gt;0,($F$10-$I$3+VLOOKUP($R168,武学奇术!$A:$ZZ,6,FALSE)+SUM(_xlfn.XLOOKUP($S168:$AL168,增益!$A:$A,增益!$F:$F,0)))/200,($F$10-$I$3+VLOOKUP($R168,武学奇术!$A:$ZZ,6,FALSE)+SUM(_xlfn.XLOOKUP($S168:$AL168,增益!$A:$A,增益!$F:$F,0)))/100)</f>
        <v>0.3284</v>
      </c>
      <c r="AW168" s="40" cm="1">
        <f t="array" ref="AW168">$G$10+VLOOKUP($R168,武学奇术!$A:$ZZ,7,FALSE)+SUM(_xlfn.XLOOKUP($S168:$AL168,增益!$A:$A,增益!$G:$G,0))</f>
        <v>0</v>
      </c>
      <c r="AX168" s="33" cm="1">
        <f t="array" ref="AX168">VLOOKUP($R168,武学奇术!$A:$ZZ,8,FALSE)+SUM(_xlfn.XLOOKUP($S168:$AL168,增益!$A:$A,增益!$H:$H,0))</f>
        <v>0</v>
      </c>
      <c r="AY168">
        <f t="shared" si="34"/>
        <v>0</v>
      </c>
      <c r="AZ168">
        <f t="shared" si="35"/>
        <v>0</v>
      </c>
      <c r="BA168" s="40" cm="1">
        <f t="array" ref="BA168">IF($F$11-$I$4+VLOOKUP($R168,武学奇术!$A:$ZZ,9,FALSE)+SUM(_xlfn.XLOOKUP($S168:$AL168,增益!$A:$A,增益!$I:$I,0))&gt;0,($F$11-$I$4+VLOOKUP($R168,武学奇术!$A:$ZZ,9,FALSE)+SUM(_xlfn.XLOOKUP($S168:$AL168,增益!$A:$A,增益!$I:$I,0)))/200,($F$11-$I$4+VLOOKUP($R168,武学奇术!$A:$ZZ,9,FALSE)+SUM(_xlfn.XLOOKUP($S168:$AL168,增益!$A:$A,增益!$I:$I,0)))/100)</f>
        <v>-0.3</v>
      </c>
      <c r="BB168" s="40" cm="1">
        <f t="array" ref="BB168">$G$11+VLOOKUP($R168,武学奇术!$A:$ZZ,10,FALSE)+SUM(_xlfn.XLOOKUP($S168:$AL168,增益!$A:$A,增益!$J:$J,0))</f>
        <v>0</v>
      </c>
      <c r="BC168">
        <f t="shared" si="36"/>
        <v>640.3</v>
      </c>
      <c r="BD168">
        <f t="shared" si="37"/>
        <v>1770.1</v>
      </c>
      <c r="BE168" s="40" cm="1">
        <f t="array" ref="BE168">IF($F$12-$I$4+VLOOKUP($R168,武学奇术!$A:$ZZ,11,FALSE)+SUM(_xlfn.XLOOKUP($S168:$AL168,增益!$A:$A,增益!$K:$K,0))&gt;0,($F$12-$I$4+VLOOKUP($R168,武学奇术!$A:$ZZ,11,FALSE)+SUM(_xlfn.XLOOKUP($S168:$AL168,增益!$A:$A,增益!$K:$K,0)))/200,($F$12-$I$4+VLOOKUP($R168,武学奇术!$A:$ZZ,11,FALSE)+SUM(_xlfn.XLOOKUP($S168:$AL168,增益!$A:$A,增益!$K:$K,0)))/100)</f>
        <v>0.09</v>
      </c>
      <c r="BF168" s="40" cm="1">
        <f t="array" ref="BF168">$G$12+VLOOKUP($R168,武学奇术!$A:$ZZ,12,FALSE)+SUM(_xlfn.XLOOKUP($S168:$AL168,增益!$A:$A,增益!$L:$L,0))</f>
        <v>0.15</v>
      </c>
      <c r="BG168">
        <f t="shared" si="38"/>
        <v>0</v>
      </c>
      <c r="BH168">
        <f t="shared" si="39"/>
        <v>0</v>
      </c>
      <c r="BI168" s="40" cm="1">
        <f t="array" ref="BI168">IF($F$13-$I$4+VLOOKUP($R168,武学奇术!$A:$ZZ,13,FALSE)+SUM(_xlfn.XLOOKUP($S168:$AL168,增益!$A:$A,增益!$M:$M,0))&gt;0,($F$13-$I$4+VLOOKUP($R168,武学奇术!$A:$ZZ,13,FALSE)+SUM(_xlfn.XLOOKUP($S168:$AL168,增益!$A:$A,增益!$K:$K,0)))/200,($F$13-$I$4+VLOOKUP($R168,武学奇术!$A:$ZZ,13,FALSE)+SUM(_xlfn.XLOOKUP($S168:$AL168,增益!$A:$A,增益!$M:$M,0)))/100)</f>
        <v>-0.3</v>
      </c>
      <c r="BJ168" s="40" cm="1">
        <f t="array" ref="BJ168">$G$13+VLOOKUP($R168,武学奇术!$A:$ZZ,14,FALSE)+SUM(_xlfn.XLOOKUP($S168:$AL168,增益!$A:$A,增益!$N:$N,0))</f>
        <v>0</v>
      </c>
      <c r="BK168">
        <f t="shared" si="40"/>
        <v>0</v>
      </c>
      <c r="BL168">
        <f t="shared" si="41"/>
        <v>0</v>
      </c>
      <c r="BM168" s="40" cm="1">
        <f t="array" ref="BM168">IF($F$14-$I$4+VLOOKUP($R168,武学奇术!$A:$ZZ,15,FALSE)+SUM(_xlfn.XLOOKUP($S168:$AL168,增益!$A:$A,增益!$O:$O,0))&gt;0,($F$14-$I$4+VLOOKUP($R168,武学奇术!$A:$ZZ,15,FALSE)+SUM(_xlfn.XLOOKUP($S168:$AL168,增益!$A:$A,增益!$O:$O,0)))/200,($F$14-$I$4+VLOOKUP($R168,武学奇术!$A:$ZZ,15,FALSE)+SUM(_xlfn.XLOOKUP($S168:$AL168,增益!$A:$A,增益!$O:$O,0)))/100)</f>
        <v>-0.3</v>
      </c>
      <c r="BN168" s="40" cm="1">
        <f t="array" ref="BN168">$G$14+VLOOKUP($R168,武学奇术!$A:$ZZ,16,FALSE)+SUM(_xlfn.XLOOKUP($S168:$AL168,增益!$A:$A,增益!$P:$P,0))</f>
        <v>0</v>
      </c>
      <c r="BO168" s="33">
        <f>MIN(IF(VLOOKUP($R168,武学奇术!$A:$ZZ,23,FALSE)=1,100%,$B$8),100%)</f>
        <v>0.9771</v>
      </c>
      <c r="BP168" s="33" cm="1">
        <f t="array" ref="BP168">IF(VLOOKUP($R168,武学奇术!$A:$ZZ,23,FALSE)=1,100%,MIN(80%,$B$9+VLOOKUP($R168,武学奇术!$A:$ZZ,17,FALSE)+SUM(_xlfn.XLOOKUP($S168:$AL168,增益!$A:$A,增益!$Q:$Q,0)))+$B$11+SUM(_xlfn.XLOOKUP($S168:$AL168,增益!$A:$A,增益!$U:$U,0)))*IF(VLOOKUP($R168,武学奇术!$A:$ZZ,24,FALSE)=1,0,1)</f>
        <v>0.8861</v>
      </c>
      <c r="BQ168" s="33" cm="1">
        <f t="array" ref="BQ168">1+$B$13+VLOOKUP($R168,武学奇术!$A:$ZZ,18,FALSE)+SUM(_xlfn.XLOOKUP($S168:$AL168,增益!$A:$A,增益!$R:$R,0))</f>
        <v>1.93</v>
      </c>
      <c r="BR168" s="33" cm="1">
        <f t="array" ref="BR168">IF(VLOOKUP($R168,武学奇术!$A:$ZZ,24,FALSE)=1,100%,MIN(40%,$B$10+VLOOKUP($R168,武学奇术!$A:$ZZ,19,FALSE)+SUM(_xlfn.XLOOKUP($S168:$AL168,增益!$A:$A,增益!$S:$S,0)))+$B$12+SUM(_xlfn.XLOOKUP($S168:$AL168,增益!$A:$A,增益!$V:$V,0)))*IF(VLOOKUP($R168,武学奇术!$A:$ZZ,23,FALSE)=1,0,1)</f>
        <v>0.0913</v>
      </c>
      <c r="BS168" s="33" cm="1">
        <f t="array" ref="BS168">1+$B$14+VLOOKUP($R168,武学奇术!$A:$ZZ,20,FALSE)+SUM(_xlfn.XLOOKUP($S168:$AL168,增益!$A:$A,增益!$T:$T,0))</f>
        <v>1.35</v>
      </c>
      <c r="BT168" s="33">
        <f t="shared" si="42"/>
        <v>0.86580831</v>
      </c>
      <c r="BU168" s="33">
        <f t="shared" si="43"/>
        <v>0.02208246</v>
      </c>
      <c r="BV168" s="33">
        <f>IF(VLOOKUP($R168,武学奇术!$A:$ZZ,22,FALSE)=1,0,(1-$BO168))*(1-$BR168)</f>
        <v>0.02080923</v>
      </c>
      <c r="BW168" s="33" cm="1">
        <f t="array" ref="BW168">SUM(_xlfn.XLOOKUP($S168:$AL168,增益!$A:$A,增益!$W:$W,0))+$I$5</f>
        <v>0.11</v>
      </c>
      <c r="BX168" s="33" cm="1">
        <f t="array" ref="BX168">VLOOKUP($R168,武学奇术!$A:$ZZ,32,FALSE)+SUM(_xlfn.XLOOKUP($S168:$AL168,增益!$A:$A,增益!$X:$X,0))</f>
        <v>0</v>
      </c>
    </row>
    <row r="169" spans="12:76">
      <c r="L169" s="46">
        <f t="shared" si="33"/>
        <v>0</v>
      </c>
      <c r="M169" s="46">
        <f>((($AT169+$AU169)/2*$AN169+$AO169)*(1+$AV169)*(1+$AW169)+(($AY169+$AZ169)/2*IF($G$1="鸣金",$AP169,$AN169)+IF($G$1="鸣金",$AQ169*1.5,0))*(1+$BA169)*(1+$BB169)+(($BC169+$BD169)/2*IF($G$1="裂石",$AP169,$AN169)+IF($G$1="裂石",$AQ169*1.5,0))*(1+$BE169)*(1+$BF169)+(($BG169+$BH169)/2*IF($G$1="牵丝",$AP169,$AN169)+IF($G$1="牵丝",$AQ169*1.5,0))*(1+$BI169)*(1+$BJ169)+(($BK169+$BL169)/2*IF($G$1="破竹",$AP169,$AN169)+IF($G$1="破竹",$AQ169*1.5,0))*(1+$BM169)*(1+$BN169))*(1+$AR169)*$BQ169*$Q169*(1+IF(VLOOKUP($R169,武学奇术!$A:$ZZ,30,FALSE)="蓄力技",$B$21,0))*(1+IF(VLOOKUP($R169,武学奇术!$A:$ZZ,30,FALSE)="派生技",$B$20,0))*(1+$BW169)*(1+$BX169)</f>
        <v>0</v>
      </c>
      <c r="N169" s="46">
        <f>(($AU169*$AN169+$AO169)*(1+$AV169)*(1+$AW169)+($AZ169*IF($G$1="鸣金",$AP169,$AN169)+IF($G$1="鸣金",$AQ169*1.5,0))*(1+$BA169)*(1+$BB169)+($BD169*IF($G$1="裂石",$AP169,$AN169)+IF($G$1="裂石",$AQ169*1.5,0))*(1+$BE169)*(1+$BF169)+($BH169*IF($G$1="牵丝",$AP169,$AN169)+IF($G$1="牵丝",$AQ169*1.5,0))*(1+$BI169)*(1+$BJ169)+($BL169*IF($G$1="破竹",$AP169,$AN169)+IF($G$1="破竹",$AQ169*1.5,0))*(1+$BM169)*(1+$BN169))*(1+$AR169)*$BS169*$Q169*(1+IF(VLOOKUP($R169,武学奇术!$A:$ZZ,30,FALSE)="蓄力技",$B$21,0))*(1+IF(VLOOKUP($R169,武学奇术!$A:$ZZ,30,FALSE)="派生技",$B$20,0))*(1+$BW169)*(1+$BX169)</f>
        <v>0</v>
      </c>
      <c r="O169" s="46">
        <f>((($AT169+$AU169)/2*$AN169+$AO169)*(1+$AV169)*(1+$AW169)+(($AY169+$AZ169)/2*IF($G$1="鸣金",$AP169,$AN169)+IF($G$1="鸣金",$AQ169*1.5,0))*(1+$BA169)*(1+$BB169)+(($BC169+$BD169)/2*IF($G$1="裂石",$AP169,$AN169)+IF($G$1="裂石",$AQ169*1.5,0))*(1+$BE169)*(1+$BF169)+(($BG169+$BH169)/2*IF($G$1="牵丝",$AP169,$AN169)+IF($G$1="牵丝",$AQ169*1.5,0))*(1+$BI169)*(1+$BJ169)+(($BK169+$BL169)/2*IF($G$1="破竹",$AP169,$AN169)+IF($G$1="破竹",$AQ169*1.5,0))*(1+$BM169)*(1+$BN169))*(1+$AR169)*$Q169*(1+IF(VLOOKUP($R169,武学奇术!$A:$ZZ,30,FALSE)="蓄力技",$B$21,0))*(1+IF(VLOOKUP($R169,武学奇术!$A:$ZZ,30,FALSE)="派生技",$B$20,0))*(1+$BW169)*(1+$BX169)</f>
        <v>0</v>
      </c>
      <c r="P169" s="46">
        <f>((($AT169*$AN169+$AO169)*(1+$AV169)*(1+$AW169)+($AY169*IF($G$1="鸣金",$AP169,$AN169)+IF($G$1="鸣金",$AQ169*1.5,0))*(1+$BA169)*(1+$BB169)+($BC169*IF($G$1="裂石",$AP169,$AN169)+IF($G$1="裂石",$AQ169*1.5,0))*(1+$BE169)*(1+$BF169)+($BG169*IF($G$1="牵丝",$AP169,$AN169)+IF($G$1="牵丝",$AQ169*1.5,0))*(1+$BI169)*(1+$BJ169)+($BK169*IF($G$1="破竹",$AP169,$AN169)+IF($G$1="破竹",$AQ169*1.5,0))*(1+$BM169)*(1+$BN169))*(1+$AR169))*$Q169*(1+IF(VLOOKUP($R169,武学奇术!$A:$ZZ,30,FALSE)="蓄力技",$B$21,0))*(1+IF(VLOOKUP($R169,武学奇术!$A:$ZZ,30,FALSE)="派生技",$B$20,0))*(1+$BW169)*(1+$BX169)</f>
        <v>0</v>
      </c>
      <c r="Q169" s="47">
        <f t="shared" si="45"/>
        <v>0</v>
      </c>
      <c r="R169" s="48" t="s">
        <v>195</v>
      </c>
      <c r="S169" s="48" t="s">
        <v>99</v>
      </c>
      <c r="T169" s="48" t="s">
        <v>178</v>
      </c>
      <c r="U169" s="48" t="s">
        <v>79</v>
      </c>
      <c r="V169" s="48" t="s">
        <v>80</v>
      </c>
      <c r="W169" s="48" t="s">
        <v>141</v>
      </c>
      <c r="X169" s="48" t="s">
        <v>80</v>
      </c>
      <c r="Y169" s="48" t="s">
        <v>74</v>
      </c>
      <c r="Z169" s="48" t="s">
        <v>80</v>
      </c>
      <c r="AA169" s="48" t="s">
        <v>80</v>
      </c>
      <c r="AB169" s="48" t="s">
        <v>80</v>
      </c>
      <c r="AC169" s="48" t="s">
        <v>80</v>
      </c>
      <c r="AD169" s="48" t="s">
        <v>80</v>
      </c>
      <c r="AE169" s="48" t="s">
        <v>80</v>
      </c>
      <c r="AF169" s="48" t="s">
        <v>83</v>
      </c>
      <c r="AG169" s="48" t="s">
        <v>84</v>
      </c>
      <c r="AH169" s="48" t="s">
        <v>80</v>
      </c>
      <c r="AI169" s="48" t="s">
        <v>80</v>
      </c>
      <c r="AJ169" s="48" t="s">
        <v>80</v>
      </c>
      <c r="AK169" s="48" t="s">
        <v>80</v>
      </c>
      <c r="AL169" s="48" t="s">
        <v>80</v>
      </c>
      <c r="AM169" t="str">
        <f>VLOOKUP($R169,武学奇术!$A:$ZZ,25,FALSE)</f>
        <v>横刀</v>
      </c>
      <c r="AN169" s="33">
        <f>VLOOKUP($R169,武学奇术!$A:$ZZ,26,FALSE)</f>
        <v>3.6553</v>
      </c>
      <c r="AO169" s="34">
        <f>VLOOKUP($R169,武学奇术!$A:$ZZ,27,FALSE)*(1+IF(OR($AM169=$F$4,$AM169=$F$5),$B$22,0))</f>
        <v>1619.2</v>
      </c>
      <c r="AP169" s="33">
        <f>VLOOKUP($R169,武学奇术!$A:$ZZ,28,FALSE)</f>
        <v>5.4829</v>
      </c>
      <c r="AQ169" s="34">
        <f>VLOOKUP($R169,武学奇术!$A:$ZZ,29,FALSE)*(1+IF(OR($AM169=$F$4,$AM169=$F$5),$B$22,0))</f>
        <v>880</v>
      </c>
      <c r="AR169" s="33" cm="1">
        <f t="array" ref="AR169">$G$3+IFERROR(VLOOKUP($AM169,$F$4:$G$7,2,FALSE),0)+VLOOKUP($R169,武学奇术!$A:$ZZ,2,FALSE)+SUM(_xlfn.XLOOKUP($S169:$AL169,增益!$A:$A,增益!$B:$B,0))</f>
        <v>0.5489</v>
      </c>
      <c r="AS169" s="33" cm="1">
        <f t="array" ref="AS169">VLOOKUP($R169,武学奇术!$A:$ZZ,5,FALSE)+SUM(_xlfn.XLOOKUP($S169:$AL169,增益!$A:$A,增益!$E:$E,0))</f>
        <v>0</v>
      </c>
      <c r="AT169" cm="1">
        <f t="array" ref="AT169">$D$10*(1+$AS169)+VLOOKUP($R169,武学奇术!$A:$ZZ,3,FALSE)+SUM(_xlfn.XLOOKUP($S169:$AL169,增益!$A:$A,增益!$C:$C,0))-$I$2</f>
        <v>4026</v>
      </c>
      <c r="AU169" cm="1">
        <f t="array" ref="AU169">$E$10*(1+$AS169)+VLOOKUP($R169,武学奇术!$A:$ZZ,4,FALSE)+SUM(_xlfn.XLOOKUP($S169:$AL169,增益!$A:$A,增益!$D:$D,0))-$I$2</f>
        <v>4026</v>
      </c>
      <c r="AV169" s="40" cm="1">
        <f t="array" ref="AV169">IF($F$10-$I$3+VLOOKUP($R169,武学奇术!$A:$ZZ,6,FALSE)+SUM(_xlfn.XLOOKUP($S169:$AL169,增益!$A:$A,增益!$F:$F,0))&gt;0,($F$10-$I$3+VLOOKUP($R169,武学奇术!$A:$ZZ,6,FALSE)+SUM(_xlfn.XLOOKUP($S169:$AL169,增益!$A:$A,增益!$F:$F,0)))/200,($F$10-$I$3+VLOOKUP($R169,武学奇术!$A:$ZZ,6,FALSE)+SUM(_xlfn.XLOOKUP($S169:$AL169,增益!$A:$A,增益!$F:$F,0)))/100)</f>
        <v>0.3534</v>
      </c>
      <c r="AW169" s="40" cm="1">
        <f t="array" ref="AW169">$G$10+VLOOKUP($R169,武学奇术!$A:$ZZ,7,FALSE)+SUM(_xlfn.XLOOKUP($S169:$AL169,增益!$A:$A,增益!$G:$G,0))</f>
        <v>0.12</v>
      </c>
      <c r="AX169" s="33" cm="1">
        <f t="array" ref="AX169">VLOOKUP($R169,武学奇术!$A:$ZZ,8,FALSE)+SUM(_xlfn.XLOOKUP($S169:$AL169,增益!$A:$A,增益!$H:$H,0))</f>
        <v>0</v>
      </c>
      <c r="AY169">
        <f t="shared" si="34"/>
        <v>0</v>
      </c>
      <c r="AZ169">
        <f t="shared" si="35"/>
        <v>0</v>
      </c>
      <c r="BA169" s="40" cm="1">
        <f t="array" ref="BA169">IF($F$11-$I$4+VLOOKUP($R169,武学奇术!$A:$ZZ,9,FALSE)+SUM(_xlfn.XLOOKUP($S169:$AL169,增益!$A:$A,增益!$I:$I,0))&gt;0,($F$11-$I$4+VLOOKUP($R169,武学奇术!$A:$ZZ,9,FALSE)+SUM(_xlfn.XLOOKUP($S169:$AL169,增益!$A:$A,增益!$I:$I,0)))/200,($F$11-$I$4+VLOOKUP($R169,武学奇术!$A:$ZZ,9,FALSE)+SUM(_xlfn.XLOOKUP($S169:$AL169,增益!$A:$A,增益!$I:$I,0)))/100)</f>
        <v>-0.3</v>
      </c>
      <c r="BB169" s="40" cm="1">
        <f t="array" ref="BB169">$G$11+VLOOKUP($R169,武学奇术!$A:$ZZ,10,FALSE)+SUM(_xlfn.XLOOKUP($S169:$AL169,增益!$A:$A,增益!$J:$J,0))</f>
        <v>0</v>
      </c>
      <c r="BC169">
        <f t="shared" si="36"/>
        <v>640.3</v>
      </c>
      <c r="BD169">
        <f t="shared" si="37"/>
        <v>1770.1</v>
      </c>
      <c r="BE169" s="40" cm="1">
        <f t="array" ref="BE169">IF($F$12-$I$4+VLOOKUP($R169,武学奇术!$A:$ZZ,11,FALSE)+SUM(_xlfn.XLOOKUP($S169:$AL169,增益!$A:$A,增益!$K:$K,0))&gt;0,($F$12-$I$4+VLOOKUP($R169,武学奇术!$A:$ZZ,11,FALSE)+SUM(_xlfn.XLOOKUP($S169:$AL169,增益!$A:$A,增益!$K:$K,0)))/200,($F$12-$I$4+VLOOKUP($R169,武学奇术!$A:$ZZ,11,FALSE)+SUM(_xlfn.XLOOKUP($S169:$AL169,增益!$A:$A,增益!$K:$K,0)))/100)</f>
        <v>0.09</v>
      </c>
      <c r="BF169" s="40" cm="1">
        <f t="array" ref="BF169">$G$12+VLOOKUP($R169,武学奇术!$A:$ZZ,12,FALSE)+SUM(_xlfn.XLOOKUP($S169:$AL169,增益!$A:$A,增益!$L:$L,0))</f>
        <v>0.27</v>
      </c>
      <c r="BG169">
        <f t="shared" si="38"/>
        <v>0</v>
      </c>
      <c r="BH169">
        <f t="shared" si="39"/>
        <v>0</v>
      </c>
      <c r="BI169" s="40" cm="1">
        <f t="array" ref="BI169">IF($F$13-$I$4+VLOOKUP($R169,武学奇术!$A:$ZZ,13,FALSE)+SUM(_xlfn.XLOOKUP($S169:$AL169,增益!$A:$A,增益!$M:$M,0))&gt;0,($F$13-$I$4+VLOOKUP($R169,武学奇术!$A:$ZZ,13,FALSE)+SUM(_xlfn.XLOOKUP($S169:$AL169,增益!$A:$A,增益!$K:$K,0)))/200,($F$13-$I$4+VLOOKUP($R169,武学奇术!$A:$ZZ,13,FALSE)+SUM(_xlfn.XLOOKUP($S169:$AL169,增益!$A:$A,增益!$M:$M,0)))/100)</f>
        <v>-0.3</v>
      </c>
      <c r="BJ169" s="40" cm="1">
        <f t="array" ref="BJ169">$G$13+VLOOKUP($R169,武学奇术!$A:$ZZ,14,FALSE)+SUM(_xlfn.XLOOKUP($S169:$AL169,增益!$A:$A,增益!$N:$N,0))</f>
        <v>0</v>
      </c>
      <c r="BK169">
        <f t="shared" si="40"/>
        <v>0</v>
      </c>
      <c r="BL169">
        <f t="shared" si="41"/>
        <v>0</v>
      </c>
      <c r="BM169" s="40" cm="1">
        <f t="array" ref="BM169">IF($F$14-$I$4+VLOOKUP($R169,武学奇术!$A:$ZZ,15,FALSE)+SUM(_xlfn.XLOOKUP($S169:$AL169,增益!$A:$A,增益!$O:$O,0))&gt;0,($F$14-$I$4+VLOOKUP($R169,武学奇术!$A:$ZZ,15,FALSE)+SUM(_xlfn.XLOOKUP($S169:$AL169,增益!$A:$A,增益!$O:$O,0)))/200,($F$14-$I$4+VLOOKUP($R169,武学奇术!$A:$ZZ,15,FALSE)+SUM(_xlfn.XLOOKUP($S169:$AL169,增益!$A:$A,增益!$O:$O,0)))/100)</f>
        <v>-0.3</v>
      </c>
      <c r="BN169" s="40" cm="1">
        <f t="array" ref="BN169">$G$14+VLOOKUP($R169,武学奇术!$A:$ZZ,16,FALSE)+SUM(_xlfn.XLOOKUP($S169:$AL169,增益!$A:$A,增益!$P:$P,0))</f>
        <v>0</v>
      </c>
      <c r="BO169" s="33">
        <f>MIN(IF(VLOOKUP($R169,武学奇术!$A:$ZZ,23,FALSE)=1,100%,$B$8),100%)</f>
        <v>0.9771</v>
      </c>
      <c r="BP169" s="33" cm="1">
        <f t="array" ref="BP169">IF(VLOOKUP($R169,武学奇术!$A:$ZZ,23,FALSE)=1,100%,MIN(80%,$B$9+VLOOKUP($R169,武学奇术!$A:$ZZ,17,FALSE)+SUM(_xlfn.XLOOKUP($S169:$AL169,增益!$A:$A,增益!$Q:$Q,0)))+$B$11+SUM(_xlfn.XLOOKUP($S169:$AL169,增益!$A:$A,增益!$U:$U,0)))*IF(VLOOKUP($R169,武学奇术!$A:$ZZ,24,FALSE)=1,0,1)</f>
        <v>0.8861</v>
      </c>
      <c r="BQ169" s="33" cm="1">
        <f t="array" ref="BQ169">1+$B$13+VLOOKUP($R169,武学奇术!$A:$ZZ,18,FALSE)+SUM(_xlfn.XLOOKUP($S169:$AL169,增益!$A:$A,增益!$R:$R,0))</f>
        <v>1.98</v>
      </c>
      <c r="BR169" s="33" cm="1">
        <f t="array" ref="BR169">IF(VLOOKUP($R169,武学奇术!$A:$ZZ,24,FALSE)=1,100%,MIN(40%,$B$10+VLOOKUP($R169,武学奇术!$A:$ZZ,19,FALSE)+SUM(_xlfn.XLOOKUP($S169:$AL169,增益!$A:$A,增益!$S:$S,0)))+$B$12+SUM(_xlfn.XLOOKUP($S169:$AL169,增益!$A:$A,增益!$V:$V,0)))*IF(VLOOKUP($R169,武学奇术!$A:$ZZ,23,FALSE)=1,0,1)</f>
        <v>0.0913</v>
      </c>
      <c r="BS169" s="33" cm="1">
        <f t="array" ref="BS169">1+$B$14+VLOOKUP($R169,武学奇术!$A:$ZZ,20,FALSE)+SUM(_xlfn.XLOOKUP($S169:$AL169,增益!$A:$A,增益!$T:$T,0))</f>
        <v>1.35</v>
      </c>
      <c r="BT169" s="33">
        <f t="shared" si="42"/>
        <v>0.86580831</v>
      </c>
      <c r="BU169" s="33">
        <f t="shared" si="43"/>
        <v>0.02208246</v>
      </c>
      <c r="BV169" s="33">
        <f>IF(VLOOKUP($R169,武学奇术!$A:$ZZ,22,FALSE)=1,0,(1-$BO169))*(1-$BR169)</f>
        <v>0.02080923</v>
      </c>
      <c r="BW169" s="33" cm="1">
        <f t="array" ref="BW169">SUM(_xlfn.XLOOKUP($S169:$AL169,增益!$A:$A,增益!$W:$W,0))+$I$5</f>
        <v>0.11</v>
      </c>
      <c r="BX169" s="33" cm="1">
        <f t="array" ref="BX169">VLOOKUP($R169,武学奇术!$A:$ZZ,32,FALSE)+SUM(_xlfn.XLOOKUP($S169:$AL169,增益!$A:$A,增益!$X:$X,0))</f>
        <v>0</v>
      </c>
    </row>
    <row r="170" spans="12:76">
      <c r="L170" s="46">
        <f t="shared" si="33"/>
        <v>0</v>
      </c>
      <c r="M170" s="46">
        <f>((($AT170+$AU170)/2*$AN170+$AO170)*(1+$AV170)*(1+$AW170)+(($AY170+$AZ170)/2*IF($G$1="鸣金",$AP170,$AN170)+IF($G$1="鸣金",$AQ170*1.5,0))*(1+$BA170)*(1+$BB170)+(($BC170+$BD170)/2*IF($G$1="裂石",$AP170,$AN170)+IF($G$1="裂石",$AQ170*1.5,0))*(1+$BE170)*(1+$BF170)+(($BG170+$BH170)/2*IF($G$1="牵丝",$AP170,$AN170)+IF($G$1="牵丝",$AQ170*1.5,0))*(1+$BI170)*(1+$BJ170)+(($BK170+$BL170)/2*IF($G$1="破竹",$AP170,$AN170)+IF($G$1="破竹",$AQ170*1.5,0))*(1+$BM170)*(1+$BN170))*(1+$AR170)*$BQ170*$Q170*(1+IF(VLOOKUP($R170,武学奇术!$A:$ZZ,30,FALSE)="蓄力技",$B$21,0))*(1+IF(VLOOKUP($R170,武学奇术!$A:$ZZ,30,FALSE)="派生技",$B$20,0))*(1+$BW170)*(1+$BX170)</f>
        <v>0</v>
      </c>
      <c r="N170" s="46">
        <f>(($AU170*$AN170+$AO170)*(1+$AV170)*(1+$AW170)+($AZ170*IF($G$1="鸣金",$AP170,$AN170)+IF($G$1="鸣金",$AQ170*1.5,0))*(1+$BA170)*(1+$BB170)+($BD170*IF($G$1="裂石",$AP170,$AN170)+IF($G$1="裂石",$AQ170*1.5,0))*(1+$BE170)*(1+$BF170)+($BH170*IF($G$1="牵丝",$AP170,$AN170)+IF($G$1="牵丝",$AQ170*1.5,0))*(1+$BI170)*(1+$BJ170)+($BL170*IF($G$1="破竹",$AP170,$AN170)+IF($G$1="破竹",$AQ170*1.5,0))*(1+$BM170)*(1+$BN170))*(1+$AR170)*$BS170*$Q170*(1+IF(VLOOKUP($R170,武学奇术!$A:$ZZ,30,FALSE)="蓄力技",$B$21,0))*(1+IF(VLOOKUP($R170,武学奇术!$A:$ZZ,30,FALSE)="派生技",$B$20,0))*(1+$BW170)*(1+$BX170)</f>
        <v>0</v>
      </c>
      <c r="O170" s="46">
        <f>((($AT170+$AU170)/2*$AN170+$AO170)*(1+$AV170)*(1+$AW170)+(($AY170+$AZ170)/2*IF($G$1="鸣金",$AP170,$AN170)+IF($G$1="鸣金",$AQ170*1.5,0))*(1+$BA170)*(1+$BB170)+(($BC170+$BD170)/2*IF($G$1="裂石",$AP170,$AN170)+IF($G$1="裂石",$AQ170*1.5,0))*(1+$BE170)*(1+$BF170)+(($BG170+$BH170)/2*IF($G$1="牵丝",$AP170,$AN170)+IF($G$1="牵丝",$AQ170*1.5,0))*(1+$BI170)*(1+$BJ170)+(($BK170+$BL170)/2*IF($G$1="破竹",$AP170,$AN170)+IF($G$1="破竹",$AQ170*1.5,0))*(1+$BM170)*(1+$BN170))*(1+$AR170)*$Q170*(1+IF(VLOOKUP($R170,武学奇术!$A:$ZZ,30,FALSE)="蓄力技",$B$21,0))*(1+IF(VLOOKUP($R170,武学奇术!$A:$ZZ,30,FALSE)="派生技",$B$20,0))*(1+$BW170)*(1+$BX170)</f>
        <v>0</v>
      </c>
      <c r="P170" s="46">
        <f>((($AT170*$AN170+$AO170)*(1+$AV170)*(1+$AW170)+($AY170*IF($G$1="鸣金",$AP170,$AN170)+IF($G$1="鸣金",$AQ170*1.5,0))*(1+$BA170)*(1+$BB170)+($BC170*IF($G$1="裂石",$AP170,$AN170)+IF($G$1="裂石",$AQ170*1.5,0))*(1+$BE170)*(1+$BF170)+($BG170*IF($G$1="牵丝",$AP170,$AN170)+IF($G$1="牵丝",$AQ170*1.5,0))*(1+$BI170)*(1+$BJ170)+($BK170*IF($G$1="破竹",$AP170,$AN170)+IF($G$1="破竹",$AQ170*1.5,0))*(1+$BM170)*(1+$BN170))*(1+$AR170))*$Q170*(1+IF(VLOOKUP($R170,武学奇术!$A:$ZZ,30,FALSE)="蓄力技",$B$21,0))*(1+IF(VLOOKUP($R170,武学奇术!$A:$ZZ,30,FALSE)="派生技",$B$20,0))*(1+$BW170)*(1+$BX170)</f>
        <v>0</v>
      </c>
      <c r="Q170" s="47">
        <f t="shared" si="45"/>
        <v>0</v>
      </c>
      <c r="R170" s="48" t="s">
        <v>196</v>
      </c>
      <c r="S170" s="48" t="s">
        <v>99</v>
      </c>
      <c r="T170" s="48" t="s">
        <v>178</v>
      </c>
      <c r="U170" s="48" t="s">
        <v>79</v>
      </c>
      <c r="V170" s="48" t="s">
        <v>80</v>
      </c>
      <c r="W170" s="48" t="s">
        <v>141</v>
      </c>
      <c r="X170" s="48" t="s">
        <v>80</v>
      </c>
      <c r="Y170" s="48" t="s">
        <v>74</v>
      </c>
      <c r="Z170" s="48" t="s">
        <v>80</v>
      </c>
      <c r="AA170" s="48" t="s">
        <v>80</v>
      </c>
      <c r="AB170" s="48" t="s">
        <v>80</v>
      </c>
      <c r="AC170" s="48" t="s">
        <v>80</v>
      </c>
      <c r="AD170" s="48" t="s">
        <v>80</v>
      </c>
      <c r="AE170" s="48" t="s">
        <v>80</v>
      </c>
      <c r="AF170" s="48" t="s">
        <v>83</v>
      </c>
      <c r="AG170" s="48" t="s">
        <v>84</v>
      </c>
      <c r="AH170" s="48" t="s">
        <v>80</v>
      </c>
      <c r="AI170" s="48" t="s">
        <v>80</v>
      </c>
      <c r="AJ170" s="48" t="s">
        <v>80</v>
      </c>
      <c r="AK170" s="48" t="s">
        <v>80</v>
      </c>
      <c r="AL170" s="48" t="s">
        <v>80</v>
      </c>
      <c r="AM170" t="str">
        <f>VLOOKUP($R170,武学奇术!$A:$ZZ,25,FALSE)</f>
        <v>横刀</v>
      </c>
      <c r="AN170" s="33">
        <f>VLOOKUP($R170,武学奇术!$A:$ZZ,26,FALSE)</f>
        <v>1.47</v>
      </c>
      <c r="AO170" s="34">
        <f>VLOOKUP($R170,武学奇术!$A:$ZZ,27,FALSE)*(1+IF(OR($AM170=$F$4,$AM170=$F$5),$B$22,0))</f>
        <v>0</v>
      </c>
      <c r="AP170" s="33">
        <f>VLOOKUP($R170,武学奇术!$A:$ZZ,28,FALSE)</f>
        <v>2.205</v>
      </c>
      <c r="AQ170" s="34">
        <f>VLOOKUP($R170,武学奇术!$A:$ZZ,29,FALSE)*(1+IF(OR($AM170=$F$4,$AM170=$F$5),$B$22,0))</f>
        <v>0</v>
      </c>
      <c r="AR170" s="33" cm="1">
        <f t="array" ref="AR170">$G$3+IFERROR(VLOOKUP($AM170,$F$4:$G$7,2,FALSE),0)+VLOOKUP($R170,武学奇术!$A:$ZZ,2,FALSE)+SUM(_xlfn.XLOOKUP($S170:$AL170,增益!$A:$A,增益!$B:$B,0))</f>
        <v>0.4489</v>
      </c>
      <c r="AS170" s="33" cm="1">
        <f t="array" ref="AS170">VLOOKUP($R170,武学奇术!$A:$ZZ,5,FALSE)+SUM(_xlfn.XLOOKUP($S170:$AL170,增益!$A:$A,增益!$E:$E,0))</f>
        <v>0</v>
      </c>
      <c r="AT170" cm="1">
        <f t="array" ref="AT170">$D$10*(1+$AS170)+VLOOKUP($R170,武学奇术!$A:$ZZ,3,FALSE)+SUM(_xlfn.XLOOKUP($S170:$AL170,增益!$A:$A,增益!$C:$C,0))-$I$2</f>
        <v>4026</v>
      </c>
      <c r="AU170" cm="1">
        <f t="array" ref="AU170">$E$10*(1+$AS170)+VLOOKUP($R170,武学奇术!$A:$ZZ,4,FALSE)+SUM(_xlfn.XLOOKUP($S170:$AL170,增益!$A:$A,增益!$D:$D,0))-$I$2</f>
        <v>4026</v>
      </c>
      <c r="AV170" s="40" cm="1">
        <f t="array" ref="AV170">IF($F$10-$I$3+VLOOKUP($R170,武学奇术!$A:$ZZ,6,FALSE)+SUM(_xlfn.XLOOKUP($S170:$AL170,增益!$A:$A,增益!$F:$F,0))&gt;0,($F$10-$I$3+VLOOKUP($R170,武学奇术!$A:$ZZ,6,FALSE)+SUM(_xlfn.XLOOKUP($S170:$AL170,增益!$A:$A,增益!$F:$F,0)))/200,($F$10-$I$3+VLOOKUP($R170,武学奇术!$A:$ZZ,6,FALSE)+SUM(_xlfn.XLOOKUP($S170:$AL170,增益!$A:$A,增益!$F:$F,0)))/100)</f>
        <v>0.3534</v>
      </c>
      <c r="AW170" s="40" cm="1">
        <f t="array" ref="AW170">$G$10+VLOOKUP($R170,武学奇术!$A:$ZZ,7,FALSE)+SUM(_xlfn.XLOOKUP($S170:$AL170,增益!$A:$A,增益!$G:$G,0))</f>
        <v>0.12</v>
      </c>
      <c r="AX170" s="33" cm="1">
        <f t="array" ref="AX170">VLOOKUP($R170,武学奇术!$A:$ZZ,8,FALSE)+SUM(_xlfn.XLOOKUP($S170:$AL170,增益!$A:$A,增益!$H:$H,0))</f>
        <v>0</v>
      </c>
      <c r="AY170">
        <f t="shared" si="34"/>
        <v>0</v>
      </c>
      <c r="AZ170">
        <f t="shared" si="35"/>
        <v>0</v>
      </c>
      <c r="BA170" s="40" cm="1">
        <f t="array" ref="BA170">IF($F$11-$I$4+VLOOKUP($R170,武学奇术!$A:$ZZ,9,FALSE)+SUM(_xlfn.XLOOKUP($S170:$AL170,增益!$A:$A,增益!$I:$I,0))&gt;0,($F$11-$I$4+VLOOKUP($R170,武学奇术!$A:$ZZ,9,FALSE)+SUM(_xlfn.XLOOKUP($S170:$AL170,增益!$A:$A,增益!$I:$I,0)))/200,($F$11-$I$4+VLOOKUP($R170,武学奇术!$A:$ZZ,9,FALSE)+SUM(_xlfn.XLOOKUP($S170:$AL170,增益!$A:$A,增益!$I:$I,0)))/100)</f>
        <v>-0.3</v>
      </c>
      <c r="BB170" s="40" cm="1">
        <f t="array" ref="BB170">$G$11+VLOOKUP($R170,武学奇术!$A:$ZZ,10,FALSE)+SUM(_xlfn.XLOOKUP($S170:$AL170,增益!$A:$A,增益!$J:$J,0))</f>
        <v>0</v>
      </c>
      <c r="BC170">
        <f t="shared" si="36"/>
        <v>640.3</v>
      </c>
      <c r="BD170">
        <f t="shared" si="37"/>
        <v>1770.1</v>
      </c>
      <c r="BE170" s="40" cm="1">
        <f t="array" ref="BE170">IF($F$12-$I$4+VLOOKUP($R170,武学奇术!$A:$ZZ,11,FALSE)+SUM(_xlfn.XLOOKUP($S170:$AL170,增益!$A:$A,增益!$K:$K,0))&gt;0,($F$12-$I$4+VLOOKUP($R170,武学奇术!$A:$ZZ,11,FALSE)+SUM(_xlfn.XLOOKUP($S170:$AL170,增益!$A:$A,增益!$K:$K,0)))/200,($F$12-$I$4+VLOOKUP($R170,武学奇术!$A:$ZZ,11,FALSE)+SUM(_xlfn.XLOOKUP($S170:$AL170,增益!$A:$A,增益!$K:$K,0)))/100)</f>
        <v>0.09</v>
      </c>
      <c r="BF170" s="40" cm="1">
        <f t="array" ref="BF170">$G$12+VLOOKUP($R170,武学奇术!$A:$ZZ,12,FALSE)+SUM(_xlfn.XLOOKUP($S170:$AL170,增益!$A:$A,增益!$L:$L,0))</f>
        <v>0.27</v>
      </c>
      <c r="BG170">
        <f t="shared" si="38"/>
        <v>0</v>
      </c>
      <c r="BH170">
        <f t="shared" si="39"/>
        <v>0</v>
      </c>
      <c r="BI170" s="40" cm="1">
        <f t="array" ref="BI170">IF($F$13-$I$4+VLOOKUP($R170,武学奇术!$A:$ZZ,13,FALSE)+SUM(_xlfn.XLOOKUP($S170:$AL170,增益!$A:$A,增益!$M:$M,0))&gt;0,($F$13-$I$4+VLOOKUP($R170,武学奇术!$A:$ZZ,13,FALSE)+SUM(_xlfn.XLOOKUP($S170:$AL170,增益!$A:$A,增益!$K:$K,0)))/200,($F$13-$I$4+VLOOKUP($R170,武学奇术!$A:$ZZ,13,FALSE)+SUM(_xlfn.XLOOKUP($S170:$AL170,增益!$A:$A,增益!$M:$M,0)))/100)</f>
        <v>-0.3</v>
      </c>
      <c r="BJ170" s="40" cm="1">
        <f t="array" ref="BJ170">$G$13+VLOOKUP($R170,武学奇术!$A:$ZZ,14,FALSE)+SUM(_xlfn.XLOOKUP($S170:$AL170,增益!$A:$A,增益!$N:$N,0))</f>
        <v>0</v>
      </c>
      <c r="BK170">
        <f t="shared" si="40"/>
        <v>0</v>
      </c>
      <c r="BL170">
        <f t="shared" si="41"/>
        <v>0</v>
      </c>
      <c r="BM170" s="40" cm="1">
        <f t="array" ref="BM170">IF($F$14-$I$4+VLOOKUP($R170,武学奇术!$A:$ZZ,15,FALSE)+SUM(_xlfn.XLOOKUP($S170:$AL170,增益!$A:$A,增益!$O:$O,0))&gt;0,($F$14-$I$4+VLOOKUP($R170,武学奇术!$A:$ZZ,15,FALSE)+SUM(_xlfn.XLOOKUP($S170:$AL170,增益!$A:$A,增益!$O:$O,0)))/200,($F$14-$I$4+VLOOKUP($R170,武学奇术!$A:$ZZ,15,FALSE)+SUM(_xlfn.XLOOKUP($S170:$AL170,增益!$A:$A,增益!$O:$O,0)))/100)</f>
        <v>-0.3</v>
      </c>
      <c r="BN170" s="40" cm="1">
        <f t="array" ref="BN170">$G$14+VLOOKUP($R170,武学奇术!$A:$ZZ,16,FALSE)+SUM(_xlfn.XLOOKUP($S170:$AL170,增益!$A:$A,增益!$P:$P,0))</f>
        <v>0</v>
      </c>
      <c r="BO170" s="33">
        <f>MIN(IF(VLOOKUP($R170,武学奇术!$A:$ZZ,23,FALSE)=1,100%,$B$8),100%)</f>
        <v>0.9771</v>
      </c>
      <c r="BP170" s="33" cm="1">
        <f t="array" ref="BP170">IF(VLOOKUP($R170,武学奇术!$A:$ZZ,23,FALSE)=1,100%,MIN(80%,$B$9+VLOOKUP($R170,武学奇术!$A:$ZZ,17,FALSE)+SUM(_xlfn.XLOOKUP($S170:$AL170,增益!$A:$A,增益!$Q:$Q,0)))+$B$11+SUM(_xlfn.XLOOKUP($S170:$AL170,增益!$A:$A,增益!$U:$U,0)))*IF(VLOOKUP($R170,武学奇术!$A:$ZZ,24,FALSE)=1,0,1)</f>
        <v>0.8861</v>
      </c>
      <c r="BQ170" s="33" cm="1">
        <f t="array" ref="BQ170">1+$B$13+VLOOKUP($R170,武学奇术!$A:$ZZ,18,FALSE)+SUM(_xlfn.XLOOKUP($S170:$AL170,增益!$A:$A,增益!$R:$R,0))</f>
        <v>1.98</v>
      </c>
      <c r="BR170" s="33" cm="1">
        <f t="array" ref="BR170">IF(VLOOKUP($R170,武学奇术!$A:$ZZ,24,FALSE)=1,100%,MIN(40%,$B$10+VLOOKUP($R170,武学奇术!$A:$ZZ,19,FALSE)+SUM(_xlfn.XLOOKUP($S170:$AL170,增益!$A:$A,增益!$S:$S,0)))+$B$12+SUM(_xlfn.XLOOKUP($S170:$AL170,增益!$A:$A,增益!$V:$V,0)))*IF(VLOOKUP($R170,武学奇术!$A:$ZZ,23,FALSE)=1,0,1)</f>
        <v>0.0913</v>
      </c>
      <c r="BS170" s="33" cm="1">
        <f t="array" ref="BS170">1+$B$14+VLOOKUP($R170,武学奇术!$A:$ZZ,20,FALSE)+SUM(_xlfn.XLOOKUP($S170:$AL170,增益!$A:$A,增益!$T:$T,0))</f>
        <v>1.35</v>
      </c>
      <c r="BT170" s="33">
        <f t="shared" si="42"/>
        <v>0.86580831</v>
      </c>
      <c r="BU170" s="33">
        <f t="shared" si="43"/>
        <v>0.02208246</v>
      </c>
      <c r="BV170" s="33">
        <f>IF(VLOOKUP($R170,武学奇术!$A:$ZZ,22,FALSE)=1,0,(1-$BO170))*(1-$BR170)</f>
        <v>0.02080923</v>
      </c>
      <c r="BW170" s="33" cm="1">
        <f t="array" ref="BW170">SUM(_xlfn.XLOOKUP($S170:$AL170,增益!$A:$A,增益!$W:$W,0))+$I$5</f>
        <v>0.11</v>
      </c>
      <c r="BX170" s="33" cm="1">
        <f t="array" ref="BX170">VLOOKUP($R170,武学奇术!$A:$ZZ,32,FALSE)+SUM(_xlfn.XLOOKUP($S170:$AL170,增益!$A:$A,增益!$X:$X,0))</f>
        <v>0.4</v>
      </c>
    </row>
    <row r="171" spans="12:76">
      <c r="L171" s="46">
        <f t="shared" si="33"/>
        <v>0</v>
      </c>
      <c r="M171" s="46">
        <f>((($AT171+$AU171)/2*$AN171+$AO171)*(1+$AV171)*(1+$AW171)+(($AY171+$AZ171)/2*IF($G$1="鸣金",$AP171,$AN171)+IF($G$1="鸣金",$AQ171*1.5,0))*(1+$BA171)*(1+$BB171)+(($BC171+$BD171)/2*IF($G$1="裂石",$AP171,$AN171)+IF($G$1="裂石",$AQ171*1.5,0))*(1+$BE171)*(1+$BF171)+(($BG171+$BH171)/2*IF($G$1="牵丝",$AP171,$AN171)+IF($G$1="牵丝",$AQ171*1.5,0))*(1+$BI171)*(1+$BJ171)+(($BK171+$BL171)/2*IF($G$1="破竹",$AP171,$AN171)+IF($G$1="破竹",$AQ171*1.5,0))*(1+$BM171)*(1+$BN171))*(1+$AR171)*$BQ171*$Q171*(1+IF(VLOOKUP($R171,武学奇术!$A:$ZZ,30,FALSE)="蓄力技",$B$21,0))*(1+IF(VLOOKUP($R171,武学奇术!$A:$ZZ,30,FALSE)="派生技",$B$20,0))*(1+$BW171)*(1+$BX171)</f>
        <v>0</v>
      </c>
      <c r="N171" s="46">
        <f>(($AU171*$AN171+$AO171)*(1+$AV171)*(1+$AW171)+($AZ171*IF($G$1="鸣金",$AP171,$AN171)+IF($G$1="鸣金",$AQ171*1.5,0))*(1+$BA171)*(1+$BB171)+($BD171*IF($G$1="裂石",$AP171,$AN171)+IF($G$1="裂石",$AQ171*1.5,0))*(1+$BE171)*(1+$BF171)+($BH171*IF($G$1="牵丝",$AP171,$AN171)+IF($G$1="牵丝",$AQ171*1.5,0))*(1+$BI171)*(1+$BJ171)+($BL171*IF($G$1="破竹",$AP171,$AN171)+IF($G$1="破竹",$AQ171*1.5,0))*(1+$BM171)*(1+$BN171))*(1+$AR171)*$BS171*$Q171*(1+IF(VLOOKUP($R171,武学奇术!$A:$ZZ,30,FALSE)="蓄力技",$B$21,0))*(1+IF(VLOOKUP($R171,武学奇术!$A:$ZZ,30,FALSE)="派生技",$B$20,0))*(1+$BW171)*(1+$BX171)</f>
        <v>0</v>
      </c>
      <c r="O171" s="46">
        <f>((($AT171+$AU171)/2*$AN171+$AO171)*(1+$AV171)*(1+$AW171)+(($AY171+$AZ171)/2*IF($G$1="鸣金",$AP171,$AN171)+IF($G$1="鸣金",$AQ171*1.5,0))*(1+$BA171)*(1+$BB171)+(($BC171+$BD171)/2*IF($G$1="裂石",$AP171,$AN171)+IF($G$1="裂石",$AQ171*1.5,0))*(1+$BE171)*(1+$BF171)+(($BG171+$BH171)/2*IF($G$1="牵丝",$AP171,$AN171)+IF($G$1="牵丝",$AQ171*1.5,0))*(1+$BI171)*(1+$BJ171)+(($BK171+$BL171)/2*IF($G$1="破竹",$AP171,$AN171)+IF($G$1="破竹",$AQ171*1.5,0))*(1+$BM171)*(1+$BN171))*(1+$AR171)*$Q171*(1+IF(VLOOKUP($R171,武学奇术!$A:$ZZ,30,FALSE)="蓄力技",$B$21,0))*(1+IF(VLOOKUP($R171,武学奇术!$A:$ZZ,30,FALSE)="派生技",$B$20,0))*(1+$BW171)*(1+$BX171)</f>
        <v>0</v>
      </c>
      <c r="P171" s="46">
        <f>((($AT171*$AN171+$AO171)*(1+$AV171)*(1+$AW171)+($AY171*IF($G$1="鸣金",$AP171,$AN171)+IF($G$1="鸣金",$AQ171*1.5,0))*(1+$BA171)*(1+$BB171)+($BC171*IF($G$1="裂石",$AP171,$AN171)+IF($G$1="裂石",$AQ171*1.5,0))*(1+$BE171)*(1+$BF171)+($BG171*IF($G$1="牵丝",$AP171,$AN171)+IF($G$1="牵丝",$AQ171*1.5,0))*(1+$BI171)*(1+$BJ171)+($BK171*IF($G$1="破竹",$AP171,$AN171)+IF($G$1="破竹",$AQ171*1.5,0))*(1+$BM171)*(1+$BN171))*(1+$AR171))*$Q171*(1+IF(VLOOKUP($R171,武学奇术!$A:$ZZ,30,FALSE)="蓄力技",$B$21,0))*(1+IF(VLOOKUP($R171,武学奇术!$A:$ZZ,30,FALSE)="派生技",$B$20,0))*(1+$BW171)*(1+$BX171)</f>
        <v>0</v>
      </c>
      <c r="Q171" s="47">
        <f t="shared" si="45"/>
        <v>0</v>
      </c>
      <c r="R171" s="48" t="s">
        <v>197</v>
      </c>
      <c r="S171" s="48" t="s">
        <v>99</v>
      </c>
      <c r="T171" s="48" t="s">
        <v>181</v>
      </c>
      <c r="U171" s="48" t="s">
        <v>79</v>
      </c>
      <c r="V171" s="48" t="s">
        <v>80</v>
      </c>
      <c r="W171" s="48" t="s">
        <v>91</v>
      </c>
      <c r="X171" s="48" t="s">
        <v>80</v>
      </c>
      <c r="Y171" s="48" t="s">
        <v>80</v>
      </c>
      <c r="Z171" s="48" t="s">
        <v>80</v>
      </c>
      <c r="AA171" s="48" t="s">
        <v>80</v>
      </c>
      <c r="AB171" s="48" t="s">
        <v>80</v>
      </c>
      <c r="AC171" s="48" t="s">
        <v>80</v>
      </c>
      <c r="AD171" s="48" t="s">
        <v>80</v>
      </c>
      <c r="AE171" s="48" t="s">
        <v>80</v>
      </c>
      <c r="AF171" s="48" t="s">
        <v>83</v>
      </c>
      <c r="AG171" s="48" t="s">
        <v>84</v>
      </c>
      <c r="AH171" s="48" t="s">
        <v>80</v>
      </c>
      <c r="AI171" s="48" t="s">
        <v>80</v>
      </c>
      <c r="AJ171" s="48" t="s">
        <v>80</v>
      </c>
      <c r="AK171" s="48" t="s">
        <v>80</v>
      </c>
      <c r="AL171" s="48" t="s">
        <v>80</v>
      </c>
      <c r="AM171" t="str">
        <f>VLOOKUP($R171,武学奇术!$A:$ZZ,25,FALSE)</f>
        <v>横刀</v>
      </c>
      <c r="AN171" s="33">
        <f>VLOOKUP($R171,武学奇术!$A:$ZZ,26,FALSE)</f>
        <v>2.4495</v>
      </c>
      <c r="AO171" s="34">
        <f>VLOOKUP($R171,武学奇术!$A:$ZZ,27,FALSE)*(1+IF(OR($AM171=$F$4,$AM171=$F$5),$B$22,0))</f>
        <v>1083.2</v>
      </c>
      <c r="AP171" s="33">
        <f>VLOOKUP($R171,武学奇术!$A:$ZZ,28,FALSE)</f>
        <v>3.6743</v>
      </c>
      <c r="AQ171" s="34">
        <f>VLOOKUP($R171,武学奇术!$A:$ZZ,29,FALSE)*(1+IF(OR($AM171=$F$4,$AM171=$F$5),$B$22,0))</f>
        <v>588.8</v>
      </c>
      <c r="AR171" s="33" cm="1">
        <f t="array" ref="AR171">$G$3+IFERROR(VLOOKUP($AM171,$F$4:$G$7,2,FALSE),0)+VLOOKUP($R171,武学奇术!$A:$ZZ,2,FALSE)+SUM(_xlfn.XLOOKUP($S171:$AL171,增益!$A:$A,增益!$B:$B,0))</f>
        <v>0.3689</v>
      </c>
      <c r="AS171" s="33" cm="1">
        <f t="array" ref="AS171">VLOOKUP($R171,武学奇术!$A:$ZZ,5,FALSE)+SUM(_xlfn.XLOOKUP($S171:$AL171,增益!$A:$A,增益!$E:$E,0))</f>
        <v>0</v>
      </c>
      <c r="AT171" cm="1">
        <f t="array" ref="AT171">$D$10*(1+$AS171)+VLOOKUP($R171,武学奇术!$A:$ZZ,3,FALSE)+SUM(_xlfn.XLOOKUP($S171:$AL171,增益!$A:$A,增益!$C:$C,0))-$I$2</f>
        <v>4026</v>
      </c>
      <c r="AU171" cm="1">
        <f t="array" ref="AU171">$E$10*(1+$AS171)+VLOOKUP($R171,武学奇术!$A:$ZZ,4,FALSE)+SUM(_xlfn.XLOOKUP($S171:$AL171,增益!$A:$A,增益!$D:$D,0))-$I$2</f>
        <v>4026</v>
      </c>
      <c r="AV171" s="40" cm="1">
        <f t="array" ref="AV171">IF($F$10-$I$3+VLOOKUP($R171,武学奇术!$A:$ZZ,6,FALSE)+SUM(_xlfn.XLOOKUP($S171:$AL171,增益!$A:$A,增益!$F:$F,0))&gt;0,($F$10-$I$3+VLOOKUP($R171,武学奇术!$A:$ZZ,6,FALSE)+SUM(_xlfn.XLOOKUP($S171:$AL171,增益!$A:$A,增益!$F:$F,0)))/200,($F$10-$I$3+VLOOKUP($R171,武学奇术!$A:$ZZ,6,FALSE)+SUM(_xlfn.XLOOKUP($S171:$AL171,增益!$A:$A,增益!$F:$F,0)))/100)</f>
        <v>0.3284</v>
      </c>
      <c r="AW171" s="40" cm="1">
        <f t="array" ref="AW171">$G$10+VLOOKUP($R171,武学奇术!$A:$ZZ,7,FALSE)+SUM(_xlfn.XLOOKUP($S171:$AL171,增益!$A:$A,增益!$G:$G,0))</f>
        <v>0.12</v>
      </c>
      <c r="AX171" s="33" cm="1">
        <f t="array" ref="AX171">VLOOKUP($R171,武学奇术!$A:$ZZ,8,FALSE)+SUM(_xlfn.XLOOKUP($S171:$AL171,增益!$A:$A,增益!$H:$H,0))</f>
        <v>0</v>
      </c>
      <c r="AY171">
        <f t="shared" si="34"/>
        <v>0</v>
      </c>
      <c r="AZ171">
        <f t="shared" si="35"/>
        <v>0</v>
      </c>
      <c r="BA171" s="40" cm="1">
        <f t="array" ref="BA171">IF($F$11-$I$4+VLOOKUP($R171,武学奇术!$A:$ZZ,9,FALSE)+SUM(_xlfn.XLOOKUP($S171:$AL171,增益!$A:$A,增益!$I:$I,0))&gt;0,($F$11-$I$4+VLOOKUP($R171,武学奇术!$A:$ZZ,9,FALSE)+SUM(_xlfn.XLOOKUP($S171:$AL171,增益!$A:$A,增益!$I:$I,0)))/200,($F$11-$I$4+VLOOKUP($R171,武学奇术!$A:$ZZ,9,FALSE)+SUM(_xlfn.XLOOKUP($S171:$AL171,增益!$A:$A,增益!$I:$I,0)))/100)</f>
        <v>-0.3</v>
      </c>
      <c r="BB171" s="40" cm="1">
        <f t="array" ref="BB171">$G$11+VLOOKUP($R171,武学奇术!$A:$ZZ,10,FALSE)+SUM(_xlfn.XLOOKUP($S171:$AL171,增益!$A:$A,增益!$J:$J,0))</f>
        <v>0</v>
      </c>
      <c r="BC171">
        <f t="shared" si="36"/>
        <v>640.3</v>
      </c>
      <c r="BD171">
        <f t="shared" si="37"/>
        <v>1770.1</v>
      </c>
      <c r="BE171" s="40" cm="1">
        <f t="array" ref="BE171">IF($F$12-$I$4+VLOOKUP($R171,武学奇术!$A:$ZZ,11,FALSE)+SUM(_xlfn.XLOOKUP($S171:$AL171,增益!$A:$A,增益!$K:$K,0))&gt;0,($F$12-$I$4+VLOOKUP($R171,武学奇术!$A:$ZZ,11,FALSE)+SUM(_xlfn.XLOOKUP($S171:$AL171,增益!$A:$A,增益!$K:$K,0)))/200,($F$12-$I$4+VLOOKUP($R171,武学奇术!$A:$ZZ,11,FALSE)+SUM(_xlfn.XLOOKUP($S171:$AL171,增益!$A:$A,增益!$K:$K,0)))/100)</f>
        <v>0.09</v>
      </c>
      <c r="BF171" s="40" cm="1">
        <f t="array" ref="BF171">$G$12+VLOOKUP($R171,武学奇术!$A:$ZZ,12,FALSE)+SUM(_xlfn.XLOOKUP($S171:$AL171,增益!$A:$A,增益!$L:$L,0))</f>
        <v>0.27</v>
      </c>
      <c r="BG171">
        <f t="shared" si="38"/>
        <v>0</v>
      </c>
      <c r="BH171">
        <f t="shared" si="39"/>
        <v>0</v>
      </c>
      <c r="BI171" s="40" cm="1">
        <f t="array" ref="BI171">IF($F$13-$I$4+VLOOKUP($R171,武学奇术!$A:$ZZ,13,FALSE)+SUM(_xlfn.XLOOKUP($S171:$AL171,增益!$A:$A,增益!$M:$M,0))&gt;0,($F$13-$I$4+VLOOKUP($R171,武学奇术!$A:$ZZ,13,FALSE)+SUM(_xlfn.XLOOKUP($S171:$AL171,增益!$A:$A,增益!$K:$K,0)))/200,($F$13-$I$4+VLOOKUP($R171,武学奇术!$A:$ZZ,13,FALSE)+SUM(_xlfn.XLOOKUP($S171:$AL171,增益!$A:$A,增益!$M:$M,0)))/100)</f>
        <v>-0.3</v>
      </c>
      <c r="BJ171" s="40" cm="1">
        <f t="array" ref="BJ171">$G$13+VLOOKUP($R171,武学奇术!$A:$ZZ,14,FALSE)+SUM(_xlfn.XLOOKUP($S171:$AL171,增益!$A:$A,增益!$N:$N,0))</f>
        <v>0</v>
      </c>
      <c r="BK171">
        <f t="shared" si="40"/>
        <v>0</v>
      </c>
      <c r="BL171">
        <f t="shared" si="41"/>
        <v>0</v>
      </c>
      <c r="BM171" s="40" cm="1">
        <f t="array" ref="BM171">IF($F$14-$I$4+VLOOKUP($R171,武学奇术!$A:$ZZ,15,FALSE)+SUM(_xlfn.XLOOKUP($S171:$AL171,增益!$A:$A,增益!$O:$O,0))&gt;0,($F$14-$I$4+VLOOKUP($R171,武学奇术!$A:$ZZ,15,FALSE)+SUM(_xlfn.XLOOKUP($S171:$AL171,增益!$A:$A,增益!$O:$O,0)))/200,($F$14-$I$4+VLOOKUP($R171,武学奇术!$A:$ZZ,15,FALSE)+SUM(_xlfn.XLOOKUP($S171:$AL171,增益!$A:$A,增益!$O:$O,0)))/100)</f>
        <v>-0.3</v>
      </c>
      <c r="BN171" s="40" cm="1">
        <f t="array" ref="BN171">$G$14+VLOOKUP($R171,武学奇术!$A:$ZZ,16,FALSE)+SUM(_xlfn.XLOOKUP($S171:$AL171,增益!$A:$A,增益!$P:$P,0))</f>
        <v>0</v>
      </c>
      <c r="BO171" s="33">
        <f>MIN(IF(VLOOKUP($R171,武学奇术!$A:$ZZ,23,FALSE)=1,100%,$B$8),100%)</f>
        <v>0.9771</v>
      </c>
      <c r="BP171" s="33" cm="1">
        <f t="array" ref="BP171">IF(VLOOKUP($R171,武学奇术!$A:$ZZ,23,FALSE)=1,100%,MIN(80%,$B$9+VLOOKUP($R171,武学奇术!$A:$ZZ,17,FALSE)+SUM(_xlfn.XLOOKUP($S171:$AL171,增益!$A:$A,增益!$Q:$Q,0)))+$B$11+SUM(_xlfn.XLOOKUP($S171:$AL171,增益!$A:$A,增益!$U:$U,0)))*IF(VLOOKUP($R171,武学奇术!$A:$ZZ,24,FALSE)=1,0,1)</f>
        <v>0.8861</v>
      </c>
      <c r="BQ171" s="33" cm="1">
        <f t="array" ref="BQ171">1+$B$13+VLOOKUP($R171,武学奇术!$A:$ZZ,18,FALSE)+SUM(_xlfn.XLOOKUP($S171:$AL171,增益!$A:$A,增益!$R:$R,0))</f>
        <v>1.94</v>
      </c>
      <c r="BR171" s="33" cm="1">
        <f t="array" ref="BR171">IF(VLOOKUP($R171,武学奇术!$A:$ZZ,24,FALSE)=1,100%,MIN(40%,$B$10+VLOOKUP($R171,武学奇术!$A:$ZZ,19,FALSE)+SUM(_xlfn.XLOOKUP($S171:$AL171,增益!$A:$A,增益!$S:$S,0)))+$B$12+SUM(_xlfn.XLOOKUP($S171:$AL171,增益!$A:$A,增益!$V:$V,0)))*IF(VLOOKUP($R171,武学奇术!$A:$ZZ,23,FALSE)=1,0,1)</f>
        <v>0.0913</v>
      </c>
      <c r="BS171" s="33" cm="1">
        <f t="array" ref="BS171">1+$B$14+VLOOKUP($R171,武学奇术!$A:$ZZ,20,FALSE)+SUM(_xlfn.XLOOKUP($S171:$AL171,增益!$A:$A,增益!$T:$T,0))</f>
        <v>1.35</v>
      </c>
      <c r="BT171" s="33">
        <f t="shared" si="42"/>
        <v>0.86580831</v>
      </c>
      <c r="BU171" s="33">
        <f t="shared" si="43"/>
        <v>0.02208246</v>
      </c>
      <c r="BV171" s="33">
        <f>IF(VLOOKUP($R171,武学奇术!$A:$ZZ,22,FALSE)=1,0,(1-$BO171))*(1-$BR171)</f>
        <v>0.02080923</v>
      </c>
      <c r="BW171" s="33" cm="1">
        <f t="array" ref="BW171">SUM(_xlfn.XLOOKUP($S171:$AL171,增益!$A:$A,增益!$W:$W,0))+$I$5</f>
        <v>0.11</v>
      </c>
      <c r="BX171" s="33" cm="1">
        <f t="array" ref="BX171">VLOOKUP($R171,武学奇术!$A:$ZZ,32,FALSE)+SUM(_xlfn.XLOOKUP($S171:$AL171,增益!$A:$A,增益!$X:$X,0))</f>
        <v>0</v>
      </c>
    </row>
    <row r="172" spans="12:76">
      <c r="L172" s="46">
        <f t="shared" si="33"/>
        <v>0</v>
      </c>
      <c r="M172" s="46">
        <f>((($AT172+$AU172)/2*$AN172+$AO172)*(1+$AV172)*(1+$AW172)+(($AY172+$AZ172)/2*IF($G$1="鸣金",$AP172,$AN172)+IF($G$1="鸣金",$AQ172*1.5,0))*(1+$BA172)*(1+$BB172)+(($BC172+$BD172)/2*IF($G$1="裂石",$AP172,$AN172)+IF($G$1="裂石",$AQ172*1.5,0))*(1+$BE172)*(1+$BF172)+(($BG172+$BH172)/2*IF($G$1="牵丝",$AP172,$AN172)+IF($G$1="牵丝",$AQ172*1.5,0))*(1+$BI172)*(1+$BJ172)+(($BK172+$BL172)/2*IF($G$1="破竹",$AP172,$AN172)+IF($G$1="破竹",$AQ172*1.5,0))*(1+$BM172)*(1+$BN172))*(1+$AR172)*$BQ172*$Q172*(1+IF(VLOOKUP($R172,武学奇术!$A:$ZZ,30,FALSE)="蓄力技",$B$21,0))*(1+IF(VLOOKUP($R172,武学奇术!$A:$ZZ,30,FALSE)="派生技",$B$20,0))*(1+$BW172)*(1+$BX172)</f>
        <v>0</v>
      </c>
      <c r="N172" s="46">
        <f>(($AU172*$AN172+$AO172)*(1+$AV172)*(1+$AW172)+($AZ172*IF($G$1="鸣金",$AP172,$AN172)+IF($G$1="鸣金",$AQ172*1.5,0))*(1+$BA172)*(1+$BB172)+($BD172*IF($G$1="裂石",$AP172,$AN172)+IF($G$1="裂石",$AQ172*1.5,0))*(1+$BE172)*(1+$BF172)+($BH172*IF($G$1="牵丝",$AP172,$AN172)+IF($G$1="牵丝",$AQ172*1.5,0))*(1+$BI172)*(1+$BJ172)+($BL172*IF($G$1="破竹",$AP172,$AN172)+IF($G$1="破竹",$AQ172*1.5,0))*(1+$BM172)*(1+$BN172))*(1+$AR172)*$BS172*$Q172*(1+IF(VLOOKUP($R172,武学奇术!$A:$ZZ,30,FALSE)="蓄力技",$B$21,0))*(1+IF(VLOOKUP($R172,武学奇术!$A:$ZZ,30,FALSE)="派生技",$B$20,0))*(1+$BW172)*(1+$BX172)</f>
        <v>0</v>
      </c>
      <c r="O172" s="46">
        <f>((($AT172+$AU172)/2*$AN172+$AO172)*(1+$AV172)*(1+$AW172)+(($AY172+$AZ172)/2*IF($G$1="鸣金",$AP172,$AN172)+IF($G$1="鸣金",$AQ172*1.5,0))*(1+$BA172)*(1+$BB172)+(($BC172+$BD172)/2*IF($G$1="裂石",$AP172,$AN172)+IF($G$1="裂石",$AQ172*1.5,0))*(1+$BE172)*(1+$BF172)+(($BG172+$BH172)/2*IF($G$1="牵丝",$AP172,$AN172)+IF($G$1="牵丝",$AQ172*1.5,0))*(1+$BI172)*(1+$BJ172)+(($BK172+$BL172)/2*IF($G$1="破竹",$AP172,$AN172)+IF($G$1="破竹",$AQ172*1.5,0))*(1+$BM172)*(1+$BN172))*(1+$AR172)*$Q172*(1+IF(VLOOKUP($R172,武学奇术!$A:$ZZ,30,FALSE)="蓄力技",$B$21,0))*(1+IF(VLOOKUP($R172,武学奇术!$A:$ZZ,30,FALSE)="派生技",$B$20,0))*(1+$BW172)*(1+$BX172)</f>
        <v>0</v>
      </c>
      <c r="P172" s="46">
        <f>((($AT172*$AN172+$AO172)*(1+$AV172)*(1+$AW172)+($AY172*IF($G$1="鸣金",$AP172,$AN172)+IF($G$1="鸣金",$AQ172*1.5,0))*(1+$BA172)*(1+$BB172)+($BC172*IF($G$1="裂石",$AP172,$AN172)+IF($G$1="裂石",$AQ172*1.5,0))*(1+$BE172)*(1+$BF172)+($BG172*IF($G$1="牵丝",$AP172,$AN172)+IF($G$1="牵丝",$AQ172*1.5,0))*(1+$BI172)*(1+$BJ172)+($BK172*IF($G$1="破竹",$AP172,$AN172)+IF($G$1="破竹",$AQ172*1.5,0))*(1+$BM172)*(1+$BN172))*(1+$AR172))*$Q172*(1+IF(VLOOKUP($R172,武学奇术!$A:$ZZ,30,FALSE)="蓄力技",$B$21,0))*(1+IF(VLOOKUP($R172,武学奇术!$A:$ZZ,30,FALSE)="派生技",$B$20,0))*(1+$BW172)*(1+$BX172)</f>
        <v>0</v>
      </c>
      <c r="Q172" s="47">
        <f t="shared" si="45"/>
        <v>0</v>
      </c>
      <c r="R172" s="48" t="s">
        <v>119</v>
      </c>
      <c r="S172" s="48" t="s">
        <v>99</v>
      </c>
      <c r="T172" s="48" t="s">
        <v>181</v>
      </c>
      <c r="U172" s="48" t="s">
        <v>79</v>
      </c>
      <c r="V172" s="48" t="s">
        <v>80</v>
      </c>
      <c r="W172" s="48" t="s">
        <v>141</v>
      </c>
      <c r="X172" s="48" t="s">
        <v>80</v>
      </c>
      <c r="Y172" s="48" t="s">
        <v>74</v>
      </c>
      <c r="Z172" s="48" t="s">
        <v>80</v>
      </c>
      <c r="AA172" s="48" t="s">
        <v>80</v>
      </c>
      <c r="AB172" s="48" t="s">
        <v>80</v>
      </c>
      <c r="AC172" s="48" t="s">
        <v>80</v>
      </c>
      <c r="AD172" s="48" t="s">
        <v>80</v>
      </c>
      <c r="AE172" s="48" t="s">
        <v>80</v>
      </c>
      <c r="AF172" s="48" t="s">
        <v>83</v>
      </c>
      <c r="AG172" s="48" t="s">
        <v>84</v>
      </c>
      <c r="AH172" s="48" t="s">
        <v>80</v>
      </c>
      <c r="AI172" s="48" t="s">
        <v>80</v>
      </c>
      <c r="AJ172" s="48" t="s">
        <v>80</v>
      </c>
      <c r="AK172" s="48" t="s">
        <v>80</v>
      </c>
      <c r="AL172" s="48" t="s">
        <v>80</v>
      </c>
      <c r="AM172" t="str">
        <f>VLOOKUP($R172,武学奇术!$A:$ZZ,25,FALSE)</f>
        <v>横刀</v>
      </c>
      <c r="AN172" s="33">
        <f>VLOOKUP($R172,武学奇术!$A:$ZZ,26,FALSE)</f>
        <v>2.1324</v>
      </c>
      <c r="AO172" s="34">
        <f>VLOOKUP($R172,武学奇术!$A:$ZZ,27,FALSE)*(1+IF(OR($AM172=$F$4,$AM172=$F$5),$B$22,0))</f>
        <v>944</v>
      </c>
      <c r="AP172" s="33">
        <f>VLOOKUP($R172,武学奇术!$A:$ZZ,28,FALSE)</f>
        <v>3.1986</v>
      </c>
      <c r="AQ172" s="34">
        <f>VLOOKUP($R172,武学奇术!$A:$ZZ,29,FALSE)*(1+IF(OR($AM172=$F$4,$AM172=$F$5),$B$22,0))</f>
        <v>515.2</v>
      </c>
      <c r="AR172" s="33" cm="1">
        <f t="array" ref="AR172">$G$3+IFERROR(VLOOKUP($AM172,$F$4:$G$7,2,FALSE),0)+VLOOKUP($R172,武学奇术!$A:$ZZ,2,FALSE)+SUM(_xlfn.XLOOKUP($S172:$AL172,增益!$A:$A,增益!$B:$B,0))</f>
        <v>0.4489</v>
      </c>
      <c r="AS172" s="33" cm="1">
        <f t="array" ref="AS172">VLOOKUP($R172,武学奇术!$A:$ZZ,5,FALSE)+SUM(_xlfn.XLOOKUP($S172:$AL172,增益!$A:$A,增益!$E:$E,0))</f>
        <v>0</v>
      </c>
      <c r="AT172" cm="1">
        <f t="array" ref="AT172">$D$10*(1+$AS172)+VLOOKUP($R172,武学奇术!$A:$ZZ,3,FALSE)+SUM(_xlfn.XLOOKUP($S172:$AL172,增益!$A:$A,增益!$C:$C,0))-$I$2</f>
        <v>4026</v>
      </c>
      <c r="AU172" cm="1">
        <f t="array" ref="AU172">$E$10*(1+$AS172)+VLOOKUP($R172,武学奇术!$A:$ZZ,4,FALSE)+SUM(_xlfn.XLOOKUP($S172:$AL172,增益!$A:$A,增益!$D:$D,0))-$I$2</f>
        <v>4026</v>
      </c>
      <c r="AV172" s="40" cm="1">
        <f t="array" ref="AV172">IF($F$10-$I$3+VLOOKUP($R172,武学奇术!$A:$ZZ,6,FALSE)+SUM(_xlfn.XLOOKUP($S172:$AL172,增益!$A:$A,增益!$F:$F,0))&gt;0,($F$10-$I$3+VLOOKUP($R172,武学奇术!$A:$ZZ,6,FALSE)+SUM(_xlfn.XLOOKUP($S172:$AL172,增益!$A:$A,增益!$F:$F,0)))/200,($F$10-$I$3+VLOOKUP($R172,武学奇术!$A:$ZZ,6,FALSE)+SUM(_xlfn.XLOOKUP($S172:$AL172,增益!$A:$A,增益!$F:$F,0)))/100)</f>
        <v>0.3534</v>
      </c>
      <c r="AW172" s="40" cm="1">
        <f t="array" ref="AW172">$G$10+VLOOKUP($R172,武学奇术!$A:$ZZ,7,FALSE)+SUM(_xlfn.XLOOKUP($S172:$AL172,增益!$A:$A,增益!$G:$G,0))</f>
        <v>0.12</v>
      </c>
      <c r="AX172" s="33" cm="1">
        <f t="array" ref="AX172">VLOOKUP($R172,武学奇术!$A:$ZZ,8,FALSE)+SUM(_xlfn.XLOOKUP($S172:$AL172,增益!$A:$A,增益!$H:$H,0))</f>
        <v>0</v>
      </c>
      <c r="AY172">
        <f t="shared" si="34"/>
        <v>0</v>
      </c>
      <c r="AZ172">
        <f t="shared" si="35"/>
        <v>0</v>
      </c>
      <c r="BA172" s="40" cm="1">
        <f t="array" ref="BA172">IF($F$11-$I$4+VLOOKUP($R172,武学奇术!$A:$ZZ,9,FALSE)+SUM(_xlfn.XLOOKUP($S172:$AL172,增益!$A:$A,增益!$I:$I,0))&gt;0,($F$11-$I$4+VLOOKUP($R172,武学奇术!$A:$ZZ,9,FALSE)+SUM(_xlfn.XLOOKUP($S172:$AL172,增益!$A:$A,增益!$I:$I,0)))/200,($F$11-$I$4+VLOOKUP($R172,武学奇术!$A:$ZZ,9,FALSE)+SUM(_xlfn.XLOOKUP($S172:$AL172,增益!$A:$A,增益!$I:$I,0)))/100)</f>
        <v>-0.3</v>
      </c>
      <c r="BB172" s="40" cm="1">
        <f t="array" ref="BB172">$G$11+VLOOKUP($R172,武学奇术!$A:$ZZ,10,FALSE)+SUM(_xlfn.XLOOKUP($S172:$AL172,增益!$A:$A,增益!$J:$J,0))</f>
        <v>0</v>
      </c>
      <c r="BC172">
        <f t="shared" si="36"/>
        <v>640.3</v>
      </c>
      <c r="BD172">
        <f t="shared" si="37"/>
        <v>1770.1</v>
      </c>
      <c r="BE172" s="40" cm="1">
        <f t="array" ref="BE172">IF($F$12-$I$4+VLOOKUP($R172,武学奇术!$A:$ZZ,11,FALSE)+SUM(_xlfn.XLOOKUP($S172:$AL172,增益!$A:$A,增益!$K:$K,0))&gt;0,($F$12-$I$4+VLOOKUP($R172,武学奇术!$A:$ZZ,11,FALSE)+SUM(_xlfn.XLOOKUP($S172:$AL172,增益!$A:$A,增益!$K:$K,0)))/200,($F$12-$I$4+VLOOKUP($R172,武学奇术!$A:$ZZ,11,FALSE)+SUM(_xlfn.XLOOKUP($S172:$AL172,增益!$A:$A,增益!$K:$K,0)))/100)</f>
        <v>0.09</v>
      </c>
      <c r="BF172" s="40" cm="1">
        <f t="array" ref="BF172">$G$12+VLOOKUP($R172,武学奇术!$A:$ZZ,12,FALSE)+SUM(_xlfn.XLOOKUP($S172:$AL172,增益!$A:$A,增益!$L:$L,0))</f>
        <v>0.27</v>
      </c>
      <c r="BG172">
        <f t="shared" si="38"/>
        <v>0</v>
      </c>
      <c r="BH172">
        <f t="shared" si="39"/>
        <v>0</v>
      </c>
      <c r="BI172" s="40" cm="1">
        <f t="array" ref="BI172">IF($F$13-$I$4+VLOOKUP($R172,武学奇术!$A:$ZZ,13,FALSE)+SUM(_xlfn.XLOOKUP($S172:$AL172,增益!$A:$A,增益!$M:$M,0))&gt;0,($F$13-$I$4+VLOOKUP($R172,武学奇术!$A:$ZZ,13,FALSE)+SUM(_xlfn.XLOOKUP($S172:$AL172,增益!$A:$A,增益!$K:$K,0)))/200,($F$13-$I$4+VLOOKUP($R172,武学奇术!$A:$ZZ,13,FALSE)+SUM(_xlfn.XLOOKUP($S172:$AL172,增益!$A:$A,增益!$M:$M,0)))/100)</f>
        <v>-0.3</v>
      </c>
      <c r="BJ172" s="40" cm="1">
        <f t="array" ref="BJ172">$G$13+VLOOKUP($R172,武学奇术!$A:$ZZ,14,FALSE)+SUM(_xlfn.XLOOKUP($S172:$AL172,增益!$A:$A,增益!$N:$N,0))</f>
        <v>0</v>
      </c>
      <c r="BK172">
        <f t="shared" si="40"/>
        <v>0</v>
      </c>
      <c r="BL172">
        <f t="shared" si="41"/>
        <v>0</v>
      </c>
      <c r="BM172" s="40" cm="1">
        <f t="array" ref="BM172">IF($F$14-$I$4+VLOOKUP($R172,武学奇术!$A:$ZZ,15,FALSE)+SUM(_xlfn.XLOOKUP($S172:$AL172,增益!$A:$A,增益!$O:$O,0))&gt;0,($F$14-$I$4+VLOOKUP($R172,武学奇术!$A:$ZZ,15,FALSE)+SUM(_xlfn.XLOOKUP($S172:$AL172,增益!$A:$A,增益!$O:$O,0)))/200,($F$14-$I$4+VLOOKUP($R172,武学奇术!$A:$ZZ,15,FALSE)+SUM(_xlfn.XLOOKUP($S172:$AL172,增益!$A:$A,增益!$O:$O,0)))/100)</f>
        <v>-0.3</v>
      </c>
      <c r="BN172" s="40" cm="1">
        <f t="array" ref="BN172">$G$14+VLOOKUP($R172,武学奇术!$A:$ZZ,16,FALSE)+SUM(_xlfn.XLOOKUP($S172:$AL172,增益!$A:$A,增益!$P:$P,0))</f>
        <v>0</v>
      </c>
      <c r="BO172" s="33">
        <f>MIN(IF(VLOOKUP($R172,武学奇术!$A:$ZZ,23,FALSE)=1,100%,$B$8),100%)</f>
        <v>0.9771</v>
      </c>
      <c r="BP172" s="33" cm="1">
        <f t="array" ref="BP172">IF(VLOOKUP($R172,武学奇术!$A:$ZZ,23,FALSE)=1,100%,MIN(80%,$B$9+VLOOKUP($R172,武学奇术!$A:$ZZ,17,FALSE)+SUM(_xlfn.XLOOKUP($S172:$AL172,增益!$A:$A,增益!$Q:$Q,0)))+$B$11+SUM(_xlfn.XLOOKUP($S172:$AL172,增益!$A:$A,增益!$U:$U,0)))*IF(VLOOKUP($R172,武学奇术!$A:$ZZ,24,FALSE)=1,0,1)</f>
        <v>0.8861</v>
      </c>
      <c r="BQ172" s="33" cm="1">
        <f t="array" ref="BQ172">1+$B$13+VLOOKUP($R172,武学奇术!$A:$ZZ,18,FALSE)+SUM(_xlfn.XLOOKUP($S172:$AL172,增益!$A:$A,增益!$R:$R,0))</f>
        <v>1.99</v>
      </c>
      <c r="BR172" s="33" cm="1">
        <f t="array" ref="BR172">IF(VLOOKUP($R172,武学奇术!$A:$ZZ,24,FALSE)=1,100%,MIN(40%,$B$10+VLOOKUP($R172,武学奇术!$A:$ZZ,19,FALSE)+SUM(_xlfn.XLOOKUP($S172:$AL172,增益!$A:$A,增益!$S:$S,0)))+$B$12+SUM(_xlfn.XLOOKUP($S172:$AL172,增益!$A:$A,增益!$V:$V,0)))*IF(VLOOKUP($R172,武学奇术!$A:$ZZ,23,FALSE)=1,0,1)</f>
        <v>0.0913</v>
      </c>
      <c r="BS172" s="33" cm="1">
        <f t="array" ref="BS172">1+$B$14+VLOOKUP($R172,武学奇术!$A:$ZZ,20,FALSE)+SUM(_xlfn.XLOOKUP($S172:$AL172,增益!$A:$A,增益!$T:$T,0))</f>
        <v>1.35</v>
      </c>
      <c r="BT172" s="33">
        <f t="shared" si="42"/>
        <v>0.86580831</v>
      </c>
      <c r="BU172" s="33">
        <f t="shared" si="43"/>
        <v>0.02208246</v>
      </c>
      <c r="BV172" s="33">
        <f>IF(VLOOKUP($R172,武学奇术!$A:$ZZ,22,FALSE)=1,0,(1-$BO172))*(1-$BR172)</f>
        <v>0.02080923</v>
      </c>
      <c r="BW172" s="33" cm="1">
        <f t="array" ref="BW172">SUM(_xlfn.XLOOKUP($S172:$AL172,增益!$A:$A,增益!$W:$W,0))+$I$5</f>
        <v>0.11</v>
      </c>
      <c r="BX172" s="33" cm="1">
        <f t="array" ref="BX172">VLOOKUP($R172,武学奇术!$A:$ZZ,32,FALSE)+SUM(_xlfn.XLOOKUP($S172:$AL172,增益!$A:$A,增益!$X:$X,0))</f>
        <v>0</v>
      </c>
    </row>
    <row r="173" spans="12:76">
      <c r="L173" s="46">
        <f t="shared" si="33"/>
        <v>0</v>
      </c>
      <c r="M173" s="46">
        <f>((($AT173+$AU173)/2*$AN173+$AO173)*(1+$AV173)*(1+$AW173)+(($AY173+$AZ173)/2*IF($G$1="鸣金",$AP173,$AN173)+IF($G$1="鸣金",$AQ173*1.5,0))*(1+$BA173)*(1+$BB173)+(($BC173+$BD173)/2*IF($G$1="裂石",$AP173,$AN173)+IF($G$1="裂石",$AQ173*1.5,0))*(1+$BE173)*(1+$BF173)+(($BG173+$BH173)/2*IF($G$1="牵丝",$AP173,$AN173)+IF($G$1="牵丝",$AQ173*1.5,0))*(1+$BI173)*(1+$BJ173)+(($BK173+$BL173)/2*IF($G$1="破竹",$AP173,$AN173)+IF($G$1="破竹",$AQ173*1.5,0))*(1+$BM173)*(1+$BN173))*(1+$AR173)*$BQ173*$Q173*(1+IF(VLOOKUP($R173,武学奇术!$A:$ZZ,30,FALSE)="蓄力技",$B$21,0))*(1+IF(VLOOKUP($R173,武学奇术!$A:$ZZ,30,FALSE)="派生技",$B$20,0))*(1+$BW173)*(1+$BX173)</f>
        <v>0</v>
      </c>
      <c r="N173" s="46">
        <f>(($AU173*$AN173+$AO173)*(1+$AV173)*(1+$AW173)+($AZ173*IF($G$1="鸣金",$AP173,$AN173)+IF($G$1="鸣金",$AQ173*1.5,0))*(1+$BA173)*(1+$BB173)+($BD173*IF($G$1="裂石",$AP173,$AN173)+IF($G$1="裂石",$AQ173*1.5,0))*(1+$BE173)*(1+$BF173)+($BH173*IF($G$1="牵丝",$AP173,$AN173)+IF($G$1="牵丝",$AQ173*1.5,0))*(1+$BI173)*(1+$BJ173)+($BL173*IF($G$1="破竹",$AP173,$AN173)+IF($G$1="破竹",$AQ173*1.5,0))*(1+$BM173)*(1+$BN173))*(1+$AR173)*$BS173*$Q173*(1+IF(VLOOKUP($R173,武学奇术!$A:$ZZ,30,FALSE)="蓄力技",$B$21,0))*(1+IF(VLOOKUP($R173,武学奇术!$A:$ZZ,30,FALSE)="派生技",$B$20,0))*(1+$BW173)*(1+$BX173)</f>
        <v>0</v>
      </c>
      <c r="O173" s="46">
        <f>((($AT173+$AU173)/2*$AN173+$AO173)*(1+$AV173)*(1+$AW173)+(($AY173+$AZ173)/2*IF($G$1="鸣金",$AP173,$AN173)+IF($G$1="鸣金",$AQ173*1.5,0))*(1+$BA173)*(1+$BB173)+(($BC173+$BD173)/2*IF($G$1="裂石",$AP173,$AN173)+IF($G$1="裂石",$AQ173*1.5,0))*(1+$BE173)*(1+$BF173)+(($BG173+$BH173)/2*IF($G$1="牵丝",$AP173,$AN173)+IF($G$1="牵丝",$AQ173*1.5,0))*(1+$BI173)*(1+$BJ173)+(($BK173+$BL173)/2*IF($G$1="破竹",$AP173,$AN173)+IF($G$1="破竹",$AQ173*1.5,0))*(1+$BM173)*(1+$BN173))*(1+$AR173)*$Q173*(1+IF(VLOOKUP($R173,武学奇术!$A:$ZZ,30,FALSE)="蓄力技",$B$21,0))*(1+IF(VLOOKUP($R173,武学奇术!$A:$ZZ,30,FALSE)="派生技",$B$20,0))*(1+$BW173)*(1+$BX173)</f>
        <v>0</v>
      </c>
      <c r="P173" s="46">
        <f>((($AT173*$AN173+$AO173)*(1+$AV173)*(1+$AW173)+($AY173*IF($G$1="鸣金",$AP173,$AN173)+IF($G$1="鸣金",$AQ173*1.5,0))*(1+$BA173)*(1+$BB173)+($BC173*IF($G$1="裂石",$AP173,$AN173)+IF($G$1="裂石",$AQ173*1.5,0))*(1+$BE173)*(1+$BF173)+($BG173*IF($G$1="牵丝",$AP173,$AN173)+IF($G$1="牵丝",$AQ173*1.5,0))*(1+$BI173)*(1+$BJ173)+($BK173*IF($G$1="破竹",$AP173,$AN173)+IF($G$1="破竹",$AQ173*1.5,0))*(1+$BM173)*(1+$BN173))*(1+$AR173))*$Q173*(1+IF(VLOOKUP($R173,武学奇术!$A:$ZZ,30,FALSE)="蓄力技",$B$21,0))*(1+IF(VLOOKUP($R173,武学奇术!$A:$ZZ,30,FALSE)="派生技",$B$20,0))*(1+$BW173)*(1+$BX173)</f>
        <v>0</v>
      </c>
      <c r="Q173" s="47">
        <f t="shared" si="45"/>
        <v>0</v>
      </c>
      <c r="R173" s="48" t="s">
        <v>122</v>
      </c>
      <c r="S173" s="48" t="s">
        <v>99</v>
      </c>
      <c r="T173" s="48" t="s">
        <v>181</v>
      </c>
      <c r="U173" s="48" t="s">
        <v>79</v>
      </c>
      <c r="V173" s="48" t="s">
        <v>90</v>
      </c>
      <c r="W173" s="48" t="s">
        <v>141</v>
      </c>
      <c r="X173" s="48" t="s">
        <v>80</v>
      </c>
      <c r="Y173" s="48" t="s">
        <v>74</v>
      </c>
      <c r="Z173" s="48" t="s">
        <v>80</v>
      </c>
      <c r="AA173" s="48" t="s">
        <v>80</v>
      </c>
      <c r="AB173" s="48" t="s">
        <v>80</v>
      </c>
      <c r="AC173" s="48" t="s">
        <v>80</v>
      </c>
      <c r="AD173" s="48" t="s">
        <v>80</v>
      </c>
      <c r="AE173" s="48" t="s">
        <v>80</v>
      </c>
      <c r="AF173" s="48" t="s">
        <v>83</v>
      </c>
      <c r="AG173" s="48" t="s">
        <v>84</v>
      </c>
      <c r="AH173" s="48" t="s">
        <v>80</v>
      </c>
      <c r="AI173" s="48" t="s">
        <v>80</v>
      </c>
      <c r="AJ173" s="48" t="s">
        <v>80</v>
      </c>
      <c r="AK173" s="48" t="s">
        <v>80</v>
      </c>
      <c r="AL173" s="48" t="s">
        <v>80</v>
      </c>
      <c r="AM173" t="str">
        <f>VLOOKUP($R173,武学奇术!$A:$ZZ,25,FALSE)</f>
        <v>横刀</v>
      </c>
      <c r="AN173" s="33">
        <f>VLOOKUP($R173,武学奇术!$A:$ZZ,26,FALSE)</f>
        <v>1.47</v>
      </c>
      <c r="AO173" s="34">
        <f>VLOOKUP($R173,武学奇术!$A:$ZZ,27,FALSE)*(1+IF(OR($AM173=$F$4,$AM173=$F$5),$B$22,0))</f>
        <v>0</v>
      </c>
      <c r="AP173" s="33">
        <f>VLOOKUP($R173,武学奇术!$A:$ZZ,28,FALSE)</f>
        <v>2.205</v>
      </c>
      <c r="AQ173" s="34">
        <f>VLOOKUP($R173,武学奇术!$A:$ZZ,29,FALSE)*(1+IF(OR($AM173=$F$4,$AM173=$F$5),$B$22,0))</f>
        <v>0</v>
      </c>
      <c r="AR173" s="33" cm="1">
        <f t="array" ref="AR173">$G$3+IFERROR(VLOOKUP($AM173,$F$4:$G$7,2,FALSE),0)+VLOOKUP($R173,武学奇术!$A:$ZZ,2,FALSE)+SUM(_xlfn.XLOOKUP($S173:$AL173,增益!$A:$A,增益!$B:$B,0))</f>
        <v>0.5289</v>
      </c>
      <c r="AS173" s="33" cm="1">
        <f t="array" ref="AS173">VLOOKUP($R173,武学奇术!$A:$ZZ,5,FALSE)+SUM(_xlfn.XLOOKUP($S173:$AL173,增益!$A:$A,增益!$E:$E,0))</f>
        <v>0</v>
      </c>
      <c r="AT173" cm="1">
        <f t="array" ref="AT173">$D$10*(1+$AS173)+VLOOKUP($R173,武学奇术!$A:$ZZ,3,FALSE)+SUM(_xlfn.XLOOKUP($S173:$AL173,增益!$A:$A,增益!$C:$C,0))-$I$2</f>
        <v>4026</v>
      </c>
      <c r="AU173" cm="1">
        <f t="array" ref="AU173">$E$10*(1+$AS173)+VLOOKUP($R173,武学奇术!$A:$ZZ,4,FALSE)+SUM(_xlfn.XLOOKUP($S173:$AL173,增益!$A:$A,增益!$D:$D,0))-$I$2</f>
        <v>4026</v>
      </c>
      <c r="AV173" s="40" cm="1">
        <f t="array" ref="AV173">IF($F$10-$I$3+VLOOKUP($R173,武学奇术!$A:$ZZ,6,FALSE)+SUM(_xlfn.XLOOKUP($S173:$AL173,增益!$A:$A,增益!$F:$F,0))&gt;0,($F$10-$I$3+VLOOKUP($R173,武学奇术!$A:$ZZ,6,FALSE)+SUM(_xlfn.XLOOKUP($S173:$AL173,增益!$A:$A,增益!$F:$F,0)))/200,($F$10-$I$3+VLOOKUP($R173,武学奇术!$A:$ZZ,6,FALSE)+SUM(_xlfn.XLOOKUP($S173:$AL173,增益!$A:$A,增益!$F:$F,0)))/100)</f>
        <v>0.3534</v>
      </c>
      <c r="AW173" s="40" cm="1">
        <f t="array" ref="AW173">$G$10+VLOOKUP($R173,武学奇术!$A:$ZZ,7,FALSE)+SUM(_xlfn.XLOOKUP($S173:$AL173,增益!$A:$A,增益!$G:$G,0))</f>
        <v>0.12</v>
      </c>
      <c r="AX173" s="33" cm="1">
        <f t="array" ref="AX173">VLOOKUP($R173,武学奇术!$A:$ZZ,8,FALSE)+SUM(_xlfn.XLOOKUP($S173:$AL173,增益!$A:$A,增益!$H:$H,0))</f>
        <v>0</v>
      </c>
      <c r="AY173">
        <f t="shared" si="34"/>
        <v>0</v>
      </c>
      <c r="AZ173">
        <f t="shared" si="35"/>
        <v>0</v>
      </c>
      <c r="BA173" s="40" cm="1">
        <f t="array" ref="BA173">IF($F$11-$I$4+VLOOKUP($R173,武学奇术!$A:$ZZ,9,FALSE)+SUM(_xlfn.XLOOKUP($S173:$AL173,增益!$A:$A,增益!$I:$I,0))&gt;0,($F$11-$I$4+VLOOKUP($R173,武学奇术!$A:$ZZ,9,FALSE)+SUM(_xlfn.XLOOKUP($S173:$AL173,增益!$A:$A,增益!$I:$I,0)))/200,($F$11-$I$4+VLOOKUP($R173,武学奇术!$A:$ZZ,9,FALSE)+SUM(_xlfn.XLOOKUP($S173:$AL173,增益!$A:$A,增益!$I:$I,0)))/100)</f>
        <v>-0.14</v>
      </c>
      <c r="BB173" s="40" cm="1">
        <f t="array" ref="BB173">$G$11+VLOOKUP($R173,武学奇术!$A:$ZZ,10,FALSE)+SUM(_xlfn.XLOOKUP($S173:$AL173,增益!$A:$A,增益!$J:$J,0))</f>
        <v>0</v>
      </c>
      <c r="BC173">
        <f t="shared" si="36"/>
        <v>640.3</v>
      </c>
      <c r="BD173">
        <f t="shared" si="37"/>
        <v>1770.1</v>
      </c>
      <c r="BE173" s="40" cm="1">
        <f t="array" ref="BE173">IF($F$12-$I$4+VLOOKUP($R173,武学奇术!$A:$ZZ,11,FALSE)+SUM(_xlfn.XLOOKUP($S173:$AL173,增益!$A:$A,增益!$K:$K,0))&gt;0,($F$12-$I$4+VLOOKUP($R173,武学奇术!$A:$ZZ,11,FALSE)+SUM(_xlfn.XLOOKUP($S173:$AL173,增益!$A:$A,增益!$K:$K,0)))/200,($F$12-$I$4+VLOOKUP($R173,武学奇术!$A:$ZZ,11,FALSE)+SUM(_xlfn.XLOOKUP($S173:$AL173,增益!$A:$A,增益!$K:$K,0)))/100)</f>
        <v>0.17</v>
      </c>
      <c r="BF173" s="40" cm="1">
        <f t="array" ref="BF173">$G$12+VLOOKUP($R173,武学奇术!$A:$ZZ,12,FALSE)+SUM(_xlfn.XLOOKUP($S173:$AL173,增益!$A:$A,增益!$L:$L,0))</f>
        <v>0.27</v>
      </c>
      <c r="BG173">
        <f t="shared" si="38"/>
        <v>0</v>
      </c>
      <c r="BH173">
        <f t="shared" si="39"/>
        <v>0</v>
      </c>
      <c r="BI173" s="40" cm="1">
        <f t="array" ref="BI173">IF($F$13-$I$4+VLOOKUP($R173,武学奇术!$A:$ZZ,13,FALSE)+SUM(_xlfn.XLOOKUP($S173:$AL173,增益!$A:$A,增益!$M:$M,0))&gt;0,($F$13-$I$4+VLOOKUP($R173,武学奇术!$A:$ZZ,13,FALSE)+SUM(_xlfn.XLOOKUP($S173:$AL173,增益!$A:$A,增益!$K:$K,0)))/200,($F$13-$I$4+VLOOKUP($R173,武学奇术!$A:$ZZ,13,FALSE)+SUM(_xlfn.XLOOKUP($S173:$AL173,增益!$A:$A,增益!$M:$M,0)))/100)</f>
        <v>-0.14</v>
      </c>
      <c r="BJ173" s="40" cm="1">
        <f t="array" ref="BJ173">$G$13+VLOOKUP($R173,武学奇术!$A:$ZZ,14,FALSE)+SUM(_xlfn.XLOOKUP($S173:$AL173,增益!$A:$A,增益!$N:$N,0))</f>
        <v>0</v>
      </c>
      <c r="BK173">
        <f t="shared" si="40"/>
        <v>0</v>
      </c>
      <c r="BL173">
        <f t="shared" si="41"/>
        <v>0</v>
      </c>
      <c r="BM173" s="40" cm="1">
        <f t="array" ref="BM173">IF($F$14-$I$4+VLOOKUP($R173,武学奇术!$A:$ZZ,15,FALSE)+SUM(_xlfn.XLOOKUP($S173:$AL173,增益!$A:$A,增益!$O:$O,0))&gt;0,($F$14-$I$4+VLOOKUP($R173,武学奇术!$A:$ZZ,15,FALSE)+SUM(_xlfn.XLOOKUP($S173:$AL173,增益!$A:$A,增益!$O:$O,0)))/200,($F$14-$I$4+VLOOKUP($R173,武学奇术!$A:$ZZ,15,FALSE)+SUM(_xlfn.XLOOKUP($S173:$AL173,增益!$A:$A,增益!$O:$O,0)))/100)</f>
        <v>-0.14</v>
      </c>
      <c r="BN173" s="40" cm="1">
        <f t="array" ref="BN173">$G$14+VLOOKUP($R173,武学奇术!$A:$ZZ,16,FALSE)+SUM(_xlfn.XLOOKUP($S173:$AL173,增益!$A:$A,增益!$P:$P,0))</f>
        <v>0</v>
      </c>
      <c r="BO173" s="33">
        <f>MIN(IF(VLOOKUP($R173,武学奇术!$A:$ZZ,23,FALSE)=1,100%,$B$8),100%)</f>
        <v>0.9771</v>
      </c>
      <c r="BP173" s="33" cm="1">
        <f t="array" ref="BP173">IF(VLOOKUP($R173,武学奇术!$A:$ZZ,23,FALSE)=1,100%,MIN(80%,$B$9+VLOOKUP($R173,武学奇术!$A:$ZZ,17,FALSE)+SUM(_xlfn.XLOOKUP($S173:$AL173,增益!$A:$A,增益!$Q:$Q,0)))+$B$11+SUM(_xlfn.XLOOKUP($S173:$AL173,增益!$A:$A,增益!$U:$U,0)))*IF(VLOOKUP($R173,武学奇术!$A:$ZZ,24,FALSE)=1,0,1)</f>
        <v>0.8861</v>
      </c>
      <c r="BQ173" s="33" cm="1">
        <f t="array" ref="BQ173">1+$B$13+VLOOKUP($R173,武学奇术!$A:$ZZ,18,FALSE)+SUM(_xlfn.XLOOKUP($S173:$AL173,增益!$A:$A,增益!$R:$R,0))</f>
        <v>1.99</v>
      </c>
      <c r="BR173" s="33" cm="1">
        <f t="array" ref="BR173">IF(VLOOKUP($R173,武学奇术!$A:$ZZ,24,FALSE)=1,100%,MIN(40%,$B$10+VLOOKUP($R173,武学奇术!$A:$ZZ,19,FALSE)+SUM(_xlfn.XLOOKUP($S173:$AL173,增益!$A:$A,增益!$S:$S,0)))+$B$12+SUM(_xlfn.XLOOKUP($S173:$AL173,增益!$A:$A,增益!$V:$V,0)))*IF(VLOOKUP($R173,武学奇术!$A:$ZZ,23,FALSE)=1,0,1)</f>
        <v>0.0913</v>
      </c>
      <c r="BS173" s="33" cm="1">
        <f t="array" ref="BS173">1+$B$14+VLOOKUP($R173,武学奇术!$A:$ZZ,20,FALSE)+SUM(_xlfn.XLOOKUP($S173:$AL173,增益!$A:$A,增益!$T:$T,0))</f>
        <v>1.35</v>
      </c>
      <c r="BT173" s="33">
        <f t="shared" si="42"/>
        <v>0.86580831</v>
      </c>
      <c r="BU173" s="33">
        <f t="shared" si="43"/>
        <v>0.02208246</v>
      </c>
      <c r="BV173" s="33">
        <f>IF(VLOOKUP($R173,武学奇术!$A:$ZZ,22,FALSE)=1,0,(1-$BO173))*(1-$BR173)</f>
        <v>0.02080923</v>
      </c>
      <c r="BW173" s="33" cm="1">
        <f t="array" ref="BW173">SUM(_xlfn.XLOOKUP($S173:$AL173,增益!$A:$A,增益!$W:$W,0))+$I$5</f>
        <v>0.11</v>
      </c>
      <c r="BX173" s="33" cm="1">
        <f t="array" ref="BX173">VLOOKUP($R173,武学奇术!$A:$ZZ,32,FALSE)+SUM(_xlfn.XLOOKUP($S173:$AL173,增益!$A:$A,增益!$X:$X,0))</f>
        <v>0</v>
      </c>
    </row>
    <row r="174" spans="12:76">
      <c r="L174" s="46">
        <f t="shared" si="33"/>
        <v>0</v>
      </c>
      <c r="M174" s="46">
        <f>((($AT174+$AU174)/2*$AN174+$AO174)*(1+$AV174)*(1+$AW174)+(($AY174+$AZ174)/2*IF($G$1="鸣金",$AP174,$AN174)+IF($G$1="鸣金",$AQ174*1.5,0))*(1+$BA174)*(1+$BB174)+(($BC174+$BD174)/2*IF($G$1="裂石",$AP174,$AN174)+IF($G$1="裂石",$AQ174*1.5,0))*(1+$BE174)*(1+$BF174)+(($BG174+$BH174)/2*IF($G$1="牵丝",$AP174,$AN174)+IF($G$1="牵丝",$AQ174*1.5,0))*(1+$BI174)*(1+$BJ174)+(($BK174+$BL174)/2*IF($G$1="破竹",$AP174,$AN174)+IF($G$1="破竹",$AQ174*1.5,0))*(1+$BM174)*(1+$BN174))*(1+$AR174)*$BQ174*$Q174*(1+IF(VLOOKUP($R174,武学奇术!$A:$ZZ,30,FALSE)="蓄力技",$B$21,0))*(1+IF(VLOOKUP($R174,武学奇术!$A:$ZZ,30,FALSE)="派生技",$B$20,0))*(1+$BW174)*(1+$BX174)</f>
        <v>0</v>
      </c>
      <c r="N174" s="46">
        <f>(($AU174*$AN174+$AO174)*(1+$AV174)*(1+$AW174)+($AZ174*IF($G$1="鸣金",$AP174,$AN174)+IF($G$1="鸣金",$AQ174*1.5,0))*(1+$BA174)*(1+$BB174)+($BD174*IF($G$1="裂石",$AP174,$AN174)+IF($G$1="裂石",$AQ174*1.5,0))*(1+$BE174)*(1+$BF174)+($BH174*IF($G$1="牵丝",$AP174,$AN174)+IF($G$1="牵丝",$AQ174*1.5,0))*(1+$BI174)*(1+$BJ174)+($BL174*IF($G$1="破竹",$AP174,$AN174)+IF($G$1="破竹",$AQ174*1.5,0))*(1+$BM174)*(1+$BN174))*(1+$AR174)*$BS174*$Q174*(1+IF(VLOOKUP($R174,武学奇术!$A:$ZZ,30,FALSE)="蓄力技",$B$21,0))*(1+IF(VLOOKUP($R174,武学奇术!$A:$ZZ,30,FALSE)="派生技",$B$20,0))*(1+$BW174)*(1+$BX174)</f>
        <v>0</v>
      </c>
      <c r="O174" s="46">
        <f>((($AT174+$AU174)/2*$AN174+$AO174)*(1+$AV174)*(1+$AW174)+(($AY174+$AZ174)/2*IF($G$1="鸣金",$AP174,$AN174)+IF($G$1="鸣金",$AQ174*1.5,0))*(1+$BA174)*(1+$BB174)+(($BC174+$BD174)/2*IF($G$1="裂石",$AP174,$AN174)+IF($G$1="裂石",$AQ174*1.5,0))*(1+$BE174)*(1+$BF174)+(($BG174+$BH174)/2*IF($G$1="牵丝",$AP174,$AN174)+IF($G$1="牵丝",$AQ174*1.5,0))*(1+$BI174)*(1+$BJ174)+(($BK174+$BL174)/2*IF($G$1="破竹",$AP174,$AN174)+IF($G$1="破竹",$AQ174*1.5,0))*(1+$BM174)*(1+$BN174))*(1+$AR174)*$Q174*(1+IF(VLOOKUP($R174,武学奇术!$A:$ZZ,30,FALSE)="蓄力技",$B$21,0))*(1+IF(VLOOKUP($R174,武学奇术!$A:$ZZ,30,FALSE)="派生技",$B$20,0))*(1+$BW174)*(1+$BX174)</f>
        <v>0</v>
      </c>
      <c r="P174" s="46">
        <f>((($AT174*$AN174+$AO174)*(1+$AV174)*(1+$AW174)+($AY174*IF($G$1="鸣金",$AP174,$AN174)+IF($G$1="鸣金",$AQ174*1.5,0))*(1+$BA174)*(1+$BB174)+($BC174*IF($G$1="裂石",$AP174,$AN174)+IF($G$1="裂石",$AQ174*1.5,0))*(1+$BE174)*(1+$BF174)+($BG174*IF($G$1="牵丝",$AP174,$AN174)+IF($G$1="牵丝",$AQ174*1.5,0))*(1+$BI174)*(1+$BJ174)+($BK174*IF($G$1="破竹",$AP174,$AN174)+IF($G$1="破竹",$AQ174*1.5,0))*(1+$BM174)*(1+$BN174))*(1+$AR174))*$Q174*(1+IF(VLOOKUP($R174,武学奇术!$A:$ZZ,30,FALSE)="蓄力技",$B$21,0))*(1+IF(VLOOKUP($R174,武学奇术!$A:$ZZ,30,FALSE)="派生技",$B$20,0))*(1+$BW174)*(1+$BX174)</f>
        <v>0</v>
      </c>
      <c r="Q174" s="47">
        <f t="shared" si="45"/>
        <v>0</v>
      </c>
      <c r="R174" s="48" t="s">
        <v>195</v>
      </c>
      <c r="S174" s="48" t="s">
        <v>99</v>
      </c>
      <c r="T174" s="48" t="s">
        <v>181</v>
      </c>
      <c r="U174" s="48" t="s">
        <v>79</v>
      </c>
      <c r="V174" s="48" t="s">
        <v>90</v>
      </c>
      <c r="W174" s="48" t="s">
        <v>141</v>
      </c>
      <c r="X174" s="48" t="s">
        <v>80</v>
      </c>
      <c r="Y174" s="48" t="s">
        <v>74</v>
      </c>
      <c r="Z174" s="48" t="s">
        <v>80</v>
      </c>
      <c r="AA174" s="48" t="s">
        <v>80</v>
      </c>
      <c r="AB174" s="48" t="s">
        <v>80</v>
      </c>
      <c r="AC174" s="48" t="s">
        <v>80</v>
      </c>
      <c r="AD174" s="48" t="s">
        <v>80</v>
      </c>
      <c r="AE174" s="48" t="s">
        <v>80</v>
      </c>
      <c r="AF174" s="48" t="s">
        <v>83</v>
      </c>
      <c r="AG174" s="48" t="s">
        <v>84</v>
      </c>
      <c r="AH174" s="48" t="s">
        <v>80</v>
      </c>
      <c r="AI174" s="48" t="s">
        <v>80</v>
      </c>
      <c r="AJ174" s="48" t="s">
        <v>80</v>
      </c>
      <c r="AK174" s="48" t="s">
        <v>80</v>
      </c>
      <c r="AL174" s="48" t="s">
        <v>80</v>
      </c>
      <c r="AM174" t="str">
        <f>VLOOKUP($R174,武学奇术!$A:$ZZ,25,FALSE)</f>
        <v>横刀</v>
      </c>
      <c r="AN174" s="33">
        <f>VLOOKUP($R174,武学奇术!$A:$ZZ,26,FALSE)</f>
        <v>3.6553</v>
      </c>
      <c r="AO174" s="34">
        <f>VLOOKUP($R174,武学奇术!$A:$ZZ,27,FALSE)*(1+IF(OR($AM174=$F$4,$AM174=$F$5),$B$22,0))</f>
        <v>1619.2</v>
      </c>
      <c r="AP174" s="33">
        <f>VLOOKUP($R174,武学奇术!$A:$ZZ,28,FALSE)</f>
        <v>5.4829</v>
      </c>
      <c r="AQ174" s="34">
        <f>VLOOKUP($R174,武学奇术!$A:$ZZ,29,FALSE)*(1+IF(OR($AM174=$F$4,$AM174=$F$5),$B$22,0))</f>
        <v>880</v>
      </c>
      <c r="AR174" s="33" cm="1">
        <f t="array" ref="AR174">$G$3+IFERROR(VLOOKUP($AM174,$F$4:$G$7,2,FALSE),0)+VLOOKUP($R174,武学奇术!$A:$ZZ,2,FALSE)+SUM(_xlfn.XLOOKUP($S174:$AL174,增益!$A:$A,增益!$B:$B,0))</f>
        <v>0.6289</v>
      </c>
      <c r="AS174" s="33" cm="1">
        <f t="array" ref="AS174">VLOOKUP($R174,武学奇术!$A:$ZZ,5,FALSE)+SUM(_xlfn.XLOOKUP($S174:$AL174,增益!$A:$A,增益!$E:$E,0))</f>
        <v>0</v>
      </c>
      <c r="AT174" cm="1">
        <f t="array" ref="AT174">$D$10*(1+$AS174)+VLOOKUP($R174,武学奇术!$A:$ZZ,3,FALSE)+SUM(_xlfn.XLOOKUP($S174:$AL174,增益!$A:$A,增益!$C:$C,0))-$I$2</f>
        <v>4026</v>
      </c>
      <c r="AU174" cm="1">
        <f t="array" ref="AU174">$E$10*(1+$AS174)+VLOOKUP($R174,武学奇术!$A:$ZZ,4,FALSE)+SUM(_xlfn.XLOOKUP($S174:$AL174,增益!$A:$A,增益!$D:$D,0))-$I$2</f>
        <v>4026</v>
      </c>
      <c r="AV174" s="40" cm="1">
        <f t="array" ref="AV174">IF($F$10-$I$3+VLOOKUP($R174,武学奇术!$A:$ZZ,6,FALSE)+SUM(_xlfn.XLOOKUP($S174:$AL174,增益!$A:$A,增益!$F:$F,0))&gt;0,($F$10-$I$3+VLOOKUP($R174,武学奇术!$A:$ZZ,6,FALSE)+SUM(_xlfn.XLOOKUP($S174:$AL174,增益!$A:$A,增益!$F:$F,0)))/200,($F$10-$I$3+VLOOKUP($R174,武学奇术!$A:$ZZ,6,FALSE)+SUM(_xlfn.XLOOKUP($S174:$AL174,增益!$A:$A,增益!$F:$F,0)))/100)</f>
        <v>0.3534</v>
      </c>
      <c r="AW174" s="40" cm="1">
        <f t="array" ref="AW174">$G$10+VLOOKUP($R174,武学奇术!$A:$ZZ,7,FALSE)+SUM(_xlfn.XLOOKUP($S174:$AL174,增益!$A:$A,增益!$G:$G,0))</f>
        <v>0.12</v>
      </c>
      <c r="AX174" s="33" cm="1">
        <f t="array" ref="AX174">VLOOKUP($R174,武学奇术!$A:$ZZ,8,FALSE)+SUM(_xlfn.XLOOKUP($S174:$AL174,增益!$A:$A,增益!$H:$H,0))</f>
        <v>0</v>
      </c>
      <c r="AY174">
        <f t="shared" si="34"/>
        <v>0</v>
      </c>
      <c r="AZ174">
        <f t="shared" si="35"/>
        <v>0</v>
      </c>
      <c r="BA174" s="40" cm="1">
        <f t="array" ref="BA174">IF($F$11-$I$4+VLOOKUP($R174,武学奇术!$A:$ZZ,9,FALSE)+SUM(_xlfn.XLOOKUP($S174:$AL174,增益!$A:$A,增益!$I:$I,0))&gt;0,($F$11-$I$4+VLOOKUP($R174,武学奇术!$A:$ZZ,9,FALSE)+SUM(_xlfn.XLOOKUP($S174:$AL174,增益!$A:$A,增益!$I:$I,0)))/200,($F$11-$I$4+VLOOKUP($R174,武学奇术!$A:$ZZ,9,FALSE)+SUM(_xlfn.XLOOKUP($S174:$AL174,增益!$A:$A,增益!$I:$I,0)))/100)</f>
        <v>-0.14</v>
      </c>
      <c r="BB174" s="40" cm="1">
        <f t="array" ref="BB174">$G$11+VLOOKUP($R174,武学奇术!$A:$ZZ,10,FALSE)+SUM(_xlfn.XLOOKUP($S174:$AL174,增益!$A:$A,增益!$J:$J,0))</f>
        <v>0</v>
      </c>
      <c r="BC174">
        <f t="shared" si="36"/>
        <v>640.3</v>
      </c>
      <c r="BD174">
        <f t="shared" si="37"/>
        <v>1770.1</v>
      </c>
      <c r="BE174" s="40" cm="1">
        <f t="array" ref="BE174">IF($F$12-$I$4+VLOOKUP($R174,武学奇术!$A:$ZZ,11,FALSE)+SUM(_xlfn.XLOOKUP($S174:$AL174,增益!$A:$A,增益!$K:$K,0))&gt;0,($F$12-$I$4+VLOOKUP($R174,武学奇术!$A:$ZZ,11,FALSE)+SUM(_xlfn.XLOOKUP($S174:$AL174,增益!$A:$A,增益!$K:$K,0)))/200,($F$12-$I$4+VLOOKUP($R174,武学奇术!$A:$ZZ,11,FALSE)+SUM(_xlfn.XLOOKUP($S174:$AL174,增益!$A:$A,增益!$K:$K,0)))/100)</f>
        <v>0.17</v>
      </c>
      <c r="BF174" s="40" cm="1">
        <f t="array" ref="BF174">$G$12+VLOOKUP($R174,武学奇术!$A:$ZZ,12,FALSE)+SUM(_xlfn.XLOOKUP($S174:$AL174,增益!$A:$A,增益!$L:$L,0))</f>
        <v>0.27</v>
      </c>
      <c r="BG174">
        <f t="shared" si="38"/>
        <v>0</v>
      </c>
      <c r="BH174">
        <f t="shared" si="39"/>
        <v>0</v>
      </c>
      <c r="BI174" s="40" cm="1">
        <f t="array" ref="BI174">IF($F$13-$I$4+VLOOKUP($R174,武学奇术!$A:$ZZ,13,FALSE)+SUM(_xlfn.XLOOKUP($S174:$AL174,增益!$A:$A,增益!$M:$M,0))&gt;0,($F$13-$I$4+VLOOKUP($R174,武学奇术!$A:$ZZ,13,FALSE)+SUM(_xlfn.XLOOKUP($S174:$AL174,增益!$A:$A,增益!$K:$K,0)))/200,($F$13-$I$4+VLOOKUP($R174,武学奇术!$A:$ZZ,13,FALSE)+SUM(_xlfn.XLOOKUP($S174:$AL174,增益!$A:$A,增益!$M:$M,0)))/100)</f>
        <v>-0.14</v>
      </c>
      <c r="BJ174" s="40" cm="1">
        <f t="array" ref="BJ174">$G$13+VLOOKUP($R174,武学奇术!$A:$ZZ,14,FALSE)+SUM(_xlfn.XLOOKUP($S174:$AL174,增益!$A:$A,增益!$N:$N,0))</f>
        <v>0</v>
      </c>
      <c r="BK174">
        <f t="shared" si="40"/>
        <v>0</v>
      </c>
      <c r="BL174">
        <f t="shared" si="41"/>
        <v>0</v>
      </c>
      <c r="BM174" s="40" cm="1">
        <f t="array" ref="BM174">IF($F$14-$I$4+VLOOKUP($R174,武学奇术!$A:$ZZ,15,FALSE)+SUM(_xlfn.XLOOKUP($S174:$AL174,增益!$A:$A,增益!$O:$O,0))&gt;0,($F$14-$I$4+VLOOKUP($R174,武学奇术!$A:$ZZ,15,FALSE)+SUM(_xlfn.XLOOKUP($S174:$AL174,增益!$A:$A,增益!$O:$O,0)))/200,($F$14-$I$4+VLOOKUP($R174,武学奇术!$A:$ZZ,15,FALSE)+SUM(_xlfn.XLOOKUP($S174:$AL174,增益!$A:$A,增益!$O:$O,0)))/100)</f>
        <v>-0.14</v>
      </c>
      <c r="BN174" s="40" cm="1">
        <f t="array" ref="BN174">$G$14+VLOOKUP($R174,武学奇术!$A:$ZZ,16,FALSE)+SUM(_xlfn.XLOOKUP($S174:$AL174,增益!$A:$A,增益!$P:$P,0))</f>
        <v>0</v>
      </c>
      <c r="BO174" s="33">
        <f>MIN(IF(VLOOKUP($R174,武学奇术!$A:$ZZ,23,FALSE)=1,100%,$B$8),100%)</f>
        <v>0.9771</v>
      </c>
      <c r="BP174" s="33" cm="1">
        <f t="array" ref="BP174">IF(VLOOKUP($R174,武学奇术!$A:$ZZ,23,FALSE)=1,100%,MIN(80%,$B$9+VLOOKUP($R174,武学奇术!$A:$ZZ,17,FALSE)+SUM(_xlfn.XLOOKUP($S174:$AL174,增益!$A:$A,增益!$Q:$Q,0)))+$B$11+SUM(_xlfn.XLOOKUP($S174:$AL174,增益!$A:$A,增益!$U:$U,0)))*IF(VLOOKUP($R174,武学奇术!$A:$ZZ,24,FALSE)=1,0,1)</f>
        <v>0.8861</v>
      </c>
      <c r="BQ174" s="33" cm="1">
        <f t="array" ref="BQ174">1+$B$13+VLOOKUP($R174,武学奇术!$A:$ZZ,18,FALSE)+SUM(_xlfn.XLOOKUP($S174:$AL174,增益!$A:$A,增益!$R:$R,0))</f>
        <v>1.99</v>
      </c>
      <c r="BR174" s="33" cm="1">
        <f t="array" ref="BR174">IF(VLOOKUP($R174,武学奇术!$A:$ZZ,24,FALSE)=1,100%,MIN(40%,$B$10+VLOOKUP($R174,武学奇术!$A:$ZZ,19,FALSE)+SUM(_xlfn.XLOOKUP($S174:$AL174,增益!$A:$A,增益!$S:$S,0)))+$B$12+SUM(_xlfn.XLOOKUP($S174:$AL174,增益!$A:$A,增益!$V:$V,0)))*IF(VLOOKUP($R174,武学奇术!$A:$ZZ,23,FALSE)=1,0,1)</f>
        <v>0.0913</v>
      </c>
      <c r="BS174" s="33" cm="1">
        <f t="array" ref="BS174">1+$B$14+VLOOKUP($R174,武学奇术!$A:$ZZ,20,FALSE)+SUM(_xlfn.XLOOKUP($S174:$AL174,增益!$A:$A,增益!$T:$T,0))</f>
        <v>1.35</v>
      </c>
      <c r="BT174" s="33">
        <f t="shared" si="42"/>
        <v>0.86580831</v>
      </c>
      <c r="BU174" s="33">
        <f t="shared" si="43"/>
        <v>0.02208246</v>
      </c>
      <c r="BV174" s="33">
        <f>IF(VLOOKUP($R174,武学奇术!$A:$ZZ,22,FALSE)=1,0,(1-$BO174))*(1-$BR174)</f>
        <v>0.02080923</v>
      </c>
      <c r="BW174" s="33" cm="1">
        <f t="array" ref="BW174">SUM(_xlfn.XLOOKUP($S174:$AL174,增益!$A:$A,增益!$W:$W,0))+$I$5</f>
        <v>0.11</v>
      </c>
      <c r="BX174" s="33" cm="1">
        <f t="array" ref="BX174">VLOOKUP($R174,武学奇术!$A:$ZZ,32,FALSE)+SUM(_xlfn.XLOOKUP($S174:$AL174,增益!$A:$A,增益!$X:$X,0))</f>
        <v>0</v>
      </c>
    </row>
    <row r="175" spans="12:76">
      <c r="L175" s="46">
        <f t="shared" si="33"/>
        <v>0</v>
      </c>
      <c r="M175" s="46">
        <f>((($AT175+$AU175)/2*$AN175+$AO175)*(1+$AV175)*(1+$AW175)+(($AY175+$AZ175)/2*IF($G$1="鸣金",$AP175,$AN175)+IF($G$1="鸣金",$AQ175*1.5,0))*(1+$BA175)*(1+$BB175)+(($BC175+$BD175)/2*IF($G$1="裂石",$AP175,$AN175)+IF($G$1="裂石",$AQ175*1.5,0))*(1+$BE175)*(1+$BF175)+(($BG175+$BH175)/2*IF($G$1="牵丝",$AP175,$AN175)+IF($G$1="牵丝",$AQ175*1.5,0))*(1+$BI175)*(1+$BJ175)+(($BK175+$BL175)/2*IF($G$1="破竹",$AP175,$AN175)+IF($G$1="破竹",$AQ175*1.5,0))*(1+$BM175)*(1+$BN175))*(1+$AR175)*$BQ175*$Q175*(1+IF(VLOOKUP($R175,武学奇术!$A:$ZZ,30,FALSE)="蓄力技",$B$21,0))*(1+IF(VLOOKUP($R175,武学奇术!$A:$ZZ,30,FALSE)="派生技",$B$20,0))*(1+$BW175)*(1+$BX175)</f>
        <v>0</v>
      </c>
      <c r="N175" s="46">
        <f>(($AU175*$AN175+$AO175)*(1+$AV175)*(1+$AW175)+($AZ175*IF($G$1="鸣金",$AP175,$AN175)+IF($G$1="鸣金",$AQ175*1.5,0))*(1+$BA175)*(1+$BB175)+($BD175*IF($G$1="裂石",$AP175,$AN175)+IF($G$1="裂石",$AQ175*1.5,0))*(1+$BE175)*(1+$BF175)+($BH175*IF($G$1="牵丝",$AP175,$AN175)+IF($G$1="牵丝",$AQ175*1.5,0))*(1+$BI175)*(1+$BJ175)+($BL175*IF($G$1="破竹",$AP175,$AN175)+IF($G$1="破竹",$AQ175*1.5,0))*(1+$BM175)*(1+$BN175))*(1+$AR175)*$BS175*$Q175*(1+IF(VLOOKUP($R175,武学奇术!$A:$ZZ,30,FALSE)="蓄力技",$B$21,0))*(1+IF(VLOOKUP($R175,武学奇术!$A:$ZZ,30,FALSE)="派生技",$B$20,0))*(1+$BW175)*(1+$BX175)</f>
        <v>0</v>
      </c>
      <c r="O175" s="46">
        <f>((($AT175+$AU175)/2*$AN175+$AO175)*(1+$AV175)*(1+$AW175)+(($AY175+$AZ175)/2*IF($G$1="鸣金",$AP175,$AN175)+IF($G$1="鸣金",$AQ175*1.5,0))*(1+$BA175)*(1+$BB175)+(($BC175+$BD175)/2*IF($G$1="裂石",$AP175,$AN175)+IF($G$1="裂石",$AQ175*1.5,0))*(1+$BE175)*(1+$BF175)+(($BG175+$BH175)/2*IF($G$1="牵丝",$AP175,$AN175)+IF($G$1="牵丝",$AQ175*1.5,0))*(1+$BI175)*(1+$BJ175)+(($BK175+$BL175)/2*IF($G$1="破竹",$AP175,$AN175)+IF($G$1="破竹",$AQ175*1.5,0))*(1+$BM175)*(1+$BN175))*(1+$AR175)*$Q175*(1+IF(VLOOKUP($R175,武学奇术!$A:$ZZ,30,FALSE)="蓄力技",$B$21,0))*(1+IF(VLOOKUP($R175,武学奇术!$A:$ZZ,30,FALSE)="派生技",$B$20,0))*(1+$BW175)*(1+$BX175)</f>
        <v>0</v>
      </c>
      <c r="P175" s="46">
        <f>((($AT175*$AN175+$AO175)*(1+$AV175)*(1+$AW175)+($AY175*IF($G$1="鸣金",$AP175,$AN175)+IF($G$1="鸣金",$AQ175*1.5,0))*(1+$BA175)*(1+$BB175)+($BC175*IF($G$1="裂石",$AP175,$AN175)+IF($G$1="裂石",$AQ175*1.5,0))*(1+$BE175)*(1+$BF175)+($BG175*IF($G$1="牵丝",$AP175,$AN175)+IF($G$1="牵丝",$AQ175*1.5,0))*(1+$BI175)*(1+$BJ175)+($BK175*IF($G$1="破竹",$AP175,$AN175)+IF($G$1="破竹",$AQ175*1.5,0))*(1+$BM175)*(1+$BN175))*(1+$AR175))*$Q175*(1+IF(VLOOKUP($R175,武学奇术!$A:$ZZ,30,FALSE)="蓄力技",$B$21,0))*(1+IF(VLOOKUP($R175,武学奇术!$A:$ZZ,30,FALSE)="派生技",$B$20,0))*(1+$BW175)*(1+$BX175)</f>
        <v>0</v>
      </c>
      <c r="Q175" s="47">
        <f t="shared" si="45"/>
        <v>0</v>
      </c>
      <c r="R175" s="48" t="s">
        <v>196</v>
      </c>
      <c r="S175" s="48" t="s">
        <v>99</v>
      </c>
      <c r="T175" s="48" t="s">
        <v>181</v>
      </c>
      <c r="U175" s="48" t="s">
        <v>79</v>
      </c>
      <c r="V175" s="48" t="s">
        <v>90</v>
      </c>
      <c r="W175" s="48" t="s">
        <v>141</v>
      </c>
      <c r="X175" s="48" t="s">
        <v>80</v>
      </c>
      <c r="Y175" s="48" t="s">
        <v>74</v>
      </c>
      <c r="Z175" s="48" t="s">
        <v>80</v>
      </c>
      <c r="AA175" s="48" t="s">
        <v>80</v>
      </c>
      <c r="AB175" s="48" t="s">
        <v>80</v>
      </c>
      <c r="AC175" s="48" t="s">
        <v>80</v>
      </c>
      <c r="AD175" s="48" t="s">
        <v>80</v>
      </c>
      <c r="AE175" s="48" t="s">
        <v>80</v>
      </c>
      <c r="AF175" s="48" t="s">
        <v>83</v>
      </c>
      <c r="AG175" s="48" t="s">
        <v>84</v>
      </c>
      <c r="AH175" s="48" t="s">
        <v>80</v>
      </c>
      <c r="AI175" s="48" t="s">
        <v>80</v>
      </c>
      <c r="AJ175" s="48" t="s">
        <v>80</v>
      </c>
      <c r="AK175" s="48" t="s">
        <v>80</v>
      </c>
      <c r="AL175" s="48" t="s">
        <v>80</v>
      </c>
      <c r="AM175" t="str">
        <f>VLOOKUP($R175,武学奇术!$A:$ZZ,25,FALSE)</f>
        <v>横刀</v>
      </c>
      <c r="AN175" s="33">
        <f>VLOOKUP($R175,武学奇术!$A:$ZZ,26,FALSE)</f>
        <v>1.47</v>
      </c>
      <c r="AO175" s="34">
        <f>VLOOKUP($R175,武学奇术!$A:$ZZ,27,FALSE)*(1+IF(OR($AM175=$F$4,$AM175=$F$5),$B$22,0))</f>
        <v>0</v>
      </c>
      <c r="AP175" s="33">
        <f>VLOOKUP($R175,武学奇术!$A:$ZZ,28,FALSE)</f>
        <v>2.205</v>
      </c>
      <c r="AQ175" s="34">
        <f>VLOOKUP($R175,武学奇术!$A:$ZZ,29,FALSE)*(1+IF(OR($AM175=$F$4,$AM175=$F$5),$B$22,0))</f>
        <v>0</v>
      </c>
      <c r="AR175" s="33" cm="1">
        <f t="array" ref="AR175">$G$3+IFERROR(VLOOKUP($AM175,$F$4:$G$7,2,FALSE),0)+VLOOKUP($R175,武学奇术!$A:$ZZ,2,FALSE)+SUM(_xlfn.XLOOKUP($S175:$AL175,增益!$A:$A,增益!$B:$B,0))</f>
        <v>0.5289</v>
      </c>
      <c r="AS175" s="33" cm="1">
        <f t="array" ref="AS175">VLOOKUP($R175,武学奇术!$A:$ZZ,5,FALSE)+SUM(_xlfn.XLOOKUP($S175:$AL175,增益!$A:$A,增益!$E:$E,0))</f>
        <v>0</v>
      </c>
      <c r="AT175" cm="1">
        <f t="array" ref="AT175">$D$10*(1+$AS175)+VLOOKUP($R175,武学奇术!$A:$ZZ,3,FALSE)+SUM(_xlfn.XLOOKUP($S175:$AL175,增益!$A:$A,增益!$C:$C,0))-$I$2</f>
        <v>4026</v>
      </c>
      <c r="AU175" cm="1">
        <f t="array" ref="AU175">$E$10*(1+$AS175)+VLOOKUP($R175,武学奇术!$A:$ZZ,4,FALSE)+SUM(_xlfn.XLOOKUP($S175:$AL175,增益!$A:$A,增益!$D:$D,0))-$I$2</f>
        <v>4026</v>
      </c>
      <c r="AV175" s="40" cm="1">
        <f t="array" ref="AV175">IF($F$10-$I$3+VLOOKUP($R175,武学奇术!$A:$ZZ,6,FALSE)+SUM(_xlfn.XLOOKUP($S175:$AL175,增益!$A:$A,增益!$F:$F,0))&gt;0,($F$10-$I$3+VLOOKUP($R175,武学奇术!$A:$ZZ,6,FALSE)+SUM(_xlfn.XLOOKUP($S175:$AL175,增益!$A:$A,增益!$F:$F,0)))/200,($F$10-$I$3+VLOOKUP($R175,武学奇术!$A:$ZZ,6,FALSE)+SUM(_xlfn.XLOOKUP($S175:$AL175,增益!$A:$A,增益!$F:$F,0)))/100)</f>
        <v>0.3534</v>
      </c>
      <c r="AW175" s="40" cm="1">
        <f t="array" ref="AW175">$G$10+VLOOKUP($R175,武学奇术!$A:$ZZ,7,FALSE)+SUM(_xlfn.XLOOKUP($S175:$AL175,增益!$A:$A,增益!$G:$G,0))</f>
        <v>0.12</v>
      </c>
      <c r="AX175" s="33" cm="1">
        <f t="array" ref="AX175">VLOOKUP($R175,武学奇术!$A:$ZZ,8,FALSE)+SUM(_xlfn.XLOOKUP($S175:$AL175,增益!$A:$A,增益!$H:$H,0))</f>
        <v>0</v>
      </c>
      <c r="AY175">
        <f t="shared" si="34"/>
        <v>0</v>
      </c>
      <c r="AZ175">
        <f t="shared" si="35"/>
        <v>0</v>
      </c>
      <c r="BA175" s="40" cm="1">
        <f t="array" ref="BA175">IF($F$11-$I$4+VLOOKUP($R175,武学奇术!$A:$ZZ,9,FALSE)+SUM(_xlfn.XLOOKUP($S175:$AL175,增益!$A:$A,增益!$I:$I,0))&gt;0,($F$11-$I$4+VLOOKUP($R175,武学奇术!$A:$ZZ,9,FALSE)+SUM(_xlfn.XLOOKUP($S175:$AL175,增益!$A:$A,增益!$I:$I,0)))/200,($F$11-$I$4+VLOOKUP($R175,武学奇术!$A:$ZZ,9,FALSE)+SUM(_xlfn.XLOOKUP($S175:$AL175,增益!$A:$A,增益!$I:$I,0)))/100)</f>
        <v>-0.14</v>
      </c>
      <c r="BB175" s="40" cm="1">
        <f t="array" ref="BB175">$G$11+VLOOKUP($R175,武学奇术!$A:$ZZ,10,FALSE)+SUM(_xlfn.XLOOKUP($S175:$AL175,增益!$A:$A,增益!$J:$J,0))</f>
        <v>0</v>
      </c>
      <c r="BC175">
        <f t="shared" si="36"/>
        <v>640.3</v>
      </c>
      <c r="BD175">
        <f t="shared" si="37"/>
        <v>1770.1</v>
      </c>
      <c r="BE175" s="40" cm="1">
        <f t="array" ref="BE175">IF($F$12-$I$4+VLOOKUP($R175,武学奇术!$A:$ZZ,11,FALSE)+SUM(_xlfn.XLOOKUP($S175:$AL175,增益!$A:$A,增益!$K:$K,0))&gt;0,($F$12-$I$4+VLOOKUP($R175,武学奇术!$A:$ZZ,11,FALSE)+SUM(_xlfn.XLOOKUP($S175:$AL175,增益!$A:$A,增益!$K:$K,0)))/200,($F$12-$I$4+VLOOKUP($R175,武学奇术!$A:$ZZ,11,FALSE)+SUM(_xlfn.XLOOKUP($S175:$AL175,增益!$A:$A,增益!$K:$K,0)))/100)</f>
        <v>0.17</v>
      </c>
      <c r="BF175" s="40" cm="1">
        <f t="array" ref="BF175">$G$12+VLOOKUP($R175,武学奇术!$A:$ZZ,12,FALSE)+SUM(_xlfn.XLOOKUP($S175:$AL175,增益!$A:$A,增益!$L:$L,0))</f>
        <v>0.27</v>
      </c>
      <c r="BG175">
        <f t="shared" si="38"/>
        <v>0</v>
      </c>
      <c r="BH175">
        <f t="shared" si="39"/>
        <v>0</v>
      </c>
      <c r="BI175" s="40" cm="1">
        <f t="array" ref="BI175">IF($F$13-$I$4+VLOOKUP($R175,武学奇术!$A:$ZZ,13,FALSE)+SUM(_xlfn.XLOOKUP($S175:$AL175,增益!$A:$A,增益!$M:$M,0))&gt;0,($F$13-$I$4+VLOOKUP($R175,武学奇术!$A:$ZZ,13,FALSE)+SUM(_xlfn.XLOOKUP($S175:$AL175,增益!$A:$A,增益!$K:$K,0)))/200,($F$13-$I$4+VLOOKUP($R175,武学奇术!$A:$ZZ,13,FALSE)+SUM(_xlfn.XLOOKUP($S175:$AL175,增益!$A:$A,增益!$M:$M,0)))/100)</f>
        <v>-0.14</v>
      </c>
      <c r="BJ175" s="40" cm="1">
        <f t="array" ref="BJ175">$G$13+VLOOKUP($R175,武学奇术!$A:$ZZ,14,FALSE)+SUM(_xlfn.XLOOKUP($S175:$AL175,增益!$A:$A,增益!$N:$N,0))</f>
        <v>0</v>
      </c>
      <c r="BK175">
        <f t="shared" si="40"/>
        <v>0</v>
      </c>
      <c r="BL175">
        <f t="shared" si="41"/>
        <v>0</v>
      </c>
      <c r="BM175" s="40" cm="1">
        <f t="array" ref="BM175">IF($F$14-$I$4+VLOOKUP($R175,武学奇术!$A:$ZZ,15,FALSE)+SUM(_xlfn.XLOOKUP($S175:$AL175,增益!$A:$A,增益!$O:$O,0))&gt;0,($F$14-$I$4+VLOOKUP($R175,武学奇术!$A:$ZZ,15,FALSE)+SUM(_xlfn.XLOOKUP($S175:$AL175,增益!$A:$A,增益!$O:$O,0)))/200,($F$14-$I$4+VLOOKUP($R175,武学奇术!$A:$ZZ,15,FALSE)+SUM(_xlfn.XLOOKUP($S175:$AL175,增益!$A:$A,增益!$O:$O,0)))/100)</f>
        <v>-0.14</v>
      </c>
      <c r="BN175" s="40" cm="1">
        <f t="array" ref="BN175">$G$14+VLOOKUP($R175,武学奇术!$A:$ZZ,16,FALSE)+SUM(_xlfn.XLOOKUP($S175:$AL175,增益!$A:$A,增益!$P:$P,0))</f>
        <v>0</v>
      </c>
      <c r="BO175" s="33">
        <f>MIN(IF(VLOOKUP($R175,武学奇术!$A:$ZZ,23,FALSE)=1,100%,$B$8),100%)</f>
        <v>0.9771</v>
      </c>
      <c r="BP175" s="33" cm="1">
        <f t="array" ref="BP175">IF(VLOOKUP($R175,武学奇术!$A:$ZZ,23,FALSE)=1,100%,MIN(80%,$B$9+VLOOKUP($R175,武学奇术!$A:$ZZ,17,FALSE)+SUM(_xlfn.XLOOKUP($S175:$AL175,增益!$A:$A,增益!$Q:$Q,0)))+$B$11+SUM(_xlfn.XLOOKUP($S175:$AL175,增益!$A:$A,增益!$U:$U,0)))*IF(VLOOKUP($R175,武学奇术!$A:$ZZ,24,FALSE)=1,0,1)</f>
        <v>0.8861</v>
      </c>
      <c r="BQ175" s="33" cm="1">
        <f t="array" ref="BQ175">1+$B$13+VLOOKUP($R175,武学奇术!$A:$ZZ,18,FALSE)+SUM(_xlfn.XLOOKUP($S175:$AL175,增益!$A:$A,增益!$R:$R,0))</f>
        <v>1.99</v>
      </c>
      <c r="BR175" s="33" cm="1">
        <f t="array" ref="BR175">IF(VLOOKUP($R175,武学奇术!$A:$ZZ,24,FALSE)=1,100%,MIN(40%,$B$10+VLOOKUP($R175,武学奇术!$A:$ZZ,19,FALSE)+SUM(_xlfn.XLOOKUP($S175:$AL175,增益!$A:$A,增益!$S:$S,0)))+$B$12+SUM(_xlfn.XLOOKUP($S175:$AL175,增益!$A:$A,增益!$V:$V,0)))*IF(VLOOKUP($R175,武学奇术!$A:$ZZ,23,FALSE)=1,0,1)</f>
        <v>0.0913</v>
      </c>
      <c r="BS175" s="33" cm="1">
        <f t="array" ref="BS175">1+$B$14+VLOOKUP($R175,武学奇术!$A:$ZZ,20,FALSE)+SUM(_xlfn.XLOOKUP($S175:$AL175,增益!$A:$A,增益!$T:$T,0))</f>
        <v>1.35</v>
      </c>
      <c r="BT175" s="33">
        <f t="shared" si="42"/>
        <v>0.86580831</v>
      </c>
      <c r="BU175" s="33">
        <f t="shared" si="43"/>
        <v>0.02208246</v>
      </c>
      <c r="BV175" s="33">
        <f>IF(VLOOKUP($R175,武学奇术!$A:$ZZ,22,FALSE)=1,0,(1-$BO175))*(1-$BR175)</f>
        <v>0.02080923</v>
      </c>
      <c r="BW175" s="33" cm="1">
        <f t="array" ref="BW175">SUM(_xlfn.XLOOKUP($S175:$AL175,增益!$A:$A,增益!$W:$W,0))+$I$5</f>
        <v>0.11</v>
      </c>
      <c r="BX175" s="33" cm="1">
        <f t="array" ref="BX175">VLOOKUP($R175,武学奇术!$A:$ZZ,32,FALSE)+SUM(_xlfn.XLOOKUP($S175:$AL175,增益!$A:$A,增益!$X:$X,0))</f>
        <v>0.4</v>
      </c>
    </row>
    <row r="176" spans="12:76">
      <c r="L176" s="46">
        <f t="shared" si="33"/>
        <v>0</v>
      </c>
      <c r="M176" s="46">
        <f>((($AT176+$AU176)/2*$AN176+$AO176)*(1+$AV176)*(1+$AW176)+(($AY176+$AZ176)/2*IF($G$1="鸣金",$AP176,$AN176)+IF($G$1="鸣金",$AQ176*1.5,0))*(1+$BA176)*(1+$BB176)+(($BC176+$BD176)/2*IF($G$1="裂石",$AP176,$AN176)+IF($G$1="裂石",$AQ176*1.5,0))*(1+$BE176)*(1+$BF176)+(($BG176+$BH176)/2*IF($G$1="牵丝",$AP176,$AN176)+IF($G$1="牵丝",$AQ176*1.5,0))*(1+$BI176)*(1+$BJ176)+(($BK176+$BL176)/2*IF($G$1="破竹",$AP176,$AN176)+IF($G$1="破竹",$AQ176*1.5,0))*(1+$BM176)*(1+$BN176))*(1+$AR176)*$BQ176*$Q176*(1+IF(VLOOKUP($R176,武学奇术!$A:$ZZ,30,FALSE)="蓄力技",$B$21,0))*(1+IF(VLOOKUP($R176,武学奇术!$A:$ZZ,30,FALSE)="派生技",$B$20,0))*(1+$BW176)*(1+$BX176)</f>
        <v>0</v>
      </c>
      <c r="N176" s="46">
        <f>(($AU176*$AN176+$AO176)*(1+$AV176)*(1+$AW176)+($AZ176*IF($G$1="鸣金",$AP176,$AN176)+IF($G$1="鸣金",$AQ176*1.5,0))*(1+$BA176)*(1+$BB176)+($BD176*IF($G$1="裂石",$AP176,$AN176)+IF($G$1="裂石",$AQ176*1.5,0))*(1+$BE176)*(1+$BF176)+($BH176*IF($G$1="牵丝",$AP176,$AN176)+IF($G$1="牵丝",$AQ176*1.5,0))*(1+$BI176)*(1+$BJ176)+($BL176*IF($G$1="破竹",$AP176,$AN176)+IF($G$1="破竹",$AQ176*1.5,0))*(1+$BM176)*(1+$BN176))*(1+$AR176)*$BS176*$Q176*(1+IF(VLOOKUP($R176,武学奇术!$A:$ZZ,30,FALSE)="蓄力技",$B$21,0))*(1+IF(VLOOKUP($R176,武学奇术!$A:$ZZ,30,FALSE)="派生技",$B$20,0))*(1+$BW176)*(1+$BX176)</f>
        <v>0</v>
      </c>
      <c r="O176" s="46">
        <f>((($AT176+$AU176)/2*$AN176+$AO176)*(1+$AV176)*(1+$AW176)+(($AY176+$AZ176)/2*IF($G$1="鸣金",$AP176,$AN176)+IF($G$1="鸣金",$AQ176*1.5,0))*(1+$BA176)*(1+$BB176)+(($BC176+$BD176)/2*IF($G$1="裂石",$AP176,$AN176)+IF($G$1="裂石",$AQ176*1.5,0))*(1+$BE176)*(1+$BF176)+(($BG176+$BH176)/2*IF($G$1="牵丝",$AP176,$AN176)+IF($G$1="牵丝",$AQ176*1.5,0))*(1+$BI176)*(1+$BJ176)+(($BK176+$BL176)/2*IF($G$1="破竹",$AP176,$AN176)+IF($G$1="破竹",$AQ176*1.5,0))*(1+$BM176)*(1+$BN176))*(1+$AR176)*$Q176*(1+IF(VLOOKUP($R176,武学奇术!$A:$ZZ,30,FALSE)="蓄力技",$B$21,0))*(1+IF(VLOOKUP($R176,武学奇术!$A:$ZZ,30,FALSE)="派生技",$B$20,0))*(1+$BW176)*(1+$BX176)</f>
        <v>0</v>
      </c>
      <c r="P176" s="46">
        <f>((($AT176*$AN176+$AO176)*(1+$AV176)*(1+$AW176)+($AY176*IF($G$1="鸣金",$AP176,$AN176)+IF($G$1="鸣金",$AQ176*1.5,0))*(1+$BA176)*(1+$BB176)+($BC176*IF($G$1="裂石",$AP176,$AN176)+IF($G$1="裂石",$AQ176*1.5,0))*(1+$BE176)*(1+$BF176)+($BG176*IF($G$1="牵丝",$AP176,$AN176)+IF($G$1="牵丝",$AQ176*1.5,0))*(1+$BI176)*(1+$BJ176)+($BK176*IF($G$1="破竹",$AP176,$AN176)+IF($G$1="破竹",$AQ176*1.5,0))*(1+$BM176)*(1+$BN176))*(1+$AR176))*$Q176*(1+IF(VLOOKUP($R176,武学奇术!$A:$ZZ,30,FALSE)="蓄力技",$B$21,0))*(1+IF(VLOOKUP($R176,武学奇术!$A:$ZZ,30,FALSE)="派生技",$B$20,0))*(1+$BW176)*(1+$BX176)</f>
        <v>0</v>
      </c>
      <c r="Q176" s="47">
        <f t="shared" si="45"/>
        <v>0</v>
      </c>
      <c r="R176" s="48" t="s">
        <v>197</v>
      </c>
      <c r="S176" s="48" t="s">
        <v>99</v>
      </c>
      <c r="T176" s="48" t="s">
        <v>182</v>
      </c>
      <c r="U176" s="48" t="s">
        <v>79</v>
      </c>
      <c r="V176" s="48" t="s">
        <v>90</v>
      </c>
      <c r="W176" s="48" t="s">
        <v>91</v>
      </c>
      <c r="X176" s="48" t="s">
        <v>80</v>
      </c>
      <c r="Y176" s="48" t="s">
        <v>80</v>
      </c>
      <c r="Z176" s="48" t="s">
        <v>80</v>
      </c>
      <c r="AA176" s="48" t="s">
        <v>80</v>
      </c>
      <c r="AB176" s="48" t="s">
        <v>80</v>
      </c>
      <c r="AC176" s="48" t="s">
        <v>80</v>
      </c>
      <c r="AD176" s="48" t="s">
        <v>80</v>
      </c>
      <c r="AE176" s="48" t="s">
        <v>80</v>
      </c>
      <c r="AF176" s="48" t="s">
        <v>83</v>
      </c>
      <c r="AG176" s="48" t="s">
        <v>84</v>
      </c>
      <c r="AH176" s="48" t="s">
        <v>80</v>
      </c>
      <c r="AI176" s="48" t="s">
        <v>80</v>
      </c>
      <c r="AJ176" s="48" t="s">
        <v>80</v>
      </c>
      <c r="AK176" s="48" t="s">
        <v>80</v>
      </c>
      <c r="AL176" s="48" t="s">
        <v>80</v>
      </c>
      <c r="AM176" t="str">
        <f>VLOOKUP($R176,武学奇术!$A:$ZZ,25,FALSE)</f>
        <v>横刀</v>
      </c>
      <c r="AN176" s="33">
        <f>VLOOKUP($R176,武学奇术!$A:$ZZ,26,FALSE)</f>
        <v>2.4495</v>
      </c>
      <c r="AO176" s="34">
        <f>VLOOKUP($R176,武学奇术!$A:$ZZ,27,FALSE)*(1+IF(OR($AM176=$F$4,$AM176=$F$5),$B$22,0))</f>
        <v>1083.2</v>
      </c>
      <c r="AP176" s="33">
        <f>VLOOKUP($R176,武学奇术!$A:$ZZ,28,FALSE)</f>
        <v>3.6743</v>
      </c>
      <c r="AQ176" s="34">
        <f>VLOOKUP($R176,武学奇术!$A:$ZZ,29,FALSE)*(1+IF(OR($AM176=$F$4,$AM176=$F$5),$B$22,0))</f>
        <v>588.8</v>
      </c>
      <c r="AR176" s="33" cm="1">
        <f t="array" ref="AR176">$G$3+IFERROR(VLOOKUP($AM176,$F$4:$G$7,2,FALSE),0)+VLOOKUP($R176,武学奇术!$A:$ZZ,2,FALSE)+SUM(_xlfn.XLOOKUP($S176:$AL176,增益!$A:$A,增益!$B:$B,0))</f>
        <v>0.4489</v>
      </c>
      <c r="AS176" s="33" cm="1">
        <f t="array" ref="AS176">VLOOKUP($R176,武学奇术!$A:$ZZ,5,FALSE)+SUM(_xlfn.XLOOKUP($S176:$AL176,增益!$A:$A,增益!$E:$E,0))</f>
        <v>0</v>
      </c>
      <c r="AT176" cm="1">
        <f t="array" ref="AT176">$D$10*(1+$AS176)+VLOOKUP($R176,武学奇术!$A:$ZZ,3,FALSE)+SUM(_xlfn.XLOOKUP($S176:$AL176,增益!$A:$A,增益!$C:$C,0))-$I$2</f>
        <v>4026</v>
      </c>
      <c r="AU176" cm="1">
        <f t="array" ref="AU176">$E$10*(1+$AS176)+VLOOKUP($R176,武学奇术!$A:$ZZ,4,FALSE)+SUM(_xlfn.XLOOKUP($S176:$AL176,增益!$A:$A,增益!$D:$D,0))-$I$2</f>
        <v>4026</v>
      </c>
      <c r="AV176" s="40" cm="1">
        <f t="array" ref="AV176">IF($F$10-$I$3+VLOOKUP($R176,武学奇术!$A:$ZZ,6,FALSE)+SUM(_xlfn.XLOOKUP($S176:$AL176,增益!$A:$A,增益!$F:$F,0))&gt;0,($F$10-$I$3+VLOOKUP($R176,武学奇术!$A:$ZZ,6,FALSE)+SUM(_xlfn.XLOOKUP($S176:$AL176,增益!$A:$A,增益!$F:$F,0)))/200,($F$10-$I$3+VLOOKUP($R176,武学奇术!$A:$ZZ,6,FALSE)+SUM(_xlfn.XLOOKUP($S176:$AL176,增益!$A:$A,增益!$F:$F,0)))/100)</f>
        <v>0.3284</v>
      </c>
      <c r="AW176" s="40" cm="1">
        <f t="array" ref="AW176">$G$10+VLOOKUP($R176,武学奇术!$A:$ZZ,7,FALSE)+SUM(_xlfn.XLOOKUP($S176:$AL176,增益!$A:$A,增益!$G:$G,0))</f>
        <v>0.12</v>
      </c>
      <c r="AX176" s="33" cm="1">
        <f t="array" ref="AX176">VLOOKUP($R176,武学奇术!$A:$ZZ,8,FALSE)+SUM(_xlfn.XLOOKUP($S176:$AL176,增益!$A:$A,增益!$H:$H,0))</f>
        <v>0</v>
      </c>
      <c r="AY176">
        <f t="shared" si="34"/>
        <v>0</v>
      </c>
      <c r="AZ176">
        <f t="shared" si="35"/>
        <v>0</v>
      </c>
      <c r="BA176" s="40" cm="1">
        <f t="array" ref="BA176">IF($F$11-$I$4+VLOOKUP($R176,武学奇术!$A:$ZZ,9,FALSE)+SUM(_xlfn.XLOOKUP($S176:$AL176,增益!$A:$A,增益!$I:$I,0))&gt;0,($F$11-$I$4+VLOOKUP($R176,武学奇术!$A:$ZZ,9,FALSE)+SUM(_xlfn.XLOOKUP($S176:$AL176,增益!$A:$A,增益!$I:$I,0)))/200,($F$11-$I$4+VLOOKUP($R176,武学奇术!$A:$ZZ,9,FALSE)+SUM(_xlfn.XLOOKUP($S176:$AL176,增益!$A:$A,增益!$I:$I,0)))/100)</f>
        <v>-0.14</v>
      </c>
      <c r="BB176" s="40" cm="1">
        <f t="array" ref="BB176">$G$11+VLOOKUP($R176,武学奇术!$A:$ZZ,10,FALSE)+SUM(_xlfn.XLOOKUP($S176:$AL176,增益!$A:$A,增益!$J:$J,0))</f>
        <v>0</v>
      </c>
      <c r="BC176">
        <f t="shared" si="36"/>
        <v>640.3</v>
      </c>
      <c r="BD176">
        <f t="shared" si="37"/>
        <v>1770.1</v>
      </c>
      <c r="BE176" s="40" cm="1">
        <f t="array" ref="BE176">IF($F$12-$I$4+VLOOKUP($R176,武学奇术!$A:$ZZ,11,FALSE)+SUM(_xlfn.XLOOKUP($S176:$AL176,增益!$A:$A,增益!$K:$K,0))&gt;0,($F$12-$I$4+VLOOKUP($R176,武学奇术!$A:$ZZ,11,FALSE)+SUM(_xlfn.XLOOKUP($S176:$AL176,增益!$A:$A,增益!$K:$K,0)))/200,($F$12-$I$4+VLOOKUP($R176,武学奇术!$A:$ZZ,11,FALSE)+SUM(_xlfn.XLOOKUP($S176:$AL176,增益!$A:$A,增益!$K:$K,0)))/100)</f>
        <v>0.17</v>
      </c>
      <c r="BF176" s="40" cm="1">
        <f t="array" ref="BF176">$G$12+VLOOKUP($R176,武学奇术!$A:$ZZ,12,FALSE)+SUM(_xlfn.XLOOKUP($S176:$AL176,增益!$A:$A,增益!$L:$L,0))</f>
        <v>0.27</v>
      </c>
      <c r="BG176">
        <f t="shared" si="38"/>
        <v>0</v>
      </c>
      <c r="BH176">
        <f t="shared" si="39"/>
        <v>0</v>
      </c>
      <c r="BI176" s="40" cm="1">
        <f t="array" ref="BI176">IF($F$13-$I$4+VLOOKUP($R176,武学奇术!$A:$ZZ,13,FALSE)+SUM(_xlfn.XLOOKUP($S176:$AL176,增益!$A:$A,增益!$M:$M,0))&gt;0,($F$13-$I$4+VLOOKUP($R176,武学奇术!$A:$ZZ,13,FALSE)+SUM(_xlfn.XLOOKUP($S176:$AL176,增益!$A:$A,增益!$K:$K,0)))/200,($F$13-$I$4+VLOOKUP($R176,武学奇术!$A:$ZZ,13,FALSE)+SUM(_xlfn.XLOOKUP($S176:$AL176,增益!$A:$A,增益!$M:$M,0)))/100)</f>
        <v>-0.14</v>
      </c>
      <c r="BJ176" s="40" cm="1">
        <f t="array" ref="BJ176">$G$13+VLOOKUP($R176,武学奇术!$A:$ZZ,14,FALSE)+SUM(_xlfn.XLOOKUP($S176:$AL176,增益!$A:$A,增益!$N:$N,0))</f>
        <v>0</v>
      </c>
      <c r="BK176">
        <f t="shared" si="40"/>
        <v>0</v>
      </c>
      <c r="BL176">
        <f t="shared" si="41"/>
        <v>0</v>
      </c>
      <c r="BM176" s="40" cm="1">
        <f t="array" ref="BM176">IF($F$14-$I$4+VLOOKUP($R176,武学奇术!$A:$ZZ,15,FALSE)+SUM(_xlfn.XLOOKUP($S176:$AL176,增益!$A:$A,增益!$O:$O,0))&gt;0,($F$14-$I$4+VLOOKUP($R176,武学奇术!$A:$ZZ,15,FALSE)+SUM(_xlfn.XLOOKUP($S176:$AL176,增益!$A:$A,增益!$O:$O,0)))/200,($F$14-$I$4+VLOOKUP($R176,武学奇术!$A:$ZZ,15,FALSE)+SUM(_xlfn.XLOOKUP($S176:$AL176,增益!$A:$A,增益!$O:$O,0)))/100)</f>
        <v>-0.14</v>
      </c>
      <c r="BN176" s="40" cm="1">
        <f t="array" ref="BN176">$G$14+VLOOKUP($R176,武学奇术!$A:$ZZ,16,FALSE)+SUM(_xlfn.XLOOKUP($S176:$AL176,增益!$A:$A,增益!$P:$P,0))</f>
        <v>0</v>
      </c>
      <c r="BO176" s="33">
        <f>MIN(IF(VLOOKUP($R176,武学奇术!$A:$ZZ,23,FALSE)=1,100%,$B$8),100%)</f>
        <v>0.9771</v>
      </c>
      <c r="BP176" s="33" cm="1">
        <f t="array" ref="BP176">IF(VLOOKUP($R176,武学奇术!$A:$ZZ,23,FALSE)=1,100%,MIN(80%,$B$9+VLOOKUP($R176,武学奇术!$A:$ZZ,17,FALSE)+SUM(_xlfn.XLOOKUP($S176:$AL176,增益!$A:$A,增益!$Q:$Q,0)))+$B$11+SUM(_xlfn.XLOOKUP($S176:$AL176,增益!$A:$A,增益!$U:$U,0)))*IF(VLOOKUP($R176,武学奇术!$A:$ZZ,24,FALSE)=1,0,1)</f>
        <v>0.8861</v>
      </c>
      <c r="BQ176" s="33" cm="1">
        <f t="array" ref="BQ176">1+$B$13+VLOOKUP($R176,武学奇术!$A:$ZZ,18,FALSE)+SUM(_xlfn.XLOOKUP($S176:$AL176,增益!$A:$A,增益!$R:$R,0))</f>
        <v>1.95</v>
      </c>
      <c r="BR176" s="33" cm="1">
        <f t="array" ref="BR176">IF(VLOOKUP($R176,武学奇术!$A:$ZZ,24,FALSE)=1,100%,MIN(40%,$B$10+VLOOKUP($R176,武学奇术!$A:$ZZ,19,FALSE)+SUM(_xlfn.XLOOKUP($S176:$AL176,增益!$A:$A,增益!$S:$S,0)))+$B$12+SUM(_xlfn.XLOOKUP($S176:$AL176,增益!$A:$A,增益!$V:$V,0)))*IF(VLOOKUP($R176,武学奇术!$A:$ZZ,23,FALSE)=1,0,1)</f>
        <v>0.0913</v>
      </c>
      <c r="BS176" s="33" cm="1">
        <f t="array" ref="BS176">1+$B$14+VLOOKUP($R176,武学奇术!$A:$ZZ,20,FALSE)+SUM(_xlfn.XLOOKUP($S176:$AL176,增益!$A:$A,增益!$T:$T,0))</f>
        <v>1.35</v>
      </c>
      <c r="BT176" s="33">
        <f t="shared" si="42"/>
        <v>0.86580831</v>
      </c>
      <c r="BU176" s="33">
        <f t="shared" si="43"/>
        <v>0.02208246</v>
      </c>
      <c r="BV176" s="33">
        <f>IF(VLOOKUP($R176,武学奇术!$A:$ZZ,22,FALSE)=1,0,(1-$BO176))*(1-$BR176)</f>
        <v>0.02080923</v>
      </c>
      <c r="BW176" s="33" cm="1">
        <f t="array" ref="BW176">SUM(_xlfn.XLOOKUP($S176:$AL176,增益!$A:$A,增益!$W:$W,0))+$I$5</f>
        <v>0.11</v>
      </c>
      <c r="BX176" s="33" cm="1">
        <f t="array" ref="BX176">VLOOKUP($R176,武学奇术!$A:$ZZ,32,FALSE)+SUM(_xlfn.XLOOKUP($S176:$AL176,增益!$A:$A,增益!$X:$X,0))</f>
        <v>0</v>
      </c>
    </row>
    <row r="177" spans="12:76">
      <c r="L177" s="46">
        <f t="shared" si="33"/>
        <v>0</v>
      </c>
      <c r="M177" s="46">
        <f>((($AT177+$AU177)/2*$AN177+$AO177)*(1+$AV177)*(1+$AW177)+(($AY177+$AZ177)/2*IF($G$1="鸣金",$AP177,$AN177)+IF($G$1="鸣金",$AQ177*1.5,0))*(1+$BA177)*(1+$BB177)+(($BC177+$BD177)/2*IF($G$1="裂石",$AP177,$AN177)+IF($G$1="裂石",$AQ177*1.5,0))*(1+$BE177)*(1+$BF177)+(($BG177+$BH177)/2*IF($G$1="牵丝",$AP177,$AN177)+IF($G$1="牵丝",$AQ177*1.5,0))*(1+$BI177)*(1+$BJ177)+(($BK177+$BL177)/2*IF($G$1="破竹",$AP177,$AN177)+IF($G$1="破竹",$AQ177*1.5,0))*(1+$BM177)*(1+$BN177))*(1+$AR177)*$BQ177*$Q177*(1+IF(VLOOKUP($R177,武学奇术!$A:$ZZ,30,FALSE)="蓄力技",$B$21,0))*(1+IF(VLOOKUP($R177,武学奇术!$A:$ZZ,30,FALSE)="派生技",$B$20,0))*(1+$BW177)*(1+$BX177)</f>
        <v>0</v>
      </c>
      <c r="N177" s="46">
        <f>(($AU177*$AN177+$AO177)*(1+$AV177)*(1+$AW177)+($AZ177*IF($G$1="鸣金",$AP177,$AN177)+IF($G$1="鸣金",$AQ177*1.5,0))*(1+$BA177)*(1+$BB177)+($BD177*IF($G$1="裂石",$AP177,$AN177)+IF($G$1="裂石",$AQ177*1.5,0))*(1+$BE177)*(1+$BF177)+($BH177*IF($G$1="牵丝",$AP177,$AN177)+IF($G$1="牵丝",$AQ177*1.5,0))*(1+$BI177)*(1+$BJ177)+($BL177*IF($G$1="破竹",$AP177,$AN177)+IF($G$1="破竹",$AQ177*1.5,0))*(1+$BM177)*(1+$BN177))*(1+$AR177)*$BS177*$Q177*(1+IF(VLOOKUP($R177,武学奇术!$A:$ZZ,30,FALSE)="蓄力技",$B$21,0))*(1+IF(VLOOKUP($R177,武学奇术!$A:$ZZ,30,FALSE)="派生技",$B$20,0))*(1+$BW177)*(1+$BX177)</f>
        <v>0</v>
      </c>
      <c r="O177" s="46">
        <f>((($AT177+$AU177)/2*$AN177+$AO177)*(1+$AV177)*(1+$AW177)+(($AY177+$AZ177)/2*IF($G$1="鸣金",$AP177,$AN177)+IF($G$1="鸣金",$AQ177*1.5,0))*(1+$BA177)*(1+$BB177)+(($BC177+$BD177)/2*IF($G$1="裂石",$AP177,$AN177)+IF($G$1="裂石",$AQ177*1.5,0))*(1+$BE177)*(1+$BF177)+(($BG177+$BH177)/2*IF($G$1="牵丝",$AP177,$AN177)+IF($G$1="牵丝",$AQ177*1.5,0))*(1+$BI177)*(1+$BJ177)+(($BK177+$BL177)/2*IF($G$1="破竹",$AP177,$AN177)+IF($G$1="破竹",$AQ177*1.5,0))*(1+$BM177)*(1+$BN177))*(1+$AR177)*$Q177*(1+IF(VLOOKUP($R177,武学奇术!$A:$ZZ,30,FALSE)="蓄力技",$B$21,0))*(1+IF(VLOOKUP($R177,武学奇术!$A:$ZZ,30,FALSE)="派生技",$B$20,0))*(1+$BW177)*(1+$BX177)</f>
        <v>0</v>
      </c>
      <c r="P177" s="46">
        <f>((($AT177*$AN177+$AO177)*(1+$AV177)*(1+$AW177)+($AY177*IF($G$1="鸣金",$AP177,$AN177)+IF($G$1="鸣金",$AQ177*1.5,0))*(1+$BA177)*(1+$BB177)+($BC177*IF($G$1="裂石",$AP177,$AN177)+IF($G$1="裂石",$AQ177*1.5,0))*(1+$BE177)*(1+$BF177)+($BG177*IF($G$1="牵丝",$AP177,$AN177)+IF($G$1="牵丝",$AQ177*1.5,0))*(1+$BI177)*(1+$BJ177)+($BK177*IF($G$1="破竹",$AP177,$AN177)+IF($G$1="破竹",$AQ177*1.5,0))*(1+$BM177)*(1+$BN177))*(1+$AR177))*$Q177*(1+IF(VLOOKUP($R177,武学奇术!$A:$ZZ,30,FALSE)="蓄力技",$B$21,0))*(1+IF(VLOOKUP($R177,武学奇术!$A:$ZZ,30,FALSE)="派生技",$B$20,0))*(1+$BW177)*(1+$BX177)</f>
        <v>0</v>
      </c>
      <c r="Q177" s="47">
        <f t="shared" si="45"/>
        <v>0</v>
      </c>
      <c r="R177" s="48" t="s">
        <v>195</v>
      </c>
      <c r="S177" s="48" t="s">
        <v>99</v>
      </c>
      <c r="T177" s="48" t="s">
        <v>182</v>
      </c>
      <c r="U177" s="48" t="s">
        <v>79</v>
      </c>
      <c r="V177" s="48" t="s">
        <v>90</v>
      </c>
      <c r="W177" s="48" t="s">
        <v>141</v>
      </c>
      <c r="X177" s="48" t="s">
        <v>80</v>
      </c>
      <c r="Y177" s="48" t="s">
        <v>74</v>
      </c>
      <c r="Z177" s="48" t="s">
        <v>80</v>
      </c>
      <c r="AA177" s="48" t="s">
        <v>80</v>
      </c>
      <c r="AB177" s="48" t="s">
        <v>80</v>
      </c>
      <c r="AC177" s="48" t="s">
        <v>80</v>
      </c>
      <c r="AD177" s="48" t="s">
        <v>80</v>
      </c>
      <c r="AE177" s="48" t="s">
        <v>80</v>
      </c>
      <c r="AF177" s="48" t="s">
        <v>83</v>
      </c>
      <c r="AG177" s="48" t="s">
        <v>84</v>
      </c>
      <c r="AH177" s="48" t="s">
        <v>80</v>
      </c>
      <c r="AI177" s="48" t="s">
        <v>80</v>
      </c>
      <c r="AJ177" s="48" t="s">
        <v>80</v>
      </c>
      <c r="AK177" s="48" t="s">
        <v>80</v>
      </c>
      <c r="AL177" s="48" t="s">
        <v>80</v>
      </c>
      <c r="AM177" t="str">
        <f>VLOOKUP($R177,武学奇术!$A:$ZZ,25,FALSE)</f>
        <v>横刀</v>
      </c>
      <c r="AN177" s="33">
        <f>VLOOKUP($R177,武学奇术!$A:$ZZ,26,FALSE)</f>
        <v>3.6553</v>
      </c>
      <c r="AO177" s="34">
        <f>VLOOKUP($R177,武学奇术!$A:$ZZ,27,FALSE)*(1+IF(OR($AM177=$F$4,$AM177=$F$5),$B$22,0))</f>
        <v>1619.2</v>
      </c>
      <c r="AP177" s="33">
        <f>VLOOKUP($R177,武学奇术!$A:$ZZ,28,FALSE)</f>
        <v>5.4829</v>
      </c>
      <c r="AQ177" s="34">
        <f>VLOOKUP($R177,武学奇术!$A:$ZZ,29,FALSE)*(1+IF(OR($AM177=$F$4,$AM177=$F$5),$B$22,0))</f>
        <v>880</v>
      </c>
      <c r="AR177" s="33" cm="1">
        <f t="array" ref="AR177">$G$3+IFERROR(VLOOKUP($AM177,$F$4:$G$7,2,FALSE),0)+VLOOKUP($R177,武学奇术!$A:$ZZ,2,FALSE)+SUM(_xlfn.XLOOKUP($S177:$AL177,增益!$A:$A,增益!$B:$B,0))</f>
        <v>0.6289</v>
      </c>
      <c r="AS177" s="33" cm="1">
        <f t="array" ref="AS177">VLOOKUP($R177,武学奇术!$A:$ZZ,5,FALSE)+SUM(_xlfn.XLOOKUP($S177:$AL177,增益!$A:$A,增益!$E:$E,0))</f>
        <v>0</v>
      </c>
      <c r="AT177" cm="1">
        <f t="array" ref="AT177">$D$10*(1+$AS177)+VLOOKUP($R177,武学奇术!$A:$ZZ,3,FALSE)+SUM(_xlfn.XLOOKUP($S177:$AL177,增益!$A:$A,增益!$C:$C,0))-$I$2</f>
        <v>4026</v>
      </c>
      <c r="AU177" cm="1">
        <f t="array" ref="AU177">$E$10*(1+$AS177)+VLOOKUP($R177,武学奇术!$A:$ZZ,4,FALSE)+SUM(_xlfn.XLOOKUP($S177:$AL177,增益!$A:$A,增益!$D:$D,0))-$I$2</f>
        <v>4026</v>
      </c>
      <c r="AV177" s="40" cm="1">
        <f t="array" ref="AV177">IF($F$10-$I$3+VLOOKUP($R177,武学奇术!$A:$ZZ,6,FALSE)+SUM(_xlfn.XLOOKUP($S177:$AL177,增益!$A:$A,增益!$F:$F,0))&gt;0,($F$10-$I$3+VLOOKUP($R177,武学奇术!$A:$ZZ,6,FALSE)+SUM(_xlfn.XLOOKUP($S177:$AL177,增益!$A:$A,增益!$F:$F,0)))/200,($F$10-$I$3+VLOOKUP($R177,武学奇术!$A:$ZZ,6,FALSE)+SUM(_xlfn.XLOOKUP($S177:$AL177,增益!$A:$A,增益!$F:$F,0)))/100)</f>
        <v>0.3534</v>
      </c>
      <c r="AW177" s="40" cm="1">
        <f t="array" ref="AW177">$G$10+VLOOKUP($R177,武学奇术!$A:$ZZ,7,FALSE)+SUM(_xlfn.XLOOKUP($S177:$AL177,增益!$A:$A,增益!$G:$G,0))</f>
        <v>0.12</v>
      </c>
      <c r="AX177" s="33" cm="1">
        <f t="array" ref="AX177">VLOOKUP($R177,武学奇术!$A:$ZZ,8,FALSE)+SUM(_xlfn.XLOOKUP($S177:$AL177,增益!$A:$A,增益!$H:$H,0))</f>
        <v>0</v>
      </c>
      <c r="AY177">
        <f t="shared" si="34"/>
        <v>0</v>
      </c>
      <c r="AZ177">
        <f t="shared" si="35"/>
        <v>0</v>
      </c>
      <c r="BA177" s="40" cm="1">
        <f t="array" ref="BA177">IF($F$11-$I$4+VLOOKUP($R177,武学奇术!$A:$ZZ,9,FALSE)+SUM(_xlfn.XLOOKUP($S177:$AL177,增益!$A:$A,增益!$I:$I,0))&gt;0,($F$11-$I$4+VLOOKUP($R177,武学奇术!$A:$ZZ,9,FALSE)+SUM(_xlfn.XLOOKUP($S177:$AL177,增益!$A:$A,增益!$I:$I,0)))/200,($F$11-$I$4+VLOOKUP($R177,武学奇术!$A:$ZZ,9,FALSE)+SUM(_xlfn.XLOOKUP($S177:$AL177,增益!$A:$A,增益!$I:$I,0)))/100)</f>
        <v>-0.14</v>
      </c>
      <c r="BB177" s="40" cm="1">
        <f t="array" ref="BB177">$G$11+VLOOKUP($R177,武学奇术!$A:$ZZ,10,FALSE)+SUM(_xlfn.XLOOKUP($S177:$AL177,增益!$A:$A,增益!$J:$J,0))</f>
        <v>0</v>
      </c>
      <c r="BC177">
        <f t="shared" si="36"/>
        <v>640.3</v>
      </c>
      <c r="BD177">
        <f t="shared" si="37"/>
        <v>1770.1</v>
      </c>
      <c r="BE177" s="40" cm="1">
        <f t="array" ref="BE177">IF($F$12-$I$4+VLOOKUP($R177,武学奇术!$A:$ZZ,11,FALSE)+SUM(_xlfn.XLOOKUP($S177:$AL177,增益!$A:$A,增益!$K:$K,0))&gt;0,($F$12-$I$4+VLOOKUP($R177,武学奇术!$A:$ZZ,11,FALSE)+SUM(_xlfn.XLOOKUP($S177:$AL177,增益!$A:$A,增益!$K:$K,0)))/200,($F$12-$I$4+VLOOKUP($R177,武学奇术!$A:$ZZ,11,FALSE)+SUM(_xlfn.XLOOKUP($S177:$AL177,增益!$A:$A,增益!$K:$K,0)))/100)</f>
        <v>0.17</v>
      </c>
      <c r="BF177" s="40" cm="1">
        <f t="array" ref="BF177">$G$12+VLOOKUP($R177,武学奇术!$A:$ZZ,12,FALSE)+SUM(_xlfn.XLOOKUP($S177:$AL177,增益!$A:$A,增益!$L:$L,0))</f>
        <v>0.27</v>
      </c>
      <c r="BG177">
        <f t="shared" si="38"/>
        <v>0</v>
      </c>
      <c r="BH177">
        <f t="shared" si="39"/>
        <v>0</v>
      </c>
      <c r="BI177" s="40" cm="1">
        <f t="array" ref="BI177">IF($F$13-$I$4+VLOOKUP($R177,武学奇术!$A:$ZZ,13,FALSE)+SUM(_xlfn.XLOOKUP($S177:$AL177,增益!$A:$A,增益!$M:$M,0))&gt;0,($F$13-$I$4+VLOOKUP($R177,武学奇术!$A:$ZZ,13,FALSE)+SUM(_xlfn.XLOOKUP($S177:$AL177,增益!$A:$A,增益!$K:$K,0)))/200,($F$13-$I$4+VLOOKUP($R177,武学奇术!$A:$ZZ,13,FALSE)+SUM(_xlfn.XLOOKUP($S177:$AL177,增益!$A:$A,增益!$M:$M,0)))/100)</f>
        <v>-0.14</v>
      </c>
      <c r="BJ177" s="40" cm="1">
        <f t="array" ref="BJ177">$G$13+VLOOKUP($R177,武学奇术!$A:$ZZ,14,FALSE)+SUM(_xlfn.XLOOKUP($S177:$AL177,增益!$A:$A,增益!$N:$N,0))</f>
        <v>0</v>
      </c>
      <c r="BK177">
        <f t="shared" si="40"/>
        <v>0</v>
      </c>
      <c r="BL177">
        <f t="shared" si="41"/>
        <v>0</v>
      </c>
      <c r="BM177" s="40" cm="1">
        <f t="array" ref="BM177">IF($F$14-$I$4+VLOOKUP($R177,武学奇术!$A:$ZZ,15,FALSE)+SUM(_xlfn.XLOOKUP($S177:$AL177,增益!$A:$A,增益!$O:$O,0))&gt;0,($F$14-$I$4+VLOOKUP($R177,武学奇术!$A:$ZZ,15,FALSE)+SUM(_xlfn.XLOOKUP($S177:$AL177,增益!$A:$A,增益!$O:$O,0)))/200,($F$14-$I$4+VLOOKUP($R177,武学奇术!$A:$ZZ,15,FALSE)+SUM(_xlfn.XLOOKUP($S177:$AL177,增益!$A:$A,增益!$O:$O,0)))/100)</f>
        <v>-0.14</v>
      </c>
      <c r="BN177" s="40" cm="1">
        <f t="array" ref="BN177">$G$14+VLOOKUP($R177,武学奇术!$A:$ZZ,16,FALSE)+SUM(_xlfn.XLOOKUP($S177:$AL177,增益!$A:$A,增益!$P:$P,0))</f>
        <v>0</v>
      </c>
      <c r="BO177" s="33">
        <f>MIN(IF(VLOOKUP($R177,武学奇术!$A:$ZZ,23,FALSE)=1,100%,$B$8),100%)</f>
        <v>0.9771</v>
      </c>
      <c r="BP177" s="33" cm="1">
        <f t="array" ref="BP177">IF(VLOOKUP($R177,武学奇术!$A:$ZZ,23,FALSE)=1,100%,MIN(80%,$B$9+VLOOKUP($R177,武学奇术!$A:$ZZ,17,FALSE)+SUM(_xlfn.XLOOKUP($S177:$AL177,增益!$A:$A,增益!$Q:$Q,0)))+$B$11+SUM(_xlfn.XLOOKUP($S177:$AL177,增益!$A:$A,增益!$U:$U,0)))*IF(VLOOKUP($R177,武学奇术!$A:$ZZ,24,FALSE)=1,0,1)</f>
        <v>0.8861</v>
      </c>
      <c r="BQ177" s="33" cm="1">
        <f t="array" ref="BQ177">1+$B$13+VLOOKUP($R177,武学奇术!$A:$ZZ,18,FALSE)+SUM(_xlfn.XLOOKUP($S177:$AL177,增益!$A:$A,增益!$R:$R,0))</f>
        <v>2</v>
      </c>
      <c r="BR177" s="33" cm="1">
        <f t="array" ref="BR177">IF(VLOOKUP($R177,武学奇术!$A:$ZZ,24,FALSE)=1,100%,MIN(40%,$B$10+VLOOKUP($R177,武学奇术!$A:$ZZ,19,FALSE)+SUM(_xlfn.XLOOKUP($S177:$AL177,增益!$A:$A,增益!$S:$S,0)))+$B$12+SUM(_xlfn.XLOOKUP($S177:$AL177,增益!$A:$A,增益!$V:$V,0)))*IF(VLOOKUP($R177,武学奇术!$A:$ZZ,23,FALSE)=1,0,1)</f>
        <v>0.0913</v>
      </c>
      <c r="BS177" s="33" cm="1">
        <f t="array" ref="BS177">1+$B$14+VLOOKUP($R177,武学奇术!$A:$ZZ,20,FALSE)+SUM(_xlfn.XLOOKUP($S177:$AL177,增益!$A:$A,增益!$T:$T,0))</f>
        <v>1.35</v>
      </c>
      <c r="BT177" s="33">
        <f t="shared" si="42"/>
        <v>0.86580831</v>
      </c>
      <c r="BU177" s="33">
        <f t="shared" si="43"/>
        <v>0.02208246</v>
      </c>
      <c r="BV177" s="33">
        <f>IF(VLOOKUP($R177,武学奇术!$A:$ZZ,22,FALSE)=1,0,(1-$BO177))*(1-$BR177)</f>
        <v>0.02080923</v>
      </c>
      <c r="BW177" s="33" cm="1">
        <f t="array" ref="BW177">SUM(_xlfn.XLOOKUP($S177:$AL177,增益!$A:$A,增益!$W:$W,0))+$I$5</f>
        <v>0.11</v>
      </c>
      <c r="BX177" s="33" cm="1">
        <f t="array" ref="BX177">VLOOKUP($R177,武学奇术!$A:$ZZ,32,FALSE)+SUM(_xlfn.XLOOKUP($S177:$AL177,增益!$A:$A,增益!$X:$X,0))</f>
        <v>0</v>
      </c>
    </row>
    <row r="178" spans="12:76">
      <c r="L178" s="46">
        <f t="shared" si="33"/>
        <v>0</v>
      </c>
      <c r="M178" s="46">
        <f>((($AT178+$AU178)/2*$AN178+$AO178)*(1+$AV178)*(1+$AW178)+(($AY178+$AZ178)/2*IF($G$1="鸣金",$AP178,$AN178)+IF($G$1="鸣金",$AQ178*1.5,0))*(1+$BA178)*(1+$BB178)+(($BC178+$BD178)/2*IF($G$1="裂石",$AP178,$AN178)+IF($G$1="裂石",$AQ178*1.5,0))*(1+$BE178)*(1+$BF178)+(($BG178+$BH178)/2*IF($G$1="牵丝",$AP178,$AN178)+IF($G$1="牵丝",$AQ178*1.5,0))*(1+$BI178)*(1+$BJ178)+(($BK178+$BL178)/2*IF($G$1="破竹",$AP178,$AN178)+IF($G$1="破竹",$AQ178*1.5,0))*(1+$BM178)*(1+$BN178))*(1+$AR178)*$BQ178*$Q178*(1+IF(VLOOKUP($R178,武学奇术!$A:$ZZ,30,FALSE)="蓄力技",$B$21,0))*(1+IF(VLOOKUP($R178,武学奇术!$A:$ZZ,30,FALSE)="派生技",$B$20,0))*(1+$BW178)*(1+$BX178)</f>
        <v>0</v>
      </c>
      <c r="N178" s="46">
        <f>(($AU178*$AN178+$AO178)*(1+$AV178)*(1+$AW178)+($AZ178*IF($G$1="鸣金",$AP178,$AN178)+IF($G$1="鸣金",$AQ178*1.5,0))*(1+$BA178)*(1+$BB178)+($BD178*IF($G$1="裂石",$AP178,$AN178)+IF($G$1="裂石",$AQ178*1.5,0))*(1+$BE178)*(1+$BF178)+($BH178*IF($G$1="牵丝",$AP178,$AN178)+IF($G$1="牵丝",$AQ178*1.5,0))*(1+$BI178)*(1+$BJ178)+($BL178*IF($G$1="破竹",$AP178,$AN178)+IF($G$1="破竹",$AQ178*1.5,0))*(1+$BM178)*(1+$BN178))*(1+$AR178)*$BS178*$Q178*(1+IF(VLOOKUP($R178,武学奇术!$A:$ZZ,30,FALSE)="蓄力技",$B$21,0))*(1+IF(VLOOKUP($R178,武学奇术!$A:$ZZ,30,FALSE)="派生技",$B$20,0))*(1+$BW178)*(1+$BX178)</f>
        <v>0</v>
      </c>
      <c r="O178" s="46">
        <f>((($AT178+$AU178)/2*$AN178+$AO178)*(1+$AV178)*(1+$AW178)+(($AY178+$AZ178)/2*IF($G$1="鸣金",$AP178,$AN178)+IF($G$1="鸣金",$AQ178*1.5,0))*(1+$BA178)*(1+$BB178)+(($BC178+$BD178)/2*IF($G$1="裂石",$AP178,$AN178)+IF($G$1="裂石",$AQ178*1.5,0))*(1+$BE178)*(1+$BF178)+(($BG178+$BH178)/2*IF($G$1="牵丝",$AP178,$AN178)+IF($G$1="牵丝",$AQ178*1.5,0))*(1+$BI178)*(1+$BJ178)+(($BK178+$BL178)/2*IF($G$1="破竹",$AP178,$AN178)+IF($G$1="破竹",$AQ178*1.5,0))*(1+$BM178)*(1+$BN178))*(1+$AR178)*$Q178*(1+IF(VLOOKUP($R178,武学奇术!$A:$ZZ,30,FALSE)="蓄力技",$B$21,0))*(1+IF(VLOOKUP($R178,武学奇术!$A:$ZZ,30,FALSE)="派生技",$B$20,0))*(1+$BW178)*(1+$BX178)</f>
        <v>0</v>
      </c>
      <c r="P178" s="46">
        <f>((($AT178*$AN178+$AO178)*(1+$AV178)*(1+$AW178)+($AY178*IF($G$1="鸣金",$AP178,$AN178)+IF($G$1="鸣金",$AQ178*1.5,0))*(1+$BA178)*(1+$BB178)+($BC178*IF($G$1="裂石",$AP178,$AN178)+IF($G$1="裂石",$AQ178*1.5,0))*(1+$BE178)*(1+$BF178)+($BG178*IF($G$1="牵丝",$AP178,$AN178)+IF($G$1="牵丝",$AQ178*1.5,0))*(1+$BI178)*(1+$BJ178)+($BK178*IF($G$1="破竹",$AP178,$AN178)+IF($G$1="破竹",$AQ178*1.5,0))*(1+$BM178)*(1+$BN178))*(1+$AR178))*$Q178*(1+IF(VLOOKUP($R178,武学奇术!$A:$ZZ,30,FALSE)="蓄力技",$B$21,0))*(1+IF(VLOOKUP($R178,武学奇术!$A:$ZZ,30,FALSE)="派生技",$B$20,0))*(1+$BW178)*(1+$BX178)</f>
        <v>0</v>
      </c>
      <c r="Q178" s="47">
        <f t="shared" si="45"/>
        <v>0</v>
      </c>
      <c r="R178" s="48" t="s">
        <v>196</v>
      </c>
      <c r="S178" s="48" t="s">
        <v>99</v>
      </c>
      <c r="T178" s="48" t="s">
        <v>182</v>
      </c>
      <c r="U178" s="48" t="s">
        <v>79</v>
      </c>
      <c r="V178" s="48" t="s">
        <v>90</v>
      </c>
      <c r="W178" s="48" t="s">
        <v>141</v>
      </c>
      <c r="X178" s="48" t="s">
        <v>80</v>
      </c>
      <c r="Y178" s="48" t="s">
        <v>74</v>
      </c>
      <c r="Z178" s="48" t="s">
        <v>80</v>
      </c>
      <c r="AA178" s="48" t="s">
        <v>80</v>
      </c>
      <c r="AB178" s="48" t="s">
        <v>80</v>
      </c>
      <c r="AC178" s="48" t="s">
        <v>80</v>
      </c>
      <c r="AD178" s="48" t="s">
        <v>80</v>
      </c>
      <c r="AE178" s="48" t="s">
        <v>80</v>
      </c>
      <c r="AF178" s="48" t="s">
        <v>83</v>
      </c>
      <c r="AG178" s="48" t="s">
        <v>84</v>
      </c>
      <c r="AH178" s="48" t="s">
        <v>80</v>
      </c>
      <c r="AI178" s="48" t="s">
        <v>80</v>
      </c>
      <c r="AJ178" s="48" t="s">
        <v>80</v>
      </c>
      <c r="AK178" s="48" t="s">
        <v>80</v>
      </c>
      <c r="AL178" s="48" t="s">
        <v>80</v>
      </c>
      <c r="AM178" t="str">
        <f>VLOOKUP($R178,武学奇术!$A:$ZZ,25,FALSE)</f>
        <v>横刀</v>
      </c>
      <c r="AN178" s="33">
        <f>VLOOKUP($R178,武学奇术!$A:$ZZ,26,FALSE)</f>
        <v>1.47</v>
      </c>
      <c r="AO178" s="34">
        <f>VLOOKUP($R178,武学奇术!$A:$ZZ,27,FALSE)*(1+IF(OR($AM178=$F$4,$AM178=$F$5),$B$22,0))</f>
        <v>0</v>
      </c>
      <c r="AP178" s="33">
        <f>VLOOKUP($R178,武学奇术!$A:$ZZ,28,FALSE)</f>
        <v>2.205</v>
      </c>
      <c r="AQ178" s="34">
        <f>VLOOKUP($R178,武学奇术!$A:$ZZ,29,FALSE)*(1+IF(OR($AM178=$F$4,$AM178=$F$5),$B$22,0))</f>
        <v>0</v>
      </c>
      <c r="AR178" s="33" cm="1">
        <f t="array" ref="AR178">$G$3+IFERROR(VLOOKUP($AM178,$F$4:$G$7,2,FALSE),0)+VLOOKUP($R178,武学奇术!$A:$ZZ,2,FALSE)+SUM(_xlfn.XLOOKUP($S178:$AL178,增益!$A:$A,增益!$B:$B,0))</f>
        <v>0.5289</v>
      </c>
      <c r="AS178" s="33" cm="1">
        <f t="array" ref="AS178">VLOOKUP($R178,武学奇术!$A:$ZZ,5,FALSE)+SUM(_xlfn.XLOOKUP($S178:$AL178,增益!$A:$A,增益!$E:$E,0))</f>
        <v>0</v>
      </c>
      <c r="AT178" cm="1">
        <f t="array" ref="AT178">$D$10*(1+$AS178)+VLOOKUP($R178,武学奇术!$A:$ZZ,3,FALSE)+SUM(_xlfn.XLOOKUP($S178:$AL178,增益!$A:$A,增益!$C:$C,0))-$I$2</f>
        <v>4026</v>
      </c>
      <c r="AU178" cm="1">
        <f t="array" ref="AU178">$E$10*(1+$AS178)+VLOOKUP($R178,武学奇术!$A:$ZZ,4,FALSE)+SUM(_xlfn.XLOOKUP($S178:$AL178,增益!$A:$A,增益!$D:$D,0))-$I$2</f>
        <v>4026</v>
      </c>
      <c r="AV178" s="40" cm="1">
        <f t="array" ref="AV178">IF($F$10-$I$3+VLOOKUP($R178,武学奇术!$A:$ZZ,6,FALSE)+SUM(_xlfn.XLOOKUP($S178:$AL178,增益!$A:$A,增益!$F:$F,0))&gt;0,($F$10-$I$3+VLOOKUP($R178,武学奇术!$A:$ZZ,6,FALSE)+SUM(_xlfn.XLOOKUP($S178:$AL178,增益!$A:$A,增益!$F:$F,0)))/200,($F$10-$I$3+VLOOKUP($R178,武学奇术!$A:$ZZ,6,FALSE)+SUM(_xlfn.XLOOKUP($S178:$AL178,增益!$A:$A,增益!$F:$F,0)))/100)</f>
        <v>0.3534</v>
      </c>
      <c r="AW178" s="40" cm="1">
        <f t="array" ref="AW178">$G$10+VLOOKUP($R178,武学奇术!$A:$ZZ,7,FALSE)+SUM(_xlfn.XLOOKUP($S178:$AL178,增益!$A:$A,增益!$G:$G,0))</f>
        <v>0.12</v>
      </c>
      <c r="AX178" s="33" cm="1">
        <f t="array" ref="AX178">VLOOKUP($R178,武学奇术!$A:$ZZ,8,FALSE)+SUM(_xlfn.XLOOKUP($S178:$AL178,增益!$A:$A,增益!$H:$H,0))</f>
        <v>0</v>
      </c>
      <c r="AY178">
        <f t="shared" si="34"/>
        <v>0</v>
      </c>
      <c r="AZ178">
        <f t="shared" si="35"/>
        <v>0</v>
      </c>
      <c r="BA178" s="40" cm="1">
        <f t="array" ref="BA178">IF($F$11-$I$4+VLOOKUP($R178,武学奇术!$A:$ZZ,9,FALSE)+SUM(_xlfn.XLOOKUP($S178:$AL178,增益!$A:$A,增益!$I:$I,0))&gt;0,($F$11-$I$4+VLOOKUP($R178,武学奇术!$A:$ZZ,9,FALSE)+SUM(_xlfn.XLOOKUP($S178:$AL178,增益!$A:$A,增益!$I:$I,0)))/200,($F$11-$I$4+VLOOKUP($R178,武学奇术!$A:$ZZ,9,FALSE)+SUM(_xlfn.XLOOKUP($S178:$AL178,增益!$A:$A,增益!$I:$I,0)))/100)</f>
        <v>-0.14</v>
      </c>
      <c r="BB178" s="40" cm="1">
        <f t="array" ref="BB178">$G$11+VLOOKUP($R178,武学奇术!$A:$ZZ,10,FALSE)+SUM(_xlfn.XLOOKUP($S178:$AL178,增益!$A:$A,增益!$J:$J,0))</f>
        <v>0</v>
      </c>
      <c r="BC178">
        <f t="shared" si="36"/>
        <v>640.3</v>
      </c>
      <c r="BD178">
        <f t="shared" si="37"/>
        <v>1770.1</v>
      </c>
      <c r="BE178" s="40" cm="1">
        <f t="array" ref="BE178">IF($F$12-$I$4+VLOOKUP($R178,武学奇术!$A:$ZZ,11,FALSE)+SUM(_xlfn.XLOOKUP($S178:$AL178,增益!$A:$A,增益!$K:$K,0))&gt;0,($F$12-$I$4+VLOOKUP($R178,武学奇术!$A:$ZZ,11,FALSE)+SUM(_xlfn.XLOOKUP($S178:$AL178,增益!$A:$A,增益!$K:$K,0)))/200,($F$12-$I$4+VLOOKUP($R178,武学奇术!$A:$ZZ,11,FALSE)+SUM(_xlfn.XLOOKUP($S178:$AL178,增益!$A:$A,增益!$K:$K,0)))/100)</f>
        <v>0.17</v>
      </c>
      <c r="BF178" s="40" cm="1">
        <f t="array" ref="BF178">$G$12+VLOOKUP($R178,武学奇术!$A:$ZZ,12,FALSE)+SUM(_xlfn.XLOOKUP($S178:$AL178,增益!$A:$A,增益!$L:$L,0))</f>
        <v>0.27</v>
      </c>
      <c r="BG178">
        <f t="shared" si="38"/>
        <v>0</v>
      </c>
      <c r="BH178">
        <f t="shared" si="39"/>
        <v>0</v>
      </c>
      <c r="BI178" s="40" cm="1">
        <f t="array" ref="BI178">IF($F$13-$I$4+VLOOKUP($R178,武学奇术!$A:$ZZ,13,FALSE)+SUM(_xlfn.XLOOKUP($S178:$AL178,增益!$A:$A,增益!$M:$M,0))&gt;0,($F$13-$I$4+VLOOKUP($R178,武学奇术!$A:$ZZ,13,FALSE)+SUM(_xlfn.XLOOKUP($S178:$AL178,增益!$A:$A,增益!$K:$K,0)))/200,($F$13-$I$4+VLOOKUP($R178,武学奇术!$A:$ZZ,13,FALSE)+SUM(_xlfn.XLOOKUP($S178:$AL178,增益!$A:$A,增益!$M:$M,0)))/100)</f>
        <v>-0.14</v>
      </c>
      <c r="BJ178" s="40" cm="1">
        <f t="array" ref="BJ178">$G$13+VLOOKUP($R178,武学奇术!$A:$ZZ,14,FALSE)+SUM(_xlfn.XLOOKUP($S178:$AL178,增益!$A:$A,增益!$N:$N,0))</f>
        <v>0</v>
      </c>
      <c r="BK178">
        <f t="shared" si="40"/>
        <v>0</v>
      </c>
      <c r="BL178">
        <f t="shared" si="41"/>
        <v>0</v>
      </c>
      <c r="BM178" s="40" cm="1">
        <f t="array" ref="BM178">IF($F$14-$I$4+VLOOKUP($R178,武学奇术!$A:$ZZ,15,FALSE)+SUM(_xlfn.XLOOKUP($S178:$AL178,增益!$A:$A,增益!$O:$O,0))&gt;0,($F$14-$I$4+VLOOKUP($R178,武学奇术!$A:$ZZ,15,FALSE)+SUM(_xlfn.XLOOKUP($S178:$AL178,增益!$A:$A,增益!$O:$O,0)))/200,($F$14-$I$4+VLOOKUP($R178,武学奇术!$A:$ZZ,15,FALSE)+SUM(_xlfn.XLOOKUP($S178:$AL178,增益!$A:$A,增益!$O:$O,0)))/100)</f>
        <v>-0.14</v>
      </c>
      <c r="BN178" s="40" cm="1">
        <f t="array" ref="BN178">$G$14+VLOOKUP($R178,武学奇术!$A:$ZZ,16,FALSE)+SUM(_xlfn.XLOOKUP($S178:$AL178,增益!$A:$A,增益!$P:$P,0))</f>
        <v>0</v>
      </c>
      <c r="BO178" s="33">
        <f>MIN(IF(VLOOKUP($R178,武学奇术!$A:$ZZ,23,FALSE)=1,100%,$B$8),100%)</f>
        <v>0.9771</v>
      </c>
      <c r="BP178" s="33" cm="1">
        <f t="array" ref="BP178">IF(VLOOKUP($R178,武学奇术!$A:$ZZ,23,FALSE)=1,100%,MIN(80%,$B$9+VLOOKUP($R178,武学奇术!$A:$ZZ,17,FALSE)+SUM(_xlfn.XLOOKUP($S178:$AL178,增益!$A:$A,增益!$Q:$Q,0)))+$B$11+SUM(_xlfn.XLOOKUP($S178:$AL178,增益!$A:$A,增益!$U:$U,0)))*IF(VLOOKUP($R178,武学奇术!$A:$ZZ,24,FALSE)=1,0,1)</f>
        <v>0.8861</v>
      </c>
      <c r="BQ178" s="33" cm="1">
        <f t="array" ref="BQ178">1+$B$13+VLOOKUP($R178,武学奇术!$A:$ZZ,18,FALSE)+SUM(_xlfn.XLOOKUP($S178:$AL178,增益!$A:$A,增益!$R:$R,0))</f>
        <v>2</v>
      </c>
      <c r="BR178" s="33" cm="1">
        <f t="array" ref="BR178">IF(VLOOKUP($R178,武学奇术!$A:$ZZ,24,FALSE)=1,100%,MIN(40%,$B$10+VLOOKUP($R178,武学奇术!$A:$ZZ,19,FALSE)+SUM(_xlfn.XLOOKUP($S178:$AL178,增益!$A:$A,增益!$S:$S,0)))+$B$12+SUM(_xlfn.XLOOKUP($S178:$AL178,增益!$A:$A,增益!$V:$V,0)))*IF(VLOOKUP($R178,武学奇术!$A:$ZZ,23,FALSE)=1,0,1)</f>
        <v>0.0913</v>
      </c>
      <c r="BS178" s="33" cm="1">
        <f t="array" ref="BS178">1+$B$14+VLOOKUP($R178,武学奇术!$A:$ZZ,20,FALSE)+SUM(_xlfn.XLOOKUP($S178:$AL178,增益!$A:$A,增益!$T:$T,0))</f>
        <v>1.35</v>
      </c>
      <c r="BT178" s="33">
        <f t="shared" si="42"/>
        <v>0.86580831</v>
      </c>
      <c r="BU178" s="33">
        <f t="shared" si="43"/>
        <v>0.02208246</v>
      </c>
      <c r="BV178" s="33">
        <f>IF(VLOOKUP($R178,武学奇术!$A:$ZZ,22,FALSE)=1,0,(1-$BO178))*(1-$BR178)</f>
        <v>0.02080923</v>
      </c>
      <c r="BW178" s="33" cm="1">
        <f t="array" ref="BW178">SUM(_xlfn.XLOOKUP($S178:$AL178,增益!$A:$A,增益!$W:$W,0))+$I$5</f>
        <v>0.11</v>
      </c>
      <c r="BX178" s="33" cm="1">
        <f t="array" ref="BX178">VLOOKUP($R178,武学奇术!$A:$ZZ,32,FALSE)+SUM(_xlfn.XLOOKUP($S178:$AL178,增益!$A:$A,增益!$X:$X,0))</f>
        <v>0.4</v>
      </c>
    </row>
    <row r="179" spans="12:76">
      <c r="L179" s="46">
        <f t="shared" si="33"/>
        <v>0</v>
      </c>
      <c r="M179" s="46">
        <f>((($AT179+$AU179)/2*$AN179+$AO179)*(1+$AV179)*(1+$AW179)+(($AY179+$AZ179)/2*IF($G$1="鸣金",$AP179,$AN179)+IF($G$1="鸣金",$AQ179*1.5,0))*(1+$BA179)*(1+$BB179)+(($BC179+$BD179)/2*IF($G$1="裂石",$AP179,$AN179)+IF($G$1="裂石",$AQ179*1.5,0))*(1+$BE179)*(1+$BF179)+(($BG179+$BH179)/2*IF($G$1="牵丝",$AP179,$AN179)+IF($G$1="牵丝",$AQ179*1.5,0))*(1+$BI179)*(1+$BJ179)+(($BK179+$BL179)/2*IF($G$1="破竹",$AP179,$AN179)+IF($G$1="破竹",$AQ179*1.5,0))*(1+$BM179)*(1+$BN179))*(1+$AR179)*$BQ179*$Q179*(1+IF(VLOOKUP($R179,武学奇术!$A:$ZZ,30,FALSE)="蓄力技",$B$21,0))*(1+IF(VLOOKUP($R179,武学奇术!$A:$ZZ,30,FALSE)="派生技",$B$20,0))*(1+$BW179)*(1+$BX179)</f>
        <v>0</v>
      </c>
      <c r="N179" s="46">
        <f>(($AU179*$AN179+$AO179)*(1+$AV179)*(1+$AW179)+($AZ179*IF($G$1="鸣金",$AP179,$AN179)+IF($G$1="鸣金",$AQ179*1.5,0))*(1+$BA179)*(1+$BB179)+($BD179*IF($G$1="裂石",$AP179,$AN179)+IF($G$1="裂石",$AQ179*1.5,0))*(1+$BE179)*(1+$BF179)+($BH179*IF($G$1="牵丝",$AP179,$AN179)+IF($G$1="牵丝",$AQ179*1.5,0))*(1+$BI179)*(1+$BJ179)+($BL179*IF($G$1="破竹",$AP179,$AN179)+IF($G$1="破竹",$AQ179*1.5,0))*(1+$BM179)*(1+$BN179))*(1+$AR179)*$BS179*$Q179*(1+IF(VLOOKUP($R179,武学奇术!$A:$ZZ,30,FALSE)="蓄力技",$B$21,0))*(1+IF(VLOOKUP($R179,武学奇术!$A:$ZZ,30,FALSE)="派生技",$B$20,0))*(1+$BW179)*(1+$BX179)</f>
        <v>0</v>
      </c>
      <c r="O179" s="46">
        <f>((($AT179+$AU179)/2*$AN179+$AO179)*(1+$AV179)*(1+$AW179)+(($AY179+$AZ179)/2*IF($G$1="鸣金",$AP179,$AN179)+IF($G$1="鸣金",$AQ179*1.5,0))*(1+$BA179)*(1+$BB179)+(($BC179+$BD179)/2*IF($G$1="裂石",$AP179,$AN179)+IF($G$1="裂石",$AQ179*1.5,0))*(1+$BE179)*(1+$BF179)+(($BG179+$BH179)/2*IF($G$1="牵丝",$AP179,$AN179)+IF($G$1="牵丝",$AQ179*1.5,0))*(1+$BI179)*(1+$BJ179)+(($BK179+$BL179)/2*IF($G$1="破竹",$AP179,$AN179)+IF($G$1="破竹",$AQ179*1.5,0))*(1+$BM179)*(1+$BN179))*(1+$AR179)*$Q179*(1+IF(VLOOKUP($R179,武学奇术!$A:$ZZ,30,FALSE)="蓄力技",$B$21,0))*(1+IF(VLOOKUP($R179,武学奇术!$A:$ZZ,30,FALSE)="派生技",$B$20,0))*(1+$BW179)*(1+$BX179)</f>
        <v>0</v>
      </c>
      <c r="P179" s="46">
        <f>((($AT179*$AN179+$AO179)*(1+$AV179)*(1+$AW179)+($AY179*IF($G$1="鸣金",$AP179,$AN179)+IF($G$1="鸣金",$AQ179*1.5,0))*(1+$BA179)*(1+$BB179)+($BC179*IF($G$1="裂石",$AP179,$AN179)+IF($G$1="裂石",$AQ179*1.5,0))*(1+$BE179)*(1+$BF179)+($BG179*IF($G$1="牵丝",$AP179,$AN179)+IF($G$1="牵丝",$AQ179*1.5,0))*(1+$BI179)*(1+$BJ179)+($BK179*IF($G$1="破竹",$AP179,$AN179)+IF($G$1="破竹",$AQ179*1.5,0))*(1+$BM179)*(1+$BN179))*(1+$AR179))*$Q179*(1+IF(VLOOKUP($R179,武学奇术!$A:$ZZ,30,FALSE)="蓄力技",$B$21,0))*(1+IF(VLOOKUP($R179,武学奇术!$A:$ZZ,30,FALSE)="派生技",$B$20,0))*(1+$BW179)*(1+$BX179)</f>
        <v>0</v>
      </c>
      <c r="Q179" s="47">
        <f t="shared" ref="Q179:Q181" si="46">IF($E$24="唐刀",5,0)</f>
        <v>0</v>
      </c>
      <c r="R179" s="48" t="s">
        <v>197</v>
      </c>
      <c r="S179" s="48" t="s">
        <v>99</v>
      </c>
      <c r="T179" s="48" t="s">
        <v>182</v>
      </c>
      <c r="U179" s="48" t="s">
        <v>79</v>
      </c>
      <c r="V179" s="48" t="s">
        <v>90</v>
      </c>
      <c r="W179" s="48" t="s">
        <v>91</v>
      </c>
      <c r="X179" s="48" t="s">
        <v>80</v>
      </c>
      <c r="Y179" s="48" t="s">
        <v>80</v>
      </c>
      <c r="Z179" s="48" t="s">
        <v>80</v>
      </c>
      <c r="AA179" s="48" t="s">
        <v>183</v>
      </c>
      <c r="AB179" s="48" t="s">
        <v>80</v>
      </c>
      <c r="AC179" s="48" t="s">
        <v>193</v>
      </c>
      <c r="AD179" s="48" t="s">
        <v>80</v>
      </c>
      <c r="AE179" s="48" t="s">
        <v>80</v>
      </c>
      <c r="AF179" s="48" t="s">
        <v>83</v>
      </c>
      <c r="AG179" s="48" t="s">
        <v>84</v>
      </c>
      <c r="AH179" s="48" t="s">
        <v>80</v>
      </c>
      <c r="AI179" s="48" t="s">
        <v>80</v>
      </c>
      <c r="AJ179" s="48" t="s">
        <v>80</v>
      </c>
      <c r="AK179" s="48" t="s">
        <v>80</v>
      </c>
      <c r="AL179" s="48" t="s">
        <v>80</v>
      </c>
      <c r="AM179" t="str">
        <f>VLOOKUP($R179,武学奇术!$A:$ZZ,25,FALSE)</f>
        <v>横刀</v>
      </c>
      <c r="AN179" s="33">
        <f>VLOOKUP($R179,武学奇术!$A:$ZZ,26,FALSE)</f>
        <v>2.4495</v>
      </c>
      <c r="AO179" s="34">
        <f>VLOOKUP($R179,武学奇术!$A:$ZZ,27,FALSE)*(1+IF(OR($AM179=$F$4,$AM179=$F$5),$B$22,0))</f>
        <v>1083.2</v>
      </c>
      <c r="AP179" s="33">
        <f>VLOOKUP($R179,武学奇术!$A:$ZZ,28,FALSE)</f>
        <v>3.6743</v>
      </c>
      <c r="AQ179" s="34">
        <f>VLOOKUP($R179,武学奇术!$A:$ZZ,29,FALSE)*(1+IF(OR($AM179=$F$4,$AM179=$F$5),$B$22,0))</f>
        <v>588.8</v>
      </c>
      <c r="AR179" s="33" cm="1">
        <f t="array" ref="AR179">$G$3+IFERROR(VLOOKUP($AM179,$F$4:$G$7,2,FALSE),0)+VLOOKUP($R179,武学奇术!$A:$ZZ,2,FALSE)+SUM(_xlfn.XLOOKUP($S179:$AL179,增益!$A:$A,增益!$B:$B,0))</f>
        <v>0.4489</v>
      </c>
      <c r="AS179" s="33" cm="1">
        <f t="array" ref="AS179">VLOOKUP($R179,武学奇术!$A:$ZZ,5,FALSE)+SUM(_xlfn.XLOOKUP($S179:$AL179,增益!$A:$A,增益!$E:$E,0))</f>
        <v>0</v>
      </c>
      <c r="AT179" cm="1">
        <f t="array" ref="AT179">$D$10*(1+$AS179)+VLOOKUP($R179,武学奇术!$A:$ZZ,3,FALSE)+SUM(_xlfn.XLOOKUP($S179:$AL179,增益!$A:$A,增益!$C:$C,0))-$I$2</f>
        <v>4026</v>
      </c>
      <c r="AU179" cm="1">
        <f t="array" ref="AU179">$E$10*(1+$AS179)+VLOOKUP($R179,武学奇术!$A:$ZZ,4,FALSE)+SUM(_xlfn.XLOOKUP($S179:$AL179,增益!$A:$A,增益!$D:$D,0))-$I$2</f>
        <v>4026</v>
      </c>
      <c r="AV179" s="40" cm="1">
        <f t="array" ref="AV179">IF($F$10-$I$3+VLOOKUP($R179,武学奇术!$A:$ZZ,6,FALSE)+SUM(_xlfn.XLOOKUP($S179:$AL179,增益!$A:$A,增益!$F:$F,0))&gt;0,($F$10-$I$3+VLOOKUP($R179,武学奇术!$A:$ZZ,6,FALSE)+SUM(_xlfn.XLOOKUP($S179:$AL179,增益!$A:$A,增益!$F:$F,0)))/200,($F$10-$I$3+VLOOKUP($R179,武学奇术!$A:$ZZ,6,FALSE)+SUM(_xlfn.XLOOKUP($S179:$AL179,增益!$A:$A,增益!$F:$F,0)))/100)</f>
        <v>0.3284</v>
      </c>
      <c r="AW179" s="40" cm="1">
        <f t="array" ref="AW179">$G$10+VLOOKUP($R179,武学奇术!$A:$ZZ,7,FALSE)+SUM(_xlfn.XLOOKUP($S179:$AL179,增益!$A:$A,增益!$G:$G,0))</f>
        <v>0.12</v>
      </c>
      <c r="AX179" s="33" cm="1">
        <f t="array" ref="AX179">VLOOKUP($R179,武学奇术!$A:$ZZ,8,FALSE)+SUM(_xlfn.XLOOKUP($S179:$AL179,增益!$A:$A,增益!$H:$H,0))</f>
        <v>0</v>
      </c>
      <c r="AY179">
        <f t="shared" si="34"/>
        <v>0</v>
      </c>
      <c r="AZ179">
        <f t="shared" si="35"/>
        <v>0</v>
      </c>
      <c r="BA179" s="40" cm="1">
        <f t="array" ref="BA179">IF($F$11-$I$4+VLOOKUP($R179,武学奇术!$A:$ZZ,9,FALSE)+SUM(_xlfn.XLOOKUP($S179:$AL179,增益!$A:$A,增益!$I:$I,0))&gt;0,($F$11-$I$4+VLOOKUP($R179,武学奇术!$A:$ZZ,9,FALSE)+SUM(_xlfn.XLOOKUP($S179:$AL179,增益!$A:$A,增益!$I:$I,0)))/200,($F$11-$I$4+VLOOKUP($R179,武学奇术!$A:$ZZ,9,FALSE)+SUM(_xlfn.XLOOKUP($S179:$AL179,增益!$A:$A,增益!$I:$I,0)))/100)</f>
        <v>-0.14</v>
      </c>
      <c r="BB179" s="40" cm="1">
        <f t="array" ref="BB179">$G$11+VLOOKUP($R179,武学奇术!$A:$ZZ,10,FALSE)+SUM(_xlfn.XLOOKUP($S179:$AL179,增益!$A:$A,增益!$J:$J,0))</f>
        <v>0</v>
      </c>
      <c r="BC179">
        <f t="shared" si="36"/>
        <v>640.3</v>
      </c>
      <c r="BD179">
        <f t="shared" si="37"/>
        <v>1770.1</v>
      </c>
      <c r="BE179" s="40" cm="1">
        <f t="array" ref="BE179">IF($F$12-$I$4+VLOOKUP($R179,武学奇术!$A:$ZZ,11,FALSE)+SUM(_xlfn.XLOOKUP($S179:$AL179,增益!$A:$A,增益!$K:$K,0))&gt;0,($F$12-$I$4+VLOOKUP($R179,武学奇术!$A:$ZZ,11,FALSE)+SUM(_xlfn.XLOOKUP($S179:$AL179,增益!$A:$A,增益!$K:$K,0)))/200,($F$12-$I$4+VLOOKUP($R179,武学奇术!$A:$ZZ,11,FALSE)+SUM(_xlfn.XLOOKUP($S179:$AL179,增益!$A:$A,增益!$K:$K,0)))/100)</f>
        <v>0.17</v>
      </c>
      <c r="BF179" s="40" cm="1">
        <f t="array" ref="BF179">$G$12+VLOOKUP($R179,武学奇术!$A:$ZZ,12,FALSE)+SUM(_xlfn.XLOOKUP($S179:$AL179,增益!$A:$A,增益!$L:$L,0))</f>
        <v>0.27</v>
      </c>
      <c r="BG179">
        <f t="shared" si="38"/>
        <v>0</v>
      </c>
      <c r="BH179">
        <f t="shared" si="39"/>
        <v>0</v>
      </c>
      <c r="BI179" s="40" cm="1">
        <f t="array" ref="BI179">IF($F$13-$I$4+VLOOKUP($R179,武学奇术!$A:$ZZ,13,FALSE)+SUM(_xlfn.XLOOKUP($S179:$AL179,增益!$A:$A,增益!$M:$M,0))&gt;0,($F$13-$I$4+VLOOKUP($R179,武学奇术!$A:$ZZ,13,FALSE)+SUM(_xlfn.XLOOKUP($S179:$AL179,增益!$A:$A,增益!$K:$K,0)))/200,($F$13-$I$4+VLOOKUP($R179,武学奇术!$A:$ZZ,13,FALSE)+SUM(_xlfn.XLOOKUP($S179:$AL179,增益!$A:$A,增益!$M:$M,0)))/100)</f>
        <v>-0.14</v>
      </c>
      <c r="BJ179" s="40" cm="1">
        <f t="array" ref="BJ179">$G$13+VLOOKUP($R179,武学奇术!$A:$ZZ,14,FALSE)+SUM(_xlfn.XLOOKUP($S179:$AL179,增益!$A:$A,增益!$N:$N,0))</f>
        <v>0</v>
      </c>
      <c r="BK179">
        <f t="shared" si="40"/>
        <v>0</v>
      </c>
      <c r="BL179">
        <f t="shared" si="41"/>
        <v>0</v>
      </c>
      <c r="BM179" s="40" cm="1">
        <f t="array" ref="BM179">IF($F$14-$I$4+VLOOKUP($R179,武学奇术!$A:$ZZ,15,FALSE)+SUM(_xlfn.XLOOKUP($S179:$AL179,增益!$A:$A,增益!$O:$O,0))&gt;0,($F$14-$I$4+VLOOKUP($R179,武学奇术!$A:$ZZ,15,FALSE)+SUM(_xlfn.XLOOKUP($S179:$AL179,增益!$A:$A,增益!$O:$O,0)))/200,($F$14-$I$4+VLOOKUP($R179,武学奇术!$A:$ZZ,15,FALSE)+SUM(_xlfn.XLOOKUP($S179:$AL179,增益!$A:$A,增益!$O:$O,0)))/100)</f>
        <v>-0.14</v>
      </c>
      <c r="BN179" s="40" cm="1">
        <f t="array" ref="BN179">$G$14+VLOOKUP($R179,武学奇术!$A:$ZZ,16,FALSE)+SUM(_xlfn.XLOOKUP($S179:$AL179,增益!$A:$A,增益!$P:$P,0))</f>
        <v>0</v>
      </c>
      <c r="BO179" s="33">
        <f>MIN(IF(VLOOKUP($R179,武学奇术!$A:$ZZ,23,FALSE)=1,100%,$B$8),100%)</f>
        <v>0.9771</v>
      </c>
      <c r="BP179" s="33" cm="1">
        <f t="array" ref="BP179">IF(VLOOKUP($R179,武学奇术!$A:$ZZ,23,FALSE)=1,100%,MIN(80%,$B$9+VLOOKUP($R179,武学奇术!$A:$ZZ,17,FALSE)+SUM(_xlfn.XLOOKUP($S179:$AL179,增益!$A:$A,增益!$Q:$Q,0)))+$B$11+SUM(_xlfn.XLOOKUP($S179:$AL179,增益!$A:$A,增益!$U:$U,0)))*IF(VLOOKUP($R179,武学奇术!$A:$ZZ,24,FALSE)=1,0,1)</f>
        <v>0.8861</v>
      </c>
      <c r="BQ179" s="33" cm="1">
        <f t="array" ref="BQ179">1+$B$13+VLOOKUP($R179,武学奇术!$A:$ZZ,18,FALSE)+SUM(_xlfn.XLOOKUP($S179:$AL179,增益!$A:$A,增益!$R:$R,0))</f>
        <v>1.95</v>
      </c>
      <c r="BR179" s="33" cm="1">
        <f t="array" ref="BR179">IF(VLOOKUP($R179,武学奇术!$A:$ZZ,24,FALSE)=1,100%,MIN(40%,$B$10+VLOOKUP($R179,武学奇术!$A:$ZZ,19,FALSE)+SUM(_xlfn.XLOOKUP($S179:$AL179,增益!$A:$A,增益!$S:$S,0)))+$B$12+SUM(_xlfn.XLOOKUP($S179:$AL179,增益!$A:$A,增益!$V:$V,0)))*IF(VLOOKUP($R179,武学奇术!$A:$ZZ,23,FALSE)=1,0,1)</f>
        <v>0.0913</v>
      </c>
      <c r="BS179" s="33" cm="1">
        <f t="array" ref="BS179">1+$B$14+VLOOKUP($R179,武学奇术!$A:$ZZ,20,FALSE)+SUM(_xlfn.XLOOKUP($S179:$AL179,增益!$A:$A,增益!$T:$T,0))</f>
        <v>1.35</v>
      </c>
      <c r="BT179" s="33">
        <f t="shared" si="42"/>
        <v>0.86580831</v>
      </c>
      <c r="BU179" s="33">
        <f t="shared" si="43"/>
        <v>0.02208246</v>
      </c>
      <c r="BV179" s="33">
        <f>IF(VLOOKUP($R179,武学奇术!$A:$ZZ,22,FALSE)=1,0,(1-$BO179))*(1-$BR179)</f>
        <v>0.02080923</v>
      </c>
      <c r="BW179" s="33" cm="1">
        <f t="array" ref="BW179">SUM(_xlfn.XLOOKUP($S179:$AL179,增益!$A:$A,增益!$W:$W,0))+$I$5</f>
        <v>0.21</v>
      </c>
      <c r="BX179" s="33" cm="1">
        <f t="array" ref="BX179">VLOOKUP($R179,武学奇术!$A:$ZZ,32,FALSE)+SUM(_xlfn.XLOOKUP($S179:$AL179,增益!$A:$A,增益!$X:$X,0))</f>
        <v>0</v>
      </c>
    </row>
    <row r="180" spans="12:76">
      <c r="L180" s="46">
        <f t="shared" si="33"/>
        <v>0</v>
      </c>
      <c r="M180" s="46">
        <f>((($AT180+$AU180)/2*$AN180+$AO180)*(1+$AV180)*(1+$AW180)+(($AY180+$AZ180)/2*IF($G$1="鸣金",$AP180,$AN180)+IF($G$1="鸣金",$AQ180*1.5,0))*(1+$BA180)*(1+$BB180)+(($BC180+$BD180)/2*IF($G$1="裂石",$AP180,$AN180)+IF($G$1="裂石",$AQ180*1.5,0))*(1+$BE180)*(1+$BF180)+(($BG180+$BH180)/2*IF($G$1="牵丝",$AP180,$AN180)+IF($G$1="牵丝",$AQ180*1.5,0))*(1+$BI180)*(1+$BJ180)+(($BK180+$BL180)/2*IF($G$1="破竹",$AP180,$AN180)+IF($G$1="破竹",$AQ180*1.5,0))*(1+$BM180)*(1+$BN180))*(1+$AR180)*$BQ180*$Q180*(1+IF(VLOOKUP($R180,武学奇术!$A:$ZZ,30,FALSE)="蓄力技",$B$21,0))*(1+IF(VLOOKUP($R180,武学奇术!$A:$ZZ,30,FALSE)="派生技",$B$20,0))*(1+$BW180)*(1+$BX180)</f>
        <v>0</v>
      </c>
      <c r="N180" s="46">
        <f>(($AU180*$AN180+$AO180)*(1+$AV180)*(1+$AW180)+($AZ180*IF($G$1="鸣金",$AP180,$AN180)+IF($G$1="鸣金",$AQ180*1.5,0))*(1+$BA180)*(1+$BB180)+($BD180*IF($G$1="裂石",$AP180,$AN180)+IF($G$1="裂石",$AQ180*1.5,0))*(1+$BE180)*(1+$BF180)+($BH180*IF($G$1="牵丝",$AP180,$AN180)+IF($G$1="牵丝",$AQ180*1.5,0))*(1+$BI180)*(1+$BJ180)+($BL180*IF($G$1="破竹",$AP180,$AN180)+IF($G$1="破竹",$AQ180*1.5,0))*(1+$BM180)*(1+$BN180))*(1+$AR180)*$BS180*$Q180*(1+IF(VLOOKUP($R180,武学奇术!$A:$ZZ,30,FALSE)="蓄力技",$B$21,0))*(1+IF(VLOOKUP($R180,武学奇术!$A:$ZZ,30,FALSE)="派生技",$B$20,0))*(1+$BW180)*(1+$BX180)</f>
        <v>0</v>
      </c>
      <c r="O180" s="46">
        <f>((($AT180+$AU180)/2*$AN180+$AO180)*(1+$AV180)*(1+$AW180)+(($AY180+$AZ180)/2*IF($G$1="鸣金",$AP180,$AN180)+IF($G$1="鸣金",$AQ180*1.5,0))*(1+$BA180)*(1+$BB180)+(($BC180+$BD180)/2*IF($G$1="裂石",$AP180,$AN180)+IF($G$1="裂石",$AQ180*1.5,0))*(1+$BE180)*(1+$BF180)+(($BG180+$BH180)/2*IF($G$1="牵丝",$AP180,$AN180)+IF($G$1="牵丝",$AQ180*1.5,0))*(1+$BI180)*(1+$BJ180)+(($BK180+$BL180)/2*IF($G$1="破竹",$AP180,$AN180)+IF($G$1="破竹",$AQ180*1.5,0))*(1+$BM180)*(1+$BN180))*(1+$AR180)*$Q180*(1+IF(VLOOKUP($R180,武学奇术!$A:$ZZ,30,FALSE)="蓄力技",$B$21,0))*(1+IF(VLOOKUP($R180,武学奇术!$A:$ZZ,30,FALSE)="派生技",$B$20,0))*(1+$BW180)*(1+$BX180)</f>
        <v>0</v>
      </c>
      <c r="P180" s="46">
        <f>((($AT180*$AN180+$AO180)*(1+$AV180)*(1+$AW180)+($AY180*IF($G$1="鸣金",$AP180,$AN180)+IF($G$1="鸣金",$AQ180*1.5,0))*(1+$BA180)*(1+$BB180)+($BC180*IF($G$1="裂石",$AP180,$AN180)+IF($G$1="裂石",$AQ180*1.5,0))*(1+$BE180)*(1+$BF180)+($BG180*IF($G$1="牵丝",$AP180,$AN180)+IF($G$1="牵丝",$AQ180*1.5,0))*(1+$BI180)*(1+$BJ180)+($BK180*IF($G$1="破竹",$AP180,$AN180)+IF($G$1="破竹",$AQ180*1.5,0))*(1+$BM180)*(1+$BN180))*(1+$AR180))*$Q180*(1+IF(VLOOKUP($R180,武学奇术!$A:$ZZ,30,FALSE)="蓄力技",$B$21,0))*(1+IF(VLOOKUP($R180,武学奇术!$A:$ZZ,30,FALSE)="派生技",$B$20,0))*(1+$BW180)*(1+$BX180)</f>
        <v>0</v>
      </c>
      <c r="Q180" s="47">
        <f t="shared" si="46"/>
        <v>0</v>
      </c>
      <c r="R180" s="48" t="s">
        <v>195</v>
      </c>
      <c r="S180" s="48" t="s">
        <v>99</v>
      </c>
      <c r="T180" s="48" t="s">
        <v>182</v>
      </c>
      <c r="U180" s="48" t="s">
        <v>79</v>
      </c>
      <c r="V180" s="48" t="s">
        <v>90</v>
      </c>
      <c r="W180" s="48" t="s">
        <v>141</v>
      </c>
      <c r="X180" s="48" t="s">
        <v>80</v>
      </c>
      <c r="Y180" s="48" t="s">
        <v>74</v>
      </c>
      <c r="Z180" s="48" t="s">
        <v>80</v>
      </c>
      <c r="AA180" s="48" t="s">
        <v>183</v>
      </c>
      <c r="AB180" s="48" t="s">
        <v>80</v>
      </c>
      <c r="AC180" s="48" t="s">
        <v>193</v>
      </c>
      <c r="AD180" s="48" t="s">
        <v>80</v>
      </c>
      <c r="AE180" s="48" t="s">
        <v>80</v>
      </c>
      <c r="AF180" s="48" t="s">
        <v>83</v>
      </c>
      <c r="AG180" s="48" t="s">
        <v>84</v>
      </c>
      <c r="AH180" s="48" t="s">
        <v>80</v>
      </c>
      <c r="AI180" s="48" t="s">
        <v>80</v>
      </c>
      <c r="AJ180" s="48" t="s">
        <v>80</v>
      </c>
      <c r="AK180" s="48" t="s">
        <v>80</v>
      </c>
      <c r="AL180" s="48" t="s">
        <v>80</v>
      </c>
      <c r="AM180" t="str">
        <f>VLOOKUP($R180,武学奇术!$A:$ZZ,25,FALSE)</f>
        <v>横刀</v>
      </c>
      <c r="AN180" s="33">
        <f>VLOOKUP($R180,武学奇术!$A:$ZZ,26,FALSE)</f>
        <v>3.6553</v>
      </c>
      <c r="AO180" s="34">
        <f>VLOOKUP($R180,武学奇术!$A:$ZZ,27,FALSE)*(1+IF(OR($AM180=$F$4,$AM180=$F$5),$B$22,0))</f>
        <v>1619.2</v>
      </c>
      <c r="AP180" s="33">
        <f>VLOOKUP($R180,武学奇术!$A:$ZZ,28,FALSE)</f>
        <v>5.4829</v>
      </c>
      <c r="AQ180" s="34">
        <f>VLOOKUP($R180,武学奇术!$A:$ZZ,29,FALSE)*(1+IF(OR($AM180=$F$4,$AM180=$F$5),$B$22,0))</f>
        <v>880</v>
      </c>
      <c r="AR180" s="33" cm="1">
        <f t="array" ref="AR180">$G$3+IFERROR(VLOOKUP($AM180,$F$4:$G$7,2,FALSE),0)+VLOOKUP($R180,武学奇术!$A:$ZZ,2,FALSE)+SUM(_xlfn.XLOOKUP($S180:$AL180,增益!$A:$A,增益!$B:$B,0))</f>
        <v>0.6289</v>
      </c>
      <c r="AS180" s="33" cm="1">
        <f t="array" ref="AS180">VLOOKUP($R180,武学奇术!$A:$ZZ,5,FALSE)+SUM(_xlfn.XLOOKUP($S180:$AL180,增益!$A:$A,增益!$E:$E,0))</f>
        <v>0</v>
      </c>
      <c r="AT180" cm="1">
        <f t="array" ref="AT180">$D$10*(1+$AS180)+VLOOKUP($R180,武学奇术!$A:$ZZ,3,FALSE)+SUM(_xlfn.XLOOKUP($S180:$AL180,增益!$A:$A,增益!$C:$C,0))-$I$2</f>
        <v>4026</v>
      </c>
      <c r="AU180" cm="1">
        <f t="array" ref="AU180">$E$10*(1+$AS180)+VLOOKUP($R180,武学奇术!$A:$ZZ,4,FALSE)+SUM(_xlfn.XLOOKUP($S180:$AL180,增益!$A:$A,增益!$D:$D,0))-$I$2</f>
        <v>4026</v>
      </c>
      <c r="AV180" s="40" cm="1">
        <f t="array" ref="AV180">IF($F$10-$I$3+VLOOKUP($R180,武学奇术!$A:$ZZ,6,FALSE)+SUM(_xlfn.XLOOKUP($S180:$AL180,增益!$A:$A,增益!$F:$F,0))&gt;0,($F$10-$I$3+VLOOKUP($R180,武学奇术!$A:$ZZ,6,FALSE)+SUM(_xlfn.XLOOKUP($S180:$AL180,增益!$A:$A,增益!$F:$F,0)))/200,($F$10-$I$3+VLOOKUP($R180,武学奇术!$A:$ZZ,6,FALSE)+SUM(_xlfn.XLOOKUP($S180:$AL180,增益!$A:$A,增益!$F:$F,0)))/100)</f>
        <v>0.3534</v>
      </c>
      <c r="AW180" s="40" cm="1">
        <f t="array" ref="AW180">$G$10+VLOOKUP($R180,武学奇术!$A:$ZZ,7,FALSE)+SUM(_xlfn.XLOOKUP($S180:$AL180,增益!$A:$A,增益!$G:$G,0))</f>
        <v>0.12</v>
      </c>
      <c r="AX180" s="33" cm="1">
        <f t="array" ref="AX180">VLOOKUP($R180,武学奇术!$A:$ZZ,8,FALSE)+SUM(_xlfn.XLOOKUP($S180:$AL180,增益!$A:$A,增益!$H:$H,0))</f>
        <v>0</v>
      </c>
      <c r="AY180">
        <f t="shared" si="34"/>
        <v>0</v>
      </c>
      <c r="AZ180">
        <f t="shared" si="35"/>
        <v>0</v>
      </c>
      <c r="BA180" s="40" cm="1">
        <f t="array" ref="BA180">IF($F$11-$I$4+VLOOKUP($R180,武学奇术!$A:$ZZ,9,FALSE)+SUM(_xlfn.XLOOKUP($S180:$AL180,增益!$A:$A,增益!$I:$I,0))&gt;0,($F$11-$I$4+VLOOKUP($R180,武学奇术!$A:$ZZ,9,FALSE)+SUM(_xlfn.XLOOKUP($S180:$AL180,增益!$A:$A,增益!$I:$I,0)))/200,($F$11-$I$4+VLOOKUP($R180,武学奇术!$A:$ZZ,9,FALSE)+SUM(_xlfn.XLOOKUP($S180:$AL180,增益!$A:$A,增益!$I:$I,0)))/100)</f>
        <v>-0.14</v>
      </c>
      <c r="BB180" s="40" cm="1">
        <f t="array" ref="BB180">$G$11+VLOOKUP($R180,武学奇术!$A:$ZZ,10,FALSE)+SUM(_xlfn.XLOOKUP($S180:$AL180,增益!$A:$A,增益!$J:$J,0))</f>
        <v>0</v>
      </c>
      <c r="BC180">
        <f t="shared" si="36"/>
        <v>640.3</v>
      </c>
      <c r="BD180">
        <f t="shared" si="37"/>
        <v>1770.1</v>
      </c>
      <c r="BE180" s="40" cm="1">
        <f t="array" ref="BE180">IF($F$12-$I$4+VLOOKUP($R180,武学奇术!$A:$ZZ,11,FALSE)+SUM(_xlfn.XLOOKUP($S180:$AL180,增益!$A:$A,增益!$K:$K,0))&gt;0,($F$12-$I$4+VLOOKUP($R180,武学奇术!$A:$ZZ,11,FALSE)+SUM(_xlfn.XLOOKUP($S180:$AL180,增益!$A:$A,增益!$K:$K,0)))/200,($F$12-$I$4+VLOOKUP($R180,武学奇术!$A:$ZZ,11,FALSE)+SUM(_xlfn.XLOOKUP($S180:$AL180,增益!$A:$A,增益!$K:$K,0)))/100)</f>
        <v>0.17</v>
      </c>
      <c r="BF180" s="40" cm="1">
        <f t="array" ref="BF180">$G$12+VLOOKUP($R180,武学奇术!$A:$ZZ,12,FALSE)+SUM(_xlfn.XLOOKUP($S180:$AL180,增益!$A:$A,增益!$L:$L,0))</f>
        <v>0.27</v>
      </c>
      <c r="BG180">
        <f t="shared" si="38"/>
        <v>0</v>
      </c>
      <c r="BH180">
        <f t="shared" si="39"/>
        <v>0</v>
      </c>
      <c r="BI180" s="40" cm="1">
        <f t="array" ref="BI180">IF($F$13-$I$4+VLOOKUP($R180,武学奇术!$A:$ZZ,13,FALSE)+SUM(_xlfn.XLOOKUP($S180:$AL180,增益!$A:$A,增益!$M:$M,0))&gt;0,($F$13-$I$4+VLOOKUP($R180,武学奇术!$A:$ZZ,13,FALSE)+SUM(_xlfn.XLOOKUP($S180:$AL180,增益!$A:$A,增益!$K:$K,0)))/200,($F$13-$I$4+VLOOKUP($R180,武学奇术!$A:$ZZ,13,FALSE)+SUM(_xlfn.XLOOKUP($S180:$AL180,增益!$A:$A,增益!$M:$M,0)))/100)</f>
        <v>-0.14</v>
      </c>
      <c r="BJ180" s="40" cm="1">
        <f t="array" ref="BJ180">$G$13+VLOOKUP($R180,武学奇术!$A:$ZZ,14,FALSE)+SUM(_xlfn.XLOOKUP($S180:$AL180,增益!$A:$A,增益!$N:$N,0))</f>
        <v>0</v>
      </c>
      <c r="BK180">
        <f t="shared" si="40"/>
        <v>0</v>
      </c>
      <c r="BL180">
        <f t="shared" si="41"/>
        <v>0</v>
      </c>
      <c r="BM180" s="40" cm="1">
        <f t="array" ref="BM180">IF($F$14-$I$4+VLOOKUP($R180,武学奇术!$A:$ZZ,15,FALSE)+SUM(_xlfn.XLOOKUP($S180:$AL180,增益!$A:$A,增益!$O:$O,0))&gt;0,($F$14-$I$4+VLOOKUP($R180,武学奇术!$A:$ZZ,15,FALSE)+SUM(_xlfn.XLOOKUP($S180:$AL180,增益!$A:$A,增益!$O:$O,0)))/200,($F$14-$I$4+VLOOKUP($R180,武学奇术!$A:$ZZ,15,FALSE)+SUM(_xlfn.XLOOKUP($S180:$AL180,增益!$A:$A,增益!$O:$O,0)))/100)</f>
        <v>-0.14</v>
      </c>
      <c r="BN180" s="40" cm="1">
        <f t="array" ref="BN180">$G$14+VLOOKUP($R180,武学奇术!$A:$ZZ,16,FALSE)+SUM(_xlfn.XLOOKUP($S180:$AL180,增益!$A:$A,增益!$P:$P,0))</f>
        <v>0</v>
      </c>
      <c r="BO180" s="33">
        <f>MIN(IF(VLOOKUP($R180,武学奇术!$A:$ZZ,23,FALSE)=1,100%,$B$8),100%)</f>
        <v>0.9771</v>
      </c>
      <c r="BP180" s="33" cm="1">
        <f t="array" ref="BP180">IF(VLOOKUP($R180,武学奇术!$A:$ZZ,23,FALSE)=1,100%,MIN(80%,$B$9+VLOOKUP($R180,武学奇术!$A:$ZZ,17,FALSE)+SUM(_xlfn.XLOOKUP($S180:$AL180,增益!$A:$A,增益!$Q:$Q,0)))+$B$11+SUM(_xlfn.XLOOKUP($S180:$AL180,增益!$A:$A,增益!$U:$U,0)))*IF(VLOOKUP($R180,武学奇术!$A:$ZZ,24,FALSE)=1,0,1)</f>
        <v>0.8861</v>
      </c>
      <c r="BQ180" s="33" cm="1">
        <f t="array" ref="BQ180">1+$B$13+VLOOKUP($R180,武学奇术!$A:$ZZ,18,FALSE)+SUM(_xlfn.XLOOKUP($S180:$AL180,增益!$A:$A,增益!$R:$R,0))</f>
        <v>2</v>
      </c>
      <c r="BR180" s="33" cm="1">
        <f t="array" ref="BR180">IF(VLOOKUP($R180,武学奇术!$A:$ZZ,24,FALSE)=1,100%,MIN(40%,$B$10+VLOOKUP($R180,武学奇术!$A:$ZZ,19,FALSE)+SUM(_xlfn.XLOOKUP($S180:$AL180,增益!$A:$A,增益!$S:$S,0)))+$B$12+SUM(_xlfn.XLOOKUP($S180:$AL180,增益!$A:$A,增益!$V:$V,0)))*IF(VLOOKUP($R180,武学奇术!$A:$ZZ,23,FALSE)=1,0,1)</f>
        <v>0.0913</v>
      </c>
      <c r="BS180" s="33" cm="1">
        <f t="array" ref="BS180">1+$B$14+VLOOKUP($R180,武学奇术!$A:$ZZ,20,FALSE)+SUM(_xlfn.XLOOKUP($S180:$AL180,增益!$A:$A,增益!$T:$T,0))</f>
        <v>1.35</v>
      </c>
      <c r="BT180" s="33">
        <f t="shared" si="42"/>
        <v>0.86580831</v>
      </c>
      <c r="BU180" s="33">
        <f t="shared" si="43"/>
        <v>0.02208246</v>
      </c>
      <c r="BV180" s="33">
        <f>IF(VLOOKUP($R180,武学奇术!$A:$ZZ,22,FALSE)=1,0,(1-$BO180))*(1-$BR180)</f>
        <v>0.02080923</v>
      </c>
      <c r="BW180" s="33" cm="1">
        <f t="array" ref="BW180">SUM(_xlfn.XLOOKUP($S180:$AL180,增益!$A:$A,增益!$W:$W,0))+$I$5</f>
        <v>0.21</v>
      </c>
      <c r="BX180" s="33" cm="1">
        <f t="array" ref="BX180">VLOOKUP($R180,武学奇术!$A:$ZZ,32,FALSE)+SUM(_xlfn.XLOOKUP($S180:$AL180,增益!$A:$A,增益!$X:$X,0))</f>
        <v>0</v>
      </c>
    </row>
    <row r="181" spans="12:76">
      <c r="L181" s="46">
        <f t="shared" si="33"/>
        <v>0</v>
      </c>
      <c r="M181" s="46">
        <f>((($AT181+$AU181)/2*$AN181+$AO181)*(1+$AV181)*(1+$AW181)+(($AY181+$AZ181)/2*IF($G$1="鸣金",$AP181,$AN181)+IF($G$1="鸣金",$AQ181*1.5,0))*(1+$BA181)*(1+$BB181)+(($BC181+$BD181)/2*IF($G$1="裂石",$AP181,$AN181)+IF($G$1="裂石",$AQ181*1.5,0))*(1+$BE181)*(1+$BF181)+(($BG181+$BH181)/2*IF($G$1="牵丝",$AP181,$AN181)+IF($G$1="牵丝",$AQ181*1.5,0))*(1+$BI181)*(1+$BJ181)+(($BK181+$BL181)/2*IF($G$1="破竹",$AP181,$AN181)+IF($G$1="破竹",$AQ181*1.5,0))*(1+$BM181)*(1+$BN181))*(1+$AR181)*$BQ181*$Q181*(1+IF(VLOOKUP($R181,武学奇术!$A:$ZZ,30,FALSE)="蓄力技",$B$21,0))*(1+IF(VLOOKUP($R181,武学奇术!$A:$ZZ,30,FALSE)="派生技",$B$20,0))*(1+$BW181)*(1+$BX181)</f>
        <v>0</v>
      </c>
      <c r="N181" s="46">
        <f>(($AU181*$AN181+$AO181)*(1+$AV181)*(1+$AW181)+($AZ181*IF($G$1="鸣金",$AP181,$AN181)+IF($G$1="鸣金",$AQ181*1.5,0))*(1+$BA181)*(1+$BB181)+($BD181*IF($G$1="裂石",$AP181,$AN181)+IF($G$1="裂石",$AQ181*1.5,0))*(1+$BE181)*(1+$BF181)+($BH181*IF($G$1="牵丝",$AP181,$AN181)+IF($G$1="牵丝",$AQ181*1.5,0))*(1+$BI181)*(1+$BJ181)+($BL181*IF($G$1="破竹",$AP181,$AN181)+IF($G$1="破竹",$AQ181*1.5,0))*(1+$BM181)*(1+$BN181))*(1+$AR181)*$BS181*$Q181*(1+IF(VLOOKUP($R181,武学奇术!$A:$ZZ,30,FALSE)="蓄力技",$B$21,0))*(1+IF(VLOOKUP($R181,武学奇术!$A:$ZZ,30,FALSE)="派生技",$B$20,0))*(1+$BW181)*(1+$BX181)</f>
        <v>0</v>
      </c>
      <c r="O181" s="46">
        <f>((($AT181+$AU181)/2*$AN181+$AO181)*(1+$AV181)*(1+$AW181)+(($AY181+$AZ181)/2*IF($G$1="鸣金",$AP181,$AN181)+IF($G$1="鸣金",$AQ181*1.5,0))*(1+$BA181)*(1+$BB181)+(($BC181+$BD181)/2*IF($G$1="裂石",$AP181,$AN181)+IF($G$1="裂石",$AQ181*1.5,0))*(1+$BE181)*(1+$BF181)+(($BG181+$BH181)/2*IF($G$1="牵丝",$AP181,$AN181)+IF($G$1="牵丝",$AQ181*1.5,0))*(1+$BI181)*(1+$BJ181)+(($BK181+$BL181)/2*IF($G$1="破竹",$AP181,$AN181)+IF($G$1="破竹",$AQ181*1.5,0))*(1+$BM181)*(1+$BN181))*(1+$AR181)*$Q181*(1+IF(VLOOKUP($R181,武学奇术!$A:$ZZ,30,FALSE)="蓄力技",$B$21,0))*(1+IF(VLOOKUP($R181,武学奇术!$A:$ZZ,30,FALSE)="派生技",$B$20,0))*(1+$BW181)*(1+$BX181)</f>
        <v>0</v>
      </c>
      <c r="P181" s="46">
        <f>((($AT181*$AN181+$AO181)*(1+$AV181)*(1+$AW181)+($AY181*IF($G$1="鸣金",$AP181,$AN181)+IF($G$1="鸣金",$AQ181*1.5,0))*(1+$BA181)*(1+$BB181)+($BC181*IF($G$1="裂石",$AP181,$AN181)+IF($G$1="裂石",$AQ181*1.5,0))*(1+$BE181)*(1+$BF181)+($BG181*IF($G$1="牵丝",$AP181,$AN181)+IF($G$1="牵丝",$AQ181*1.5,0))*(1+$BI181)*(1+$BJ181)+($BK181*IF($G$1="破竹",$AP181,$AN181)+IF($G$1="破竹",$AQ181*1.5,0))*(1+$BM181)*(1+$BN181))*(1+$AR181))*$Q181*(1+IF(VLOOKUP($R181,武学奇术!$A:$ZZ,30,FALSE)="蓄力技",$B$21,0))*(1+IF(VLOOKUP($R181,武学奇术!$A:$ZZ,30,FALSE)="派生技",$B$20,0))*(1+$BW181)*(1+$BX181)</f>
        <v>0</v>
      </c>
      <c r="Q181" s="47">
        <f t="shared" si="46"/>
        <v>0</v>
      </c>
      <c r="R181" s="48" t="s">
        <v>196</v>
      </c>
      <c r="S181" s="48" t="s">
        <v>99</v>
      </c>
      <c r="T181" s="48" t="s">
        <v>182</v>
      </c>
      <c r="U181" s="48" t="s">
        <v>79</v>
      </c>
      <c r="V181" s="48" t="s">
        <v>90</v>
      </c>
      <c r="W181" s="48" t="s">
        <v>141</v>
      </c>
      <c r="X181" s="48" t="s">
        <v>80</v>
      </c>
      <c r="Y181" s="48" t="s">
        <v>74</v>
      </c>
      <c r="Z181" s="48" t="s">
        <v>80</v>
      </c>
      <c r="AA181" s="48" t="s">
        <v>183</v>
      </c>
      <c r="AB181" s="48" t="s">
        <v>80</v>
      </c>
      <c r="AC181" s="48" t="s">
        <v>193</v>
      </c>
      <c r="AD181" s="48" t="s">
        <v>80</v>
      </c>
      <c r="AE181" s="48" t="s">
        <v>80</v>
      </c>
      <c r="AF181" s="48" t="s">
        <v>83</v>
      </c>
      <c r="AG181" s="48" t="s">
        <v>84</v>
      </c>
      <c r="AH181" s="48" t="s">
        <v>80</v>
      </c>
      <c r="AI181" s="48" t="s">
        <v>80</v>
      </c>
      <c r="AJ181" s="48" t="s">
        <v>80</v>
      </c>
      <c r="AK181" s="48" t="s">
        <v>80</v>
      </c>
      <c r="AL181" s="48" t="s">
        <v>80</v>
      </c>
      <c r="AM181" t="str">
        <f>VLOOKUP($R181,武学奇术!$A:$ZZ,25,FALSE)</f>
        <v>横刀</v>
      </c>
      <c r="AN181" s="33">
        <f>VLOOKUP($R181,武学奇术!$A:$ZZ,26,FALSE)</f>
        <v>1.47</v>
      </c>
      <c r="AO181" s="34">
        <f>VLOOKUP($R181,武学奇术!$A:$ZZ,27,FALSE)*(1+IF(OR($AM181=$F$4,$AM181=$F$5),$B$22,0))</f>
        <v>0</v>
      </c>
      <c r="AP181" s="33">
        <f>VLOOKUP($R181,武学奇术!$A:$ZZ,28,FALSE)</f>
        <v>2.205</v>
      </c>
      <c r="AQ181" s="34">
        <f>VLOOKUP($R181,武学奇术!$A:$ZZ,29,FALSE)*(1+IF(OR($AM181=$F$4,$AM181=$F$5),$B$22,0))</f>
        <v>0</v>
      </c>
      <c r="AR181" s="33" cm="1">
        <f t="array" ref="AR181">$G$3+IFERROR(VLOOKUP($AM181,$F$4:$G$7,2,FALSE),0)+VLOOKUP($R181,武学奇术!$A:$ZZ,2,FALSE)+SUM(_xlfn.XLOOKUP($S181:$AL181,增益!$A:$A,增益!$B:$B,0))</f>
        <v>0.5289</v>
      </c>
      <c r="AS181" s="33" cm="1">
        <f t="array" ref="AS181">VLOOKUP($R181,武学奇术!$A:$ZZ,5,FALSE)+SUM(_xlfn.XLOOKUP($S181:$AL181,增益!$A:$A,增益!$E:$E,0))</f>
        <v>0</v>
      </c>
      <c r="AT181" cm="1">
        <f t="array" ref="AT181">$D$10*(1+$AS181)+VLOOKUP($R181,武学奇术!$A:$ZZ,3,FALSE)+SUM(_xlfn.XLOOKUP($S181:$AL181,增益!$A:$A,增益!$C:$C,0))-$I$2</f>
        <v>4026</v>
      </c>
      <c r="AU181" cm="1">
        <f t="array" ref="AU181">$E$10*(1+$AS181)+VLOOKUP($R181,武学奇术!$A:$ZZ,4,FALSE)+SUM(_xlfn.XLOOKUP($S181:$AL181,增益!$A:$A,增益!$D:$D,0))-$I$2</f>
        <v>4026</v>
      </c>
      <c r="AV181" s="40" cm="1">
        <f t="array" ref="AV181">IF($F$10-$I$3+VLOOKUP($R181,武学奇术!$A:$ZZ,6,FALSE)+SUM(_xlfn.XLOOKUP($S181:$AL181,增益!$A:$A,增益!$F:$F,0))&gt;0,($F$10-$I$3+VLOOKUP($R181,武学奇术!$A:$ZZ,6,FALSE)+SUM(_xlfn.XLOOKUP($S181:$AL181,增益!$A:$A,增益!$F:$F,0)))/200,($F$10-$I$3+VLOOKUP($R181,武学奇术!$A:$ZZ,6,FALSE)+SUM(_xlfn.XLOOKUP($S181:$AL181,增益!$A:$A,增益!$F:$F,0)))/100)</f>
        <v>0.3534</v>
      </c>
      <c r="AW181" s="40" cm="1">
        <f t="array" ref="AW181">$G$10+VLOOKUP($R181,武学奇术!$A:$ZZ,7,FALSE)+SUM(_xlfn.XLOOKUP($S181:$AL181,增益!$A:$A,增益!$G:$G,0))</f>
        <v>0.12</v>
      </c>
      <c r="AX181" s="33" cm="1">
        <f t="array" ref="AX181">VLOOKUP($R181,武学奇术!$A:$ZZ,8,FALSE)+SUM(_xlfn.XLOOKUP($S181:$AL181,增益!$A:$A,增益!$H:$H,0))</f>
        <v>0</v>
      </c>
      <c r="AY181">
        <f t="shared" si="34"/>
        <v>0</v>
      </c>
      <c r="AZ181">
        <f t="shared" si="35"/>
        <v>0</v>
      </c>
      <c r="BA181" s="40" cm="1">
        <f t="array" ref="BA181">IF($F$11-$I$4+VLOOKUP($R181,武学奇术!$A:$ZZ,9,FALSE)+SUM(_xlfn.XLOOKUP($S181:$AL181,增益!$A:$A,增益!$I:$I,0))&gt;0,($F$11-$I$4+VLOOKUP($R181,武学奇术!$A:$ZZ,9,FALSE)+SUM(_xlfn.XLOOKUP($S181:$AL181,增益!$A:$A,增益!$I:$I,0)))/200,($F$11-$I$4+VLOOKUP($R181,武学奇术!$A:$ZZ,9,FALSE)+SUM(_xlfn.XLOOKUP($S181:$AL181,增益!$A:$A,增益!$I:$I,0)))/100)</f>
        <v>-0.14</v>
      </c>
      <c r="BB181" s="40" cm="1">
        <f t="array" ref="BB181">$G$11+VLOOKUP($R181,武学奇术!$A:$ZZ,10,FALSE)+SUM(_xlfn.XLOOKUP($S181:$AL181,增益!$A:$A,增益!$J:$J,0))</f>
        <v>0</v>
      </c>
      <c r="BC181">
        <f t="shared" si="36"/>
        <v>640.3</v>
      </c>
      <c r="BD181">
        <f t="shared" si="37"/>
        <v>1770.1</v>
      </c>
      <c r="BE181" s="40" cm="1">
        <f t="array" ref="BE181">IF($F$12-$I$4+VLOOKUP($R181,武学奇术!$A:$ZZ,11,FALSE)+SUM(_xlfn.XLOOKUP($S181:$AL181,增益!$A:$A,增益!$K:$K,0))&gt;0,($F$12-$I$4+VLOOKUP($R181,武学奇术!$A:$ZZ,11,FALSE)+SUM(_xlfn.XLOOKUP($S181:$AL181,增益!$A:$A,增益!$K:$K,0)))/200,($F$12-$I$4+VLOOKUP($R181,武学奇术!$A:$ZZ,11,FALSE)+SUM(_xlfn.XLOOKUP($S181:$AL181,增益!$A:$A,增益!$K:$K,0)))/100)</f>
        <v>0.17</v>
      </c>
      <c r="BF181" s="40" cm="1">
        <f t="array" ref="BF181">$G$12+VLOOKUP($R181,武学奇术!$A:$ZZ,12,FALSE)+SUM(_xlfn.XLOOKUP($S181:$AL181,增益!$A:$A,增益!$L:$L,0))</f>
        <v>0.27</v>
      </c>
      <c r="BG181">
        <f t="shared" si="38"/>
        <v>0</v>
      </c>
      <c r="BH181">
        <f t="shared" si="39"/>
        <v>0</v>
      </c>
      <c r="BI181" s="40" cm="1">
        <f t="array" ref="BI181">IF($F$13-$I$4+VLOOKUP($R181,武学奇术!$A:$ZZ,13,FALSE)+SUM(_xlfn.XLOOKUP($S181:$AL181,增益!$A:$A,增益!$M:$M,0))&gt;0,($F$13-$I$4+VLOOKUP($R181,武学奇术!$A:$ZZ,13,FALSE)+SUM(_xlfn.XLOOKUP($S181:$AL181,增益!$A:$A,增益!$K:$K,0)))/200,($F$13-$I$4+VLOOKUP($R181,武学奇术!$A:$ZZ,13,FALSE)+SUM(_xlfn.XLOOKUP($S181:$AL181,增益!$A:$A,增益!$M:$M,0)))/100)</f>
        <v>-0.14</v>
      </c>
      <c r="BJ181" s="40" cm="1">
        <f t="array" ref="BJ181">$G$13+VLOOKUP($R181,武学奇术!$A:$ZZ,14,FALSE)+SUM(_xlfn.XLOOKUP($S181:$AL181,增益!$A:$A,增益!$N:$N,0))</f>
        <v>0</v>
      </c>
      <c r="BK181">
        <f t="shared" si="40"/>
        <v>0</v>
      </c>
      <c r="BL181">
        <f t="shared" si="41"/>
        <v>0</v>
      </c>
      <c r="BM181" s="40" cm="1">
        <f t="array" ref="BM181">IF($F$14-$I$4+VLOOKUP($R181,武学奇术!$A:$ZZ,15,FALSE)+SUM(_xlfn.XLOOKUP($S181:$AL181,增益!$A:$A,增益!$O:$O,0))&gt;0,($F$14-$I$4+VLOOKUP($R181,武学奇术!$A:$ZZ,15,FALSE)+SUM(_xlfn.XLOOKUP($S181:$AL181,增益!$A:$A,增益!$O:$O,0)))/200,($F$14-$I$4+VLOOKUP($R181,武学奇术!$A:$ZZ,15,FALSE)+SUM(_xlfn.XLOOKUP($S181:$AL181,增益!$A:$A,增益!$O:$O,0)))/100)</f>
        <v>-0.14</v>
      </c>
      <c r="BN181" s="40" cm="1">
        <f t="array" ref="BN181">$G$14+VLOOKUP($R181,武学奇术!$A:$ZZ,16,FALSE)+SUM(_xlfn.XLOOKUP($S181:$AL181,增益!$A:$A,增益!$P:$P,0))</f>
        <v>0</v>
      </c>
      <c r="BO181" s="33">
        <f>MIN(IF(VLOOKUP($R181,武学奇术!$A:$ZZ,23,FALSE)=1,100%,$B$8),100%)</f>
        <v>0.9771</v>
      </c>
      <c r="BP181" s="33" cm="1">
        <f t="array" ref="BP181">IF(VLOOKUP($R181,武学奇术!$A:$ZZ,23,FALSE)=1,100%,MIN(80%,$B$9+VLOOKUP($R181,武学奇术!$A:$ZZ,17,FALSE)+SUM(_xlfn.XLOOKUP($S181:$AL181,增益!$A:$A,增益!$Q:$Q,0)))+$B$11+SUM(_xlfn.XLOOKUP($S181:$AL181,增益!$A:$A,增益!$U:$U,0)))*IF(VLOOKUP($R181,武学奇术!$A:$ZZ,24,FALSE)=1,0,1)</f>
        <v>0.8861</v>
      </c>
      <c r="BQ181" s="33" cm="1">
        <f t="array" ref="BQ181">1+$B$13+VLOOKUP($R181,武学奇术!$A:$ZZ,18,FALSE)+SUM(_xlfn.XLOOKUP($S181:$AL181,增益!$A:$A,增益!$R:$R,0))</f>
        <v>2</v>
      </c>
      <c r="BR181" s="33" cm="1">
        <f t="array" ref="BR181">IF(VLOOKUP($R181,武学奇术!$A:$ZZ,24,FALSE)=1,100%,MIN(40%,$B$10+VLOOKUP($R181,武学奇术!$A:$ZZ,19,FALSE)+SUM(_xlfn.XLOOKUP($S181:$AL181,增益!$A:$A,增益!$S:$S,0)))+$B$12+SUM(_xlfn.XLOOKUP($S181:$AL181,增益!$A:$A,增益!$V:$V,0)))*IF(VLOOKUP($R181,武学奇术!$A:$ZZ,23,FALSE)=1,0,1)</f>
        <v>0.0913</v>
      </c>
      <c r="BS181" s="33" cm="1">
        <f t="array" ref="BS181">1+$B$14+VLOOKUP($R181,武学奇术!$A:$ZZ,20,FALSE)+SUM(_xlfn.XLOOKUP($S181:$AL181,增益!$A:$A,增益!$T:$T,0))</f>
        <v>1.35</v>
      </c>
      <c r="BT181" s="33">
        <f t="shared" si="42"/>
        <v>0.86580831</v>
      </c>
      <c r="BU181" s="33">
        <f t="shared" si="43"/>
        <v>0.02208246</v>
      </c>
      <c r="BV181" s="33">
        <f>IF(VLOOKUP($R181,武学奇术!$A:$ZZ,22,FALSE)=1,0,(1-$BO181))*(1-$BR181)</f>
        <v>0.02080923</v>
      </c>
      <c r="BW181" s="33" cm="1">
        <f t="array" ref="BW181">SUM(_xlfn.XLOOKUP($S181:$AL181,增益!$A:$A,增益!$W:$W,0))+$I$5</f>
        <v>0.21</v>
      </c>
      <c r="BX181" s="33" cm="1">
        <f t="array" ref="BX181">VLOOKUP($R181,武学奇术!$A:$ZZ,32,FALSE)+SUM(_xlfn.XLOOKUP($S181:$AL181,增益!$A:$A,增益!$X:$X,0))</f>
        <v>0.4</v>
      </c>
    </row>
    <row r="182" spans="12:76">
      <c r="L182" s="46">
        <f t="shared" si="33"/>
        <v>0</v>
      </c>
      <c r="M182" s="46">
        <f>((($AT182+$AU182)/2*$AN182+$AO182)*(1+$AV182)*(1+$AW182)+(($AY182+$AZ182)/2*IF($G$1="鸣金",$AP182,$AN182)+IF($G$1="鸣金",$AQ182*1.5,0))*(1+$BA182)*(1+$BB182)+(($BC182+$BD182)/2*IF($G$1="裂石",$AP182,$AN182)+IF($G$1="裂石",$AQ182*1.5,0))*(1+$BE182)*(1+$BF182)+(($BG182+$BH182)/2*IF($G$1="牵丝",$AP182,$AN182)+IF($G$1="牵丝",$AQ182*1.5,0))*(1+$BI182)*(1+$BJ182)+(($BK182+$BL182)/2*IF($G$1="破竹",$AP182,$AN182)+IF($G$1="破竹",$AQ182*1.5,0))*(1+$BM182)*(1+$BN182))*(1+$AR182)*$BQ182*$Q182*(1+IF(VLOOKUP($R182,武学奇术!$A:$ZZ,30,FALSE)="蓄力技",$B$21,0))*(1+IF(VLOOKUP($R182,武学奇术!$A:$ZZ,30,FALSE)="派生技",$B$20,0))*(1+$BW182)*(1+$BX182)</f>
        <v>0</v>
      </c>
      <c r="N182" s="46">
        <f>(($AU182*$AN182+$AO182)*(1+$AV182)*(1+$AW182)+($AZ182*IF($G$1="鸣金",$AP182,$AN182)+IF($G$1="鸣金",$AQ182*1.5,0))*(1+$BA182)*(1+$BB182)+($BD182*IF($G$1="裂石",$AP182,$AN182)+IF($G$1="裂石",$AQ182*1.5,0))*(1+$BE182)*(1+$BF182)+($BH182*IF($G$1="牵丝",$AP182,$AN182)+IF($G$1="牵丝",$AQ182*1.5,0))*(1+$BI182)*(1+$BJ182)+($BL182*IF($G$1="破竹",$AP182,$AN182)+IF($G$1="破竹",$AQ182*1.5,0))*(1+$BM182)*(1+$BN182))*(1+$AR182)*$BS182*$Q182*(1+IF(VLOOKUP($R182,武学奇术!$A:$ZZ,30,FALSE)="蓄力技",$B$21,0))*(1+IF(VLOOKUP($R182,武学奇术!$A:$ZZ,30,FALSE)="派生技",$B$20,0))*(1+$BW182)*(1+$BX182)</f>
        <v>0</v>
      </c>
      <c r="O182" s="46">
        <f>((($AT182+$AU182)/2*$AN182+$AO182)*(1+$AV182)*(1+$AW182)+(($AY182+$AZ182)/2*IF($G$1="鸣金",$AP182,$AN182)+IF($G$1="鸣金",$AQ182*1.5,0))*(1+$BA182)*(1+$BB182)+(($BC182+$BD182)/2*IF($G$1="裂石",$AP182,$AN182)+IF($G$1="裂石",$AQ182*1.5,0))*(1+$BE182)*(1+$BF182)+(($BG182+$BH182)/2*IF($G$1="牵丝",$AP182,$AN182)+IF($G$1="牵丝",$AQ182*1.5,0))*(1+$BI182)*(1+$BJ182)+(($BK182+$BL182)/2*IF($G$1="破竹",$AP182,$AN182)+IF($G$1="破竹",$AQ182*1.5,0))*(1+$BM182)*(1+$BN182))*(1+$AR182)*$Q182*(1+IF(VLOOKUP($R182,武学奇术!$A:$ZZ,30,FALSE)="蓄力技",$B$21,0))*(1+IF(VLOOKUP($R182,武学奇术!$A:$ZZ,30,FALSE)="派生技",$B$20,0))*(1+$BW182)*(1+$BX182)</f>
        <v>0</v>
      </c>
      <c r="P182" s="46">
        <f>((($AT182*$AN182+$AO182)*(1+$AV182)*(1+$AW182)+($AY182*IF($G$1="鸣金",$AP182,$AN182)+IF($G$1="鸣金",$AQ182*1.5,0))*(1+$BA182)*(1+$BB182)+($BC182*IF($G$1="裂石",$AP182,$AN182)+IF($G$1="裂石",$AQ182*1.5,0))*(1+$BE182)*(1+$BF182)+($BG182*IF($G$1="牵丝",$AP182,$AN182)+IF($G$1="牵丝",$AQ182*1.5,0))*(1+$BI182)*(1+$BJ182)+($BK182*IF($G$1="破竹",$AP182,$AN182)+IF($G$1="破竹",$AQ182*1.5,0))*(1+$BM182)*(1+$BN182))*(1+$AR182))*$Q182*(1+IF(VLOOKUP($R182,武学奇术!$A:$ZZ,30,FALSE)="蓄力技",$B$21,0))*(1+IF(VLOOKUP($R182,武学奇术!$A:$ZZ,30,FALSE)="派生技",$B$20,0))*(1+$BW182)*(1+$BX182)</f>
        <v>0</v>
      </c>
      <c r="Q182" s="47">
        <f t="shared" ref="Q182:Q191" si="47">IF($E$24="唐刀",1,0)</f>
        <v>0</v>
      </c>
      <c r="R182" s="48" t="s">
        <v>172</v>
      </c>
      <c r="S182" s="48" t="s">
        <v>99</v>
      </c>
      <c r="T182" s="48" t="s">
        <v>182</v>
      </c>
      <c r="U182" s="48" t="s">
        <v>79</v>
      </c>
      <c r="V182" s="48" t="s">
        <v>90</v>
      </c>
      <c r="W182" s="48" t="s">
        <v>141</v>
      </c>
      <c r="X182" s="48" t="s">
        <v>80</v>
      </c>
      <c r="Y182" s="48" t="s">
        <v>74</v>
      </c>
      <c r="Z182" s="48" t="s">
        <v>80</v>
      </c>
      <c r="AA182" s="48" t="s">
        <v>80</v>
      </c>
      <c r="AB182" s="48" t="s">
        <v>80</v>
      </c>
      <c r="AC182" s="48" t="s">
        <v>193</v>
      </c>
      <c r="AD182" s="48" t="s">
        <v>80</v>
      </c>
      <c r="AE182" s="48" t="s">
        <v>80</v>
      </c>
      <c r="AF182" s="48" t="s">
        <v>83</v>
      </c>
      <c r="AG182" s="48" t="s">
        <v>84</v>
      </c>
      <c r="AH182" s="48" t="s">
        <v>80</v>
      </c>
      <c r="AI182" s="48" t="s">
        <v>80</v>
      </c>
      <c r="AJ182" s="48" t="s">
        <v>80</v>
      </c>
      <c r="AK182" s="48" t="s">
        <v>80</v>
      </c>
      <c r="AL182" s="48" t="s">
        <v>80</v>
      </c>
      <c r="AM182" t="str">
        <f>VLOOKUP($R182,武学奇术!$A:$ZZ,25,FALSE)</f>
        <v>陌刀</v>
      </c>
      <c r="AN182" s="33">
        <f>VLOOKUP($R182,武学奇术!$A:$ZZ,26,FALSE)</f>
        <v>3.5256</v>
      </c>
      <c r="AO182" s="34">
        <f>VLOOKUP($R182,武学奇术!$A:$ZZ,27,FALSE)*(1+IF(OR($AM182=$F$4,$AM182=$F$5),$B$22,0))</f>
        <v>846.144</v>
      </c>
      <c r="AP182" s="33">
        <f>VLOOKUP($R182,武学奇术!$A:$ZZ,28,FALSE)</f>
        <v>5.2884</v>
      </c>
      <c r="AQ182" s="34">
        <f>VLOOKUP($R182,武学奇术!$A:$ZZ,29,FALSE)*(1+IF(OR($AM182=$F$4,$AM182=$F$5),$B$22,0))</f>
        <v>851.2</v>
      </c>
      <c r="AR182" s="33" cm="1">
        <f t="array" ref="AR182">$G$3+IFERROR(VLOOKUP($AM182,$F$4:$G$7,2,FALSE),0)+VLOOKUP($R182,武学奇术!$A:$ZZ,2,FALSE)+SUM(_xlfn.XLOOKUP($S182:$AL182,增益!$A:$A,增益!$B:$B,0))</f>
        <v>0.6143</v>
      </c>
      <c r="AS182" s="33" cm="1">
        <f t="array" ref="AS182">VLOOKUP($R182,武学奇术!$A:$ZZ,5,FALSE)+SUM(_xlfn.XLOOKUP($S182:$AL182,增益!$A:$A,增益!$E:$E,0))</f>
        <v>0</v>
      </c>
      <c r="AT182" cm="1">
        <f t="array" ref="AT182">$D$10*(1+$AS182)+VLOOKUP($R182,武学奇术!$A:$ZZ,3,FALSE)+SUM(_xlfn.XLOOKUP($S182:$AL182,增益!$A:$A,增益!$C:$C,0))-$I$2</f>
        <v>4026</v>
      </c>
      <c r="AU182" cm="1">
        <f t="array" ref="AU182">$E$10*(1+$AS182)+VLOOKUP($R182,武学奇术!$A:$ZZ,4,FALSE)+SUM(_xlfn.XLOOKUP($S182:$AL182,增益!$A:$A,增益!$D:$D,0))-$I$2</f>
        <v>4026</v>
      </c>
      <c r="AV182" s="40" cm="1">
        <f t="array" ref="AV182">IF($F$10-$I$3+VLOOKUP($R182,武学奇术!$A:$ZZ,6,FALSE)+SUM(_xlfn.XLOOKUP($S182:$AL182,增益!$A:$A,增益!$F:$F,0))&gt;0,($F$10-$I$3+VLOOKUP($R182,武学奇术!$A:$ZZ,6,FALSE)+SUM(_xlfn.XLOOKUP($S182:$AL182,增益!$A:$A,增益!$F:$F,0)))/200,($F$10-$I$3+VLOOKUP($R182,武学奇术!$A:$ZZ,6,FALSE)+SUM(_xlfn.XLOOKUP($S182:$AL182,增益!$A:$A,增益!$F:$F,0)))/100)</f>
        <v>0.3534</v>
      </c>
      <c r="AW182" s="40" cm="1">
        <f t="array" ref="AW182">$G$10+VLOOKUP($R182,武学奇术!$A:$ZZ,7,FALSE)+SUM(_xlfn.XLOOKUP($S182:$AL182,增益!$A:$A,增益!$G:$G,0))</f>
        <v>0.12</v>
      </c>
      <c r="AX182" s="33" cm="1">
        <f t="array" ref="AX182">VLOOKUP($R182,武学奇术!$A:$ZZ,8,FALSE)+SUM(_xlfn.XLOOKUP($S182:$AL182,增益!$A:$A,增益!$H:$H,0))</f>
        <v>0</v>
      </c>
      <c r="AY182">
        <f t="shared" si="34"/>
        <v>0</v>
      </c>
      <c r="AZ182">
        <f t="shared" si="35"/>
        <v>0</v>
      </c>
      <c r="BA182" s="40" cm="1">
        <f t="array" ref="BA182">IF($F$11-$I$4+VLOOKUP($R182,武学奇术!$A:$ZZ,9,FALSE)+SUM(_xlfn.XLOOKUP($S182:$AL182,增益!$A:$A,增益!$I:$I,0))&gt;0,($F$11-$I$4+VLOOKUP($R182,武学奇术!$A:$ZZ,9,FALSE)+SUM(_xlfn.XLOOKUP($S182:$AL182,增益!$A:$A,增益!$I:$I,0)))/200,($F$11-$I$4+VLOOKUP($R182,武学奇术!$A:$ZZ,9,FALSE)+SUM(_xlfn.XLOOKUP($S182:$AL182,增益!$A:$A,增益!$I:$I,0)))/100)</f>
        <v>-0.14</v>
      </c>
      <c r="BB182" s="40" cm="1">
        <f t="array" ref="BB182">$G$11+VLOOKUP($R182,武学奇术!$A:$ZZ,10,FALSE)+SUM(_xlfn.XLOOKUP($S182:$AL182,增益!$A:$A,增益!$J:$J,0))</f>
        <v>0</v>
      </c>
      <c r="BC182">
        <f t="shared" si="36"/>
        <v>640.3</v>
      </c>
      <c r="BD182">
        <f t="shared" si="37"/>
        <v>1770.1</v>
      </c>
      <c r="BE182" s="40" cm="1">
        <f t="array" ref="BE182">IF($F$12-$I$4+VLOOKUP($R182,武学奇术!$A:$ZZ,11,FALSE)+SUM(_xlfn.XLOOKUP($S182:$AL182,增益!$A:$A,增益!$K:$K,0))&gt;0,($F$12-$I$4+VLOOKUP($R182,武学奇术!$A:$ZZ,11,FALSE)+SUM(_xlfn.XLOOKUP($S182:$AL182,增益!$A:$A,增益!$K:$K,0)))/200,($F$12-$I$4+VLOOKUP($R182,武学奇术!$A:$ZZ,11,FALSE)+SUM(_xlfn.XLOOKUP($S182:$AL182,增益!$A:$A,增益!$K:$K,0)))/100)</f>
        <v>0.17</v>
      </c>
      <c r="BF182" s="40" cm="1">
        <f t="array" ref="BF182">$G$12+VLOOKUP($R182,武学奇术!$A:$ZZ,12,FALSE)+SUM(_xlfn.XLOOKUP($S182:$AL182,增益!$A:$A,增益!$L:$L,0))</f>
        <v>0.27</v>
      </c>
      <c r="BG182">
        <f t="shared" si="38"/>
        <v>0</v>
      </c>
      <c r="BH182">
        <f t="shared" si="39"/>
        <v>0</v>
      </c>
      <c r="BI182" s="40" cm="1">
        <f t="array" ref="BI182">IF($F$13-$I$4+VLOOKUP($R182,武学奇术!$A:$ZZ,13,FALSE)+SUM(_xlfn.XLOOKUP($S182:$AL182,增益!$A:$A,增益!$M:$M,0))&gt;0,($F$13-$I$4+VLOOKUP($R182,武学奇术!$A:$ZZ,13,FALSE)+SUM(_xlfn.XLOOKUP($S182:$AL182,增益!$A:$A,增益!$K:$K,0)))/200,($F$13-$I$4+VLOOKUP($R182,武学奇术!$A:$ZZ,13,FALSE)+SUM(_xlfn.XLOOKUP($S182:$AL182,增益!$A:$A,增益!$M:$M,0)))/100)</f>
        <v>-0.14</v>
      </c>
      <c r="BJ182" s="40" cm="1">
        <f t="array" ref="BJ182">$G$13+VLOOKUP($R182,武学奇术!$A:$ZZ,14,FALSE)+SUM(_xlfn.XLOOKUP($S182:$AL182,增益!$A:$A,增益!$N:$N,0))</f>
        <v>0</v>
      </c>
      <c r="BK182">
        <f t="shared" si="40"/>
        <v>0</v>
      </c>
      <c r="BL182">
        <f t="shared" si="41"/>
        <v>0</v>
      </c>
      <c r="BM182" s="40" cm="1">
        <f t="array" ref="BM182">IF($F$14-$I$4+VLOOKUP($R182,武学奇术!$A:$ZZ,15,FALSE)+SUM(_xlfn.XLOOKUP($S182:$AL182,增益!$A:$A,增益!$O:$O,0))&gt;0,($F$14-$I$4+VLOOKUP($R182,武学奇术!$A:$ZZ,15,FALSE)+SUM(_xlfn.XLOOKUP($S182:$AL182,增益!$A:$A,增益!$O:$O,0)))/200,($F$14-$I$4+VLOOKUP($R182,武学奇术!$A:$ZZ,15,FALSE)+SUM(_xlfn.XLOOKUP($S182:$AL182,增益!$A:$A,增益!$O:$O,0)))/100)</f>
        <v>-0.14</v>
      </c>
      <c r="BN182" s="40" cm="1">
        <f t="array" ref="BN182">$G$14+VLOOKUP($R182,武学奇术!$A:$ZZ,16,FALSE)+SUM(_xlfn.XLOOKUP($S182:$AL182,增益!$A:$A,增益!$P:$P,0))</f>
        <v>0</v>
      </c>
      <c r="BO182" s="33">
        <f>MIN(IF(VLOOKUP($R182,武学奇术!$A:$ZZ,23,FALSE)=1,100%,$B$8),100%)</f>
        <v>0.9771</v>
      </c>
      <c r="BP182" s="33" cm="1">
        <f t="array" ref="BP182">IF(VLOOKUP($R182,武学奇术!$A:$ZZ,23,FALSE)=1,100%,MIN(80%,$B$9+VLOOKUP($R182,武学奇术!$A:$ZZ,17,FALSE)+SUM(_xlfn.XLOOKUP($S182:$AL182,增益!$A:$A,增益!$Q:$Q,0)))+$B$11+SUM(_xlfn.XLOOKUP($S182:$AL182,增益!$A:$A,增益!$U:$U,0)))*IF(VLOOKUP($R182,武学奇术!$A:$ZZ,24,FALSE)=1,0,1)</f>
        <v>0.8861</v>
      </c>
      <c r="BQ182" s="33" cm="1">
        <f t="array" ref="BQ182">1+$B$13+VLOOKUP($R182,武学奇术!$A:$ZZ,18,FALSE)+SUM(_xlfn.XLOOKUP($S182:$AL182,增益!$A:$A,增益!$R:$R,0))</f>
        <v>2</v>
      </c>
      <c r="BR182" s="33" cm="1">
        <f t="array" ref="BR182">IF(VLOOKUP($R182,武学奇术!$A:$ZZ,24,FALSE)=1,100%,MIN(40%,$B$10+VLOOKUP($R182,武学奇术!$A:$ZZ,19,FALSE)+SUM(_xlfn.XLOOKUP($S182:$AL182,增益!$A:$A,增益!$S:$S,0)))+$B$12+SUM(_xlfn.XLOOKUP($S182:$AL182,增益!$A:$A,增益!$V:$V,0)))*IF(VLOOKUP($R182,武学奇术!$A:$ZZ,23,FALSE)=1,0,1)</f>
        <v>0.0913</v>
      </c>
      <c r="BS182" s="33" cm="1">
        <f t="array" ref="BS182">1+$B$14+VLOOKUP($R182,武学奇术!$A:$ZZ,20,FALSE)+SUM(_xlfn.XLOOKUP($S182:$AL182,增益!$A:$A,增益!$T:$T,0))</f>
        <v>1.35</v>
      </c>
      <c r="BT182" s="33">
        <f t="shared" si="42"/>
        <v>0.86580831</v>
      </c>
      <c r="BU182" s="33">
        <f t="shared" si="43"/>
        <v>0.02208246</v>
      </c>
      <c r="BV182" s="33">
        <f>IF(VLOOKUP($R182,武学奇术!$A:$ZZ,22,FALSE)=1,0,(1-$BO182))*(1-$BR182)</f>
        <v>0.02080923</v>
      </c>
      <c r="BW182" s="33" cm="1">
        <f t="array" ref="BW182">SUM(_xlfn.XLOOKUP($S182:$AL182,增益!$A:$A,增益!$W:$W,0))+$I$5</f>
        <v>0.11</v>
      </c>
      <c r="BX182" s="33" cm="1">
        <f t="array" ref="BX182">VLOOKUP($R182,武学奇术!$A:$ZZ,32,FALSE)+SUM(_xlfn.XLOOKUP($S182:$AL182,增益!$A:$A,增益!$X:$X,0))</f>
        <v>0</v>
      </c>
    </row>
    <row r="183" spans="12:76">
      <c r="L183" s="46">
        <f t="shared" si="33"/>
        <v>0</v>
      </c>
      <c r="M183" s="46">
        <f>((($AT183+$AU183)/2*$AN183+$AO183)*(1+$AV183)*(1+$AW183)+(($AY183+$AZ183)/2*IF($G$1="鸣金",$AP183,$AN183)+IF($G$1="鸣金",$AQ183*1.5,0))*(1+$BA183)*(1+$BB183)+(($BC183+$BD183)/2*IF($G$1="裂石",$AP183,$AN183)+IF($G$1="裂石",$AQ183*1.5,0))*(1+$BE183)*(1+$BF183)+(($BG183+$BH183)/2*IF($G$1="牵丝",$AP183,$AN183)+IF($G$1="牵丝",$AQ183*1.5,0))*(1+$BI183)*(1+$BJ183)+(($BK183+$BL183)/2*IF($G$1="破竹",$AP183,$AN183)+IF($G$1="破竹",$AQ183*1.5,0))*(1+$BM183)*(1+$BN183))*(1+$AR183)*$BQ183*$Q183*(1+IF(VLOOKUP($R183,武学奇术!$A:$ZZ,30,FALSE)="蓄力技",$B$21,0))*(1+IF(VLOOKUP($R183,武学奇术!$A:$ZZ,30,FALSE)="派生技",$B$20,0))*(1+$BW183)*(1+$BX183)</f>
        <v>0</v>
      </c>
      <c r="N183" s="46">
        <f>(($AU183*$AN183+$AO183)*(1+$AV183)*(1+$AW183)+($AZ183*IF($G$1="鸣金",$AP183,$AN183)+IF($G$1="鸣金",$AQ183*1.5,0))*(1+$BA183)*(1+$BB183)+($BD183*IF($G$1="裂石",$AP183,$AN183)+IF($G$1="裂石",$AQ183*1.5,0))*(1+$BE183)*(1+$BF183)+($BH183*IF($G$1="牵丝",$AP183,$AN183)+IF($G$1="牵丝",$AQ183*1.5,0))*(1+$BI183)*(1+$BJ183)+($BL183*IF($G$1="破竹",$AP183,$AN183)+IF($G$1="破竹",$AQ183*1.5,0))*(1+$BM183)*(1+$BN183))*(1+$AR183)*$BS183*$Q183*(1+IF(VLOOKUP($R183,武学奇术!$A:$ZZ,30,FALSE)="蓄力技",$B$21,0))*(1+IF(VLOOKUP($R183,武学奇术!$A:$ZZ,30,FALSE)="派生技",$B$20,0))*(1+$BW183)*(1+$BX183)</f>
        <v>0</v>
      </c>
      <c r="O183" s="46">
        <f>((($AT183+$AU183)/2*$AN183+$AO183)*(1+$AV183)*(1+$AW183)+(($AY183+$AZ183)/2*IF($G$1="鸣金",$AP183,$AN183)+IF($G$1="鸣金",$AQ183*1.5,0))*(1+$BA183)*(1+$BB183)+(($BC183+$BD183)/2*IF($G$1="裂石",$AP183,$AN183)+IF($G$1="裂石",$AQ183*1.5,0))*(1+$BE183)*(1+$BF183)+(($BG183+$BH183)/2*IF($G$1="牵丝",$AP183,$AN183)+IF($G$1="牵丝",$AQ183*1.5,0))*(1+$BI183)*(1+$BJ183)+(($BK183+$BL183)/2*IF($G$1="破竹",$AP183,$AN183)+IF($G$1="破竹",$AQ183*1.5,0))*(1+$BM183)*(1+$BN183))*(1+$AR183)*$Q183*(1+IF(VLOOKUP($R183,武学奇术!$A:$ZZ,30,FALSE)="蓄力技",$B$21,0))*(1+IF(VLOOKUP($R183,武学奇术!$A:$ZZ,30,FALSE)="派生技",$B$20,0))*(1+$BW183)*(1+$BX183)</f>
        <v>0</v>
      </c>
      <c r="P183" s="46">
        <f>((($AT183*$AN183+$AO183)*(1+$AV183)*(1+$AW183)+($AY183*IF($G$1="鸣金",$AP183,$AN183)+IF($G$1="鸣金",$AQ183*1.5,0))*(1+$BA183)*(1+$BB183)+($BC183*IF($G$1="裂石",$AP183,$AN183)+IF($G$1="裂石",$AQ183*1.5,0))*(1+$BE183)*(1+$BF183)+($BG183*IF($G$1="牵丝",$AP183,$AN183)+IF($G$1="牵丝",$AQ183*1.5,0))*(1+$BI183)*(1+$BJ183)+($BK183*IF($G$1="破竹",$AP183,$AN183)+IF($G$1="破竹",$AQ183*1.5,0))*(1+$BM183)*(1+$BN183))*(1+$AR183))*$Q183*(1+IF(VLOOKUP($R183,武学奇术!$A:$ZZ,30,FALSE)="蓄力技",$B$21,0))*(1+IF(VLOOKUP($R183,武学奇术!$A:$ZZ,30,FALSE)="派生技",$B$20,0))*(1+$BW183)*(1+$BX183)</f>
        <v>0</v>
      </c>
      <c r="Q183" s="47">
        <f t="shared" si="47"/>
        <v>0</v>
      </c>
      <c r="R183" s="48" t="s">
        <v>173</v>
      </c>
      <c r="S183" s="48" t="s">
        <v>99</v>
      </c>
      <c r="T183" s="48" t="s">
        <v>182</v>
      </c>
      <c r="U183" s="48" t="s">
        <v>79</v>
      </c>
      <c r="V183" s="48" t="s">
        <v>90</v>
      </c>
      <c r="W183" s="48" t="s">
        <v>141</v>
      </c>
      <c r="X183" s="48" t="s">
        <v>80</v>
      </c>
      <c r="Y183" s="48" t="s">
        <v>74</v>
      </c>
      <c r="Z183" s="48" t="s">
        <v>80</v>
      </c>
      <c r="AA183" s="48" t="s">
        <v>80</v>
      </c>
      <c r="AB183" s="48" t="s">
        <v>80</v>
      </c>
      <c r="AC183" s="48" t="s">
        <v>193</v>
      </c>
      <c r="AD183" s="48" t="s">
        <v>80</v>
      </c>
      <c r="AE183" s="48" t="s">
        <v>80</v>
      </c>
      <c r="AF183" s="48" t="s">
        <v>83</v>
      </c>
      <c r="AG183" s="48" t="s">
        <v>84</v>
      </c>
      <c r="AH183" s="48" t="s">
        <v>80</v>
      </c>
      <c r="AI183" s="48" t="s">
        <v>80</v>
      </c>
      <c r="AJ183" s="48" t="s">
        <v>80</v>
      </c>
      <c r="AK183" s="48" t="s">
        <v>80</v>
      </c>
      <c r="AL183" s="48" t="s">
        <v>80</v>
      </c>
      <c r="AM183" t="str">
        <f>VLOOKUP($R183,武学奇术!$A:$ZZ,25,FALSE)</f>
        <v>陌刀</v>
      </c>
      <c r="AN183" s="33">
        <f>VLOOKUP($R183,武学奇术!$A:$ZZ,26,FALSE)</f>
        <v>1.05</v>
      </c>
      <c r="AO183" s="34">
        <f>VLOOKUP($R183,武学奇术!$A:$ZZ,27,FALSE)*(1+IF(OR($AM183=$F$4,$AM183=$F$5),$B$22,0))</f>
        <v>0</v>
      </c>
      <c r="AP183" s="33">
        <f>VLOOKUP($R183,武学奇术!$A:$ZZ,28,FALSE)</f>
        <v>1.575</v>
      </c>
      <c r="AQ183" s="34">
        <f>VLOOKUP($R183,武学奇术!$A:$ZZ,29,FALSE)*(1+IF(OR($AM183=$F$4,$AM183=$F$5),$B$22,0))</f>
        <v>0</v>
      </c>
      <c r="AR183" s="33" cm="1">
        <f t="array" ref="AR183">$G$3+IFERROR(VLOOKUP($AM183,$F$4:$G$7,2,FALSE),0)+VLOOKUP($R183,武学奇术!$A:$ZZ,2,FALSE)+SUM(_xlfn.XLOOKUP($S183:$AL183,增益!$A:$A,增益!$B:$B,0))</f>
        <v>0.6143</v>
      </c>
      <c r="AS183" s="33" cm="1">
        <f t="array" ref="AS183">VLOOKUP($R183,武学奇术!$A:$ZZ,5,FALSE)+SUM(_xlfn.XLOOKUP($S183:$AL183,增益!$A:$A,增益!$E:$E,0))</f>
        <v>0</v>
      </c>
      <c r="AT183" cm="1">
        <f t="array" ref="AT183">$D$10*(1+$AS183)+VLOOKUP($R183,武学奇术!$A:$ZZ,3,FALSE)+SUM(_xlfn.XLOOKUP($S183:$AL183,增益!$A:$A,增益!$C:$C,0))-$I$2</f>
        <v>4026</v>
      </c>
      <c r="AU183" cm="1">
        <f t="array" ref="AU183">$E$10*(1+$AS183)+VLOOKUP($R183,武学奇术!$A:$ZZ,4,FALSE)+SUM(_xlfn.XLOOKUP($S183:$AL183,增益!$A:$A,增益!$D:$D,0))-$I$2</f>
        <v>4026</v>
      </c>
      <c r="AV183" s="40" cm="1">
        <f t="array" ref="AV183">IF($F$10-$I$3+VLOOKUP($R183,武学奇术!$A:$ZZ,6,FALSE)+SUM(_xlfn.XLOOKUP($S183:$AL183,增益!$A:$A,增益!$F:$F,0))&gt;0,($F$10-$I$3+VLOOKUP($R183,武学奇术!$A:$ZZ,6,FALSE)+SUM(_xlfn.XLOOKUP($S183:$AL183,增益!$A:$A,增益!$F:$F,0)))/200,($F$10-$I$3+VLOOKUP($R183,武学奇术!$A:$ZZ,6,FALSE)+SUM(_xlfn.XLOOKUP($S183:$AL183,增益!$A:$A,增益!$F:$F,0)))/100)</f>
        <v>0.3534</v>
      </c>
      <c r="AW183" s="40" cm="1">
        <f t="array" ref="AW183">$G$10+VLOOKUP($R183,武学奇术!$A:$ZZ,7,FALSE)+SUM(_xlfn.XLOOKUP($S183:$AL183,增益!$A:$A,增益!$G:$G,0))</f>
        <v>0.12</v>
      </c>
      <c r="AX183" s="33" cm="1">
        <f t="array" ref="AX183">VLOOKUP($R183,武学奇术!$A:$ZZ,8,FALSE)+SUM(_xlfn.XLOOKUP($S183:$AL183,增益!$A:$A,增益!$H:$H,0))</f>
        <v>0</v>
      </c>
      <c r="AY183">
        <f t="shared" si="34"/>
        <v>0</v>
      </c>
      <c r="AZ183">
        <f t="shared" si="35"/>
        <v>0</v>
      </c>
      <c r="BA183" s="40" cm="1">
        <f t="array" ref="BA183">IF($F$11-$I$4+VLOOKUP($R183,武学奇术!$A:$ZZ,9,FALSE)+SUM(_xlfn.XLOOKUP($S183:$AL183,增益!$A:$A,增益!$I:$I,0))&gt;0,($F$11-$I$4+VLOOKUP($R183,武学奇术!$A:$ZZ,9,FALSE)+SUM(_xlfn.XLOOKUP($S183:$AL183,增益!$A:$A,增益!$I:$I,0)))/200,($F$11-$I$4+VLOOKUP($R183,武学奇术!$A:$ZZ,9,FALSE)+SUM(_xlfn.XLOOKUP($S183:$AL183,增益!$A:$A,增益!$I:$I,0)))/100)</f>
        <v>-0.14</v>
      </c>
      <c r="BB183" s="40" cm="1">
        <f t="array" ref="BB183">$G$11+VLOOKUP($R183,武学奇术!$A:$ZZ,10,FALSE)+SUM(_xlfn.XLOOKUP($S183:$AL183,增益!$A:$A,增益!$J:$J,0))</f>
        <v>0</v>
      </c>
      <c r="BC183">
        <f t="shared" si="36"/>
        <v>640.3</v>
      </c>
      <c r="BD183">
        <f t="shared" si="37"/>
        <v>1770.1</v>
      </c>
      <c r="BE183" s="40" cm="1">
        <f t="array" ref="BE183">IF($F$12-$I$4+VLOOKUP($R183,武学奇术!$A:$ZZ,11,FALSE)+SUM(_xlfn.XLOOKUP($S183:$AL183,增益!$A:$A,增益!$K:$K,0))&gt;0,($F$12-$I$4+VLOOKUP($R183,武学奇术!$A:$ZZ,11,FALSE)+SUM(_xlfn.XLOOKUP($S183:$AL183,增益!$A:$A,增益!$K:$K,0)))/200,($F$12-$I$4+VLOOKUP($R183,武学奇术!$A:$ZZ,11,FALSE)+SUM(_xlfn.XLOOKUP($S183:$AL183,增益!$A:$A,增益!$K:$K,0)))/100)</f>
        <v>0.17</v>
      </c>
      <c r="BF183" s="40" cm="1">
        <f t="array" ref="BF183">$G$12+VLOOKUP($R183,武学奇术!$A:$ZZ,12,FALSE)+SUM(_xlfn.XLOOKUP($S183:$AL183,增益!$A:$A,增益!$L:$L,0))</f>
        <v>0.27</v>
      </c>
      <c r="BG183">
        <f t="shared" si="38"/>
        <v>0</v>
      </c>
      <c r="BH183">
        <f t="shared" si="39"/>
        <v>0</v>
      </c>
      <c r="BI183" s="40" cm="1">
        <f t="array" ref="BI183">IF($F$13-$I$4+VLOOKUP($R183,武学奇术!$A:$ZZ,13,FALSE)+SUM(_xlfn.XLOOKUP($S183:$AL183,增益!$A:$A,增益!$M:$M,0))&gt;0,($F$13-$I$4+VLOOKUP($R183,武学奇术!$A:$ZZ,13,FALSE)+SUM(_xlfn.XLOOKUP($S183:$AL183,增益!$A:$A,增益!$K:$K,0)))/200,($F$13-$I$4+VLOOKUP($R183,武学奇术!$A:$ZZ,13,FALSE)+SUM(_xlfn.XLOOKUP($S183:$AL183,增益!$A:$A,增益!$M:$M,0)))/100)</f>
        <v>-0.14</v>
      </c>
      <c r="BJ183" s="40" cm="1">
        <f t="array" ref="BJ183">$G$13+VLOOKUP($R183,武学奇术!$A:$ZZ,14,FALSE)+SUM(_xlfn.XLOOKUP($S183:$AL183,增益!$A:$A,增益!$N:$N,0))</f>
        <v>0</v>
      </c>
      <c r="BK183">
        <f t="shared" si="40"/>
        <v>0</v>
      </c>
      <c r="BL183">
        <f t="shared" si="41"/>
        <v>0</v>
      </c>
      <c r="BM183" s="40" cm="1">
        <f t="array" ref="BM183">IF($F$14-$I$4+VLOOKUP($R183,武学奇术!$A:$ZZ,15,FALSE)+SUM(_xlfn.XLOOKUP($S183:$AL183,增益!$A:$A,增益!$O:$O,0))&gt;0,($F$14-$I$4+VLOOKUP($R183,武学奇术!$A:$ZZ,15,FALSE)+SUM(_xlfn.XLOOKUP($S183:$AL183,增益!$A:$A,增益!$O:$O,0)))/200,($F$14-$I$4+VLOOKUP($R183,武学奇术!$A:$ZZ,15,FALSE)+SUM(_xlfn.XLOOKUP($S183:$AL183,增益!$A:$A,增益!$O:$O,0)))/100)</f>
        <v>-0.14</v>
      </c>
      <c r="BN183" s="40" cm="1">
        <f t="array" ref="BN183">$G$14+VLOOKUP($R183,武学奇术!$A:$ZZ,16,FALSE)+SUM(_xlfn.XLOOKUP($S183:$AL183,增益!$A:$A,增益!$P:$P,0))</f>
        <v>0</v>
      </c>
      <c r="BO183" s="33">
        <f>MIN(IF(VLOOKUP($R183,武学奇术!$A:$ZZ,23,FALSE)=1,100%,$B$8),100%)</f>
        <v>0.9771</v>
      </c>
      <c r="BP183" s="33" cm="1">
        <f t="array" ref="BP183">IF(VLOOKUP($R183,武学奇术!$A:$ZZ,23,FALSE)=1,100%,MIN(80%,$B$9+VLOOKUP($R183,武学奇术!$A:$ZZ,17,FALSE)+SUM(_xlfn.XLOOKUP($S183:$AL183,增益!$A:$A,增益!$Q:$Q,0)))+$B$11+SUM(_xlfn.XLOOKUP($S183:$AL183,增益!$A:$A,增益!$U:$U,0)))*IF(VLOOKUP($R183,武学奇术!$A:$ZZ,24,FALSE)=1,0,1)</f>
        <v>0.8861</v>
      </c>
      <c r="BQ183" s="33" cm="1">
        <f t="array" ref="BQ183">1+$B$13+VLOOKUP($R183,武学奇术!$A:$ZZ,18,FALSE)+SUM(_xlfn.XLOOKUP($S183:$AL183,增益!$A:$A,增益!$R:$R,0))</f>
        <v>2</v>
      </c>
      <c r="BR183" s="33" cm="1">
        <f t="array" ref="BR183">IF(VLOOKUP($R183,武学奇术!$A:$ZZ,24,FALSE)=1,100%,MIN(40%,$B$10+VLOOKUP($R183,武学奇术!$A:$ZZ,19,FALSE)+SUM(_xlfn.XLOOKUP($S183:$AL183,增益!$A:$A,增益!$S:$S,0)))+$B$12+SUM(_xlfn.XLOOKUP($S183:$AL183,增益!$A:$A,增益!$V:$V,0)))*IF(VLOOKUP($R183,武学奇术!$A:$ZZ,23,FALSE)=1,0,1)</f>
        <v>0.0913</v>
      </c>
      <c r="BS183" s="33" cm="1">
        <f t="array" ref="BS183">1+$B$14+VLOOKUP($R183,武学奇术!$A:$ZZ,20,FALSE)+SUM(_xlfn.XLOOKUP($S183:$AL183,增益!$A:$A,增益!$T:$T,0))</f>
        <v>1.35</v>
      </c>
      <c r="BT183" s="33">
        <f t="shared" si="42"/>
        <v>0.86580831</v>
      </c>
      <c r="BU183" s="33">
        <f t="shared" si="43"/>
        <v>0.02208246</v>
      </c>
      <c r="BV183" s="33">
        <f>IF(VLOOKUP($R183,武学奇术!$A:$ZZ,22,FALSE)=1,0,(1-$BO183))*(1-$BR183)</f>
        <v>0.02080923</v>
      </c>
      <c r="BW183" s="33" cm="1">
        <f t="array" ref="BW183">SUM(_xlfn.XLOOKUP($S183:$AL183,增益!$A:$A,增益!$W:$W,0))+$I$5</f>
        <v>0.11</v>
      </c>
      <c r="BX183" s="33" cm="1">
        <f t="array" ref="BX183">VLOOKUP($R183,武学奇术!$A:$ZZ,32,FALSE)+SUM(_xlfn.XLOOKUP($S183:$AL183,增益!$A:$A,增益!$X:$X,0))</f>
        <v>0</v>
      </c>
    </row>
    <row r="184" spans="12:76">
      <c r="L184" s="46">
        <f t="shared" si="33"/>
        <v>0</v>
      </c>
      <c r="M184" s="46">
        <f>((($AT184+$AU184)/2*$AN184+$AO184)*(1+$AV184)*(1+$AW184)+(($AY184+$AZ184)/2*IF($G$1="鸣金",$AP184,$AN184)+IF($G$1="鸣金",$AQ184*1.5,0))*(1+$BA184)*(1+$BB184)+(($BC184+$BD184)/2*IF($G$1="裂石",$AP184,$AN184)+IF($G$1="裂石",$AQ184*1.5,0))*(1+$BE184)*(1+$BF184)+(($BG184+$BH184)/2*IF($G$1="牵丝",$AP184,$AN184)+IF($G$1="牵丝",$AQ184*1.5,0))*(1+$BI184)*(1+$BJ184)+(($BK184+$BL184)/2*IF($G$1="破竹",$AP184,$AN184)+IF($G$1="破竹",$AQ184*1.5,0))*(1+$BM184)*(1+$BN184))*(1+$AR184)*$BQ184*$Q184*(1+IF(VLOOKUP($R184,武学奇术!$A:$ZZ,30,FALSE)="蓄力技",$B$21,0))*(1+IF(VLOOKUP($R184,武学奇术!$A:$ZZ,30,FALSE)="派生技",$B$20,0))*(1+$BW184)*(1+$BX184)</f>
        <v>0</v>
      </c>
      <c r="N184" s="46">
        <f>(($AU184*$AN184+$AO184)*(1+$AV184)*(1+$AW184)+($AZ184*IF($G$1="鸣金",$AP184,$AN184)+IF($G$1="鸣金",$AQ184*1.5,0))*(1+$BA184)*(1+$BB184)+($BD184*IF($G$1="裂石",$AP184,$AN184)+IF($G$1="裂石",$AQ184*1.5,0))*(1+$BE184)*(1+$BF184)+($BH184*IF($G$1="牵丝",$AP184,$AN184)+IF($G$1="牵丝",$AQ184*1.5,0))*(1+$BI184)*(1+$BJ184)+($BL184*IF($G$1="破竹",$AP184,$AN184)+IF($G$1="破竹",$AQ184*1.5,0))*(1+$BM184)*(1+$BN184))*(1+$AR184)*$BS184*$Q184*(1+IF(VLOOKUP($R184,武学奇术!$A:$ZZ,30,FALSE)="蓄力技",$B$21,0))*(1+IF(VLOOKUP($R184,武学奇术!$A:$ZZ,30,FALSE)="派生技",$B$20,0))*(1+$BW184)*(1+$BX184)</f>
        <v>0</v>
      </c>
      <c r="O184" s="46">
        <f>((($AT184+$AU184)/2*$AN184+$AO184)*(1+$AV184)*(1+$AW184)+(($AY184+$AZ184)/2*IF($G$1="鸣金",$AP184,$AN184)+IF($G$1="鸣金",$AQ184*1.5,0))*(1+$BA184)*(1+$BB184)+(($BC184+$BD184)/2*IF($G$1="裂石",$AP184,$AN184)+IF($G$1="裂石",$AQ184*1.5,0))*(1+$BE184)*(1+$BF184)+(($BG184+$BH184)/2*IF($G$1="牵丝",$AP184,$AN184)+IF($G$1="牵丝",$AQ184*1.5,0))*(1+$BI184)*(1+$BJ184)+(($BK184+$BL184)/2*IF($G$1="破竹",$AP184,$AN184)+IF($G$1="破竹",$AQ184*1.5,0))*(1+$BM184)*(1+$BN184))*(1+$AR184)*$Q184*(1+IF(VLOOKUP($R184,武学奇术!$A:$ZZ,30,FALSE)="蓄力技",$B$21,0))*(1+IF(VLOOKUP($R184,武学奇术!$A:$ZZ,30,FALSE)="派生技",$B$20,0))*(1+$BW184)*(1+$BX184)</f>
        <v>0</v>
      </c>
      <c r="P184" s="46">
        <f>((($AT184*$AN184+$AO184)*(1+$AV184)*(1+$AW184)+($AY184*IF($G$1="鸣金",$AP184,$AN184)+IF($G$1="鸣金",$AQ184*1.5,0))*(1+$BA184)*(1+$BB184)+($BC184*IF($G$1="裂石",$AP184,$AN184)+IF($G$1="裂石",$AQ184*1.5,0))*(1+$BE184)*(1+$BF184)+($BG184*IF($G$1="牵丝",$AP184,$AN184)+IF($G$1="牵丝",$AQ184*1.5,0))*(1+$BI184)*(1+$BJ184)+($BK184*IF($G$1="破竹",$AP184,$AN184)+IF($G$1="破竹",$AQ184*1.5,0))*(1+$BM184)*(1+$BN184))*(1+$AR184))*$Q184*(1+IF(VLOOKUP($R184,武学奇术!$A:$ZZ,30,FALSE)="蓄力技",$B$21,0))*(1+IF(VLOOKUP($R184,武学奇术!$A:$ZZ,30,FALSE)="派生技",$B$20,0))*(1+$BW184)*(1+$BX184)</f>
        <v>0</v>
      </c>
      <c r="Q184" s="47">
        <f t="shared" si="47"/>
        <v>0</v>
      </c>
      <c r="R184" s="48" t="s">
        <v>200</v>
      </c>
      <c r="S184" s="48" t="s">
        <v>99</v>
      </c>
      <c r="T184" s="48" t="s">
        <v>182</v>
      </c>
      <c r="U184" s="48" t="s">
        <v>79</v>
      </c>
      <c r="V184" s="48" t="s">
        <v>90</v>
      </c>
      <c r="W184" s="48" t="s">
        <v>91</v>
      </c>
      <c r="X184" s="48" t="s">
        <v>80</v>
      </c>
      <c r="Y184" s="48" t="s">
        <v>80</v>
      </c>
      <c r="Z184" s="48" t="s">
        <v>80</v>
      </c>
      <c r="AA184" s="48" t="s">
        <v>80</v>
      </c>
      <c r="AB184" s="48" t="s">
        <v>80</v>
      </c>
      <c r="AC184" s="48" t="s">
        <v>193</v>
      </c>
      <c r="AD184" s="48" t="s">
        <v>80</v>
      </c>
      <c r="AE184" s="48" t="s">
        <v>80</v>
      </c>
      <c r="AF184" s="48" t="s">
        <v>83</v>
      </c>
      <c r="AG184" s="48" t="s">
        <v>84</v>
      </c>
      <c r="AH184" s="48" t="s">
        <v>80</v>
      </c>
      <c r="AI184" s="48" t="s">
        <v>80</v>
      </c>
      <c r="AJ184" s="48" t="s">
        <v>80</v>
      </c>
      <c r="AK184" s="48" t="s">
        <v>80</v>
      </c>
      <c r="AL184" s="48" t="s">
        <v>80</v>
      </c>
      <c r="AM184" t="str">
        <f>VLOOKUP($R184,武学奇术!$A:$ZZ,25,FALSE)</f>
        <v>横刀</v>
      </c>
      <c r="AN184" s="33">
        <f>VLOOKUP($R184,武学奇术!$A:$ZZ,26,FALSE)</f>
        <v>0.6486</v>
      </c>
      <c r="AO184" s="34">
        <f>VLOOKUP($R184,武学奇术!$A:$ZZ,27,FALSE)*(1+IF(OR($AM184=$F$4,$AM184=$F$5),$B$22,0))</f>
        <v>288</v>
      </c>
      <c r="AP184" s="33">
        <f>VLOOKUP($R184,武学奇术!$A:$ZZ,28,FALSE)</f>
        <v>0.9729</v>
      </c>
      <c r="AQ184" s="34">
        <f>VLOOKUP($R184,武学奇术!$A:$ZZ,29,FALSE)*(1+IF(OR($AM184=$F$4,$AM184=$F$5),$B$22,0))</f>
        <v>156.8</v>
      </c>
      <c r="AR184" s="33" cm="1">
        <f t="array" ref="AR184">$G$3+IFERROR(VLOOKUP($AM184,$F$4:$G$7,2,FALSE),0)+VLOOKUP($R184,武学奇术!$A:$ZZ,2,FALSE)+SUM(_xlfn.XLOOKUP($S184:$AL184,增益!$A:$A,增益!$B:$B,0))</f>
        <v>0.4489</v>
      </c>
      <c r="AS184" s="33" cm="1">
        <f t="array" ref="AS184">VLOOKUP($R184,武学奇术!$A:$ZZ,5,FALSE)+SUM(_xlfn.XLOOKUP($S184:$AL184,增益!$A:$A,增益!$E:$E,0))</f>
        <v>0</v>
      </c>
      <c r="AT184" cm="1">
        <f t="array" ref="AT184">$D$10*(1+$AS184)+VLOOKUP($R184,武学奇术!$A:$ZZ,3,FALSE)+SUM(_xlfn.XLOOKUP($S184:$AL184,增益!$A:$A,增益!$C:$C,0))-$I$2</f>
        <v>4026</v>
      </c>
      <c r="AU184" cm="1">
        <f t="array" ref="AU184">$E$10*(1+$AS184)+VLOOKUP($R184,武学奇术!$A:$ZZ,4,FALSE)+SUM(_xlfn.XLOOKUP($S184:$AL184,增益!$A:$A,增益!$D:$D,0))-$I$2</f>
        <v>4026</v>
      </c>
      <c r="AV184" s="40" cm="1">
        <f t="array" ref="AV184">IF($F$10-$I$3+VLOOKUP($R184,武学奇术!$A:$ZZ,6,FALSE)+SUM(_xlfn.XLOOKUP($S184:$AL184,增益!$A:$A,增益!$F:$F,0))&gt;0,($F$10-$I$3+VLOOKUP($R184,武学奇术!$A:$ZZ,6,FALSE)+SUM(_xlfn.XLOOKUP($S184:$AL184,增益!$A:$A,增益!$F:$F,0)))/200,($F$10-$I$3+VLOOKUP($R184,武学奇术!$A:$ZZ,6,FALSE)+SUM(_xlfn.XLOOKUP($S184:$AL184,增益!$A:$A,增益!$F:$F,0)))/100)</f>
        <v>0.3284</v>
      </c>
      <c r="AW184" s="40" cm="1">
        <f t="array" ref="AW184">$G$10+VLOOKUP($R184,武学奇术!$A:$ZZ,7,FALSE)+SUM(_xlfn.XLOOKUP($S184:$AL184,增益!$A:$A,增益!$G:$G,0))</f>
        <v>0.12</v>
      </c>
      <c r="AX184" s="33" cm="1">
        <f t="array" ref="AX184">VLOOKUP($R184,武学奇术!$A:$ZZ,8,FALSE)+SUM(_xlfn.XLOOKUP($S184:$AL184,增益!$A:$A,增益!$H:$H,0))</f>
        <v>0</v>
      </c>
      <c r="AY184">
        <f t="shared" si="34"/>
        <v>0</v>
      </c>
      <c r="AZ184">
        <f t="shared" si="35"/>
        <v>0</v>
      </c>
      <c r="BA184" s="40" cm="1">
        <f t="array" ref="BA184">IF($F$11-$I$4+VLOOKUP($R184,武学奇术!$A:$ZZ,9,FALSE)+SUM(_xlfn.XLOOKUP($S184:$AL184,增益!$A:$A,增益!$I:$I,0))&gt;0,($F$11-$I$4+VLOOKUP($R184,武学奇术!$A:$ZZ,9,FALSE)+SUM(_xlfn.XLOOKUP($S184:$AL184,增益!$A:$A,增益!$I:$I,0)))/200,($F$11-$I$4+VLOOKUP($R184,武学奇术!$A:$ZZ,9,FALSE)+SUM(_xlfn.XLOOKUP($S184:$AL184,增益!$A:$A,增益!$I:$I,0)))/100)</f>
        <v>-0.14</v>
      </c>
      <c r="BB184" s="40" cm="1">
        <f t="array" ref="BB184">$G$11+VLOOKUP($R184,武学奇术!$A:$ZZ,10,FALSE)+SUM(_xlfn.XLOOKUP($S184:$AL184,增益!$A:$A,增益!$J:$J,0))</f>
        <v>0</v>
      </c>
      <c r="BC184">
        <f t="shared" si="36"/>
        <v>640.3</v>
      </c>
      <c r="BD184">
        <f t="shared" si="37"/>
        <v>1770.1</v>
      </c>
      <c r="BE184" s="40" cm="1">
        <f t="array" ref="BE184">IF($F$12-$I$4+VLOOKUP($R184,武学奇术!$A:$ZZ,11,FALSE)+SUM(_xlfn.XLOOKUP($S184:$AL184,增益!$A:$A,增益!$K:$K,0))&gt;0,($F$12-$I$4+VLOOKUP($R184,武学奇术!$A:$ZZ,11,FALSE)+SUM(_xlfn.XLOOKUP($S184:$AL184,增益!$A:$A,增益!$K:$K,0)))/200,($F$12-$I$4+VLOOKUP($R184,武学奇术!$A:$ZZ,11,FALSE)+SUM(_xlfn.XLOOKUP($S184:$AL184,增益!$A:$A,增益!$K:$K,0)))/100)</f>
        <v>0.17</v>
      </c>
      <c r="BF184" s="40" cm="1">
        <f t="array" ref="BF184">$G$12+VLOOKUP($R184,武学奇术!$A:$ZZ,12,FALSE)+SUM(_xlfn.XLOOKUP($S184:$AL184,增益!$A:$A,增益!$L:$L,0))</f>
        <v>0.27</v>
      </c>
      <c r="BG184">
        <f t="shared" si="38"/>
        <v>0</v>
      </c>
      <c r="BH184">
        <f t="shared" si="39"/>
        <v>0</v>
      </c>
      <c r="BI184" s="40" cm="1">
        <f t="array" ref="BI184">IF($F$13-$I$4+VLOOKUP($R184,武学奇术!$A:$ZZ,13,FALSE)+SUM(_xlfn.XLOOKUP($S184:$AL184,增益!$A:$A,增益!$M:$M,0))&gt;0,($F$13-$I$4+VLOOKUP($R184,武学奇术!$A:$ZZ,13,FALSE)+SUM(_xlfn.XLOOKUP($S184:$AL184,增益!$A:$A,增益!$K:$K,0)))/200,($F$13-$I$4+VLOOKUP($R184,武学奇术!$A:$ZZ,13,FALSE)+SUM(_xlfn.XLOOKUP($S184:$AL184,增益!$A:$A,增益!$M:$M,0)))/100)</f>
        <v>-0.14</v>
      </c>
      <c r="BJ184" s="40" cm="1">
        <f t="array" ref="BJ184">$G$13+VLOOKUP($R184,武学奇术!$A:$ZZ,14,FALSE)+SUM(_xlfn.XLOOKUP($S184:$AL184,增益!$A:$A,增益!$N:$N,0))</f>
        <v>0</v>
      </c>
      <c r="BK184">
        <f t="shared" si="40"/>
        <v>0</v>
      </c>
      <c r="BL184">
        <f t="shared" si="41"/>
        <v>0</v>
      </c>
      <c r="BM184" s="40" cm="1">
        <f t="array" ref="BM184">IF($F$14-$I$4+VLOOKUP($R184,武学奇术!$A:$ZZ,15,FALSE)+SUM(_xlfn.XLOOKUP($S184:$AL184,增益!$A:$A,增益!$O:$O,0))&gt;0,($F$14-$I$4+VLOOKUP($R184,武学奇术!$A:$ZZ,15,FALSE)+SUM(_xlfn.XLOOKUP($S184:$AL184,增益!$A:$A,增益!$O:$O,0)))/200,($F$14-$I$4+VLOOKUP($R184,武学奇术!$A:$ZZ,15,FALSE)+SUM(_xlfn.XLOOKUP($S184:$AL184,增益!$A:$A,增益!$O:$O,0)))/100)</f>
        <v>-0.14</v>
      </c>
      <c r="BN184" s="40" cm="1">
        <f t="array" ref="BN184">$G$14+VLOOKUP($R184,武学奇术!$A:$ZZ,16,FALSE)+SUM(_xlfn.XLOOKUP($S184:$AL184,增益!$A:$A,增益!$P:$P,0))</f>
        <v>0</v>
      </c>
      <c r="BO184" s="33">
        <f>MIN(IF(VLOOKUP($R184,武学奇术!$A:$ZZ,23,FALSE)=1,100%,$B$8),100%)</f>
        <v>0.9771</v>
      </c>
      <c r="BP184" s="33" cm="1">
        <f t="array" ref="BP184">IF(VLOOKUP($R184,武学奇术!$A:$ZZ,23,FALSE)=1,100%,MIN(80%,$B$9+VLOOKUP($R184,武学奇术!$A:$ZZ,17,FALSE)+SUM(_xlfn.XLOOKUP($S184:$AL184,增益!$A:$A,增益!$Q:$Q,0)))+$B$11+SUM(_xlfn.XLOOKUP($S184:$AL184,增益!$A:$A,增益!$U:$U,0)))*IF(VLOOKUP($R184,武学奇术!$A:$ZZ,24,FALSE)=1,0,1)</f>
        <v>0.8861</v>
      </c>
      <c r="BQ184" s="33" cm="1">
        <f t="array" ref="BQ184">1+$B$13+VLOOKUP($R184,武学奇术!$A:$ZZ,18,FALSE)+SUM(_xlfn.XLOOKUP($S184:$AL184,增益!$A:$A,增益!$R:$R,0))</f>
        <v>1.95</v>
      </c>
      <c r="BR184" s="33" cm="1">
        <f t="array" ref="BR184">IF(VLOOKUP($R184,武学奇术!$A:$ZZ,24,FALSE)=1,100%,MIN(40%,$B$10+VLOOKUP($R184,武学奇术!$A:$ZZ,19,FALSE)+SUM(_xlfn.XLOOKUP($S184:$AL184,增益!$A:$A,增益!$S:$S,0)))+$B$12+SUM(_xlfn.XLOOKUP($S184:$AL184,增益!$A:$A,增益!$V:$V,0)))*IF(VLOOKUP($R184,武学奇术!$A:$ZZ,23,FALSE)=1,0,1)</f>
        <v>0.0913</v>
      </c>
      <c r="BS184" s="33" cm="1">
        <f t="array" ref="BS184">1+$B$14+VLOOKUP($R184,武学奇术!$A:$ZZ,20,FALSE)+SUM(_xlfn.XLOOKUP($S184:$AL184,增益!$A:$A,增益!$T:$T,0))</f>
        <v>1.35</v>
      </c>
      <c r="BT184" s="33">
        <f t="shared" si="42"/>
        <v>0.86580831</v>
      </c>
      <c r="BU184" s="33">
        <f t="shared" si="43"/>
        <v>0.02208246</v>
      </c>
      <c r="BV184" s="33">
        <f>IF(VLOOKUP($R184,武学奇术!$A:$ZZ,22,FALSE)=1,0,(1-$BO184))*(1-$BR184)</f>
        <v>0.02080923</v>
      </c>
      <c r="BW184" s="33" cm="1">
        <f t="array" ref="BW184">SUM(_xlfn.XLOOKUP($S184:$AL184,增益!$A:$A,增益!$W:$W,0))+$I$5</f>
        <v>0.11</v>
      </c>
      <c r="BX184" s="33" cm="1">
        <f t="array" ref="BX184">VLOOKUP($R184,武学奇术!$A:$ZZ,32,FALSE)+SUM(_xlfn.XLOOKUP($S184:$AL184,增益!$A:$A,增益!$X:$X,0))</f>
        <v>0</v>
      </c>
    </row>
    <row r="185" spans="12:76">
      <c r="L185" s="46">
        <f t="shared" si="33"/>
        <v>0</v>
      </c>
      <c r="M185" s="46">
        <f>((($AT185+$AU185)/2*$AN185+$AO185)*(1+$AV185)*(1+$AW185)+(($AY185+$AZ185)/2*IF($G$1="鸣金",$AP185,$AN185)+IF($G$1="鸣金",$AQ185*1.5,0))*(1+$BA185)*(1+$BB185)+(($BC185+$BD185)/2*IF($G$1="裂石",$AP185,$AN185)+IF($G$1="裂石",$AQ185*1.5,0))*(1+$BE185)*(1+$BF185)+(($BG185+$BH185)/2*IF($G$1="牵丝",$AP185,$AN185)+IF($G$1="牵丝",$AQ185*1.5,0))*(1+$BI185)*(1+$BJ185)+(($BK185+$BL185)/2*IF($G$1="破竹",$AP185,$AN185)+IF($G$1="破竹",$AQ185*1.5,0))*(1+$BM185)*(1+$BN185))*(1+$AR185)*$BQ185*$Q185*(1+IF(VLOOKUP($R185,武学奇术!$A:$ZZ,30,FALSE)="蓄力技",$B$21,0))*(1+IF(VLOOKUP($R185,武学奇术!$A:$ZZ,30,FALSE)="派生技",$B$20,0))*(1+$BW185)*(1+$BX185)</f>
        <v>0</v>
      </c>
      <c r="N185" s="46">
        <f>(($AU185*$AN185+$AO185)*(1+$AV185)*(1+$AW185)+($AZ185*IF($G$1="鸣金",$AP185,$AN185)+IF($G$1="鸣金",$AQ185*1.5,0))*(1+$BA185)*(1+$BB185)+($BD185*IF($G$1="裂石",$AP185,$AN185)+IF($G$1="裂石",$AQ185*1.5,0))*(1+$BE185)*(1+$BF185)+($BH185*IF($G$1="牵丝",$AP185,$AN185)+IF($G$1="牵丝",$AQ185*1.5,0))*(1+$BI185)*(1+$BJ185)+($BL185*IF($G$1="破竹",$AP185,$AN185)+IF($G$1="破竹",$AQ185*1.5,0))*(1+$BM185)*(1+$BN185))*(1+$AR185)*$BS185*$Q185*(1+IF(VLOOKUP($R185,武学奇术!$A:$ZZ,30,FALSE)="蓄力技",$B$21,0))*(1+IF(VLOOKUP($R185,武学奇术!$A:$ZZ,30,FALSE)="派生技",$B$20,0))*(1+$BW185)*(1+$BX185)</f>
        <v>0</v>
      </c>
      <c r="O185" s="46">
        <f>((($AT185+$AU185)/2*$AN185+$AO185)*(1+$AV185)*(1+$AW185)+(($AY185+$AZ185)/2*IF($G$1="鸣金",$AP185,$AN185)+IF($G$1="鸣金",$AQ185*1.5,0))*(1+$BA185)*(1+$BB185)+(($BC185+$BD185)/2*IF($G$1="裂石",$AP185,$AN185)+IF($G$1="裂石",$AQ185*1.5,0))*(1+$BE185)*(1+$BF185)+(($BG185+$BH185)/2*IF($G$1="牵丝",$AP185,$AN185)+IF($G$1="牵丝",$AQ185*1.5,0))*(1+$BI185)*(1+$BJ185)+(($BK185+$BL185)/2*IF($G$1="破竹",$AP185,$AN185)+IF($G$1="破竹",$AQ185*1.5,0))*(1+$BM185)*(1+$BN185))*(1+$AR185)*$Q185*(1+IF(VLOOKUP($R185,武学奇术!$A:$ZZ,30,FALSE)="蓄力技",$B$21,0))*(1+IF(VLOOKUP($R185,武学奇术!$A:$ZZ,30,FALSE)="派生技",$B$20,0))*(1+$BW185)*(1+$BX185)</f>
        <v>0</v>
      </c>
      <c r="P185" s="46">
        <f>((($AT185*$AN185+$AO185)*(1+$AV185)*(1+$AW185)+($AY185*IF($G$1="鸣金",$AP185,$AN185)+IF($G$1="鸣金",$AQ185*1.5,0))*(1+$BA185)*(1+$BB185)+($BC185*IF($G$1="裂石",$AP185,$AN185)+IF($G$1="裂石",$AQ185*1.5,0))*(1+$BE185)*(1+$BF185)+($BG185*IF($G$1="牵丝",$AP185,$AN185)+IF($G$1="牵丝",$AQ185*1.5,0))*(1+$BI185)*(1+$BJ185)+($BK185*IF($G$1="破竹",$AP185,$AN185)+IF($G$1="破竹",$AQ185*1.5,0))*(1+$BM185)*(1+$BN185))*(1+$AR185))*$Q185*(1+IF(VLOOKUP($R185,武学奇术!$A:$ZZ,30,FALSE)="蓄力技",$B$21,0))*(1+IF(VLOOKUP($R185,武学奇术!$A:$ZZ,30,FALSE)="派生技",$B$20,0))*(1+$BW185)*(1+$BX185)</f>
        <v>0</v>
      </c>
      <c r="Q185" s="47">
        <f t="shared" si="47"/>
        <v>0</v>
      </c>
      <c r="R185" s="48" t="s">
        <v>175</v>
      </c>
      <c r="S185" s="48" t="s">
        <v>99</v>
      </c>
      <c r="T185" s="48" t="s">
        <v>182</v>
      </c>
      <c r="U185" s="48" t="s">
        <v>79</v>
      </c>
      <c r="V185" s="48" t="s">
        <v>80</v>
      </c>
      <c r="W185" s="48" t="s">
        <v>91</v>
      </c>
      <c r="X185" s="48" t="s">
        <v>80</v>
      </c>
      <c r="Y185" s="48" t="s">
        <v>80</v>
      </c>
      <c r="Z185" s="48" t="s">
        <v>80</v>
      </c>
      <c r="AA185" s="48" t="s">
        <v>80</v>
      </c>
      <c r="AB185" s="48" t="s">
        <v>80</v>
      </c>
      <c r="AC185" s="48" t="s">
        <v>193</v>
      </c>
      <c r="AD185" s="48" t="s">
        <v>80</v>
      </c>
      <c r="AE185" s="48" t="s">
        <v>80</v>
      </c>
      <c r="AF185" s="48" t="s">
        <v>83</v>
      </c>
      <c r="AG185" s="48" t="s">
        <v>84</v>
      </c>
      <c r="AH185" s="48" t="s">
        <v>80</v>
      </c>
      <c r="AI185" s="48" t="s">
        <v>80</v>
      </c>
      <c r="AJ185" s="48" t="s">
        <v>80</v>
      </c>
      <c r="AK185" s="48" t="s">
        <v>80</v>
      </c>
      <c r="AL185" s="48" t="s">
        <v>80</v>
      </c>
      <c r="AM185" t="str">
        <f>VLOOKUP($R185,武学奇术!$A:$ZZ,25,FALSE)</f>
        <v>横刀</v>
      </c>
      <c r="AN185" s="33">
        <f>VLOOKUP($R185,武学奇术!$A:$ZZ,26,FALSE)</f>
        <v>1.2338</v>
      </c>
      <c r="AO185" s="34">
        <f>VLOOKUP($R185,武学奇术!$A:$ZZ,27,FALSE)*(1+IF(OR($AM185=$F$4,$AM185=$F$5),$B$22,0))</f>
        <v>547.2</v>
      </c>
      <c r="AP185" s="33">
        <f>VLOOKUP($R185,武学奇术!$A:$ZZ,28,FALSE)</f>
        <v>1.8507</v>
      </c>
      <c r="AQ185" s="34">
        <f>VLOOKUP($R185,武学奇术!$A:$ZZ,29,FALSE)*(1+IF(OR($AM185=$F$4,$AM185=$F$5),$B$22,0))</f>
        <v>297.6</v>
      </c>
      <c r="AR185" s="33" cm="1">
        <f t="array" ref="AR185">$G$3+IFERROR(VLOOKUP($AM185,$F$4:$G$7,2,FALSE),0)+VLOOKUP($R185,武学奇术!$A:$ZZ,2,FALSE)+SUM(_xlfn.XLOOKUP($S185:$AL185,增益!$A:$A,增益!$B:$B,0))</f>
        <v>0.3689</v>
      </c>
      <c r="AS185" s="33" cm="1">
        <f t="array" ref="AS185">VLOOKUP($R185,武学奇术!$A:$ZZ,5,FALSE)+SUM(_xlfn.XLOOKUP($S185:$AL185,增益!$A:$A,增益!$E:$E,0))</f>
        <v>0</v>
      </c>
      <c r="AT185" cm="1">
        <f t="array" ref="AT185">$D$10*(1+$AS185)+VLOOKUP($R185,武学奇术!$A:$ZZ,3,FALSE)+SUM(_xlfn.XLOOKUP($S185:$AL185,增益!$A:$A,增益!$C:$C,0))-$I$2</f>
        <v>4026</v>
      </c>
      <c r="AU185" cm="1">
        <f t="array" ref="AU185">$E$10*(1+$AS185)+VLOOKUP($R185,武学奇术!$A:$ZZ,4,FALSE)+SUM(_xlfn.XLOOKUP($S185:$AL185,增益!$A:$A,增益!$D:$D,0))-$I$2</f>
        <v>4026</v>
      </c>
      <c r="AV185" s="40" cm="1">
        <f t="array" ref="AV185">IF($F$10-$I$3+VLOOKUP($R185,武学奇术!$A:$ZZ,6,FALSE)+SUM(_xlfn.XLOOKUP($S185:$AL185,增益!$A:$A,增益!$F:$F,0))&gt;0,($F$10-$I$3+VLOOKUP($R185,武学奇术!$A:$ZZ,6,FALSE)+SUM(_xlfn.XLOOKUP($S185:$AL185,增益!$A:$A,增益!$F:$F,0)))/200,($F$10-$I$3+VLOOKUP($R185,武学奇术!$A:$ZZ,6,FALSE)+SUM(_xlfn.XLOOKUP($S185:$AL185,增益!$A:$A,增益!$F:$F,0)))/100)</f>
        <v>0.3284</v>
      </c>
      <c r="AW185" s="40" cm="1">
        <f t="array" ref="AW185">$G$10+VLOOKUP($R185,武学奇术!$A:$ZZ,7,FALSE)+SUM(_xlfn.XLOOKUP($S185:$AL185,增益!$A:$A,增益!$G:$G,0))</f>
        <v>0.12</v>
      </c>
      <c r="AX185" s="33" cm="1">
        <f t="array" ref="AX185">VLOOKUP($R185,武学奇术!$A:$ZZ,8,FALSE)+SUM(_xlfn.XLOOKUP($S185:$AL185,增益!$A:$A,增益!$H:$H,0))</f>
        <v>0</v>
      </c>
      <c r="AY185">
        <f t="shared" si="34"/>
        <v>0</v>
      </c>
      <c r="AZ185">
        <f t="shared" si="35"/>
        <v>0</v>
      </c>
      <c r="BA185" s="40" cm="1">
        <f t="array" ref="BA185">IF($F$11-$I$4+VLOOKUP($R185,武学奇术!$A:$ZZ,9,FALSE)+SUM(_xlfn.XLOOKUP($S185:$AL185,增益!$A:$A,增益!$I:$I,0))&gt;0,($F$11-$I$4+VLOOKUP($R185,武学奇术!$A:$ZZ,9,FALSE)+SUM(_xlfn.XLOOKUP($S185:$AL185,增益!$A:$A,增益!$I:$I,0)))/200,($F$11-$I$4+VLOOKUP($R185,武学奇术!$A:$ZZ,9,FALSE)+SUM(_xlfn.XLOOKUP($S185:$AL185,增益!$A:$A,增益!$I:$I,0)))/100)</f>
        <v>-0.3</v>
      </c>
      <c r="BB185" s="40" cm="1">
        <f t="array" ref="BB185">$G$11+VLOOKUP($R185,武学奇术!$A:$ZZ,10,FALSE)+SUM(_xlfn.XLOOKUP($S185:$AL185,增益!$A:$A,增益!$J:$J,0))</f>
        <v>0</v>
      </c>
      <c r="BC185">
        <f t="shared" si="36"/>
        <v>640.3</v>
      </c>
      <c r="BD185">
        <f t="shared" si="37"/>
        <v>1770.1</v>
      </c>
      <c r="BE185" s="40" cm="1">
        <f t="array" ref="BE185">IF($F$12-$I$4+VLOOKUP($R185,武学奇术!$A:$ZZ,11,FALSE)+SUM(_xlfn.XLOOKUP($S185:$AL185,增益!$A:$A,增益!$K:$K,0))&gt;0,($F$12-$I$4+VLOOKUP($R185,武学奇术!$A:$ZZ,11,FALSE)+SUM(_xlfn.XLOOKUP($S185:$AL185,增益!$A:$A,增益!$K:$K,0)))/200,($F$12-$I$4+VLOOKUP($R185,武学奇术!$A:$ZZ,11,FALSE)+SUM(_xlfn.XLOOKUP($S185:$AL185,增益!$A:$A,增益!$K:$K,0)))/100)</f>
        <v>0.09</v>
      </c>
      <c r="BF185" s="40" cm="1">
        <f t="array" ref="BF185">$G$12+VLOOKUP($R185,武学奇术!$A:$ZZ,12,FALSE)+SUM(_xlfn.XLOOKUP($S185:$AL185,增益!$A:$A,增益!$L:$L,0))</f>
        <v>0.27</v>
      </c>
      <c r="BG185">
        <f t="shared" si="38"/>
        <v>0</v>
      </c>
      <c r="BH185">
        <f t="shared" si="39"/>
        <v>0</v>
      </c>
      <c r="BI185" s="40" cm="1">
        <f t="array" ref="BI185">IF($F$13-$I$4+VLOOKUP($R185,武学奇术!$A:$ZZ,13,FALSE)+SUM(_xlfn.XLOOKUP($S185:$AL185,增益!$A:$A,增益!$M:$M,0))&gt;0,($F$13-$I$4+VLOOKUP($R185,武学奇术!$A:$ZZ,13,FALSE)+SUM(_xlfn.XLOOKUP($S185:$AL185,增益!$A:$A,增益!$K:$K,0)))/200,($F$13-$I$4+VLOOKUP($R185,武学奇术!$A:$ZZ,13,FALSE)+SUM(_xlfn.XLOOKUP($S185:$AL185,增益!$A:$A,增益!$M:$M,0)))/100)</f>
        <v>-0.3</v>
      </c>
      <c r="BJ185" s="40" cm="1">
        <f t="array" ref="BJ185">$G$13+VLOOKUP($R185,武学奇术!$A:$ZZ,14,FALSE)+SUM(_xlfn.XLOOKUP($S185:$AL185,增益!$A:$A,增益!$N:$N,0))</f>
        <v>0</v>
      </c>
      <c r="BK185">
        <f t="shared" si="40"/>
        <v>0</v>
      </c>
      <c r="BL185">
        <f t="shared" si="41"/>
        <v>0</v>
      </c>
      <c r="BM185" s="40" cm="1">
        <f t="array" ref="BM185">IF($F$14-$I$4+VLOOKUP($R185,武学奇术!$A:$ZZ,15,FALSE)+SUM(_xlfn.XLOOKUP($S185:$AL185,增益!$A:$A,增益!$O:$O,0))&gt;0,($F$14-$I$4+VLOOKUP($R185,武学奇术!$A:$ZZ,15,FALSE)+SUM(_xlfn.XLOOKUP($S185:$AL185,增益!$A:$A,增益!$O:$O,0)))/200,($F$14-$I$4+VLOOKUP($R185,武学奇术!$A:$ZZ,15,FALSE)+SUM(_xlfn.XLOOKUP($S185:$AL185,增益!$A:$A,增益!$O:$O,0)))/100)</f>
        <v>-0.3</v>
      </c>
      <c r="BN185" s="40" cm="1">
        <f t="array" ref="BN185">$G$14+VLOOKUP($R185,武学奇术!$A:$ZZ,16,FALSE)+SUM(_xlfn.XLOOKUP($S185:$AL185,增益!$A:$A,增益!$P:$P,0))</f>
        <v>0</v>
      </c>
      <c r="BO185" s="33">
        <f>MIN(IF(VLOOKUP($R185,武学奇术!$A:$ZZ,23,FALSE)=1,100%,$B$8),100%)</f>
        <v>0.9771</v>
      </c>
      <c r="BP185" s="33" cm="1">
        <f t="array" ref="BP185">IF(VLOOKUP($R185,武学奇术!$A:$ZZ,23,FALSE)=1,100%,MIN(80%,$B$9+VLOOKUP($R185,武学奇术!$A:$ZZ,17,FALSE)+SUM(_xlfn.XLOOKUP($S185:$AL185,增益!$A:$A,增益!$Q:$Q,0)))+$B$11+SUM(_xlfn.XLOOKUP($S185:$AL185,增益!$A:$A,增益!$U:$U,0)))*IF(VLOOKUP($R185,武学奇术!$A:$ZZ,24,FALSE)=1,0,1)</f>
        <v>0.8861</v>
      </c>
      <c r="BQ185" s="33" cm="1">
        <f t="array" ref="BQ185">1+$B$13+VLOOKUP($R185,武学奇术!$A:$ZZ,18,FALSE)+SUM(_xlfn.XLOOKUP($S185:$AL185,增益!$A:$A,增益!$R:$R,0))</f>
        <v>1.95</v>
      </c>
      <c r="BR185" s="33" cm="1">
        <f t="array" ref="BR185">IF(VLOOKUP($R185,武学奇术!$A:$ZZ,24,FALSE)=1,100%,MIN(40%,$B$10+VLOOKUP($R185,武学奇术!$A:$ZZ,19,FALSE)+SUM(_xlfn.XLOOKUP($S185:$AL185,增益!$A:$A,增益!$S:$S,0)))+$B$12+SUM(_xlfn.XLOOKUP($S185:$AL185,增益!$A:$A,增益!$V:$V,0)))*IF(VLOOKUP($R185,武学奇术!$A:$ZZ,23,FALSE)=1,0,1)</f>
        <v>0.0913</v>
      </c>
      <c r="BS185" s="33" cm="1">
        <f t="array" ref="BS185">1+$B$14+VLOOKUP($R185,武学奇术!$A:$ZZ,20,FALSE)+SUM(_xlfn.XLOOKUP($S185:$AL185,增益!$A:$A,增益!$T:$T,0))</f>
        <v>1.35</v>
      </c>
      <c r="BT185" s="33">
        <f t="shared" si="42"/>
        <v>0.86580831</v>
      </c>
      <c r="BU185" s="33">
        <f t="shared" si="43"/>
        <v>0.02208246</v>
      </c>
      <c r="BV185" s="33">
        <f>IF(VLOOKUP($R185,武学奇术!$A:$ZZ,22,FALSE)=1,0,(1-$BO185))*(1-$BR185)</f>
        <v>0.02080923</v>
      </c>
      <c r="BW185" s="33" cm="1">
        <f t="array" ref="BW185">SUM(_xlfn.XLOOKUP($S185:$AL185,增益!$A:$A,增益!$W:$W,0))+$I$5</f>
        <v>0.11</v>
      </c>
      <c r="BX185" s="33" cm="1">
        <f t="array" ref="BX185">VLOOKUP($R185,武学奇术!$A:$ZZ,32,FALSE)+SUM(_xlfn.XLOOKUP($S185:$AL185,增益!$A:$A,增益!$X:$X,0))</f>
        <v>0</v>
      </c>
    </row>
    <row r="186" spans="12:76">
      <c r="L186" s="46">
        <f t="shared" si="33"/>
        <v>0</v>
      </c>
      <c r="M186" s="46">
        <f>((($AT186+$AU186)/2*$AN186+$AO186)*(1+$AV186)*(1+$AW186)+(($AY186+$AZ186)/2*IF($G$1="鸣金",$AP186,$AN186)+IF($G$1="鸣金",$AQ186*1.5,0))*(1+$BA186)*(1+$BB186)+(($BC186+$BD186)/2*IF($G$1="裂石",$AP186,$AN186)+IF($G$1="裂石",$AQ186*1.5,0))*(1+$BE186)*(1+$BF186)+(($BG186+$BH186)/2*IF($G$1="牵丝",$AP186,$AN186)+IF($G$1="牵丝",$AQ186*1.5,0))*(1+$BI186)*(1+$BJ186)+(($BK186+$BL186)/2*IF($G$1="破竹",$AP186,$AN186)+IF($G$1="破竹",$AQ186*1.5,0))*(1+$BM186)*(1+$BN186))*(1+$AR186)*$BQ186*$Q186*(1+IF(VLOOKUP($R186,武学奇术!$A:$ZZ,30,FALSE)="蓄力技",$B$21,0))*(1+IF(VLOOKUP($R186,武学奇术!$A:$ZZ,30,FALSE)="派生技",$B$20,0))*(1+$BW186)*(1+$BX186)</f>
        <v>0</v>
      </c>
      <c r="N186" s="46">
        <f>(($AU186*$AN186+$AO186)*(1+$AV186)*(1+$AW186)+($AZ186*IF($G$1="鸣金",$AP186,$AN186)+IF($G$1="鸣金",$AQ186*1.5,0))*(1+$BA186)*(1+$BB186)+($BD186*IF($G$1="裂石",$AP186,$AN186)+IF($G$1="裂石",$AQ186*1.5,0))*(1+$BE186)*(1+$BF186)+($BH186*IF($G$1="牵丝",$AP186,$AN186)+IF($G$1="牵丝",$AQ186*1.5,0))*(1+$BI186)*(1+$BJ186)+($BL186*IF($G$1="破竹",$AP186,$AN186)+IF($G$1="破竹",$AQ186*1.5,0))*(1+$BM186)*(1+$BN186))*(1+$AR186)*$BS186*$Q186*(1+IF(VLOOKUP($R186,武学奇术!$A:$ZZ,30,FALSE)="蓄力技",$B$21,0))*(1+IF(VLOOKUP($R186,武学奇术!$A:$ZZ,30,FALSE)="派生技",$B$20,0))*(1+$BW186)*(1+$BX186)</f>
        <v>0</v>
      </c>
      <c r="O186" s="46">
        <f>((($AT186+$AU186)/2*$AN186+$AO186)*(1+$AV186)*(1+$AW186)+(($AY186+$AZ186)/2*IF($G$1="鸣金",$AP186,$AN186)+IF($G$1="鸣金",$AQ186*1.5,0))*(1+$BA186)*(1+$BB186)+(($BC186+$BD186)/2*IF($G$1="裂石",$AP186,$AN186)+IF($G$1="裂石",$AQ186*1.5,0))*(1+$BE186)*(1+$BF186)+(($BG186+$BH186)/2*IF($G$1="牵丝",$AP186,$AN186)+IF($G$1="牵丝",$AQ186*1.5,0))*(1+$BI186)*(1+$BJ186)+(($BK186+$BL186)/2*IF($G$1="破竹",$AP186,$AN186)+IF($G$1="破竹",$AQ186*1.5,0))*(1+$BM186)*(1+$BN186))*(1+$AR186)*$Q186*(1+IF(VLOOKUP($R186,武学奇术!$A:$ZZ,30,FALSE)="蓄力技",$B$21,0))*(1+IF(VLOOKUP($R186,武学奇术!$A:$ZZ,30,FALSE)="派生技",$B$20,0))*(1+$BW186)*(1+$BX186)</f>
        <v>0</v>
      </c>
      <c r="P186" s="46">
        <f>((($AT186*$AN186+$AO186)*(1+$AV186)*(1+$AW186)+($AY186*IF($G$1="鸣金",$AP186,$AN186)+IF($G$1="鸣金",$AQ186*1.5,0))*(1+$BA186)*(1+$BB186)+($BC186*IF($G$1="裂石",$AP186,$AN186)+IF($G$1="裂石",$AQ186*1.5,0))*(1+$BE186)*(1+$BF186)+($BG186*IF($G$1="牵丝",$AP186,$AN186)+IF($G$1="牵丝",$AQ186*1.5,0))*(1+$BI186)*(1+$BJ186)+($BK186*IF($G$1="破竹",$AP186,$AN186)+IF($G$1="破竹",$AQ186*1.5,0))*(1+$BM186)*(1+$BN186))*(1+$AR186))*$Q186*(1+IF(VLOOKUP($R186,武学奇术!$A:$ZZ,30,FALSE)="蓄力技",$B$21,0))*(1+IF(VLOOKUP($R186,武学奇术!$A:$ZZ,30,FALSE)="派生技",$B$20,0))*(1+$BW186)*(1+$BX186)</f>
        <v>0</v>
      </c>
      <c r="Q186" s="47">
        <f t="shared" si="47"/>
        <v>0</v>
      </c>
      <c r="R186" s="48" t="s">
        <v>116</v>
      </c>
      <c r="S186" s="48" t="s">
        <v>99</v>
      </c>
      <c r="T186" s="48" t="s">
        <v>182</v>
      </c>
      <c r="U186" s="48" t="s">
        <v>79</v>
      </c>
      <c r="V186" s="48" t="s">
        <v>80</v>
      </c>
      <c r="W186" s="48" t="s">
        <v>91</v>
      </c>
      <c r="X186" s="48" t="s">
        <v>80</v>
      </c>
      <c r="Y186" s="48" t="s">
        <v>80</v>
      </c>
      <c r="Z186" s="48" t="s">
        <v>80</v>
      </c>
      <c r="AA186" s="48" t="s">
        <v>80</v>
      </c>
      <c r="AB186" s="48" t="s">
        <v>80</v>
      </c>
      <c r="AC186" s="48" t="s">
        <v>193</v>
      </c>
      <c r="AD186" s="48" t="s">
        <v>80</v>
      </c>
      <c r="AE186" s="48" t="s">
        <v>80</v>
      </c>
      <c r="AF186" s="48" t="s">
        <v>83</v>
      </c>
      <c r="AG186" s="48" t="s">
        <v>84</v>
      </c>
      <c r="AH186" s="48" t="s">
        <v>80</v>
      </c>
      <c r="AI186" s="48" t="s">
        <v>80</v>
      </c>
      <c r="AJ186" s="48" t="s">
        <v>80</v>
      </c>
      <c r="AK186" s="48" t="s">
        <v>80</v>
      </c>
      <c r="AL186" s="48" t="s">
        <v>80</v>
      </c>
      <c r="AM186" t="str">
        <f>VLOOKUP($R186,武学奇术!$A:$ZZ,25,FALSE)</f>
        <v>横刀</v>
      </c>
      <c r="AN186" s="33">
        <f>VLOOKUP($R186,武学奇术!$A:$ZZ,26,FALSE)</f>
        <v>3.7797</v>
      </c>
      <c r="AO186" s="34">
        <f>VLOOKUP($R186,武学奇术!$A:$ZZ,27,FALSE)*(1+IF(OR($AM186=$F$4,$AM186=$F$5),$B$22,0))</f>
        <v>1672</v>
      </c>
      <c r="AP186" s="33">
        <f>VLOOKUP($R186,武学奇术!$A:$ZZ,28,FALSE)</f>
        <v>5.6696</v>
      </c>
      <c r="AQ186" s="34">
        <f>VLOOKUP($R186,武学奇术!$A:$ZZ,29,FALSE)*(1+IF(OR($AM186=$F$4,$AM186=$F$5),$B$22,0))</f>
        <v>912</v>
      </c>
      <c r="AR186" s="33" cm="1">
        <f t="array" ref="AR186">$G$3+IFERROR(VLOOKUP($AM186,$F$4:$G$7,2,FALSE),0)+VLOOKUP($R186,武学奇术!$A:$ZZ,2,FALSE)+SUM(_xlfn.XLOOKUP($S186:$AL186,增益!$A:$A,增益!$B:$B,0))</f>
        <v>0.3689</v>
      </c>
      <c r="AS186" s="33" cm="1">
        <f t="array" ref="AS186">VLOOKUP($R186,武学奇术!$A:$ZZ,5,FALSE)+SUM(_xlfn.XLOOKUP($S186:$AL186,增益!$A:$A,增益!$E:$E,0))</f>
        <v>0</v>
      </c>
      <c r="AT186" cm="1">
        <f t="array" ref="AT186">$D$10*(1+$AS186)+VLOOKUP($R186,武学奇术!$A:$ZZ,3,FALSE)+SUM(_xlfn.XLOOKUP($S186:$AL186,增益!$A:$A,增益!$C:$C,0))-$I$2</f>
        <v>4026</v>
      </c>
      <c r="AU186" cm="1">
        <f t="array" ref="AU186">$E$10*(1+$AS186)+VLOOKUP($R186,武学奇术!$A:$ZZ,4,FALSE)+SUM(_xlfn.XLOOKUP($S186:$AL186,增益!$A:$A,增益!$D:$D,0))-$I$2</f>
        <v>4026</v>
      </c>
      <c r="AV186" s="40" cm="1">
        <f t="array" ref="AV186">IF($F$10-$I$3+VLOOKUP($R186,武学奇术!$A:$ZZ,6,FALSE)+SUM(_xlfn.XLOOKUP($S186:$AL186,增益!$A:$A,增益!$F:$F,0))&gt;0,($F$10-$I$3+VLOOKUP($R186,武学奇术!$A:$ZZ,6,FALSE)+SUM(_xlfn.XLOOKUP($S186:$AL186,增益!$A:$A,增益!$F:$F,0)))/200,($F$10-$I$3+VLOOKUP($R186,武学奇术!$A:$ZZ,6,FALSE)+SUM(_xlfn.XLOOKUP($S186:$AL186,增益!$A:$A,增益!$F:$F,0)))/100)</f>
        <v>0.3284</v>
      </c>
      <c r="AW186" s="40" cm="1">
        <f t="array" ref="AW186">$G$10+VLOOKUP($R186,武学奇术!$A:$ZZ,7,FALSE)+SUM(_xlfn.XLOOKUP($S186:$AL186,增益!$A:$A,增益!$G:$G,0))</f>
        <v>0.12</v>
      </c>
      <c r="AX186" s="33" cm="1">
        <f t="array" ref="AX186">VLOOKUP($R186,武学奇术!$A:$ZZ,8,FALSE)+SUM(_xlfn.XLOOKUP($S186:$AL186,增益!$A:$A,增益!$H:$H,0))</f>
        <v>0</v>
      </c>
      <c r="AY186">
        <f t="shared" si="34"/>
        <v>0</v>
      </c>
      <c r="AZ186">
        <f t="shared" si="35"/>
        <v>0</v>
      </c>
      <c r="BA186" s="40" cm="1">
        <f t="array" ref="BA186">IF($F$11-$I$4+VLOOKUP($R186,武学奇术!$A:$ZZ,9,FALSE)+SUM(_xlfn.XLOOKUP($S186:$AL186,增益!$A:$A,增益!$I:$I,0))&gt;0,($F$11-$I$4+VLOOKUP($R186,武学奇术!$A:$ZZ,9,FALSE)+SUM(_xlfn.XLOOKUP($S186:$AL186,增益!$A:$A,增益!$I:$I,0)))/200,($F$11-$I$4+VLOOKUP($R186,武学奇术!$A:$ZZ,9,FALSE)+SUM(_xlfn.XLOOKUP($S186:$AL186,增益!$A:$A,增益!$I:$I,0)))/100)</f>
        <v>-0.3</v>
      </c>
      <c r="BB186" s="40" cm="1">
        <f t="array" ref="BB186">$G$11+VLOOKUP($R186,武学奇术!$A:$ZZ,10,FALSE)+SUM(_xlfn.XLOOKUP($S186:$AL186,增益!$A:$A,增益!$J:$J,0))</f>
        <v>0</v>
      </c>
      <c r="BC186">
        <f t="shared" si="36"/>
        <v>640.3</v>
      </c>
      <c r="BD186">
        <f t="shared" si="37"/>
        <v>1770.1</v>
      </c>
      <c r="BE186" s="40" cm="1">
        <f t="array" ref="BE186">IF($F$12-$I$4+VLOOKUP($R186,武学奇术!$A:$ZZ,11,FALSE)+SUM(_xlfn.XLOOKUP($S186:$AL186,增益!$A:$A,增益!$K:$K,0))&gt;0,($F$12-$I$4+VLOOKUP($R186,武学奇术!$A:$ZZ,11,FALSE)+SUM(_xlfn.XLOOKUP($S186:$AL186,增益!$A:$A,增益!$K:$K,0)))/200,($F$12-$I$4+VLOOKUP($R186,武学奇术!$A:$ZZ,11,FALSE)+SUM(_xlfn.XLOOKUP($S186:$AL186,增益!$A:$A,增益!$K:$K,0)))/100)</f>
        <v>0.09</v>
      </c>
      <c r="BF186" s="40" cm="1">
        <f t="array" ref="BF186">$G$12+VLOOKUP($R186,武学奇术!$A:$ZZ,12,FALSE)+SUM(_xlfn.XLOOKUP($S186:$AL186,增益!$A:$A,增益!$L:$L,0))</f>
        <v>0.27</v>
      </c>
      <c r="BG186">
        <f t="shared" si="38"/>
        <v>0</v>
      </c>
      <c r="BH186">
        <f t="shared" si="39"/>
        <v>0</v>
      </c>
      <c r="BI186" s="40" cm="1">
        <f t="array" ref="BI186">IF($F$13-$I$4+VLOOKUP($R186,武学奇术!$A:$ZZ,13,FALSE)+SUM(_xlfn.XLOOKUP($S186:$AL186,增益!$A:$A,增益!$M:$M,0))&gt;0,($F$13-$I$4+VLOOKUP($R186,武学奇术!$A:$ZZ,13,FALSE)+SUM(_xlfn.XLOOKUP($S186:$AL186,增益!$A:$A,增益!$K:$K,0)))/200,($F$13-$I$4+VLOOKUP($R186,武学奇术!$A:$ZZ,13,FALSE)+SUM(_xlfn.XLOOKUP($S186:$AL186,增益!$A:$A,增益!$M:$M,0)))/100)</f>
        <v>-0.3</v>
      </c>
      <c r="BJ186" s="40" cm="1">
        <f t="array" ref="BJ186">$G$13+VLOOKUP($R186,武学奇术!$A:$ZZ,14,FALSE)+SUM(_xlfn.XLOOKUP($S186:$AL186,增益!$A:$A,增益!$N:$N,0))</f>
        <v>0</v>
      </c>
      <c r="BK186">
        <f t="shared" si="40"/>
        <v>0</v>
      </c>
      <c r="BL186">
        <f t="shared" si="41"/>
        <v>0</v>
      </c>
      <c r="BM186" s="40" cm="1">
        <f t="array" ref="BM186">IF($F$14-$I$4+VLOOKUP($R186,武学奇术!$A:$ZZ,15,FALSE)+SUM(_xlfn.XLOOKUP($S186:$AL186,增益!$A:$A,增益!$O:$O,0))&gt;0,($F$14-$I$4+VLOOKUP($R186,武学奇术!$A:$ZZ,15,FALSE)+SUM(_xlfn.XLOOKUP($S186:$AL186,增益!$A:$A,增益!$O:$O,0)))/200,($F$14-$I$4+VLOOKUP($R186,武学奇术!$A:$ZZ,15,FALSE)+SUM(_xlfn.XLOOKUP($S186:$AL186,增益!$A:$A,增益!$O:$O,0)))/100)</f>
        <v>-0.3</v>
      </c>
      <c r="BN186" s="40" cm="1">
        <f t="array" ref="BN186">$G$14+VLOOKUP($R186,武学奇术!$A:$ZZ,16,FALSE)+SUM(_xlfn.XLOOKUP($S186:$AL186,增益!$A:$A,增益!$P:$P,0))</f>
        <v>0</v>
      </c>
      <c r="BO186" s="33">
        <f>MIN(IF(VLOOKUP($R186,武学奇术!$A:$ZZ,23,FALSE)=1,100%,$B$8),100%)</f>
        <v>0.9771</v>
      </c>
      <c r="BP186" s="33" cm="1">
        <f t="array" ref="BP186">IF(VLOOKUP($R186,武学奇术!$A:$ZZ,23,FALSE)=1,100%,MIN(80%,$B$9+VLOOKUP($R186,武学奇术!$A:$ZZ,17,FALSE)+SUM(_xlfn.XLOOKUP($S186:$AL186,增益!$A:$A,增益!$Q:$Q,0)))+$B$11+SUM(_xlfn.XLOOKUP($S186:$AL186,增益!$A:$A,增益!$U:$U,0)))*IF(VLOOKUP($R186,武学奇术!$A:$ZZ,24,FALSE)=1,0,1)</f>
        <v>0.8861</v>
      </c>
      <c r="BQ186" s="33" cm="1">
        <f t="array" ref="BQ186">1+$B$13+VLOOKUP($R186,武学奇术!$A:$ZZ,18,FALSE)+SUM(_xlfn.XLOOKUP($S186:$AL186,增益!$A:$A,增益!$R:$R,0))</f>
        <v>1.95</v>
      </c>
      <c r="BR186" s="33" cm="1">
        <f t="array" ref="BR186">IF(VLOOKUP($R186,武学奇术!$A:$ZZ,24,FALSE)=1,100%,MIN(40%,$B$10+VLOOKUP($R186,武学奇术!$A:$ZZ,19,FALSE)+SUM(_xlfn.XLOOKUP($S186:$AL186,增益!$A:$A,增益!$S:$S,0)))+$B$12+SUM(_xlfn.XLOOKUP($S186:$AL186,增益!$A:$A,增益!$V:$V,0)))*IF(VLOOKUP($R186,武学奇术!$A:$ZZ,23,FALSE)=1,0,1)</f>
        <v>0.0913</v>
      </c>
      <c r="BS186" s="33" cm="1">
        <f t="array" ref="BS186">1+$B$14+VLOOKUP($R186,武学奇术!$A:$ZZ,20,FALSE)+SUM(_xlfn.XLOOKUP($S186:$AL186,增益!$A:$A,增益!$T:$T,0))</f>
        <v>1.35</v>
      </c>
      <c r="BT186" s="33">
        <f t="shared" si="42"/>
        <v>0.86580831</v>
      </c>
      <c r="BU186" s="33">
        <f t="shared" si="43"/>
        <v>0.02208246</v>
      </c>
      <c r="BV186" s="33">
        <f>IF(VLOOKUP($R186,武学奇术!$A:$ZZ,22,FALSE)=1,0,(1-$BO186))*(1-$BR186)</f>
        <v>0.02080923</v>
      </c>
      <c r="BW186" s="33" cm="1">
        <f t="array" ref="BW186">SUM(_xlfn.XLOOKUP($S186:$AL186,增益!$A:$A,增益!$W:$W,0))+$I$5</f>
        <v>0.11</v>
      </c>
      <c r="BX186" s="33" cm="1">
        <f t="array" ref="BX186">VLOOKUP($R186,武学奇术!$A:$ZZ,32,FALSE)+SUM(_xlfn.XLOOKUP($S186:$AL186,增益!$A:$A,增益!$X:$X,0))</f>
        <v>0</v>
      </c>
    </row>
    <row r="187" spans="12:76">
      <c r="L187" s="46">
        <f t="shared" si="33"/>
        <v>0</v>
      </c>
      <c r="M187" s="46">
        <f>((($AT187+$AU187)/2*$AN187+$AO187)*(1+$AV187)*(1+$AW187)+(($AY187+$AZ187)/2*IF($G$1="鸣金",$AP187,$AN187)+IF($G$1="鸣金",$AQ187*1.5,0))*(1+$BA187)*(1+$BB187)+(($BC187+$BD187)/2*IF($G$1="裂石",$AP187,$AN187)+IF($G$1="裂石",$AQ187*1.5,0))*(1+$BE187)*(1+$BF187)+(($BG187+$BH187)/2*IF($G$1="牵丝",$AP187,$AN187)+IF($G$1="牵丝",$AQ187*1.5,0))*(1+$BI187)*(1+$BJ187)+(($BK187+$BL187)/2*IF($G$1="破竹",$AP187,$AN187)+IF($G$1="破竹",$AQ187*1.5,0))*(1+$BM187)*(1+$BN187))*(1+$AR187)*$BQ187*$Q187*(1+IF(VLOOKUP($R187,武学奇术!$A:$ZZ,30,FALSE)="蓄力技",$B$21,0))*(1+IF(VLOOKUP($R187,武学奇术!$A:$ZZ,30,FALSE)="派生技",$B$20,0))*(1+$BW187)*(1+$BX187)</f>
        <v>0</v>
      </c>
      <c r="N187" s="46">
        <f>(($AU187*$AN187+$AO187)*(1+$AV187)*(1+$AW187)+($AZ187*IF($G$1="鸣金",$AP187,$AN187)+IF($G$1="鸣金",$AQ187*1.5,0))*(1+$BA187)*(1+$BB187)+($BD187*IF($G$1="裂石",$AP187,$AN187)+IF($G$1="裂石",$AQ187*1.5,0))*(1+$BE187)*(1+$BF187)+($BH187*IF($G$1="牵丝",$AP187,$AN187)+IF($G$1="牵丝",$AQ187*1.5,0))*(1+$BI187)*(1+$BJ187)+($BL187*IF($G$1="破竹",$AP187,$AN187)+IF($G$1="破竹",$AQ187*1.5,0))*(1+$BM187)*(1+$BN187))*(1+$AR187)*$BS187*$Q187*(1+IF(VLOOKUP($R187,武学奇术!$A:$ZZ,30,FALSE)="蓄力技",$B$21,0))*(1+IF(VLOOKUP($R187,武学奇术!$A:$ZZ,30,FALSE)="派生技",$B$20,0))*(1+$BW187)*(1+$BX187)</f>
        <v>0</v>
      </c>
      <c r="O187" s="46">
        <f>((($AT187+$AU187)/2*$AN187+$AO187)*(1+$AV187)*(1+$AW187)+(($AY187+$AZ187)/2*IF($G$1="鸣金",$AP187,$AN187)+IF($G$1="鸣金",$AQ187*1.5,0))*(1+$BA187)*(1+$BB187)+(($BC187+$BD187)/2*IF($G$1="裂石",$AP187,$AN187)+IF($G$1="裂石",$AQ187*1.5,0))*(1+$BE187)*(1+$BF187)+(($BG187+$BH187)/2*IF($G$1="牵丝",$AP187,$AN187)+IF($G$1="牵丝",$AQ187*1.5,0))*(1+$BI187)*(1+$BJ187)+(($BK187+$BL187)/2*IF($G$1="破竹",$AP187,$AN187)+IF($G$1="破竹",$AQ187*1.5,0))*(1+$BM187)*(1+$BN187))*(1+$AR187)*$Q187*(1+IF(VLOOKUP($R187,武学奇术!$A:$ZZ,30,FALSE)="蓄力技",$B$21,0))*(1+IF(VLOOKUP($R187,武学奇术!$A:$ZZ,30,FALSE)="派生技",$B$20,0))*(1+$BW187)*(1+$BX187)</f>
        <v>0</v>
      </c>
      <c r="P187" s="46">
        <f>((($AT187*$AN187+$AO187)*(1+$AV187)*(1+$AW187)+($AY187*IF($G$1="鸣金",$AP187,$AN187)+IF($G$1="鸣金",$AQ187*1.5,0))*(1+$BA187)*(1+$BB187)+($BC187*IF($G$1="裂石",$AP187,$AN187)+IF($G$1="裂石",$AQ187*1.5,0))*(1+$BE187)*(1+$BF187)+($BG187*IF($G$1="牵丝",$AP187,$AN187)+IF($G$1="牵丝",$AQ187*1.5,0))*(1+$BI187)*(1+$BJ187)+($BK187*IF($G$1="破竹",$AP187,$AN187)+IF($G$1="破竹",$AQ187*1.5,0))*(1+$BM187)*(1+$BN187))*(1+$AR187))*$Q187*(1+IF(VLOOKUP($R187,武学奇术!$A:$ZZ,30,FALSE)="蓄力技",$B$21,0))*(1+IF(VLOOKUP($R187,武学奇术!$A:$ZZ,30,FALSE)="派生技",$B$20,0))*(1+$BW187)*(1+$BX187)</f>
        <v>0</v>
      </c>
      <c r="Q187" s="47">
        <f t="shared" si="47"/>
        <v>0</v>
      </c>
      <c r="R187" s="48" t="s">
        <v>195</v>
      </c>
      <c r="S187" s="48" t="s">
        <v>99</v>
      </c>
      <c r="T187" s="48" t="s">
        <v>182</v>
      </c>
      <c r="U187" s="48" t="s">
        <v>79</v>
      </c>
      <c r="V187" s="48" t="s">
        <v>80</v>
      </c>
      <c r="W187" s="48" t="s">
        <v>141</v>
      </c>
      <c r="X187" s="48" t="s">
        <v>80</v>
      </c>
      <c r="Y187" s="48" t="s">
        <v>74</v>
      </c>
      <c r="Z187" s="48" t="s">
        <v>80</v>
      </c>
      <c r="AA187" s="48" t="s">
        <v>80</v>
      </c>
      <c r="AB187" s="48" t="s">
        <v>80</v>
      </c>
      <c r="AC187" s="48" t="s">
        <v>80</v>
      </c>
      <c r="AD187" s="48" t="s">
        <v>80</v>
      </c>
      <c r="AE187" s="48" t="s">
        <v>80</v>
      </c>
      <c r="AF187" s="48" t="s">
        <v>83</v>
      </c>
      <c r="AG187" s="48" t="s">
        <v>84</v>
      </c>
      <c r="AH187" s="48" t="s">
        <v>80</v>
      </c>
      <c r="AI187" s="48" t="s">
        <v>80</v>
      </c>
      <c r="AJ187" s="48" t="s">
        <v>80</v>
      </c>
      <c r="AK187" s="48" t="s">
        <v>80</v>
      </c>
      <c r="AL187" s="48" t="s">
        <v>80</v>
      </c>
      <c r="AM187" t="str">
        <f>VLOOKUP($R187,武学奇术!$A:$ZZ,25,FALSE)</f>
        <v>横刀</v>
      </c>
      <c r="AN187" s="33">
        <f>VLOOKUP($R187,武学奇术!$A:$ZZ,26,FALSE)</f>
        <v>3.6553</v>
      </c>
      <c r="AO187" s="34">
        <f>VLOOKUP($R187,武学奇术!$A:$ZZ,27,FALSE)*(1+IF(OR($AM187=$F$4,$AM187=$F$5),$B$22,0))</f>
        <v>1619.2</v>
      </c>
      <c r="AP187" s="33">
        <f>VLOOKUP($R187,武学奇术!$A:$ZZ,28,FALSE)</f>
        <v>5.4829</v>
      </c>
      <c r="AQ187" s="34">
        <f>VLOOKUP($R187,武学奇术!$A:$ZZ,29,FALSE)*(1+IF(OR($AM187=$F$4,$AM187=$F$5),$B$22,0))</f>
        <v>880</v>
      </c>
      <c r="AR187" s="33" cm="1">
        <f t="array" ref="AR187">$G$3+IFERROR(VLOOKUP($AM187,$F$4:$G$7,2,FALSE),0)+VLOOKUP($R187,武学奇术!$A:$ZZ,2,FALSE)+SUM(_xlfn.XLOOKUP($S187:$AL187,增益!$A:$A,增益!$B:$B,0))</f>
        <v>0.5489</v>
      </c>
      <c r="AS187" s="33" cm="1">
        <f t="array" ref="AS187">VLOOKUP($R187,武学奇术!$A:$ZZ,5,FALSE)+SUM(_xlfn.XLOOKUP($S187:$AL187,增益!$A:$A,增益!$E:$E,0))</f>
        <v>0</v>
      </c>
      <c r="AT187" cm="1">
        <f t="array" ref="AT187">$D$10*(1+$AS187)+VLOOKUP($R187,武学奇术!$A:$ZZ,3,FALSE)+SUM(_xlfn.XLOOKUP($S187:$AL187,增益!$A:$A,增益!$C:$C,0))-$I$2</f>
        <v>4026</v>
      </c>
      <c r="AU187" cm="1">
        <f t="array" ref="AU187">$E$10*(1+$AS187)+VLOOKUP($R187,武学奇术!$A:$ZZ,4,FALSE)+SUM(_xlfn.XLOOKUP($S187:$AL187,增益!$A:$A,增益!$D:$D,0))-$I$2</f>
        <v>4026</v>
      </c>
      <c r="AV187" s="40" cm="1">
        <f t="array" ref="AV187">IF($F$10-$I$3+VLOOKUP($R187,武学奇术!$A:$ZZ,6,FALSE)+SUM(_xlfn.XLOOKUP($S187:$AL187,增益!$A:$A,增益!$F:$F,0))&gt;0,($F$10-$I$3+VLOOKUP($R187,武学奇术!$A:$ZZ,6,FALSE)+SUM(_xlfn.XLOOKUP($S187:$AL187,增益!$A:$A,增益!$F:$F,0)))/200,($F$10-$I$3+VLOOKUP($R187,武学奇术!$A:$ZZ,6,FALSE)+SUM(_xlfn.XLOOKUP($S187:$AL187,增益!$A:$A,增益!$F:$F,0)))/100)</f>
        <v>0.3534</v>
      </c>
      <c r="AW187" s="40" cm="1">
        <f t="array" ref="AW187">$G$10+VLOOKUP($R187,武学奇术!$A:$ZZ,7,FALSE)+SUM(_xlfn.XLOOKUP($S187:$AL187,增益!$A:$A,增益!$G:$G,0))</f>
        <v>0.12</v>
      </c>
      <c r="AX187" s="33" cm="1">
        <f t="array" ref="AX187">VLOOKUP($R187,武学奇术!$A:$ZZ,8,FALSE)+SUM(_xlfn.XLOOKUP($S187:$AL187,增益!$A:$A,增益!$H:$H,0))</f>
        <v>0</v>
      </c>
      <c r="AY187">
        <f t="shared" si="34"/>
        <v>0</v>
      </c>
      <c r="AZ187">
        <f t="shared" si="35"/>
        <v>0</v>
      </c>
      <c r="BA187" s="40" cm="1">
        <f t="array" ref="BA187">IF($F$11-$I$4+VLOOKUP($R187,武学奇术!$A:$ZZ,9,FALSE)+SUM(_xlfn.XLOOKUP($S187:$AL187,增益!$A:$A,增益!$I:$I,0))&gt;0,($F$11-$I$4+VLOOKUP($R187,武学奇术!$A:$ZZ,9,FALSE)+SUM(_xlfn.XLOOKUP($S187:$AL187,增益!$A:$A,增益!$I:$I,0)))/200,($F$11-$I$4+VLOOKUP($R187,武学奇术!$A:$ZZ,9,FALSE)+SUM(_xlfn.XLOOKUP($S187:$AL187,增益!$A:$A,增益!$I:$I,0)))/100)</f>
        <v>-0.3</v>
      </c>
      <c r="BB187" s="40" cm="1">
        <f t="array" ref="BB187">$G$11+VLOOKUP($R187,武学奇术!$A:$ZZ,10,FALSE)+SUM(_xlfn.XLOOKUP($S187:$AL187,增益!$A:$A,增益!$J:$J,0))</f>
        <v>0</v>
      </c>
      <c r="BC187">
        <f t="shared" si="36"/>
        <v>640.3</v>
      </c>
      <c r="BD187">
        <f t="shared" si="37"/>
        <v>1770.1</v>
      </c>
      <c r="BE187" s="40" cm="1">
        <f t="array" ref="BE187">IF($F$12-$I$4+VLOOKUP($R187,武学奇术!$A:$ZZ,11,FALSE)+SUM(_xlfn.XLOOKUP($S187:$AL187,增益!$A:$A,增益!$K:$K,0))&gt;0,($F$12-$I$4+VLOOKUP($R187,武学奇术!$A:$ZZ,11,FALSE)+SUM(_xlfn.XLOOKUP($S187:$AL187,增益!$A:$A,增益!$K:$K,0)))/200,($F$12-$I$4+VLOOKUP($R187,武学奇术!$A:$ZZ,11,FALSE)+SUM(_xlfn.XLOOKUP($S187:$AL187,增益!$A:$A,增益!$K:$K,0)))/100)</f>
        <v>0.09</v>
      </c>
      <c r="BF187" s="40" cm="1">
        <f t="array" ref="BF187">$G$12+VLOOKUP($R187,武学奇术!$A:$ZZ,12,FALSE)+SUM(_xlfn.XLOOKUP($S187:$AL187,增益!$A:$A,增益!$L:$L,0))</f>
        <v>0.27</v>
      </c>
      <c r="BG187">
        <f t="shared" si="38"/>
        <v>0</v>
      </c>
      <c r="BH187">
        <f t="shared" si="39"/>
        <v>0</v>
      </c>
      <c r="BI187" s="40" cm="1">
        <f t="array" ref="BI187">IF($F$13-$I$4+VLOOKUP($R187,武学奇术!$A:$ZZ,13,FALSE)+SUM(_xlfn.XLOOKUP($S187:$AL187,增益!$A:$A,增益!$M:$M,0))&gt;0,($F$13-$I$4+VLOOKUP($R187,武学奇术!$A:$ZZ,13,FALSE)+SUM(_xlfn.XLOOKUP($S187:$AL187,增益!$A:$A,增益!$K:$K,0)))/200,($F$13-$I$4+VLOOKUP($R187,武学奇术!$A:$ZZ,13,FALSE)+SUM(_xlfn.XLOOKUP($S187:$AL187,增益!$A:$A,增益!$M:$M,0)))/100)</f>
        <v>-0.3</v>
      </c>
      <c r="BJ187" s="40" cm="1">
        <f t="array" ref="BJ187">$G$13+VLOOKUP($R187,武学奇术!$A:$ZZ,14,FALSE)+SUM(_xlfn.XLOOKUP($S187:$AL187,增益!$A:$A,增益!$N:$N,0))</f>
        <v>0</v>
      </c>
      <c r="BK187">
        <f t="shared" si="40"/>
        <v>0</v>
      </c>
      <c r="BL187">
        <f t="shared" si="41"/>
        <v>0</v>
      </c>
      <c r="BM187" s="40" cm="1">
        <f t="array" ref="BM187">IF($F$14-$I$4+VLOOKUP($R187,武学奇术!$A:$ZZ,15,FALSE)+SUM(_xlfn.XLOOKUP($S187:$AL187,增益!$A:$A,增益!$O:$O,0))&gt;0,($F$14-$I$4+VLOOKUP($R187,武学奇术!$A:$ZZ,15,FALSE)+SUM(_xlfn.XLOOKUP($S187:$AL187,增益!$A:$A,增益!$O:$O,0)))/200,($F$14-$I$4+VLOOKUP($R187,武学奇术!$A:$ZZ,15,FALSE)+SUM(_xlfn.XLOOKUP($S187:$AL187,增益!$A:$A,增益!$O:$O,0)))/100)</f>
        <v>-0.3</v>
      </c>
      <c r="BN187" s="40" cm="1">
        <f t="array" ref="BN187">$G$14+VLOOKUP($R187,武学奇术!$A:$ZZ,16,FALSE)+SUM(_xlfn.XLOOKUP($S187:$AL187,增益!$A:$A,增益!$P:$P,0))</f>
        <v>0</v>
      </c>
      <c r="BO187" s="33">
        <f>MIN(IF(VLOOKUP($R187,武学奇术!$A:$ZZ,23,FALSE)=1,100%,$B$8),100%)</f>
        <v>0.9771</v>
      </c>
      <c r="BP187" s="33" cm="1">
        <f t="array" ref="BP187">IF(VLOOKUP($R187,武学奇术!$A:$ZZ,23,FALSE)=1,100%,MIN(80%,$B$9+VLOOKUP($R187,武学奇术!$A:$ZZ,17,FALSE)+SUM(_xlfn.XLOOKUP($S187:$AL187,增益!$A:$A,增益!$Q:$Q,0)))+$B$11+SUM(_xlfn.XLOOKUP($S187:$AL187,增益!$A:$A,增益!$U:$U,0)))*IF(VLOOKUP($R187,武学奇术!$A:$ZZ,24,FALSE)=1,0,1)</f>
        <v>0.8861</v>
      </c>
      <c r="BQ187" s="33" cm="1">
        <f t="array" ref="BQ187">1+$B$13+VLOOKUP($R187,武学奇术!$A:$ZZ,18,FALSE)+SUM(_xlfn.XLOOKUP($S187:$AL187,增益!$A:$A,增益!$R:$R,0))</f>
        <v>2</v>
      </c>
      <c r="BR187" s="33" cm="1">
        <f t="array" ref="BR187">IF(VLOOKUP($R187,武学奇术!$A:$ZZ,24,FALSE)=1,100%,MIN(40%,$B$10+VLOOKUP($R187,武学奇术!$A:$ZZ,19,FALSE)+SUM(_xlfn.XLOOKUP($S187:$AL187,增益!$A:$A,增益!$S:$S,0)))+$B$12+SUM(_xlfn.XLOOKUP($S187:$AL187,增益!$A:$A,增益!$V:$V,0)))*IF(VLOOKUP($R187,武学奇术!$A:$ZZ,23,FALSE)=1,0,1)</f>
        <v>0.0913</v>
      </c>
      <c r="BS187" s="33" cm="1">
        <f t="array" ref="BS187">1+$B$14+VLOOKUP($R187,武学奇术!$A:$ZZ,20,FALSE)+SUM(_xlfn.XLOOKUP($S187:$AL187,增益!$A:$A,增益!$T:$T,0))</f>
        <v>1.35</v>
      </c>
      <c r="BT187" s="33">
        <f t="shared" si="42"/>
        <v>0.86580831</v>
      </c>
      <c r="BU187" s="33">
        <f t="shared" si="43"/>
        <v>0.02208246</v>
      </c>
      <c r="BV187" s="33">
        <f>IF(VLOOKUP($R187,武学奇术!$A:$ZZ,22,FALSE)=1,0,(1-$BO187))*(1-$BR187)</f>
        <v>0.02080923</v>
      </c>
      <c r="BW187" s="33" cm="1">
        <f t="array" ref="BW187">SUM(_xlfn.XLOOKUP($S187:$AL187,增益!$A:$A,增益!$W:$W,0))+$I$5</f>
        <v>0.11</v>
      </c>
      <c r="BX187" s="33" cm="1">
        <f t="array" ref="BX187">VLOOKUP($R187,武学奇术!$A:$ZZ,32,FALSE)+SUM(_xlfn.XLOOKUP($S187:$AL187,增益!$A:$A,增益!$X:$X,0))</f>
        <v>0</v>
      </c>
    </row>
    <row r="188" spans="12:76">
      <c r="L188" s="46">
        <f t="shared" si="33"/>
        <v>0</v>
      </c>
      <c r="M188" s="46">
        <f>((($AT188+$AU188)/2*$AN188+$AO188)*(1+$AV188)*(1+$AW188)+(($AY188+$AZ188)/2*IF($G$1="鸣金",$AP188,$AN188)+IF($G$1="鸣金",$AQ188*1.5,0))*(1+$BA188)*(1+$BB188)+(($BC188+$BD188)/2*IF($G$1="裂石",$AP188,$AN188)+IF($G$1="裂石",$AQ188*1.5,0))*(1+$BE188)*(1+$BF188)+(($BG188+$BH188)/2*IF($G$1="牵丝",$AP188,$AN188)+IF($G$1="牵丝",$AQ188*1.5,0))*(1+$BI188)*(1+$BJ188)+(($BK188+$BL188)/2*IF($G$1="破竹",$AP188,$AN188)+IF($G$1="破竹",$AQ188*1.5,0))*(1+$BM188)*(1+$BN188))*(1+$AR188)*$BQ188*$Q188*(1+IF(VLOOKUP($R188,武学奇术!$A:$ZZ,30,FALSE)="蓄力技",$B$21,0))*(1+IF(VLOOKUP($R188,武学奇术!$A:$ZZ,30,FALSE)="派生技",$B$20,0))*(1+$BW188)*(1+$BX188)</f>
        <v>0</v>
      </c>
      <c r="N188" s="46">
        <f>(($AU188*$AN188+$AO188)*(1+$AV188)*(1+$AW188)+($AZ188*IF($G$1="鸣金",$AP188,$AN188)+IF($G$1="鸣金",$AQ188*1.5,0))*(1+$BA188)*(1+$BB188)+($BD188*IF($G$1="裂石",$AP188,$AN188)+IF($G$1="裂石",$AQ188*1.5,0))*(1+$BE188)*(1+$BF188)+($BH188*IF($G$1="牵丝",$AP188,$AN188)+IF($G$1="牵丝",$AQ188*1.5,0))*(1+$BI188)*(1+$BJ188)+($BL188*IF($G$1="破竹",$AP188,$AN188)+IF($G$1="破竹",$AQ188*1.5,0))*(1+$BM188)*(1+$BN188))*(1+$AR188)*$BS188*$Q188*(1+IF(VLOOKUP($R188,武学奇术!$A:$ZZ,30,FALSE)="蓄力技",$B$21,0))*(1+IF(VLOOKUP($R188,武学奇术!$A:$ZZ,30,FALSE)="派生技",$B$20,0))*(1+$BW188)*(1+$BX188)</f>
        <v>0</v>
      </c>
      <c r="O188" s="46">
        <f>((($AT188+$AU188)/2*$AN188+$AO188)*(1+$AV188)*(1+$AW188)+(($AY188+$AZ188)/2*IF($G$1="鸣金",$AP188,$AN188)+IF($G$1="鸣金",$AQ188*1.5,0))*(1+$BA188)*(1+$BB188)+(($BC188+$BD188)/2*IF($G$1="裂石",$AP188,$AN188)+IF($G$1="裂石",$AQ188*1.5,0))*(1+$BE188)*(1+$BF188)+(($BG188+$BH188)/2*IF($G$1="牵丝",$AP188,$AN188)+IF($G$1="牵丝",$AQ188*1.5,0))*(1+$BI188)*(1+$BJ188)+(($BK188+$BL188)/2*IF($G$1="破竹",$AP188,$AN188)+IF($G$1="破竹",$AQ188*1.5,0))*(1+$BM188)*(1+$BN188))*(1+$AR188)*$Q188*(1+IF(VLOOKUP($R188,武学奇术!$A:$ZZ,30,FALSE)="蓄力技",$B$21,0))*(1+IF(VLOOKUP($R188,武学奇术!$A:$ZZ,30,FALSE)="派生技",$B$20,0))*(1+$BW188)*(1+$BX188)</f>
        <v>0</v>
      </c>
      <c r="P188" s="46">
        <f>((($AT188*$AN188+$AO188)*(1+$AV188)*(1+$AW188)+($AY188*IF($G$1="鸣金",$AP188,$AN188)+IF($G$1="鸣金",$AQ188*1.5,0))*(1+$BA188)*(1+$BB188)+($BC188*IF($G$1="裂石",$AP188,$AN188)+IF($G$1="裂石",$AQ188*1.5,0))*(1+$BE188)*(1+$BF188)+($BG188*IF($G$1="牵丝",$AP188,$AN188)+IF($G$1="牵丝",$AQ188*1.5,0))*(1+$BI188)*(1+$BJ188)+($BK188*IF($G$1="破竹",$AP188,$AN188)+IF($G$1="破竹",$AQ188*1.5,0))*(1+$BM188)*(1+$BN188))*(1+$AR188))*$Q188*(1+IF(VLOOKUP($R188,武学奇术!$A:$ZZ,30,FALSE)="蓄力技",$B$21,0))*(1+IF(VLOOKUP($R188,武学奇术!$A:$ZZ,30,FALSE)="派生技",$B$20,0))*(1+$BW188)*(1+$BX188)</f>
        <v>0</v>
      </c>
      <c r="Q188" s="47">
        <f t="shared" si="47"/>
        <v>0</v>
      </c>
      <c r="R188" s="48" t="s">
        <v>196</v>
      </c>
      <c r="S188" s="48" t="s">
        <v>99</v>
      </c>
      <c r="T188" s="48" t="s">
        <v>182</v>
      </c>
      <c r="U188" s="48" t="s">
        <v>79</v>
      </c>
      <c r="V188" s="48" t="s">
        <v>80</v>
      </c>
      <c r="W188" s="48" t="s">
        <v>141</v>
      </c>
      <c r="X188" s="48" t="s">
        <v>80</v>
      </c>
      <c r="Y188" s="48" t="s">
        <v>74</v>
      </c>
      <c r="Z188" s="48" t="s">
        <v>80</v>
      </c>
      <c r="AA188" s="48" t="s">
        <v>80</v>
      </c>
      <c r="AB188" s="48" t="s">
        <v>80</v>
      </c>
      <c r="AC188" s="48" t="s">
        <v>80</v>
      </c>
      <c r="AD188" s="48" t="s">
        <v>80</v>
      </c>
      <c r="AE188" s="48" t="s">
        <v>80</v>
      </c>
      <c r="AF188" s="48" t="s">
        <v>83</v>
      </c>
      <c r="AG188" s="48" t="s">
        <v>84</v>
      </c>
      <c r="AH188" s="48" t="s">
        <v>80</v>
      </c>
      <c r="AI188" s="48" t="s">
        <v>80</v>
      </c>
      <c r="AJ188" s="48" t="s">
        <v>80</v>
      </c>
      <c r="AK188" s="48" t="s">
        <v>80</v>
      </c>
      <c r="AL188" s="48" t="s">
        <v>80</v>
      </c>
      <c r="AM188" t="str">
        <f>VLOOKUP($R188,武学奇术!$A:$ZZ,25,FALSE)</f>
        <v>横刀</v>
      </c>
      <c r="AN188" s="33">
        <f>VLOOKUP($R188,武学奇术!$A:$ZZ,26,FALSE)</f>
        <v>1.47</v>
      </c>
      <c r="AO188" s="34">
        <f>VLOOKUP($R188,武学奇术!$A:$ZZ,27,FALSE)*(1+IF(OR($AM188=$F$4,$AM188=$F$5),$B$22,0))</f>
        <v>0</v>
      </c>
      <c r="AP188" s="33">
        <f>VLOOKUP($R188,武学奇术!$A:$ZZ,28,FALSE)</f>
        <v>2.205</v>
      </c>
      <c r="AQ188" s="34">
        <f>VLOOKUP($R188,武学奇术!$A:$ZZ,29,FALSE)*(1+IF(OR($AM188=$F$4,$AM188=$F$5),$B$22,0))</f>
        <v>0</v>
      </c>
      <c r="AR188" s="33" cm="1">
        <f t="array" ref="AR188">$G$3+IFERROR(VLOOKUP($AM188,$F$4:$G$7,2,FALSE),0)+VLOOKUP($R188,武学奇术!$A:$ZZ,2,FALSE)+SUM(_xlfn.XLOOKUP($S188:$AL188,增益!$A:$A,增益!$B:$B,0))</f>
        <v>0.4489</v>
      </c>
      <c r="AS188" s="33" cm="1">
        <f t="array" ref="AS188">VLOOKUP($R188,武学奇术!$A:$ZZ,5,FALSE)+SUM(_xlfn.XLOOKUP($S188:$AL188,增益!$A:$A,增益!$E:$E,0))</f>
        <v>0</v>
      </c>
      <c r="AT188" cm="1">
        <f t="array" ref="AT188">$D$10*(1+$AS188)+VLOOKUP($R188,武学奇术!$A:$ZZ,3,FALSE)+SUM(_xlfn.XLOOKUP($S188:$AL188,增益!$A:$A,增益!$C:$C,0))-$I$2</f>
        <v>4026</v>
      </c>
      <c r="AU188" cm="1">
        <f t="array" ref="AU188">$E$10*(1+$AS188)+VLOOKUP($R188,武学奇术!$A:$ZZ,4,FALSE)+SUM(_xlfn.XLOOKUP($S188:$AL188,增益!$A:$A,增益!$D:$D,0))-$I$2</f>
        <v>4026</v>
      </c>
      <c r="AV188" s="40" cm="1">
        <f t="array" ref="AV188">IF($F$10-$I$3+VLOOKUP($R188,武学奇术!$A:$ZZ,6,FALSE)+SUM(_xlfn.XLOOKUP($S188:$AL188,增益!$A:$A,增益!$F:$F,0))&gt;0,($F$10-$I$3+VLOOKUP($R188,武学奇术!$A:$ZZ,6,FALSE)+SUM(_xlfn.XLOOKUP($S188:$AL188,增益!$A:$A,增益!$F:$F,0)))/200,($F$10-$I$3+VLOOKUP($R188,武学奇术!$A:$ZZ,6,FALSE)+SUM(_xlfn.XLOOKUP($S188:$AL188,增益!$A:$A,增益!$F:$F,0)))/100)</f>
        <v>0.3534</v>
      </c>
      <c r="AW188" s="40" cm="1">
        <f t="array" ref="AW188">$G$10+VLOOKUP($R188,武学奇术!$A:$ZZ,7,FALSE)+SUM(_xlfn.XLOOKUP($S188:$AL188,增益!$A:$A,增益!$G:$G,0))</f>
        <v>0.12</v>
      </c>
      <c r="AX188" s="33" cm="1">
        <f t="array" ref="AX188">VLOOKUP($R188,武学奇术!$A:$ZZ,8,FALSE)+SUM(_xlfn.XLOOKUP($S188:$AL188,增益!$A:$A,增益!$H:$H,0))</f>
        <v>0</v>
      </c>
      <c r="AY188">
        <f t="shared" si="34"/>
        <v>0</v>
      </c>
      <c r="AZ188">
        <f t="shared" si="35"/>
        <v>0</v>
      </c>
      <c r="BA188" s="40" cm="1">
        <f t="array" ref="BA188">IF($F$11-$I$4+VLOOKUP($R188,武学奇术!$A:$ZZ,9,FALSE)+SUM(_xlfn.XLOOKUP($S188:$AL188,增益!$A:$A,增益!$I:$I,0))&gt;0,($F$11-$I$4+VLOOKUP($R188,武学奇术!$A:$ZZ,9,FALSE)+SUM(_xlfn.XLOOKUP($S188:$AL188,增益!$A:$A,增益!$I:$I,0)))/200,($F$11-$I$4+VLOOKUP($R188,武学奇术!$A:$ZZ,9,FALSE)+SUM(_xlfn.XLOOKUP($S188:$AL188,增益!$A:$A,增益!$I:$I,0)))/100)</f>
        <v>-0.3</v>
      </c>
      <c r="BB188" s="40" cm="1">
        <f t="array" ref="BB188">$G$11+VLOOKUP($R188,武学奇术!$A:$ZZ,10,FALSE)+SUM(_xlfn.XLOOKUP($S188:$AL188,增益!$A:$A,增益!$J:$J,0))</f>
        <v>0</v>
      </c>
      <c r="BC188">
        <f t="shared" si="36"/>
        <v>640.3</v>
      </c>
      <c r="BD188">
        <f t="shared" si="37"/>
        <v>1770.1</v>
      </c>
      <c r="BE188" s="40" cm="1">
        <f t="array" ref="BE188">IF($F$12-$I$4+VLOOKUP($R188,武学奇术!$A:$ZZ,11,FALSE)+SUM(_xlfn.XLOOKUP($S188:$AL188,增益!$A:$A,增益!$K:$K,0))&gt;0,($F$12-$I$4+VLOOKUP($R188,武学奇术!$A:$ZZ,11,FALSE)+SUM(_xlfn.XLOOKUP($S188:$AL188,增益!$A:$A,增益!$K:$K,0)))/200,($F$12-$I$4+VLOOKUP($R188,武学奇术!$A:$ZZ,11,FALSE)+SUM(_xlfn.XLOOKUP($S188:$AL188,增益!$A:$A,增益!$K:$K,0)))/100)</f>
        <v>0.09</v>
      </c>
      <c r="BF188" s="40" cm="1">
        <f t="array" ref="BF188">$G$12+VLOOKUP($R188,武学奇术!$A:$ZZ,12,FALSE)+SUM(_xlfn.XLOOKUP($S188:$AL188,增益!$A:$A,增益!$L:$L,0))</f>
        <v>0.27</v>
      </c>
      <c r="BG188">
        <f t="shared" si="38"/>
        <v>0</v>
      </c>
      <c r="BH188">
        <f t="shared" si="39"/>
        <v>0</v>
      </c>
      <c r="BI188" s="40" cm="1">
        <f t="array" ref="BI188">IF($F$13-$I$4+VLOOKUP($R188,武学奇术!$A:$ZZ,13,FALSE)+SUM(_xlfn.XLOOKUP($S188:$AL188,增益!$A:$A,增益!$M:$M,0))&gt;0,($F$13-$I$4+VLOOKUP($R188,武学奇术!$A:$ZZ,13,FALSE)+SUM(_xlfn.XLOOKUP($S188:$AL188,增益!$A:$A,增益!$K:$K,0)))/200,($F$13-$I$4+VLOOKUP($R188,武学奇术!$A:$ZZ,13,FALSE)+SUM(_xlfn.XLOOKUP($S188:$AL188,增益!$A:$A,增益!$M:$M,0)))/100)</f>
        <v>-0.3</v>
      </c>
      <c r="BJ188" s="40" cm="1">
        <f t="array" ref="BJ188">$G$13+VLOOKUP($R188,武学奇术!$A:$ZZ,14,FALSE)+SUM(_xlfn.XLOOKUP($S188:$AL188,增益!$A:$A,增益!$N:$N,0))</f>
        <v>0</v>
      </c>
      <c r="BK188">
        <f t="shared" si="40"/>
        <v>0</v>
      </c>
      <c r="BL188">
        <f t="shared" si="41"/>
        <v>0</v>
      </c>
      <c r="BM188" s="40" cm="1">
        <f t="array" ref="BM188">IF($F$14-$I$4+VLOOKUP($R188,武学奇术!$A:$ZZ,15,FALSE)+SUM(_xlfn.XLOOKUP($S188:$AL188,增益!$A:$A,增益!$O:$O,0))&gt;0,($F$14-$I$4+VLOOKUP($R188,武学奇术!$A:$ZZ,15,FALSE)+SUM(_xlfn.XLOOKUP($S188:$AL188,增益!$A:$A,增益!$O:$O,0)))/200,($F$14-$I$4+VLOOKUP($R188,武学奇术!$A:$ZZ,15,FALSE)+SUM(_xlfn.XLOOKUP($S188:$AL188,增益!$A:$A,增益!$O:$O,0)))/100)</f>
        <v>-0.3</v>
      </c>
      <c r="BN188" s="40" cm="1">
        <f t="array" ref="BN188">$G$14+VLOOKUP($R188,武学奇术!$A:$ZZ,16,FALSE)+SUM(_xlfn.XLOOKUP($S188:$AL188,增益!$A:$A,增益!$P:$P,0))</f>
        <v>0</v>
      </c>
      <c r="BO188" s="33">
        <f>MIN(IF(VLOOKUP($R188,武学奇术!$A:$ZZ,23,FALSE)=1,100%,$B$8),100%)</f>
        <v>0.9771</v>
      </c>
      <c r="BP188" s="33" cm="1">
        <f t="array" ref="BP188">IF(VLOOKUP($R188,武学奇术!$A:$ZZ,23,FALSE)=1,100%,MIN(80%,$B$9+VLOOKUP($R188,武学奇术!$A:$ZZ,17,FALSE)+SUM(_xlfn.XLOOKUP($S188:$AL188,增益!$A:$A,增益!$Q:$Q,0)))+$B$11+SUM(_xlfn.XLOOKUP($S188:$AL188,增益!$A:$A,增益!$U:$U,0)))*IF(VLOOKUP($R188,武学奇术!$A:$ZZ,24,FALSE)=1,0,1)</f>
        <v>0.8861</v>
      </c>
      <c r="BQ188" s="33" cm="1">
        <f t="array" ref="BQ188">1+$B$13+VLOOKUP($R188,武学奇术!$A:$ZZ,18,FALSE)+SUM(_xlfn.XLOOKUP($S188:$AL188,增益!$A:$A,增益!$R:$R,0))</f>
        <v>2</v>
      </c>
      <c r="BR188" s="33" cm="1">
        <f t="array" ref="BR188">IF(VLOOKUP($R188,武学奇术!$A:$ZZ,24,FALSE)=1,100%,MIN(40%,$B$10+VLOOKUP($R188,武学奇术!$A:$ZZ,19,FALSE)+SUM(_xlfn.XLOOKUP($S188:$AL188,增益!$A:$A,增益!$S:$S,0)))+$B$12+SUM(_xlfn.XLOOKUP($S188:$AL188,增益!$A:$A,增益!$V:$V,0)))*IF(VLOOKUP($R188,武学奇术!$A:$ZZ,23,FALSE)=1,0,1)</f>
        <v>0.0913</v>
      </c>
      <c r="BS188" s="33" cm="1">
        <f t="array" ref="BS188">1+$B$14+VLOOKUP($R188,武学奇术!$A:$ZZ,20,FALSE)+SUM(_xlfn.XLOOKUP($S188:$AL188,增益!$A:$A,增益!$T:$T,0))</f>
        <v>1.35</v>
      </c>
      <c r="BT188" s="33">
        <f t="shared" si="42"/>
        <v>0.86580831</v>
      </c>
      <c r="BU188" s="33">
        <f t="shared" si="43"/>
        <v>0.02208246</v>
      </c>
      <c r="BV188" s="33">
        <f>IF(VLOOKUP($R188,武学奇术!$A:$ZZ,22,FALSE)=1,0,(1-$BO188))*(1-$BR188)</f>
        <v>0.02080923</v>
      </c>
      <c r="BW188" s="33" cm="1">
        <f t="array" ref="BW188">SUM(_xlfn.XLOOKUP($S188:$AL188,增益!$A:$A,增益!$W:$W,0))+$I$5</f>
        <v>0.11</v>
      </c>
      <c r="BX188" s="33" cm="1">
        <f t="array" ref="BX188">VLOOKUP($R188,武学奇术!$A:$ZZ,32,FALSE)+SUM(_xlfn.XLOOKUP($S188:$AL188,增益!$A:$A,增益!$X:$X,0))</f>
        <v>0.4</v>
      </c>
    </row>
    <row r="189" spans="12:76">
      <c r="L189" s="46">
        <f t="shared" si="33"/>
        <v>0</v>
      </c>
      <c r="M189" s="46">
        <f>((($AT189+$AU189)/2*$AN189+$AO189)*(1+$AV189)*(1+$AW189)+(($AY189+$AZ189)/2*IF($G$1="鸣金",$AP189,$AN189)+IF($G$1="鸣金",$AQ189*1.5,0))*(1+$BA189)*(1+$BB189)+(($BC189+$BD189)/2*IF($G$1="裂石",$AP189,$AN189)+IF($G$1="裂石",$AQ189*1.5,0))*(1+$BE189)*(1+$BF189)+(($BG189+$BH189)/2*IF($G$1="牵丝",$AP189,$AN189)+IF($G$1="牵丝",$AQ189*1.5,0))*(1+$BI189)*(1+$BJ189)+(($BK189+$BL189)/2*IF($G$1="破竹",$AP189,$AN189)+IF($G$1="破竹",$AQ189*1.5,0))*(1+$BM189)*(1+$BN189))*(1+$AR189)*$BQ189*$Q189*(1+IF(VLOOKUP($R189,武学奇术!$A:$ZZ,30,FALSE)="蓄力技",$B$21,0))*(1+IF(VLOOKUP($R189,武学奇术!$A:$ZZ,30,FALSE)="派生技",$B$20,0))*(1+$BW189)*(1+$BX189)</f>
        <v>0</v>
      </c>
      <c r="N189" s="46">
        <f>(($AU189*$AN189+$AO189)*(1+$AV189)*(1+$AW189)+($AZ189*IF($G$1="鸣金",$AP189,$AN189)+IF($G$1="鸣金",$AQ189*1.5,0))*(1+$BA189)*(1+$BB189)+($BD189*IF($G$1="裂石",$AP189,$AN189)+IF($G$1="裂石",$AQ189*1.5,0))*(1+$BE189)*(1+$BF189)+($BH189*IF($G$1="牵丝",$AP189,$AN189)+IF($G$1="牵丝",$AQ189*1.5,0))*(1+$BI189)*(1+$BJ189)+($BL189*IF($G$1="破竹",$AP189,$AN189)+IF($G$1="破竹",$AQ189*1.5,0))*(1+$BM189)*(1+$BN189))*(1+$AR189)*$BS189*$Q189*(1+IF(VLOOKUP($R189,武学奇术!$A:$ZZ,30,FALSE)="蓄力技",$B$21,0))*(1+IF(VLOOKUP($R189,武学奇术!$A:$ZZ,30,FALSE)="派生技",$B$20,0))*(1+$BW189)*(1+$BX189)</f>
        <v>0</v>
      </c>
      <c r="O189" s="46">
        <f>((($AT189+$AU189)/2*$AN189+$AO189)*(1+$AV189)*(1+$AW189)+(($AY189+$AZ189)/2*IF($G$1="鸣金",$AP189,$AN189)+IF($G$1="鸣金",$AQ189*1.5,0))*(1+$BA189)*(1+$BB189)+(($BC189+$BD189)/2*IF($G$1="裂石",$AP189,$AN189)+IF($G$1="裂石",$AQ189*1.5,0))*(1+$BE189)*(1+$BF189)+(($BG189+$BH189)/2*IF($G$1="牵丝",$AP189,$AN189)+IF($G$1="牵丝",$AQ189*1.5,0))*(1+$BI189)*(1+$BJ189)+(($BK189+$BL189)/2*IF($G$1="破竹",$AP189,$AN189)+IF($G$1="破竹",$AQ189*1.5,0))*(1+$BM189)*(1+$BN189))*(1+$AR189)*$Q189*(1+IF(VLOOKUP($R189,武学奇术!$A:$ZZ,30,FALSE)="蓄力技",$B$21,0))*(1+IF(VLOOKUP($R189,武学奇术!$A:$ZZ,30,FALSE)="派生技",$B$20,0))*(1+$BW189)*(1+$BX189)</f>
        <v>0</v>
      </c>
      <c r="P189" s="46">
        <f>((($AT189*$AN189+$AO189)*(1+$AV189)*(1+$AW189)+($AY189*IF($G$1="鸣金",$AP189,$AN189)+IF($G$1="鸣金",$AQ189*1.5,0))*(1+$BA189)*(1+$BB189)+($BC189*IF($G$1="裂石",$AP189,$AN189)+IF($G$1="裂石",$AQ189*1.5,0))*(1+$BE189)*(1+$BF189)+($BG189*IF($G$1="牵丝",$AP189,$AN189)+IF($G$1="牵丝",$AQ189*1.5,0))*(1+$BI189)*(1+$BJ189)+($BK189*IF($G$1="破竹",$AP189,$AN189)+IF($G$1="破竹",$AQ189*1.5,0))*(1+$BM189)*(1+$BN189))*(1+$AR189))*$Q189*(1+IF(VLOOKUP($R189,武学奇术!$A:$ZZ,30,FALSE)="蓄力技",$B$21,0))*(1+IF(VLOOKUP($R189,武学奇术!$A:$ZZ,30,FALSE)="派生技",$B$20,0))*(1+$BW189)*(1+$BX189)</f>
        <v>0</v>
      </c>
      <c r="Q189" s="47">
        <f t="shared" si="47"/>
        <v>0</v>
      </c>
      <c r="R189" s="48" t="s">
        <v>197</v>
      </c>
      <c r="S189" s="48" t="s">
        <v>99</v>
      </c>
      <c r="T189" s="48" t="s">
        <v>182</v>
      </c>
      <c r="U189" s="48" t="s">
        <v>79</v>
      </c>
      <c r="V189" s="48" t="s">
        <v>80</v>
      </c>
      <c r="W189" s="48" t="s">
        <v>91</v>
      </c>
      <c r="X189" s="48" t="s">
        <v>80</v>
      </c>
      <c r="Y189" s="48" t="s">
        <v>80</v>
      </c>
      <c r="Z189" s="48" t="s">
        <v>80</v>
      </c>
      <c r="AA189" s="48" t="s">
        <v>80</v>
      </c>
      <c r="AB189" s="48" t="s">
        <v>80</v>
      </c>
      <c r="AC189" s="48" t="s">
        <v>80</v>
      </c>
      <c r="AD189" s="48" t="s">
        <v>80</v>
      </c>
      <c r="AE189" s="48" t="s">
        <v>80</v>
      </c>
      <c r="AF189" s="48" t="s">
        <v>83</v>
      </c>
      <c r="AG189" s="48" t="s">
        <v>84</v>
      </c>
      <c r="AH189" s="48" t="s">
        <v>80</v>
      </c>
      <c r="AI189" s="48" t="s">
        <v>80</v>
      </c>
      <c r="AJ189" s="48" t="s">
        <v>80</v>
      </c>
      <c r="AK189" s="48" t="s">
        <v>80</v>
      </c>
      <c r="AL189" s="48" t="s">
        <v>80</v>
      </c>
      <c r="AM189" t="str">
        <f>VLOOKUP($R189,武学奇术!$A:$ZZ,25,FALSE)</f>
        <v>横刀</v>
      </c>
      <c r="AN189" s="33">
        <f>VLOOKUP($R189,武学奇术!$A:$ZZ,26,FALSE)</f>
        <v>2.4495</v>
      </c>
      <c r="AO189" s="34">
        <f>VLOOKUP($R189,武学奇术!$A:$ZZ,27,FALSE)*(1+IF(OR($AM189=$F$4,$AM189=$F$5),$B$22,0))</f>
        <v>1083.2</v>
      </c>
      <c r="AP189" s="33">
        <f>VLOOKUP($R189,武学奇术!$A:$ZZ,28,FALSE)</f>
        <v>3.6743</v>
      </c>
      <c r="AQ189" s="34">
        <f>VLOOKUP($R189,武学奇术!$A:$ZZ,29,FALSE)*(1+IF(OR($AM189=$F$4,$AM189=$F$5),$B$22,0))</f>
        <v>588.8</v>
      </c>
      <c r="AR189" s="33" cm="1">
        <f t="array" ref="AR189">$G$3+IFERROR(VLOOKUP($AM189,$F$4:$G$7,2,FALSE),0)+VLOOKUP($R189,武学奇术!$A:$ZZ,2,FALSE)+SUM(_xlfn.XLOOKUP($S189:$AL189,增益!$A:$A,增益!$B:$B,0))</f>
        <v>0.3689</v>
      </c>
      <c r="AS189" s="33" cm="1">
        <f t="array" ref="AS189">VLOOKUP($R189,武学奇术!$A:$ZZ,5,FALSE)+SUM(_xlfn.XLOOKUP($S189:$AL189,增益!$A:$A,增益!$E:$E,0))</f>
        <v>0</v>
      </c>
      <c r="AT189" cm="1">
        <f t="array" ref="AT189">$D$10*(1+$AS189)+VLOOKUP($R189,武学奇术!$A:$ZZ,3,FALSE)+SUM(_xlfn.XLOOKUP($S189:$AL189,增益!$A:$A,增益!$C:$C,0))-$I$2</f>
        <v>4026</v>
      </c>
      <c r="AU189" cm="1">
        <f t="array" ref="AU189">$E$10*(1+$AS189)+VLOOKUP($R189,武学奇术!$A:$ZZ,4,FALSE)+SUM(_xlfn.XLOOKUP($S189:$AL189,增益!$A:$A,增益!$D:$D,0))-$I$2</f>
        <v>4026</v>
      </c>
      <c r="AV189" s="40" cm="1">
        <f t="array" ref="AV189">IF($F$10-$I$3+VLOOKUP($R189,武学奇术!$A:$ZZ,6,FALSE)+SUM(_xlfn.XLOOKUP($S189:$AL189,增益!$A:$A,增益!$F:$F,0))&gt;0,($F$10-$I$3+VLOOKUP($R189,武学奇术!$A:$ZZ,6,FALSE)+SUM(_xlfn.XLOOKUP($S189:$AL189,增益!$A:$A,增益!$F:$F,0)))/200,($F$10-$I$3+VLOOKUP($R189,武学奇术!$A:$ZZ,6,FALSE)+SUM(_xlfn.XLOOKUP($S189:$AL189,增益!$A:$A,增益!$F:$F,0)))/100)</f>
        <v>0.3284</v>
      </c>
      <c r="AW189" s="40" cm="1">
        <f t="array" ref="AW189">$G$10+VLOOKUP($R189,武学奇术!$A:$ZZ,7,FALSE)+SUM(_xlfn.XLOOKUP($S189:$AL189,增益!$A:$A,增益!$G:$G,0))</f>
        <v>0.12</v>
      </c>
      <c r="AX189" s="33" cm="1">
        <f t="array" ref="AX189">VLOOKUP($R189,武学奇术!$A:$ZZ,8,FALSE)+SUM(_xlfn.XLOOKUP($S189:$AL189,增益!$A:$A,增益!$H:$H,0))</f>
        <v>0</v>
      </c>
      <c r="AY189">
        <f t="shared" si="34"/>
        <v>0</v>
      </c>
      <c r="AZ189">
        <f t="shared" si="35"/>
        <v>0</v>
      </c>
      <c r="BA189" s="40" cm="1">
        <f t="array" ref="BA189">IF($F$11-$I$4+VLOOKUP($R189,武学奇术!$A:$ZZ,9,FALSE)+SUM(_xlfn.XLOOKUP($S189:$AL189,增益!$A:$A,增益!$I:$I,0))&gt;0,($F$11-$I$4+VLOOKUP($R189,武学奇术!$A:$ZZ,9,FALSE)+SUM(_xlfn.XLOOKUP($S189:$AL189,增益!$A:$A,增益!$I:$I,0)))/200,($F$11-$I$4+VLOOKUP($R189,武学奇术!$A:$ZZ,9,FALSE)+SUM(_xlfn.XLOOKUP($S189:$AL189,增益!$A:$A,增益!$I:$I,0)))/100)</f>
        <v>-0.3</v>
      </c>
      <c r="BB189" s="40" cm="1">
        <f t="array" ref="BB189">$G$11+VLOOKUP($R189,武学奇术!$A:$ZZ,10,FALSE)+SUM(_xlfn.XLOOKUP($S189:$AL189,增益!$A:$A,增益!$J:$J,0))</f>
        <v>0</v>
      </c>
      <c r="BC189">
        <f t="shared" si="36"/>
        <v>640.3</v>
      </c>
      <c r="BD189">
        <f t="shared" si="37"/>
        <v>1770.1</v>
      </c>
      <c r="BE189" s="40" cm="1">
        <f t="array" ref="BE189">IF($F$12-$I$4+VLOOKUP($R189,武学奇术!$A:$ZZ,11,FALSE)+SUM(_xlfn.XLOOKUP($S189:$AL189,增益!$A:$A,增益!$K:$K,0))&gt;0,($F$12-$I$4+VLOOKUP($R189,武学奇术!$A:$ZZ,11,FALSE)+SUM(_xlfn.XLOOKUP($S189:$AL189,增益!$A:$A,增益!$K:$K,0)))/200,($F$12-$I$4+VLOOKUP($R189,武学奇术!$A:$ZZ,11,FALSE)+SUM(_xlfn.XLOOKUP($S189:$AL189,增益!$A:$A,增益!$K:$K,0)))/100)</f>
        <v>0.09</v>
      </c>
      <c r="BF189" s="40" cm="1">
        <f t="array" ref="BF189">$G$12+VLOOKUP($R189,武学奇术!$A:$ZZ,12,FALSE)+SUM(_xlfn.XLOOKUP($S189:$AL189,增益!$A:$A,增益!$L:$L,0))</f>
        <v>0.27</v>
      </c>
      <c r="BG189">
        <f t="shared" si="38"/>
        <v>0</v>
      </c>
      <c r="BH189">
        <f t="shared" si="39"/>
        <v>0</v>
      </c>
      <c r="BI189" s="40" cm="1">
        <f t="array" ref="BI189">IF($F$13-$I$4+VLOOKUP($R189,武学奇术!$A:$ZZ,13,FALSE)+SUM(_xlfn.XLOOKUP($S189:$AL189,增益!$A:$A,增益!$M:$M,0))&gt;0,($F$13-$I$4+VLOOKUP($R189,武学奇术!$A:$ZZ,13,FALSE)+SUM(_xlfn.XLOOKUP($S189:$AL189,增益!$A:$A,增益!$K:$K,0)))/200,($F$13-$I$4+VLOOKUP($R189,武学奇术!$A:$ZZ,13,FALSE)+SUM(_xlfn.XLOOKUP($S189:$AL189,增益!$A:$A,增益!$M:$M,0)))/100)</f>
        <v>-0.3</v>
      </c>
      <c r="BJ189" s="40" cm="1">
        <f t="array" ref="BJ189">$G$13+VLOOKUP($R189,武学奇术!$A:$ZZ,14,FALSE)+SUM(_xlfn.XLOOKUP($S189:$AL189,增益!$A:$A,增益!$N:$N,0))</f>
        <v>0</v>
      </c>
      <c r="BK189">
        <f t="shared" si="40"/>
        <v>0</v>
      </c>
      <c r="BL189">
        <f t="shared" si="41"/>
        <v>0</v>
      </c>
      <c r="BM189" s="40" cm="1">
        <f t="array" ref="BM189">IF($F$14-$I$4+VLOOKUP($R189,武学奇术!$A:$ZZ,15,FALSE)+SUM(_xlfn.XLOOKUP($S189:$AL189,增益!$A:$A,增益!$O:$O,0))&gt;0,($F$14-$I$4+VLOOKUP($R189,武学奇术!$A:$ZZ,15,FALSE)+SUM(_xlfn.XLOOKUP($S189:$AL189,增益!$A:$A,增益!$O:$O,0)))/200,($F$14-$I$4+VLOOKUP($R189,武学奇术!$A:$ZZ,15,FALSE)+SUM(_xlfn.XLOOKUP($S189:$AL189,增益!$A:$A,增益!$O:$O,0)))/100)</f>
        <v>-0.3</v>
      </c>
      <c r="BN189" s="40" cm="1">
        <f t="array" ref="BN189">$G$14+VLOOKUP($R189,武学奇术!$A:$ZZ,16,FALSE)+SUM(_xlfn.XLOOKUP($S189:$AL189,增益!$A:$A,增益!$P:$P,0))</f>
        <v>0</v>
      </c>
      <c r="BO189" s="33">
        <f>MIN(IF(VLOOKUP($R189,武学奇术!$A:$ZZ,23,FALSE)=1,100%,$B$8),100%)</f>
        <v>0.9771</v>
      </c>
      <c r="BP189" s="33" cm="1">
        <f t="array" ref="BP189">IF(VLOOKUP($R189,武学奇术!$A:$ZZ,23,FALSE)=1,100%,MIN(80%,$B$9+VLOOKUP($R189,武学奇术!$A:$ZZ,17,FALSE)+SUM(_xlfn.XLOOKUP($S189:$AL189,增益!$A:$A,增益!$Q:$Q,0)))+$B$11+SUM(_xlfn.XLOOKUP($S189:$AL189,增益!$A:$A,增益!$U:$U,0)))*IF(VLOOKUP($R189,武学奇术!$A:$ZZ,24,FALSE)=1,0,1)</f>
        <v>0.8861</v>
      </c>
      <c r="BQ189" s="33" cm="1">
        <f t="array" ref="BQ189">1+$B$13+VLOOKUP($R189,武学奇术!$A:$ZZ,18,FALSE)+SUM(_xlfn.XLOOKUP($S189:$AL189,增益!$A:$A,增益!$R:$R,0))</f>
        <v>1.95</v>
      </c>
      <c r="BR189" s="33" cm="1">
        <f t="array" ref="BR189">IF(VLOOKUP($R189,武学奇术!$A:$ZZ,24,FALSE)=1,100%,MIN(40%,$B$10+VLOOKUP($R189,武学奇术!$A:$ZZ,19,FALSE)+SUM(_xlfn.XLOOKUP($S189:$AL189,增益!$A:$A,增益!$S:$S,0)))+$B$12+SUM(_xlfn.XLOOKUP($S189:$AL189,增益!$A:$A,增益!$V:$V,0)))*IF(VLOOKUP($R189,武学奇术!$A:$ZZ,23,FALSE)=1,0,1)</f>
        <v>0.0913</v>
      </c>
      <c r="BS189" s="33" cm="1">
        <f t="array" ref="BS189">1+$B$14+VLOOKUP($R189,武学奇术!$A:$ZZ,20,FALSE)+SUM(_xlfn.XLOOKUP($S189:$AL189,增益!$A:$A,增益!$T:$T,0))</f>
        <v>1.35</v>
      </c>
      <c r="BT189" s="33">
        <f t="shared" si="42"/>
        <v>0.86580831</v>
      </c>
      <c r="BU189" s="33">
        <f t="shared" si="43"/>
        <v>0.02208246</v>
      </c>
      <c r="BV189" s="33">
        <f>IF(VLOOKUP($R189,武学奇术!$A:$ZZ,22,FALSE)=1,0,(1-$BO189))*(1-$BR189)</f>
        <v>0.02080923</v>
      </c>
      <c r="BW189" s="33" cm="1">
        <f t="array" ref="BW189">SUM(_xlfn.XLOOKUP($S189:$AL189,增益!$A:$A,增益!$W:$W,0))+$I$5</f>
        <v>0.11</v>
      </c>
      <c r="BX189" s="33" cm="1">
        <f t="array" ref="BX189">VLOOKUP($R189,武学奇术!$A:$ZZ,32,FALSE)+SUM(_xlfn.XLOOKUP($S189:$AL189,增益!$A:$A,增益!$X:$X,0))</f>
        <v>0</v>
      </c>
    </row>
    <row r="190" spans="12:76">
      <c r="L190" s="46">
        <f t="shared" si="33"/>
        <v>0</v>
      </c>
      <c r="M190" s="46">
        <f>((($AT190+$AU190)/2*$AN190+$AO190)*(1+$AV190)*(1+$AW190)+(($AY190+$AZ190)/2*IF($G$1="鸣金",$AP190,$AN190)+IF($G$1="鸣金",$AQ190*1.5,0))*(1+$BA190)*(1+$BB190)+(($BC190+$BD190)/2*IF($G$1="裂石",$AP190,$AN190)+IF($G$1="裂石",$AQ190*1.5,0))*(1+$BE190)*(1+$BF190)+(($BG190+$BH190)/2*IF($G$1="牵丝",$AP190,$AN190)+IF($G$1="牵丝",$AQ190*1.5,0))*(1+$BI190)*(1+$BJ190)+(($BK190+$BL190)/2*IF($G$1="破竹",$AP190,$AN190)+IF($G$1="破竹",$AQ190*1.5,0))*(1+$BM190)*(1+$BN190))*(1+$AR190)*$BQ190*$Q190*(1+IF(VLOOKUP($R190,武学奇术!$A:$ZZ,30,FALSE)="蓄力技",$B$21,0))*(1+IF(VLOOKUP($R190,武学奇术!$A:$ZZ,30,FALSE)="派生技",$B$20,0))*(1+$BW190)*(1+$BX190)</f>
        <v>0</v>
      </c>
      <c r="N190" s="46">
        <f>(($AU190*$AN190+$AO190)*(1+$AV190)*(1+$AW190)+($AZ190*IF($G$1="鸣金",$AP190,$AN190)+IF($G$1="鸣金",$AQ190*1.5,0))*(1+$BA190)*(1+$BB190)+($BD190*IF($G$1="裂石",$AP190,$AN190)+IF($G$1="裂石",$AQ190*1.5,0))*(1+$BE190)*(1+$BF190)+($BH190*IF($G$1="牵丝",$AP190,$AN190)+IF($G$1="牵丝",$AQ190*1.5,0))*(1+$BI190)*(1+$BJ190)+($BL190*IF($G$1="破竹",$AP190,$AN190)+IF($G$1="破竹",$AQ190*1.5,0))*(1+$BM190)*(1+$BN190))*(1+$AR190)*$BS190*$Q190*(1+IF(VLOOKUP($R190,武学奇术!$A:$ZZ,30,FALSE)="蓄力技",$B$21,0))*(1+IF(VLOOKUP($R190,武学奇术!$A:$ZZ,30,FALSE)="派生技",$B$20,0))*(1+$BW190)*(1+$BX190)</f>
        <v>0</v>
      </c>
      <c r="O190" s="46">
        <f>((($AT190+$AU190)/2*$AN190+$AO190)*(1+$AV190)*(1+$AW190)+(($AY190+$AZ190)/2*IF($G$1="鸣金",$AP190,$AN190)+IF($G$1="鸣金",$AQ190*1.5,0))*(1+$BA190)*(1+$BB190)+(($BC190+$BD190)/2*IF($G$1="裂石",$AP190,$AN190)+IF($G$1="裂石",$AQ190*1.5,0))*(1+$BE190)*(1+$BF190)+(($BG190+$BH190)/2*IF($G$1="牵丝",$AP190,$AN190)+IF($G$1="牵丝",$AQ190*1.5,0))*(1+$BI190)*(1+$BJ190)+(($BK190+$BL190)/2*IF($G$1="破竹",$AP190,$AN190)+IF($G$1="破竹",$AQ190*1.5,0))*(1+$BM190)*(1+$BN190))*(1+$AR190)*$Q190*(1+IF(VLOOKUP($R190,武学奇术!$A:$ZZ,30,FALSE)="蓄力技",$B$21,0))*(1+IF(VLOOKUP($R190,武学奇术!$A:$ZZ,30,FALSE)="派生技",$B$20,0))*(1+$BW190)*(1+$BX190)</f>
        <v>0</v>
      </c>
      <c r="P190" s="46">
        <f>((($AT190*$AN190+$AO190)*(1+$AV190)*(1+$AW190)+($AY190*IF($G$1="鸣金",$AP190,$AN190)+IF($G$1="鸣金",$AQ190*1.5,0))*(1+$BA190)*(1+$BB190)+($BC190*IF($G$1="裂石",$AP190,$AN190)+IF($G$1="裂石",$AQ190*1.5,0))*(1+$BE190)*(1+$BF190)+($BG190*IF($G$1="牵丝",$AP190,$AN190)+IF($G$1="牵丝",$AQ190*1.5,0))*(1+$BI190)*(1+$BJ190)+($BK190*IF($G$1="破竹",$AP190,$AN190)+IF($G$1="破竹",$AQ190*1.5,0))*(1+$BM190)*(1+$BN190))*(1+$AR190))*$Q190*(1+IF(VLOOKUP($R190,武学奇术!$A:$ZZ,30,FALSE)="蓄力技",$B$21,0))*(1+IF(VLOOKUP($R190,武学奇术!$A:$ZZ,30,FALSE)="派生技",$B$20,0))*(1+$BW190)*(1+$BX190)</f>
        <v>0</v>
      </c>
      <c r="Q190" s="47">
        <f t="shared" si="47"/>
        <v>0</v>
      </c>
      <c r="R190" s="48" t="s">
        <v>119</v>
      </c>
      <c r="S190" s="48" t="s">
        <v>99</v>
      </c>
      <c r="T190" s="48" t="s">
        <v>182</v>
      </c>
      <c r="U190" s="48" t="s">
        <v>79</v>
      </c>
      <c r="V190" s="48" t="s">
        <v>80</v>
      </c>
      <c r="W190" s="48" t="s">
        <v>141</v>
      </c>
      <c r="X190" s="48" t="s">
        <v>80</v>
      </c>
      <c r="Y190" s="48" t="s">
        <v>74</v>
      </c>
      <c r="Z190" s="48" t="s">
        <v>80</v>
      </c>
      <c r="AA190" s="48" t="s">
        <v>80</v>
      </c>
      <c r="AB190" s="48" t="s">
        <v>80</v>
      </c>
      <c r="AC190" s="48" t="s">
        <v>80</v>
      </c>
      <c r="AD190" s="48" t="s">
        <v>80</v>
      </c>
      <c r="AE190" s="48" t="s">
        <v>80</v>
      </c>
      <c r="AF190" s="48" t="s">
        <v>83</v>
      </c>
      <c r="AG190" s="48" t="s">
        <v>84</v>
      </c>
      <c r="AH190" s="48" t="s">
        <v>80</v>
      </c>
      <c r="AI190" s="48" t="s">
        <v>80</v>
      </c>
      <c r="AJ190" s="48" t="s">
        <v>80</v>
      </c>
      <c r="AK190" s="48" t="s">
        <v>80</v>
      </c>
      <c r="AL190" s="48" t="s">
        <v>80</v>
      </c>
      <c r="AM190" t="str">
        <f>VLOOKUP($R190,武学奇术!$A:$ZZ,25,FALSE)</f>
        <v>横刀</v>
      </c>
      <c r="AN190" s="33">
        <f>VLOOKUP($R190,武学奇术!$A:$ZZ,26,FALSE)</f>
        <v>2.1324</v>
      </c>
      <c r="AO190" s="34">
        <f>VLOOKUP($R190,武学奇术!$A:$ZZ,27,FALSE)*(1+IF(OR($AM190=$F$4,$AM190=$F$5),$B$22,0))</f>
        <v>944</v>
      </c>
      <c r="AP190" s="33">
        <f>VLOOKUP($R190,武学奇术!$A:$ZZ,28,FALSE)</f>
        <v>3.1986</v>
      </c>
      <c r="AQ190" s="34">
        <f>VLOOKUP($R190,武学奇术!$A:$ZZ,29,FALSE)*(1+IF(OR($AM190=$F$4,$AM190=$F$5),$B$22,0))</f>
        <v>515.2</v>
      </c>
      <c r="AR190" s="33" cm="1">
        <f t="array" ref="AR190">$G$3+IFERROR(VLOOKUP($AM190,$F$4:$G$7,2,FALSE),0)+VLOOKUP($R190,武学奇术!$A:$ZZ,2,FALSE)+SUM(_xlfn.XLOOKUP($S190:$AL190,增益!$A:$A,增益!$B:$B,0))</f>
        <v>0.4489</v>
      </c>
      <c r="AS190" s="33" cm="1">
        <f t="array" ref="AS190">VLOOKUP($R190,武学奇术!$A:$ZZ,5,FALSE)+SUM(_xlfn.XLOOKUP($S190:$AL190,增益!$A:$A,增益!$E:$E,0))</f>
        <v>0</v>
      </c>
      <c r="AT190" cm="1">
        <f t="array" ref="AT190">$D$10*(1+$AS190)+VLOOKUP($R190,武学奇术!$A:$ZZ,3,FALSE)+SUM(_xlfn.XLOOKUP($S190:$AL190,增益!$A:$A,增益!$C:$C,0))-$I$2</f>
        <v>4026</v>
      </c>
      <c r="AU190" cm="1">
        <f t="array" ref="AU190">$E$10*(1+$AS190)+VLOOKUP($R190,武学奇术!$A:$ZZ,4,FALSE)+SUM(_xlfn.XLOOKUP($S190:$AL190,增益!$A:$A,增益!$D:$D,0))-$I$2</f>
        <v>4026</v>
      </c>
      <c r="AV190" s="40" cm="1">
        <f t="array" ref="AV190">IF($F$10-$I$3+VLOOKUP($R190,武学奇术!$A:$ZZ,6,FALSE)+SUM(_xlfn.XLOOKUP($S190:$AL190,增益!$A:$A,增益!$F:$F,0))&gt;0,($F$10-$I$3+VLOOKUP($R190,武学奇术!$A:$ZZ,6,FALSE)+SUM(_xlfn.XLOOKUP($S190:$AL190,增益!$A:$A,增益!$F:$F,0)))/200,($F$10-$I$3+VLOOKUP($R190,武学奇术!$A:$ZZ,6,FALSE)+SUM(_xlfn.XLOOKUP($S190:$AL190,增益!$A:$A,增益!$F:$F,0)))/100)</f>
        <v>0.3534</v>
      </c>
      <c r="AW190" s="40" cm="1">
        <f t="array" ref="AW190">$G$10+VLOOKUP($R190,武学奇术!$A:$ZZ,7,FALSE)+SUM(_xlfn.XLOOKUP($S190:$AL190,增益!$A:$A,增益!$G:$G,0))</f>
        <v>0.12</v>
      </c>
      <c r="AX190" s="33" cm="1">
        <f t="array" ref="AX190">VLOOKUP($R190,武学奇术!$A:$ZZ,8,FALSE)+SUM(_xlfn.XLOOKUP($S190:$AL190,增益!$A:$A,增益!$H:$H,0))</f>
        <v>0</v>
      </c>
      <c r="AY190">
        <f t="shared" si="34"/>
        <v>0</v>
      </c>
      <c r="AZ190">
        <f t="shared" si="35"/>
        <v>0</v>
      </c>
      <c r="BA190" s="40" cm="1">
        <f t="array" ref="BA190">IF($F$11-$I$4+VLOOKUP($R190,武学奇术!$A:$ZZ,9,FALSE)+SUM(_xlfn.XLOOKUP($S190:$AL190,增益!$A:$A,增益!$I:$I,0))&gt;0,($F$11-$I$4+VLOOKUP($R190,武学奇术!$A:$ZZ,9,FALSE)+SUM(_xlfn.XLOOKUP($S190:$AL190,增益!$A:$A,增益!$I:$I,0)))/200,($F$11-$I$4+VLOOKUP($R190,武学奇术!$A:$ZZ,9,FALSE)+SUM(_xlfn.XLOOKUP($S190:$AL190,增益!$A:$A,增益!$I:$I,0)))/100)</f>
        <v>-0.3</v>
      </c>
      <c r="BB190" s="40" cm="1">
        <f t="array" ref="BB190">$G$11+VLOOKUP($R190,武学奇术!$A:$ZZ,10,FALSE)+SUM(_xlfn.XLOOKUP($S190:$AL190,增益!$A:$A,增益!$J:$J,0))</f>
        <v>0</v>
      </c>
      <c r="BC190">
        <f t="shared" si="36"/>
        <v>640.3</v>
      </c>
      <c r="BD190">
        <f t="shared" si="37"/>
        <v>1770.1</v>
      </c>
      <c r="BE190" s="40" cm="1">
        <f t="array" ref="BE190">IF($F$12-$I$4+VLOOKUP($R190,武学奇术!$A:$ZZ,11,FALSE)+SUM(_xlfn.XLOOKUP($S190:$AL190,增益!$A:$A,增益!$K:$K,0))&gt;0,($F$12-$I$4+VLOOKUP($R190,武学奇术!$A:$ZZ,11,FALSE)+SUM(_xlfn.XLOOKUP($S190:$AL190,增益!$A:$A,增益!$K:$K,0)))/200,($F$12-$I$4+VLOOKUP($R190,武学奇术!$A:$ZZ,11,FALSE)+SUM(_xlfn.XLOOKUP($S190:$AL190,增益!$A:$A,增益!$K:$K,0)))/100)</f>
        <v>0.09</v>
      </c>
      <c r="BF190" s="40" cm="1">
        <f t="array" ref="BF190">$G$12+VLOOKUP($R190,武学奇术!$A:$ZZ,12,FALSE)+SUM(_xlfn.XLOOKUP($S190:$AL190,增益!$A:$A,增益!$L:$L,0))</f>
        <v>0.27</v>
      </c>
      <c r="BG190">
        <f t="shared" si="38"/>
        <v>0</v>
      </c>
      <c r="BH190">
        <f t="shared" si="39"/>
        <v>0</v>
      </c>
      <c r="BI190" s="40" cm="1">
        <f t="array" ref="BI190">IF($F$13-$I$4+VLOOKUP($R190,武学奇术!$A:$ZZ,13,FALSE)+SUM(_xlfn.XLOOKUP($S190:$AL190,增益!$A:$A,增益!$M:$M,0))&gt;0,($F$13-$I$4+VLOOKUP($R190,武学奇术!$A:$ZZ,13,FALSE)+SUM(_xlfn.XLOOKUP($S190:$AL190,增益!$A:$A,增益!$K:$K,0)))/200,($F$13-$I$4+VLOOKUP($R190,武学奇术!$A:$ZZ,13,FALSE)+SUM(_xlfn.XLOOKUP($S190:$AL190,增益!$A:$A,增益!$M:$M,0)))/100)</f>
        <v>-0.3</v>
      </c>
      <c r="BJ190" s="40" cm="1">
        <f t="array" ref="BJ190">$G$13+VLOOKUP($R190,武学奇术!$A:$ZZ,14,FALSE)+SUM(_xlfn.XLOOKUP($S190:$AL190,增益!$A:$A,增益!$N:$N,0))</f>
        <v>0</v>
      </c>
      <c r="BK190">
        <f t="shared" si="40"/>
        <v>0</v>
      </c>
      <c r="BL190">
        <f t="shared" si="41"/>
        <v>0</v>
      </c>
      <c r="BM190" s="40" cm="1">
        <f t="array" ref="BM190">IF($F$14-$I$4+VLOOKUP($R190,武学奇术!$A:$ZZ,15,FALSE)+SUM(_xlfn.XLOOKUP($S190:$AL190,增益!$A:$A,增益!$O:$O,0))&gt;0,($F$14-$I$4+VLOOKUP($R190,武学奇术!$A:$ZZ,15,FALSE)+SUM(_xlfn.XLOOKUP($S190:$AL190,增益!$A:$A,增益!$O:$O,0)))/200,($F$14-$I$4+VLOOKUP($R190,武学奇术!$A:$ZZ,15,FALSE)+SUM(_xlfn.XLOOKUP($S190:$AL190,增益!$A:$A,增益!$O:$O,0)))/100)</f>
        <v>-0.3</v>
      </c>
      <c r="BN190" s="40" cm="1">
        <f t="array" ref="BN190">$G$14+VLOOKUP($R190,武学奇术!$A:$ZZ,16,FALSE)+SUM(_xlfn.XLOOKUP($S190:$AL190,增益!$A:$A,增益!$P:$P,0))</f>
        <v>0</v>
      </c>
      <c r="BO190" s="33">
        <f>MIN(IF(VLOOKUP($R190,武学奇术!$A:$ZZ,23,FALSE)=1,100%,$B$8),100%)</f>
        <v>0.9771</v>
      </c>
      <c r="BP190" s="33" cm="1">
        <f t="array" ref="BP190">IF(VLOOKUP($R190,武学奇术!$A:$ZZ,23,FALSE)=1,100%,MIN(80%,$B$9+VLOOKUP($R190,武学奇术!$A:$ZZ,17,FALSE)+SUM(_xlfn.XLOOKUP($S190:$AL190,增益!$A:$A,增益!$Q:$Q,0)))+$B$11+SUM(_xlfn.XLOOKUP($S190:$AL190,增益!$A:$A,增益!$U:$U,0)))*IF(VLOOKUP($R190,武学奇术!$A:$ZZ,24,FALSE)=1,0,1)</f>
        <v>0.8861</v>
      </c>
      <c r="BQ190" s="33" cm="1">
        <f t="array" ref="BQ190">1+$B$13+VLOOKUP($R190,武学奇术!$A:$ZZ,18,FALSE)+SUM(_xlfn.XLOOKUP($S190:$AL190,增益!$A:$A,增益!$R:$R,0))</f>
        <v>2</v>
      </c>
      <c r="BR190" s="33" cm="1">
        <f t="array" ref="BR190">IF(VLOOKUP($R190,武学奇术!$A:$ZZ,24,FALSE)=1,100%,MIN(40%,$B$10+VLOOKUP($R190,武学奇术!$A:$ZZ,19,FALSE)+SUM(_xlfn.XLOOKUP($S190:$AL190,增益!$A:$A,增益!$S:$S,0)))+$B$12+SUM(_xlfn.XLOOKUP($S190:$AL190,增益!$A:$A,增益!$V:$V,0)))*IF(VLOOKUP($R190,武学奇术!$A:$ZZ,23,FALSE)=1,0,1)</f>
        <v>0.0913</v>
      </c>
      <c r="BS190" s="33" cm="1">
        <f t="array" ref="BS190">1+$B$14+VLOOKUP($R190,武学奇术!$A:$ZZ,20,FALSE)+SUM(_xlfn.XLOOKUP($S190:$AL190,增益!$A:$A,增益!$T:$T,0))</f>
        <v>1.35</v>
      </c>
      <c r="BT190" s="33">
        <f t="shared" si="42"/>
        <v>0.86580831</v>
      </c>
      <c r="BU190" s="33">
        <f t="shared" si="43"/>
        <v>0.02208246</v>
      </c>
      <c r="BV190" s="33">
        <f>IF(VLOOKUP($R190,武学奇术!$A:$ZZ,22,FALSE)=1,0,(1-$BO190))*(1-$BR190)</f>
        <v>0.02080923</v>
      </c>
      <c r="BW190" s="33" cm="1">
        <f t="array" ref="BW190">SUM(_xlfn.XLOOKUP($S190:$AL190,增益!$A:$A,增益!$W:$W,0))+$I$5</f>
        <v>0.11</v>
      </c>
      <c r="BX190" s="33" cm="1">
        <f t="array" ref="BX190">VLOOKUP($R190,武学奇术!$A:$ZZ,32,FALSE)+SUM(_xlfn.XLOOKUP($S190:$AL190,增益!$A:$A,增益!$X:$X,0))</f>
        <v>0</v>
      </c>
    </row>
    <row r="191" spans="12:76">
      <c r="L191" s="46">
        <f t="shared" si="33"/>
        <v>0</v>
      </c>
      <c r="M191" s="46">
        <f>((($AT191+$AU191)/2*$AN191+$AO191)*(1+$AV191)*(1+$AW191)+(($AY191+$AZ191)/2*IF($G$1="鸣金",$AP191,$AN191)+IF($G$1="鸣金",$AQ191*1.5,0))*(1+$BA191)*(1+$BB191)+(($BC191+$BD191)/2*IF($G$1="裂石",$AP191,$AN191)+IF($G$1="裂石",$AQ191*1.5,0))*(1+$BE191)*(1+$BF191)+(($BG191+$BH191)/2*IF($G$1="牵丝",$AP191,$AN191)+IF($G$1="牵丝",$AQ191*1.5,0))*(1+$BI191)*(1+$BJ191)+(($BK191+$BL191)/2*IF($G$1="破竹",$AP191,$AN191)+IF($G$1="破竹",$AQ191*1.5,0))*(1+$BM191)*(1+$BN191))*(1+$AR191)*$BQ191*$Q191*(1+IF(VLOOKUP($R191,武学奇术!$A:$ZZ,30,FALSE)="蓄力技",$B$21,0))*(1+IF(VLOOKUP($R191,武学奇术!$A:$ZZ,30,FALSE)="派生技",$B$20,0))*(1+$BW191)*(1+$BX191)</f>
        <v>0</v>
      </c>
      <c r="N191" s="46">
        <f>(($AU191*$AN191+$AO191)*(1+$AV191)*(1+$AW191)+($AZ191*IF($G$1="鸣金",$AP191,$AN191)+IF($G$1="鸣金",$AQ191*1.5,0))*(1+$BA191)*(1+$BB191)+($BD191*IF($G$1="裂石",$AP191,$AN191)+IF($G$1="裂石",$AQ191*1.5,0))*(1+$BE191)*(1+$BF191)+($BH191*IF($G$1="牵丝",$AP191,$AN191)+IF($G$1="牵丝",$AQ191*1.5,0))*(1+$BI191)*(1+$BJ191)+($BL191*IF($G$1="破竹",$AP191,$AN191)+IF($G$1="破竹",$AQ191*1.5,0))*(1+$BM191)*(1+$BN191))*(1+$AR191)*$BS191*$Q191*(1+IF(VLOOKUP($R191,武学奇术!$A:$ZZ,30,FALSE)="蓄力技",$B$21,0))*(1+IF(VLOOKUP($R191,武学奇术!$A:$ZZ,30,FALSE)="派生技",$B$20,0))*(1+$BW191)*(1+$BX191)</f>
        <v>0</v>
      </c>
      <c r="O191" s="46">
        <f>((($AT191+$AU191)/2*$AN191+$AO191)*(1+$AV191)*(1+$AW191)+(($AY191+$AZ191)/2*IF($G$1="鸣金",$AP191,$AN191)+IF($G$1="鸣金",$AQ191*1.5,0))*(1+$BA191)*(1+$BB191)+(($BC191+$BD191)/2*IF($G$1="裂石",$AP191,$AN191)+IF($G$1="裂石",$AQ191*1.5,0))*(1+$BE191)*(1+$BF191)+(($BG191+$BH191)/2*IF($G$1="牵丝",$AP191,$AN191)+IF($G$1="牵丝",$AQ191*1.5,0))*(1+$BI191)*(1+$BJ191)+(($BK191+$BL191)/2*IF($G$1="破竹",$AP191,$AN191)+IF($G$1="破竹",$AQ191*1.5,0))*(1+$BM191)*(1+$BN191))*(1+$AR191)*$Q191*(1+IF(VLOOKUP($R191,武学奇术!$A:$ZZ,30,FALSE)="蓄力技",$B$21,0))*(1+IF(VLOOKUP($R191,武学奇术!$A:$ZZ,30,FALSE)="派生技",$B$20,0))*(1+$BW191)*(1+$BX191)</f>
        <v>0</v>
      </c>
      <c r="P191" s="46">
        <f>((($AT191*$AN191+$AO191)*(1+$AV191)*(1+$AW191)+($AY191*IF($G$1="鸣金",$AP191,$AN191)+IF($G$1="鸣金",$AQ191*1.5,0))*(1+$BA191)*(1+$BB191)+($BC191*IF($G$1="裂石",$AP191,$AN191)+IF($G$1="裂石",$AQ191*1.5,0))*(1+$BE191)*(1+$BF191)+($BG191*IF($G$1="牵丝",$AP191,$AN191)+IF($G$1="牵丝",$AQ191*1.5,0))*(1+$BI191)*(1+$BJ191)+($BK191*IF($G$1="破竹",$AP191,$AN191)+IF($G$1="破竹",$AQ191*1.5,0))*(1+$BM191)*(1+$BN191))*(1+$AR191))*$Q191*(1+IF(VLOOKUP($R191,武学奇术!$A:$ZZ,30,FALSE)="蓄力技",$B$21,0))*(1+IF(VLOOKUP($R191,武学奇术!$A:$ZZ,30,FALSE)="派生技",$B$20,0))*(1+$BW191)*(1+$BX191)</f>
        <v>0</v>
      </c>
      <c r="Q191" s="47">
        <f t="shared" si="47"/>
        <v>0</v>
      </c>
      <c r="R191" s="48" t="s">
        <v>122</v>
      </c>
      <c r="S191" s="48" t="s">
        <v>99</v>
      </c>
      <c r="T191" s="48" t="s">
        <v>182</v>
      </c>
      <c r="U191" s="48" t="s">
        <v>79</v>
      </c>
      <c r="V191" s="48" t="s">
        <v>90</v>
      </c>
      <c r="W191" s="48" t="s">
        <v>141</v>
      </c>
      <c r="X191" s="48" t="s">
        <v>80</v>
      </c>
      <c r="Y191" s="48" t="s">
        <v>74</v>
      </c>
      <c r="Z191" s="48" t="s">
        <v>80</v>
      </c>
      <c r="AA191" s="48" t="s">
        <v>80</v>
      </c>
      <c r="AB191" s="48" t="s">
        <v>80</v>
      </c>
      <c r="AC191" s="48" t="s">
        <v>80</v>
      </c>
      <c r="AD191" s="48" t="s">
        <v>80</v>
      </c>
      <c r="AE191" s="48" t="s">
        <v>80</v>
      </c>
      <c r="AF191" s="48" t="s">
        <v>83</v>
      </c>
      <c r="AG191" s="48" t="s">
        <v>84</v>
      </c>
      <c r="AH191" s="48" t="s">
        <v>80</v>
      </c>
      <c r="AI191" s="48" t="s">
        <v>80</v>
      </c>
      <c r="AJ191" s="48" t="s">
        <v>80</v>
      </c>
      <c r="AK191" s="48" t="s">
        <v>80</v>
      </c>
      <c r="AL191" s="48" t="s">
        <v>80</v>
      </c>
      <c r="AM191" t="str">
        <f>VLOOKUP($R191,武学奇术!$A:$ZZ,25,FALSE)</f>
        <v>横刀</v>
      </c>
      <c r="AN191" s="33">
        <f>VLOOKUP($R191,武学奇术!$A:$ZZ,26,FALSE)</f>
        <v>1.47</v>
      </c>
      <c r="AO191" s="34">
        <f>VLOOKUP($R191,武学奇术!$A:$ZZ,27,FALSE)*(1+IF(OR($AM191=$F$4,$AM191=$F$5),$B$22,0))</f>
        <v>0</v>
      </c>
      <c r="AP191" s="33">
        <f>VLOOKUP($R191,武学奇术!$A:$ZZ,28,FALSE)</f>
        <v>2.205</v>
      </c>
      <c r="AQ191" s="34">
        <f>VLOOKUP($R191,武学奇术!$A:$ZZ,29,FALSE)*(1+IF(OR($AM191=$F$4,$AM191=$F$5),$B$22,0))</f>
        <v>0</v>
      </c>
      <c r="AR191" s="33" cm="1">
        <f t="array" ref="AR191">$G$3+IFERROR(VLOOKUP($AM191,$F$4:$G$7,2,FALSE),0)+VLOOKUP($R191,武学奇术!$A:$ZZ,2,FALSE)+SUM(_xlfn.XLOOKUP($S191:$AL191,增益!$A:$A,增益!$B:$B,0))</f>
        <v>0.5289</v>
      </c>
      <c r="AS191" s="33" cm="1">
        <f t="array" ref="AS191">VLOOKUP($R191,武学奇术!$A:$ZZ,5,FALSE)+SUM(_xlfn.XLOOKUP($S191:$AL191,增益!$A:$A,增益!$E:$E,0))</f>
        <v>0</v>
      </c>
      <c r="AT191" cm="1">
        <f t="array" ref="AT191">$D$10*(1+$AS191)+VLOOKUP($R191,武学奇术!$A:$ZZ,3,FALSE)+SUM(_xlfn.XLOOKUP($S191:$AL191,增益!$A:$A,增益!$C:$C,0))-$I$2</f>
        <v>4026</v>
      </c>
      <c r="AU191" cm="1">
        <f t="array" ref="AU191">$E$10*(1+$AS191)+VLOOKUP($R191,武学奇术!$A:$ZZ,4,FALSE)+SUM(_xlfn.XLOOKUP($S191:$AL191,增益!$A:$A,增益!$D:$D,0))-$I$2</f>
        <v>4026</v>
      </c>
      <c r="AV191" s="40" cm="1">
        <f t="array" ref="AV191">IF($F$10-$I$3+VLOOKUP($R191,武学奇术!$A:$ZZ,6,FALSE)+SUM(_xlfn.XLOOKUP($S191:$AL191,增益!$A:$A,增益!$F:$F,0))&gt;0,($F$10-$I$3+VLOOKUP($R191,武学奇术!$A:$ZZ,6,FALSE)+SUM(_xlfn.XLOOKUP($S191:$AL191,增益!$A:$A,增益!$F:$F,0)))/200,($F$10-$I$3+VLOOKUP($R191,武学奇术!$A:$ZZ,6,FALSE)+SUM(_xlfn.XLOOKUP($S191:$AL191,增益!$A:$A,增益!$F:$F,0)))/100)</f>
        <v>0.3534</v>
      </c>
      <c r="AW191" s="40" cm="1">
        <f t="array" ref="AW191">$G$10+VLOOKUP($R191,武学奇术!$A:$ZZ,7,FALSE)+SUM(_xlfn.XLOOKUP($S191:$AL191,增益!$A:$A,增益!$G:$G,0))</f>
        <v>0.12</v>
      </c>
      <c r="AX191" s="33" cm="1">
        <f t="array" ref="AX191">VLOOKUP($R191,武学奇术!$A:$ZZ,8,FALSE)+SUM(_xlfn.XLOOKUP($S191:$AL191,增益!$A:$A,增益!$H:$H,0))</f>
        <v>0</v>
      </c>
      <c r="AY191">
        <f t="shared" si="34"/>
        <v>0</v>
      </c>
      <c r="AZ191">
        <f t="shared" si="35"/>
        <v>0</v>
      </c>
      <c r="BA191" s="40" cm="1">
        <f t="array" ref="BA191">IF($F$11-$I$4+VLOOKUP($R191,武学奇术!$A:$ZZ,9,FALSE)+SUM(_xlfn.XLOOKUP($S191:$AL191,增益!$A:$A,增益!$I:$I,0))&gt;0,($F$11-$I$4+VLOOKUP($R191,武学奇术!$A:$ZZ,9,FALSE)+SUM(_xlfn.XLOOKUP($S191:$AL191,增益!$A:$A,增益!$I:$I,0)))/200,($F$11-$I$4+VLOOKUP($R191,武学奇术!$A:$ZZ,9,FALSE)+SUM(_xlfn.XLOOKUP($S191:$AL191,增益!$A:$A,增益!$I:$I,0)))/100)</f>
        <v>-0.14</v>
      </c>
      <c r="BB191" s="40" cm="1">
        <f t="array" ref="BB191">$G$11+VLOOKUP($R191,武学奇术!$A:$ZZ,10,FALSE)+SUM(_xlfn.XLOOKUP($S191:$AL191,增益!$A:$A,增益!$J:$J,0))</f>
        <v>0</v>
      </c>
      <c r="BC191">
        <f t="shared" si="36"/>
        <v>640.3</v>
      </c>
      <c r="BD191">
        <f t="shared" si="37"/>
        <v>1770.1</v>
      </c>
      <c r="BE191" s="40" cm="1">
        <f t="array" ref="BE191">IF($F$12-$I$4+VLOOKUP($R191,武学奇术!$A:$ZZ,11,FALSE)+SUM(_xlfn.XLOOKUP($S191:$AL191,增益!$A:$A,增益!$K:$K,0))&gt;0,($F$12-$I$4+VLOOKUP($R191,武学奇术!$A:$ZZ,11,FALSE)+SUM(_xlfn.XLOOKUP($S191:$AL191,增益!$A:$A,增益!$K:$K,0)))/200,($F$12-$I$4+VLOOKUP($R191,武学奇术!$A:$ZZ,11,FALSE)+SUM(_xlfn.XLOOKUP($S191:$AL191,增益!$A:$A,增益!$K:$K,0)))/100)</f>
        <v>0.17</v>
      </c>
      <c r="BF191" s="40" cm="1">
        <f t="array" ref="BF191">$G$12+VLOOKUP($R191,武学奇术!$A:$ZZ,12,FALSE)+SUM(_xlfn.XLOOKUP($S191:$AL191,增益!$A:$A,增益!$L:$L,0))</f>
        <v>0.27</v>
      </c>
      <c r="BG191">
        <f t="shared" si="38"/>
        <v>0</v>
      </c>
      <c r="BH191">
        <f t="shared" si="39"/>
        <v>0</v>
      </c>
      <c r="BI191" s="40" cm="1">
        <f t="array" ref="BI191">IF($F$13-$I$4+VLOOKUP($R191,武学奇术!$A:$ZZ,13,FALSE)+SUM(_xlfn.XLOOKUP($S191:$AL191,增益!$A:$A,增益!$M:$M,0))&gt;0,($F$13-$I$4+VLOOKUP($R191,武学奇术!$A:$ZZ,13,FALSE)+SUM(_xlfn.XLOOKUP($S191:$AL191,增益!$A:$A,增益!$K:$K,0)))/200,($F$13-$I$4+VLOOKUP($R191,武学奇术!$A:$ZZ,13,FALSE)+SUM(_xlfn.XLOOKUP($S191:$AL191,增益!$A:$A,增益!$M:$M,0)))/100)</f>
        <v>-0.14</v>
      </c>
      <c r="BJ191" s="40" cm="1">
        <f t="array" ref="BJ191">$G$13+VLOOKUP($R191,武学奇术!$A:$ZZ,14,FALSE)+SUM(_xlfn.XLOOKUP($S191:$AL191,增益!$A:$A,增益!$N:$N,0))</f>
        <v>0</v>
      </c>
      <c r="BK191">
        <f t="shared" si="40"/>
        <v>0</v>
      </c>
      <c r="BL191">
        <f t="shared" si="41"/>
        <v>0</v>
      </c>
      <c r="BM191" s="40" cm="1">
        <f t="array" ref="BM191">IF($F$14-$I$4+VLOOKUP($R191,武学奇术!$A:$ZZ,15,FALSE)+SUM(_xlfn.XLOOKUP($S191:$AL191,增益!$A:$A,增益!$O:$O,0))&gt;0,($F$14-$I$4+VLOOKUP($R191,武学奇术!$A:$ZZ,15,FALSE)+SUM(_xlfn.XLOOKUP($S191:$AL191,增益!$A:$A,增益!$O:$O,0)))/200,($F$14-$I$4+VLOOKUP($R191,武学奇术!$A:$ZZ,15,FALSE)+SUM(_xlfn.XLOOKUP($S191:$AL191,增益!$A:$A,增益!$O:$O,0)))/100)</f>
        <v>-0.14</v>
      </c>
      <c r="BN191" s="40" cm="1">
        <f t="array" ref="BN191">$G$14+VLOOKUP($R191,武学奇术!$A:$ZZ,16,FALSE)+SUM(_xlfn.XLOOKUP($S191:$AL191,增益!$A:$A,增益!$P:$P,0))</f>
        <v>0</v>
      </c>
      <c r="BO191" s="33">
        <f>MIN(IF(VLOOKUP($R191,武学奇术!$A:$ZZ,23,FALSE)=1,100%,$B$8),100%)</f>
        <v>0.9771</v>
      </c>
      <c r="BP191" s="33" cm="1">
        <f t="array" ref="BP191">IF(VLOOKUP($R191,武学奇术!$A:$ZZ,23,FALSE)=1,100%,MIN(80%,$B$9+VLOOKUP($R191,武学奇术!$A:$ZZ,17,FALSE)+SUM(_xlfn.XLOOKUP($S191:$AL191,增益!$A:$A,增益!$Q:$Q,0)))+$B$11+SUM(_xlfn.XLOOKUP($S191:$AL191,增益!$A:$A,增益!$U:$U,0)))*IF(VLOOKUP($R191,武学奇术!$A:$ZZ,24,FALSE)=1,0,1)</f>
        <v>0.8861</v>
      </c>
      <c r="BQ191" s="33" cm="1">
        <f t="array" ref="BQ191">1+$B$13+VLOOKUP($R191,武学奇术!$A:$ZZ,18,FALSE)+SUM(_xlfn.XLOOKUP($S191:$AL191,增益!$A:$A,增益!$R:$R,0))</f>
        <v>2</v>
      </c>
      <c r="BR191" s="33" cm="1">
        <f t="array" ref="BR191">IF(VLOOKUP($R191,武学奇术!$A:$ZZ,24,FALSE)=1,100%,MIN(40%,$B$10+VLOOKUP($R191,武学奇术!$A:$ZZ,19,FALSE)+SUM(_xlfn.XLOOKUP($S191:$AL191,增益!$A:$A,增益!$S:$S,0)))+$B$12+SUM(_xlfn.XLOOKUP($S191:$AL191,增益!$A:$A,增益!$V:$V,0)))*IF(VLOOKUP($R191,武学奇术!$A:$ZZ,23,FALSE)=1,0,1)</f>
        <v>0.0913</v>
      </c>
      <c r="BS191" s="33" cm="1">
        <f t="array" ref="BS191">1+$B$14+VLOOKUP($R191,武学奇术!$A:$ZZ,20,FALSE)+SUM(_xlfn.XLOOKUP($S191:$AL191,增益!$A:$A,增益!$T:$T,0))</f>
        <v>1.35</v>
      </c>
      <c r="BT191" s="33">
        <f t="shared" si="42"/>
        <v>0.86580831</v>
      </c>
      <c r="BU191" s="33">
        <f t="shared" si="43"/>
        <v>0.02208246</v>
      </c>
      <c r="BV191" s="33">
        <f>IF(VLOOKUP($R191,武学奇术!$A:$ZZ,22,FALSE)=1,0,(1-$BO191))*(1-$BR191)</f>
        <v>0.02080923</v>
      </c>
      <c r="BW191" s="33" cm="1">
        <f t="array" ref="BW191">SUM(_xlfn.XLOOKUP($S191:$AL191,增益!$A:$A,增益!$W:$W,0))+$I$5</f>
        <v>0.11</v>
      </c>
      <c r="BX191" s="33" cm="1">
        <f t="array" ref="BX191">VLOOKUP($R191,武学奇术!$A:$ZZ,32,FALSE)+SUM(_xlfn.XLOOKUP($S191:$AL191,增益!$A:$A,增益!$X:$X,0))</f>
        <v>0</v>
      </c>
    </row>
    <row r="192" spans="12:76">
      <c r="L192" s="46">
        <f t="shared" si="33"/>
        <v>0</v>
      </c>
      <c r="M192" s="46">
        <f>((($AT192+$AU192)/2*$AN192+$AO192)*(1+$AV192)*(1+$AW192)+(($AY192+$AZ192)/2*IF($G$1="鸣金",$AP192,$AN192)+IF($G$1="鸣金",$AQ192*1.5,0))*(1+$BA192)*(1+$BB192)+(($BC192+$BD192)/2*IF($G$1="裂石",$AP192,$AN192)+IF($G$1="裂石",$AQ192*1.5,0))*(1+$BE192)*(1+$BF192)+(($BG192+$BH192)/2*IF($G$1="牵丝",$AP192,$AN192)+IF($G$1="牵丝",$AQ192*1.5,0))*(1+$BI192)*(1+$BJ192)+(($BK192+$BL192)/2*IF($G$1="破竹",$AP192,$AN192)+IF($G$1="破竹",$AQ192*1.5,0))*(1+$BM192)*(1+$BN192))*(1+$AR192)*$BQ192*$Q192*(1+IF(VLOOKUP($R192,武学奇术!$A:$ZZ,30,FALSE)="蓄力技",$B$21,0))*(1+IF(VLOOKUP($R192,武学奇术!$A:$ZZ,30,FALSE)="派生技",$B$20,0))*(1+$BW192)*(1+$BX192)</f>
        <v>0</v>
      </c>
      <c r="N192" s="46">
        <f>(($AU192*$AN192+$AO192)*(1+$AV192)*(1+$AW192)+($AZ192*IF($G$1="鸣金",$AP192,$AN192)+IF($G$1="鸣金",$AQ192*1.5,0))*(1+$BA192)*(1+$BB192)+($BD192*IF($G$1="裂石",$AP192,$AN192)+IF($G$1="裂石",$AQ192*1.5,0))*(1+$BE192)*(1+$BF192)+($BH192*IF($G$1="牵丝",$AP192,$AN192)+IF($G$1="牵丝",$AQ192*1.5,0))*(1+$BI192)*(1+$BJ192)+($BL192*IF($G$1="破竹",$AP192,$AN192)+IF($G$1="破竹",$AQ192*1.5,0))*(1+$BM192)*(1+$BN192))*(1+$AR192)*$BS192*$Q192*(1+IF(VLOOKUP($R192,武学奇术!$A:$ZZ,30,FALSE)="蓄力技",$B$21,0))*(1+IF(VLOOKUP($R192,武学奇术!$A:$ZZ,30,FALSE)="派生技",$B$20,0))*(1+$BW192)*(1+$BX192)</f>
        <v>0</v>
      </c>
      <c r="O192" s="46">
        <f>((($AT192+$AU192)/2*$AN192+$AO192)*(1+$AV192)*(1+$AW192)+(($AY192+$AZ192)/2*IF($G$1="鸣金",$AP192,$AN192)+IF($G$1="鸣金",$AQ192*1.5,0))*(1+$BA192)*(1+$BB192)+(($BC192+$BD192)/2*IF($G$1="裂石",$AP192,$AN192)+IF($G$1="裂石",$AQ192*1.5,0))*(1+$BE192)*(1+$BF192)+(($BG192+$BH192)/2*IF($G$1="牵丝",$AP192,$AN192)+IF($G$1="牵丝",$AQ192*1.5,0))*(1+$BI192)*(1+$BJ192)+(($BK192+$BL192)/2*IF($G$1="破竹",$AP192,$AN192)+IF($G$1="破竹",$AQ192*1.5,0))*(1+$BM192)*(1+$BN192))*(1+$AR192)*$Q192*(1+IF(VLOOKUP($R192,武学奇术!$A:$ZZ,30,FALSE)="蓄力技",$B$21,0))*(1+IF(VLOOKUP($R192,武学奇术!$A:$ZZ,30,FALSE)="派生技",$B$20,0))*(1+$BW192)*(1+$BX192)</f>
        <v>0</v>
      </c>
      <c r="P192" s="46">
        <f>((($AT192*$AN192+$AO192)*(1+$AV192)*(1+$AW192)+($AY192*IF($G$1="鸣金",$AP192,$AN192)+IF($G$1="鸣金",$AQ192*1.5,0))*(1+$BA192)*(1+$BB192)+($BC192*IF($G$1="裂石",$AP192,$AN192)+IF($G$1="裂石",$AQ192*1.5,0))*(1+$BE192)*(1+$BF192)+($BG192*IF($G$1="牵丝",$AP192,$AN192)+IF($G$1="牵丝",$AQ192*1.5,0))*(1+$BI192)*(1+$BJ192)+($BK192*IF($G$1="破竹",$AP192,$AN192)+IF($G$1="破竹",$AQ192*1.5,0))*(1+$BM192)*(1+$BN192))*(1+$AR192))*$Q192*(1+IF(VLOOKUP($R192,武学奇术!$A:$ZZ,30,FALSE)="蓄力技",$B$21,0))*(1+IF(VLOOKUP($R192,武学奇术!$A:$ZZ,30,FALSE)="派生技",$B$20,0))*(1+$BW192)*(1+$BX192)</f>
        <v>0</v>
      </c>
      <c r="Q192" s="47">
        <f t="shared" ref="Q192:Q194" si="48">IF($E$24="唐刀",3,0)</f>
        <v>0</v>
      </c>
      <c r="R192" s="48" t="s">
        <v>195</v>
      </c>
      <c r="S192" s="48" t="s">
        <v>99</v>
      </c>
      <c r="T192" s="48" t="s">
        <v>182</v>
      </c>
      <c r="U192" s="48" t="s">
        <v>79</v>
      </c>
      <c r="V192" s="48" t="s">
        <v>90</v>
      </c>
      <c r="W192" s="48" t="s">
        <v>141</v>
      </c>
      <c r="X192" s="48" t="s">
        <v>80</v>
      </c>
      <c r="Y192" s="48" t="s">
        <v>74</v>
      </c>
      <c r="Z192" s="48" t="s">
        <v>80</v>
      </c>
      <c r="AA192" s="48" t="s">
        <v>80</v>
      </c>
      <c r="AB192" s="48" t="s">
        <v>80</v>
      </c>
      <c r="AC192" s="48" t="s">
        <v>80</v>
      </c>
      <c r="AD192" s="48" t="s">
        <v>80</v>
      </c>
      <c r="AE192" s="48" t="s">
        <v>80</v>
      </c>
      <c r="AF192" s="48" t="s">
        <v>83</v>
      </c>
      <c r="AG192" s="48" t="s">
        <v>84</v>
      </c>
      <c r="AH192" s="48" t="s">
        <v>80</v>
      </c>
      <c r="AI192" s="48" t="s">
        <v>80</v>
      </c>
      <c r="AJ192" s="48" t="s">
        <v>80</v>
      </c>
      <c r="AK192" s="48" t="s">
        <v>80</v>
      </c>
      <c r="AL192" s="48" t="s">
        <v>80</v>
      </c>
      <c r="AM192" t="str">
        <f>VLOOKUP($R192,武学奇术!$A:$ZZ,25,FALSE)</f>
        <v>横刀</v>
      </c>
      <c r="AN192" s="33">
        <f>VLOOKUP($R192,武学奇术!$A:$ZZ,26,FALSE)</f>
        <v>3.6553</v>
      </c>
      <c r="AO192" s="34">
        <f>VLOOKUP($R192,武学奇术!$A:$ZZ,27,FALSE)*(1+IF(OR($AM192=$F$4,$AM192=$F$5),$B$22,0))</f>
        <v>1619.2</v>
      </c>
      <c r="AP192" s="33">
        <f>VLOOKUP($R192,武学奇术!$A:$ZZ,28,FALSE)</f>
        <v>5.4829</v>
      </c>
      <c r="AQ192" s="34">
        <f>VLOOKUP($R192,武学奇术!$A:$ZZ,29,FALSE)*(1+IF(OR($AM192=$F$4,$AM192=$F$5),$B$22,0))</f>
        <v>880</v>
      </c>
      <c r="AR192" s="33" cm="1">
        <f t="array" ref="AR192">$G$3+IFERROR(VLOOKUP($AM192,$F$4:$G$7,2,FALSE),0)+VLOOKUP($R192,武学奇术!$A:$ZZ,2,FALSE)+SUM(_xlfn.XLOOKUP($S192:$AL192,增益!$A:$A,增益!$B:$B,0))</f>
        <v>0.6289</v>
      </c>
      <c r="AS192" s="33" cm="1">
        <f t="array" ref="AS192">VLOOKUP($R192,武学奇术!$A:$ZZ,5,FALSE)+SUM(_xlfn.XLOOKUP($S192:$AL192,增益!$A:$A,增益!$E:$E,0))</f>
        <v>0</v>
      </c>
      <c r="AT192" cm="1">
        <f t="array" ref="AT192">$D$10*(1+$AS192)+VLOOKUP($R192,武学奇术!$A:$ZZ,3,FALSE)+SUM(_xlfn.XLOOKUP($S192:$AL192,增益!$A:$A,增益!$C:$C,0))-$I$2</f>
        <v>4026</v>
      </c>
      <c r="AU192" cm="1">
        <f t="array" ref="AU192">$E$10*(1+$AS192)+VLOOKUP($R192,武学奇术!$A:$ZZ,4,FALSE)+SUM(_xlfn.XLOOKUP($S192:$AL192,增益!$A:$A,增益!$D:$D,0))-$I$2</f>
        <v>4026</v>
      </c>
      <c r="AV192" s="40" cm="1">
        <f t="array" ref="AV192">IF($F$10-$I$3+VLOOKUP($R192,武学奇术!$A:$ZZ,6,FALSE)+SUM(_xlfn.XLOOKUP($S192:$AL192,增益!$A:$A,增益!$F:$F,0))&gt;0,($F$10-$I$3+VLOOKUP($R192,武学奇术!$A:$ZZ,6,FALSE)+SUM(_xlfn.XLOOKUP($S192:$AL192,增益!$A:$A,增益!$F:$F,0)))/200,($F$10-$I$3+VLOOKUP($R192,武学奇术!$A:$ZZ,6,FALSE)+SUM(_xlfn.XLOOKUP($S192:$AL192,增益!$A:$A,增益!$F:$F,0)))/100)</f>
        <v>0.3534</v>
      </c>
      <c r="AW192" s="40" cm="1">
        <f t="array" ref="AW192">$G$10+VLOOKUP($R192,武学奇术!$A:$ZZ,7,FALSE)+SUM(_xlfn.XLOOKUP($S192:$AL192,增益!$A:$A,增益!$G:$G,0))</f>
        <v>0.12</v>
      </c>
      <c r="AX192" s="33" cm="1">
        <f t="array" ref="AX192">VLOOKUP($R192,武学奇术!$A:$ZZ,8,FALSE)+SUM(_xlfn.XLOOKUP($S192:$AL192,增益!$A:$A,增益!$H:$H,0))</f>
        <v>0</v>
      </c>
      <c r="AY192">
        <f t="shared" si="34"/>
        <v>0</v>
      </c>
      <c r="AZ192">
        <f t="shared" si="35"/>
        <v>0</v>
      </c>
      <c r="BA192" s="40" cm="1">
        <f t="array" ref="BA192">IF($F$11-$I$4+VLOOKUP($R192,武学奇术!$A:$ZZ,9,FALSE)+SUM(_xlfn.XLOOKUP($S192:$AL192,增益!$A:$A,增益!$I:$I,0))&gt;0,($F$11-$I$4+VLOOKUP($R192,武学奇术!$A:$ZZ,9,FALSE)+SUM(_xlfn.XLOOKUP($S192:$AL192,增益!$A:$A,增益!$I:$I,0)))/200,($F$11-$I$4+VLOOKUP($R192,武学奇术!$A:$ZZ,9,FALSE)+SUM(_xlfn.XLOOKUP($S192:$AL192,增益!$A:$A,增益!$I:$I,0)))/100)</f>
        <v>-0.14</v>
      </c>
      <c r="BB192" s="40" cm="1">
        <f t="array" ref="BB192">$G$11+VLOOKUP($R192,武学奇术!$A:$ZZ,10,FALSE)+SUM(_xlfn.XLOOKUP($S192:$AL192,增益!$A:$A,增益!$J:$J,0))</f>
        <v>0</v>
      </c>
      <c r="BC192">
        <f t="shared" si="36"/>
        <v>640.3</v>
      </c>
      <c r="BD192">
        <f t="shared" si="37"/>
        <v>1770.1</v>
      </c>
      <c r="BE192" s="40" cm="1">
        <f t="array" ref="BE192">IF($F$12-$I$4+VLOOKUP($R192,武学奇术!$A:$ZZ,11,FALSE)+SUM(_xlfn.XLOOKUP($S192:$AL192,增益!$A:$A,增益!$K:$K,0))&gt;0,($F$12-$I$4+VLOOKUP($R192,武学奇术!$A:$ZZ,11,FALSE)+SUM(_xlfn.XLOOKUP($S192:$AL192,增益!$A:$A,增益!$K:$K,0)))/200,($F$12-$I$4+VLOOKUP($R192,武学奇术!$A:$ZZ,11,FALSE)+SUM(_xlfn.XLOOKUP($S192:$AL192,增益!$A:$A,增益!$K:$K,0)))/100)</f>
        <v>0.17</v>
      </c>
      <c r="BF192" s="40" cm="1">
        <f t="array" ref="BF192">$G$12+VLOOKUP($R192,武学奇术!$A:$ZZ,12,FALSE)+SUM(_xlfn.XLOOKUP($S192:$AL192,增益!$A:$A,增益!$L:$L,0))</f>
        <v>0.27</v>
      </c>
      <c r="BG192">
        <f t="shared" si="38"/>
        <v>0</v>
      </c>
      <c r="BH192">
        <f t="shared" si="39"/>
        <v>0</v>
      </c>
      <c r="BI192" s="40" cm="1">
        <f t="array" ref="BI192">IF($F$13-$I$4+VLOOKUP($R192,武学奇术!$A:$ZZ,13,FALSE)+SUM(_xlfn.XLOOKUP($S192:$AL192,增益!$A:$A,增益!$M:$M,0))&gt;0,($F$13-$I$4+VLOOKUP($R192,武学奇术!$A:$ZZ,13,FALSE)+SUM(_xlfn.XLOOKUP($S192:$AL192,增益!$A:$A,增益!$K:$K,0)))/200,($F$13-$I$4+VLOOKUP($R192,武学奇术!$A:$ZZ,13,FALSE)+SUM(_xlfn.XLOOKUP($S192:$AL192,增益!$A:$A,增益!$M:$M,0)))/100)</f>
        <v>-0.14</v>
      </c>
      <c r="BJ192" s="40" cm="1">
        <f t="array" ref="BJ192">$G$13+VLOOKUP($R192,武学奇术!$A:$ZZ,14,FALSE)+SUM(_xlfn.XLOOKUP($S192:$AL192,增益!$A:$A,增益!$N:$N,0))</f>
        <v>0</v>
      </c>
      <c r="BK192">
        <f t="shared" si="40"/>
        <v>0</v>
      </c>
      <c r="BL192">
        <f t="shared" si="41"/>
        <v>0</v>
      </c>
      <c r="BM192" s="40" cm="1">
        <f t="array" ref="BM192">IF($F$14-$I$4+VLOOKUP($R192,武学奇术!$A:$ZZ,15,FALSE)+SUM(_xlfn.XLOOKUP($S192:$AL192,增益!$A:$A,增益!$O:$O,0))&gt;0,($F$14-$I$4+VLOOKUP($R192,武学奇术!$A:$ZZ,15,FALSE)+SUM(_xlfn.XLOOKUP($S192:$AL192,增益!$A:$A,增益!$O:$O,0)))/200,($F$14-$I$4+VLOOKUP($R192,武学奇术!$A:$ZZ,15,FALSE)+SUM(_xlfn.XLOOKUP($S192:$AL192,增益!$A:$A,增益!$O:$O,0)))/100)</f>
        <v>-0.14</v>
      </c>
      <c r="BN192" s="40" cm="1">
        <f t="array" ref="BN192">$G$14+VLOOKUP($R192,武学奇术!$A:$ZZ,16,FALSE)+SUM(_xlfn.XLOOKUP($S192:$AL192,增益!$A:$A,增益!$P:$P,0))</f>
        <v>0</v>
      </c>
      <c r="BO192" s="33">
        <f>MIN(IF(VLOOKUP($R192,武学奇术!$A:$ZZ,23,FALSE)=1,100%,$B$8),100%)</f>
        <v>0.9771</v>
      </c>
      <c r="BP192" s="33" cm="1">
        <f t="array" ref="BP192">IF(VLOOKUP($R192,武学奇术!$A:$ZZ,23,FALSE)=1,100%,MIN(80%,$B$9+VLOOKUP($R192,武学奇术!$A:$ZZ,17,FALSE)+SUM(_xlfn.XLOOKUP($S192:$AL192,增益!$A:$A,增益!$Q:$Q,0)))+$B$11+SUM(_xlfn.XLOOKUP($S192:$AL192,增益!$A:$A,增益!$U:$U,0)))*IF(VLOOKUP($R192,武学奇术!$A:$ZZ,24,FALSE)=1,0,1)</f>
        <v>0.8861</v>
      </c>
      <c r="BQ192" s="33" cm="1">
        <f t="array" ref="BQ192">1+$B$13+VLOOKUP($R192,武学奇术!$A:$ZZ,18,FALSE)+SUM(_xlfn.XLOOKUP($S192:$AL192,增益!$A:$A,增益!$R:$R,0))</f>
        <v>2</v>
      </c>
      <c r="BR192" s="33" cm="1">
        <f t="array" ref="BR192">IF(VLOOKUP($R192,武学奇术!$A:$ZZ,24,FALSE)=1,100%,MIN(40%,$B$10+VLOOKUP($R192,武学奇术!$A:$ZZ,19,FALSE)+SUM(_xlfn.XLOOKUP($S192:$AL192,增益!$A:$A,增益!$S:$S,0)))+$B$12+SUM(_xlfn.XLOOKUP($S192:$AL192,增益!$A:$A,增益!$V:$V,0)))*IF(VLOOKUP($R192,武学奇术!$A:$ZZ,23,FALSE)=1,0,1)</f>
        <v>0.0913</v>
      </c>
      <c r="BS192" s="33" cm="1">
        <f t="array" ref="BS192">1+$B$14+VLOOKUP($R192,武学奇术!$A:$ZZ,20,FALSE)+SUM(_xlfn.XLOOKUP($S192:$AL192,增益!$A:$A,增益!$T:$T,0))</f>
        <v>1.35</v>
      </c>
      <c r="BT192" s="33">
        <f t="shared" si="42"/>
        <v>0.86580831</v>
      </c>
      <c r="BU192" s="33">
        <f t="shared" si="43"/>
        <v>0.02208246</v>
      </c>
      <c r="BV192" s="33">
        <f>IF(VLOOKUP($R192,武学奇术!$A:$ZZ,22,FALSE)=1,0,(1-$BO192))*(1-$BR192)</f>
        <v>0.02080923</v>
      </c>
      <c r="BW192" s="33" cm="1">
        <f t="array" ref="BW192">SUM(_xlfn.XLOOKUP($S192:$AL192,增益!$A:$A,增益!$W:$W,0))+$I$5</f>
        <v>0.11</v>
      </c>
      <c r="BX192" s="33" cm="1">
        <f t="array" ref="BX192">VLOOKUP($R192,武学奇术!$A:$ZZ,32,FALSE)+SUM(_xlfn.XLOOKUP($S192:$AL192,增益!$A:$A,增益!$X:$X,0))</f>
        <v>0</v>
      </c>
    </row>
    <row r="193" spans="12:76">
      <c r="L193" s="46">
        <f t="shared" si="33"/>
        <v>0</v>
      </c>
      <c r="M193" s="46">
        <f>((($AT193+$AU193)/2*$AN193+$AO193)*(1+$AV193)*(1+$AW193)+(($AY193+$AZ193)/2*IF($G$1="鸣金",$AP193,$AN193)+IF($G$1="鸣金",$AQ193*1.5,0))*(1+$BA193)*(1+$BB193)+(($BC193+$BD193)/2*IF($G$1="裂石",$AP193,$AN193)+IF($G$1="裂石",$AQ193*1.5,0))*(1+$BE193)*(1+$BF193)+(($BG193+$BH193)/2*IF($G$1="牵丝",$AP193,$AN193)+IF($G$1="牵丝",$AQ193*1.5,0))*(1+$BI193)*(1+$BJ193)+(($BK193+$BL193)/2*IF($G$1="破竹",$AP193,$AN193)+IF($G$1="破竹",$AQ193*1.5,0))*(1+$BM193)*(1+$BN193))*(1+$AR193)*$BQ193*$Q193*(1+IF(VLOOKUP($R193,武学奇术!$A:$ZZ,30,FALSE)="蓄力技",$B$21,0))*(1+IF(VLOOKUP($R193,武学奇术!$A:$ZZ,30,FALSE)="派生技",$B$20,0))*(1+$BW193)*(1+$BX193)</f>
        <v>0</v>
      </c>
      <c r="N193" s="46">
        <f>(($AU193*$AN193+$AO193)*(1+$AV193)*(1+$AW193)+($AZ193*IF($G$1="鸣金",$AP193,$AN193)+IF($G$1="鸣金",$AQ193*1.5,0))*(1+$BA193)*(1+$BB193)+($BD193*IF($G$1="裂石",$AP193,$AN193)+IF($G$1="裂石",$AQ193*1.5,0))*(1+$BE193)*(1+$BF193)+($BH193*IF($G$1="牵丝",$AP193,$AN193)+IF($G$1="牵丝",$AQ193*1.5,0))*(1+$BI193)*(1+$BJ193)+($BL193*IF($G$1="破竹",$AP193,$AN193)+IF($G$1="破竹",$AQ193*1.5,0))*(1+$BM193)*(1+$BN193))*(1+$AR193)*$BS193*$Q193*(1+IF(VLOOKUP($R193,武学奇术!$A:$ZZ,30,FALSE)="蓄力技",$B$21,0))*(1+IF(VLOOKUP($R193,武学奇术!$A:$ZZ,30,FALSE)="派生技",$B$20,0))*(1+$BW193)*(1+$BX193)</f>
        <v>0</v>
      </c>
      <c r="O193" s="46">
        <f>((($AT193+$AU193)/2*$AN193+$AO193)*(1+$AV193)*(1+$AW193)+(($AY193+$AZ193)/2*IF($G$1="鸣金",$AP193,$AN193)+IF($G$1="鸣金",$AQ193*1.5,0))*(1+$BA193)*(1+$BB193)+(($BC193+$BD193)/2*IF($G$1="裂石",$AP193,$AN193)+IF($G$1="裂石",$AQ193*1.5,0))*(1+$BE193)*(1+$BF193)+(($BG193+$BH193)/2*IF($G$1="牵丝",$AP193,$AN193)+IF($G$1="牵丝",$AQ193*1.5,0))*(1+$BI193)*(1+$BJ193)+(($BK193+$BL193)/2*IF($G$1="破竹",$AP193,$AN193)+IF($G$1="破竹",$AQ193*1.5,0))*(1+$BM193)*(1+$BN193))*(1+$AR193)*$Q193*(1+IF(VLOOKUP($R193,武学奇术!$A:$ZZ,30,FALSE)="蓄力技",$B$21,0))*(1+IF(VLOOKUP($R193,武学奇术!$A:$ZZ,30,FALSE)="派生技",$B$20,0))*(1+$BW193)*(1+$BX193)</f>
        <v>0</v>
      </c>
      <c r="P193" s="46">
        <f>((($AT193*$AN193+$AO193)*(1+$AV193)*(1+$AW193)+($AY193*IF($G$1="鸣金",$AP193,$AN193)+IF($G$1="鸣金",$AQ193*1.5,0))*(1+$BA193)*(1+$BB193)+($BC193*IF($G$1="裂石",$AP193,$AN193)+IF($G$1="裂石",$AQ193*1.5,0))*(1+$BE193)*(1+$BF193)+($BG193*IF($G$1="牵丝",$AP193,$AN193)+IF($G$1="牵丝",$AQ193*1.5,0))*(1+$BI193)*(1+$BJ193)+($BK193*IF($G$1="破竹",$AP193,$AN193)+IF($G$1="破竹",$AQ193*1.5,0))*(1+$BM193)*(1+$BN193))*(1+$AR193))*$Q193*(1+IF(VLOOKUP($R193,武学奇术!$A:$ZZ,30,FALSE)="蓄力技",$B$21,0))*(1+IF(VLOOKUP($R193,武学奇术!$A:$ZZ,30,FALSE)="派生技",$B$20,0))*(1+$BW193)*(1+$BX193)</f>
        <v>0</v>
      </c>
      <c r="Q193" s="47">
        <f t="shared" si="48"/>
        <v>0</v>
      </c>
      <c r="R193" s="48" t="s">
        <v>196</v>
      </c>
      <c r="S193" s="48" t="s">
        <v>99</v>
      </c>
      <c r="T193" s="48" t="s">
        <v>182</v>
      </c>
      <c r="U193" s="48" t="s">
        <v>79</v>
      </c>
      <c r="V193" s="48" t="s">
        <v>90</v>
      </c>
      <c r="W193" s="48" t="s">
        <v>141</v>
      </c>
      <c r="X193" s="48" t="s">
        <v>80</v>
      </c>
      <c r="Y193" s="48" t="s">
        <v>74</v>
      </c>
      <c r="Z193" s="48" t="s">
        <v>80</v>
      </c>
      <c r="AA193" s="48" t="s">
        <v>80</v>
      </c>
      <c r="AB193" s="48" t="s">
        <v>80</v>
      </c>
      <c r="AC193" s="48" t="s">
        <v>80</v>
      </c>
      <c r="AD193" s="48" t="s">
        <v>80</v>
      </c>
      <c r="AE193" s="48" t="s">
        <v>80</v>
      </c>
      <c r="AF193" s="48" t="s">
        <v>83</v>
      </c>
      <c r="AG193" s="48" t="s">
        <v>84</v>
      </c>
      <c r="AH193" s="48" t="s">
        <v>80</v>
      </c>
      <c r="AI193" s="48" t="s">
        <v>80</v>
      </c>
      <c r="AJ193" s="48" t="s">
        <v>80</v>
      </c>
      <c r="AK193" s="48" t="s">
        <v>80</v>
      </c>
      <c r="AL193" s="48" t="s">
        <v>80</v>
      </c>
      <c r="AM193" t="str">
        <f>VLOOKUP($R193,武学奇术!$A:$ZZ,25,FALSE)</f>
        <v>横刀</v>
      </c>
      <c r="AN193" s="33">
        <f>VLOOKUP($R193,武学奇术!$A:$ZZ,26,FALSE)</f>
        <v>1.47</v>
      </c>
      <c r="AO193" s="34">
        <f>VLOOKUP($R193,武学奇术!$A:$ZZ,27,FALSE)*(1+IF(OR($AM193=$F$4,$AM193=$F$5),$B$22,0))</f>
        <v>0</v>
      </c>
      <c r="AP193" s="33">
        <f>VLOOKUP($R193,武学奇术!$A:$ZZ,28,FALSE)</f>
        <v>2.205</v>
      </c>
      <c r="AQ193" s="34">
        <f>VLOOKUP($R193,武学奇术!$A:$ZZ,29,FALSE)*(1+IF(OR($AM193=$F$4,$AM193=$F$5),$B$22,0))</f>
        <v>0</v>
      </c>
      <c r="AR193" s="33" cm="1">
        <f t="array" ref="AR193">$G$3+IFERROR(VLOOKUP($AM193,$F$4:$G$7,2,FALSE),0)+VLOOKUP($R193,武学奇术!$A:$ZZ,2,FALSE)+SUM(_xlfn.XLOOKUP($S193:$AL193,增益!$A:$A,增益!$B:$B,0))</f>
        <v>0.5289</v>
      </c>
      <c r="AS193" s="33" cm="1">
        <f t="array" ref="AS193">VLOOKUP($R193,武学奇术!$A:$ZZ,5,FALSE)+SUM(_xlfn.XLOOKUP($S193:$AL193,增益!$A:$A,增益!$E:$E,0))</f>
        <v>0</v>
      </c>
      <c r="AT193" cm="1">
        <f t="array" ref="AT193">$D$10*(1+$AS193)+VLOOKUP($R193,武学奇术!$A:$ZZ,3,FALSE)+SUM(_xlfn.XLOOKUP($S193:$AL193,增益!$A:$A,增益!$C:$C,0))-$I$2</f>
        <v>4026</v>
      </c>
      <c r="AU193" cm="1">
        <f t="array" ref="AU193">$E$10*(1+$AS193)+VLOOKUP($R193,武学奇术!$A:$ZZ,4,FALSE)+SUM(_xlfn.XLOOKUP($S193:$AL193,增益!$A:$A,增益!$D:$D,0))-$I$2</f>
        <v>4026</v>
      </c>
      <c r="AV193" s="40" cm="1">
        <f t="array" ref="AV193">IF($F$10-$I$3+VLOOKUP($R193,武学奇术!$A:$ZZ,6,FALSE)+SUM(_xlfn.XLOOKUP($S193:$AL193,增益!$A:$A,增益!$F:$F,0))&gt;0,($F$10-$I$3+VLOOKUP($R193,武学奇术!$A:$ZZ,6,FALSE)+SUM(_xlfn.XLOOKUP($S193:$AL193,增益!$A:$A,增益!$F:$F,0)))/200,($F$10-$I$3+VLOOKUP($R193,武学奇术!$A:$ZZ,6,FALSE)+SUM(_xlfn.XLOOKUP($S193:$AL193,增益!$A:$A,增益!$F:$F,0)))/100)</f>
        <v>0.3534</v>
      </c>
      <c r="AW193" s="40" cm="1">
        <f t="array" ref="AW193">$G$10+VLOOKUP($R193,武学奇术!$A:$ZZ,7,FALSE)+SUM(_xlfn.XLOOKUP($S193:$AL193,增益!$A:$A,增益!$G:$G,0))</f>
        <v>0.12</v>
      </c>
      <c r="AX193" s="33" cm="1">
        <f t="array" ref="AX193">VLOOKUP($R193,武学奇术!$A:$ZZ,8,FALSE)+SUM(_xlfn.XLOOKUP($S193:$AL193,增益!$A:$A,增益!$H:$H,0))</f>
        <v>0</v>
      </c>
      <c r="AY193">
        <f t="shared" si="34"/>
        <v>0</v>
      </c>
      <c r="AZ193">
        <f t="shared" si="35"/>
        <v>0</v>
      </c>
      <c r="BA193" s="40" cm="1">
        <f t="array" ref="BA193">IF($F$11-$I$4+VLOOKUP($R193,武学奇术!$A:$ZZ,9,FALSE)+SUM(_xlfn.XLOOKUP($S193:$AL193,增益!$A:$A,增益!$I:$I,0))&gt;0,($F$11-$I$4+VLOOKUP($R193,武学奇术!$A:$ZZ,9,FALSE)+SUM(_xlfn.XLOOKUP($S193:$AL193,增益!$A:$A,增益!$I:$I,0)))/200,($F$11-$I$4+VLOOKUP($R193,武学奇术!$A:$ZZ,9,FALSE)+SUM(_xlfn.XLOOKUP($S193:$AL193,增益!$A:$A,增益!$I:$I,0)))/100)</f>
        <v>-0.14</v>
      </c>
      <c r="BB193" s="40" cm="1">
        <f t="array" ref="BB193">$G$11+VLOOKUP($R193,武学奇术!$A:$ZZ,10,FALSE)+SUM(_xlfn.XLOOKUP($S193:$AL193,增益!$A:$A,增益!$J:$J,0))</f>
        <v>0</v>
      </c>
      <c r="BC193">
        <f t="shared" si="36"/>
        <v>640.3</v>
      </c>
      <c r="BD193">
        <f t="shared" si="37"/>
        <v>1770.1</v>
      </c>
      <c r="BE193" s="40" cm="1">
        <f t="array" ref="BE193">IF($F$12-$I$4+VLOOKUP($R193,武学奇术!$A:$ZZ,11,FALSE)+SUM(_xlfn.XLOOKUP($S193:$AL193,增益!$A:$A,增益!$K:$K,0))&gt;0,($F$12-$I$4+VLOOKUP($R193,武学奇术!$A:$ZZ,11,FALSE)+SUM(_xlfn.XLOOKUP($S193:$AL193,增益!$A:$A,增益!$K:$K,0)))/200,($F$12-$I$4+VLOOKUP($R193,武学奇术!$A:$ZZ,11,FALSE)+SUM(_xlfn.XLOOKUP($S193:$AL193,增益!$A:$A,增益!$K:$K,0)))/100)</f>
        <v>0.17</v>
      </c>
      <c r="BF193" s="40" cm="1">
        <f t="array" ref="BF193">$G$12+VLOOKUP($R193,武学奇术!$A:$ZZ,12,FALSE)+SUM(_xlfn.XLOOKUP($S193:$AL193,增益!$A:$A,增益!$L:$L,0))</f>
        <v>0.27</v>
      </c>
      <c r="BG193">
        <f t="shared" si="38"/>
        <v>0</v>
      </c>
      <c r="BH193">
        <f t="shared" si="39"/>
        <v>0</v>
      </c>
      <c r="BI193" s="40" cm="1">
        <f t="array" ref="BI193">IF($F$13-$I$4+VLOOKUP($R193,武学奇术!$A:$ZZ,13,FALSE)+SUM(_xlfn.XLOOKUP($S193:$AL193,增益!$A:$A,增益!$M:$M,0))&gt;0,($F$13-$I$4+VLOOKUP($R193,武学奇术!$A:$ZZ,13,FALSE)+SUM(_xlfn.XLOOKUP($S193:$AL193,增益!$A:$A,增益!$K:$K,0)))/200,($F$13-$I$4+VLOOKUP($R193,武学奇术!$A:$ZZ,13,FALSE)+SUM(_xlfn.XLOOKUP($S193:$AL193,增益!$A:$A,增益!$M:$M,0)))/100)</f>
        <v>-0.14</v>
      </c>
      <c r="BJ193" s="40" cm="1">
        <f t="array" ref="BJ193">$G$13+VLOOKUP($R193,武学奇术!$A:$ZZ,14,FALSE)+SUM(_xlfn.XLOOKUP($S193:$AL193,增益!$A:$A,增益!$N:$N,0))</f>
        <v>0</v>
      </c>
      <c r="BK193">
        <f t="shared" si="40"/>
        <v>0</v>
      </c>
      <c r="BL193">
        <f t="shared" si="41"/>
        <v>0</v>
      </c>
      <c r="BM193" s="40" cm="1">
        <f t="array" ref="BM193">IF($F$14-$I$4+VLOOKUP($R193,武学奇术!$A:$ZZ,15,FALSE)+SUM(_xlfn.XLOOKUP($S193:$AL193,增益!$A:$A,增益!$O:$O,0))&gt;0,($F$14-$I$4+VLOOKUP($R193,武学奇术!$A:$ZZ,15,FALSE)+SUM(_xlfn.XLOOKUP($S193:$AL193,增益!$A:$A,增益!$O:$O,0)))/200,($F$14-$I$4+VLOOKUP($R193,武学奇术!$A:$ZZ,15,FALSE)+SUM(_xlfn.XLOOKUP($S193:$AL193,增益!$A:$A,增益!$O:$O,0)))/100)</f>
        <v>-0.14</v>
      </c>
      <c r="BN193" s="40" cm="1">
        <f t="array" ref="BN193">$G$14+VLOOKUP($R193,武学奇术!$A:$ZZ,16,FALSE)+SUM(_xlfn.XLOOKUP($S193:$AL193,增益!$A:$A,增益!$P:$P,0))</f>
        <v>0</v>
      </c>
      <c r="BO193" s="33">
        <f>MIN(IF(VLOOKUP($R193,武学奇术!$A:$ZZ,23,FALSE)=1,100%,$B$8),100%)</f>
        <v>0.9771</v>
      </c>
      <c r="BP193" s="33" cm="1">
        <f t="array" ref="BP193">IF(VLOOKUP($R193,武学奇术!$A:$ZZ,23,FALSE)=1,100%,MIN(80%,$B$9+VLOOKUP($R193,武学奇术!$A:$ZZ,17,FALSE)+SUM(_xlfn.XLOOKUP($S193:$AL193,增益!$A:$A,增益!$Q:$Q,0)))+$B$11+SUM(_xlfn.XLOOKUP($S193:$AL193,增益!$A:$A,增益!$U:$U,0)))*IF(VLOOKUP($R193,武学奇术!$A:$ZZ,24,FALSE)=1,0,1)</f>
        <v>0.8861</v>
      </c>
      <c r="BQ193" s="33" cm="1">
        <f t="array" ref="BQ193">1+$B$13+VLOOKUP($R193,武学奇术!$A:$ZZ,18,FALSE)+SUM(_xlfn.XLOOKUP($S193:$AL193,增益!$A:$A,增益!$R:$R,0))</f>
        <v>2</v>
      </c>
      <c r="BR193" s="33" cm="1">
        <f t="array" ref="BR193">IF(VLOOKUP($R193,武学奇术!$A:$ZZ,24,FALSE)=1,100%,MIN(40%,$B$10+VLOOKUP($R193,武学奇术!$A:$ZZ,19,FALSE)+SUM(_xlfn.XLOOKUP($S193:$AL193,增益!$A:$A,增益!$S:$S,0)))+$B$12+SUM(_xlfn.XLOOKUP($S193:$AL193,增益!$A:$A,增益!$V:$V,0)))*IF(VLOOKUP($R193,武学奇术!$A:$ZZ,23,FALSE)=1,0,1)</f>
        <v>0.0913</v>
      </c>
      <c r="BS193" s="33" cm="1">
        <f t="array" ref="BS193">1+$B$14+VLOOKUP($R193,武学奇术!$A:$ZZ,20,FALSE)+SUM(_xlfn.XLOOKUP($S193:$AL193,增益!$A:$A,增益!$T:$T,0))</f>
        <v>1.35</v>
      </c>
      <c r="BT193" s="33">
        <f t="shared" si="42"/>
        <v>0.86580831</v>
      </c>
      <c r="BU193" s="33">
        <f t="shared" si="43"/>
        <v>0.02208246</v>
      </c>
      <c r="BV193" s="33">
        <f>IF(VLOOKUP($R193,武学奇术!$A:$ZZ,22,FALSE)=1,0,(1-$BO193))*(1-$BR193)</f>
        <v>0.02080923</v>
      </c>
      <c r="BW193" s="33" cm="1">
        <f t="array" ref="BW193">SUM(_xlfn.XLOOKUP($S193:$AL193,增益!$A:$A,增益!$W:$W,0))+$I$5</f>
        <v>0.11</v>
      </c>
      <c r="BX193" s="33" cm="1">
        <f t="array" ref="BX193">VLOOKUP($R193,武学奇术!$A:$ZZ,32,FALSE)+SUM(_xlfn.XLOOKUP($S193:$AL193,增益!$A:$A,增益!$X:$X,0))</f>
        <v>0.4</v>
      </c>
    </row>
    <row r="194" spans="12:76">
      <c r="L194" s="46">
        <f t="shared" ref="L194:L236" si="49">($M194*$BT194+$N194*$BR194+$O194*$BU194+$P194*$BV194)</f>
        <v>0</v>
      </c>
      <c r="M194" s="46">
        <f>((($AT194+$AU194)/2*$AN194+$AO194)*(1+$AV194)*(1+$AW194)+(($AY194+$AZ194)/2*IF($G$1="鸣金",$AP194,$AN194)+IF($G$1="鸣金",$AQ194*1.5,0))*(1+$BA194)*(1+$BB194)+(($BC194+$BD194)/2*IF($G$1="裂石",$AP194,$AN194)+IF($G$1="裂石",$AQ194*1.5,0))*(1+$BE194)*(1+$BF194)+(($BG194+$BH194)/2*IF($G$1="牵丝",$AP194,$AN194)+IF($G$1="牵丝",$AQ194*1.5,0))*(1+$BI194)*(1+$BJ194)+(($BK194+$BL194)/2*IF($G$1="破竹",$AP194,$AN194)+IF($G$1="破竹",$AQ194*1.5,0))*(1+$BM194)*(1+$BN194))*(1+$AR194)*$BQ194*$Q194*(1+IF(VLOOKUP($R194,武学奇术!$A:$ZZ,30,FALSE)="蓄力技",$B$21,0))*(1+IF(VLOOKUP($R194,武学奇术!$A:$ZZ,30,FALSE)="派生技",$B$20,0))*(1+$BW194)*(1+$BX194)</f>
        <v>0</v>
      </c>
      <c r="N194" s="46">
        <f>(($AU194*$AN194+$AO194)*(1+$AV194)*(1+$AW194)+($AZ194*IF($G$1="鸣金",$AP194,$AN194)+IF($G$1="鸣金",$AQ194*1.5,0))*(1+$BA194)*(1+$BB194)+($BD194*IF($G$1="裂石",$AP194,$AN194)+IF($G$1="裂石",$AQ194*1.5,0))*(1+$BE194)*(1+$BF194)+($BH194*IF($G$1="牵丝",$AP194,$AN194)+IF($G$1="牵丝",$AQ194*1.5,0))*(1+$BI194)*(1+$BJ194)+($BL194*IF($G$1="破竹",$AP194,$AN194)+IF($G$1="破竹",$AQ194*1.5,0))*(1+$BM194)*(1+$BN194))*(1+$AR194)*$BS194*$Q194*(1+IF(VLOOKUP($R194,武学奇术!$A:$ZZ,30,FALSE)="蓄力技",$B$21,0))*(1+IF(VLOOKUP($R194,武学奇术!$A:$ZZ,30,FALSE)="派生技",$B$20,0))*(1+$BW194)*(1+$BX194)</f>
        <v>0</v>
      </c>
      <c r="O194" s="46">
        <f>((($AT194+$AU194)/2*$AN194+$AO194)*(1+$AV194)*(1+$AW194)+(($AY194+$AZ194)/2*IF($G$1="鸣金",$AP194,$AN194)+IF($G$1="鸣金",$AQ194*1.5,0))*(1+$BA194)*(1+$BB194)+(($BC194+$BD194)/2*IF($G$1="裂石",$AP194,$AN194)+IF($G$1="裂石",$AQ194*1.5,0))*(1+$BE194)*(1+$BF194)+(($BG194+$BH194)/2*IF($G$1="牵丝",$AP194,$AN194)+IF($G$1="牵丝",$AQ194*1.5,0))*(1+$BI194)*(1+$BJ194)+(($BK194+$BL194)/2*IF($G$1="破竹",$AP194,$AN194)+IF($G$1="破竹",$AQ194*1.5,0))*(1+$BM194)*(1+$BN194))*(1+$AR194)*$Q194*(1+IF(VLOOKUP($R194,武学奇术!$A:$ZZ,30,FALSE)="蓄力技",$B$21,0))*(1+IF(VLOOKUP($R194,武学奇术!$A:$ZZ,30,FALSE)="派生技",$B$20,0))*(1+$BW194)*(1+$BX194)</f>
        <v>0</v>
      </c>
      <c r="P194" s="46">
        <f>((($AT194*$AN194+$AO194)*(1+$AV194)*(1+$AW194)+($AY194*IF($G$1="鸣金",$AP194,$AN194)+IF($G$1="鸣金",$AQ194*1.5,0))*(1+$BA194)*(1+$BB194)+($BC194*IF($G$1="裂石",$AP194,$AN194)+IF($G$1="裂石",$AQ194*1.5,0))*(1+$BE194)*(1+$BF194)+($BG194*IF($G$1="牵丝",$AP194,$AN194)+IF($G$1="牵丝",$AQ194*1.5,0))*(1+$BI194)*(1+$BJ194)+($BK194*IF($G$1="破竹",$AP194,$AN194)+IF($G$1="破竹",$AQ194*1.5,0))*(1+$BM194)*(1+$BN194))*(1+$AR194))*$Q194*(1+IF(VLOOKUP($R194,武学奇术!$A:$ZZ,30,FALSE)="蓄力技",$B$21,0))*(1+IF(VLOOKUP($R194,武学奇术!$A:$ZZ,30,FALSE)="派生技",$B$20,0))*(1+$BW194)*(1+$BX194)</f>
        <v>0</v>
      </c>
      <c r="Q194" s="47">
        <f t="shared" si="48"/>
        <v>0</v>
      </c>
      <c r="R194" s="48" t="s">
        <v>197</v>
      </c>
      <c r="S194" s="48" t="s">
        <v>99</v>
      </c>
      <c r="T194" s="48" t="s">
        <v>182</v>
      </c>
      <c r="U194" s="48" t="s">
        <v>79</v>
      </c>
      <c r="V194" s="48" t="s">
        <v>90</v>
      </c>
      <c r="W194" s="48" t="s">
        <v>91</v>
      </c>
      <c r="X194" s="48" t="s">
        <v>80</v>
      </c>
      <c r="Y194" s="48" t="s">
        <v>80</v>
      </c>
      <c r="Z194" s="48" t="s">
        <v>80</v>
      </c>
      <c r="AA194" s="48" t="s">
        <v>80</v>
      </c>
      <c r="AB194" s="48" t="s">
        <v>80</v>
      </c>
      <c r="AC194" s="48" t="s">
        <v>80</v>
      </c>
      <c r="AD194" s="48" t="s">
        <v>80</v>
      </c>
      <c r="AE194" s="48" t="s">
        <v>80</v>
      </c>
      <c r="AF194" s="48" t="s">
        <v>83</v>
      </c>
      <c r="AG194" s="48" t="s">
        <v>84</v>
      </c>
      <c r="AH194" s="48" t="s">
        <v>80</v>
      </c>
      <c r="AI194" s="48" t="s">
        <v>80</v>
      </c>
      <c r="AJ194" s="48" t="s">
        <v>80</v>
      </c>
      <c r="AK194" s="48" t="s">
        <v>80</v>
      </c>
      <c r="AL194" s="48" t="s">
        <v>80</v>
      </c>
      <c r="AM194" t="str">
        <f>VLOOKUP($R194,武学奇术!$A:$ZZ,25,FALSE)</f>
        <v>横刀</v>
      </c>
      <c r="AN194" s="33">
        <f>VLOOKUP($R194,武学奇术!$A:$ZZ,26,FALSE)</f>
        <v>2.4495</v>
      </c>
      <c r="AO194" s="34">
        <f>VLOOKUP($R194,武学奇术!$A:$ZZ,27,FALSE)*(1+IF(OR($AM194=$F$4,$AM194=$F$5),$B$22,0))</f>
        <v>1083.2</v>
      </c>
      <c r="AP194" s="33">
        <f>VLOOKUP($R194,武学奇术!$A:$ZZ,28,FALSE)</f>
        <v>3.6743</v>
      </c>
      <c r="AQ194" s="34">
        <f>VLOOKUP($R194,武学奇术!$A:$ZZ,29,FALSE)*(1+IF(OR($AM194=$F$4,$AM194=$F$5),$B$22,0))</f>
        <v>588.8</v>
      </c>
      <c r="AR194" s="33" cm="1">
        <f t="array" ref="AR194">$G$3+IFERROR(VLOOKUP($AM194,$F$4:$G$7,2,FALSE),0)+VLOOKUP($R194,武学奇术!$A:$ZZ,2,FALSE)+SUM(_xlfn.XLOOKUP($S194:$AL194,增益!$A:$A,增益!$B:$B,0))</f>
        <v>0.4489</v>
      </c>
      <c r="AS194" s="33" cm="1">
        <f t="array" ref="AS194">VLOOKUP($R194,武学奇术!$A:$ZZ,5,FALSE)+SUM(_xlfn.XLOOKUP($S194:$AL194,增益!$A:$A,增益!$E:$E,0))</f>
        <v>0</v>
      </c>
      <c r="AT194" cm="1">
        <f t="array" ref="AT194">$D$10*(1+$AS194)+VLOOKUP($R194,武学奇术!$A:$ZZ,3,FALSE)+SUM(_xlfn.XLOOKUP($S194:$AL194,增益!$A:$A,增益!$C:$C,0))-$I$2</f>
        <v>4026</v>
      </c>
      <c r="AU194" cm="1">
        <f t="array" ref="AU194">$E$10*(1+$AS194)+VLOOKUP($R194,武学奇术!$A:$ZZ,4,FALSE)+SUM(_xlfn.XLOOKUP($S194:$AL194,增益!$A:$A,增益!$D:$D,0))-$I$2</f>
        <v>4026</v>
      </c>
      <c r="AV194" s="40" cm="1">
        <f t="array" ref="AV194">IF($F$10-$I$3+VLOOKUP($R194,武学奇术!$A:$ZZ,6,FALSE)+SUM(_xlfn.XLOOKUP($S194:$AL194,增益!$A:$A,增益!$F:$F,0))&gt;0,($F$10-$I$3+VLOOKUP($R194,武学奇术!$A:$ZZ,6,FALSE)+SUM(_xlfn.XLOOKUP($S194:$AL194,增益!$A:$A,增益!$F:$F,0)))/200,($F$10-$I$3+VLOOKUP($R194,武学奇术!$A:$ZZ,6,FALSE)+SUM(_xlfn.XLOOKUP($S194:$AL194,增益!$A:$A,增益!$F:$F,0)))/100)</f>
        <v>0.3284</v>
      </c>
      <c r="AW194" s="40" cm="1">
        <f t="array" ref="AW194">$G$10+VLOOKUP($R194,武学奇术!$A:$ZZ,7,FALSE)+SUM(_xlfn.XLOOKUP($S194:$AL194,增益!$A:$A,增益!$G:$G,0))</f>
        <v>0.12</v>
      </c>
      <c r="AX194" s="33" cm="1">
        <f t="array" ref="AX194">VLOOKUP($R194,武学奇术!$A:$ZZ,8,FALSE)+SUM(_xlfn.XLOOKUP($S194:$AL194,增益!$A:$A,增益!$H:$H,0))</f>
        <v>0</v>
      </c>
      <c r="AY194">
        <f t="shared" ref="AY194:AY236" si="50">$D$11*(1+$AX194)</f>
        <v>0</v>
      </c>
      <c r="AZ194">
        <f t="shared" ref="AZ194:AZ236" si="51">$E$11*(1+$AX194)</f>
        <v>0</v>
      </c>
      <c r="BA194" s="40" cm="1">
        <f t="array" ref="BA194">IF($F$11-$I$4+VLOOKUP($R194,武学奇术!$A:$ZZ,9,FALSE)+SUM(_xlfn.XLOOKUP($S194:$AL194,增益!$A:$A,增益!$I:$I,0))&gt;0,($F$11-$I$4+VLOOKUP($R194,武学奇术!$A:$ZZ,9,FALSE)+SUM(_xlfn.XLOOKUP($S194:$AL194,增益!$A:$A,增益!$I:$I,0)))/200,($F$11-$I$4+VLOOKUP($R194,武学奇术!$A:$ZZ,9,FALSE)+SUM(_xlfn.XLOOKUP($S194:$AL194,增益!$A:$A,增益!$I:$I,0)))/100)</f>
        <v>-0.14</v>
      </c>
      <c r="BB194" s="40" cm="1">
        <f t="array" ref="BB194">$G$11+VLOOKUP($R194,武学奇术!$A:$ZZ,10,FALSE)+SUM(_xlfn.XLOOKUP($S194:$AL194,增益!$A:$A,增益!$J:$J,0))</f>
        <v>0</v>
      </c>
      <c r="BC194">
        <f t="shared" ref="BC194:BC236" si="52">$D$12*(1+$AX194)</f>
        <v>640.3</v>
      </c>
      <c r="BD194">
        <f t="shared" ref="BD194:BD236" si="53">$E$12*(1+$AX194)</f>
        <v>1770.1</v>
      </c>
      <c r="BE194" s="40" cm="1">
        <f t="array" ref="BE194">IF($F$12-$I$4+VLOOKUP($R194,武学奇术!$A:$ZZ,11,FALSE)+SUM(_xlfn.XLOOKUP($S194:$AL194,增益!$A:$A,增益!$K:$K,0))&gt;0,($F$12-$I$4+VLOOKUP($R194,武学奇术!$A:$ZZ,11,FALSE)+SUM(_xlfn.XLOOKUP($S194:$AL194,增益!$A:$A,增益!$K:$K,0)))/200,($F$12-$I$4+VLOOKUP($R194,武学奇术!$A:$ZZ,11,FALSE)+SUM(_xlfn.XLOOKUP($S194:$AL194,增益!$A:$A,增益!$K:$K,0)))/100)</f>
        <v>0.17</v>
      </c>
      <c r="BF194" s="40" cm="1">
        <f t="array" ref="BF194">$G$12+VLOOKUP($R194,武学奇术!$A:$ZZ,12,FALSE)+SUM(_xlfn.XLOOKUP($S194:$AL194,增益!$A:$A,增益!$L:$L,0))</f>
        <v>0.27</v>
      </c>
      <c r="BG194">
        <f t="shared" ref="BG194:BG236" si="54">$D$13*(1+$AX194)</f>
        <v>0</v>
      </c>
      <c r="BH194">
        <f t="shared" ref="BH194:BH236" si="55">$E$13*(1+$AX194)</f>
        <v>0</v>
      </c>
      <c r="BI194" s="40" cm="1">
        <f t="array" ref="BI194">IF($F$13-$I$4+VLOOKUP($R194,武学奇术!$A:$ZZ,13,FALSE)+SUM(_xlfn.XLOOKUP($S194:$AL194,增益!$A:$A,增益!$M:$M,0))&gt;0,($F$13-$I$4+VLOOKUP($R194,武学奇术!$A:$ZZ,13,FALSE)+SUM(_xlfn.XLOOKUP($S194:$AL194,增益!$A:$A,增益!$K:$K,0)))/200,($F$13-$I$4+VLOOKUP($R194,武学奇术!$A:$ZZ,13,FALSE)+SUM(_xlfn.XLOOKUP($S194:$AL194,增益!$A:$A,增益!$M:$M,0)))/100)</f>
        <v>-0.14</v>
      </c>
      <c r="BJ194" s="40" cm="1">
        <f t="array" ref="BJ194">$G$13+VLOOKUP($R194,武学奇术!$A:$ZZ,14,FALSE)+SUM(_xlfn.XLOOKUP($S194:$AL194,增益!$A:$A,增益!$N:$N,0))</f>
        <v>0</v>
      </c>
      <c r="BK194">
        <f t="shared" ref="BK194:BK236" si="56">$D$14*(1+$AX194)</f>
        <v>0</v>
      </c>
      <c r="BL194">
        <f t="shared" ref="BL194:BL236" si="57">$E$14*(1+$AX194)</f>
        <v>0</v>
      </c>
      <c r="BM194" s="40" cm="1">
        <f t="array" ref="BM194">IF($F$14-$I$4+VLOOKUP($R194,武学奇术!$A:$ZZ,15,FALSE)+SUM(_xlfn.XLOOKUP($S194:$AL194,增益!$A:$A,增益!$O:$O,0))&gt;0,($F$14-$I$4+VLOOKUP($R194,武学奇术!$A:$ZZ,15,FALSE)+SUM(_xlfn.XLOOKUP($S194:$AL194,增益!$A:$A,增益!$O:$O,0)))/200,($F$14-$I$4+VLOOKUP($R194,武学奇术!$A:$ZZ,15,FALSE)+SUM(_xlfn.XLOOKUP($S194:$AL194,增益!$A:$A,增益!$O:$O,0)))/100)</f>
        <v>-0.14</v>
      </c>
      <c r="BN194" s="40" cm="1">
        <f t="array" ref="BN194">$G$14+VLOOKUP($R194,武学奇术!$A:$ZZ,16,FALSE)+SUM(_xlfn.XLOOKUP($S194:$AL194,增益!$A:$A,增益!$P:$P,0))</f>
        <v>0</v>
      </c>
      <c r="BO194" s="33">
        <f>MIN(IF(VLOOKUP($R194,武学奇术!$A:$ZZ,23,FALSE)=1,100%,$B$8),100%)</f>
        <v>0.9771</v>
      </c>
      <c r="BP194" s="33" cm="1">
        <f t="array" ref="BP194">IF(VLOOKUP($R194,武学奇术!$A:$ZZ,23,FALSE)=1,100%,MIN(80%,$B$9+VLOOKUP($R194,武学奇术!$A:$ZZ,17,FALSE)+SUM(_xlfn.XLOOKUP($S194:$AL194,增益!$A:$A,增益!$Q:$Q,0)))+$B$11+SUM(_xlfn.XLOOKUP($S194:$AL194,增益!$A:$A,增益!$U:$U,0)))*IF(VLOOKUP($R194,武学奇术!$A:$ZZ,24,FALSE)=1,0,1)</f>
        <v>0.8861</v>
      </c>
      <c r="BQ194" s="33" cm="1">
        <f t="array" ref="BQ194">1+$B$13+VLOOKUP($R194,武学奇术!$A:$ZZ,18,FALSE)+SUM(_xlfn.XLOOKUP($S194:$AL194,增益!$A:$A,增益!$R:$R,0))</f>
        <v>1.95</v>
      </c>
      <c r="BR194" s="33" cm="1">
        <f t="array" ref="BR194">IF(VLOOKUP($R194,武学奇术!$A:$ZZ,24,FALSE)=1,100%,MIN(40%,$B$10+VLOOKUP($R194,武学奇术!$A:$ZZ,19,FALSE)+SUM(_xlfn.XLOOKUP($S194:$AL194,增益!$A:$A,增益!$S:$S,0)))+$B$12+SUM(_xlfn.XLOOKUP($S194:$AL194,增益!$A:$A,增益!$V:$V,0)))*IF(VLOOKUP($R194,武学奇术!$A:$ZZ,23,FALSE)=1,0,1)</f>
        <v>0.0913</v>
      </c>
      <c r="BS194" s="33" cm="1">
        <f t="array" ref="BS194">1+$B$14+VLOOKUP($R194,武学奇术!$A:$ZZ,20,FALSE)+SUM(_xlfn.XLOOKUP($S194:$AL194,增益!$A:$A,增益!$T:$T,0))</f>
        <v>1.35</v>
      </c>
      <c r="BT194" s="33">
        <f t="shared" ref="BT194:BT236" si="58">MIN((1-BR194)*BO194,BO194*BP194)</f>
        <v>0.86580831</v>
      </c>
      <c r="BU194" s="33">
        <f t="shared" ref="BU194:BU236" si="59">1-BR194-BT194-BV194</f>
        <v>0.02208246</v>
      </c>
      <c r="BV194" s="33">
        <f>IF(VLOOKUP($R194,武学奇术!$A:$ZZ,22,FALSE)=1,0,(1-$BO194))*(1-$BR194)</f>
        <v>0.02080923</v>
      </c>
      <c r="BW194" s="33" cm="1">
        <f t="array" ref="BW194">SUM(_xlfn.XLOOKUP($S194:$AL194,增益!$A:$A,增益!$W:$W,0))+$I$5</f>
        <v>0.11</v>
      </c>
      <c r="BX194" s="33" cm="1">
        <f t="array" ref="BX194">VLOOKUP($R194,武学奇术!$A:$ZZ,32,FALSE)+SUM(_xlfn.XLOOKUP($S194:$AL194,增益!$A:$A,增益!$X:$X,0))</f>
        <v>0</v>
      </c>
    </row>
    <row r="195" spans="12:76">
      <c r="L195" s="46">
        <f t="shared" si="49"/>
        <v>0</v>
      </c>
      <c r="M195" s="46">
        <f>((($AT195+$AU195)/2*$AN195+$AO195)*(1+$AV195)*(1+$AW195)+(($AY195+$AZ195)/2*IF($G$1="鸣金",$AP195,$AN195)+IF($G$1="鸣金",$AQ195*1.5,0))*(1+$BA195)*(1+$BB195)+(($BC195+$BD195)/2*IF($G$1="裂石",$AP195,$AN195)+IF($G$1="裂石",$AQ195*1.5,0))*(1+$BE195)*(1+$BF195)+(($BG195+$BH195)/2*IF($G$1="牵丝",$AP195,$AN195)+IF($G$1="牵丝",$AQ195*1.5,0))*(1+$BI195)*(1+$BJ195)+(($BK195+$BL195)/2*IF($G$1="破竹",$AP195,$AN195)+IF($G$1="破竹",$AQ195*1.5,0))*(1+$BM195)*(1+$BN195))*(1+$AR195)*$BQ195*$Q195*(1+IF(VLOOKUP($R195,武学奇术!$A:$ZZ,30,FALSE)="蓄力技",$B$21,0))*(1+IF(VLOOKUP($R195,武学奇术!$A:$ZZ,30,FALSE)="派生技",$B$20,0))*(1+$BW195)*(1+$BX195)</f>
        <v>0</v>
      </c>
      <c r="N195" s="46">
        <f>(($AU195*$AN195+$AO195)*(1+$AV195)*(1+$AW195)+($AZ195*IF($G$1="鸣金",$AP195,$AN195)+IF($G$1="鸣金",$AQ195*1.5,0))*(1+$BA195)*(1+$BB195)+($BD195*IF($G$1="裂石",$AP195,$AN195)+IF($G$1="裂石",$AQ195*1.5,0))*(1+$BE195)*(1+$BF195)+($BH195*IF($G$1="牵丝",$AP195,$AN195)+IF($G$1="牵丝",$AQ195*1.5,0))*(1+$BI195)*(1+$BJ195)+($BL195*IF($G$1="破竹",$AP195,$AN195)+IF($G$1="破竹",$AQ195*1.5,0))*(1+$BM195)*(1+$BN195))*(1+$AR195)*$BS195*$Q195*(1+IF(VLOOKUP($R195,武学奇术!$A:$ZZ,30,FALSE)="蓄力技",$B$21,0))*(1+IF(VLOOKUP($R195,武学奇术!$A:$ZZ,30,FALSE)="派生技",$B$20,0))*(1+$BW195)*(1+$BX195)</f>
        <v>0</v>
      </c>
      <c r="O195" s="46">
        <f>((($AT195+$AU195)/2*$AN195+$AO195)*(1+$AV195)*(1+$AW195)+(($AY195+$AZ195)/2*IF($G$1="鸣金",$AP195,$AN195)+IF($G$1="鸣金",$AQ195*1.5,0))*(1+$BA195)*(1+$BB195)+(($BC195+$BD195)/2*IF($G$1="裂石",$AP195,$AN195)+IF($G$1="裂石",$AQ195*1.5,0))*(1+$BE195)*(1+$BF195)+(($BG195+$BH195)/2*IF($G$1="牵丝",$AP195,$AN195)+IF($G$1="牵丝",$AQ195*1.5,0))*(1+$BI195)*(1+$BJ195)+(($BK195+$BL195)/2*IF($G$1="破竹",$AP195,$AN195)+IF($G$1="破竹",$AQ195*1.5,0))*(1+$BM195)*(1+$BN195))*(1+$AR195)*$Q195*(1+IF(VLOOKUP($R195,武学奇术!$A:$ZZ,30,FALSE)="蓄力技",$B$21,0))*(1+IF(VLOOKUP($R195,武学奇术!$A:$ZZ,30,FALSE)="派生技",$B$20,0))*(1+$BW195)*(1+$BX195)</f>
        <v>0</v>
      </c>
      <c r="P195" s="46">
        <f>((($AT195*$AN195+$AO195)*(1+$AV195)*(1+$AW195)+($AY195*IF($G$1="鸣金",$AP195,$AN195)+IF($G$1="鸣金",$AQ195*1.5,0))*(1+$BA195)*(1+$BB195)+($BC195*IF($G$1="裂石",$AP195,$AN195)+IF($G$1="裂石",$AQ195*1.5,0))*(1+$BE195)*(1+$BF195)+($BG195*IF($G$1="牵丝",$AP195,$AN195)+IF($G$1="牵丝",$AQ195*1.5,0))*(1+$BI195)*(1+$BJ195)+($BK195*IF($G$1="破竹",$AP195,$AN195)+IF($G$1="破竹",$AQ195*1.5,0))*(1+$BM195)*(1+$BN195))*(1+$AR195))*$Q195*(1+IF(VLOOKUP($R195,武学奇术!$A:$ZZ,30,FALSE)="蓄力技",$B$21,0))*(1+IF(VLOOKUP($R195,武学奇术!$A:$ZZ,30,FALSE)="派生技",$B$20,0))*(1+$BW195)*(1+$BX195)</f>
        <v>0</v>
      </c>
      <c r="Q195" s="47">
        <f t="shared" ref="Q195:Q213" si="60">IF($E$24="唐刀",1,0)</f>
        <v>0</v>
      </c>
      <c r="R195" s="48" t="s">
        <v>106</v>
      </c>
      <c r="S195" s="48" t="s">
        <v>99</v>
      </c>
      <c r="T195" s="48" t="s">
        <v>182</v>
      </c>
      <c r="U195" s="48" t="s">
        <v>80</v>
      </c>
      <c r="V195" s="48" t="s">
        <v>90</v>
      </c>
      <c r="W195" s="48" t="s">
        <v>91</v>
      </c>
      <c r="X195" s="48" t="s">
        <v>80</v>
      </c>
      <c r="Y195" s="48" t="s">
        <v>80</v>
      </c>
      <c r="Z195" s="48" t="s">
        <v>80</v>
      </c>
      <c r="AA195" s="48" t="s">
        <v>80</v>
      </c>
      <c r="AB195" s="48" t="s">
        <v>80</v>
      </c>
      <c r="AC195" s="48" t="s">
        <v>80</v>
      </c>
      <c r="AD195" s="48" t="s">
        <v>80</v>
      </c>
      <c r="AE195" s="48" t="s">
        <v>80</v>
      </c>
      <c r="AF195" s="48" t="s">
        <v>83</v>
      </c>
      <c r="AG195" s="48" t="s">
        <v>84</v>
      </c>
      <c r="AH195" s="48" t="s">
        <v>80</v>
      </c>
      <c r="AI195" s="48" t="s">
        <v>80</v>
      </c>
      <c r="AJ195" s="48" t="s">
        <v>80</v>
      </c>
      <c r="AK195" s="48" t="s">
        <v>80</v>
      </c>
      <c r="AL195" s="48" t="s">
        <v>80</v>
      </c>
      <c r="AM195" t="str">
        <f>VLOOKUP($R195,武学奇术!$A:$ZZ,25,FALSE)</f>
        <v>群体奇术</v>
      </c>
      <c r="AN195" s="33">
        <f>VLOOKUP($R195,武学奇术!$A:$ZZ,26,FALSE)</f>
        <v>2.3774</v>
      </c>
      <c r="AO195" s="34">
        <f>VLOOKUP($R195,武学奇术!$A:$ZZ,27,FALSE)*(1+IF(OR($AM195=$F$4,$AM195=$F$5),$B$22,0))</f>
        <v>476</v>
      </c>
      <c r="AP195" s="33">
        <f>VLOOKUP($R195,武学奇术!$A:$ZZ,28,FALSE)</f>
        <v>3.5661</v>
      </c>
      <c r="AQ195" s="34">
        <f>VLOOKUP($R195,武学奇术!$A:$ZZ,29,FALSE)*(1+IF(OR($AM195=$F$4,$AM195=$F$5),$B$22,0))</f>
        <v>0</v>
      </c>
      <c r="AR195" s="33" cm="1">
        <f t="array" ref="AR195">$G$3+IFERROR(VLOOKUP($AM195,$F$4:$G$7,2,FALSE),0)+VLOOKUP($R195,武学奇术!$A:$ZZ,2,FALSE)+SUM(_xlfn.XLOOKUP($S195:$AL195,增益!$A:$A,增益!$B:$B,0))</f>
        <v>0.3642</v>
      </c>
      <c r="AS195" s="33" cm="1">
        <f t="array" ref="AS195">VLOOKUP($R195,武学奇术!$A:$ZZ,5,FALSE)+SUM(_xlfn.XLOOKUP($S195:$AL195,增益!$A:$A,增益!$E:$E,0))</f>
        <v>0</v>
      </c>
      <c r="AT195" cm="1">
        <f t="array" ref="AT195">$D$10*(1+$AS195)+VLOOKUP($R195,武学奇术!$A:$ZZ,3,FALSE)+SUM(_xlfn.XLOOKUP($S195:$AL195,增益!$A:$A,增益!$C:$C,0))-$I$2</f>
        <v>4026</v>
      </c>
      <c r="AU195" cm="1">
        <f t="array" ref="AU195">$E$10*(1+$AS195)+VLOOKUP($R195,武学奇术!$A:$ZZ,4,FALSE)+SUM(_xlfn.XLOOKUP($S195:$AL195,增益!$A:$A,增益!$D:$D,0))-$I$2</f>
        <v>4026</v>
      </c>
      <c r="AV195" s="40" cm="1">
        <f t="array" ref="AV195">IF($F$10-$I$3+VLOOKUP($R195,武学奇术!$A:$ZZ,6,FALSE)+SUM(_xlfn.XLOOKUP($S195:$AL195,增益!$A:$A,增益!$F:$F,0))&gt;0,($F$10-$I$3+VLOOKUP($R195,武学奇术!$A:$ZZ,6,FALSE)+SUM(_xlfn.XLOOKUP($S195:$AL195,增益!$A:$A,增益!$F:$F,0)))/200,($F$10-$I$3+VLOOKUP($R195,武学奇术!$A:$ZZ,6,FALSE)+SUM(_xlfn.XLOOKUP($S195:$AL195,增益!$A:$A,增益!$F:$F,0)))/100)</f>
        <v>0.3284</v>
      </c>
      <c r="AW195" s="40" cm="1">
        <f t="array" ref="AW195">$G$10+VLOOKUP($R195,武学奇术!$A:$ZZ,7,FALSE)+SUM(_xlfn.XLOOKUP($S195:$AL195,增益!$A:$A,增益!$G:$G,0))</f>
        <v>0</v>
      </c>
      <c r="AX195" s="33" cm="1">
        <f t="array" ref="AX195">VLOOKUP($R195,武学奇术!$A:$ZZ,8,FALSE)+SUM(_xlfn.XLOOKUP($S195:$AL195,增益!$A:$A,增益!$H:$H,0))</f>
        <v>0</v>
      </c>
      <c r="AY195">
        <f t="shared" si="50"/>
        <v>0</v>
      </c>
      <c r="AZ195">
        <f t="shared" si="51"/>
        <v>0</v>
      </c>
      <c r="BA195" s="40" cm="1">
        <f t="array" ref="BA195">IF($F$11-$I$4+VLOOKUP($R195,武学奇术!$A:$ZZ,9,FALSE)+SUM(_xlfn.XLOOKUP($S195:$AL195,增益!$A:$A,增益!$I:$I,0))&gt;0,($F$11-$I$4+VLOOKUP($R195,武学奇术!$A:$ZZ,9,FALSE)+SUM(_xlfn.XLOOKUP($S195:$AL195,增益!$A:$A,增益!$I:$I,0)))/200,($F$11-$I$4+VLOOKUP($R195,武学奇术!$A:$ZZ,9,FALSE)+SUM(_xlfn.XLOOKUP($S195:$AL195,增益!$A:$A,增益!$I:$I,0)))/100)</f>
        <v>-0.14</v>
      </c>
      <c r="BB195" s="40" cm="1">
        <f t="array" ref="BB195">$G$11+VLOOKUP($R195,武学奇术!$A:$ZZ,10,FALSE)+SUM(_xlfn.XLOOKUP($S195:$AL195,增益!$A:$A,增益!$J:$J,0))</f>
        <v>0</v>
      </c>
      <c r="BC195">
        <f t="shared" si="52"/>
        <v>640.3</v>
      </c>
      <c r="BD195">
        <f t="shared" si="53"/>
        <v>1770.1</v>
      </c>
      <c r="BE195" s="40" cm="1">
        <f t="array" ref="BE195">IF($F$12-$I$4+VLOOKUP($R195,武学奇术!$A:$ZZ,11,FALSE)+SUM(_xlfn.XLOOKUP($S195:$AL195,增益!$A:$A,增益!$K:$K,0))&gt;0,($F$12-$I$4+VLOOKUP($R195,武学奇术!$A:$ZZ,11,FALSE)+SUM(_xlfn.XLOOKUP($S195:$AL195,增益!$A:$A,增益!$K:$K,0)))/200,($F$12-$I$4+VLOOKUP($R195,武学奇术!$A:$ZZ,11,FALSE)+SUM(_xlfn.XLOOKUP($S195:$AL195,增益!$A:$A,增益!$K:$K,0)))/100)</f>
        <v>0.17</v>
      </c>
      <c r="BF195" s="40" cm="1">
        <f t="array" ref="BF195">$G$12+VLOOKUP($R195,武学奇术!$A:$ZZ,12,FALSE)+SUM(_xlfn.XLOOKUP($S195:$AL195,增益!$A:$A,增益!$L:$L,0))</f>
        <v>0.15</v>
      </c>
      <c r="BG195">
        <f t="shared" si="54"/>
        <v>0</v>
      </c>
      <c r="BH195">
        <f t="shared" si="55"/>
        <v>0</v>
      </c>
      <c r="BI195" s="40" cm="1">
        <f t="array" ref="BI195">IF($F$13-$I$4+VLOOKUP($R195,武学奇术!$A:$ZZ,13,FALSE)+SUM(_xlfn.XLOOKUP($S195:$AL195,增益!$A:$A,增益!$M:$M,0))&gt;0,($F$13-$I$4+VLOOKUP($R195,武学奇术!$A:$ZZ,13,FALSE)+SUM(_xlfn.XLOOKUP($S195:$AL195,增益!$A:$A,增益!$K:$K,0)))/200,($F$13-$I$4+VLOOKUP($R195,武学奇术!$A:$ZZ,13,FALSE)+SUM(_xlfn.XLOOKUP($S195:$AL195,增益!$A:$A,增益!$M:$M,0)))/100)</f>
        <v>-0.14</v>
      </c>
      <c r="BJ195" s="40" cm="1">
        <f t="array" ref="BJ195">$G$13+VLOOKUP($R195,武学奇术!$A:$ZZ,14,FALSE)+SUM(_xlfn.XLOOKUP($S195:$AL195,增益!$A:$A,增益!$N:$N,0))</f>
        <v>0</v>
      </c>
      <c r="BK195">
        <f t="shared" si="56"/>
        <v>0</v>
      </c>
      <c r="BL195">
        <f t="shared" si="57"/>
        <v>0</v>
      </c>
      <c r="BM195" s="40" cm="1">
        <f t="array" ref="BM195">IF($F$14-$I$4+VLOOKUP($R195,武学奇术!$A:$ZZ,15,FALSE)+SUM(_xlfn.XLOOKUP($S195:$AL195,增益!$A:$A,增益!$O:$O,0))&gt;0,($F$14-$I$4+VLOOKUP($R195,武学奇术!$A:$ZZ,15,FALSE)+SUM(_xlfn.XLOOKUP($S195:$AL195,增益!$A:$A,增益!$O:$O,0)))/200,($F$14-$I$4+VLOOKUP($R195,武学奇术!$A:$ZZ,15,FALSE)+SUM(_xlfn.XLOOKUP($S195:$AL195,增益!$A:$A,增益!$O:$O,0)))/100)</f>
        <v>-0.14</v>
      </c>
      <c r="BN195" s="40" cm="1">
        <f t="array" ref="BN195">$G$14+VLOOKUP($R195,武学奇术!$A:$ZZ,16,FALSE)+SUM(_xlfn.XLOOKUP($S195:$AL195,增益!$A:$A,增益!$P:$P,0))</f>
        <v>0</v>
      </c>
      <c r="BO195" s="33">
        <f>MIN(IF(VLOOKUP($R195,武学奇术!$A:$ZZ,23,FALSE)=1,100%,$B$8),100%)</f>
        <v>0.9771</v>
      </c>
      <c r="BP195" s="33" cm="1">
        <f t="array" ref="BP195">IF(VLOOKUP($R195,武学奇术!$A:$ZZ,23,FALSE)=1,100%,MIN(80%,$B$9+VLOOKUP($R195,武学奇术!$A:$ZZ,17,FALSE)+SUM(_xlfn.XLOOKUP($S195:$AL195,增益!$A:$A,增益!$Q:$Q,0)))+$B$11+SUM(_xlfn.XLOOKUP($S195:$AL195,增益!$A:$A,增益!$U:$U,0)))*IF(VLOOKUP($R195,武学奇术!$A:$ZZ,24,FALSE)=1,0,1)</f>
        <v>0.8861</v>
      </c>
      <c r="BQ195" s="33" cm="1">
        <f t="array" ref="BQ195">1+$B$13+VLOOKUP($R195,武学奇术!$A:$ZZ,18,FALSE)+SUM(_xlfn.XLOOKUP($S195:$AL195,增益!$A:$A,增益!$R:$R,0))</f>
        <v>1.95</v>
      </c>
      <c r="BR195" s="33" cm="1">
        <f t="array" ref="BR195">IF(VLOOKUP($R195,武学奇术!$A:$ZZ,24,FALSE)=1,100%,MIN(40%,$B$10+VLOOKUP($R195,武学奇术!$A:$ZZ,19,FALSE)+SUM(_xlfn.XLOOKUP($S195:$AL195,增益!$A:$A,增益!$S:$S,0)))+$B$12+SUM(_xlfn.XLOOKUP($S195:$AL195,增益!$A:$A,增益!$V:$V,0)))*IF(VLOOKUP($R195,武学奇术!$A:$ZZ,23,FALSE)=1,0,1)</f>
        <v>0.0913</v>
      </c>
      <c r="BS195" s="33" cm="1">
        <f t="array" ref="BS195">1+$B$14+VLOOKUP($R195,武学奇术!$A:$ZZ,20,FALSE)+SUM(_xlfn.XLOOKUP($S195:$AL195,增益!$A:$A,增益!$T:$T,0))</f>
        <v>1.35</v>
      </c>
      <c r="BT195" s="33">
        <f t="shared" si="58"/>
        <v>0.86580831</v>
      </c>
      <c r="BU195" s="33">
        <f t="shared" si="59"/>
        <v>0.02208246</v>
      </c>
      <c r="BV195" s="33">
        <f>IF(VLOOKUP($R195,武学奇术!$A:$ZZ,22,FALSE)=1,0,(1-$BO195))*(1-$BR195)</f>
        <v>0.02080923</v>
      </c>
      <c r="BW195" s="33" cm="1">
        <f t="array" ref="BW195">SUM(_xlfn.XLOOKUP($S195:$AL195,增益!$A:$A,增益!$W:$W,0))+$I$5</f>
        <v>0.11</v>
      </c>
      <c r="BX195" s="33" cm="1">
        <f t="array" ref="BX195">VLOOKUP($R195,武学奇术!$A:$ZZ,32,FALSE)+SUM(_xlfn.XLOOKUP($S195:$AL195,增益!$A:$A,增益!$X:$X,0))</f>
        <v>0</v>
      </c>
    </row>
    <row r="196" spans="12:76">
      <c r="L196" s="46">
        <f t="shared" si="49"/>
        <v>0</v>
      </c>
      <c r="M196" s="46">
        <f>((($AT196+$AU196)/2*$AN196+$AO196)*(1+$AV196)*(1+$AW196)+(($AY196+$AZ196)/2*IF($G$1="鸣金",$AP196,$AN196)+IF($G$1="鸣金",$AQ196*1.5,0))*(1+$BA196)*(1+$BB196)+(($BC196+$BD196)/2*IF($G$1="裂石",$AP196,$AN196)+IF($G$1="裂石",$AQ196*1.5,0))*(1+$BE196)*(1+$BF196)+(($BG196+$BH196)/2*IF($G$1="牵丝",$AP196,$AN196)+IF($G$1="牵丝",$AQ196*1.5,0))*(1+$BI196)*(1+$BJ196)+(($BK196+$BL196)/2*IF($G$1="破竹",$AP196,$AN196)+IF($G$1="破竹",$AQ196*1.5,0))*(1+$BM196)*(1+$BN196))*(1+$AR196)*$BQ196*$Q196*(1+IF(VLOOKUP($R196,武学奇术!$A:$ZZ,30,FALSE)="蓄力技",$B$21,0))*(1+IF(VLOOKUP($R196,武学奇术!$A:$ZZ,30,FALSE)="派生技",$B$20,0))*(1+$BW196)*(1+$BX196)</f>
        <v>0</v>
      </c>
      <c r="N196" s="46">
        <f>(($AU196*$AN196+$AO196)*(1+$AV196)*(1+$AW196)+($AZ196*IF($G$1="鸣金",$AP196,$AN196)+IF($G$1="鸣金",$AQ196*1.5,0))*(1+$BA196)*(1+$BB196)+($BD196*IF($G$1="裂石",$AP196,$AN196)+IF($G$1="裂石",$AQ196*1.5,0))*(1+$BE196)*(1+$BF196)+($BH196*IF($G$1="牵丝",$AP196,$AN196)+IF($G$1="牵丝",$AQ196*1.5,0))*(1+$BI196)*(1+$BJ196)+($BL196*IF($G$1="破竹",$AP196,$AN196)+IF($G$1="破竹",$AQ196*1.5,0))*(1+$BM196)*(1+$BN196))*(1+$AR196)*$BS196*$Q196*(1+IF(VLOOKUP($R196,武学奇术!$A:$ZZ,30,FALSE)="蓄力技",$B$21,0))*(1+IF(VLOOKUP($R196,武学奇术!$A:$ZZ,30,FALSE)="派生技",$B$20,0))*(1+$BW196)*(1+$BX196)</f>
        <v>0</v>
      </c>
      <c r="O196" s="46">
        <f>((($AT196+$AU196)/2*$AN196+$AO196)*(1+$AV196)*(1+$AW196)+(($AY196+$AZ196)/2*IF($G$1="鸣金",$AP196,$AN196)+IF($G$1="鸣金",$AQ196*1.5,0))*(1+$BA196)*(1+$BB196)+(($BC196+$BD196)/2*IF($G$1="裂石",$AP196,$AN196)+IF($G$1="裂石",$AQ196*1.5,0))*(1+$BE196)*(1+$BF196)+(($BG196+$BH196)/2*IF($G$1="牵丝",$AP196,$AN196)+IF($G$1="牵丝",$AQ196*1.5,0))*(1+$BI196)*(1+$BJ196)+(($BK196+$BL196)/2*IF($G$1="破竹",$AP196,$AN196)+IF($G$1="破竹",$AQ196*1.5,0))*(1+$BM196)*(1+$BN196))*(1+$AR196)*$Q196*(1+IF(VLOOKUP($R196,武学奇术!$A:$ZZ,30,FALSE)="蓄力技",$B$21,0))*(1+IF(VLOOKUP($R196,武学奇术!$A:$ZZ,30,FALSE)="派生技",$B$20,0))*(1+$BW196)*(1+$BX196)</f>
        <v>0</v>
      </c>
      <c r="P196" s="46">
        <f>((($AT196*$AN196+$AO196)*(1+$AV196)*(1+$AW196)+($AY196*IF($G$1="鸣金",$AP196,$AN196)+IF($G$1="鸣金",$AQ196*1.5,0))*(1+$BA196)*(1+$BB196)+($BC196*IF($G$1="裂石",$AP196,$AN196)+IF($G$1="裂石",$AQ196*1.5,0))*(1+$BE196)*(1+$BF196)+($BG196*IF($G$1="牵丝",$AP196,$AN196)+IF($G$1="牵丝",$AQ196*1.5,0))*(1+$BI196)*(1+$BJ196)+($BK196*IF($G$1="破竹",$AP196,$AN196)+IF($G$1="破竹",$AQ196*1.5,0))*(1+$BM196)*(1+$BN196))*(1+$AR196))*$Q196*(1+IF(VLOOKUP($R196,武学奇术!$A:$ZZ,30,FALSE)="蓄力技",$B$21,0))*(1+IF(VLOOKUP($R196,武学奇术!$A:$ZZ,30,FALSE)="派生技",$B$20,0))*(1+$BW196)*(1+$BX196)</f>
        <v>0</v>
      </c>
      <c r="Q196" s="47">
        <f>IF($E$24="唐刀",3,0)</f>
        <v>0</v>
      </c>
      <c r="R196" s="48" t="s">
        <v>106</v>
      </c>
      <c r="S196" s="48" t="s">
        <v>99</v>
      </c>
      <c r="T196" s="48" t="s">
        <v>182</v>
      </c>
      <c r="U196" s="48" t="s">
        <v>80</v>
      </c>
      <c r="V196" s="48" t="s">
        <v>80</v>
      </c>
      <c r="W196" s="48" t="s">
        <v>91</v>
      </c>
      <c r="X196" s="48" t="s">
        <v>80</v>
      </c>
      <c r="Y196" s="48" t="s">
        <v>80</v>
      </c>
      <c r="Z196" s="48" t="s">
        <v>80</v>
      </c>
      <c r="AA196" s="48" t="s">
        <v>80</v>
      </c>
      <c r="AB196" s="48" t="s">
        <v>80</v>
      </c>
      <c r="AC196" s="48" t="s">
        <v>80</v>
      </c>
      <c r="AD196" s="48" t="s">
        <v>80</v>
      </c>
      <c r="AE196" s="48" t="s">
        <v>80</v>
      </c>
      <c r="AF196" s="48" t="s">
        <v>83</v>
      </c>
      <c r="AG196" s="48" t="s">
        <v>84</v>
      </c>
      <c r="AH196" s="48" t="s">
        <v>80</v>
      </c>
      <c r="AI196" s="48" t="s">
        <v>80</v>
      </c>
      <c r="AJ196" s="48" t="s">
        <v>80</v>
      </c>
      <c r="AK196" s="48" t="s">
        <v>80</v>
      </c>
      <c r="AL196" s="48" t="s">
        <v>80</v>
      </c>
      <c r="AM196" t="str">
        <f>VLOOKUP($R196,武学奇术!$A:$ZZ,25,FALSE)</f>
        <v>群体奇术</v>
      </c>
      <c r="AN196" s="33">
        <f>VLOOKUP($R196,武学奇术!$A:$ZZ,26,FALSE)</f>
        <v>2.3774</v>
      </c>
      <c r="AO196" s="34">
        <f>VLOOKUP($R196,武学奇术!$A:$ZZ,27,FALSE)*(1+IF(OR($AM196=$F$4,$AM196=$F$5),$B$22,0))</f>
        <v>476</v>
      </c>
      <c r="AP196" s="33">
        <f>VLOOKUP($R196,武学奇术!$A:$ZZ,28,FALSE)</f>
        <v>3.5661</v>
      </c>
      <c r="AQ196" s="34">
        <f>VLOOKUP($R196,武学奇术!$A:$ZZ,29,FALSE)*(1+IF(OR($AM196=$F$4,$AM196=$F$5),$B$22,0))</f>
        <v>0</v>
      </c>
      <c r="AR196" s="33" cm="1">
        <f t="array" ref="AR196">$G$3+IFERROR(VLOOKUP($AM196,$F$4:$G$7,2,FALSE),0)+VLOOKUP($R196,武学奇术!$A:$ZZ,2,FALSE)+SUM(_xlfn.XLOOKUP($S196:$AL196,增益!$A:$A,增益!$B:$B,0))</f>
        <v>0.2842</v>
      </c>
      <c r="AS196" s="33" cm="1">
        <f t="array" ref="AS196">VLOOKUP($R196,武学奇术!$A:$ZZ,5,FALSE)+SUM(_xlfn.XLOOKUP($S196:$AL196,增益!$A:$A,增益!$E:$E,0))</f>
        <v>0</v>
      </c>
      <c r="AT196" cm="1">
        <f t="array" ref="AT196">$D$10*(1+$AS196)+VLOOKUP($R196,武学奇术!$A:$ZZ,3,FALSE)+SUM(_xlfn.XLOOKUP($S196:$AL196,增益!$A:$A,增益!$C:$C,0))-$I$2</f>
        <v>4026</v>
      </c>
      <c r="AU196" cm="1">
        <f t="array" ref="AU196">$E$10*(1+$AS196)+VLOOKUP($R196,武学奇术!$A:$ZZ,4,FALSE)+SUM(_xlfn.XLOOKUP($S196:$AL196,增益!$A:$A,增益!$D:$D,0))-$I$2</f>
        <v>4026</v>
      </c>
      <c r="AV196" s="40" cm="1">
        <f t="array" ref="AV196">IF($F$10-$I$3+VLOOKUP($R196,武学奇术!$A:$ZZ,6,FALSE)+SUM(_xlfn.XLOOKUP($S196:$AL196,增益!$A:$A,增益!$F:$F,0))&gt;0,($F$10-$I$3+VLOOKUP($R196,武学奇术!$A:$ZZ,6,FALSE)+SUM(_xlfn.XLOOKUP($S196:$AL196,增益!$A:$A,增益!$F:$F,0)))/200,($F$10-$I$3+VLOOKUP($R196,武学奇术!$A:$ZZ,6,FALSE)+SUM(_xlfn.XLOOKUP($S196:$AL196,增益!$A:$A,增益!$F:$F,0)))/100)</f>
        <v>0.3284</v>
      </c>
      <c r="AW196" s="40" cm="1">
        <f t="array" ref="AW196">$G$10+VLOOKUP($R196,武学奇术!$A:$ZZ,7,FALSE)+SUM(_xlfn.XLOOKUP($S196:$AL196,增益!$A:$A,增益!$G:$G,0))</f>
        <v>0</v>
      </c>
      <c r="AX196" s="33" cm="1">
        <f t="array" ref="AX196">VLOOKUP($R196,武学奇术!$A:$ZZ,8,FALSE)+SUM(_xlfn.XLOOKUP($S196:$AL196,增益!$A:$A,增益!$H:$H,0))</f>
        <v>0</v>
      </c>
      <c r="AY196">
        <f t="shared" si="50"/>
        <v>0</v>
      </c>
      <c r="AZ196">
        <f t="shared" si="51"/>
        <v>0</v>
      </c>
      <c r="BA196" s="40" cm="1">
        <f t="array" ref="BA196">IF($F$11-$I$4+VLOOKUP($R196,武学奇术!$A:$ZZ,9,FALSE)+SUM(_xlfn.XLOOKUP($S196:$AL196,增益!$A:$A,增益!$I:$I,0))&gt;0,($F$11-$I$4+VLOOKUP($R196,武学奇术!$A:$ZZ,9,FALSE)+SUM(_xlfn.XLOOKUP($S196:$AL196,增益!$A:$A,增益!$I:$I,0)))/200,($F$11-$I$4+VLOOKUP($R196,武学奇术!$A:$ZZ,9,FALSE)+SUM(_xlfn.XLOOKUP($S196:$AL196,增益!$A:$A,增益!$I:$I,0)))/100)</f>
        <v>-0.3</v>
      </c>
      <c r="BB196" s="40" cm="1">
        <f t="array" ref="BB196">$G$11+VLOOKUP($R196,武学奇术!$A:$ZZ,10,FALSE)+SUM(_xlfn.XLOOKUP($S196:$AL196,增益!$A:$A,增益!$J:$J,0))</f>
        <v>0</v>
      </c>
      <c r="BC196">
        <f t="shared" si="52"/>
        <v>640.3</v>
      </c>
      <c r="BD196">
        <f t="shared" si="53"/>
        <v>1770.1</v>
      </c>
      <c r="BE196" s="40" cm="1">
        <f t="array" ref="BE196">IF($F$12-$I$4+VLOOKUP($R196,武学奇术!$A:$ZZ,11,FALSE)+SUM(_xlfn.XLOOKUP($S196:$AL196,增益!$A:$A,增益!$K:$K,0))&gt;0,($F$12-$I$4+VLOOKUP($R196,武学奇术!$A:$ZZ,11,FALSE)+SUM(_xlfn.XLOOKUP($S196:$AL196,增益!$A:$A,增益!$K:$K,0)))/200,($F$12-$I$4+VLOOKUP($R196,武学奇术!$A:$ZZ,11,FALSE)+SUM(_xlfn.XLOOKUP($S196:$AL196,增益!$A:$A,增益!$K:$K,0)))/100)</f>
        <v>0.09</v>
      </c>
      <c r="BF196" s="40" cm="1">
        <f t="array" ref="BF196">$G$12+VLOOKUP($R196,武学奇术!$A:$ZZ,12,FALSE)+SUM(_xlfn.XLOOKUP($S196:$AL196,增益!$A:$A,增益!$L:$L,0))</f>
        <v>0.15</v>
      </c>
      <c r="BG196">
        <f t="shared" si="54"/>
        <v>0</v>
      </c>
      <c r="BH196">
        <f t="shared" si="55"/>
        <v>0</v>
      </c>
      <c r="BI196" s="40" cm="1">
        <f t="array" ref="BI196">IF($F$13-$I$4+VLOOKUP($R196,武学奇术!$A:$ZZ,13,FALSE)+SUM(_xlfn.XLOOKUP($S196:$AL196,增益!$A:$A,增益!$M:$M,0))&gt;0,($F$13-$I$4+VLOOKUP($R196,武学奇术!$A:$ZZ,13,FALSE)+SUM(_xlfn.XLOOKUP($S196:$AL196,增益!$A:$A,增益!$K:$K,0)))/200,($F$13-$I$4+VLOOKUP($R196,武学奇术!$A:$ZZ,13,FALSE)+SUM(_xlfn.XLOOKUP($S196:$AL196,增益!$A:$A,增益!$M:$M,0)))/100)</f>
        <v>-0.3</v>
      </c>
      <c r="BJ196" s="40" cm="1">
        <f t="array" ref="BJ196">$G$13+VLOOKUP($R196,武学奇术!$A:$ZZ,14,FALSE)+SUM(_xlfn.XLOOKUP($S196:$AL196,增益!$A:$A,增益!$N:$N,0))</f>
        <v>0</v>
      </c>
      <c r="BK196">
        <f t="shared" si="56"/>
        <v>0</v>
      </c>
      <c r="BL196">
        <f t="shared" si="57"/>
        <v>0</v>
      </c>
      <c r="BM196" s="40" cm="1">
        <f t="array" ref="BM196">IF($F$14-$I$4+VLOOKUP($R196,武学奇术!$A:$ZZ,15,FALSE)+SUM(_xlfn.XLOOKUP($S196:$AL196,增益!$A:$A,增益!$O:$O,0))&gt;0,($F$14-$I$4+VLOOKUP($R196,武学奇术!$A:$ZZ,15,FALSE)+SUM(_xlfn.XLOOKUP($S196:$AL196,增益!$A:$A,增益!$O:$O,0)))/200,($F$14-$I$4+VLOOKUP($R196,武学奇术!$A:$ZZ,15,FALSE)+SUM(_xlfn.XLOOKUP($S196:$AL196,增益!$A:$A,增益!$O:$O,0)))/100)</f>
        <v>-0.3</v>
      </c>
      <c r="BN196" s="40" cm="1">
        <f t="array" ref="BN196">$G$14+VLOOKUP($R196,武学奇术!$A:$ZZ,16,FALSE)+SUM(_xlfn.XLOOKUP($S196:$AL196,增益!$A:$A,增益!$P:$P,0))</f>
        <v>0</v>
      </c>
      <c r="BO196" s="33">
        <f>MIN(IF(VLOOKUP($R196,武学奇术!$A:$ZZ,23,FALSE)=1,100%,$B$8),100%)</f>
        <v>0.9771</v>
      </c>
      <c r="BP196" s="33" cm="1">
        <f t="array" ref="BP196">IF(VLOOKUP($R196,武学奇术!$A:$ZZ,23,FALSE)=1,100%,MIN(80%,$B$9+VLOOKUP($R196,武学奇术!$A:$ZZ,17,FALSE)+SUM(_xlfn.XLOOKUP($S196:$AL196,增益!$A:$A,增益!$Q:$Q,0)))+$B$11+SUM(_xlfn.XLOOKUP($S196:$AL196,增益!$A:$A,增益!$U:$U,0)))*IF(VLOOKUP($R196,武学奇术!$A:$ZZ,24,FALSE)=1,0,1)</f>
        <v>0.8861</v>
      </c>
      <c r="BQ196" s="33" cm="1">
        <f t="array" ref="BQ196">1+$B$13+VLOOKUP($R196,武学奇术!$A:$ZZ,18,FALSE)+SUM(_xlfn.XLOOKUP($S196:$AL196,增益!$A:$A,增益!$R:$R,0))</f>
        <v>1.95</v>
      </c>
      <c r="BR196" s="33" cm="1">
        <f t="array" ref="BR196">IF(VLOOKUP($R196,武学奇术!$A:$ZZ,24,FALSE)=1,100%,MIN(40%,$B$10+VLOOKUP($R196,武学奇术!$A:$ZZ,19,FALSE)+SUM(_xlfn.XLOOKUP($S196:$AL196,增益!$A:$A,增益!$S:$S,0)))+$B$12+SUM(_xlfn.XLOOKUP($S196:$AL196,增益!$A:$A,增益!$V:$V,0)))*IF(VLOOKUP($R196,武学奇术!$A:$ZZ,23,FALSE)=1,0,1)</f>
        <v>0.0913</v>
      </c>
      <c r="BS196" s="33" cm="1">
        <f t="array" ref="BS196">1+$B$14+VLOOKUP($R196,武学奇术!$A:$ZZ,20,FALSE)+SUM(_xlfn.XLOOKUP($S196:$AL196,增益!$A:$A,增益!$T:$T,0))</f>
        <v>1.35</v>
      </c>
      <c r="BT196" s="33">
        <f t="shared" si="58"/>
        <v>0.86580831</v>
      </c>
      <c r="BU196" s="33">
        <f t="shared" si="59"/>
        <v>0.02208246</v>
      </c>
      <c r="BV196" s="33">
        <f>IF(VLOOKUP($R196,武学奇术!$A:$ZZ,22,FALSE)=1,0,(1-$BO196))*(1-$BR196)</f>
        <v>0.02080923</v>
      </c>
      <c r="BW196" s="33" cm="1">
        <f t="array" ref="BW196">SUM(_xlfn.XLOOKUP($S196:$AL196,增益!$A:$A,增益!$W:$W,0))+$I$5</f>
        <v>0.11</v>
      </c>
      <c r="BX196" s="33" cm="1">
        <f t="array" ref="BX196">VLOOKUP($R196,武学奇术!$A:$ZZ,32,FALSE)+SUM(_xlfn.XLOOKUP($S196:$AL196,增益!$A:$A,增益!$X:$X,0))</f>
        <v>0</v>
      </c>
    </row>
    <row r="197" spans="12:76">
      <c r="L197" s="46">
        <f t="shared" si="49"/>
        <v>0</v>
      </c>
      <c r="M197" s="46">
        <f>((($AT197+$AU197)/2*$AN197+$AO197)*(1+$AV197)*(1+$AW197)+(($AY197+$AZ197)/2*IF($G$1="鸣金",$AP197,$AN197)+IF($G$1="鸣金",$AQ197*1.5,0))*(1+$BA197)*(1+$BB197)+(($BC197+$BD197)/2*IF($G$1="裂石",$AP197,$AN197)+IF($G$1="裂石",$AQ197*1.5,0))*(1+$BE197)*(1+$BF197)+(($BG197+$BH197)/2*IF($G$1="牵丝",$AP197,$AN197)+IF($G$1="牵丝",$AQ197*1.5,0))*(1+$BI197)*(1+$BJ197)+(($BK197+$BL197)/2*IF($G$1="破竹",$AP197,$AN197)+IF($G$1="破竹",$AQ197*1.5,0))*(1+$BM197)*(1+$BN197))*(1+$AR197)*$BQ197*$Q197*(1+IF(VLOOKUP($R197,武学奇术!$A:$ZZ,30,FALSE)="蓄力技",$B$21,0))*(1+IF(VLOOKUP($R197,武学奇术!$A:$ZZ,30,FALSE)="派生技",$B$20,0))*(1+$BW197)*(1+$BX197)</f>
        <v>0</v>
      </c>
      <c r="N197" s="46">
        <f>(($AU197*$AN197+$AO197)*(1+$AV197)*(1+$AW197)+($AZ197*IF($G$1="鸣金",$AP197,$AN197)+IF($G$1="鸣金",$AQ197*1.5,0))*(1+$BA197)*(1+$BB197)+($BD197*IF($G$1="裂石",$AP197,$AN197)+IF($G$1="裂石",$AQ197*1.5,0))*(1+$BE197)*(1+$BF197)+($BH197*IF($G$1="牵丝",$AP197,$AN197)+IF($G$1="牵丝",$AQ197*1.5,0))*(1+$BI197)*(1+$BJ197)+($BL197*IF($G$1="破竹",$AP197,$AN197)+IF($G$1="破竹",$AQ197*1.5,0))*(1+$BM197)*(1+$BN197))*(1+$AR197)*$BS197*$Q197*(1+IF(VLOOKUP($R197,武学奇术!$A:$ZZ,30,FALSE)="蓄力技",$B$21,0))*(1+IF(VLOOKUP($R197,武学奇术!$A:$ZZ,30,FALSE)="派生技",$B$20,0))*(1+$BW197)*(1+$BX197)</f>
        <v>0</v>
      </c>
      <c r="O197" s="46">
        <f>((($AT197+$AU197)/2*$AN197+$AO197)*(1+$AV197)*(1+$AW197)+(($AY197+$AZ197)/2*IF($G$1="鸣金",$AP197,$AN197)+IF($G$1="鸣金",$AQ197*1.5,0))*(1+$BA197)*(1+$BB197)+(($BC197+$BD197)/2*IF($G$1="裂石",$AP197,$AN197)+IF($G$1="裂石",$AQ197*1.5,0))*(1+$BE197)*(1+$BF197)+(($BG197+$BH197)/2*IF($G$1="牵丝",$AP197,$AN197)+IF($G$1="牵丝",$AQ197*1.5,0))*(1+$BI197)*(1+$BJ197)+(($BK197+$BL197)/2*IF($G$1="破竹",$AP197,$AN197)+IF($G$1="破竹",$AQ197*1.5,0))*(1+$BM197)*(1+$BN197))*(1+$AR197)*$Q197*(1+IF(VLOOKUP($R197,武学奇术!$A:$ZZ,30,FALSE)="蓄力技",$B$21,0))*(1+IF(VLOOKUP($R197,武学奇术!$A:$ZZ,30,FALSE)="派生技",$B$20,0))*(1+$BW197)*(1+$BX197)</f>
        <v>0</v>
      </c>
      <c r="P197" s="46">
        <f>((($AT197*$AN197+$AO197)*(1+$AV197)*(1+$AW197)+($AY197*IF($G$1="鸣金",$AP197,$AN197)+IF($G$1="鸣金",$AQ197*1.5,0))*(1+$BA197)*(1+$BB197)+($BC197*IF($G$1="裂石",$AP197,$AN197)+IF($G$1="裂石",$AQ197*1.5,0))*(1+$BE197)*(1+$BF197)+($BG197*IF($G$1="牵丝",$AP197,$AN197)+IF($G$1="牵丝",$AQ197*1.5,0))*(1+$BI197)*(1+$BJ197)+($BK197*IF($G$1="破竹",$AP197,$AN197)+IF($G$1="破竹",$AQ197*1.5,0))*(1+$BM197)*(1+$BN197))*(1+$AR197))*$Q197*(1+IF(VLOOKUP($R197,武学奇术!$A:$ZZ,30,FALSE)="蓄力技",$B$21,0))*(1+IF(VLOOKUP($R197,武学奇术!$A:$ZZ,30,FALSE)="派生技",$B$20,0))*(1+$BW197)*(1+$BX197)</f>
        <v>0</v>
      </c>
      <c r="Q197" s="47">
        <f t="shared" si="60"/>
        <v>0</v>
      </c>
      <c r="R197" s="48" t="s">
        <v>106</v>
      </c>
      <c r="S197" s="48" t="s">
        <v>99</v>
      </c>
      <c r="T197" s="48" t="s">
        <v>182</v>
      </c>
      <c r="U197" s="48" t="s">
        <v>79</v>
      </c>
      <c r="V197" s="48" t="s">
        <v>80</v>
      </c>
      <c r="W197" s="48" t="s">
        <v>91</v>
      </c>
      <c r="X197" s="48" t="s">
        <v>80</v>
      </c>
      <c r="Y197" s="48" t="s">
        <v>80</v>
      </c>
      <c r="Z197" s="48" t="s">
        <v>80</v>
      </c>
      <c r="AA197" s="48" t="s">
        <v>80</v>
      </c>
      <c r="AB197" s="48" t="s">
        <v>80</v>
      </c>
      <c r="AC197" s="48" t="s">
        <v>80</v>
      </c>
      <c r="AD197" s="48" t="s">
        <v>80</v>
      </c>
      <c r="AE197" s="48" t="s">
        <v>80</v>
      </c>
      <c r="AF197" s="48" t="s">
        <v>83</v>
      </c>
      <c r="AG197" s="48" t="s">
        <v>84</v>
      </c>
      <c r="AH197" s="48" t="s">
        <v>80</v>
      </c>
      <c r="AI197" s="48" t="s">
        <v>80</v>
      </c>
      <c r="AJ197" s="48" t="s">
        <v>80</v>
      </c>
      <c r="AK197" s="48" t="s">
        <v>80</v>
      </c>
      <c r="AL197" s="48" t="s">
        <v>80</v>
      </c>
      <c r="AM197" t="str">
        <f>VLOOKUP($R197,武学奇术!$A:$ZZ,25,FALSE)</f>
        <v>群体奇术</v>
      </c>
      <c r="AN197" s="33">
        <f>VLOOKUP($R197,武学奇术!$A:$ZZ,26,FALSE)</f>
        <v>2.3774</v>
      </c>
      <c r="AO197" s="34">
        <f>VLOOKUP($R197,武学奇术!$A:$ZZ,27,FALSE)*(1+IF(OR($AM197=$F$4,$AM197=$F$5),$B$22,0))</f>
        <v>476</v>
      </c>
      <c r="AP197" s="33">
        <f>VLOOKUP($R197,武学奇术!$A:$ZZ,28,FALSE)</f>
        <v>3.5661</v>
      </c>
      <c r="AQ197" s="34">
        <f>VLOOKUP($R197,武学奇术!$A:$ZZ,29,FALSE)*(1+IF(OR($AM197=$F$4,$AM197=$F$5),$B$22,0))</f>
        <v>0</v>
      </c>
      <c r="AR197" s="33" cm="1">
        <f t="array" ref="AR197">$G$3+IFERROR(VLOOKUP($AM197,$F$4:$G$7,2,FALSE),0)+VLOOKUP($R197,武学奇术!$A:$ZZ,2,FALSE)+SUM(_xlfn.XLOOKUP($S197:$AL197,增益!$A:$A,增益!$B:$B,0))</f>
        <v>0.2842</v>
      </c>
      <c r="AS197" s="33" cm="1">
        <f t="array" ref="AS197">VLOOKUP($R197,武学奇术!$A:$ZZ,5,FALSE)+SUM(_xlfn.XLOOKUP($S197:$AL197,增益!$A:$A,增益!$E:$E,0))</f>
        <v>0</v>
      </c>
      <c r="AT197" cm="1">
        <f t="array" ref="AT197">$D$10*(1+$AS197)+VLOOKUP($R197,武学奇术!$A:$ZZ,3,FALSE)+SUM(_xlfn.XLOOKUP($S197:$AL197,增益!$A:$A,增益!$C:$C,0))-$I$2</f>
        <v>4026</v>
      </c>
      <c r="AU197" cm="1">
        <f t="array" ref="AU197">$E$10*(1+$AS197)+VLOOKUP($R197,武学奇术!$A:$ZZ,4,FALSE)+SUM(_xlfn.XLOOKUP($S197:$AL197,增益!$A:$A,增益!$D:$D,0))-$I$2</f>
        <v>4026</v>
      </c>
      <c r="AV197" s="40" cm="1">
        <f t="array" ref="AV197">IF($F$10-$I$3+VLOOKUP($R197,武学奇术!$A:$ZZ,6,FALSE)+SUM(_xlfn.XLOOKUP($S197:$AL197,增益!$A:$A,增益!$F:$F,0))&gt;0,($F$10-$I$3+VLOOKUP($R197,武学奇术!$A:$ZZ,6,FALSE)+SUM(_xlfn.XLOOKUP($S197:$AL197,增益!$A:$A,增益!$F:$F,0)))/200,($F$10-$I$3+VLOOKUP($R197,武学奇术!$A:$ZZ,6,FALSE)+SUM(_xlfn.XLOOKUP($S197:$AL197,增益!$A:$A,增益!$F:$F,0)))/100)</f>
        <v>0.3284</v>
      </c>
      <c r="AW197" s="40" cm="1">
        <f t="array" ref="AW197">$G$10+VLOOKUP($R197,武学奇术!$A:$ZZ,7,FALSE)+SUM(_xlfn.XLOOKUP($S197:$AL197,增益!$A:$A,增益!$G:$G,0))</f>
        <v>0.12</v>
      </c>
      <c r="AX197" s="33" cm="1">
        <f t="array" ref="AX197">VLOOKUP($R197,武学奇术!$A:$ZZ,8,FALSE)+SUM(_xlfn.XLOOKUP($S197:$AL197,增益!$A:$A,增益!$H:$H,0))</f>
        <v>0</v>
      </c>
      <c r="AY197">
        <f t="shared" si="50"/>
        <v>0</v>
      </c>
      <c r="AZ197">
        <f t="shared" si="51"/>
        <v>0</v>
      </c>
      <c r="BA197" s="40" cm="1">
        <f t="array" ref="BA197">IF($F$11-$I$4+VLOOKUP($R197,武学奇术!$A:$ZZ,9,FALSE)+SUM(_xlfn.XLOOKUP($S197:$AL197,增益!$A:$A,增益!$I:$I,0))&gt;0,($F$11-$I$4+VLOOKUP($R197,武学奇术!$A:$ZZ,9,FALSE)+SUM(_xlfn.XLOOKUP($S197:$AL197,增益!$A:$A,增益!$I:$I,0)))/200,($F$11-$I$4+VLOOKUP($R197,武学奇术!$A:$ZZ,9,FALSE)+SUM(_xlfn.XLOOKUP($S197:$AL197,增益!$A:$A,增益!$I:$I,0)))/100)</f>
        <v>-0.3</v>
      </c>
      <c r="BB197" s="40" cm="1">
        <f t="array" ref="BB197">$G$11+VLOOKUP($R197,武学奇术!$A:$ZZ,10,FALSE)+SUM(_xlfn.XLOOKUP($S197:$AL197,增益!$A:$A,增益!$J:$J,0))</f>
        <v>0</v>
      </c>
      <c r="BC197">
        <f t="shared" si="52"/>
        <v>640.3</v>
      </c>
      <c r="BD197">
        <f t="shared" si="53"/>
        <v>1770.1</v>
      </c>
      <c r="BE197" s="40" cm="1">
        <f t="array" ref="BE197">IF($F$12-$I$4+VLOOKUP($R197,武学奇术!$A:$ZZ,11,FALSE)+SUM(_xlfn.XLOOKUP($S197:$AL197,增益!$A:$A,增益!$K:$K,0))&gt;0,($F$12-$I$4+VLOOKUP($R197,武学奇术!$A:$ZZ,11,FALSE)+SUM(_xlfn.XLOOKUP($S197:$AL197,增益!$A:$A,增益!$K:$K,0)))/200,($F$12-$I$4+VLOOKUP($R197,武学奇术!$A:$ZZ,11,FALSE)+SUM(_xlfn.XLOOKUP($S197:$AL197,增益!$A:$A,增益!$K:$K,0)))/100)</f>
        <v>0.09</v>
      </c>
      <c r="BF197" s="40" cm="1">
        <f t="array" ref="BF197">$G$12+VLOOKUP($R197,武学奇术!$A:$ZZ,12,FALSE)+SUM(_xlfn.XLOOKUP($S197:$AL197,增益!$A:$A,增益!$L:$L,0))</f>
        <v>0.27</v>
      </c>
      <c r="BG197">
        <f t="shared" si="54"/>
        <v>0</v>
      </c>
      <c r="BH197">
        <f t="shared" si="55"/>
        <v>0</v>
      </c>
      <c r="BI197" s="40" cm="1">
        <f t="array" ref="BI197">IF($F$13-$I$4+VLOOKUP($R197,武学奇术!$A:$ZZ,13,FALSE)+SUM(_xlfn.XLOOKUP($S197:$AL197,增益!$A:$A,增益!$M:$M,0))&gt;0,($F$13-$I$4+VLOOKUP($R197,武学奇术!$A:$ZZ,13,FALSE)+SUM(_xlfn.XLOOKUP($S197:$AL197,增益!$A:$A,增益!$K:$K,0)))/200,($F$13-$I$4+VLOOKUP($R197,武学奇术!$A:$ZZ,13,FALSE)+SUM(_xlfn.XLOOKUP($S197:$AL197,增益!$A:$A,增益!$M:$M,0)))/100)</f>
        <v>-0.3</v>
      </c>
      <c r="BJ197" s="40" cm="1">
        <f t="array" ref="BJ197">$G$13+VLOOKUP($R197,武学奇术!$A:$ZZ,14,FALSE)+SUM(_xlfn.XLOOKUP($S197:$AL197,增益!$A:$A,增益!$N:$N,0))</f>
        <v>0</v>
      </c>
      <c r="BK197">
        <f t="shared" si="56"/>
        <v>0</v>
      </c>
      <c r="BL197">
        <f t="shared" si="57"/>
        <v>0</v>
      </c>
      <c r="BM197" s="40" cm="1">
        <f t="array" ref="BM197">IF($F$14-$I$4+VLOOKUP($R197,武学奇术!$A:$ZZ,15,FALSE)+SUM(_xlfn.XLOOKUP($S197:$AL197,增益!$A:$A,增益!$O:$O,0))&gt;0,($F$14-$I$4+VLOOKUP($R197,武学奇术!$A:$ZZ,15,FALSE)+SUM(_xlfn.XLOOKUP($S197:$AL197,增益!$A:$A,增益!$O:$O,0)))/200,($F$14-$I$4+VLOOKUP($R197,武学奇术!$A:$ZZ,15,FALSE)+SUM(_xlfn.XLOOKUP($S197:$AL197,增益!$A:$A,增益!$O:$O,0)))/100)</f>
        <v>-0.3</v>
      </c>
      <c r="BN197" s="40" cm="1">
        <f t="array" ref="BN197">$G$14+VLOOKUP($R197,武学奇术!$A:$ZZ,16,FALSE)+SUM(_xlfn.XLOOKUP($S197:$AL197,增益!$A:$A,增益!$P:$P,0))</f>
        <v>0</v>
      </c>
      <c r="BO197" s="33">
        <f>MIN(IF(VLOOKUP($R197,武学奇术!$A:$ZZ,23,FALSE)=1,100%,$B$8),100%)</f>
        <v>0.9771</v>
      </c>
      <c r="BP197" s="33" cm="1">
        <f t="array" ref="BP197">IF(VLOOKUP($R197,武学奇术!$A:$ZZ,23,FALSE)=1,100%,MIN(80%,$B$9+VLOOKUP($R197,武学奇术!$A:$ZZ,17,FALSE)+SUM(_xlfn.XLOOKUP($S197:$AL197,增益!$A:$A,增益!$Q:$Q,0)))+$B$11+SUM(_xlfn.XLOOKUP($S197:$AL197,增益!$A:$A,增益!$U:$U,0)))*IF(VLOOKUP($R197,武学奇术!$A:$ZZ,24,FALSE)=1,0,1)</f>
        <v>0.8861</v>
      </c>
      <c r="BQ197" s="33" cm="1">
        <f t="array" ref="BQ197">1+$B$13+VLOOKUP($R197,武学奇术!$A:$ZZ,18,FALSE)+SUM(_xlfn.XLOOKUP($S197:$AL197,增益!$A:$A,增益!$R:$R,0))</f>
        <v>1.95</v>
      </c>
      <c r="BR197" s="33" cm="1">
        <f t="array" ref="BR197">IF(VLOOKUP($R197,武学奇术!$A:$ZZ,24,FALSE)=1,100%,MIN(40%,$B$10+VLOOKUP($R197,武学奇术!$A:$ZZ,19,FALSE)+SUM(_xlfn.XLOOKUP($S197:$AL197,增益!$A:$A,增益!$S:$S,0)))+$B$12+SUM(_xlfn.XLOOKUP($S197:$AL197,增益!$A:$A,增益!$V:$V,0)))*IF(VLOOKUP($R197,武学奇术!$A:$ZZ,23,FALSE)=1,0,1)</f>
        <v>0.0913</v>
      </c>
      <c r="BS197" s="33" cm="1">
        <f t="array" ref="BS197">1+$B$14+VLOOKUP($R197,武学奇术!$A:$ZZ,20,FALSE)+SUM(_xlfn.XLOOKUP($S197:$AL197,增益!$A:$A,增益!$T:$T,0))</f>
        <v>1.35</v>
      </c>
      <c r="BT197" s="33">
        <f t="shared" si="58"/>
        <v>0.86580831</v>
      </c>
      <c r="BU197" s="33">
        <f t="shared" si="59"/>
        <v>0.02208246</v>
      </c>
      <c r="BV197" s="33">
        <f>IF(VLOOKUP($R197,武学奇术!$A:$ZZ,22,FALSE)=1,0,(1-$BO197))*(1-$BR197)</f>
        <v>0.02080923</v>
      </c>
      <c r="BW197" s="33" cm="1">
        <f t="array" ref="BW197">SUM(_xlfn.XLOOKUP($S197:$AL197,增益!$A:$A,增益!$W:$W,0))+$I$5</f>
        <v>0.11</v>
      </c>
      <c r="BX197" s="33" cm="1">
        <f t="array" ref="BX197">VLOOKUP($R197,武学奇术!$A:$ZZ,32,FALSE)+SUM(_xlfn.XLOOKUP($S197:$AL197,增益!$A:$A,增益!$X:$X,0))</f>
        <v>0</v>
      </c>
    </row>
    <row r="198" spans="12:76">
      <c r="L198" s="46">
        <f t="shared" si="49"/>
        <v>0</v>
      </c>
      <c r="M198" s="46">
        <f>((($AT198+$AU198)/2*$AN198+$AO198)*(1+$AV198)*(1+$AW198)+(($AY198+$AZ198)/2*IF($G$1="鸣金",$AP198,$AN198)+IF($G$1="鸣金",$AQ198*1.5,0))*(1+$BA198)*(1+$BB198)+(($BC198+$BD198)/2*IF($G$1="裂石",$AP198,$AN198)+IF($G$1="裂石",$AQ198*1.5,0))*(1+$BE198)*(1+$BF198)+(($BG198+$BH198)/2*IF($G$1="牵丝",$AP198,$AN198)+IF($G$1="牵丝",$AQ198*1.5,0))*(1+$BI198)*(1+$BJ198)+(($BK198+$BL198)/2*IF($G$1="破竹",$AP198,$AN198)+IF($G$1="破竹",$AQ198*1.5,0))*(1+$BM198)*(1+$BN198))*(1+$AR198)*$BQ198*$Q198*(1+IF(VLOOKUP($R198,武学奇术!$A:$ZZ,30,FALSE)="蓄力技",$B$21,0))*(1+IF(VLOOKUP($R198,武学奇术!$A:$ZZ,30,FALSE)="派生技",$B$20,0))*(1+$BW198)*(1+$BX198)</f>
        <v>0</v>
      </c>
      <c r="N198" s="46">
        <f>(($AU198*$AN198+$AO198)*(1+$AV198)*(1+$AW198)+($AZ198*IF($G$1="鸣金",$AP198,$AN198)+IF($G$1="鸣金",$AQ198*1.5,0))*(1+$BA198)*(1+$BB198)+($BD198*IF($G$1="裂石",$AP198,$AN198)+IF($G$1="裂石",$AQ198*1.5,0))*(1+$BE198)*(1+$BF198)+($BH198*IF($G$1="牵丝",$AP198,$AN198)+IF($G$1="牵丝",$AQ198*1.5,0))*(1+$BI198)*(1+$BJ198)+($BL198*IF($G$1="破竹",$AP198,$AN198)+IF($G$1="破竹",$AQ198*1.5,0))*(1+$BM198)*(1+$BN198))*(1+$AR198)*$BS198*$Q198*(1+IF(VLOOKUP($R198,武学奇术!$A:$ZZ,30,FALSE)="蓄力技",$B$21,0))*(1+IF(VLOOKUP($R198,武学奇术!$A:$ZZ,30,FALSE)="派生技",$B$20,0))*(1+$BW198)*(1+$BX198)</f>
        <v>0</v>
      </c>
      <c r="O198" s="46">
        <f>((($AT198+$AU198)/2*$AN198+$AO198)*(1+$AV198)*(1+$AW198)+(($AY198+$AZ198)/2*IF($G$1="鸣金",$AP198,$AN198)+IF($G$1="鸣金",$AQ198*1.5,0))*(1+$BA198)*(1+$BB198)+(($BC198+$BD198)/2*IF($G$1="裂石",$AP198,$AN198)+IF($G$1="裂石",$AQ198*1.5,0))*(1+$BE198)*(1+$BF198)+(($BG198+$BH198)/2*IF($G$1="牵丝",$AP198,$AN198)+IF($G$1="牵丝",$AQ198*1.5,0))*(1+$BI198)*(1+$BJ198)+(($BK198+$BL198)/2*IF($G$1="破竹",$AP198,$AN198)+IF($G$1="破竹",$AQ198*1.5,0))*(1+$BM198)*(1+$BN198))*(1+$AR198)*$Q198*(1+IF(VLOOKUP($R198,武学奇术!$A:$ZZ,30,FALSE)="蓄力技",$B$21,0))*(1+IF(VLOOKUP($R198,武学奇术!$A:$ZZ,30,FALSE)="派生技",$B$20,0))*(1+$BW198)*(1+$BX198)</f>
        <v>0</v>
      </c>
      <c r="P198" s="46">
        <f>((($AT198*$AN198+$AO198)*(1+$AV198)*(1+$AW198)+($AY198*IF($G$1="鸣金",$AP198,$AN198)+IF($G$1="鸣金",$AQ198*1.5,0))*(1+$BA198)*(1+$BB198)+($BC198*IF($G$1="裂石",$AP198,$AN198)+IF($G$1="裂石",$AQ198*1.5,0))*(1+$BE198)*(1+$BF198)+($BG198*IF($G$1="牵丝",$AP198,$AN198)+IF($G$1="牵丝",$AQ198*1.5,0))*(1+$BI198)*(1+$BJ198)+($BK198*IF($G$1="破竹",$AP198,$AN198)+IF($G$1="破竹",$AQ198*1.5,0))*(1+$BM198)*(1+$BN198))*(1+$AR198))*$Q198*(1+IF(VLOOKUP($R198,武学奇术!$A:$ZZ,30,FALSE)="蓄力技",$B$21,0))*(1+IF(VLOOKUP($R198,武学奇术!$A:$ZZ,30,FALSE)="派生技",$B$20,0))*(1+$BW198)*(1+$BX198)</f>
        <v>0</v>
      </c>
      <c r="Q198" s="47">
        <f>IF($E$24="唐刀",0.45,0)</f>
        <v>0</v>
      </c>
      <c r="R198" s="48" t="s">
        <v>165</v>
      </c>
      <c r="S198" s="48" t="s">
        <v>99</v>
      </c>
      <c r="T198" s="48" t="s">
        <v>182</v>
      </c>
      <c r="U198" s="48" t="s">
        <v>79</v>
      </c>
      <c r="V198" s="48" t="s">
        <v>90</v>
      </c>
      <c r="W198" s="48" t="s">
        <v>91</v>
      </c>
      <c r="X198" s="48" t="s">
        <v>80</v>
      </c>
      <c r="Y198" s="48" t="s">
        <v>80</v>
      </c>
      <c r="Z198" s="48" t="s">
        <v>80</v>
      </c>
      <c r="AA198" s="48" t="s">
        <v>80</v>
      </c>
      <c r="AB198" s="48" t="s">
        <v>80</v>
      </c>
      <c r="AC198" s="48" t="s">
        <v>80</v>
      </c>
      <c r="AD198" s="48" t="s">
        <v>80</v>
      </c>
      <c r="AE198" s="48" t="s">
        <v>80</v>
      </c>
      <c r="AF198" s="48" t="s">
        <v>83</v>
      </c>
      <c r="AG198" s="48" t="s">
        <v>84</v>
      </c>
      <c r="AH198" s="48" t="s">
        <v>80</v>
      </c>
      <c r="AI198" s="48" t="s">
        <v>80</v>
      </c>
      <c r="AJ198" s="48" t="s">
        <v>80</v>
      </c>
      <c r="AK198" s="48" t="s">
        <v>80</v>
      </c>
      <c r="AL198" s="48" t="s">
        <v>80</v>
      </c>
      <c r="AM198" t="str">
        <f>VLOOKUP($R198,武学奇术!$A:$ZZ,25,FALSE)</f>
        <v>单体奇术</v>
      </c>
      <c r="AN198" s="33">
        <f>VLOOKUP($R198,武学奇术!$A:$ZZ,26,FALSE)</f>
        <v>7.1094</v>
      </c>
      <c r="AO198" s="34">
        <f>VLOOKUP($R198,武学奇术!$A:$ZZ,27,FALSE)*(1+IF(OR($AM198=$F$4,$AM198=$F$5),$B$22,0))</f>
        <v>1420</v>
      </c>
      <c r="AP198" s="33">
        <f>VLOOKUP($R198,武学奇术!$A:$ZZ,28,FALSE)</f>
        <v>10.6641</v>
      </c>
      <c r="AQ198" s="34">
        <f>VLOOKUP($R198,武学奇术!$A:$ZZ,29,FALSE)*(1+IF(OR($AM198=$F$4,$AM198=$F$5),$B$22,0))</f>
        <v>0</v>
      </c>
      <c r="AR198" s="33" cm="1">
        <f t="array" ref="AR198">$G$3+IFERROR(VLOOKUP($AM198,$F$4:$G$7,2,FALSE),0)+VLOOKUP($R198,武学奇术!$A:$ZZ,2,FALSE)+SUM(_xlfn.XLOOKUP($S198:$AL198,增益!$A:$A,增益!$B:$B,0))</f>
        <v>0.3642</v>
      </c>
      <c r="AS198" s="33" cm="1">
        <f t="array" ref="AS198">VLOOKUP($R198,武学奇术!$A:$ZZ,5,FALSE)+SUM(_xlfn.XLOOKUP($S198:$AL198,增益!$A:$A,增益!$E:$E,0))</f>
        <v>0</v>
      </c>
      <c r="AT198" cm="1">
        <f t="array" ref="AT198">$D$10*(1+$AS198)+VLOOKUP($R198,武学奇术!$A:$ZZ,3,FALSE)+SUM(_xlfn.XLOOKUP($S198:$AL198,增益!$A:$A,增益!$C:$C,0))-$I$2</f>
        <v>4026</v>
      </c>
      <c r="AU198" cm="1">
        <f t="array" ref="AU198">$E$10*(1+$AS198)+VLOOKUP($R198,武学奇术!$A:$ZZ,4,FALSE)+SUM(_xlfn.XLOOKUP($S198:$AL198,增益!$A:$A,增益!$D:$D,0))-$I$2</f>
        <v>4026</v>
      </c>
      <c r="AV198" s="40" cm="1">
        <f t="array" ref="AV198">IF($F$10-$I$3+VLOOKUP($R198,武学奇术!$A:$ZZ,6,FALSE)+SUM(_xlfn.XLOOKUP($S198:$AL198,增益!$A:$A,增益!$F:$F,0))&gt;0,($F$10-$I$3+VLOOKUP($R198,武学奇术!$A:$ZZ,6,FALSE)+SUM(_xlfn.XLOOKUP($S198:$AL198,增益!$A:$A,增益!$F:$F,0)))/200,($F$10-$I$3+VLOOKUP($R198,武学奇术!$A:$ZZ,6,FALSE)+SUM(_xlfn.XLOOKUP($S198:$AL198,增益!$A:$A,增益!$F:$F,0)))/100)</f>
        <v>0.3284</v>
      </c>
      <c r="AW198" s="40" cm="1">
        <f t="array" ref="AW198">$G$10+VLOOKUP($R198,武学奇术!$A:$ZZ,7,FALSE)+SUM(_xlfn.XLOOKUP($S198:$AL198,增益!$A:$A,增益!$G:$G,0))</f>
        <v>0.12</v>
      </c>
      <c r="AX198" s="33" cm="1">
        <f t="array" ref="AX198">VLOOKUP($R198,武学奇术!$A:$ZZ,8,FALSE)+SUM(_xlfn.XLOOKUP($S198:$AL198,增益!$A:$A,增益!$H:$H,0))</f>
        <v>0</v>
      </c>
      <c r="AY198">
        <f t="shared" si="50"/>
        <v>0</v>
      </c>
      <c r="AZ198">
        <f t="shared" si="51"/>
        <v>0</v>
      </c>
      <c r="BA198" s="40" cm="1">
        <f t="array" ref="BA198">IF($F$11-$I$4+VLOOKUP($R198,武学奇术!$A:$ZZ,9,FALSE)+SUM(_xlfn.XLOOKUP($S198:$AL198,增益!$A:$A,增益!$I:$I,0))&gt;0,($F$11-$I$4+VLOOKUP($R198,武学奇术!$A:$ZZ,9,FALSE)+SUM(_xlfn.XLOOKUP($S198:$AL198,增益!$A:$A,增益!$I:$I,0)))/200,($F$11-$I$4+VLOOKUP($R198,武学奇术!$A:$ZZ,9,FALSE)+SUM(_xlfn.XLOOKUP($S198:$AL198,增益!$A:$A,增益!$I:$I,0)))/100)</f>
        <v>-0.14</v>
      </c>
      <c r="BB198" s="40" cm="1">
        <f t="array" ref="BB198">$G$11+VLOOKUP($R198,武学奇术!$A:$ZZ,10,FALSE)+SUM(_xlfn.XLOOKUP($S198:$AL198,增益!$A:$A,增益!$J:$J,0))</f>
        <v>0</v>
      </c>
      <c r="BC198">
        <f t="shared" si="52"/>
        <v>640.3</v>
      </c>
      <c r="BD198">
        <f t="shared" si="53"/>
        <v>1770.1</v>
      </c>
      <c r="BE198" s="40" cm="1">
        <f t="array" ref="BE198">IF($F$12-$I$4+VLOOKUP($R198,武学奇术!$A:$ZZ,11,FALSE)+SUM(_xlfn.XLOOKUP($S198:$AL198,增益!$A:$A,增益!$K:$K,0))&gt;0,($F$12-$I$4+VLOOKUP($R198,武学奇术!$A:$ZZ,11,FALSE)+SUM(_xlfn.XLOOKUP($S198:$AL198,增益!$A:$A,增益!$K:$K,0)))/200,($F$12-$I$4+VLOOKUP($R198,武学奇术!$A:$ZZ,11,FALSE)+SUM(_xlfn.XLOOKUP($S198:$AL198,增益!$A:$A,增益!$K:$K,0)))/100)</f>
        <v>0.17</v>
      </c>
      <c r="BF198" s="40" cm="1">
        <f t="array" ref="BF198">$G$12+VLOOKUP($R198,武学奇术!$A:$ZZ,12,FALSE)+SUM(_xlfn.XLOOKUP($S198:$AL198,增益!$A:$A,增益!$L:$L,0))</f>
        <v>0.27</v>
      </c>
      <c r="BG198">
        <f t="shared" si="54"/>
        <v>0</v>
      </c>
      <c r="BH198">
        <f t="shared" si="55"/>
        <v>0</v>
      </c>
      <c r="BI198" s="40" cm="1">
        <f t="array" ref="BI198">IF($F$13-$I$4+VLOOKUP($R198,武学奇术!$A:$ZZ,13,FALSE)+SUM(_xlfn.XLOOKUP($S198:$AL198,增益!$A:$A,增益!$M:$M,0))&gt;0,($F$13-$I$4+VLOOKUP($R198,武学奇术!$A:$ZZ,13,FALSE)+SUM(_xlfn.XLOOKUP($S198:$AL198,增益!$A:$A,增益!$K:$K,0)))/200,($F$13-$I$4+VLOOKUP($R198,武学奇术!$A:$ZZ,13,FALSE)+SUM(_xlfn.XLOOKUP($S198:$AL198,增益!$A:$A,增益!$M:$M,0)))/100)</f>
        <v>-0.14</v>
      </c>
      <c r="BJ198" s="40" cm="1">
        <f t="array" ref="BJ198">$G$13+VLOOKUP($R198,武学奇术!$A:$ZZ,14,FALSE)+SUM(_xlfn.XLOOKUP($S198:$AL198,增益!$A:$A,增益!$N:$N,0))</f>
        <v>0</v>
      </c>
      <c r="BK198">
        <f t="shared" si="56"/>
        <v>0</v>
      </c>
      <c r="BL198">
        <f t="shared" si="57"/>
        <v>0</v>
      </c>
      <c r="BM198" s="40" cm="1">
        <f t="array" ref="BM198">IF($F$14-$I$4+VLOOKUP($R198,武学奇术!$A:$ZZ,15,FALSE)+SUM(_xlfn.XLOOKUP($S198:$AL198,增益!$A:$A,增益!$O:$O,0))&gt;0,($F$14-$I$4+VLOOKUP($R198,武学奇术!$A:$ZZ,15,FALSE)+SUM(_xlfn.XLOOKUP($S198:$AL198,增益!$A:$A,增益!$O:$O,0)))/200,($F$14-$I$4+VLOOKUP($R198,武学奇术!$A:$ZZ,15,FALSE)+SUM(_xlfn.XLOOKUP($S198:$AL198,增益!$A:$A,增益!$O:$O,0)))/100)</f>
        <v>-0.14</v>
      </c>
      <c r="BN198" s="40" cm="1">
        <f t="array" ref="BN198">$G$14+VLOOKUP($R198,武学奇术!$A:$ZZ,16,FALSE)+SUM(_xlfn.XLOOKUP($S198:$AL198,增益!$A:$A,增益!$P:$P,0))</f>
        <v>0</v>
      </c>
      <c r="BO198" s="33">
        <f>MIN(IF(VLOOKUP($R198,武学奇术!$A:$ZZ,23,FALSE)=1,100%,$B$8),100%)</f>
        <v>0.9771</v>
      </c>
      <c r="BP198" s="33" cm="1">
        <f t="array" ref="BP198">IF(VLOOKUP($R198,武学奇术!$A:$ZZ,23,FALSE)=1,100%,MIN(80%,$B$9+VLOOKUP($R198,武学奇术!$A:$ZZ,17,FALSE)+SUM(_xlfn.XLOOKUP($S198:$AL198,增益!$A:$A,增益!$Q:$Q,0)))+$B$11+SUM(_xlfn.XLOOKUP($S198:$AL198,增益!$A:$A,增益!$U:$U,0)))*IF(VLOOKUP($R198,武学奇术!$A:$ZZ,24,FALSE)=1,0,1)</f>
        <v>0.8861</v>
      </c>
      <c r="BQ198" s="33" cm="1">
        <f t="array" ref="BQ198">1+$B$13+VLOOKUP($R198,武学奇术!$A:$ZZ,18,FALSE)+SUM(_xlfn.XLOOKUP($S198:$AL198,增益!$A:$A,增益!$R:$R,0))</f>
        <v>1.95</v>
      </c>
      <c r="BR198" s="33" cm="1">
        <f t="array" ref="BR198">IF(VLOOKUP($R198,武学奇术!$A:$ZZ,24,FALSE)=1,100%,MIN(40%,$B$10+VLOOKUP($R198,武学奇术!$A:$ZZ,19,FALSE)+SUM(_xlfn.XLOOKUP($S198:$AL198,增益!$A:$A,增益!$S:$S,0)))+$B$12+SUM(_xlfn.XLOOKUP($S198:$AL198,增益!$A:$A,增益!$V:$V,0)))*IF(VLOOKUP($R198,武学奇术!$A:$ZZ,23,FALSE)=1,0,1)</f>
        <v>0.0913</v>
      </c>
      <c r="BS198" s="33" cm="1">
        <f t="array" ref="BS198">1+$B$14+VLOOKUP($R198,武学奇术!$A:$ZZ,20,FALSE)+SUM(_xlfn.XLOOKUP($S198:$AL198,增益!$A:$A,增益!$T:$T,0))</f>
        <v>1.35</v>
      </c>
      <c r="BT198" s="33">
        <f t="shared" si="58"/>
        <v>0.86580831</v>
      </c>
      <c r="BU198" s="33">
        <f t="shared" si="59"/>
        <v>0.02208246</v>
      </c>
      <c r="BV198" s="33">
        <f>IF(VLOOKUP($R198,武学奇术!$A:$ZZ,22,FALSE)=1,0,(1-$BO198))*(1-$BR198)</f>
        <v>0.02080923</v>
      </c>
      <c r="BW198" s="33" cm="1">
        <f t="array" ref="BW198">SUM(_xlfn.XLOOKUP($S198:$AL198,增益!$A:$A,增益!$W:$W,0))+$I$5</f>
        <v>0.11</v>
      </c>
      <c r="BX198" s="33" cm="1">
        <f t="array" ref="BX198">VLOOKUP($R198,武学奇术!$A:$ZZ,32,FALSE)+SUM(_xlfn.XLOOKUP($S198:$AL198,增益!$A:$A,增益!$X:$X,0))</f>
        <v>0</v>
      </c>
    </row>
    <row r="199" spans="12:76">
      <c r="L199" s="46">
        <f t="shared" si="49"/>
        <v>0</v>
      </c>
      <c r="M199" s="46">
        <f>((($AT199+$AU199)/2*$AN199+$AO199)*(1+$AV199)*(1+$AW199)+(($AY199+$AZ199)/2*IF($G$1="鸣金",$AP199,$AN199)+IF($G$1="鸣金",$AQ199*1.5,0))*(1+$BA199)*(1+$BB199)+(($BC199+$BD199)/2*IF($G$1="裂石",$AP199,$AN199)+IF($G$1="裂石",$AQ199*1.5,0))*(1+$BE199)*(1+$BF199)+(($BG199+$BH199)/2*IF($G$1="牵丝",$AP199,$AN199)+IF($G$1="牵丝",$AQ199*1.5,0))*(1+$BI199)*(1+$BJ199)+(($BK199+$BL199)/2*IF($G$1="破竹",$AP199,$AN199)+IF($G$1="破竹",$AQ199*1.5,0))*(1+$BM199)*(1+$BN199))*(1+$AR199)*$BQ199*$Q199*(1+IF(VLOOKUP($R199,武学奇术!$A:$ZZ,30,FALSE)="蓄力技",$B$21,0))*(1+IF(VLOOKUP($R199,武学奇术!$A:$ZZ,30,FALSE)="派生技",$B$20,0))*(1+$BW199)*(1+$BX199)</f>
        <v>0</v>
      </c>
      <c r="N199" s="46">
        <f>(($AU199*$AN199+$AO199)*(1+$AV199)*(1+$AW199)+($AZ199*IF($G$1="鸣金",$AP199,$AN199)+IF($G$1="鸣金",$AQ199*1.5,0))*(1+$BA199)*(1+$BB199)+($BD199*IF($G$1="裂石",$AP199,$AN199)+IF($G$1="裂石",$AQ199*1.5,0))*(1+$BE199)*(1+$BF199)+($BH199*IF($G$1="牵丝",$AP199,$AN199)+IF($G$1="牵丝",$AQ199*1.5,0))*(1+$BI199)*(1+$BJ199)+($BL199*IF($G$1="破竹",$AP199,$AN199)+IF($G$1="破竹",$AQ199*1.5,0))*(1+$BM199)*(1+$BN199))*(1+$AR199)*$BS199*$Q199*(1+IF(VLOOKUP($R199,武学奇术!$A:$ZZ,30,FALSE)="蓄力技",$B$21,0))*(1+IF(VLOOKUP($R199,武学奇术!$A:$ZZ,30,FALSE)="派生技",$B$20,0))*(1+$BW199)*(1+$BX199)</f>
        <v>0</v>
      </c>
      <c r="O199" s="46">
        <f>((($AT199+$AU199)/2*$AN199+$AO199)*(1+$AV199)*(1+$AW199)+(($AY199+$AZ199)/2*IF($G$1="鸣金",$AP199,$AN199)+IF($G$1="鸣金",$AQ199*1.5,0))*(1+$BA199)*(1+$BB199)+(($BC199+$BD199)/2*IF($G$1="裂石",$AP199,$AN199)+IF($G$1="裂石",$AQ199*1.5,0))*(1+$BE199)*(1+$BF199)+(($BG199+$BH199)/2*IF($G$1="牵丝",$AP199,$AN199)+IF($G$1="牵丝",$AQ199*1.5,0))*(1+$BI199)*(1+$BJ199)+(($BK199+$BL199)/2*IF($G$1="破竹",$AP199,$AN199)+IF($G$1="破竹",$AQ199*1.5,0))*(1+$BM199)*(1+$BN199))*(1+$AR199)*$Q199*(1+IF(VLOOKUP($R199,武学奇术!$A:$ZZ,30,FALSE)="蓄力技",$B$21,0))*(1+IF(VLOOKUP($R199,武学奇术!$A:$ZZ,30,FALSE)="派生技",$B$20,0))*(1+$BW199)*(1+$BX199)</f>
        <v>0</v>
      </c>
      <c r="P199" s="46">
        <f>((($AT199*$AN199+$AO199)*(1+$AV199)*(1+$AW199)+($AY199*IF($G$1="鸣金",$AP199,$AN199)+IF($G$1="鸣金",$AQ199*1.5,0))*(1+$BA199)*(1+$BB199)+($BC199*IF($G$1="裂石",$AP199,$AN199)+IF($G$1="裂石",$AQ199*1.5,0))*(1+$BE199)*(1+$BF199)+($BG199*IF($G$1="牵丝",$AP199,$AN199)+IF($G$1="牵丝",$AQ199*1.5,0))*(1+$BI199)*(1+$BJ199)+($BK199*IF($G$1="破竹",$AP199,$AN199)+IF($G$1="破竹",$AQ199*1.5,0))*(1+$BM199)*(1+$BN199))*(1+$AR199))*$Q199*(1+IF(VLOOKUP($R199,武学奇术!$A:$ZZ,30,FALSE)="蓄力技",$B$21,0))*(1+IF(VLOOKUP($R199,武学奇术!$A:$ZZ,30,FALSE)="派生技",$B$20,0))*(1+$BW199)*(1+$BX199)</f>
        <v>0</v>
      </c>
      <c r="Q199" s="47">
        <f t="shared" si="60"/>
        <v>0</v>
      </c>
      <c r="R199" s="48" t="s">
        <v>199</v>
      </c>
      <c r="S199" s="48" t="s">
        <v>99</v>
      </c>
      <c r="T199" s="48" t="s">
        <v>182</v>
      </c>
      <c r="U199" s="48" t="s">
        <v>79</v>
      </c>
      <c r="V199" s="48" t="s">
        <v>90</v>
      </c>
      <c r="W199" s="48" t="s">
        <v>141</v>
      </c>
      <c r="X199" s="48" t="s">
        <v>80</v>
      </c>
      <c r="Y199" s="48" t="s">
        <v>74</v>
      </c>
      <c r="Z199" s="48" t="s">
        <v>80</v>
      </c>
      <c r="AA199" s="48" t="s">
        <v>80</v>
      </c>
      <c r="AB199" s="48" t="s">
        <v>80</v>
      </c>
      <c r="AC199" s="48" t="s">
        <v>80</v>
      </c>
      <c r="AD199" s="48" t="s">
        <v>80</v>
      </c>
      <c r="AE199" s="48" t="s">
        <v>80</v>
      </c>
      <c r="AF199" s="48" t="s">
        <v>83</v>
      </c>
      <c r="AG199" s="48" t="s">
        <v>84</v>
      </c>
      <c r="AH199" s="48" t="s">
        <v>80</v>
      </c>
      <c r="AI199" s="48" t="s">
        <v>80</v>
      </c>
      <c r="AJ199" s="48" t="s">
        <v>80</v>
      </c>
      <c r="AK199" s="48" t="s">
        <v>80</v>
      </c>
      <c r="AL199" s="48" t="s">
        <v>80</v>
      </c>
      <c r="AM199" t="str">
        <f>VLOOKUP($R199,武学奇术!$A:$ZZ,25,FALSE)</f>
        <v>横刀</v>
      </c>
      <c r="AN199" s="33">
        <f>VLOOKUP($R199,武学奇术!$A:$ZZ,26,FALSE)</f>
        <v>2.8245</v>
      </c>
      <c r="AO199" s="34">
        <f>VLOOKUP($R199,武学奇术!$A:$ZZ,27,FALSE)*(1+IF(OR($AM199=$F$4,$AM199=$F$5),$B$22,0))</f>
        <v>1251.2</v>
      </c>
      <c r="AP199" s="33">
        <f>VLOOKUP($R199,武学奇术!$A:$ZZ,28,FALSE)</f>
        <v>4.236808</v>
      </c>
      <c r="AQ199" s="34">
        <f>VLOOKUP($R199,武学奇术!$A:$ZZ,29,FALSE)*(1+IF(OR($AM199=$F$4,$AM199=$F$5),$B$22,0))</f>
        <v>680</v>
      </c>
      <c r="AR199" s="33" cm="1">
        <f t="array" ref="AR199">$G$3+IFERROR(VLOOKUP($AM199,$F$4:$G$7,2,FALSE),0)+VLOOKUP($R199,武学奇术!$A:$ZZ,2,FALSE)+SUM(_xlfn.XLOOKUP($S199:$AL199,增益!$A:$A,增益!$B:$B,0))</f>
        <v>0.6289</v>
      </c>
      <c r="AS199" s="33" cm="1">
        <f t="array" ref="AS199">VLOOKUP($R199,武学奇术!$A:$ZZ,5,FALSE)+SUM(_xlfn.XLOOKUP($S199:$AL199,增益!$A:$A,增益!$E:$E,0))</f>
        <v>0</v>
      </c>
      <c r="AT199" cm="1">
        <f t="array" ref="AT199">$D$10*(1+$AS199)+VLOOKUP($R199,武学奇术!$A:$ZZ,3,FALSE)+SUM(_xlfn.XLOOKUP($S199:$AL199,增益!$A:$A,增益!$C:$C,0))-$I$2</f>
        <v>4026</v>
      </c>
      <c r="AU199" cm="1">
        <f t="array" ref="AU199">$E$10*(1+$AS199)+VLOOKUP($R199,武学奇术!$A:$ZZ,4,FALSE)+SUM(_xlfn.XLOOKUP($S199:$AL199,增益!$A:$A,增益!$D:$D,0))-$I$2</f>
        <v>4026</v>
      </c>
      <c r="AV199" s="40" cm="1">
        <f t="array" ref="AV199">IF($F$10-$I$3+VLOOKUP($R199,武学奇术!$A:$ZZ,6,FALSE)+SUM(_xlfn.XLOOKUP($S199:$AL199,增益!$A:$A,增益!$F:$F,0))&gt;0,($F$10-$I$3+VLOOKUP($R199,武学奇术!$A:$ZZ,6,FALSE)+SUM(_xlfn.XLOOKUP($S199:$AL199,增益!$A:$A,增益!$F:$F,0)))/200,($F$10-$I$3+VLOOKUP($R199,武学奇术!$A:$ZZ,6,FALSE)+SUM(_xlfn.XLOOKUP($S199:$AL199,增益!$A:$A,增益!$F:$F,0)))/100)</f>
        <v>0.3534</v>
      </c>
      <c r="AW199" s="40" cm="1">
        <f t="array" ref="AW199">$G$10+VLOOKUP($R199,武学奇术!$A:$ZZ,7,FALSE)+SUM(_xlfn.XLOOKUP($S199:$AL199,增益!$A:$A,增益!$G:$G,0))</f>
        <v>0.12</v>
      </c>
      <c r="AX199" s="33" cm="1">
        <f t="array" ref="AX199">VLOOKUP($R199,武学奇术!$A:$ZZ,8,FALSE)+SUM(_xlfn.XLOOKUP($S199:$AL199,增益!$A:$A,增益!$H:$H,0))</f>
        <v>0</v>
      </c>
      <c r="AY199">
        <f t="shared" si="50"/>
        <v>0</v>
      </c>
      <c r="AZ199">
        <f t="shared" si="51"/>
        <v>0</v>
      </c>
      <c r="BA199" s="40" cm="1">
        <f t="array" ref="BA199">IF($F$11-$I$4+VLOOKUP($R199,武学奇术!$A:$ZZ,9,FALSE)+SUM(_xlfn.XLOOKUP($S199:$AL199,增益!$A:$A,增益!$I:$I,0))&gt;0,($F$11-$I$4+VLOOKUP($R199,武学奇术!$A:$ZZ,9,FALSE)+SUM(_xlfn.XLOOKUP($S199:$AL199,增益!$A:$A,增益!$I:$I,0)))/200,($F$11-$I$4+VLOOKUP($R199,武学奇术!$A:$ZZ,9,FALSE)+SUM(_xlfn.XLOOKUP($S199:$AL199,增益!$A:$A,增益!$I:$I,0)))/100)</f>
        <v>-0.14</v>
      </c>
      <c r="BB199" s="40" cm="1">
        <f t="array" ref="BB199">$G$11+VLOOKUP($R199,武学奇术!$A:$ZZ,10,FALSE)+SUM(_xlfn.XLOOKUP($S199:$AL199,增益!$A:$A,增益!$J:$J,0))</f>
        <v>0</v>
      </c>
      <c r="BC199">
        <f t="shared" si="52"/>
        <v>640.3</v>
      </c>
      <c r="BD199">
        <f t="shared" si="53"/>
        <v>1770.1</v>
      </c>
      <c r="BE199" s="40" cm="1">
        <f t="array" ref="BE199">IF($F$12-$I$4+VLOOKUP($R199,武学奇术!$A:$ZZ,11,FALSE)+SUM(_xlfn.XLOOKUP($S199:$AL199,增益!$A:$A,增益!$K:$K,0))&gt;0,($F$12-$I$4+VLOOKUP($R199,武学奇术!$A:$ZZ,11,FALSE)+SUM(_xlfn.XLOOKUP($S199:$AL199,增益!$A:$A,增益!$K:$K,0)))/200,($F$12-$I$4+VLOOKUP($R199,武学奇术!$A:$ZZ,11,FALSE)+SUM(_xlfn.XLOOKUP($S199:$AL199,增益!$A:$A,增益!$K:$K,0)))/100)</f>
        <v>0.17</v>
      </c>
      <c r="BF199" s="40" cm="1">
        <f t="array" ref="BF199">$G$12+VLOOKUP($R199,武学奇术!$A:$ZZ,12,FALSE)+SUM(_xlfn.XLOOKUP($S199:$AL199,增益!$A:$A,增益!$L:$L,0))</f>
        <v>0.27</v>
      </c>
      <c r="BG199">
        <f t="shared" si="54"/>
        <v>0</v>
      </c>
      <c r="BH199">
        <f t="shared" si="55"/>
        <v>0</v>
      </c>
      <c r="BI199" s="40" cm="1">
        <f t="array" ref="BI199">IF($F$13-$I$4+VLOOKUP($R199,武学奇术!$A:$ZZ,13,FALSE)+SUM(_xlfn.XLOOKUP($S199:$AL199,增益!$A:$A,增益!$M:$M,0))&gt;0,($F$13-$I$4+VLOOKUP($R199,武学奇术!$A:$ZZ,13,FALSE)+SUM(_xlfn.XLOOKUP($S199:$AL199,增益!$A:$A,增益!$K:$K,0)))/200,($F$13-$I$4+VLOOKUP($R199,武学奇术!$A:$ZZ,13,FALSE)+SUM(_xlfn.XLOOKUP($S199:$AL199,增益!$A:$A,增益!$M:$M,0)))/100)</f>
        <v>-0.14</v>
      </c>
      <c r="BJ199" s="40" cm="1">
        <f t="array" ref="BJ199">$G$13+VLOOKUP($R199,武学奇术!$A:$ZZ,14,FALSE)+SUM(_xlfn.XLOOKUP($S199:$AL199,增益!$A:$A,增益!$N:$N,0))</f>
        <v>0</v>
      </c>
      <c r="BK199">
        <f t="shared" si="56"/>
        <v>0</v>
      </c>
      <c r="BL199">
        <f t="shared" si="57"/>
        <v>0</v>
      </c>
      <c r="BM199" s="40" cm="1">
        <f t="array" ref="BM199">IF($F$14-$I$4+VLOOKUP($R199,武学奇术!$A:$ZZ,15,FALSE)+SUM(_xlfn.XLOOKUP($S199:$AL199,增益!$A:$A,增益!$O:$O,0))&gt;0,($F$14-$I$4+VLOOKUP($R199,武学奇术!$A:$ZZ,15,FALSE)+SUM(_xlfn.XLOOKUP($S199:$AL199,增益!$A:$A,增益!$O:$O,0)))/200,($F$14-$I$4+VLOOKUP($R199,武学奇术!$A:$ZZ,15,FALSE)+SUM(_xlfn.XLOOKUP($S199:$AL199,增益!$A:$A,增益!$O:$O,0)))/100)</f>
        <v>-0.14</v>
      </c>
      <c r="BN199" s="40" cm="1">
        <f t="array" ref="BN199">$G$14+VLOOKUP($R199,武学奇术!$A:$ZZ,16,FALSE)+SUM(_xlfn.XLOOKUP($S199:$AL199,增益!$A:$A,增益!$P:$P,0))</f>
        <v>0</v>
      </c>
      <c r="BO199" s="33">
        <f>MIN(IF(VLOOKUP($R199,武学奇术!$A:$ZZ,23,FALSE)=1,100%,$B$8),100%)</f>
        <v>0.9771</v>
      </c>
      <c r="BP199" s="33" cm="1">
        <f t="array" ref="BP199">IF(VLOOKUP($R199,武学奇术!$A:$ZZ,23,FALSE)=1,100%,MIN(80%,$B$9+VLOOKUP($R199,武学奇术!$A:$ZZ,17,FALSE)+SUM(_xlfn.XLOOKUP($S199:$AL199,增益!$A:$A,增益!$Q:$Q,0)))+$B$11+SUM(_xlfn.XLOOKUP($S199:$AL199,增益!$A:$A,增益!$U:$U,0)))*IF(VLOOKUP($R199,武学奇术!$A:$ZZ,24,FALSE)=1,0,1)</f>
        <v>0.8861</v>
      </c>
      <c r="BQ199" s="33" cm="1">
        <f t="array" ref="BQ199">1+$B$13+VLOOKUP($R199,武学奇术!$A:$ZZ,18,FALSE)+SUM(_xlfn.XLOOKUP($S199:$AL199,增益!$A:$A,增益!$R:$R,0))</f>
        <v>2</v>
      </c>
      <c r="BR199" s="33" cm="1">
        <f t="array" ref="BR199">IF(VLOOKUP($R199,武学奇术!$A:$ZZ,24,FALSE)=1,100%,MIN(40%,$B$10+VLOOKUP($R199,武学奇术!$A:$ZZ,19,FALSE)+SUM(_xlfn.XLOOKUP($S199:$AL199,增益!$A:$A,增益!$S:$S,0)))+$B$12+SUM(_xlfn.XLOOKUP($S199:$AL199,增益!$A:$A,增益!$V:$V,0)))*IF(VLOOKUP($R199,武学奇术!$A:$ZZ,23,FALSE)=1,0,1)</f>
        <v>0.0913</v>
      </c>
      <c r="BS199" s="33" cm="1">
        <f t="array" ref="BS199">1+$B$14+VLOOKUP($R199,武学奇术!$A:$ZZ,20,FALSE)+SUM(_xlfn.XLOOKUP($S199:$AL199,增益!$A:$A,增益!$T:$T,0))</f>
        <v>1.35</v>
      </c>
      <c r="BT199" s="33">
        <f t="shared" si="58"/>
        <v>0.86580831</v>
      </c>
      <c r="BU199" s="33">
        <f t="shared" si="59"/>
        <v>0.02208246</v>
      </c>
      <c r="BV199" s="33">
        <f>IF(VLOOKUP($R199,武学奇术!$A:$ZZ,22,FALSE)=1,0,(1-$BO199))*(1-$BR199)</f>
        <v>0.02080923</v>
      </c>
      <c r="BW199" s="33" cm="1">
        <f t="array" ref="BW199">SUM(_xlfn.XLOOKUP($S199:$AL199,增益!$A:$A,增益!$W:$W,0))+$I$5</f>
        <v>0.11</v>
      </c>
      <c r="BX199" s="33" cm="1">
        <f t="array" ref="BX199">VLOOKUP($R199,武学奇术!$A:$ZZ,32,FALSE)+SUM(_xlfn.XLOOKUP($S199:$AL199,增益!$A:$A,增益!$X:$X,0))</f>
        <v>0</v>
      </c>
    </row>
    <row r="200" spans="12:76">
      <c r="L200" s="46">
        <f t="shared" si="49"/>
        <v>0</v>
      </c>
      <c r="M200" s="46">
        <f>((($AT200+$AU200)/2*$AN200+$AO200)*(1+$AV200)*(1+$AW200)+(($AY200+$AZ200)/2*IF($G$1="鸣金",$AP200,$AN200)+IF($G$1="鸣金",$AQ200*1.5,0))*(1+$BA200)*(1+$BB200)+(($BC200+$BD200)/2*IF($G$1="裂石",$AP200,$AN200)+IF($G$1="裂石",$AQ200*1.5,0))*(1+$BE200)*(1+$BF200)+(($BG200+$BH200)/2*IF($G$1="牵丝",$AP200,$AN200)+IF($G$1="牵丝",$AQ200*1.5,0))*(1+$BI200)*(1+$BJ200)+(($BK200+$BL200)/2*IF($G$1="破竹",$AP200,$AN200)+IF($G$1="破竹",$AQ200*1.5,0))*(1+$BM200)*(1+$BN200))*(1+$AR200)*$BQ200*$Q200*(1+IF(VLOOKUP($R200,武学奇术!$A:$ZZ,30,FALSE)="蓄力技",$B$21,0))*(1+IF(VLOOKUP($R200,武学奇术!$A:$ZZ,30,FALSE)="派生技",$B$20,0))*(1+$BW200)*(1+$BX200)</f>
        <v>0</v>
      </c>
      <c r="N200" s="46">
        <f>(($AU200*$AN200+$AO200)*(1+$AV200)*(1+$AW200)+($AZ200*IF($G$1="鸣金",$AP200,$AN200)+IF($G$1="鸣金",$AQ200*1.5,0))*(1+$BA200)*(1+$BB200)+($BD200*IF($G$1="裂石",$AP200,$AN200)+IF($G$1="裂石",$AQ200*1.5,0))*(1+$BE200)*(1+$BF200)+($BH200*IF($G$1="牵丝",$AP200,$AN200)+IF($G$1="牵丝",$AQ200*1.5,0))*(1+$BI200)*(1+$BJ200)+($BL200*IF($G$1="破竹",$AP200,$AN200)+IF($G$1="破竹",$AQ200*1.5,0))*(1+$BM200)*(1+$BN200))*(1+$AR200)*$BS200*$Q200*(1+IF(VLOOKUP($R200,武学奇术!$A:$ZZ,30,FALSE)="蓄力技",$B$21,0))*(1+IF(VLOOKUP($R200,武学奇术!$A:$ZZ,30,FALSE)="派生技",$B$20,0))*(1+$BW200)*(1+$BX200)</f>
        <v>0</v>
      </c>
      <c r="O200" s="46">
        <f>((($AT200+$AU200)/2*$AN200+$AO200)*(1+$AV200)*(1+$AW200)+(($AY200+$AZ200)/2*IF($G$1="鸣金",$AP200,$AN200)+IF($G$1="鸣金",$AQ200*1.5,0))*(1+$BA200)*(1+$BB200)+(($BC200+$BD200)/2*IF($G$1="裂石",$AP200,$AN200)+IF($G$1="裂石",$AQ200*1.5,0))*(1+$BE200)*(1+$BF200)+(($BG200+$BH200)/2*IF($G$1="牵丝",$AP200,$AN200)+IF($G$1="牵丝",$AQ200*1.5,0))*(1+$BI200)*(1+$BJ200)+(($BK200+$BL200)/2*IF($G$1="破竹",$AP200,$AN200)+IF($G$1="破竹",$AQ200*1.5,0))*(1+$BM200)*(1+$BN200))*(1+$AR200)*$Q200*(1+IF(VLOOKUP($R200,武学奇术!$A:$ZZ,30,FALSE)="蓄力技",$B$21,0))*(1+IF(VLOOKUP($R200,武学奇术!$A:$ZZ,30,FALSE)="派生技",$B$20,0))*(1+$BW200)*(1+$BX200)</f>
        <v>0</v>
      </c>
      <c r="P200" s="46">
        <f>((($AT200*$AN200+$AO200)*(1+$AV200)*(1+$AW200)+($AY200*IF($G$1="鸣金",$AP200,$AN200)+IF($G$1="鸣金",$AQ200*1.5,0))*(1+$BA200)*(1+$BB200)+($BC200*IF($G$1="裂石",$AP200,$AN200)+IF($G$1="裂石",$AQ200*1.5,0))*(1+$BE200)*(1+$BF200)+($BG200*IF($G$1="牵丝",$AP200,$AN200)+IF($G$1="牵丝",$AQ200*1.5,0))*(1+$BI200)*(1+$BJ200)+($BK200*IF($G$1="破竹",$AP200,$AN200)+IF($G$1="破竹",$AQ200*1.5,0))*(1+$BM200)*(1+$BN200))*(1+$AR200))*$Q200*(1+IF(VLOOKUP($R200,武学奇术!$A:$ZZ,30,FALSE)="蓄力技",$B$21,0))*(1+IF(VLOOKUP($R200,武学奇术!$A:$ZZ,30,FALSE)="派生技",$B$20,0))*(1+$BW200)*(1+$BX200)</f>
        <v>0</v>
      </c>
      <c r="Q200" s="47">
        <f t="shared" si="60"/>
        <v>0</v>
      </c>
      <c r="R200" s="48" t="s">
        <v>122</v>
      </c>
      <c r="S200" s="48" t="s">
        <v>99</v>
      </c>
      <c r="T200" s="48" t="s">
        <v>182</v>
      </c>
      <c r="U200" s="48" t="s">
        <v>79</v>
      </c>
      <c r="V200" s="48" t="s">
        <v>90</v>
      </c>
      <c r="W200" s="48" t="s">
        <v>141</v>
      </c>
      <c r="X200" s="48" t="s">
        <v>80</v>
      </c>
      <c r="Y200" s="48" t="s">
        <v>74</v>
      </c>
      <c r="Z200" s="48" t="s">
        <v>80</v>
      </c>
      <c r="AA200" s="48" t="s">
        <v>80</v>
      </c>
      <c r="AB200" s="48" t="s">
        <v>80</v>
      </c>
      <c r="AC200" s="48" t="s">
        <v>80</v>
      </c>
      <c r="AD200" s="48" t="s">
        <v>80</v>
      </c>
      <c r="AE200" s="48" t="s">
        <v>80</v>
      </c>
      <c r="AF200" s="48" t="s">
        <v>83</v>
      </c>
      <c r="AG200" s="48" t="s">
        <v>84</v>
      </c>
      <c r="AH200" s="48" t="s">
        <v>80</v>
      </c>
      <c r="AI200" s="48" t="s">
        <v>80</v>
      </c>
      <c r="AJ200" s="48" t="s">
        <v>80</v>
      </c>
      <c r="AK200" s="48" t="s">
        <v>80</v>
      </c>
      <c r="AL200" s="48" t="s">
        <v>80</v>
      </c>
      <c r="AM200" t="str">
        <f>VLOOKUP($R200,武学奇术!$A:$ZZ,25,FALSE)</f>
        <v>横刀</v>
      </c>
      <c r="AN200" s="33">
        <f>VLOOKUP($R200,武学奇术!$A:$ZZ,26,FALSE)</f>
        <v>1.47</v>
      </c>
      <c r="AO200" s="34">
        <f>VLOOKUP($R200,武学奇术!$A:$ZZ,27,FALSE)*(1+IF(OR($AM200=$F$4,$AM200=$F$5),$B$22,0))</f>
        <v>0</v>
      </c>
      <c r="AP200" s="33">
        <f>VLOOKUP($R200,武学奇术!$A:$ZZ,28,FALSE)</f>
        <v>2.205</v>
      </c>
      <c r="AQ200" s="34">
        <f>VLOOKUP($R200,武学奇术!$A:$ZZ,29,FALSE)*(1+IF(OR($AM200=$F$4,$AM200=$F$5),$B$22,0))</f>
        <v>0</v>
      </c>
      <c r="AR200" s="33" cm="1">
        <f t="array" ref="AR200">$G$3+IFERROR(VLOOKUP($AM200,$F$4:$G$7,2,FALSE),0)+VLOOKUP($R200,武学奇术!$A:$ZZ,2,FALSE)+SUM(_xlfn.XLOOKUP($S200:$AL200,增益!$A:$A,增益!$B:$B,0))</f>
        <v>0.5289</v>
      </c>
      <c r="AS200" s="33" cm="1">
        <f t="array" ref="AS200">VLOOKUP($R200,武学奇术!$A:$ZZ,5,FALSE)+SUM(_xlfn.XLOOKUP($S200:$AL200,增益!$A:$A,增益!$E:$E,0))</f>
        <v>0</v>
      </c>
      <c r="AT200" cm="1">
        <f t="array" ref="AT200">$D$10*(1+$AS200)+VLOOKUP($R200,武学奇术!$A:$ZZ,3,FALSE)+SUM(_xlfn.XLOOKUP($S200:$AL200,增益!$A:$A,增益!$C:$C,0))-$I$2</f>
        <v>4026</v>
      </c>
      <c r="AU200" cm="1">
        <f t="array" ref="AU200">$E$10*(1+$AS200)+VLOOKUP($R200,武学奇术!$A:$ZZ,4,FALSE)+SUM(_xlfn.XLOOKUP($S200:$AL200,增益!$A:$A,增益!$D:$D,0))-$I$2</f>
        <v>4026</v>
      </c>
      <c r="AV200" s="40" cm="1">
        <f t="array" ref="AV200">IF($F$10-$I$3+VLOOKUP($R200,武学奇术!$A:$ZZ,6,FALSE)+SUM(_xlfn.XLOOKUP($S200:$AL200,增益!$A:$A,增益!$F:$F,0))&gt;0,($F$10-$I$3+VLOOKUP($R200,武学奇术!$A:$ZZ,6,FALSE)+SUM(_xlfn.XLOOKUP($S200:$AL200,增益!$A:$A,增益!$F:$F,0)))/200,($F$10-$I$3+VLOOKUP($R200,武学奇术!$A:$ZZ,6,FALSE)+SUM(_xlfn.XLOOKUP($S200:$AL200,增益!$A:$A,增益!$F:$F,0)))/100)</f>
        <v>0.3534</v>
      </c>
      <c r="AW200" s="40" cm="1">
        <f t="array" ref="AW200">$G$10+VLOOKUP($R200,武学奇术!$A:$ZZ,7,FALSE)+SUM(_xlfn.XLOOKUP($S200:$AL200,增益!$A:$A,增益!$G:$G,0))</f>
        <v>0.12</v>
      </c>
      <c r="AX200" s="33" cm="1">
        <f t="array" ref="AX200">VLOOKUP($R200,武学奇术!$A:$ZZ,8,FALSE)+SUM(_xlfn.XLOOKUP($S200:$AL200,增益!$A:$A,增益!$H:$H,0))</f>
        <v>0</v>
      </c>
      <c r="AY200">
        <f t="shared" si="50"/>
        <v>0</v>
      </c>
      <c r="AZ200">
        <f t="shared" si="51"/>
        <v>0</v>
      </c>
      <c r="BA200" s="40" cm="1">
        <f t="array" ref="BA200">IF($F$11-$I$4+VLOOKUP($R200,武学奇术!$A:$ZZ,9,FALSE)+SUM(_xlfn.XLOOKUP($S200:$AL200,增益!$A:$A,增益!$I:$I,0))&gt;0,($F$11-$I$4+VLOOKUP($R200,武学奇术!$A:$ZZ,9,FALSE)+SUM(_xlfn.XLOOKUP($S200:$AL200,增益!$A:$A,增益!$I:$I,0)))/200,($F$11-$I$4+VLOOKUP($R200,武学奇术!$A:$ZZ,9,FALSE)+SUM(_xlfn.XLOOKUP($S200:$AL200,增益!$A:$A,增益!$I:$I,0)))/100)</f>
        <v>-0.14</v>
      </c>
      <c r="BB200" s="40" cm="1">
        <f t="array" ref="BB200">$G$11+VLOOKUP($R200,武学奇术!$A:$ZZ,10,FALSE)+SUM(_xlfn.XLOOKUP($S200:$AL200,增益!$A:$A,增益!$J:$J,0))</f>
        <v>0</v>
      </c>
      <c r="BC200">
        <f t="shared" si="52"/>
        <v>640.3</v>
      </c>
      <c r="BD200">
        <f t="shared" si="53"/>
        <v>1770.1</v>
      </c>
      <c r="BE200" s="40" cm="1">
        <f t="array" ref="BE200">IF($F$12-$I$4+VLOOKUP($R200,武学奇术!$A:$ZZ,11,FALSE)+SUM(_xlfn.XLOOKUP($S200:$AL200,增益!$A:$A,增益!$K:$K,0))&gt;0,($F$12-$I$4+VLOOKUP($R200,武学奇术!$A:$ZZ,11,FALSE)+SUM(_xlfn.XLOOKUP($S200:$AL200,增益!$A:$A,增益!$K:$K,0)))/200,($F$12-$I$4+VLOOKUP($R200,武学奇术!$A:$ZZ,11,FALSE)+SUM(_xlfn.XLOOKUP($S200:$AL200,增益!$A:$A,增益!$K:$K,0)))/100)</f>
        <v>0.17</v>
      </c>
      <c r="BF200" s="40" cm="1">
        <f t="array" ref="BF200">$G$12+VLOOKUP($R200,武学奇术!$A:$ZZ,12,FALSE)+SUM(_xlfn.XLOOKUP($S200:$AL200,增益!$A:$A,增益!$L:$L,0))</f>
        <v>0.27</v>
      </c>
      <c r="BG200">
        <f t="shared" si="54"/>
        <v>0</v>
      </c>
      <c r="BH200">
        <f t="shared" si="55"/>
        <v>0</v>
      </c>
      <c r="BI200" s="40" cm="1">
        <f t="array" ref="BI200">IF($F$13-$I$4+VLOOKUP($R200,武学奇术!$A:$ZZ,13,FALSE)+SUM(_xlfn.XLOOKUP($S200:$AL200,增益!$A:$A,增益!$M:$M,0))&gt;0,($F$13-$I$4+VLOOKUP($R200,武学奇术!$A:$ZZ,13,FALSE)+SUM(_xlfn.XLOOKUP($S200:$AL200,增益!$A:$A,增益!$K:$K,0)))/200,($F$13-$I$4+VLOOKUP($R200,武学奇术!$A:$ZZ,13,FALSE)+SUM(_xlfn.XLOOKUP($S200:$AL200,增益!$A:$A,增益!$M:$M,0)))/100)</f>
        <v>-0.14</v>
      </c>
      <c r="BJ200" s="40" cm="1">
        <f t="array" ref="BJ200">$G$13+VLOOKUP($R200,武学奇术!$A:$ZZ,14,FALSE)+SUM(_xlfn.XLOOKUP($S200:$AL200,增益!$A:$A,增益!$N:$N,0))</f>
        <v>0</v>
      </c>
      <c r="BK200">
        <f t="shared" si="56"/>
        <v>0</v>
      </c>
      <c r="BL200">
        <f t="shared" si="57"/>
        <v>0</v>
      </c>
      <c r="BM200" s="40" cm="1">
        <f t="array" ref="BM200">IF($F$14-$I$4+VLOOKUP($R200,武学奇术!$A:$ZZ,15,FALSE)+SUM(_xlfn.XLOOKUP($S200:$AL200,增益!$A:$A,增益!$O:$O,0))&gt;0,($F$14-$I$4+VLOOKUP($R200,武学奇术!$A:$ZZ,15,FALSE)+SUM(_xlfn.XLOOKUP($S200:$AL200,增益!$A:$A,增益!$O:$O,0)))/200,($F$14-$I$4+VLOOKUP($R200,武学奇术!$A:$ZZ,15,FALSE)+SUM(_xlfn.XLOOKUP($S200:$AL200,增益!$A:$A,增益!$O:$O,0)))/100)</f>
        <v>-0.14</v>
      </c>
      <c r="BN200" s="40" cm="1">
        <f t="array" ref="BN200">$G$14+VLOOKUP($R200,武学奇术!$A:$ZZ,16,FALSE)+SUM(_xlfn.XLOOKUP($S200:$AL200,增益!$A:$A,增益!$P:$P,0))</f>
        <v>0</v>
      </c>
      <c r="BO200" s="33">
        <f>MIN(IF(VLOOKUP($R200,武学奇术!$A:$ZZ,23,FALSE)=1,100%,$B$8),100%)</f>
        <v>0.9771</v>
      </c>
      <c r="BP200" s="33" cm="1">
        <f t="array" ref="BP200">IF(VLOOKUP($R200,武学奇术!$A:$ZZ,23,FALSE)=1,100%,MIN(80%,$B$9+VLOOKUP($R200,武学奇术!$A:$ZZ,17,FALSE)+SUM(_xlfn.XLOOKUP($S200:$AL200,增益!$A:$A,增益!$Q:$Q,0)))+$B$11+SUM(_xlfn.XLOOKUP($S200:$AL200,增益!$A:$A,增益!$U:$U,0)))*IF(VLOOKUP($R200,武学奇术!$A:$ZZ,24,FALSE)=1,0,1)</f>
        <v>0.8861</v>
      </c>
      <c r="BQ200" s="33" cm="1">
        <f t="array" ref="BQ200">1+$B$13+VLOOKUP($R200,武学奇术!$A:$ZZ,18,FALSE)+SUM(_xlfn.XLOOKUP($S200:$AL200,增益!$A:$A,增益!$R:$R,0))</f>
        <v>2</v>
      </c>
      <c r="BR200" s="33" cm="1">
        <f t="array" ref="BR200">IF(VLOOKUP($R200,武学奇术!$A:$ZZ,24,FALSE)=1,100%,MIN(40%,$B$10+VLOOKUP($R200,武学奇术!$A:$ZZ,19,FALSE)+SUM(_xlfn.XLOOKUP($S200:$AL200,增益!$A:$A,增益!$S:$S,0)))+$B$12+SUM(_xlfn.XLOOKUP($S200:$AL200,增益!$A:$A,增益!$V:$V,0)))*IF(VLOOKUP($R200,武学奇术!$A:$ZZ,23,FALSE)=1,0,1)</f>
        <v>0.0913</v>
      </c>
      <c r="BS200" s="33" cm="1">
        <f t="array" ref="BS200">1+$B$14+VLOOKUP($R200,武学奇术!$A:$ZZ,20,FALSE)+SUM(_xlfn.XLOOKUP($S200:$AL200,增益!$A:$A,增益!$T:$T,0))</f>
        <v>1.35</v>
      </c>
      <c r="BT200" s="33">
        <f t="shared" si="58"/>
        <v>0.86580831</v>
      </c>
      <c r="BU200" s="33">
        <f t="shared" si="59"/>
        <v>0.02208246</v>
      </c>
      <c r="BV200" s="33">
        <f>IF(VLOOKUP($R200,武学奇术!$A:$ZZ,22,FALSE)=1,0,(1-$BO200))*(1-$BR200)</f>
        <v>0.02080923</v>
      </c>
      <c r="BW200" s="33" cm="1">
        <f t="array" ref="BW200">SUM(_xlfn.XLOOKUP($S200:$AL200,增益!$A:$A,增益!$W:$W,0))+$I$5</f>
        <v>0.11</v>
      </c>
      <c r="BX200" s="33" cm="1">
        <f t="array" ref="BX200">VLOOKUP($R200,武学奇术!$A:$ZZ,32,FALSE)+SUM(_xlfn.XLOOKUP($S200:$AL200,增益!$A:$A,增益!$X:$X,0))</f>
        <v>0</v>
      </c>
    </row>
    <row r="201" spans="12:76">
      <c r="L201" s="46">
        <f t="shared" si="49"/>
        <v>0</v>
      </c>
      <c r="M201" s="46">
        <f>((($AT201+$AU201)/2*$AN201+$AO201)*(1+$AV201)*(1+$AW201)+(($AY201+$AZ201)/2*IF($G$1="鸣金",$AP201,$AN201)+IF($G$1="鸣金",$AQ201*1.5,0))*(1+$BA201)*(1+$BB201)+(($BC201+$BD201)/2*IF($G$1="裂石",$AP201,$AN201)+IF($G$1="裂石",$AQ201*1.5,0))*(1+$BE201)*(1+$BF201)+(($BG201+$BH201)/2*IF($G$1="牵丝",$AP201,$AN201)+IF($G$1="牵丝",$AQ201*1.5,0))*(1+$BI201)*(1+$BJ201)+(($BK201+$BL201)/2*IF($G$1="破竹",$AP201,$AN201)+IF($G$1="破竹",$AQ201*1.5,0))*(1+$BM201)*(1+$BN201))*(1+$AR201)*$BQ201*$Q201*(1+IF(VLOOKUP($R201,武学奇术!$A:$ZZ,30,FALSE)="蓄力技",$B$21,0))*(1+IF(VLOOKUP($R201,武学奇术!$A:$ZZ,30,FALSE)="派生技",$B$20,0))*(1+$BW201)*(1+$BX201)</f>
        <v>0</v>
      </c>
      <c r="N201" s="46">
        <f>(($AU201*$AN201+$AO201)*(1+$AV201)*(1+$AW201)+($AZ201*IF($G$1="鸣金",$AP201,$AN201)+IF($G$1="鸣金",$AQ201*1.5,0))*(1+$BA201)*(1+$BB201)+($BD201*IF($G$1="裂石",$AP201,$AN201)+IF($G$1="裂石",$AQ201*1.5,0))*(1+$BE201)*(1+$BF201)+($BH201*IF($G$1="牵丝",$AP201,$AN201)+IF($G$1="牵丝",$AQ201*1.5,0))*(1+$BI201)*(1+$BJ201)+($BL201*IF($G$1="破竹",$AP201,$AN201)+IF($G$1="破竹",$AQ201*1.5,0))*(1+$BM201)*(1+$BN201))*(1+$AR201)*$BS201*$Q201*(1+IF(VLOOKUP($R201,武学奇术!$A:$ZZ,30,FALSE)="蓄力技",$B$21,0))*(1+IF(VLOOKUP($R201,武学奇术!$A:$ZZ,30,FALSE)="派生技",$B$20,0))*(1+$BW201)*(1+$BX201)</f>
        <v>0</v>
      </c>
      <c r="O201" s="46">
        <f>((($AT201+$AU201)/2*$AN201+$AO201)*(1+$AV201)*(1+$AW201)+(($AY201+$AZ201)/2*IF($G$1="鸣金",$AP201,$AN201)+IF($G$1="鸣金",$AQ201*1.5,0))*(1+$BA201)*(1+$BB201)+(($BC201+$BD201)/2*IF($G$1="裂石",$AP201,$AN201)+IF($G$1="裂石",$AQ201*1.5,0))*(1+$BE201)*(1+$BF201)+(($BG201+$BH201)/2*IF($G$1="牵丝",$AP201,$AN201)+IF($G$1="牵丝",$AQ201*1.5,0))*(1+$BI201)*(1+$BJ201)+(($BK201+$BL201)/2*IF($G$1="破竹",$AP201,$AN201)+IF($G$1="破竹",$AQ201*1.5,0))*(1+$BM201)*(1+$BN201))*(1+$AR201)*$Q201*(1+IF(VLOOKUP($R201,武学奇术!$A:$ZZ,30,FALSE)="蓄力技",$B$21,0))*(1+IF(VLOOKUP($R201,武学奇术!$A:$ZZ,30,FALSE)="派生技",$B$20,0))*(1+$BW201)*(1+$BX201)</f>
        <v>0</v>
      </c>
      <c r="P201" s="46">
        <f>((($AT201*$AN201+$AO201)*(1+$AV201)*(1+$AW201)+($AY201*IF($G$1="鸣金",$AP201,$AN201)+IF($G$1="鸣金",$AQ201*1.5,0))*(1+$BA201)*(1+$BB201)+($BC201*IF($G$1="裂石",$AP201,$AN201)+IF($G$1="裂石",$AQ201*1.5,0))*(1+$BE201)*(1+$BF201)+($BG201*IF($G$1="牵丝",$AP201,$AN201)+IF($G$1="牵丝",$AQ201*1.5,0))*(1+$BI201)*(1+$BJ201)+($BK201*IF($G$1="破竹",$AP201,$AN201)+IF($G$1="破竹",$AQ201*1.5,0))*(1+$BM201)*(1+$BN201))*(1+$AR201))*$Q201*(1+IF(VLOOKUP($R201,武学奇术!$A:$ZZ,30,FALSE)="蓄力技",$B$21,0))*(1+IF(VLOOKUP($R201,武学奇术!$A:$ZZ,30,FALSE)="派生技",$B$20,0))*(1+$BW201)*(1+$BX201)</f>
        <v>0</v>
      </c>
      <c r="Q201" s="47">
        <f t="shared" si="60"/>
        <v>0</v>
      </c>
      <c r="R201" s="48" t="s">
        <v>197</v>
      </c>
      <c r="S201" s="48" t="s">
        <v>99</v>
      </c>
      <c r="T201" s="48" t="s">
        <v>182</v>
      </c>
      <c r="U201" s="48" t="s">
        <v>79</v>
      </c>
      <c r="V201" s="48" t="s">
        <v>90</v>
      </c>
      <c r="W201" s="48" t="s">
        <v>91</v>
      </c>
      <c r="X201" s="48" t="s">
        <v>80</v>
      </c>
      <c r="Y201" s="48" t="s">
        <v>80</v>
      </c>
      <c r="Z201" s="48" t="s">
        <v>80</v>
      </c>
      <c r="AA201" s="48" t="s">
        <v>80</v>
      </c>
      <c r="AB201" s="48" t="s">
        <v>80</v>
      </c>
      <c r="AC201" s="48" t="s">
        <v>80</v>
      </c>
      <c r="AD201" s="48" t="s">
        <v>80</v>
      </c>
      <c r="AE201" s="48" t="s">
        <v>80</v>
      </c>
      <c r="AF201" s="48" t="s">
        <v>83</v>
      </c>
      <c r="AG201" s="48" t="s">
        <v>84</v>
      </c>
      <c r="AH201" s="48" t="s">
        <v>80</v>
      </c>
      <c r="AI201" s="48" t="s">
        <v>80</v>
      </c>
      <c r="AJ201" s="48" t="s">
        <v>80</v>
      </c>
      <c r="AK201" s="48" t="s">
        <v>80</v>
      </c>
      <c r="AL201" s="48" t="s">
        <v>80</v>
      </c>
      <c r="AM201" t="str">
        <f>VLOOKUP($R201,武学奇术!$A:$ZZ,25,FALSE)</f>
        <v>横刀</v>
      </c>
      <c r="AN201" s="33">
        <f>VLOOKUP($R201,武学奇术!$A:$ZZ,26,FALSE)</f>
        <v>2.4495</v>
      </c>
      <c r="AO201" s="34">
        <f>VLOOKUP($R201,武学奇术!$A:$ZZ,27,FALSE)*(1+IF(OR($AM201=$F$4,$AM201=$F$5),$B$22,0))</f>
        <v>1083.2</v>
      </c>
      <c r="AP201" s="33">
        <f>VLOOKUP($R201,武学奇术!$A:$ZZ,28,FALSE)</f>
        <v>3.6743</v>
      </c>
      <c r="AQ201" s="34">
        <f>VLOOKUP($R201,武学奇术!$A:$ZZ,29,FALSE)*(1+IF(OR($AM201=$F$4,$AM201=$F$5),$B$22,0))</f>
        <v>588.8</v>
      </c>
      <c r="AR201" s="33" cm="1">
        <f t="array" ref="AR201">$G$3+IFERROR(VLOOKUP($AM201,$F$4:$G$7,2,FALSE),0)+VLOOKUP($R201,武学奇术!$A:$ZZ,2,FALSE)+SUM(_xlfn.XLOOKUP($S201:$AL201,增益!$A:$A,增益!$B:$B,0))</f>
        <v>0.4489</v>
      </c>
      <c r="AS201" s="33" cm="1">
        <f t="array" ref="AS201">VLOOKUP($R201,武学奇术!$A:$ZZ,5,FALSE)+SUM(_xlfn.XLOOKUP($S201:$AL201,增益!$A:$A,增益!$E:$E,0))</f>
        <v>0</v>
      </c>
      <c r="AT201" cm="1">
        <f t="array" ref="AT201">$D$10*(1+$AS201)+VLOOKUP($R201,武学奇术!$A:$ZZ,3,FALSE)+SUM(_xlfn.XLOOKUP($S201:$AL201,增益!$A:$A,增益!$C:$C,0))-$I$2</f>
        <v>4026</v>
      </c>
      <c r="AU201" cm="1">
        <f t="array" ref="AU201">$E$10*(1+$AS201)+VLOOKUP($R201,武学奇术!$A:$ZZ,4,FALSE)+SUM(_xlfn.XLOOKUP($S201:$AL201,增益!$A:$A,增益!$D:$D,0))-$I$2</f>
        <v>4026</v>
      </c>
      <c r="AV201" s="40" cm="1">
        <f t="array" ref="AV201">IF($F$10-$I$3+VLOOKUP($R201,武学奇术!$A:$ZZ,6,FALSE)+SUM(_xlfn.XLOOKUP($S201:$AL201,增益!$A:$A,增益!$F:$F,0))&gt;0,($F$10-$I$3+VLOOKUP($R201,武学奇术!$A:$ZZ,6,FALSE)+SUM(_xlfn.XLOOKUP($S201:$AL201,增益!$A:$A,增益!$F:$F,0)))/200,($F$10-$I$3+VLOOKUP($R201,武学奇术!$A:$ZZ,6,FALSE)+SUM(_xlfn.XLOOKUP($S201:$AL201,增益!$A:$A,增益!$F:$F,0)))/100)</f>
        <v>0.3284</v>
      </c>
      <c r="AW201" s="40" cm="1">
        <f t="array" ref="AW201">$G$10+VLOOKUP($R201,武学奇术!$A:$ZZ,7,FALSE)+SUM(_xlfn.XLOOKUP($S201:$AL201,增益!$A:$A,增益!$G:$G,0))</f>
        <v>0.12</v>
      </c>
      <c r="AX201" s="33" cm="1">
        <f t="array" ref="AX201">VLOOKUP($R201,武学奇术!$A:$ZZ,8,FALSE)+SUM(_xlfn.XLOOKUP($S201:$AL201,增益!$A:$A,增益!$H:$H,0))</f>
        <v>0</v>
      </c>
      <c r="AY201">
        <f t="shared" si="50"/>
        <v>0</v>
      </c>
      <c r="AZ201">
        <f t="shared" si="51"/>
        <v>0</v>
      </c>
      <c r="BA201" s="40" cm="1">
        <f t="array" ref="BA201">IF($F$11-$I$4+VLOOKUP($R201,武学奇术!$A:$ZZ,9,FALSE)+SUM(_xlfn.XLOOKUP($S201:$AL201,增益!$A:$A,增益!$I:$I,0))&gt;0,($F$11-$I$4+VLOOKUP($R201,武学奇术!$A:$ZZ,9,FALSE)+SUM(_xlfn.XLOOKUP($S201:$AL201,增益!$A:$A,增益!$I:$I,0)))/200,($F$11-$I$4+VLOOKUP($R201,武学奇术!$A:$ZZ,9,FALSE)+SUM(_xlfn.XLOOKUP($S201:$AL201,增益!$A:$A,增益!$I:$I,0)))/100)</f>
        <v>-0.14</v>
      </c>
      <c r="BB201" s="40" cm="1">
        <f t="array" ref="BB201">$G$11+VLOOKUP($R201,武学奇术!$A:$ZZ,10,FALSE)+SUM(_xlfn.XLOOKUP($S201:$AL201,增益!$A:$A,增益!$J:$J,0))</f>
        <v>0</v>
      </c>
      <c r="BC201">
        <f t="shared" si="52"/>
        <v>640.3</v>
      </c>
      <c r="BD201">
        <f t="shared" si="53"/>
        <v>1770.1</v>
      </c>
      <c r="BE201" s="40" cm="1">
        <f t="array" ref="BE201">IF($F$12-$I$4+VLOOKUP($R201,武学奇术!$A:$ZZ,11,FALSE)+SUM(_xlfn.XLOOKUP($S201:$AL201,增益!$A:$A,增益!$K:$K,0))&gt;0,($F$12-$I$4+VLOOKUP($R201,武学奇术!$A:$ZZ,11,FALSE)+SUM(_xlfn.XLOOKUP($S201:$AL201,增益!$A:$A,增益!$K:$K,0)))/200,($F$12-$I$4+VLOOKUP($R201,武学奇术!$A:$ZZ,11,FALSE)+SUM(_xlfn.XLOOKUP($S201:$AL201,增益!$A:$A,增益!$K:$K,0)))/100)</f>
        <v>0.17</v>
      </c>
      <c r="BF201" s="40" cm="1">
        <f t="array" ref="BF201">$G$12+VLOOKUP($R201,武学奇术!$A:$ZZ,12,FALSE)+SUM(_xlfn.XLOOKUP($S201:$AL201,增益!$A:$A,增益!$L:$L,0))</f>
        <v>0.27</v>
      </c>
      <c r="BG201">
        <f t="shared" si="54"/>
        <v>0</v>
      </c>
      <c r="BH201">
        <f t="shared" si="55"/>
        <v>0</v>
      </c>
      <c r="BI201" s="40" cm="1">
        <f t="array" ref="BI201">IF($F$13-$I$4+VLOOKUP($R201,武学奇术!$A:$ZZ,13,FALSE)+SUM(_xlfn.XLOOKUP($S201:$AL201,增益!$A:$A,增益!$M:$M,0))&gt;0,($F$13-$I$4+VLOOKUP($R201,武学奇术!$A:$ZZ,13,FALSE)+SUM(_xlfn.XLOOKUP($S201:$AL201,增益!$A:$A,增益!$K:$K,0)))/200,($F$13-$I$4+VLOOKUP($R201,武学奇术!$A:$ZZ,13,FALSE)+SUM(_xlfn.XLOOKUP($S201:$AL201,增益!$A:$A,增益!$M:$M,0)))/100)</f>
        <v>-0.14</v>
      </c>
      <c r="BJ201" s="40" cm="1">
        <f t="array" ref="BJ201">$G$13+VLOOKUP($R201,武学奇术!$A:$ZZ,14,FALSE)+SUM(_xlfn.XLOOKUP($S201:$AL201,增益!$A:$A,增益!$N:$N,0))</f>
        <v>0</v>
      </c>
      <c r="BK201">
        <f t="shared" si="56"/>
        <v>0</v>
      </c>
      <c r="BL201">
        <f t="shared" si="57"/>
        <v>0</v>
      </c>
      <c r="BM201" s="40" cm="1">
        <f t="array" ref="BM201">IF($F$14-$I$4+VLOOKUP($R201,武学奇术!$A:$ZZ,15,FALSE)+SUM(_xlfn.XLOOKUP($S201:$AL201,增益!$A:$A,增益!$O:$O,0))&gt;0,($F$14-$I$4+VLOOKUP($R201,武学奇术!$A:$ZZ,15,FALSE)+SUM(_xlfn.XLOOKUP($S201:$AL201,增益!$A:$A,增益!$O:$O,0)))/200,($F$14-$I$4+VLOOKUP($R201,武学奇术!$A:$ZZ,15,FALSE)+SUM(_xlfn.XLOOKUP($S201:$AL201,增益!$A:$A,增益!$O:$O,0)))/100)</f>
        <v>-0.14</v>
      </c>
      <c r="BN201" s="40" cm="1">
        <f t="array" ref="BN201">$G$14+VLOOKUP($R201,武学奇术!$A:$ZZ,16,FALSE)+SUM(_xlfn.XLOOKUP($S201:$AL201,增益!$A:$A,增益!$P:$P,0))</f>
        <v>0</v>
      </c>
      <c r="BO201" s="33">
        <f>MIN(IF(VLOOKUP($R201,武学奇术!$A:$ZZ,23,FALSE)=1,100%,$B$8),100%)</f>
        <v>0.9771</v>
      </c>
      <c r="BP201" s="33" cm="1">
        <f t="array" ref="BP201">IF(VLOOKUP($R201,武学奇术!$A:$ZZ,23,FALSE)=1,100%,MIN(80%,$B$9+VLOOKUP($R201,武学奇术!$A:$ZZ,17,FALSE)+SUM(_xlfn.XLOOKUP($S201:$AL201,增益!$A:$A,增益!$Q:$Q,0)))+$B$11+SUM(_xlfn.XLOOKUP($S201:$AL201,增益!$A:$A,增益!$U:$U,0)))*IF(VLOOKUP($R201,武学奇术!$A:$ZZ,24,FALSE)=1,0,1)</f>
        <v>0.8861</v>
      </c>
      <c r="BQ201" s="33" cm="1">
        <f t="array" ref="BQ201">1+$B$13+VLOOKUP($R201,武学奇术!$A:$ZZ,18,FALSE)+SUM(_xlfn.XLOOKUP($S201:$AL201,增益!$A:$A,增益!$R:$R,0))</f>
        <v>1.95</v>
      </c>
      <c r="BR201" s="33" cm="1">
        <f t="array" ref="BR201">IF(VLOOKUP($R201,武学奇术!$A:$ZZ,24,FALSE)=1,100%,MIN(40%,$B$10+VLOOKUP($R201,武学奇术!$A:$ZZ,19,FALSE)+SUM(_xlfn.XLOOKUP($S201:$AL201,增益!$A:$A,增益!$S:$S,0)))+$B$12+SUM(_xlfn.XLOOKUP($S201:$AL201,增益!$A:$A,增益!$V:$V,0)))*IF(VLOOKUP($R201,武学奇术!$A:$ZZ,23,FALSE)=1,0,1)</f>
        <v>0.0913</v>
      </c>
      <c r="BS201" s="33" cm="1">
        <f t="array" ref="BS201">1+$B$14+VLOOKUP($R201,武学奇术!$A:$ZZ,20,FALSE)+SUM(_xlfn.XLOOKUP($S201:$AL201,增益!$A:$A,增益!$T:$T,0))</f>
        <v>1.35</v>
      </c>
      <c r="BT201" s="33">
        <f t="shared" si="58"/>
        <v>0.86580831</v>
      </c>
      <c r="BU201" s="33">
        <f t="shared" si="59"/>
        <v>0.02208246</v>
      </c>
      <c r="BV201" s="33">
        <f>IF(VLOOKUP($R201,武学奇术!$A:$ZZ,22,FALSE)=1,0,(1-$BO201))*(1-$BR201)</f>
        <v>0.02080923</v>
      </c>
      <c r="BW201" s="33" cm="1">
        <f t="array" ref="BW201">SUM(_xlfn.XLOOKUP($S201:$AL201,增益!$A:$A,增益!$W:$W,0))+$I$5</f>
        <v>0.11</v>
      </c>
      <c r="BX201" s="33" cm="1">
        <f t="array" ref="BX201">VLOOKUP($R201,武学奇术!$A:$ZZ,32,FALSE)+SUM(_xlfn.XLOOKUP($S201:$AL201,增益!$A:$A,增益!$X:$X,0))</f>
        <v>0</v>
      </c>
    </row>
    <row r="202" spans="12:76">
      <c r="L202" s="46">
        <f t="shared" si="49"/>
        <v>0</v>
      </c>
      <c r="M202" s="46">
        <f>((($AT202+$AU202)/2*$AN202+$AO202)*(1+$AV202)*(1+$AW202)+(($AY202+$AZ202)/2*IF($G$1="鸣金",$AP202,$AN202)+IF($G$1="鸣金",$AQ202*1.5,0))*(1+$BA202)*(1+$BB202)+(($BC202+$BD202)/2*IF($G$1="裂石",$AP202,$AN202)+IF($G$1="裂石",$AQ202*1.5,0))*(1+$BE202)*(1+$BF202)+(($BG202+$BH202)/2*IF($G$1="牵丝",$AP202,$AN202)+IF($G$1="牵丝",$AQ202*1.5,0))*(1+$BI202)*(1+$BJ202)+(($BK202+$BL202)/2*IF($G$1="破竹",$AP202,$AN202)+IF($G$1="破竹",$AQ202*1.5,0))*(1+$BM202)*(1+$BN202))*(1+$AR202)*$BQ202*$Q202*(1+IF(VLOOKUP($R202,武学奇术!$A:$ZZ,30,FALSE)="蓄力技",$B$21,0))*(1+IF(VLOOKUP($R202,武学奇术!$A:$ZZ,30,FALSE)="派生技",$B$20,0))*(1+$BW202)*(1+$BX202)</f>
        <v>0</v>
      </c>
      <c r="N202" s="46">
        <f>(($AU202*$AN202+$AO202)*(1+$AV202)*(1+$AW202)+($AZ202*IF($G$1="鸣金",$AP202,$AN202)+IF($G$1="鸣金",$AQ202*1.5,0))*(1+$BA202)*(1+$BB202)+($BD202*IF($G$1="裂石",$AP202,$AN202)+IF($G$1="裂石",$AQ202*1.5,0))*(1+$BE202)*(1+$BF202)+($BH202*IF($G$1="牵丝",$AP202,$AN202)+IF($G$1="牵丝",$AQ202*1.5,0))*(1+$BI202)*(1+$BJ202)+($BL202*IF($G$1="破竹",$AP202,$AN202)+IF($G$1="破竹",$AQ202*1.5,0))*(1+$BM202)*(1+$BN202))*(1+$AR202)*$BS202*$Q202*(1+IF(VLOOKUP($R202,武学奇术!$A:$ZZ,30,FALSE)="蓄力技",$B$21,0))*(1+IF(VLOOKUP($R202,武学奇术!$A:$ZZ,30,FALSE)="派生技",$B$20,0))*(1+$BW202)*(1+$BX202)</f>
        <v>0</v>
      </c>
      <c r="O202" s="46">
        <f>((($AT202+$AU202)/2*$AN202+$AO202)*(1+$AV202)*(1+$AW202)+(($AY202+$AZ202)/2*IF($G$1="鸣金",$AP202,$AN202)+IF($G$1="鸣金",$AQ202*1.5,0))*(1+$BA202)*(1+$BB202)+(($BC202+$BD202)/2*IF($G$1="裂石",$AP202,$AN202)+IF($G$1="裂石",$AQ202*1.5,0))*(1+$BE202)*(1+$BF202)+(($BG202+$BH202)/2*IF($G$1="牵丝",$AP202,$AN202)+IF($G$1="牵丝",$AQ202*1.5,0))*(1+$BI202)*(1+$BJ202)+(($BK202+$BL202)/2*IF($G$1="破竹",$AP202,$AN202)+IF($G$1="破竹",$AQ202*1.5,0))*(1+$BM202)*(1+$BN202))*(1+$AR202)*$Q202*(1+IF(VLOOKUP($R202,武学奇术!$A:$ZZ,30,FALSE)="蓄力技",$B$21,0))*(1+IF(VLOOKUP($R202,武学奇术!$A:$ZZ,30,FALSE)="派生技",$B$20,0))*(1+$BW202)*(1+$BX202)</f>
        <v>0</v>
      </c>
      <c r="P202" s="46">
        <f>((($AT202*$AN202+$AO202)*(1+$AV202)*(1+$AW202)+($AY202*IF($G$1="鸣金",$AP202,$AN202)+IF($G$1="鸣金",$AQ202*1.5,0))*(1+$BA202)*(1+$BB202)+($BC202*IF($G$1="裂石",$AP202,$AN202)+IF($G$1="裂石",$AQ202*1.5,0))*(1+$BE202)*(1+$BF202)+($BG202*IF($G$1="牵丝",$AP202,$AN202)+IF($G$1="牵丝",$AQ202*1.5,0))*(1+$BI202)*(1+$BJ202)+($BK202*IF($G$1="破竹",$AP202,$AN202)+IF($G$1="破竹",$AQ202*1.5,0))*(1+$BM202)*(1+$BN202))*(1+$AR202))*$Q202*(1+IF(VLOOKUP($R202,武学奇术!$A:$ZZ,30,FALSE)="蓄力技",$B$21,0))*(1+IF(VLOOKUP($R202,武学奇术!$A:$ZZ,30,FALSE)="派生技",$B$20,0))*(1+$BW202)*(1+$BX202)</f>
        <v>0</v>
      </c>
      <c r="Q202" s="47">
        <f t="shared" si="60"/>
        <v>0</v>
      </c>
      <c r="R202" s="48" t="s">
        <v>199</v>
      </c>
      <c r="S202" s="48" t="s">
        <v>99</v>
      </c>
      <c r="T202" s="48" t="s">
        <v>182</v>
      </c>
      <c r="U202" s="48" t="s">
        <v>79</v>
      </c>
      <c r="V202" s="48" t="s">
        <v>90</v>
      </c>
      <c r="W202" s="48" t="s">
        <v>141</v>
      </c>
      <c r="X202" s="48" t="s">
        <v>80</v>
      </c>
      <c r="Y202" s="48" t="s">
        <v>74</v>
      </c>
      <c r="Z202" s="48" t="s">
        <v>80</v>
      </c>
      <c r="AA202" s="48" t="s">
        <v>80</v>
      </c>
      <c r="AB202" s="48" t="s">
        <v>80</v>
      </c>
      <c r="AC202" s="48" t="s">
        <v>80</v>
      </c>
      <c r="AD202" s="48" t="s">
        <v>80</v>
      </c>
      <c r="AE202" s="48" t="s">
        <v>80</v>
      </c>
      <c r="AF202" s="48" t="s">
        <v>83</v>
      </c>
      <c r="AG202" s="48" t="s">
        <v>84</v>
      </c>
      <c r="AH202" s="48" t="s">
        <v>80</v>
      </c>
      <c r="AI202" s="48" t="s">
        <v>80</v>
      </c>
      <c r="AJ202" s="48" t="s">
        <v>80</v>
      </c>
      <c r="AK202" s="48" t="s">
        <v>80</v>
      </c>
      <c r="AL202" s="48" t="s">
        <v>80</v>
      </c>
      <c r="AM202" t="str">
        <f>VLOOKUP($R202,武学奇术!$A:$ZZ,25,FALSE)</f>
        <v>横刀</v>
      </c>
      <c r="AN202" s="33">
        <f>VLOOKUP($R202,武学奇术!$A:$ZZ,26,FALSE)</f>
        <v>2.8245</v>
      </c>
      <c r="AO202" s="34">
        <f>VLOOKUP($R202,武学奇术!$A:$ZZ,27,FALSE)*(1+IF(OR($AM202=$F$4,$AM202=$F$5),$B$22,0))</f>
        <v>1251.2</v>
      </c>
      <c r="AP202" s="33">
        <f>VLOOKUP($R202,武学奇术!$A:$ZZ,28,FALSE)</f>
        <v>4.236808</v>
      </c>
      <c r="AQ202" s="34">
        <f>VLOOKUP($R202,武学奇术!$A:$ZZ,29,FALSE)*(1+IF(OR($AM202=$F$4,$AM202=$F$5),$B$22,0))</f>
        <v>680</v>
      </c>
      <c r="AR202" s="33" cm="1">
        <f t="array" ref="AR202">$G$3+IFERROR(VLOOKUP($AM202,$F$4:$G$7,2,FALSE),0)+VLOOKUP($R202,武学奇术!$A:$ZZ,2,FALSE)+SUM(_xlfn.XLOOKUP($S202:$AL202,增益!$A:$A,增益!$B:$B,0))</f>
        <v>0.6289</v>
      </c>
      <c r="AS202" s="33" cm="1">
        <f t="array" ref="AS202">VLOOKUP($R202,武学奇术!$A:$ZZ,5,FALSE)+SUM(_xlfn.XLOOKUP($S202:$AL202,增益!$A:$A,增益!$E:$E,0))</f>
        <v>0</v>
      </c>
      <c r="AT202" cm="1">
        <f t="array" ref="AT202">$D$10*(1+$AS202)+VLOOKUP($R202,武学奇术!$A:$ZZ,3,FALSE)+SUM(_xlfn.XLOOKUP($S202:$AL202,增益!$A:$A,增益!$C:$C,0))-$I$2</f>
        <v>4026</v>
      </c>
      <c r="AU202" cm="1">
        <f t="array" ref="AU202">$E$10*(1+$AS202)+VLOOKUP($R202,武学奇术!$A:$ZZ,4,FALSE)+SUM(_xlfn.XLOOKUP($S202:$AL202,增益!$A:$A,增益!$D:$D,0))-$I$2</f>
        <v>4026</v>
      </c>
      <c r="AV202" s="40" cm="1">
        <f t="array" ref="AV202">IF($F$10-$I$3+VLOOKUP($R202,武学奇术!$A:$ZZ,6,FALSE)+SUM(_xlfn.XLOOKUP($S202:$AL202,增益!$A:$A,增益!$F:$F,0))&gt;0,($F$10-$I$3+VLOOKUP($R202,武学奇术!$A:$ZZ,6,FALSE)+SUM(_xlfn.XLOOKUP($S202:$AL202,增益!$A:$A,增益!$F:$F,0)))/200,($F$10-$I$3+VLOOKUP($R202,武学奇术!$A:$ZZ,6,FALSE)+SUM(_xlfn.XLOOKUP($S202:$AL202,增益!$A:$A,增益!$F:$F,0)))/100)</f>
        <v>0.3534</v>
      </c>
      <c r="AW202" s="40" cm="1">
        <f t="array" ref="AW202">$G$10+VLOOKUP($R202,武学奇术!$A:$ZZ,7,FALSE)+SUM(_xlfn.XLOOKUP($S202:$AL202,增益!$A:$A,增益!$G:$G,0))</f>
        <v>0.12</v>
      </c>
      <c r="AX202" s="33" cm="1">
        <f t="array" ref="AX202">VLOOKUP($R202,武学奇术!$A:$ZZ,8,FALSE)+SUM(_xlfn.XLOOKUP($S202:$AL202,增益!$A:$A,增益!$H:$H,0))</f>
        <v>0</v>
      </c>
      <c r="AY202">
        <f t="shared" si="50"/>
        <v>0</v>
      </c>
      <c r="AZ202">
        <f t="shared" si="51"/>
        <v>0</v>
      </c>
      <c r="BA202" s="40" cm="1">
        <f t="array" ref="BA202">IF($F$11-$I$4+VLOOKUP($R202,武学奇术!$A:$ZZ,9,FALSE)+SUM(_xlfn.XLOOKUP($S202:$AL202,增益!$A:$A,增益!$I:$I,0))&gt;0,($F$11-$I$4+VLOOKUP($R202,武学奇术!$A:$ZZ,9,FALSE)+SUM(_xlfn.XLOOKUP($S202:$AL202,增益!$A:$A,增益!$I:$I,0)))/200,($F$11-$I$4+VLOOKUP($R202,武学奇术!$A:$ZZ,9,FALSE)+SUM(_xlfn.XLOOKUP($S202:$AL202,增益!$A:$A,增益!$I:$I,0)))/100)</f>
        <v>-0.14</v>
      </c>
      <c r="BB202" s="40" cm="1">
        <f t="array" ref="BB202">$G$11+VLOOKUP($R202,武学奇术!$A:$ZZ,10,FALSE)+SUM(_xlfn.XLOOKUP($S202:$AL202,增益!$A:$A,增益!$J:$J,0))</f>
        <v>0</v>
      </c>
      <c r="BC202">
        <f t="shared" si="52"/>
        <v>640.3</v>
      </c>
      <c r="BD202">
        <f t="shared" si="53"/>
        <v>1770.1</v>
      </c>
      <c r="BE202" s="40" cm="1">
        <f t="array" ref="BE202">IF($F$12-$I$4+VLOOKUP($R202,武学奇术!$A:$ZZ,11,FALSE)+SUM(_xlfn.XLOOKUP($S202:$AL202,增益!$A:$A,增益!$K:$K,0))&gt;0,($F$12-$I$4+VLOOKUP($R202,武学奇术!$A:$ZZ,11,FALSE)+SUM(_xlfn.XLOOKUP($S202:$AL202,增益!$A:$A,增益!$K:$K,0)))/200,($F$12-$I$4+VLOOKUP($R202,武学奇术!$A:$ZZ,11,FALSE)+SUM(_xlfn.XLOOKUP($S202:$AL202,增益!$A:$A,增益!$K:$K,0)))/100)</f>
        <v>0.17</v>
      </c>
      <c r="BF202" s="40" cm="1">
        <f t="array" ref="BF202">$G$12+VLOOKUP($R202,武学奇术!$A:$ZZ,12,FALSE)+SUM(_xlfn.XLOOKUP($S202:$AL202,增益!$A:$A,增益!$L:$L,0))</f>
        <v>0.27</v>
      </c>
      <c r="BG202">
        <f t="shared" si="54"/>
        <v>0</v>
      </c>
      <c r="BH202">
        <f t="shared" si="55"/>
        <v>0</v>
      </c>
      <c r="BI202" s="40" cm="1">
        <f t="array" ref="BI202">IF($F$13-$I$4+VLOOKUP($R202,武学奇术!$A:$ZZ,13,FALSE)+SUM(_xlfn.XLOOKUP($S202:$AL202,增益!$A:$A,增益!$M:$M,0))&gt;0,($F$13-$I$4+VLOOKUP($R202,武学奇术!$A:$ZZ,13,FALSE)+SUM(_xlfn.XLOOKUP($S202:$AL202,增益!$A:$A,增益!$K:$K,0)))/200,($F$13-$I$4+VLOOKUP($R202,武学奇术!$A:$ZZ,13,FALSE)+SUM(_xlfn.XLOOKUP($S202:$AL202,增益!$A:$A,增益!$M:$M,0)))/100)</f>
        <v>-0.14</v>
      </c>
      <c r="BJ202" s="40" cm="1">
        <f t="array" ref="BJ202">$G$13+VLOOKUP($R202,武学奇术!$A:$ZZ,14,FALSE)+SUM(_xlfn.XLOOKUP($S202:$AL202,增益!$A:$A,增益!$N:$N,0))</f>
        <v>0</v>
      </c>
      <c r="BK202">
        <f t="shared" si="56"/>
        <v>0</v>
      </c>
      <c r="BL202">
        <f t="shared" si="57"/>
        <v>0</v>
      </c>
      <c r="BM202" s="40" cm="1">
        <f t="array" ref="BM202">IF($F$14-$I$4+VLOOKUP($R202,武学奇术!$A:$ZZ,15,FALSE)+SUM(_xlfn.XLOOKUP($S202:$AL202,增益!$A:$A,增益!$O:$O,0))&gt;0,($F$14-$I$4+VLOOKUP($R202,武学奇术!$A:$ZZ,15,FALSE)+SUM(_xlfn.XLOOKUP($S202:$AL202,增益!$A:$A,增益!$O:$O,0)))/200,($F$14-$I$4+VLOOKUP($R202,武学奇术!$A:$ZZ,15,FALSE)+SUM(_xlfn.XLOOKUP($S202:$AL202,增益!$A:$A,增益!$O:$O,0)))/100)</f>
        <v>-0.14</v>
      </c>
      <c r="BN202" s="40" cm="1">
        <f t="array" ref="BN202">$G$14+VLOOKUP($R202,武学奇术!$A:$ZZ,16,FALSE)+SUM(_xlfn.XLOOKUP($S202:$AL202,增益!$A:$A,增益!$P:$P,0))</f>
        <v>0</v>
      </c>
      <c r="BO202" s="33">
        <f>MIN(IF(VLOOKUP($R202,武学奇术!$A:$ZZ,23,FALSE)=1,100%,$B$8),100%)</f>
        <v>0.9771</v>
      </c>
      <c r="BP202" s="33" cm="1">
        <f t="array" ref="BP202">IF(VLOOKUP($R202,武学奇术!$A:$ZZ,23,FALSE)=1,100%,MIN(80%,$B$9+VLOOKUP($R202,武学奇术!$A:$ZZ,17,FALSE)+SUM(_xlfn.XLOOKUP($S202:$AL202,增益!$A:$A,增益!$Q:$Q,0)))+$B$11+SUM(_xlfn.XLOOKUP($S202:$AL202,增益!$A:$A,增益!$U:$U,0)))*IF(VLOOKUP($R202,武学奇术!$A:$ZZ,24,FALSE)=1,0,1)</f>
        <v>0.8861</v>
      </c>
      <c r="BQ202" s="33" cm="1">
        <f t="array" ref="BQ202">1+$B$13+VLOOKUP($R202,武学奇术!$A:$ZZ,18,FALSE)+SUM(_xlfn.XLOOKUP($S202:$AL202,增益!$A:$A,增益!$R:$R,0))</f>
        <v>2</v>
      </c>
      <c r="BR202" s="33" cm="1">
        <f t="array" ref="BR202">IF(VLOOKUP($R202,武学奇术!$A:$ZZ,24,FALSE)=1,100%,MIN(40%,$B$10+VLOOKUP($R202,武学奇术!$A:$ZZ,19,FALSE)+SUM(_xlfn.XLOOKUP($S202:$AL202,增益!$A:$A,增益!$S:$S,0)))+$B$12+SUM(_xlfn.XLOOKUP($S202:$AL202,增益!$A:$A,增益!$V:$V,0)))*IF(VLOOKUP($R202,武学奇术!$A:$ZZ,23,FALSE)=1,0,1)</f>
        <v>0.0913</v>
      </c>
      <c r="BS202" s="33" cm="1">
        <f t="array" ref="BS202">1+$B$14+VLOOKUP($R202,武学奇术!$A:$ZZ,20,FALSE)+SUM(_xlfn.XLOOKUP($S202:$AL202,增益!$A:$A,增益!$T:$T,0))</f>
        <v>1.35</v>
      </c>
      <c r="BT202" s="33">
        <f t="shared" si="58"/>
        <v>0.86580831</v>
      </c>
      <c r="BU202" s="33">
        <f t="shared" si="59"/>
        <v>0.02208246</v>
      </c>
      <c r="BV202" s="33">
        <f>IF(VLOOKUP($R202,武学奇术!$A:$ZZ,22,FALSE)=1,0,(1-$BO202))*(1-$BR202)</f>
        <v>0.02080923</v>
      </c>
      <c r="BW202" s="33" cm="1">
        <f t="array" ref="BW202">SUM(_xlfn.XLOOKUP($S202:$AL202,增益!$A:$A,增益!$W:$W,0))+$I$5</f>
        <v>0.11</v>
      </c>
      <c r="BX202" s="33" cm="1">
        <f t="array" ref="BX202">VLOOKUP($R202,武学奇术!$A:$ZZ,32,FALSE)+SUM(_xlfn.XLOOKUP($S202:$AL202,增益!$A:$A,增益!$X:$X,0))</f>
        <v>0</v>
      </c>
    </row>
    <row r="203" spans="12:76">
      <c r="L203" s="46">
        <f t="shared" si="49"/>
        <v>0</v>
      </c>
      <c r="M203" s="46">
        <f>((($AT203+$AU203)/2*$AN203+$AO203)*(1+$AV203)*(1+$AW203)+(($AY203+$AZ203)/2*IF($G$1="鸣金",$AP203,$AN203)+IF($G$1="鸣金",$AQ203*1.5,0))*(1+$BA203)*(1+$BB203)+(($BC203+$BD203)/2*IF($G$1="裂石",$AP203,$AN203)+IF($G$1="裂石",$AQ203*1.5,0))*(1+$BE203)*(1+$BF203)+(($BG203+$BH203)/2*IF($G$1="牵丝",$AP203,$AN203)+IF($G$1="牵丝",$AQ203*1.5,0))*(1+$BI203)*(1+$BJ203)+(($BK203+$BL203)/2*IF($G$1="破竹",$AP203,$AN203)+IF($G$1="破竹",$AQ203*1.5,0))*(1+$BM203)*(1+$BN203))*(1+$AR203)*$BQ203*$Q203*(1+IF(VLOOKUP($R203,武学奇术!$A:$ZZ,30,FALSE)="蓄力技",$B$21,0))*(1+IF(VLOOKUP($R203,武学奇术!$A:$ZZ,30,FALSE)="派生技",$B$20,0))*(1+$BW203)*(1+$BX203)</f>
        <v>0</v>
      </c>
      <c r="N203" s="46">
        <f>(($AU203*$AN203+$AO203)*(1+$AV203)*(1+$AW203)+($AZ203*IF($G$1="鸣金",$AP203,$AN203)+IF($G$1="鸣金",$AQ203*1.5,0))*(1+$BA203)*(1+$BB203)+($BD203*IF($G$1="裂石",$AP203,$AN203)+IF($G$1="裂石",$AQ203*1.5,0))*(1+$BE203)*(1+$BF203)+($BH203*IF($G$1="牵丝",$AP203,$AN203)+IF($G$1="牵丝",$AQ203*1.5,0))*(1+$BI203)*(1+$BJ203)+($BL203*IF($G$1="破竹",$AP203,$AN203)+IF($G$1="破竹",$AQ203*1.5,0))*(1+$BM203)*(1+$BN203))*(1+$AR203)*$BS203*$Q203*(1+IF(VLOOKUP($R203,武学奇术!$A:$ZZ,30,FALSE)="蓄力技",$B$21,0))*(1+IF(VLOOKUP($R203,武学奇术!$A:$ZZ,30,FALSE)="派生技",$B$20,0))*(1+$BW203)*(1+$BX203)</f>
        <v>0</v>
      </c>
      <c r="O203" s="46">
        <f>((($AT203+$AU203)/2*$AN203+$AO203)*(1+$AV203)*(1+$AW203)+(($AY203+$AZ203)/2*IF($G$1="鸣金",$AP203,$AN203)+IF($G$1="鸣金",$AQ203*1.5,0))*(1+$BA203)*(1+$BB203)+(($BC203+$BD203)/2*IF($G$1="裂石",$AP203,$AN203)+IF($G$1="裂石",$AQ203*1.5,0))*(1+$BE203)*(1+$BF203)+(($BG203+$BH203)/2*IF($G$1="牵丝",$AP203,$AN203)+IF($G$1="牵丝",$AQ203*1.5,0))*(1+$BI203)*(1+$BJ203)+(($BK203+$BL203)/2*IF($G$1="破竹",$AP203,$AN203)+IF($G$1="破竹",$AQ203*1.5,0))*(1+$BM203)*(1+$BN203))*(1+$AR203)*$Q203*(1+IF(VLOOKUP($R203,武学奇术!$A:$ZZ,30,FALSE)="蓄力技",$B$21,0))*(1+IF(VLOOKUP($R203,武学奇术!$A:$ZZ,30,FALSE)="派生技",$B$20,0))*(1+$BW203)*(1+$BX203)</f>
        <v>0</v>
      </c>
      <c r="P203" s="46">
        <f>((($AT203*$AN203+$AO203)*(1+$AV203)*(1+$AW203)+($AY203*IF($G$1="鸣金",$AP203,$AN203)+IF($G$1="鸣金",$AQ203*1.5,0))*(1+$BA203)*(1+$BB203)+($BC203*IF($G$1="裂石",$AP203,$AN203)+IF($G$1="裂石",$AQ203*1.5,0))*(1+$BE203)*(1+$BF203)+($BG203*IF($G$1="牵丝",$AP203,$AN203)+IF($G$1="牵丝",$AQ203*1.5,0))*(1+$BI203)*(1+$BJ203)+($BK203*IF($G$1="破竹",$AP203,$AN203)+IF($G$1="破竹",$AQ203*1.5,0))*(1+$BM203)*(1+$BN203))*(1+$AR203))*$Q203*(1+IF(VLOOKUP($R203,武学奇术!$A:$ZZ,30,FALSE)="蓄力技",$B$21,0))*(1+IF(VLOOKUP($R203,武学奇术!$A:$ZZ,30,FALSE)="派生技",$B$20,0))*(1+$BW203)*(1+$BX203)</f>
        <v>0</v>
      </c>
      <c r="Q203" s="47">
        <f t="shared" si="60"/>
        <v>0</v>
      </c>
      <c r="R203" s="48" t="s">
        <v>122</v>
      </c>
      <c r="S203" s="48" t="s">
        <v>99</v>
      </c>
      <c r="T203" s="48" t="s">
        <v>182</v>
      </c>
      <c r="U203" s="48" t="s">
        <v>79</v>
      </c>
      <c r="V203" s="48" t="s">
        <v>90</v>
      </c>
      <c r="W203" s="48" t="s">
        <v>141</v>
      </c>
      <c r="X203" s="48" t="s">
        <v>80</v>
      </c>
      <c r="Y203" s="48" t="s">
        <v>74</v>
      </c>
      <c r="Z203" s="48" t="s">
        <v>80</v>
      </c>
      <c r="AA203" s="48" t="s">
        <v>80</v>
      </c>
      <c r="AB203" s="48" t="s">
        <v>80</v>
      </c>
      <c r="AC203" s="48" t="s">
        <v>80</v>
      </c>
      <c r="AD203" s="48" t="s">
        <v>80</v>
      </c>
      <c r="AE203" s="48" t="s">
        <v>80</v>
      </c>
      <c r="AF203" s="48" t="s">
        <v>83</v>
      </c>
      <c r="AG203" s="48" t="s">
        <v>84</v>
      </c>
      <c r="AH203" s="48" t="s">
        <v>80</v>
      </c>
      <c r="AI203" s="48" t="s">
        <v>80</v>
      </c>
      <c r="AJ203" s="48" t="s">
        <v>80</v>
      </c>
      <c r="AK203" s="48" t="s">
        <v>80</v>
      </c>
      <c r="AL203" s="48" t="s">
        <v>80</v>
      </c>
      <c r="AM203" t="str">
        <f>VLOOKUP($R203,武学奇术!$A:$ZZ,25,FALSE)</f>
        <v>横刀</v>
      </c>
      <c r="AN203" s="33">
        <f>VLOOKUP($R203,武学奇术!$A:$ZZ,26,FALSE)</f>
        <v>1.47</v>
      </c>
      <c r="AO203" s="34">
        <f>VLOOKUP($R203,武学奇术!$A:$ZZ,27,FALSE)*(1+IF(OR($AM203=$F$4,$AM203=$F$5),$B$22,0))</f>
        <v>0</v>
      </c>
      <c r="AP203" s="33">
        <f>VLOOKUP($R203,武学奇术!$A:$ZZ,28,FALSE)</f>
        <v>2.205</v>
      </c>
      <c r="AQ203" s="34">
        <f>VLOOKUP($R203,武学奇术!$A:$ZZ,29,FALSE)*(1+IF(OR($AM203=$F$4,$AM203=$F$5),$B$22,0))</f>
        <v>0</v>
      </c>
      <c r="AR203" s="33" cm="1">
        <f t="array" ref="AR203">$G$3+IFERROR(VLOOKUP($AM203,$F$4:$G$7,2,FALSE),0)+VLOOKUP($R203,武学奇术!$A:$ZZ,2,FALSE)+SUM(_xlfn.XLOOKUP($S203:$AL203,增益!$A:$A,增益!$B:$B,0))</f>
        <v>0.5289</v>
      </c>
      <c r="AS203" s="33" cm="1">
        <f t="array" ref="AS203">VLOOKUP($R203,武学奇术!$A:$ZZ,5,FALSE)+SUM(_xlfn.XLOOKUP($S203:$AL203,增益!$A:$A,增益!$E:$E,0))</f>
        <v>0</v>
      </c>
      <c r="AT203" cm="1">
        <f t="array" ref="AT203">$D$10*(1+$AS203)+VLOOKUP($R203,武学奇术!$A:$ZZ,3,FALSE)+SUM(_xlfn.XLOOKUP($S203:$AL203,增益!$A:$A,增益!$C:$C,0))-$I$2</f>
        <v>4026</v>
      </c>
      <c r="AU203" cm="1">
        <f t="array" ref="AU203">$E$10*(1+$AS203)+VLOOKUP($R203,武学奇术!$A:$ZZ,4,FALSE)+SUM(_xlfn.XLOOKUP($S203:$AL203,增益!$A:$A,增益!$D:$D,0))-$I$2</f>
        <v>4026</v>
      </c>
      <c r="AV203" s="40" cm="1">
        <f t="array" ref="AV203">IF($F$10-$I$3+VLOOKUP($R203,武学奇术!$A:$ZZ,6,FALSE)+SUM(_xlfn.XLOOKUP($S203:$AL203,增益!$A:$A,增益!$F:$F,0))&gt;0,($F$10-$I$3+VLOOKUP($R203,武学奇术!$A:$ZZ,6,FALSE)+SUM(_xlfn.XLOOKUP($S203:$AL203,增益!$A:$A,增益!$F:$F,0)))/200,($F$10-$I$3+VLOOKUP($R203,武学奇术!$A:$ZZ,6,FALSE)+SUM(_xlfn.XLOOKUP($S203:$AL203,增益!$A:$A,增益!$F:$F,0)))/100)</f>
        <v>0.3534</v>
      </c>
      <c r="AW203" s="40" cm="1">
        <f t="array" ref="AW203">$G$10+VLOOKUP($R203,武学奇术!$A:$ZZ,7,FALSE)+SUM(_xlfn.XLOOKUP($S203:$AL203,增益!$A:$A,增益!$G:$G,0))</f>
        <v>0.12</v>
      </c>
      <c r="AX203" s="33" cm="1">
        <f t="array" ref="AX203">VLOOKUP($R203,武学奇术!$A:$ZZ,8,FALSE)+SUM(_xlfn.XLOOKUP($S203:$AL203,增益!$A:$A,增益!$H:$H,0))</f>
        <v>0</v>
      </c>
      <c r="AY203">
        <f t="shared" si="50"/>
        <v>0</v>
      </c>
      <c r="AZ203">
        <f t="shared" si="51"/>
        <v>0</v>
      </c>
      <c r="BA203" s="40" cm="1">
        <f t="array" ref="BA203">IF($F$11-$I$4+VLOOKUP($R203,武学奇术!$A:$ZZ,9,FALSE)+SUM(_xlfn.XLOOKUP($S203:$AL203,增益!$A:$A,增益!$I:$I,0))&gt;0,($F$11-$I$4+VLOOKUP($R203,武学奇术!$A:$ZZ,9,FALSE)+SUM(_xlfn.XLOOKUP($S203:$AL203,增益!$A:$A,增益!$I:$I,0)))/200,($F$11-$I$4+VLOOKUP($R203,武学奇术!$A:$ZZ,9,FALSE)+SUM(_xlfn.XLOOKUP($S203:$AL203,增益!$A:$A,增益!$I:$I,0)))/100)</f>
        <v>-0.14</v>
      </c>
      <c r="BB203" s="40" cm="1">
        <f t="array" ref="BB203">$G$11+VLOOKUP($R203,武学奇术!$A:$ZZ,10,FALSE)+SUM(_xlfn.XLOOKUP($S203:$AL203,增益!$A:$A,增益!$J:$J,0))</f>
        <v>0</v>
      </c>
      <c r="BC203">
        <f t="shared" si="52"/>
        <v>640.3</v>
      </c>
      <c r="BD203">
        <f t="shared" si="53"/>
        <v>1770.1</v>
      </c>
      <c r="BE203" s="40" cm="1">
        <f t="array" ref="BE203">IF($F$12-$I$4+VLOOKUP($R203,武学奇术!$A:$ZZ,11,FALSE)+SUM(_xlfn.XLOOKUP($S203:$AL203,增益!$A:$A,增益!$K:$K,0))&gt;0,($F$12-$I$4+VLOOKUP($R203,武学奇术!$A:$ZZ,11,FALSE)+SUM(_xlfn.XLOOKUP($S203:$AL203,增益!$A:$A,增益!$K:$K,0)))/200,($F$12-$I$4+VLOOKUP($R203,武学奇术!$A:$ZZ,11,FALSE)+SUM(_xlfn.XLOOKUP($S203:$AL203,增益!$A:$A,增益!$K:$K,0)))/100)</f>
        <v>0.17</v>
      </c>
      <c r="BF203" s="40" cm="1">
        <f t="array" ref="BF203">$G$12+VLOOKUP($R203,武学奇术!$A:$ZZ,12,FALSE)+SUM(_xlfn.XLOOKUP($S203:$AL203,增益!$A:$A,增益!$L:$L,0))</f>
        <v>0.27</v>
      </c>
      <c r="BG203">
        <f t="shared" si="54"/>
        <v>0</v>
      </c>
      <c r="BH203">
        <f t="shared" si="55"/>
        <v>0</v>
      </c>
      <c r="BI203" s="40" cm="1">
        <f t="array" ref="BI203">IF($F$13-$I$4+VLOOKUP($R203,武学奇术!$A:$ZZ,13,FALSE)+SUM(_xlfn.XLOOKUP($S203:$AL203,增益!$A:$A,增益!$M:$M,0))&gt;0,($F$13-$I$4+VLOOKUP($R203,武学奇术!$A:$ZZ,13,FALSE)+SUM(_xlfn.XLOOKUP($S203:$AL203,增益!$A:$A,增益!$K:$K,0)))/200,($F$13-$I$4+VLOOKUP($R203,武学奇术!$A:$ZZ,13,FALSE)+SUM(_xlfn.XLOOKUP($S203:$AL203,增益!$A:$A,增益!$M:$M,0)))/100)</f>
        <v>-0.14</v>
      </c>
      <c r="BJ203" s="40" cm="1">
        <f t="array" ref="BJ203">$G$13+VLOOKUP($R203,武学奇术!$A:$ZZ,14,FALSE)+SUM(_xlfn.XLOOKUP($S203:$AL203,增益!$A:$A,增益!$N:$N,0))</f>
        <v>0</v>
      </c>
      <c r="BK203">
        <f t="shared" si="56"/>
        <v>0</v>
      </c>
      <c r="BL203">
        <f t="shared" si="57"/>
        <v>0</v>
      </c>
      <c r="BM203" s="40" cm="1">
        <f t="array" ref="BM203">IF($F$14-$I$4+VLOOKUP($R203,武学奇术!$A:$ZZ,15,FALSE)+SUM(_xlfn.XLOOKUP($S203:$AL203,增益!$A:$A,增益!$O:$O,0))&gt;0,($F$14-$I$4+VLOOKUP($R203,武学奇术!$A:$ZZ,15,FALSE)+SUM(_xlfn.XLOOKUP($S203:$AL203,增益!$A:$A,增益!$O:$O,0)))/200,($F$14-$I$4+VLOOKUP($R203,武学奇术!$A:$ZZ,15,FALSE)+SUM(_xlfn.XLOOKUP($S203:$AL203,增益!$A:$A,增益!$O:$O,0)))/100)</f>
        <v>-0.14</v>
      </c>
      <c r="BN203" s="40" cm="1">
        <f t="array" ref="BN203">$G$14+VLOOKUP($R203,武学奇术!$A:$ZZ,16,FALSE)+SUM(_xlfn.XLOOKUP($S203:$AL203,增益!$A:$A,增益!$P:$P,0))</f>
        <v>0</v>
      </c>
      <c r="BO203" s="33">
        <f>MIN(IF(VLOOKUP($R203,武学奇术!$A:$ZZ,23,FALSE)=1,100%,$B$8),100%)</f>
        <v>0.9771</v>
      </c>
      <c r="BP203" s="33" cm="1">
        <f t="array" ref="BP203">IF(VLOOKUP($R203,武学奇术!$A:$ZZ,23,FALSE)=1,100%,MIN(80%,$B$9+VLOOKUP($R203,武学奇术!$A:$ZZ,17,FALSE)+SUM(_xlfn.XLOOKUP($S203:$AL203,增益!$A:$A,增益!$Q:$Q,0)))+$B$11+SUM(_xlfn.XLOOKUP($S203:$AL203,增益!$A:$A,增益!$U:$U,0)))*IF(VLOOKUP($R203,武学奇术!$A:$ZZ,24,FALSE)=1,0,1)</f>
        <v>0.8861</v>
      </c>
      <c r="BQ203" s="33" cm="1">
        <f t="array" ref="BQ203">1+$B$13+VLOOKUP($R203,武学奇术!$A:$ZZ,18,FALSE)+SUM(_xlfn.XLOOKUP($S203:$AL203,增益!$A:$A,增益!$R:$R,0))</f>
        <v>2</v>
      </c>
      <c r="BR203" s="33" cm="1">
        <f t="array" ref="BR203">IF(VLOOKUP($R203,武学奇术!$A:$ZZ,24,FALSE)=1,100%,MIN(40%,$B$10+VLOOKUP($R203,武学奇术!$A:$ZZ,19,FALSE)+SUM(_xlfn.XLOOKUP($S203:$AL203,增益!$A:$A,增益!$S:$S,0)))+$B$12+SUM(_xlfn.XLOOKUP($S203:$AL203,增益!$A:$A,增益!$V:$V,0)))*IF(VLOOKUP($R203,武学奇术!$A:$ZZ,23,FALSE)=1,0,1)</f>
        <v>0.0913</v>
      </c>
      <c r="BS203" s="33" cm="1">
        <f t="array" ref="BS203">1+$B$14+VLOOKUP($R203,武学奇术!$A:$ZZ,20,FALSE)+SUM(_xlfn.XLOOKUP($S203:$AL203,增益!$A:$A,增益!$T:$T,0))</f>
        <v>1.35</v>
      </c>
      <c r="BT203" s="33">
        <f t="shared" si="58"/>
        <v>0.86580831</v>
      </c>
      <c r="BU203" s="33">
        <f t="shared" si="59"/>
        <v>0.02208246</v>
      </c>
      <c r="BV203" s="33">
        <f>IF(VLOOKUP($R203,武学奇术!$A:$ZZ,22,FALSE)=1,0,(1-$BO203))*(1-$BR203)</f>
        <v>0.02080923</v>
      </c>
      <c r="BW203" s="33" cm="1">
        <f t="array" ref="BW203">SUM(_xlfn.XLOOKUP($S203:$AL203,增益!$A:$A,增益!$W:$W,0))+$I$5</f>
        <v>0.11</v>
      </c>
      <c r="BX203" s="33" cm="1">
        <f t="array" ref="BX203">VLOOKUP($R203,武学奇术!$A:$ZZ,32,FALSE)+SUM(_xlfn.XLOOKUP($S203:$AL203,增益!$A:$A,增益!$X:$X,0))</f>
        <v>0</v>
      </c>
    </row>
    <row r="204" spans="12:76">
      <c r="L204" s="46">
        <f t="shared" si="49"/>
        <v>0</v>
      </c>
      <c r="M204" s="46">
        <f>((($AT204+$AU204)/2*$AN204+$AO204)*(1+$AV204)*(1+$AW204)+(($AY204+$AZ204)/2*IF($G$1="鸣金",$AP204,$AN204)+IF($G$1="鸣金",$AQ204*1.5,0))*(1+$BA204)*(1+$BB204)+(($BC204+$BD204)/2*IF($G$1="裂石",$AP204,$AN204)+IF($G$1="裂石",$AQ204*1.5,0))*(1+$BE204)*(1+$BF204)+(($BG204+$BH204)/2*IF($G$1="牵丝",$AP204,$AN204)+IF($G$1="牵丝",$AQ204*1.5,0))*(1+$BI204)*(1+$BJ204)+(($BK204+$BL204)/2*IF($G$1="破竹",$AP204,$AN204)+IF($G$1="破竹",$AQ204*1.5,0))*(1+$BM204)*(1+$BN204))*(1+$AR204)*$BQ204*$Q204*(1+IF(VLOOKUP($R204,武学奇术!$A:$ZZ,30,FALSE)="蓄力技",$B$21,0))*(1+IF(VLOOKUP($R204,武学奇术!$A:$ZZ,30,FALSE)="派生技",$B$20,0))*(1+$BW204)*(1+$BX204)</f>
        <v>0</v>
      </c>
      <c r="N204" s="46">
        <f>(($AU204*$AN204+$AO204)*(1+$AV204)*(1+$AW204)+($AZ204*IF($G$1="鸣金",$AP204,$AN204)+IF($G$1="鸣金",$AQ204*1.5,0))*(1+$BA204)*(1+$BB204)+($BD204*IF($G$1="裂石",$AP204,$AN204)+IF($G$1="裂石",$AQ204*1.5,0))*(1+$BE204)*(1+$BF204)+($BH204*IF($G$1="牵丝",$AP204,$AN204)+IF($G$1="牵丝",$AQ204*1.5,0))*(1+$BI204)*(1+$BJ204)+($BL204*IF($G$1="破竹",$AP204,$AN204)+IF($G$1="破竹",$AQ204*1.5,0))*(1+$BM204)*(1+$BN204))*(1+$AR204)*$BS204*$Q204*(1+IF(VLOOKUP($R204,武学奇术!$A:$ZZ,30,FALSE)="蓄力技",$B$21,0))*(1+IF(VLOOKUP($R204,武学奇术!$A:$ZZ,30,FALSE)="派生技",$B$20,0))*(1+$BW204)*(1+$BX204)</f>
        <v>0</v>
      </c>
      <c r="O204" s="46">
        <f>((($AT204+$AU204)/2*$AN204+$AO204)*(1+$AV204)*(1+$AW204)+(($AY204+$AZ204)/2*IF($G$1="鸣金",$AP204,$AN204)+IF($G$1="鸣金",$AQ204*1.5,0))*(1+$BA204)*(1+$BB204)+(($BC204+$BD204)/2*IF($G$1="裂石",$AP204,$AN204)+IF($G$1="裂石",$AQ204*1.5,0))*(1+$BE204)*(1+$BF204)+(($BG204+$BH204)/2*IF($G$1="牵丝",$AP204,$AN204)+IF($G$1="牵丝",$AQ204*1.5,0))*(1+$BI204)*(1+$BJ204)+(($BK204+$BL204)/2*IF($G$1="破竹",$AP204,$AN204)+IF($G$1="破竹",$AQ204*1.5,0))*(1+$BM204)*(1+$BN204))*(1+$AR204)*$Q204*(1+IF(VLOOKUP($R204,武学奇术!$A:$ZZ,30,FALSE)="蓄力技",$B$21,0))*(1+IF(VLOOKUP($R204,武学奇术!$A:$ZZ,30,FALSE)="派生技",$B$20,0))*(1+$BW204)*(1+$BX204)</f>
        <v>0</v>
      </c>
      <c r="P204" s="46">
        <f>((($AT204*$AN204+$AO204)*(1+$AV204)*(1+$AW204)+($AY204*IF($G$1="鸣金",$AP204,$AN204)+IF($G$1="鸣金",$AQ204*1.5,0))*(1+$BA204)*(1+$BB204)+($BC204*IF($G$1="裂石",$AP204,$AN204)+IF($G$1="裂石",$AQ204*1.5,0))*(1+$BE204)*(1+$BF204)+($BG204*IF($G$1="牵丝",$AP204,$AN204)+IF($G$1="牵丝",$AQ204*1.5,0))*(1+$BI204)*(1+$BJ204)+($BK204*IF($G$1="破竹",$AP204,$AN204)+IF($G$1="破竹",$AQ204*1.5,0))*(1+$BM204)*(1+$BN204))*(1+$AR204))*$Q204*(1+IF(VLOOKUP($R204,武学奇术!$A:$ZZ,30,FALSE)="蓄力技",$B$21,0))*(1+IF(VLOOKUP($R204,武学奇术!$A:$ZZ,30,FALSE)="派生技",$B$20,0))*(1+$BW204)*(1+$BX204)</f>
        <v>0</v>
      </c>
      <c r="Q204" s="47">
        <f t="shared" si="60"/>
        <v>0</v>
      </c>
      <c r="R204" s="48" t="s">
        <v>172</v>
      </c>
      <c r="S204" s="48" t="s">
        <v>99</v>
      </c>
      <c r="T204" s="48" t="s">
        <v>182</v>
      </c>
      <c r="U204" s="48" t="s">
        <v>80</v>
      </c>
      <c r="V204" s="48" t="s">
        <v>90</v>
      </c>
      <c r="W204" s="48" t="s">
        <v>141</v>
      </c>
      <c r="X204" s="48" t="s">
        <v>80</v>
      </c>
      <c r="Y204" s="48" t="s">
        <v>74</v>
      </c>
      <c r="Z204" s="48" t="s">
        <v>80</v>
      </c>
      <c r="AA204" s="48" t="s">
        <v>80</v>
      </c>
      <c r="AB204" s="48" t="s">
        <v>80</v>
      </c>
      <c r="AC204" s="48" t="s">
        <v>80</v>
      </c>
      <c r="AD204" s="48" t="s">
        <v>80</v>
      </c>
      <c r="AE204" s="48" t="s">
        <v>80</v>
      </c>
      <c r="AF204" s="48" t="s">
        <v>83</v>
      </c>
      <c r="AG204" s="48" t="s">
        <v>84</v>
      </c>
      <c r="AH204" s="48" t="s">
        <v>80</v>
      </c>
      <c r="AI204" s="48" t="s">
        <v>80</v>
      </c>
      <c r="AJ204" s="48" t="s">
        <v>80</v>
      </c>
      <c r="AK204" s="48" t="s">
        <v>80</v>
      </c>
      <c r="AL204" s="48" t="s">
        <v>80</v>
      </c>
      <c r="AM204" t="str">
        <f>VLOOKUP($R204,武学奇术!$A:$ZZ,25,FALSE)</f>
        <v>陌刀</v>
      </c>
      <c r="AN204" s="33">
        <f>VLOOKUP($R204,武学奇术!$A:$ZZ,26,FALSE)</f>
        <v>3.5256</v>
      </c>
      <c r="AO204" s="34">
        <f>VLOOKUP($R204,武学奇术!$A:$ZZ,27,FALSE)*(1+IF(OR($AM204=$F$4,$AM204=$F$5),$B$22,0))</f>
        <v>846.144</v>
      </c>
      <c r="AP204" s="33">
        <f>VLOOKUP($R204,武学奇术!$A:$ZZ,28,FALSE)</f>
        <v>5.2884</v>
      </c>
      <c r="AQ204" s="34">
        <f>VLOOKUP($R204,武学奇术!$A:$ZZ,29,FALSE)*(1+IF(OR($AM204=$F$4,$AM204=$F$5),$B$22,0))</f>
        <v>851.2</v>
      </c>
      <c r="AR204" s="33" cm="1">
        <f t="array" ref="AR204">$G$3+IFERROR(VLOOKUP($AM204,$F$4:$G$7,2,FALSE),0)+VLOOKUP($R204,武学奇术!$A:$ZZ,2,FALSE)+SUM(_xlfn.XLOOKUP($S204:$AL204,增益!$A:$A,增益!$B:$B,0))</f>
        <v>0.6143</v>
      </c>
      <c r="AS204" s="33" cm="1">
        <f t="array" ref="AS204">VLOOKUP($R204,武学奇术!$A:$ZZ,5,FALSE)+SUM(_xlfn.XLOOKUP($S204:$AL204,增益!$A:$A,增益!$E:$E,0))</f>
        <v>0</v>
      </c>
      <c r="AT204" cm="1">
        <f t="array" ref="AT204">$D$10*(1+$AS204)+VLOOKUP($R204,武学奇术!$A:$ZZ,3,FALSE)+SUM(_xlfn.XLOOKUP($S204:$AL204,增益!$A:$A,增益!$C:$C,0))-$I$2</f>
        <v>4026</v>
      </c>
      <c r="AU204" cm="1">
        <f t="array" ref="AU204">$E$10*(1+$AS204)+VLOOKUP($R204,武学奇术!$A:$ZZ,4,FALSE)+SUM(_xlfn.XLOOKUP($S204:$AL204,增益!$A:$A,增益!$D:$D,0))-$I$2</f>
        <v>4026</v>
      </c>
      <c r="AV204" s="40" cm="1">
        <f t="array" ref="AV204">IF($F$10-$I$3+VLOOKUP($R204,武学奇术!$A:$ZZ,6,FALSE)+SUM(_xlfn.XLOOKUP($S204:$AL204,增益!$A:$A,增益!$F:$F,0))&gt;0,($F$10-$I$3+VLOOKUP($R204,武学奇术!$A:$ZZ,6,FALSE)+SUM(_xlfn.XLOOKUP($S204:$AL204,增益!$A:$A,增益!$F:$F,0)))/200,($F$10-$I$3+VLOOKUP($R204,武学奇术!$A:$ZZ,6,FALSE)+SUM(_xlfn.XLOOKUP($S204:$AL204,增益!$A:$A,增益!$F:$F,0)))/100)</f>
        <v>0.3534</v>
      </c>
      <c r="AW204" s="40" cm="1">
        <f t="array" ref="AW204">$G$10+VLOOKUP($R204,武学奇术!$A:$ZZ,7,FALSE)+SUM(_xlfn.XLOOKUP($S204:$AL204,增益!$A:$A,增益!$G:$G,0))</f>
        <v>0</v>
      </c>
      <c r="AX204" s="33" cm="1">
        <f t="array" ref="AX204">VLOOKUP($R204,武学奇术!$A:$ZZ,8,FALSE)+SUM(_xlfn.XLOOKUP($S204:$AL204,增益!$A:$A,增益!$H:$H,0))</f>
        <v>0</v>
      </c>
      <c r="AY204">
        <f t="shared" si="50"/>
        <v>0</v>
      </c>
      <c r="AZ204">
        <f t="shared" si="51"/>
        <v>0</v>
      </c>
      <c r="BA204" s="40" cm="1">
        <f t="array" ref="BA204">IF($F$11-$I$4+VLOOKUP($R204,武学奇术!$A:$ZZ,9,FALSE)+SUM(_xlfn.XLOOKUP($S204:$AL204,增益!$A:$A,增益!$I:$I,0))&gt;0,($F$11-$I$4+VLOOKUP($R204,武学奇术!$A:$ZZ,9,FALSE)+SUM(_xlfn.XLOOKUP($S204:$AL204,增益!$A:$A,增益!$I:$I,0)))/200,($F$11-$I$4+VLOOKUP($R204,武学奇术!$A:$ZZ,9,FALSE)+SUM(_xlfn.XLOOKUP($S204:$AL204,增益!$A:$A,增益!$I:$I,0)))/100)</f>
        <v>-0.14</v>
      </c>
      <c r="BB204" s="40" cm="1">
        <f t="array" ref="BB204">$G$11+VLOOKUP($R204,武学奇术!$A:$ZZ,10,FALSE)+SUM(_xlfn.XLOOKUP($S204:$AL204,增益!$A:$A,增益!$J:$J,0))</f>
        <v>0</v>
      </c>
      <c r="BC204">
        <f t="shared" si="52"/>
        <v>640.3</v>
      </c>
      <c r="BD204">
        <f t="shared" si="53"/>
        <v>1770.1</v>
      </c>
      <c r="BE204" s="40" cm="1">
        <f t="array" ref="BE204">IF($F$12-$I$4+VLOOKUP($R204,武学奇术!$A:$ZZ,11,FALSE)+SUM(_xlfn.XLOOKUP($S204:$AL204,增益!$A:$A,增益!$K:$K,0))&gt;0,($F$12-$I$4+VLOOKUP($R204,武学奇术!$A:$ZZ,11,FALSE)+SUM(_xlfn.XLOOKUP($S204:$AL204,增益!$A:$A,增益!$K:$K,0)))/200,($F$12-$I$4+VLOOKUP($R204,武学奇术!$A:$ZZ,11,FALSE)+SUM(_xlfn.XLOOKUP($S204:$AL204,增益!$A:$A,增益!$K:$K,0)))/100)</f>
        <v>0.17</v>
      </c>
      <c r="BF204" s="40" cm="1">
        <f t="array" ref="BF204">$G$12+VLOOKUP($R204,武学奇术!$A:$ZZ,12,FALSE)+SUM(_xlfn.XLOOKUP($S204:$AL204,增益!$A:$A,增益!$L:$L,0))</f>
        <v>0.15</v>
      </c>
      <c r="BG204">
        <f t="shared" si="54"/>
        <v>0</v>
      </c>
      <c r="BH204">
        <f t="shared" si="55"/>
        <v>0</v>
      </c>
      <c r="BI204" s="40" cm="1">
        <f t="array" ref="BI204">IF($F$13-$I$4+VLOOKUP($R204,武学奇术!$A:$ZZ,13,FALSE)+SUM(_xlfn.XLOOKUP($S204:$AL204,增益!$A:$A,增益!$M:$M,0))&gt;0,($F$13-$I$4+VLOOKUP($R204,武学奇术!$A:$ZZ,13,FALSE)+SUM(_xlfn.XLOOKUP($S204:$AL204,增益!$A:$A,增益!$K:$K,0)))/200,($F$13-$I$4+VLOOKUP($R204,武学奇术!$A:$ZZ,13,FALSE)+SUM(_xlfn.XLOOKUP($S204:$AL204,增益!$A:$A,增益!$M:$M,0)))/100)</f>
        <v>-0.14</v>
      </c>
      <c r="BJ204" s="40" cm="1">
        <f t="array" ref="BJ204">$G$13+VLOOKUP($R204,武学奇术!$A:$ZZ,14,FALSE)+SUM(_xlfn.XLOOKUP($S204:$AL204,增益!$A:$A,增益!$N:$N,0))</f>
        <v>0</v>
      </c>
      <c r="BK204">
        <f t="shared" si="56"/>
        <v>0</v>
      </c>
      <c r="BL204">
        <f t="shared" si="57"/>
        <v>0</v>
      </c>
      <c r="BM204" s="40" cm="1">
        <f t="array" ref="BM204">IF($F$14-$I$4+VLOOKUP($R204,武学奇术!$A:$ZZ,15,FALSE)+SUM(_xlfn.XLOOKUP($S204:$AL204,增益!$A:$A,增益!$O:$O,0))&gt;0,($F$14-$I$4+VLOOKUP($R204,武学奇术!$A:$ZZ,15,FALSE)+SUM(_xlfn.XLOOKUP($S204:$AL204,增益!$A:$A,增益!$O:$O,0)))/200,($F$14-$I$4+VLOOKUP($R204,武学奇术!$A:$ZZ,15,FALSE)+SUM(_xlfn.XLOOKUP($S204:$AL204,增益!$A:$A,增益!$O:$O,0)))/100)</f>
        <v>-0.14</v>
      </c>
      <c r="BN204" s="40" cm="1">
        <f t="array" ref="BN204">$G$14+VLOOKUP($R204,武学奇术!$A:$ZZ,16,FALSE)+SUM(_xlfn.XLOOKUP($S204:$AL204,增益!$A:$A,增益!$P:$P,0))</f>
        <v>0</v>
      </c>
      <c r="BO204" s="33">
        <f>MIN(IF(VLOOKUP($R204,武学奇术!$A:$ZZ,23,FALSE)=1,100%,$B$8),100%)</f>
        <v>0.9771</v>
      </c>
      <c r="BP204" s="33" cm="1">
        <f t="array" ref="BP204">IF(VLOOKUP($R204,武学奇术!$A:$ZZ,23,FALSE)=1,100%,MIN(80%,$B$9+VLOOKUP($R204,武学奇术!$A:$ZZ,17,FALSE)+SUM(_xlfn.XLOOKUP($S204:$AL204,增益!$A:$A,增益!$Q:$Q,0)))+$B$11+SUM(_xlfn.XLOOKUP($S204:$AL204,增益!$A:$A,增益!$U:$U,0)))*IF(VLOOKUP($R204,武学奇术!$A:$ZZ,24,FALSE)=1,0,1)</f>
        <v>0.8861</v>
      </c>
      <c r="BQ204" s="33" cm="1">
        <f t="array" ref="BQ204">1+$B$13+VLOOKUP($R204,武学奇术!$A:$ZZ,18,FALSE)+SUM(_xlfn.XLOOKUP($S204:$AL204,增益!$A:$A,增益!$R:$R,0))</f>
        <v>2</v>
      </c>
      <c r="BR204" s="33" cm="1">
        <f t="array" ref="BR204">IF(VLOOKUP($R204,武学奇术!$A:$ZZ,24,FALSE)=1,100%,MIN(40%,$B$10+VLOOKUP($R204,武学奇术!$A:$ZZ,19,FALSE)+SUM(_xlfn.XLOOKUP($S204:$AL204,增益!$A:$A,增益!$S:$S,0)))+$B$12+SUM(_xlfn.XLOOKUP($S204:$AL204,增益!$A:$A,增益!$V:$V,0)))*IF(VLOOKUP($R204,武学奇术!$A:$ZZ,23,FALSE)=1,0,1)</f>
        <v>0.0913</v>
      </c>
      <c r="BS204" s="33" cm="1">
        <f t="array" ref="BS204">1+$B$14+VLOOKUP($R204,武学奇术!$A:$ZZ,20,FALSE)+SUM(_xlfn.XLOOKUP($S204:$AL204,增益!$A:$A,增益!$T:$T,0))</f>
        <v>1.35</v>
      </c>
      <c r="BT204" s="33">
        <f t="shared" si="58"/>
        <v>0.86580831</v>
      </c>
      <c r="BU204" s="33">
        <f t="shared" si="59"/>
        <v>0.02208246</v>
      </c>
      <c r="BV204" s="33">
        <f>IF(VLOOKUP($R204,武学奇术!$A:$ZZ,22,FALSE)=1,0,(1-$BO204))*(1-$BR204)</f>
        <v>0.02080923</v>
      </c>
      <c r="BW204" s="33" cm="1">
        <f t="array" ref="BW204">SUM(_xlfn.XLOOKUP($S204:$AL204,增益!$A:$A,增益!$W:$W,0))+$I$5</f>
        <v>0.11</v>
      </c>
      <c r="BX204" s="33" cm="1">
        <f t="array" ref="BX204">VLOOKUP($R204,武学奇术!$A:$ZZ,32,FALSE)+SUM(_xlfn.XLOOKUP($S204:$AL204,增益!$A:$A,增益!$X:$X,0))</f>
        <v>0</v>
      </c>
    </row>
    <row r="205" spans="12:76">
      <c r="L205" s="46">
        <f t="shared" si="49"/>
        <v>0</v>
      </c>
      <c r="M205" s="46">
        <f>((($AT205+$AU205)/2*$AN205+$AO205)*(1+$AV205)*(1+$AW205)+(($AY205+$AZ205)/2*IF($G$1="鸣金",$AP205,$AN205)+IF($G$1="鸣金",$AQ205*1.5,0))*(1+$BA205)*(1+$BB205)+(($BC205+$BD205)/2*IF($G$1="裂石",$AP205,$AN205)+IF($G$1="裂石",$AQ205*1.5,0))*(1+$BE205)*(1+$BF205)+(($BG205+$BH205)/2*IF($G$1="牵丝",$AP205,$AN205)+IF($G$1="牵丝",$AQ205*1.5,0))*(1+$BI205)*(1+$BJ205)+(($BK205+$BL205)/2*IF($G$1="破竹",$AP205,$AN205)+IF($G$1="破竹",$AQ205*1.5,0))*(1+$BM205)*(1+$BN205))*(1+$AR205)*$BQ205*$Q205*(1+IF(VLOOKUP($R205,武学奇术!$A:$ZZ,30,FALSE)="蓄力技",$B$21,0))*(1+IF(VLOOKUP($R205,武学奇术!$A:$ZZ,30,FALSE)="派生技",$B$20,0))*(1+$BW205)*(1+$BX205)</f>
        <v>0</v>
      </c>
      <c r="N205" s="46">
        <f>(($AU205*$AN205+$AO205)*(1+$AV205)*(1+$AW205)+($AZ205*IF($G$1="鸣金",$AP205,$AN205)+IF($G$1="鸣金",$AQ205*1.5,0))*(1+$BA205)*(1+$BB205)+($BD205*IF($G$1="裂石",$AP205,$AN205)+IF($G$1="裂石",$AQ205*1.5,0))*(1+$BE205)*(1+$BF205)+($BH205*IF($G$1="牵丝",$AP205,$AN205)+IF($G$1="牵丝",$AQ205*1.5,0))*(1+$BI205)*(1+$BJ205)+($BL205*IF($G$1="破竹",$AP205,$AN205)+IF($G$1="破竹",$AQ205*1.5,0))*(1+$BM205)*(1+$BN205))*(1+$AR205)*$BS205*$Q205*(1+IF(VLOOKUP($R205,武学奇术!$A:$ZZ,30,FALSE)="蓄力技",$B$21,0))*(1+IF(VLOOKUP($R205,武学奇术!$A:$ZZ,30,FALSE)="派生技",$B$20,0))*(1+$BW205)*(1+$BX205)</f>
        <v>0</v>
      </c>
      <c r="O205" s="46">
        <f>((($AT205+$AU205)/2*$AN205+$AO205)*(1+$AV205)*(1+$AW205)+(($AY205+$AZ205)/2*IF($G$1="鸣金",$AP205,$AN205)+IF($G$1="鸣金",$AQ205*1.5,0))*(1+$BA205)*(1+$BB205)+(($BC205+$BD205)/2*IF($G$1="裂石",$AP205,$AN205)+IF($G$1="裂石",$AQ205*1.5,0))*(1+$BE205)*(1+$BF205)+(($BG205+$BH205)/2*IF($G$1="牵丝",$AP205,$AN205)+IF($G$1="牵丝",$AQ205*1.5,0))*(1+$BI205)*(1+$BJ205)+(($BK205+$BL205)/2*IF($G$1="破竹",$AP205,$AN205)+IF($G$1="破竹",$AQ205*1.5,0))*(1+$BM205)*(1+$BN205))*(1+$AR205)*$Q205*(1+IF(VLOOKUP($R205,武学奇术!$A:$ZZ,30,FALSE)="蓄力技",$B$21,0))*(1+IF(VLOOKUP($R205,武学奇术!$A:$ZZ,30,FALSE)="派生技",$B$20,0))*(1+$BW205)*(1+$BX205)</f>
        <v>0</v>
      </c>
      <c r="P205" s="46">
        <f>((($AT205*$AN205+$AO205)*(1+$AV205)*(1+$AW205)+($AY205*IF($G$1="鸣金",$AP205,$AN205)+IF($G$1="鸣金",$AQ205*1.5,0))*(1+$BA205)*(1+$BB205)+($BC205*IF($G$1="裂石",$AP205,$AN205)+IF($G$1="裂石",$AQ205*1.5,0))*(1+$BE205)*(1+$BF205)+($BG205*IF($G$1="牵丝",$AP205,$AN205)+IF($G$1="牵丝",$AQ205*1.5,0))*(1+$BI205)*(1+$BJ205)+($BK205*IF($G$1="破竹",$AP205,$AN205)+IF($G$1="破竹",$AQ205*1.5,0))*(1+$BM205)*(1+$BN205))*(1+$AR205))*$Q205*(1+IF(VLOOKUP($R205,武学奇术!$A:$ZZ,30,FALSE)="蓄力技",$B$21,0))*(1+IF(VLOOKUP($R205,武学奇术!$A:$ZZ,30,FALSE)="派生技",$B$20,0))*(1+$BW205)*(1+$BX205)</f>
        <v>0</v>
      </c>
      <c r="Q205" s="47">
        <f t="shared" si="60"/>
        <v>0</v>
      </c>
      <c r="R205" s="48" t="s">
        <v>173</v>
      </c>
      <c r="S205" s="48" t="s">
        <v>99</v>
      </c>
      <c r="T205" s="48" t="s">
        <v>182</v>
      </c>
      <c r="U205" s="48" t="s">
        <v>80</v>
      </c>
      <c r="V205" s="48" t="s">
        <v>90</v>
      </c>
      <c r="W205" s="48" t="s">
        <v>141</v>
      </c>
      <c r="X205" s="48" t="s">
        <v>80</v>
      </c>
      <c r="Y205" s="48" t="s">
        <v>74</v>
      </c>
      <c r="Z205" s="48" t="s">
        <v>80</v>
      </c>
      <c r="AA205" s="48" t="s">
        <v>80</v>
      </c>
      <c r="AB205" s="48" t="s">
        <v>80</v>
      </c>
      <c r="AC205" s="48" t="s">
        <v>80</v>
      </c>
      <c r="AD205" s="48" t="s">
        <v>80</v>
      </c>
      <c r="AE205" s="48" t="s">
        <v>80</v>
      </c>
      <c r="AF205" s="48" t="s">
        <v>83</v>
      </c>
      <c r="AG205" s="48" t="s">
        <v>84</v>
      </c>
      <c r="AH205" s="48" t="s">
        <v>80</v>
      </c>
      <c r="AI205" s="48" t="s">
        <v>80</v>
      </c>
      <c r="AJ205" s="48" t="s">
        <v>80</v>
      </c>
      <c r="AK205" s="48" t="s">
        <v>80</v>
      </c>
      <c r="AL205" s="48" t="s">
        <v>80</v>
      </c>
      <c r="AM205" t="str">
        <f>VLOOKUP($R205,武学奇术!$A:$ZZ,25,FALSE)</f>
        <v>陌刀</v>
      </c>
      <c r="AN205" s="33">
        <f>VLOOKUP($R205,武学奇术!$A:$ZZ,26,FALSE)</f>
        <v>1.05</v>
      </c>
      <c r="AO205" s="34">
        <f>VLOOKUP($R205,武学奇术!$A:$ZZ,27,FALSE)*(1+IF(OR($AM205=$F$4,$AM205=$F$5),$B$22,0))</f>
        <v>0</v>
      </c>
      <c r="AP205" s="33">
        <f>VLOOKUP($R205,武学奇术!$A:$ZZ,28,FALSE)</f>
        <v>1.575</v>
      </c>
      <c r="AQ205" s="34">
        <f>VLOOKUP($R205,武学奇术!$A:$ZZ,29,FALSE)*(1+IF(OR($AM205=$F$4,$AM205=$F$5),$B$22,0))</f>
        <v>0</v>
      </c>
      <c r="AR205" s="33" cm="1">
        <f t="array" ref="AR205">$G$3+IFERROR(VLOOKUP($AM205,$F$4:$G$7,2,FALSE),0)+VLOOKUP($R205,武学奇术!$A:$ZZ,2,FALSE)+SUM(_xlfn.XLOOKUP($S205:$AL205,增益!$A:$A,增益!$B:$B,0))</f>
        <v>0.6143</v>
      </c>
      <c r="AS205" s="33" cm="1">
        <f t="array" ref="AS205">VLOOKUP($R205,武学奇术!$A:$ZZ,5,FALSE)+SUM(_xlfn.XLOOKUP($S205:$AL205,增益!$A:$A,增益!$E:$E,0))</f>
        <v>0</v>
      </c>
      <c r="AT205" cm="1">
        <f t="array" ref="AT205">$D$10*(1+$AS205)+VLOOKUP($R205,武学奇术!$A:$ZZ,3,FALSE)+SUM(_xlfn.XLOOKUP($S205:$AL205,增益!$A:$A,增益!$C:$C,0))-$I$2</f>
        <v>4026</v>
      </c>
      <c r="AU205" cm="1">
        <f t="array" ref="AU205">$E$10*(1+$AS205)+VLOOKUP($R205,武学奇术!$A:$ZZ,4,FALSE)+SUM(_xlfn.XLOOKUP($S205:$AL205,增益!$A:$A,增益!$D:$D,0))-$I$2</f>
        <v>4026</v>
      </c>
      <c r="AV205" s="40" cm="1">
        <f t="array" ref="AV205">IF($F$10-$I$3+VLOOKUP($R205,武学奇术!$A:$ZZ,6,FALSE)+SUM(_xlfn.XLOOKUP($S205:$AL205,增益!$A:$A,增益!$F:$F,0))&gt;0,($F$10-$I$3+VLOOKUP($R205,武学奇术!$A:$ZZ,6,FALSE)+SUM(_xlfn.XLOOKUP($S205:$AL205,增益!$A:$A,增益!$F:$F,0)))/200,($F$10-$I$3+VLOOKUP($R205,武学奇术!$A:$ZZ,6,FALSE)+SUM(_xlfn.XLOOKUP($S205:$AL205,增益!$A:$A,增益!$F:$F,0)))/100)</f>
        <v>0.3534</v>
      </c>
      <c r="AW205" s="40" cm="1">
        <f t="array" ref="AW205">$G$10+VLOOKUP($R205,武学奇术!$A:$ZZ,7,FALSE)+SUM(_xlfn.XLOOKUP($S205:$AL205,增益!$A:$A,增益!$G:$G,0))</f>
        <v>0</v>
      </c>
      <c r="AX205" s="33" cm="1">
        <f t="array" ref="AX205">VLOOKUP($R205,武学奇术!$A:$ZZ,8,FALSE)+SUM(_xlfn.XLOOKUP($S205:$AL205,增益!$A:$A,增益!$H:$H,0))</f>
        <v>0</v>
      </c>
      <c r="AY205">
        <f t="shared" si="50"/>
        <v>0</v>
      </c>
      <c r="AZ205">
        <f t="shared" si="51"/>
        <v>0</v>
      </c>
      <c r="BA205" s="40" cm="1">
        <f t="array" ref="BA205">IF($F$11-$I$4+VLOOKUP($R205,武学奇术!$A:$ZZ,9,FALSE)+SUM(_xlfn.XLOOKUP($S205:$AL205,增益!$A:$A,增益!$I:$I,0))&gt;0,($F$11-$I$4+VLOOKUP($R205,武学奇术!$A:$ZZ,9,FALSE)+SUM(_xlfn.XLOOKUP($S205:$AL205,增益!$A:$A,增益!$I:$I,0)))/200,($F$11-$I$4+VLOOKUP($R205,武学奇术!$A:$ZZ,9,FALSE)+SUM(_xlfn.XLOOKUP($S205:$AL205,增益!$A:$A,增益!$I:$I,0)))/100)</f>
        <v>-0.14</v>
      </c>
      <c r="BB205" s="40" cm="1">
        <f t="array" ref="BB205">$G$11+VLOOKUP($R205,武学奇术!$A:$ZZ,10,FALSE)+SUM(_xlfn.XLOOKUP($S205:$AL205,增益!$A:$A,增益!$J:$J,0))</f>
        <v>0</v>
      </c>
      <c r="BC205">
        <f t="shared" si="52"/>
        <v>640.3</v>
      </c>
      <c r="BD205">
        <f t="shared" si="53"/>
        <v>1770.1</v>
      </c>
      <c r="BE205" s="40" cm="1">
        <f t="array" ref="BE205">IF($F$12-$I$4+VLOOKUP($R205,武学奇术!$A:$ZZ,11,FALSE)+SUM(_xlfn.XLOOKUP($S205:$AL205,增益!$A:$A,增益!$K:$K,0))&gt;0,($F$12-$I$4+VLOOKUP($R205,武学奇术!$A:$ZZ,11,FALSE)+SUM(_xlfn.XLOOKUP($S205:$AL205,增益!$A:$A,增益!$K:$K,0)))/200,($F$12-$I$4+VLOOKUP($R205,武学奇术!$A:$ZZ,11,FALSE)+SUM(_xlfn.XLOOKUP($S205:$AL205,增益!$A:$A,增益!$K:$K,0)))/100)</f>
        <v>0.17</v>
      </c>
      <c r="BF205" s="40" cm="1">
        <f t="array" ref="BF205">$G$12+VLOOKUP($R205,武学奇术!$A:$ZZ,12,FALSE)+SUM(_xlfn.XLOOKUP($S205:$AL205,增益!$A:$A,增益!$L:$L,0))</f>
        <v>0.15</v>
      </c>
      <c r="BG205">
        <f t="shared" si="54"/>
        <v>0</v>
      </c>
      <c r="BH205">
        <f t="shared" si="55"/>
        <v>0</v>
      </c>
      <c r="BI205" s="40" cm="1">
        <f t="array" ref="BI205">IF($F$13-$I$4+VLOOKUP($R205,武学奇术!$A:$ZZ,13,FALSE)+SUM(_xlfn.XLOOKUP($S205:$AL205,增益!$A:$A,增益!$M:$M,0))&gt;0,($F$13-$I$4+VLOOKUP($R205,武学奇术!$A:$ZZ,13,FALSE)+SUM(_xlfn.XLOOKUP($S205:$AL205,增益!$A:$A,增益!$K:$K,0)))/200,($F$13-$I$4+VLOOKUP($R205,武学奇术!$A:$ZZ,13,FALSE)+SUM(_xlfn.XLOOKUP($S205:$AL205,增益!$A:$A,增益!$M:$M,0)))/100)</f>
        <v>-0.14</v>
      </c>
      <c r="BJ205" s="40" cm="1">
        <f t="array" ref="BJ205">$G$13+VLOOKUP($R205,武学奇术!$A:$ZZ,14,FALSE)+SUM(_xlfn.XLOOKUP($S205:$AL205,增益!$A:$A,增益!$N:$N,0))</f>
        <v>0</v>
      </c>
      <c r="BK205">
        <f t="shared" si="56"/>
        <v>0</v>
      </c>
      <c r="BL205">
        <f t="shared" si="57"/>
        <v>0</v>
      </c>
      <c r="BM205" s="40" cm="1">
        <f t="array" ref="BM205">IF($F$14-$I$4+VLOOKUP($R205,武学奇术!$A:$ZZ,15,FALSE)+SUM(_xlfn.XLOOKUP($S205:$AL205,增益!$A:$A,增益!$O:$O,0))&gt;0,($F$14-$I$4+VLOOKUP($R205,武学奇术!$A:$ZZ,15,FALSE)+SUM(_xlfn.XLOOKUP($S205:$AL205,增益!$A:$A,增益!$O:$O,0)))/200,($F$14-$I$4+VLOOKUP($R205,武学奇术!$A:$ZZ,15,FALSE)+SUM(_xlfn.XLOOKUP($S205:$AL205,增益!$A:$A,增益!$O:$O,0)))/100)</f>
        <v>-0.14</v>
      </c>
      <c r="BN205" s="40" cm="1">
        <f t="array" ref="BN205">$G$14+VLOOKUP($R205,武学奇术!$A:$ZZ,16,FALSE)+SUM(_xlfn.XLOOKUP($S205:$AL205,增益!$A:$A,增益!$P:$P,0))</f>
        <v>0</v>
      </c>
      <c r="BO205" s="33">
        <f>MIN(IF(VLOOKUP($R205,武学奇术!$A:$ZZ,23,FALSE)=1,100%,$B$8),100%)</f>
        <v>0.9771</v>
      </c>
      <c r="BP205" s="33" cm="1">
        <f t="array" ref="BP205">IF(VLOOKUP($R205,武学奇术!$A:$ZZ,23,FALSE)=1,100%,MIN(80%,$B$9+VLOOKUP($R205,武学奇术!$A:$ZZ,17,FALSE)+SUM(_xlfn.XLOOKUP($S205:$AL205,增益!$A:$A,增益!$Q:$Q,0)))+$B$11+SUM(_xlfn.XLOOKUP($S205:$AL205,增益!$A:$A,增益!$U:$U,0)))*IF(VLOOKUP($R205,武学奇术!$A:$ZZ,24,FALSE)=1,0,1)</f>
        <v>0.8861</v>
      </c>
      <c r="BQ205" s="33" cm="1">
        <f t="array" ref="BQ205">1+$B$13+VLOOKUP($R205,武学奇术!$A:$ZZ,18,FALSE)+SUM(_xlfn.XLOOKUP($S205:$AL205,增益!$A:$A,增益!$R:$R,0))</f>
        <v>2</v>
      </c>
      <c r="BR205" s="33" cm="1">
        <f t="array" ref="BR205">IF(VLOOKUP($R205,武学奇术!$A:$ZZ,24,FALSE)=1,100%,MIN(40%,$B$10+VLOOKUP($R205,武学奇术!$A:$ZZ,19,FALSE)+SUM(_xlfn.XLOOKUP($S205:$AL205,增益!$A:$A,增益!$S:$S,0)))+$B$12+SUM(_xlfn.XLOOKUP($S205:$AL205,增益!$A:$A,增益!$V:$V,0)))*IF(VLOOKUP($R205,武学奇术!$A:$ZZ,23,FALSE)=1,0,1)</f>
        <v>0.0913</v>
      </c>
      <c r="BS205" s="33" cm="1">
        <f t="array" ref="BS205">1+$B$14+VLOOKUP($R205,武学奇术!$A:$ZZ,20,FALSE)+SUM(_xlfn.XLOOKUP($S205:$AL205,增益!$A:$A,增益!$T:$T,0))</f>
        <v>1.35</v>
      </c>
      <c r="BT205" s="33">
        <f t="shared" si="58"/>
        <v>0.86580831</v>
      </c>
      <c r="BU205" s="33">
        <f t="shared" si="59"/>
        <v>0.02208246</v>
      </c>
      <c r="BV205" s="33">
        <f>IF(VLOOKUP($R205,武学奇术!$A:$ZZ,22,FALSE)=1,0,(1-$BO205))*(1-$BR205)</f>
        <v>0.02080923</v>
      </c>
      <c r="BW205" s="33" cm="1">
        <f t="array" ref="BW205">SUM(_xlfn.XLOOKUP($S205:$AL205,增益!$A:$A,增益!$W:$W,0))+$I$5</f>
        <v>0.11</v>
      </c>
      <c r="BX205" s="33" cm="1">
        <f t="array" ref="BX205">VLOOKUP($R205,武学奇术!$A:$ZZ,32,FALSE)+SUM(_xlfn.XLOOKUP($S205:$AL205,增益!$A:$A,增益!$X:$X,0))</f>
        <v>0</v>
      </c>
    </row>
    <row r="206" spans="12:76">
      <c r="L206" s="46">
        <f t="shared" si="49"/>
        <v>0</v>
      </c>
      <c r="M206" s="46">
        <f>((($AT206+$AU206)/2*$AN206+$AO206)*(1+$AV206)*(1+$AW206)+(($AY206+$AZ206)/2*IF($G$1="鸣金",$AP206,$AN206)+IF($G$1="鸣金",$AQ206*1.5,0))*(1+$BA206)*(1+$BB206)+(($BC206+$BD206)/2*IF($G$1="裂石",$AP206,$AN206)+IF($G$1="裂石",$AQ206*1.5,0))*(1+$BE206)*(1+$BF206)+(($BG206+$BH206)/2*IF($G$1="牵丝",$AP206,$AN206)+IF($G$1="牵丝",$AQ206*1.5,0))*(1+$BI206)*(1+$BJ206)+(($BK206+$BL206)/2*IF($G$1="破竹",$AP206,$AN206)+IF($G$1="破竹",$AQ206*1.5,0))*(1+$BM206)*(1+$BN206))*(1+$AR206)*$BQ206*$Q206*(1+IF(VLOOKUP($R206,武学奇术!$A:$ZZ,30,FALSE)="蓄力技",$B$21,0))*(1+IF(VLOOKUP($R206,武学奇术!$A:$ZZ,30,FALSE)="派生技",$B$20,0))*(1+$BW206)*(1+$BX206)</f>
        <v>0</v>
      </c>
      <c r="N206" s="46">
        <f>(($AU206*$AN206+$AO206)*(1+$AV206)*(1+$AW206)+($AZ206*IF($G$1="鸣金",$AP206,$AN206)+IF($G$1="鸣金",$AQ206*1.5,0))*(1+$BA206)*(1+$BB206)+($BD206*IF($G$1="裂石",$AP206,$AN206)+IF($G$1="裂石",$AQ206*1.5,0))*(1+$BE206)*(1+$BF206)+($BH206*IF($G$1="牵丝",$AP206,$AN206)+IF($G$1="牵丝",$AQ206*1.5,0))*(1+$BI206)*(1+$BJ206)+($BL206*IF($G$1="破竹",$AP206,$AN206)+IF($G$1="破竹",$AQ206*1.5,0))*(1+$BM206)*(1+$BN206))*(1+$AR206)*$BS206*$Q206*(1+IF(VLOOKUP($R206,武学奇术!$A:$ZZ,30,FALSE)="蓄力技",$B$21,0))*(1+IF(VLOOKUP($R206,武学奇术!$A:$ZZ,30,FALSE)="派生技",$B$20,0))*(1+$BW206)*(1+$BX206)</f>
        <v>0</v>
      </c>
      <c r="O206" s="46">
        <f>((($AT206+$AU206)/2*$AN206+$AO206)*(1+$AV206)*(1+$AW206)+(($AY206+$AZ206)/2*IF($G$1="鸣金",$AP206,$AN206)+IF($G$1="鸣金",$AQ206*1.5,0))*(1+$BA206)*(1+$BB206)+(($BC206+$BD206)/2*IF($G$1="裂石",$AP206,$AN206)+IF($G$1="裂石",$AQ206*1.5,0))*(1+$BE206)*(1+$BF206)+(($BG206+$BH206)/2*IF($G$1="牵丝",$AP206,$AN206)+IF($G$1="牵丝",$AQ206*1.5,0))*(1+$BI206)*(1+$BJ206)+(($BK206+$BL206)/2*IF($G$1="破竹",$AP206,$AN206)+IF($G$1="破竹",$AQ206*1.5,0))*(1+$BM206)*(1+$BN206))*(1+$AR206)*$Q206*(1+IF(VLOOKUP($R206,武学奇术!$A:$ZZ,30,FALSE)="蓄力技",$B$21,0))*(1+IF(VLOOKUP($R206,武学奇术!$A:$ZZ,30,FALSE)="派生技",$B$20,0))*(1+$BW206)*(1+$BX206)</f>
        <v>0</v>
      </c>
      <c r="P206" s="46">
        <f>((($AT206*$AN206+$AO206)*(1+$AV206)*(1+$AW206)+($AY206*IF($G$1="鸣金",$AP206,$AN206)+IF($G$1="鸣金",$AQ206*1.5,0))*(1+$BA206)*(1+$BB206)+($BC206*IF($G$1="裂石",$AP206,$AN206)+IF($G$1="裂石",$AQ206*1.5,0))*(1+$BE206)*(1+$BF206)+($BG206*IF($G$1="牵丝",$AP206,$AN206)+IF($G$1="牵丝",$AQ206*1.5,0))*(1+$BI206)*(1+$BJ206)+($BK206*IF($G$1="破竹",$AP206,$AN206)+IF($G$1="破竹",$AQ206*1.5,0))*(1+$BM206)*(1+$BN206))*(1+$AR206))*$Q206*(1+IF(VLOOKUP($R206,武学奇术!$A:$ZZ,30,FALSE)="蓄力技",$B$21,0))*(1+IF(VLOOKUP($R206,武学奇术!$A:$ZZ,30,FALSE)="派生技",$B$20,0))*(1+$BW206)*(1+$BX206)</f>
        <v>0</v>
      </c>
      <c r="Q206" s="47">
        <f t="shared" si="60"/>
        <v>0</v>
      </c>
      <c r="R206" s="48" t="s">
        <v>200</v>
      </c>
      <c r="S206" s="48" t="s">
        <v>99</v>
      </c>
      <c r="T206" s="48" t="s">
        <v>182</v>
      </c>
      <c r="U206" s="48" t="s">
        <v>80</v>
      </c>
      <c r="V206" s="48" t="s">
        <v>80</v>
      </c>
      <c r="W206" s="48" t="s">
        <v>91</v>
      </c>
      <c r="X206" s="48" t="s">
        <v>80</v>
      </c>
      <c r="Y206" s="48" t="s">
        <v>80</v>
      </c>
      <c r="Z206" s="48" t="s">
        <v>80</v>
      </c>
      <c r="AA206" s="48" t="s">
        <v>80</v>
      </c>
      <c r="AB206" s="48" t="s">
        <v>80</v>
      </c>
      <c r="AC206" s="48" t="s">
        <v>80</v>
      </c>
      <c r="AD206" s="48" t="s">
        <v>80</v>
      </c>
      <c r="AE206" s="48" t="s">
        <v>80</v>
      </c>
      <c r="AF206" s="48" t="s">
        <v>83</v>
      </c>
      <c r="AG206" s="48" t="s">
        <v>84</v>
      </c>
      <c r="AH206" s="48" t="s">
        <v>80</v>
      </c>
      <c r="AI206" s="48" t="s">
        <v>80</v>
      </c>
      <c r="AJ206" s="48" t="s">
        <v>80</v>
      </c>
      <c r="AK206" s="48" t="s">
        <v>80</v>
      </c>
      <c r="AL206" s="48" t="s">
        <v>80</v>
      </c>
      <c r="AM206" t="str">
        <f>VLOOKUP($R206,武学奇术!$A:$ZZ,25,FALSE)</f>
        <v>横刀</v>
      </c>
      <c r="AN206" s="33">
        <f>VLOOKUP($R206,武学奇术!$A:$ZZ,26,FALSE)</f>
        <v>0.6486</v>
      </c>
      <c r="AO206" s="34">
        <f>VLOOKUP($R206,武学奇术!$A:$ZZ,27,FALSE)*(1+IF(OR($AM206=$F$4,$AM206=$F$5),$B$22,0))</f>
        <v>288</v>
      </c>
      <c r="AP206" s="33">
        <f>VLOOKUP($R206,武学奇术!$A:$ZZ,28,FALSE)</f>
        <v>0.9729</v>
      </c>
      <c r="AQ206" s="34">
        <f>VLOOKUP($R206,武学奇术!$A:$ZZ,29,FALSE)*(1+IF(OR($AM206=$F$4,$AM206=$F$5),$B$22,0))</f>
        <v>156.8</v>
      </c>
      <c r="AR206" s="33" cm="1">
        <f t="array" ref="AR206">$G$3+IFERROR(VLOOKUP($AM206,$F$4:$G$7,2,FALSE),0)+VLOOKUP($R206,武学奇术!$A:$ZZ,2,FALSE)+SUM(_xlfn.XLOOKUP($S206:$AL206,增益!$A:$A,增益!$B:$B,0))</f>
        <v>0.3689</v>
      </c>
      <c r="AS206" s="33" cm="1">
        <f t="array" ref="AS206">VLOOKUP($R206,武学奇术!$A:$ZZ,5,FALSE)+SUM(_xlfn.XLOOKUP($S206:$AL206,增益!$A:$A,增益!$E:$E,0))</f>
        <v>0</v>
      </c>
      <c r="AT206" cm="1">
        <f t="array" ref="AT206">$D$10*(1+$AS206)+VLOOKUP($R206,武学奇术!$A:$ZZ,3,FALSE)+SUM(_xlfn.XLOOKUP($S206:$AL206,增益!$A:$A,增益!$C:$C,0))-$I$2</f>
        <v>4026</v>
      </c>
      <c r="AU206" cm="1">
        <f t="array" ref="AU206">$E$10*(1+$AS206)+VLOOKUP($R206,武学奇术!$A:$ZZ,4,FALSE)+SUM(_xlfn.XLOOKUP($S206:$AL206,增益!$A:$A,增益!$D:$D,0))-$I$2</f>
        <v>4026</v>
      </c>
      <c r="AV206" s="40" cm="1">
        <f t="array" ref="AV206">IF($F$10-$I$3+VLOOKUP($R206,武学奇术!$A:$ZZ,6,FALSE)+SUM(_xlfn.XLOOKUP($S206:$AL206,增益!$A:$A,增益!$F:$F,0))&gt;0,($F$10-$I$3+VLOOKUP($R206,武学奇术!$A:$ZZ,6,FALSE)+SUM(_xlfn.XLOOKUP($S206:$AL206,增益!$A:$A,增益!$F:$F,0)))/200,($F$10-$I$3+VLOOKUP($R206,武学奇术!$A:$ZZ,6,FALSE)+SUM(_xlfn.XLOOKUP($S206:$AL206,增益!$A:$A,增益!$F:$F,0)))/100)</f>
        <v>0.3284</v>
      </c>
      <c r="AW206" s="40" cm="1">
        <f t="array" ref="AW206">$G$10+VLOOKUP($R206,武学奇术!$A:$ZZ,7,FALSE)+SUM(_xlfn.XLOOKUP($S206:$AL206,增益!$A:$A,增益!$G:$G,0))</f>
        <v>0</v>
      </c>
      <c r="AX206" s="33" cm="1">
        <f t="array" ref="AX206">VLOOKUP($R206,武学奇术!$A:$ZZ,8,FALSE)+SUM(_xlfn.XLOOKUP($S206:$AL206,增益!$A:$A,增益!$H:$H,0))</f>
        <v>0</v>
      </c>
      <c r="AY206">
        <f t="shared" si="50"/>
        <v>0</v>
      </c>
      <c r="AZ206">
        <f t="shared" si="51"/>
        <v>0</v>
      </c>
      <c r="BA206" s="40" cm="1">
        <f t="array" ref="BA206">IF($F$11-$I$4+VLOOKUP($R206,武学奇术!$A:$ZZ,9,FALSE)+SUM(_xlfn.XLOOKUP($S206:$AL206,增益!$A:$A,增益!$I:$I,0))&gt;0,($F$11-$I$4+VLOOKUP($R206,武学奇术!$A:$ZZ,9,FALSE)+SUM(_xlfn.XLOOKUP($S206:$AL206,增益!$A:$A,增益!$I:$I,0)))/200,($F$11-$I$4+VLOOKUP($R206,武学奇术!$A:$ZZ,9,FALSE)+SUM(_xlfn.XLOOKUP($S206:$AL206,增益!$A:$A,增益!$I:$I,0)))/100)</f>
        <v>-0.3</v>
      </c>
      <c r="BB206" s="40" cm="1">
        <f t="array" ref="BB206">$G$11+VLOOKUP($R206,武学奇术!$A:$ZZ,10,FALSE)+SUM(_xlfn.XLOOKUP($S206:$AL206,增益!$A:$A,增益!$J:$J,0))</f>
        <v>0</v>
      </c>
      <c r="BC206">
        <f t="shared" si="52"/>
        <v>640.3</v>
      </c>
      <c r="BD206">
        <f t="shared" si="53"/>
        <v>1770.1</v>
      </c>
      <c r="BE206" s="40" cm="1">
        <f t="array" ref="BE206">IF($F$12-$I$4+VLOOKUP($R206,武学奇术!$A:$ZZ,11,FALSE)+SUM(_xlfn.XLOOKUP($S206:$AL206,增益!$A:$A,增益!$K:$K,0))&gt;0,($F$12-$I$4+VLOOKUP($R206,武学奇术!$A:$ZZ,11,FALSE)+SUM(_xlfn.XLOOKUP($S206:$AL206,增益!$A:$A,增益!$K:$K,0)))/200,($F$12-$I$4+VLOOKUP($R206,武学奇术!$A:$ZZ,11,FALSE)+SUM(_xlfn.XLOOKUP($S206:$AL206,增益!$A:$A,增益!$K:$K,0)))/100)</f>
        <v>0.09</v>
      </c>
      <c r="BF206" s="40" cm="1">
        <f t="array" ref="BF206">$G$12+VLOOKUP($R206,武学奇术!$A:$ZZ,12,FALSE)+SUM(_xlfn.XLOOKUP($S206:$AL206,增益!$A:$A,增益!$L:$L,0))</f>
        <v>0.15</v>
      </c>
      <c r="BG206">
        <f t="shared" si="54"/>
        <v>0</v>
      </c>
      <c r="BH206">
        <f t="shared" si="55"/>
        <v>0</v>
      </c>
      <c r="BI206" s="40" cm="1">
        <f t="array" ref="BI206">IF($F$13-$I$4+VLOOKUP($R206,武学奇术!$A:$ZZ,13,FALSE)+SUM(_xlfn.XLOOKUP($S206:$AL206,增益!$A:$A,增益!$M:$M,0))&gt;0,($F$13-$I$4+VLOOKUP($R206,武学奇术!$A:$ZZ,13,FALSE)+SUM(_xlfn.XLOOKUP($S206:$AL206,增益!$A:$A,增益!$K:$K,0)))/200,($F$13-$I$4+VLOOKUP($R206,武学奇术!$A:$ZZ,13,FALSE)+SUM(_xlfn.XLOOKUP($S206:$AL206,增益!$A:$A,增益!$M:$M,0)))/100)</f>
        <v>-0.3</v>
      </c>
      <c r="BJ206" s="40" cm="1">
        <f t="array" ref="BJ206">$G$13+VLOOKUP($R206,武学奇术!$A:$ZZ,14,FALSE)+SUM(_xlfn.XLOOKUP($S206:$AL206,增益!$A:$A,增益!$N:$N,0))</f>
        <v>0</v>
      </c>
      <c r="BK206">
        <f t="shared" si="56"/>
        <v>0</v>
      </c>
      <c r="BL206">
        <f t="shared" si="57"/>
        <v>0</v>
      </c>
      <c r="BM206" s="40" cm="1">
        <f t="array" ref="BM206">IF($F$14-$I$4+VLOOKUP($R206,武学奇术!$A:$ZZ,15,FALSE)+SUM(_xlfn.XLOOKUP($S206:$AL206,增益!$A:$A,增益!$O:$O,0))&gt;0,($F$14-$I$4+VLOOKUP($R206,武学奇术!$A:$ZZ,15,FALSE)+SUM(_xlfn.XLOOKUP($S206:$AL206,增益!$A:$A,增益!$O:$O,0)))/200,($F$14-$I$4+VLOOKUP($R206,武学奇术!$A:$ZZ,15,FALSE)+SUM(_xlfn.XLOOKUP($S206:$AL206,增益!$A:$A,增益!$O:$O,0)))/100)</f>
        <v>-0.3</v>
      </c>
      <c r="BN206" s="40" cm="1">
        <f t="array" ref="BN206">$G$14+VLOOKUP($R206,武学奇术!$A:$ZZ,16,FALSE)+SUM(_xlfn.XLOOKUP($S206:$AL206,增益!$A:$A,增益!$P:$P,0))</f>
        <v>0</v>
      </c>
      <c r="BO206" s="33">
        <f>MIN(IF(VLOOKUP($R206,武学奇术!$A:$ZZ,23,FALSE)=1,100%,$B$8),100%)</f>
        <v>0.9771</v>
      </c>
      <c r="BP206" s="33" cm="1">
        <f t="array" ref="BP206">IF(VLOOKUP($R206,武学奇术!$A:$ZZ,23,FALSE)=1,100%,MIN(80%,$B$9+VLOOKUP($R206,武学奇术!$A:$ZZ,17,FALSE)+SUM(_xlfn.XLOOKUP($S206:$AL206,增益!$A:$A,增益!$Q:$Q,0)))+$B$11+SUM(_xlfn.XLOOKUP($S206:$AL206,增益!$A:$A,增益!$U:$U,0)))*IF(VLOOKUP($R206,武学奇术!$A:$ZZ,24,FALSE)=1,0,1)</f>
        <v>0.8861</v>
      </c>
      <c r="BQ206" s="33" cm="1">
        <f t="array" ref="BQ206">1+$B$13+VLOOKUP($R206,武学奇术!$A:$ZZ,18,FALSE)+SUM(_xlfn.XLOOKUP($S206:$AL206,增益!$A:$A,增益!$R:$R,0))</f>
        <v>1.95</v>
      </c>
      <c r="BR206" s="33" cm="1">
        <f t="array" ref="BR206">IF(VLOOKUP($R206,武学奇术!$A:$ZZ,24,FALSE)=1,100%,MIN(40%,$B$10+VLOOKUP($R206,武学奇术!$A:$ZZ,19,FALSE)+SUM(_xlfn.XLOOKUP($S206:$AL206,增益!$A:$A,增益!$S:$S,0)))+$B$12+SUM(_xlfn.XLOOKUP($S206:$AL206,增益!$A:$A,增益!$V:$V,0)))*IF(VLOOKUP($R206,武学奇术!$A:$ZZ,23,FALSE)=1,0,1)</f>
        <v>0.0913</v>
      </c>
      <c r="BS206" s="33" cm="1">
        <f t="array" ref="BS206">1+$B$14+VLOOKUP($R206,武学奇术!$A:$ZZ,20,FALSE)+SUM(_xlfn.XLOOKUP($S206:$AL206,增益!$A:$A,增益!$T:$T,0))</f>
        <v>1.35</v>
      </c>
      <c r="BT206" s="33">
        <f t="shared" si="58"/>
        <v>0.86580831</v>
      </c>
      <c r="BU206" s="33">
        <f t="shared" si="59"/>
        <v>0.02208246</v>
      </c>
      <c r="BV206" s="33">
        <f>IF(VLOOKUP($R206,武学奇术!$A:$ZZ,22,FALSE)=1,0,(1-$BO206))*(1-$BR206)</f>
        <v>0.02080923</v>
      </c>
      <c r="BW206" s="33" cm="1">
        <f t="array" ref="BW206">SUM(_xlfn.XLOOKUP($S206:$AL206,增益!$A:$A,增益!$W:$W,0))+$I$5</f>
        <v>0.11</v>
      </c>
      <c r="BX206" s="33" cm="1">
        <f t="array" ref="BX206">VLOOKUP($R206,武学奇术!$A:$ZZ,32,FALSE)+SUM(_xlfn.XLOOKUP($S206:$AL206,增益!$A:$A,增益!$X:$X,0))</f>
        <v>0</v>
      </c>
    </row>
    <row r="207" spans="12:76">
      <c r="L207" s="46">
        <f t="shared" si="49"/>
        <v>0</v>
      </c>
      <c r="M207" s="46">
        <f>((($AT207+$AU207)/2*$AN207+$AO207)*(1+$AV207)*(1+$AW207)+(($AY207+$AZ207)/2*IF($G$1="鸣金",$AP207,$AN207)+IF($G$1="鸣金",$AQ207*1.5,0))*(1+$BA207)*(1+$BB207)+(($BC207+$BD207)/2*IF($G$1="裂石",$AP207,$AN207)+IF($G$1="裂石",$AQ207*1.5,0))*(1+$BE207)*(1+$BF207)+(($BG207+$BH207)/2*IF($G$1="牵丝",$AP207,$AN207)+IF($G$1="牵丝",$AQ207*1.5,0))*(1+$BI207)*(1+$BJ207)+(($BK207+$BL207)/2*IF($G$1="破竹",$AP207,$AN207)+IF($G$1="破竹",$AQ207*1.5,0))*(1+$BM207)*(1+$BN207))*(1+$AR207)*$BQ207*$Q207*(1+IF(VLOOKUP($R207,武学奇术!$A:$ZZ,30,FALSE)="蓄力技",$B$21,0))*(1+IF(VLOOKUP($R207,武学奇术!$A:$ZZ,30,FALSE)="派生技",$B$20,0))*(1+$BW207)*(1+$BX207)</f>
        <v>0</v>
      </c>
      <c r="N207" s="46">
        <f>(($AU207*$AN207+$AO207)*(1+$AV207)*(1+$AW207)+($AZ207*IF($G$1="鸣金",$AP207,$AN207)+IF($G$1="鸣金",$AQ207*1.5,0))*(1+$BA207)*(1+$BB207)+($BD207*IF($G$1="裂石",$AP207,$AN207)+IF($G$1="裂石",$AQ207*1.5,0))*(1+$BE207)*(1+$BF207)+($BH207*IF($G$1="牵丝",$AP207,$AN207)+IF($G$1="牵丝",$AQ207*1.5,0))*(1+$BI207)*(1+$BJ207)+($BL207*IF($G$1="破竹",$AP207,$AN207)+IF($G$1="破竹",$AQ207*1.5,0))*(1+$BM207)*(1+$BN207))*(1+$AR207)*$BS207*$Q207*(1+IF(VLOOKUP($R207,武学奇术!$A:$ZZ,30,FALSE)="蓄力技",$B$21,0))*(1+IF(VLOOKUP($R207,武学奇术!$A:$ZZ,30,FALSE)="派生技",$B$20,0))*(1+$BW207)*(1+$BX207)</f>
        <v>0</v>
      </c>
      <c r="O207" s="46">
        <f>((($AT207+$AU207)/2*$AN207+$AO207)*(1+$AV207)*(1+$AW207)+(($AY207+$AZ207)/2*IF($G$1="鸣金",$AP207,$AN207)+IF($G$1="鸣金",$AQ207*1.5,0))*(1+$BA207)*(1+$BB207)+(($BC207+$BD207)/2*IF($G$1="裂石",$AP207,$AN207)+IF($G$1="裂石",$AQ207*1.5,0))*(1+$BE207)*(1+$BF207)+(($BG207+$BH207)/2*IF($G$1="牵丝",$AP207,$AN207)+IF($G$1="牵丝",$AQ207*1.5,0))*(1+$BI207)*(1+$BJ207)+(($BK207+$BL207)/2*IF($G$1="破竹",$AP207,$AN207)+IF($G$1="破竹",$AQ207*1.5,0))*(1+$BM207)*(1+$BN207))*(1+$AR207)*$Q207*(1+IF(VLOOKUP($R207,武学奇术!$A:$ZZ,30,FALSE)="蓄力技",$B$21,0))*(1+IF(VLOOKUP($R207,武学奇术!$A:$ZZ,30,FALSE)="派生技",$B$20,0))*(1+$BW207)*(1+$BX207)</f>
        <v>0</v>
      </c>
      <c r="P207" s="46">
        <f>((($AT207*$AN207+$AO207)*(1+$AV207)*(1+$AW207)+($AY207*IF($G$1="鸣金",$AP207,$AN207)+IF($G$1="鸣金",$AQ207*1.5,0))*(1+$BA207)*(1+$BB207)+($BC207*IF($G$1="裂石",$AP207,$AN207)+IF($G$1="裂石",$AQ207*1.5,0))*(1+$BE207)*(1+$BF207)+($BG207*IF($G$1="牵丝",$AP207,$AN207)+IF($G$1="牵丝",$AQ207*1.5,0))*(1+$BI207)*(1+$BJ207)+($BK207*IF($G$1="破竹",$AP207,$AN207)+IF($G$1="破竹",$AQ207*1.5,0))*(1+$BM207)*(1+$BN207))*(1+$AR207))*$Q207*(1+IF(VLOOKUP($R207,武学奇术!$A:$ZZ,30,FALSE)="蓄力技",$B$21,0))*(1+IF(VLOOKUP($R207,武学奇术!$A:$ZZ,30,FALSE)="派生技",$B$20,0))*(1+$BW207)*(1+$BX207)</f>
        <v>0</v>
      </c>
      <c r="Q207" s="47">
        <f t="shared" si="60"/>
        <v>0</v>
      </c>
      <c r="R207" s="48" t="s">
        <v>175</v>
      </c>
      <c r="S207" s="48" t="s">
        <v>99</v>
      </c>
      <c r="T207" s="48" t="s">
        <v>182</v>
      </c>
      <c r="U207" s="48" t="s">
        <v>80</v>
      </c>
      <c r="V207" s="48" t="s">
        <v>80</v>
      </c>
      <c r="W207" s="48" t="s">
        <v>91</v>
      </c>
      <c r="X207" s="48" t="s">
        <v>80</v>
      </c>
      <c r="Y207" s="48" t="s">
        <v>80</v>
      </c>
      <c r="Z207" s="48" t="s">
        <v>80</v>
      </c>
      <c r="AA207" s="48" t="s">
        <v>80</v>
      </c>
      <c r="AB207" s="48" t="s">
        <v>80</v>
      </c>
      <c r="AC207" s="48" t="s">
        <v>80</v>
      </c>
      <c r="AD207" s="48" t="s">
        <v>80</v>
      </c>
      <c r="AE207" s="48" t="s">
        <v>80</v>
      </c>
      <c r="AF207" s="48" t="s">
        <v>83</v>
      </c>
      <c r="AG207" s="48" t="s">
        <v>84</v>
      </c>
      <c r="AH207" s="48" t="s">
        <v>80</v>
      </c>
      <c r="AI207" s="48" t="s">
        <v>80</v>
      </c>
      <c r="AJ207" s="48" t="s">
        <v>80</v>
      </c>
      <c r="AK207" s="48" t="s">
        <v>80</v>
      </c>
      <c r="AL207" s="48" t="s">
        <v>80</v>
      </c>
      <c r="AM207" t="str">
        <f>VLOOKUP($R207,武学奇术!$A:$ZZ,25,FALSE)</f>
        <v>横刀</v>
      </c>
      <c r="AN207" s="33">
        <f>VLOOKUP($R207,武学奇术!$A:$ZZ,26,FALSE)</f>
        <v>1.2338</v>
      </c>
      <c r="AO207" s="34">
        <f>VLOOKUP($R207,武学奇术!$A:$ZZ,27,FALSE)*(1+IF(OR($AM207=$F$4,$AM207=$F$5),$B$22,0))</f>
        <v>547.2</v>
      </c>
      <c r="AP207" s="33">
        <f>VLOOKUP($R207,武学奇术!$A:$ZZ,28,FALSE)</f>
        <v>1.8507</v>
      </c>
      <c r="AQ207" s="34">
        <f>VLOOKUP($R207,武学奇术!$A:$ZZ,29,FALSE)*(1+IF(OR($AM207=$F$4,$AM207=$F$5),$B$22,0))</f>
        <v>297.6</v>
      </c>
      <c r="AR207" s="33" cm="1">
        <f t="array" ref="AR207">$G$3+IFERROR(VLOOKUP($AM207,$F$4:$G$7,2,FALSE),0)+VLOOKUP($R207,武学奇术!$A:$ZZ,2,FALSE)+SUM(_xlfn.XLOOKUP($S207:$AL207,增益!$A:$A,增益!$B:$B,0))</f>
        <v>0.3689</v>
      </c>
      <c r="AS207" s="33" cm="1">
        <f t="array" ref="AS207">VLOOKUP($R207,武学奇术!$A:$ZZ,5,FALSE)+SUM(_xlfn.XLOOKUP($S207:$AL207,增益!$A:$A,增益!$E:$E,0))</f>
        <v>0</v>
      </c>
      <c r="AT207" cm="1">
        <f t="array" ref="AT207">$D$10*(1+$AS207)+VLOOKUP($R207,武学奇术!$A:$ZZ,3,FALSE)+SUM(_xlfn.XLOOKUP($S207:$AL207,增益!$A:$A,增益!$C:$C,0))-$I$2</f>
        <v>4026</v>
      </c>
      <c r="AU207" cm="1">
        <f t="array" ref="AU207">$E$10*(1+$AS207)+VLOOKUP($R207,武学奇术!$A:$ZZ,4,FALSE)+SUM(_xlfn.XLOOKUP($S207:$AL207,增益!$A:$A,增益!$D:$D,0))-$I$2</f>
        <v>4026</v>
      </c>
      <c r="AV207" s="40" cm="1">
        <f t="array" ref="AV207">IF($F$10-$I$3+VLOOKUP($R207,武学奇术!$A:$ZZ,6,FALSE)+SUM(_xlfn.XLOOKUP($S207:$AL207,增益!$A:$A,增益!$F:$F,0))&gt;0,($F$10-$I$3+VLOOKUP($R207,武学奇术!$A:$ZZ,6,FALSE)+SUM(_xlfn.XLOOKUP($S207:$AL207,增益!$A:$A,增益!$F:$F,0)))/200,($F$10-$I$3+VLOOKUP($R207,武学奇术!$A:$ZZ,6,FALSE)+SUM(_xlfn.XLOOKUP($S207:$AL207,增益!$A:$A,增益!$F:$F,0)))/100)</f>
        <v>0.3284</v>
      </c>
      <c r="AW207" s="40" cm="1">
        <f t="array" ref="AW207">$G$10+VLOOKUP($R207,武学奇术!$A:$ZZ,7,FALSE)+SUM(_xlfn.XLOOKUP($S207:$AL207,增益!$A:$A,增益!$G:$G,0))</f>
        <v>0</v>
      </c>
      <c r="AX207" s="33" cm="1">
        <f t="array" ref="AX207">VLOOKUP($R207,武学奇术!$A:$ZZ,8,FALSE)+SUM(_xlfn.XLOOKUP($S207:$AL207,增益!$A:$A,增益!$H:$H,0))</f>
        <v>0</v>
      </c>
      <c r="AY207">
        <f t="shared" si="50"/>
        <v>0</v>
      </c>
      <c r="AZ207">
        <f t="shared" si="51"/>
        <v>0</v>
      </c>
      <c r="BA207" s="40" cm="1">
        <f t="array" ref="BA207">IF($F$11-$I$4+VLOOKUP($R207,武学奇术!$A:$ZZ,9,FALSE)+SUM(_xlfn.XLOOKUP($S207:$AL207,增益!$A:$A,增益!$I:$I,0))&gt;0,($F$11-$I$4+VLOOKUP($R207,武学奇术!$A:$ZZ,9,FALSE)+SUM(_xlfn.XLOOKUP($S207:$AL207,增益!$A:$A,增益!$I:$I,0)))/200,($F$11-$I$4+VLOOKUP($R207,武学奇术!$A:$ZZ,9,FALSE)+SUM(_xlfn.XLOOKUP($S207:$AL207,增益!$A:$A,增益!$I:$I,0)))/100)</f>
        <v>-0.3</v>
      </c>
      <c r="BB207" s="40" cm="1">
        <f t="array" ref="BB207">$G$11+VLOOKUP($R207,武学奇术!$A:$ZZ,10,FALSE)+SUM(_xlfn.XLOOKUP($S207:$AL207,增益!$A:$A,增益!$J:$J,0))</f>
        <v>0</v>
      </c>
      <c r="BC207">
        <f t="shared" si="52"/>
        <v>640.3</v>
      </c>
      <c r="BD207">
        <f t="shared" si="53"/>
        <v>1770.1</v>
      </c>
      <c r="BE207" s="40" cm="1">
        <f t="array" ref="BE207">IF($F$12-$I$4+VLOOKUP($R207,武学奇术!$A:$ZZ,11,FALSE)+SUM(_xlfn.XLOOKUP($S207:$AL207,增益!$A:$A,增益!$K:$K,0))&gt;0,($F$12-$I$4+VLOOKUP($R207,武学奇术!$A:$ZZ,11,FALSE)+SUM(_xlfn.XLOOKUP($S207:$AL207,增益!$A:$A,增益!$K:$K,0)))/200,($F$12-$I$4+VLOOKUP($R207,武学奇术!$A:$ZZ,11,FALSE)+SUM(_xlfn.XLOOKUP($S207:$AL207,增益!$A:$A,增益!$K:$K,0)))/100)</f>
        <v>0.09</v>
      </c>
      <c r="BF207" s="40" cm="1">
        <f t="array" ref="BF207">$G$12+VLOOKUP($R207,武学奇术!$A:$ZZ,12,FALSE)+SUM(_xlfn.XLOOKUP($S207:$AL207,增益!$A:$A,增益!$L:$L,0))</f>
        <v>0.15</v>
      </c>
      <c r="BG207">
        <f t="shared" si="54"/>
        <v>0</v>
      </c>
      <c r="BH207">
        <f t="shared" si="55"/>
        <v>0</v>
      </c>
      <c r="BI207" s="40" cm="1">
        <f t="array" ref="BI207">IF($F$13-$I$4+VLOOKUP($R207,武学奇术!$A:$ZZ,13,FALSE)+SUM(_xlfn.XLOOKUP($S207:$AL207,增益!$A:$A,增益!$M:$M,0))&gt;0,($F$13-$I$4+VLOOKUP($R207,武学奇术!$A:$ZZ,13,FALSE)+SUM(_xlfn.XLOOKUP($S207:$AL207,增益!$A:$A,增益!$K:$K,0)))/200,($F$13-$I$4+VLOOKUP($R207,武学奇术!$A:$ZZ,13,FALSE)+SUM(_xlfn.XLOOKUP($S207:$AL207,增益!$A:$A,增益!$M:$M,0)))/100)</f>
        <v>-0.3</v>
      </c>
      <c r="BJ207" s="40" cm="1">
        <f t="array" ref="BJ207">$G$13+VLOOKUP($R207,武学奇术!$A:$ZZ,14,FALSE)+SUM(_xlfn.XLOOKUP($S207:$AL207,增益!$A:$A,增益!$N:$N,0))</f>
        <v>0</v>
      </c>
      <c r="BK207">
        <f t="shared" si="56"/>
        <v>0</v>
      </c>
      <c r="BL207">
        <f t="shared" si="57"/>
        <v>0</v>
      </c>
      <c r="BM207" s="40" cm="1">
        <f t="array" ref="BM207">IF($F$14-$I$4+VLOOKUP($R207,武学奇术!$A:$ZZ,15,FALSE)+SUM(_xlfn.XLOOKUP($S207:$AL207,增益!$A:$A,增益!$O:$O,0))&gt;0,($F$14-$I$4+VLOOKUP($R207,武学奇术!$A:$ZZ,15,FALSE)+SUM(_xlfn.XLOOKUP($S207:$AL207,增益!$A:$A,增益!$O:$O,0)))/200,($F$14-$I$4+VLOOKUP($R207,武学奇术!$A:$ZZ,15,FALSE)+SUM(_xlfn.XLOOKUP($S207:$AL207,增益!$A:$A,增益!$O:$O,0)))/100)</f>
        <v>-0.3</v>
      </c>
      <c r="BN207" s="40" cm="1">
        <f t="array" ref="BN207">$G$14+VLOOKUP($R207,武学奇术!$A:$ZZ,16,FALSE)+SUM(_xlfn.XLOOKUP($S207:$AL207,增益!$A:$A,增益!$P:$P,0))</f>
        <v>0</v>
      </c>
      <c r="BO207" s="33">
        <f>MIN(IF(VLOOKUP($R207,武学奇术!$A:$ZZ,23,FALSE)=1,100%,$B$8),100%)</f>
        <v>0.9771</v>
      </c>
      <c r="BP207" s="33" cm="1">
        <f t="array" ref="BP207">IF(VLOOKUP($R207,武学奇术!$A:$ZZ,23,FALSE)=1,100%,MIN(80%,$B$9+VLOOKUP($R207,武学奇术!$A:$ZZ,17,FALSE)+SUM(_xlfn.XLOOKUP($S207:$AL207,增益!$A:$A,增益!$Q:$Q,0)))+$B$11+SUM(_xlfn.XLOOKUP($S207:$AL207,增益!$A:$A,增益!$U:$U,0)))*IF(VLOOKUP($R207,武学奇术!$A:$ZZ,24,FALSE)=1,0,1)</f>
        <v>0.8861</v>
      </c>
      <c r="BQ207" s="33" cm="1">
        <f t="array" ref="BQ207">1+$B$13+VLOOKUP($R207,武学奇术!$A:$ZZ,18,FALSE)+SUM(_xlfn.XLOOKUP($S207:$AL207,增益!$A:$A,增益!$R:$R,0))</f>
        <v>1.95</v>
      </c>
      <c r="BR207" s="33" cm="1">
        <f t="array" ref="BR207">IF(VLOOKUP($R207,武学奇术!$A:$ZZ,24,FALSE)=1,100%,MIN(40%,$B$10+VLOOKUP($R207,武学奇术!$A:$ZZ,19,FALSE)+SUM(_xlfn.XLOOKUP($S207:$AL207,增益!$A:$A,增益!$S:$S,0)))+$B$12+SUM(_xlfn.XLOOKUP($S207:$AL207,增益!$A:$A,增益!$V:$V,0)))*IF(VLOOKUP($R207,武学奇术!$A:$ZZ,23,FALSE)=1,0,1)</f>
        <v>0.0913</v>
      </c>
      <c r="BS207" s="33" cm="1">
        <f t="array" ref="BS207">1+$B$14+VLOOKUP($R207,武学奇术!$A:$ZZ,20,FALSE)+SUM(_xlfn.XLOOKUP($S207:$AL207,增益!$A:$A,增益!$T:$T,0))</f>
        <v>1.35</v>
      </c>
      <c r="BT207" s="33">
        <f t="shared" si="58"/>
        <v>0.86580831</v>
      </c>
      <c r="BU207" s="33">
        <f t="shared" si="59"/>
        <v>0.02208246</v>
      </c>
      <c r="BV207" s="33">
        <f>IF(VLOOKUP($R207,武学奇术!$A:$ZZ,22,FALSE)=1,0,(1-$BO207))*(1-$BR207)</f>
        <v>0.02080923</v>
      </c>
      <c r="BW207" s="33" cm="1">
        <f t="array" ref="BW207">SUM(_xlfn.XLOOKUP($S207:$AL207,增益!$A:$A,增益!$W:$W,0))+$I$5</f>
        <v>0.11</v>
      </c>
      <c r="BX207" s="33" cm="1">
        <f t="array" ref="BX207">VLOOKUP($R207,武学奇术!$A:$ZZ,32,FALSE)+SUM(_xlfn.XLOOKUP($S207:$AL207,增益!$A:$A,增益!$X:$X,0))</f>
        <v>0</v>
      </c>
    </row>
    <row r="208" spans="12:76">
      <c r="L208" s="46">
        <f t="shared" si="49"/>
        <v>0</v>
      </c>
      <c r="M208" s="46">
        <f>((($AT208+$AU208)/2*$AN208+$AO208)*(1+$AV208)*(1+$AW208)+(($AY208+$AZ208)/2*IF($G$1="鸣金",$AP208,$AN208)+IF($G$1="鸣金",$AQ208*1.5,0))*(1+$BA208)*(1+$BB208)+(($BC208+$BD208)/2*IF($G$1="裂石",$AP208,$AN208)+IF($G$1="裂石",$AQ208*1.5,0))*(1+$BE208)*(1+$BF208)+(($BG208+$BH208)/2*IF($G$1="牵丝",$AP208,$AN208)+IF($G$1="牵丝",$AQ208*1.5,0))*(1+$BI208)*(1+$BJ208)+(($BK208+$BL208)/2*IF($G$1="破竹",$AP208,$AN208)+IF($G$1="破竹",$AQ208*1.5,0))*(1+$BM208)*(1+$BN208))*(1+$AR208)*$BQ208*$Q208*(1+IF(VLOOKUP($R208,武学奇术!$A:$ZZ,30,FALSE)="蓄力技",$B$21,0))*(1+IF(VLOOKUP($R208,武学奇术!$A:$ZZ,30,FALSE)="派生技",$B$20,0))*(1+$BW208)*(1+$BX208)</f>
        <v>0</v>
      </c>
      <c r="N208" s="46">
        <f>(($AU208*$AN208+$AO208)*(1+$AV208)*(1+$AW208)+($AZ208*IF($G$1="鸣金",$AP208,$AN208)+IF($G$1="鸣金",$AQ208*1.5,0))*(1+$BA208)*(1+$BB208)+($BD208*IF($G$1="裂石",$AP208,$AN208)+IF($G$1="裂石",$AQ208*1.5,0))*(1+$BE208)*(1+$BF208)+($BH208*IF($G$1="牵丝",$AP208,$AN208)+IF($G$1="牵丝",$AQ208*1.5,0))*(1+$BI208)*(1+$BJ208)+($BL208*IF($G$1="破竹",$AP208,$AN208)+IF($G$1="破竹",$AQ208*1.5,0))*(1+$BM208)*(1+$BN208))*(1+$AR208)*$BS208*$Q208*(1+IF(VLOOKUP($R208,武学奇术!$A:$ZZ,30,FALSE)="蓄力技",$B$21,0))*(1+IF(VLOOKUP($R208,武学奇术!$A:$ZZ,30,FALSE)="派生技",$B$20,0))*(1+$BW208)*(1+$BX208)</f>
        <v>0</v>
      </c>
      <c r="O208" s="46">
        <f>((($AT208+$AU208)/2*$AN208+$AO208)*(1+$AV208)*(1+$AW208)+(($AY208+$AZ208)/2*IF($G$1="鸣金",$AP208,$AN208)+IF($G$1="鸣金",$AQ208*1.5,0))*(1+$BA208)*(1+$BB208)+(($BC208+$BD208)/2*IF($G$1="裂石",$AP208,$AN208)+IF($G$1="裂石",$AQ208*1.5,0))*(1+$BE208)*(1+$BF208)+(($BG208+$BH208)/2*IF($G$1="牵丝",$AP208,$AN208)+IF($G$1="牵丝",$AQ208*1.5,0))*(1+$BI208)*(1+$BJ208)+(($BK208+$BL208)/2*IF($G$1="破竹",$AP208,$AN208)+IF($G$1="破竹",$AQ208*1.5,0))*(1+$BM208)*(1+$BN208))*(1+$AR208)*$Q208*(1+IF(VLOOKUP($R208,武学奇术!$A:$ZZ,30,FALSE)="蓄力技",$B$21,0))*(1+IF(VLOOKUP($R208,武学奇术!$A:$ZZ,30,FALSE)="派生技",$B$20,0))*(1+$BW208)*(1+$BX208)</f>
        <v>0</v>
      </c>
      <c r="P208" s="46">
        <f>((($AT208*$AN208+$AO208)*(1+$AV208)*(1+$AW208)+($AY208*IF($G$1="鸣金",$AP208,$AN208)+IF($G$1="鸣金",$AQ208*1.5,0))*(1+$BA208)*(1+$BB208)+($BC208*IF($G$1="裂石",$AP208,$AN208)+IF($G$1="裂石",$AQ208*1.5,0))*(1+$BE208)*(1+$BF208)+($BG208*IF($G$1="牵丝",$AP208,$AN208)+IF($G$1="牵丝",$AQ208*1.5,0))*(1+$BI208)*(1+$BJ208)+($BK208*IF($G$1="破竹",$AP208,$AN208)+IF($G$1="破竹",$AQ208*1.5,0))*(1+$BM208)*(1+$BN208))*(1+$AR208))*$Q208*(1+IF(VLOOKUP($R208,武学奇术!$A:$ZZ,30,FALSE)="蓄力技",$B$21,0))*(1+IF(VLOOKUP($R208,武学奇术!$A:$ZZ,30,FALSE)="派生技",$B$20,0))*(1+$BW208)*(1+$BX208)</f>
        <v>0</v>
      </c>
      <c r="Q208" s="47">
        <f t="shared" si="60"/>
        <v>0</v>
      </c>
      <c r="R208" s="48" t="s">
        <v>116</v>
      </c>
      <c r="S208" s="48" t="s">
        <v>99</v>
      </c>
      <c r="T208" s="48" t="s">
        <v>182</v>
      </c>
      <c r="U208" s="48" t="s">
        <v>80</v>
      </c>
      <c r="V208" s="48" t="s">
        <v>80</v>
      </c>
      <c r="W208" s="48" t="s">
        <v>91</v>
      </c>
      <c r="X208" s="48" t="s">
        <v>80</v>
      </c>
      <c r="Y208" s="48" t="s">
        <v>80</v>
      </c>
      <c r="Z208" s="48" t="s">
        <v>80</v>
      </c>
      <c r="AA208" s="48" t="s">
        <v>80</v>
      </c>
      <c r="AB208" s="48" t="s">
        <v>80</v>
      </c>
      <c r="AC208" s="48" t="s">
        <v>80</v>
      </c>
      <c r="AD208" s="48" t="s">
        <v>80</v>
      </c>
      <c r="AE208" s="48" t="s">
        <v>80</v>
      </c>
      <c r="AF208" s="48" t="s">
        <v>83</v>
      </c>
      <c r="AG208" s="48" t="s">
        <v>84</v>
      </c>
      <c r="AH208" s="48" t="s">
        <v>80</v>
      </c>
      <c r="AI208" s="48" t="s">
        <v>80</v>
      </c>
      <c r="AJ208" s="48" t="s">
        <v>80</v>
      </c>
      <c r="AK208" s="48" t="s">
        <v>80</v>
      </c>
      <c r="AL208" s="48" t="s">
        <v>80</v>
      </c>
      <c r="AM208" t="str">
        <f>VLOOKUP($R208,武学奇术!$A:$ZZ,25,FALSE)</f>
        <v>横刀</v>
      </c>
      <c r="AN208" s="33">
        <f>VLOOKUP($R208,武学奇术!$A:$ZZ,26,FALSE)</f>
        <v>3.7797</v>
      </c>
      <c r="AO208" s="34">
        <f>VLOOKUP($R208,武学奇术!$A:$ZZ,27,FALSE)*(1+IF(OR($AM208=$F$4,$AM208=$F$5),$B$22,0))</f>
        <v>1672</v>
      </c>
      <c r="AP208" s="33">
        <f>VLOOKUP($R208,武学奇术!$A:$ZZ,28,FALSE)</f>
        <v>5.6696</v>
      </c>
      <c r="AQ208" s="34">
        <f>VLOOKUP($R208,武学奇术!$A:$ZZ,29,FALSE)*(1+IF(OR($AM208=$F$4,$AM208=$F$5),$B$22,0))</f>
        <v>912</v>
      </c>
      <c r="AR208" s="33" cm="1">
        <f t="array" ref="AR208">$G$3+IFERROR(VLOOKUP($AM208,$F$4:$G$7,2,FALSE),0)+VLOOKUP($R208,武学奇术!$A:$ZZ,2,FALSE)+SUM(_xlfn.XLOOKUP($S208:$AL208,增益!$A:$A,增益!$B:$B,0))</f>
        <v>0.3689</v>
      </c>
      <c r="AS208" s="33" cm="1">
        <f t="array" ref="AS208">VLOOKUP($R208,武学奇术!$A:$ZZ,5,FALSE)+SUM(_xlfn.XLOOKUP($S208:$AL208,增益!$A:$A,增益!$E:$E,0))</f>
        <v>0</v>
      </c>
      <c r="AT208" cm="1">
        <f t="array" ref="AT208">$D$10*(1+$AS208)+VLOOKUP($R208,武学奇术!$A:$ZZ,3,FALSE)+SUM(_xlfn.XLOOKUP($S208:$AL208,增益!$A:$A,增益!$C:$C,0))-$I$2</f>
        <v>4026</v>
      </c>
      <c r="AU208" cm="1">
        <f t="array" ref="AU208">$E$10*(1+$AS208)+VLOOKUP($R208,武学奇术!$A:$ZZ,4,FALSE)+SUM(_xlfn.XLOOKUP($S208:$AL208,增益!$A:$A,增益!$D:$D,0))-$I$2</f>
        <v>4026</v>
      </c>
      <c r="AV208" s="40" cm="1">
        <f t="array" ref="AV208">IF($F$10-$I$3+VLOOKUP($R208,武学奇术!$A:$ZZ,6,FALSE)+SUM(_xlfn.XLOOKUP($S208:$AL208,增益!$A:$A,增益!$F:$F,0))&gt;0,($F$10-$I$3+VLOOKUP($R208,武学奇术!$A:$ZZ,6,FALSE)+SUM(_xlfn.XLOOKUP($S208:$AL208,增益!$A:$A,增益!$F:$F,0)))/200,($F$10-$I$3+VLOOKUP($R208,武学奇术!$A:$ZZ,6,FALSE)+SUM(_xlfn.XLOOKUP($S208:$AL208,增益!$A:$A,增益!$F:$F,0)))/100)</f>
        <v>0.3284</v>
      </c>
      <c r="AW208" s="40" cm="1">
        <f t="array" ref="AW208">$G$10+VLOOKUP($R208,武学奇术!$A:$ZZ,7,FALSE)+SUM(_xlfn.XLOOKUP($S208:$AL208,增益!$A:$A,增益!$G:$G,0))</f>
        <v>0</v>
      </c>
      <c r="AX208" s="33" cm="1">
        <f t="array" ref="AX208">VLOOKUP($R208,武学奇术!$A:$ZZ,8,FALSE)+SUM(_xlfn.XLOOKUP($S208:$AL208,增益!$A:$A,增益!$H:$H,0))</f>
        <v>0</v>
      </c>
      <c r="AY208">
        <f t="shared" si="50"/>
        <v>0</v>
      </c>
      <c r="AZ208">
        <f t="shared" si="51"/>
        <v>0</v>
      </c>
      <c r="BA208" s="40" cm="1">
        <f t="array" ref="BA208">IF($F$11-$I$4+VLOOKUP($R208,武学奇术!$A:$ZZ,9,FALSE)+SUM(_xlfn.XLOOKUP($S208:$AL208,增益!$A:$A,增益!$I:$I,0))&gt;0,($F$11-$I$4+VLOOKUP($R208,武学奇术!$A:$ZZ,9,FALSE)+SUM(_xlfn.XLOOKUP($S208:$AL208,增益!$A:$A,增益!$I:$I,0)))/200,($F$11-$I$4+VLOOKUP($R208,武学奇术!$A:$ZZ,9,FALSE)+SUM(_xlfn.XLOOKUP($S208:$AL208,增益!$A:$A,增益!$I:$I,0)))/100)</f>
        <v>-0.3</v>
      </c>
      <c r="BB208" s="40" cm="1">
        <f t="array" ref="BB208">$G$11+VLOOKUP($R208,武学奇术!$A:$ZZ,10,FALSE)+SUM(_xlfn.XLOOKUP($S208:$AL208,增益!$A:$A,增益!$J:$J,0))</f>
        <v>0</v>
      </c>
      <c r="BC208">
        <f t="shared" si="52"/>
        <v>640.3</v>
      </c>
      <c r="BD208">
        <f t="shared" si="53"/>
        <v>1770.1</v>
      </c>
      <c r="BE208" s="40" cm="1">
        <f t="array" ref="BE208">IF($F$12-$I$4+VLOOKUP($R208,武学奇术!$A:$ZZ,11,FALSE)+SUM(_xlfn.XLOOKUP($S208:$AL208,增益!$A:$A,增益!$K:$K,0))&gt;0,($F$12-$I$4+VLOOKUP($R208,武学奇术!$A:$ZZ,11,FALSE)+SUM(_xlfn.XLOOKUP($S208:$AL208,增益!$A:$A,增益!$K:$K,0)))/200,($F$12-$I$4+VLOOKUP($R208,武学奇术!$A:$ZZ,11,FALSE)+SUM(_xlfn.XLOOKUP($S208:$AL208,增益!$A:$A,增益!$K:$K,0)))/100)</f>
        <v>0.09</v>
      </c>
      <c r="BF208" s="40" cm="1">
        <f t="array" ref="BF208">$G$12+VLOOKUP($R208,武学奇术!$A:$ZZ,12,FALSE)+SUM(_xlfn.XLOOKUP($S208:$AL208,增益!$A:$A,增益!$L:$L,0))</f>
        <v>0.15</v>
      </c>
      <c r="BG208">
        <f t="shared" si="54"/>
        <v>0</v>
      </c>
      <c r="BH208">
        <f t="shared" si="55"/>
        <v>0</v>
      </c>
      <c r="BI208" s="40" cm="1">
        <f t="array" ref="BI208">IF($F$13-$I$4+VLOOKUP($R208,武学奇术!$A:$ZZ,13,FALSE)+SUM(_xlfn.XLOOKUP($S208:$AL208,增益!$A:$A,增益!$M:$M,0))&gt;0,($F$13-$I$4+VLOOKUP($R208,武学奇术!$A:$ZZ,13,FALSE)+SUM(_xlfn.XLOOKUP($S208:$AL208,增益!$A:$A,增益!$K:$K,0)))/200,($F$13-$I$4+VLOOKUP($R208,武学奇术!$A:$ZZ,13,FALSE)+SUM(_xlfn.XLOOKUP($S208:$AL208,增益!$A:$A,增益!$M:$M,0)))/100)</f>
        <v>-0.3</v>
      </c>
      <c r="BJ208" s="40" cm="1">
        <f t="array" ref="BJ208">$G$13+VLOOKUP($R208,武学奇术!$A:$ZZ,14,FALSE)+SUM(_xlfn.XLOOKUP($S208:$AL208,增益!$A:$A,增益!$N:$N,0))</f>
        <v>0</v>
      </c>
      <c r="BK208">
        <f t="shared" si="56"/>
        <v>0</v>
      </c>
      <c r="BL208">
        <f t="shared" si="57"/>
        <v>0</v>
      </c>
      <c r="BM208" s="40" cm="1">
        <f t="array" ref="BM208">IF($F$14-$I$4+VLOOKUP($R208,武学奇术!$A:$ZZ,15,FALSE)+SUM(_xlfn.XLOOKUP($S208:$AL208,增益!$A:$A,增益!$O:$O,0))&gt;0,($F$14-$I$4+VLOOKUP($R208,武学奇术!$A:$ZZ,15,FALSE)+SUM(_xlfn.XLOOKUP($S208:$AL208,增益!$A:$A,增益!$O:$O,0)))/200,($F$14-$I$4+VLOOKUP($R208,武学奇术!$A:$ZZ,15,FALSE)+SUM(_xlfn.XLOOKUP($S208:$AL208,增益!$A:$A,增益!$O:$O,0)))/100)</f>
        <v>-0.3</v>
      </c>
      <c r="BN208" s="40" cm="1">
        <f t="array" ref="BN208">$G$14+VLOOKUP($R208,武学奇术!$A:$ZZ,16,FALSE)+SUM(_xlfn.XLOOKUP($S208:$AL208,增益!$A:$A,增益!$P:$P,0))</f>
        <v>0</v>
      </c>
      <c r="BO208" s="33">
        <f>MIN(IF(VLOOKUP($R208,武学奇术!$A:$ZZ,23,FALSE)=1,100%,$B$8),100%)</f>
        <v>0.9771</v>
      </c>
      <c r="BP208" s="33" cm="1">
        <f t="array" ref="BP208">IF(VLOOKUP($R208,武学奇术!$A:$ZZ,23,FALSE)=1,100%,MIN(80%,$B$9+VLOOKUP($R208,武学奇术!$A:$ZZ,17,FALSE)+SUM(_xlfn.XLOOKUP($S208:$AL208,增益!$A:$A,增益!$Q:$Q,0)))+$B$11+SUM(_xlfn.XLOOKUP($S208:$AL208,增益!$A:$A,增益!$U:$U,0)))*IF(VLOOKUP($R208,武学奇术!$A:$ZZ,24,FALSE)=1,0,1)</f>
        <v>0.8861</v>
      </c>
      <c r="BQ208" s="33" cm="1">
        <f t="array" ref="BQ208">1+$B$13+VLOOKUP($R208,武学奇术!$A:$ZZ,18,FALSE)+SUM(_xlfn.XLOOKUP($S208:$AL208,增益!$A:$A,增益!$R:$R,0))</f>
        <v>1.95</v>
      </c>
      <c r="BR208" s="33" cm="1">
        <f t="array" ref="BR208">IF(VLOOKUP($R208,武学奇术!$A:$ZZ,24,FALSE)=1,100%,MIN(40%,$B$10+VLOOKUP($R208,武学奇术!$A:$ZZ,19,FALSE)+SUM(_xlfn.XLOOKUP($S208:$AL208,增益!$A:$A,增益!$S:$S,0)))+$B$12+SUM(_xlfn.XLOOKUP($S208:$AL208,增益!$A:$A,增益!$V:$V,0)))*IF(VLOOKUP($R208,武学奇术!$A:$ZZ,23,FALSE)=1,0,1)</f>
        <v>0.0913</v>
      </c>
      <c r="BS208" s="33" cm="1">
        <f t="array" ref="BS208">1+$B$14+VLOOKUP($R208,武学奇术!$A:$ZZ,20,FALSE)+SUM(_xlfn.XLOOKUP($S208:$AL208,增益!$A:$A,增益!$T:$T,0))</f>
        <v>1.35</v>
      </c>
      <c r="BT208" s="33">
        <f t="shared" si="58"/>
        <v>0.86580831</v>
      </c>
      <c r="BU208" s="33">
        <f t="shared" si="59"/>
        <v>0.02208246</v>
      </c>
      <c r="BV208" s="33">
        <f>IF(VLOOKUP($R208,武学奇术!$A:$ZZ,22,FALSE)=1,0,(1-$BO208))*(1-$BR208)</f>
        <v>0.02080923</v>
      </c>
      <c r="BW208" s="33" cm="1">
        <f t="array" ref="BW208">SUM(_xlfn.XLOOKUP($S208:$AL208,增益!$A:$A,增益!$W:$W,0))+$I$5</f>
        <v>0.11</v>
      </c>
      <c r="BX208" s="33" cm="1">
        <f t="array" ref="BX208">VLOOKUP($R208,武学奇术!$A:$ZZ,32,FALSE)+SUM(_xlfn.XLOOKUP($S208:$AL208,增益!$A:$A,增益!$X:$X,0))</f>
        <v>0</v>
      </c>
    </row>
    <row r="209" spans="12:76">
      <c r="L209" s="46">
        <f t="shared" si="49"/>
        <v>0</v>
      </c>
      <c r="M209" s="46">
        <f>((($AT209+$AU209)/2*$AN209+$AO209)*(1+$AV209)*(1+$AW209)+(($AY209+$AZ209)/2*IF($G$1="鸣金",$AP209,$AN209)+IF($G$1="鸣金",$AQ209*1.5,0))*(1+$BA209)*(1+$BB209)+(($BC209+$BD209)/2*IF($G$1="裂石",$AP209,$AN209)+IF($G$1="裂石",$AQ209*1.5,0))*(1+$BE209)*(1+$BF209)+(($BG209+$BH209)/2*IF($G$1="牵丝",$AP209,$AN209)+IF($G$1="牵丝",$AQ209*1.5,0))*(1+$BI209)*(1+$BJ209)+(($BK209+$BL209)/2*IF($G$1="破竹",$AP209,$AN209)+IF($G$1="破竹",$AQ209*1.5,0))*(1+$BM209)*(1+$BN209))*(1+$AR209)*$BQ209*$Q209*(1+IF(VLOOKUP($R209,武学奇术!$A:$ZZ,30,FALSE)="蓄力技",$B$21,0))*(1+IF(VLOOKUP($R209,武学奇术!$A:$ZZ,30,FALSE)="派生技",$B$20,0))*(1+$BW209)*(1+$BX209)</f>
        <v>0</v>
      </c>
      <c r="N209" s="46">
        <f>(($AU209*$AN209+$AO209)*(1+$AV209)*(1+$AW209)+($AZ209*IF($G$1="鸣金",$AP209,$AN209)+IF($G$1="鸣金",$AQ209*1.5,0))*(1+$BA209)*(1+$BB209)+($BD209*IF($G$1="裂石",$AP209,$AN209)+IF($G$1="裂石",$AQ209*1.5,0))*(1+$BE209)*(1+$BF209)+($BH209*IF($G$1="牵丝",$AP209,$AN209)+IF($G$1="牵丝",$AQ209*1.5,0))*(1+$BI209)*(1+$BJ209)+($BL209*IF($G$1="破竹",$AP209,$AN209)+IF($G$1="破竹",$AQ209*1.5,0))*(1+$BM209)*(1+$BN209))*(1+$AR209)*$BS209*$Q209*(1+IF(VLOOKUP($R209,武学奇术!$A:$ZZ,30,FALSE)="蓄力技",$B$21,0))*(1+IF(VLOOKUP($R209,武学奇术!$A:$ZZ,30,FALSE)="派生技",$B$20,0))*(1+$BW209)*(1+$BX209)</f>
        <v>0</v>
      </c>
      <c r="O209" s="46">
        <f>((($AT209+$AU209)/2*$AN209+$AO209)*(1+$AV209)*(1+$AW209)+(($AY209+$AZ209)/2*IF($G$1="鸣金",$AP209,$AN209)+IF($G$1="鸣金",$AQ209*1.5,0))*(1+$BA209)*(1+$BB209)+(($BC209+$BD209)/2*IF($G$1="裂石",$AP209,$AN209)+IF($G$1="裂石",$AQ209*1.5,0))*(1+$BE209)*(1+$BF209)+(($BG209+$BH209)/2*IF($G$1="牵丝",$AP209,$AN209)+IF($G$1="牵丝",$AQ209*1.5,0))*(1+$BI209)*(1+$BJ209)+(($BK209+$BL209)/2*IF($G$1="破竹",$AP209,$AN209)+IF($G$1="破竹",$AQ209*1.5,0))*(1+$BM209)*(1+$BN209))*(1+$AR209)*$Q209*(1+IF(VLOOKUP($R209,武学奇术!$A:$ZZ,30,FALSE)="蓄力技",$B$21,0))*(1+IF(VLOOKUP($R209,武学奇术!$A:$ZZ,30,FALSE)="派生技",$B$20,0))*(1+$BW209)*(1+$BX209)</f>
        <v>0</v>
      </c>
      <c r="P209" s="46">
        <f>((($AT209*$AN209+$AO209)*(1+$AV209)*(1+$AW209)+($AY209*IF($G$1="鸣金",$AP209,$AN209)+IF($G$1="鸣金",$AQ209*1.5,0))*(1+$BA209)*(1+$BB209)+($BC209*IF($G$1="裂石",$AP209,$AN209)+IF($G$1="裂石",$AQ209*1.5,0))*(1+$BE209)*(1+$BF209)+($BG209*IF($G$1="牵丝",$AP209,$AN209)+IF($G$1="牵丝",$AQ209*1.5,0))*(1+$BI209)*(1+$BJ209)+($BK209*IF($G$1="破竹",$AP209,$AN209)+IF($G$1="破竹",$AQ209*1.5,0))*(1+$BM209)*(1+$BN209))*(1+$AR209))*$Q209*(1+IF(VLOOKUP($R209,武学奇术!$A:$ZZ,30,FALSE)="蓄力技",$B$21,0))*(1+IF(VLOOKUP($R209,武学奇术!$A:$ZZ,30,FALSE)="派生技",$B$20,0))*(1+$BW209)*(1+$BX209)</f>
        <v>0</v>
      </c>
      <c r="Q209" s="47">
        <f t="shared" si="60"/>
        <v>0</v>
      </c>
      <c r="R209" s="48" t="s">
        <v>195</v>
      </c>
      <c r="S209" s="48" t="s">
        <v>99</v>
      </c>
      <c r="T209" s="48" t="s">
        <v>182</v>
      </c>
      <c r="U209" s="48" t="s">
        <v>79</v>
      </c>
      <c r="V209" s="48" t="s">
        <v>80</v>
      </c>
      <c r="W209" s="48" t="s">
        <v>141</v>
      </c>
      <c r="X209" s="48" t="s">
        <v>80</v>
      </c>
      <c r="Y209" s="48" t="s">
        <v>74</v>
      </c>
      <c r="Z209" s="48" t="s">
        <v>80</v>
      </c>
      <c r="AA209" s="48" t="s">
        <v>80</v>
      </c>
      <c r="AB209" s="48" t="s">
        <v>80</v>
      </c>
      <c r="AC209" s="48" t="s">
        <v>80</v>
      </c>
      <c r="AD209" s="48" t="s">
        <v>80</v>
      </c>
      <c r="AE209" s="48" t="s">
        <v>80</v>
      </c>
      <c r="AF209" s="48" t="s">
        <v>83</v>
      </c>
      <c r="AG209" s="48" t="s">
        <v>84</v>
      </c>
      <c r="AH209" s="48" t="s">
        <v>80</v>
      </c>
      <c r="AI209" s="48" t="s">
        <v>80</v>
      </c>
      <c r="AJ209" s="48" t="s">
        <v>80</v>
      </c>
      <c r="AK209" s="48" t="s">
        <v>80</v>
      </c>
      <c r="AL209" s="48" t="s">
        <v>80</v>
      </c>
      <c r="AM209" t="str">
        <f>VLOOKUP($R209,武学奇术!$A:$ZZ,25,FALSE)</f>
        <v>横刀</v>
      </c>
      <c r="AN209" s="33">
        <f>VLOOKUP($R209,武学奇术!$A:$ZZ,26,FALSE)</f>
        <v>3.6553</v>
      </c>
      <c r="AO209" s="34">
        <f>VLOOKUP($R209,武学奇术!$A:$ZZ,27,FALSE)*(1+IF(OR($AM209=$F$4,$AM209=$F$5),$B$22,0))</f>
        <v>1619.2</v>
      </c>
      <c r="AP209" s="33">
        <f>VLOOKUP($R209,武学奇术!$A:$ZZ,28,FALSE)</f>
        <v>5.4829</v>
      </c>
      <c r="AQ209" s="34">
        <f>VLOOKUP($R209,武学奇术!$A:$ZZ,29,FALSE)*(1+IF(OR($AM209=$F$4,$AM209=$F$5),$B$22,0))</f>
        <v>880</v>
      </c>
      <c r="AR209" s="33" cm="1">
        <f t="array" ref="AR209">$G$3+IFERROR(VLOOKUP($AM209,$F$4:$G$7,2,FALSE),0)+VLOOKUP($R209,武学奇术!$A:$ZZ,2,FALSE)+SUM(_xlfn.XLOOKUP($S209:$AL209,增益!$A:$A,增益!$B:$B,0))</f>
        <v>0.5489</v>
      </c>
      <c r="AS209" s="33" cm="1">
        <f t="array" ref="AS209">VLOOKUP($R209,武学奇术!$A:$ZZ,5,FALSE)+SUM(_xlfn.XLOOKUP($S209:$AL209,增益!$A:$A,增益!$E:$E,0))</f>
        <v>0</v>
      </c>
      <c r="AT209" cm="1">
        <f t="array" ref="AT209">$D$10*(1+$AS209)+VLOOKUP($R209,武学奇术!$A:$ZZ,3,FALSE)+SUM(_xlfn.XLOOKUP($S209:$AL209,增益!$A:$A,增益!$C:$C,0))-$I$2</f>
        <v>4026</v>
      </c>
      <c r="AU209" cm="1">
        <f t="array" ref="AU209">$E$10*(1+$AS209)+VLOOKUP($R209,武学奇术!$A:$ZZ,4,FALSE)+SUM(_xlfn.XLOOKUP($S209:$AL209,增益!$A:$A,增益!$D:$D,0))-$I$2</f>
        <v>4026</v>
      </c>
      <c r="AV209" s="40" cm="1">
        <f t="array" ref="AV209">IF($F$10-$I$3+VLOOKUP($R209,武学奇术!$A:$ZZ,6,FALSE)+SUM(_xlfn.XLOOKUP($S209:$AL209,增益!$A:$A,增益!$F:$F,0))&gt;0,($F$10-$I$3+VLOOKUP($R209,武学奇术!$A:$ZZ,6,FALSE)+SUM(_xlfn.XLOOKUP($S209:$AL209,增益!$A:$A,增益!$F:$F,0)))/200,($F$10-$I$3+VLOOKUP($R209,武学奇术!$A:$ZZ,6,FALSE)+SUM(_xlfn.XLOOKUP($S209:$AL209,增益!$A:$A,增益!$F:$F,0)))/100)</f>
        <v>0.3534</v>
      </c>
      <c r="AW209" s="40" cm="1">
        <f t="array" ref="AW209">$G$10+VLOOKUP($R209,武学奇术!$A:$ZZ,7,FALSE)+SUM(_xlfn.XLOOKUP($S209:$AL209,增益!$A:$A,增益!$G:$G,0))</f>
        <v>0.12</v>
      </c>
      <c r="AX209" s="33" cm="1">
        <f t="array" ref="AX209">VLOOKUP($R209,武学奇术!$A:$ZZ,8,FALSE)+SUM(_xlfn.XLOOKUP($S209:$AL209,增益!$A:$A,增益!$H:$H,0))</f>
        <v>0</v>
      </c>
      <c r="AY209">
        <f t="shared" si="50"/>
        <v>0</v>
      </c>
      <c r="AZ209">
        <f t="shared" si="51"/>
        <v>0</v>
      </c>
      <c r="BA209" s="40" cm="1">
        <f t="array" ref="BA209">IF($F$11-$I$4+VLOOKUP($R209,武学奇术!$A:$ZZ,9,FALSE)+SUM(_xlfn.XLOOKUP($S209:$AL209,增益!$A:$A,增益!$I:$I,0))&gt;0,($F$11-$I$4+VLOOKUP($R209,武学奇术!$A:$ZZ,9,FALSE)+SUM(_xlfn.XLOOKUP($S209:$AL209,增益!$A:$A,增益!$I:$I,0)))/200,($F$11-$I$4+VLOOKUP($R209,武学奇术!$A:$ZZ,9,FALSE)+SUM(_xlfn.XLOOKUP($S209:$AL209,增益!$A:$A,增益!$I:$I,0)))/100)</f>
        <v>-0.3</v>
      </c>
      <c r="BB209" s="40" cm="1">
        <f t="array" ref="BB209">$G$11+VLOOKUP($R209,武学奇术!$A:$ZZ,10,FALSE)+SUM(_xlfn.XLOOKUP($S209:$AL209,增益!$A:$A,增益!$J:$J,0))</f>
        <v>0</v>
      </c>
      <c r="BC209">
        <f t="shared" si="52"/>
        <v>640.3</v>
      </c>
      <c r="BD209">
        <f t="shared" si="53"/>
        <v>1770.1</v>
      </c>
      <c r="BE209" s="40" cm="1">
        <f t="array" ref="BE209">IF($F$12-$I$4+VLOOKUP($R209,武学奇术!$A:$ZZ,11,FALSE)+SUM(_xlfn.XLOOKUP($S209:$AL209,增益!$A:$A,增益!$K:$K,0))&gt;0,($F$12-$I$4+VLOOKUP($R209,武学奇术!$A:$ZZ,11,FALSE)+SUM(_xlfn.XLOOKUP($S209:$AL209,增益!$A:$A,增益!$K:$K,0)))/200,($F$12-$I$4+VLOOKUP($R209,武学奇术!$A:$ZZ,11,FALSE)+SUM(_xlfn.XLOOKUP($S209:$AL209,增益!$A:$A,增益!$K:$K,0)))/100)</f>
        <v>0.09</v>
      </c>
      <c r="BF209" s="40" cm="1">
        <f t="array" ref="BF209">$G$12+VLOOKUP($R209,武学奇术!$A:$ZZ,12,FALSE)+SUM(_xlfn.XLOOKUP($S209:$AL209,增益!$A:$A,增益!$L:$L,0))</f>
        <v>0.27</v>
      </c>
      <c r="BG209">
        <f t="shared" si="54"/>
        <v>0</v>
      </c>
      <c r="BH209">
        <f t="shared" si="55"/>
        <v>0</v>
      </c>
      <c r="BI209" s="40" cm="1">
        <f t="array" ref="BI209">IF($F$13-$I$4+VLOOKUP($R209,武学奇术!$A:$ZZ,13,FALSE)+SUM(_xlfn.XLOOKUP($S209:$AL209,增益!$A:$A,增益!$M:$M,0))&gt;0,($F$13-$I$4+VLOOKUP($R209,武学奇术!$A:$ZZ,13,FALSE)+SUM(_xlfn.XLOOKUP($S209:$AL209,增益!$A:$A,增益!$K:$K,0)))/200,($F$13-$I$4+VLOOKUP($R209,武学奇术!$A:$ZZ,13,FALSE)+SUM(_xlfn.XLOOKUP($S209:$AL209,增益!$A:$A,增益!$M:$M,0)))/100)</f>
        <v>-0.3</v>
      </c>
      <c r="BJ209" s="40" cm="1">
        <f t="array" ref="BJ209">$G$13+VLOOKUP($R209,武学奇术!$A:$ZZ,14,FALSE)+SUM(_xlfn.XLOOKUP($S209:$AL209,增益!$A:$A,增益!$N:$N,0))</f>
        <v>0</v>
      </c>
      <c r="BK209">
        <f t="shared" si="56"/>
        <v>0</v>
      </c>
      <c r="BL209">
        <f t="shared" si="57"/>
        <v>0</v>
      </c>
      <c r="BM209" s="40" cm="1">
        <f t="array" ref="BM209">IF($F$14-$I$4+VLOOKUP($R209,武学奇术!$A:$ZZ,15,FALSE)+SUM(_xlfn.XLOOKUP($S209:$AL209,增益!$A:$A,增益!$O:$O,0))&gt;0,($F$14-$I$4+VLOOKUP($R209,武学奇术!$A:$ZZ,15,FALSE)+SUM(_xlfn.XLOOKUP($S209:$AL209,增益!$A:$A,增益!$O:$O,0)))/200,($F$14-$I$4+VLOOKUP($R209,武学奇术!$A:$ZZ,15,FALSE)+SUM(_xlfn.XLOOKUP($S209:$AL209,增益!$A:$A,增益!$O:$O,0)))/100)</f>
        <v>-0.3</v>
      </c>
      <c r="BN209" s="40" cm="1">
        <f t="array" ref="BN209">$G$14+VLOOKUP($R209,武学奇术!$A:$ZZ,16,FALSE)+SUM(_xlfn.XLOOKUP($S209:$AL209,增益!$A:$A,增益!$P:$P,0))</f>
        <v>0</v>
      </c>
      <c r="BO209" s="33">
        <f>MIN(IF(VLOOKUP($R209,武学奇术!$A:$ZZ,23,FALSE)=1,100%,$B$8),100%)</f>
        <v>0.9771</v>
      </c>
      <c r="BP209" s="33" cm="1">
        <f t="array" ref="BP209">IF(VLOOKUP($R209,武学奇术!$A:$ZZ,23,FALSE)=1,100%,MIN(80%,$B$9+VLOOKUP($R209,武学奇术!$A:$ZZ,17,FALSE)+SUM(_xlfn.XLOOKUP($S209:$AL209,增益!$A:$A,增益!$Q:$Q,0)))+$B$11+SUM(_xlfn.XLOOKUP($S209:$AL209,增益!$A:$A,增益!$U:$U,0)))*IF(VLOOKUP($R209,武学奇术!$A:$ZZ,24,FALSE)=1,0,1)</f>
        <v>0.8861</v>
      </c>
      <c r="BQ209" s="33" cm="1">
        <f t="array" ref="BQ209">1+$B$13+VLOOKUP($R209,武学奇术!$A:$ZZ,18,FALSE)+SUM(_xlfn.XLOOKUP($S209:$AL209,增益!$A:$A,增益!$R:$R,0))</f>
        <v>2</v>
      </c>
      <c r="BR209" s="33" cm="1">
        <f t="array" ref="BR209">IF(VLOOKUP($R209,武学奇术!$A:$ZZ,24,FALSE)=1,100%,MIN(40%,$B$10+VLOOKUP($R209,武学奇术!$A:$ZZ,19,FALSE)+SUM(_xlfn.XLOOKUP($S209:$AL209,增益!$A:$A,增益!$S:$S,0)))+$B$12+SUM(_xlfn.XLOOKUP($S209:$AL209,增益!$A:$A,增益!$V:$V,0)))*IF(VLOOKUP($R209,武学奇术!$A:$ZZ,23,FALSE)=1,0,1)</f>
        <v>0.0913</v>
      </c>
      <c r="BS209" s="33" cm="1">
        <f t="array" ref="BS209">1+$B$14+VLOOKUP($R209,武学奇术!$A:$ZZ,20,FALSE)+SUM(_xlfn.XLOOKUP($S209:$AL209,增益!$A:$A,增益!$T:$T,0))</f>
        <v>1.35</v>
      </c>
      <c r="BT209" s="33">
        <f t="shared" si="58"/>
        <v>0.86580831</v>
      </c>
      <c r="BU209" s="33">
        <f t="shared" si="59"/>
        <v>0.02208246</v>
      </c>
      <c r="BV209" s="33">
        <f>IF(VLOOKUP($R209,武学奇术!$A:$ZZ,22,FALSE)=1,0,(1-$BO209))*(1-$BR209)</f>
        <v>0.02080923</v>
      </c>
      <c r="BW209" s="33" cm="1">
        <f t="array" ref="BW209">SUM(_xlfn.XLOOKUP($S209:$AL209,增益!$A:$A,增益!$W:$W,0))+$I$5</f>
        <v>0.11</v>
      </c>
      <c r="BX209" s="33" cm="1">
        <f t="array" ref="BX209">VLOOKUP($R209,武学奇术!$A:$ZZ,32,FALSE)+SUM(_xlfn.XLOOKUP($S209:$AL209,增益!$A:$A,增益!$X:$X,0))</f>
        <v>0</v>
      </c>
    </row>
    <row r="210" spans="12:76">
      <c r="L210" s="46">
        <f t="shared" si="49"/>
        <v>0</v>
      </c>
      <c r="M210" s="46">
        <f>((($AT210+$AU210)/2*$AN210+$AO210)*(1+$AV210)*(1+$AW210)+(($AY210+$AZ210)/2*IF($G$1="鸣金",$AP210,$AN210)+IF($G$1="鸣金",$AQ210*1.5,0))*(1+$BA210)*(1+$BB210)+(($BC210+$BD210)/2*IF($G$1="裂石",$AP210,$AN210)+IF($G$1="裂石",$AQ210*1.5,0))*(1+$BE210)*(1+$BF210)+(($BG210+$BH210)/2*IF($G$1="牵丝",$AP210,$AN210)+IF($G$1="牵丝",$AQ210*1.5,0))*(1+$BI210)*(1+$BJ210)+(($BK210+$BL210)/2*IF($G$1="破竹",$AP210,$AN210)+IF($G$1="破竹",$AQ210*1.5,0))*(1+$BM210)*(1+$BN210))*(1+$AR210)*$BQ210*$Q210*(1+IF(VLOOKUP($R210,武学奇术!$A:$ZZ,30,FALSE)="蓄力技",$B$21,0))*(1+IF(VLOOKUP($R210,武学奇术!$A:$ZZ,30,FALSE)="派生技",$B$20,0))*(1+$BW210)*(1+$BX210)</f>
        <v>0</v>
      </c>
      <c r="N210" s="46">
        <f>(($AU210*$AN210+$AO210)*(1+$AV210)*(1+$AW210)+($AZ210*IF($G$1="鸣金",$AP210,$AN210)+IF($G$1="鸣金",$AQ210*1.5,0))*(1+$BA210)*(1+$BB210)+($BD210*IF($G$1="裂石",$AP210,$AN210)+IF($G$1="裂石",$AQ210*1.5,0))*(1+$BE210)*(1+$BF210)+($BH210*IF($G$1="牵丝",$AP210,$AN210)+IF($G$1="牵丝",$AQ210*1.5,0))*(1+$BI210)*(1+$BJ210)+($BL210*IF($G$1="破竹",$AP210,$AN210)+IF($G$1="破竹",$AQ210*1.5,0))*(1+$BM210)*(1+$BN210))*(1+$AR210)*$BS210*$Q210*(1+IF(VLOOKUP($R210,武学奇术!$A:$ZZ,30,FALSE)="蓄力技",$B$21,0))*(1+IF(VLOOKUP($R210,武学奇术!$A:$ZZ,30,FALSE)="派生技",$B$20,0))*(1+$BW210)*(1+$BX210)</f>
        <v>0</v>
      </c>
      <c r="O210" s="46">
        <f>((($AT210+$AU210)/2*$AN210+$AO210)*(1+$AV210)*(1+$AW210)+(($AY210+$AZ210)/2*IF($G$1="鸣金",$AP210,$AN210)+IF($G$1="鸣金",$AQ210*1.5,0))*(1+$BA210)*(1+$BB210)+(($BC210+$BD210)/2*IF($G$1="裂石",$AP210,$AN210)+IF($G$1="裂石",$AQ210*1.5,0))*(1+$BE210)*(1+$BF210)+(($BG210+$BH210)/2*IF($G$1="牵丝",$AP210,$AN210)+IF($G$1="牵丝",$AQ210*1.5,0))*(1+$BI210)*(1+$BJ210)+(($BK210+$BL210)/2*IF($G$1="破竹",$AP210,$AN210)+IF($G$1="破竹",$AQ210*1.5,0))*(1+$BM210)*(1+$BN210))*(1+$AR210)*$Q210*(1+IF(VLOOKUP($R210,武学奇术!$A:$ZZ,30,FALSE)="蓄力技",$B$21,0))*(1+IF(VLOOKUP($R210,武学奇术!$A:$ZZ,30,FALSE)="派生技",$B$20,0))*(1+$BW210)*(1+$BX210)</f>
        <v>0</v>
      </c>
      <c r="P210" s="46">
        <f>((($AT210*$AN210+$AO210)*(1+$AV210)*(1+$AW210)+($AY210*IF($G$1="鸣金",$AP210,$AN210)+IF($G$1="鸣金",$AQ210*1.5,0))*(1+$BA210)*(1+$BB210)+($BC210*IF($G$1="裂石",$AP210,$AN210)+IF($G$1="裂石",$AQ210*1.5,0))*(1+$BE210)*(1+$BF210)+($BG210*IF($G$1="牵丝",$AP210,$AN210)+IF($G$1="牵丝",$AQ210*1.5,0))*(1+$BI210)*(1+$BJ210)+($BK210*IF($G$1="破竹",$AP210,$AN210)+IF($G$1="破竹",$AQ210*1.5,0))*(1+$BM210)*(1+$BN210))*(1+$AR210))*$Q210*(1+IF(VLOOKUP($R210,武学奇术!$A:$ZZ,30,FALSE)="蓄力技",$B$21,0))*(1+IF(VLOOKUP($R210,武学奇术!$A:$ZZ,30,FALSE)="派生技",$B$20,0))*(1+$BW210)*(1+$BX210)</f>
        <v>0</v>
      </c>
      <c r="Q210" s="47">
        <f t="shared" si="60"/>
        <v>0</v>
      </c>
      <c r="R210" s="48" t="s">
        <v>196</v>
      </c>
      <c r="S210" s="48" t="s">
        <v>99</v>
      </c>
      <c r="T210" s="48" t="s">
        <v>182</v>
      </c>
      <c r="U210" s="48" t="s">
        <v>79</v>
      </c>
      <c r="V210" s="48" t="s">
        <v>80</v>
      </c>
      <c r="W210" s="48" t="s">
        <v>141</v>
      </c>
      <c r="X210" s="48" t="s">
        <v>80</v>
      </c>
      <c r="Y210" s="48" t="s">
        <v>74</v>
      </c>
      <c r="Z210" s="48" t="s">
        <v>80</v>
      </c>
      <c r="AA210" s="48" t="s">
        <v>80</v>
      </c>
      <c r="AB210" s="48" t="s">
        <v>80</v>
      </c>
      <c r="AC210" s="48" t="s">
        <v>80</v>
      </c>
      <c r="AD210" s="48" t="s">
        <v>80</v>
      </c>
      <c r="AE210" s="48" t="s">
        <v>80</v>
      </c>
      <c r="AF210" s="48" t="s">
        <v>83</v>
      </c>
      <c r="AG210" s="48" t="s">
        <v>84</v>
      </c>
      <c r="AH210" s="48" t="s">
        <v>80</v>
      </c>
      <c r="AI210" s="48" t="s">
        <v>80</v>
      </c>
      <c r="AJ210" s="48" t="s">
        <v>80</v>
      </c>
      <c r="AK210" s="48" t="s">
        <v>80</v>
      </c>
      <c r="AL210" s="48" t="s">
        <v>80</v>
      </c>
      <c r="AM210" t="str">
        <f>VLOOKUP($R210,武学奇术!$A:$ZZ,25,FALSE)</f>
        <v>横刀</v>
      </c>
      <c r="AN210" s="33">
        <f>VLOOKUP($R210,武学奇术!$A:$ZZ,26,FALSE)</f>
        <v>1.47</v>
      </c>
      <c r="AO210" s="34">
        <f>VLOOKUP($R210,武学奇术!$A:$ZZ,27,FALSE)*(1+IF(OR($AM210=$F$4,$AM210=$F$5),$B$22,0))</f>
        <v>0</v>
      </c>
      <c r="AP210" s="33">
        <f>VLOOKUP($R210,武学奇术!$A:$ZZ,28,FALSE)</f>
        <v>2.205</v>
      </c>
      <c r="AQ210" s="34">
        <f>VLOOKUP($R210,武学奇术!$A:$ZZ,29,FALSE)*(1+IF(OR($AM210=$F$4,$AM210=$F$5),$B$22,0))</f>
        <v>0</v>
      </c>
      <c r="AR210" s="33" cm="1">
        <f t="array" ref="AR210">$G$3+IFERROR(VLOOKUP($AM210,$F$4:$G$7,2,FALSE),0)+VLOOKUP($R210,武学奇术!$A:$ZZ,2,FALSE)+SUM(_xlfn.XLOOKUP($S210:$AL210,增益!$A:$A,增益!$B:$B,0))</f>
        <v>0.4489</v>
      </c>
      <c r="AS210" s="33" cm="1">
        <f t="array" ref="AS210">VLOOKUP($R210,武学奇术!$A:$ZZ,5,FALSE)+SUM(_xlfn.XLOOKUP($S210:$AL210,增益!$A:$A,增益!$E:$E,0))</f>
        <v>0</v>
      </c>
      <c r="AT210" cm="1">
        <f t="array" ref="AT210">$D$10*(1+$AS210)+VLOOKUP($R210,武学奇术!$A:$ZZ,3,FALSE)+SUM(_xlfn.XLOOKUP($S210:$AL210,增益!$A:$A,增益!$C:$C,0))-$I$2</f>
        <v>4026</v>
      </c>
      <c r="AU210" cm="1">
        <f t="array" ref="AU210">$E$10*(1+$AS210)+VLOOKUP($R210,武学奇术!$A:$ZZ,4,FALSE)+SUM(_xlfn.XLOOKUP($S210:$AL210,增益!$A:$A,增益!$D:$D,0))-$I$2</f>
        <v>4026</v>
      </c>
      <c r="AV210" s="40" cm="1">
        <f t="array" ref="AV210">IF($F$10-$I$3+VLOOKUP($R210,武学奇术!$A:$ZZ,6,FALSE)+SUM(_xlfn.XLOOKUP($S210:$AL210,增益!$A:$A,增益!$F:$F,0))&gt;0,($F$10-$I$3+VLOOKUP($R210,武学奇术!$A:$ZZ,6,FALSE)+SUM(_xlfn.XLOOKUP($S210:$AL210,增益!$A:$A,增益!$F:$F,0)))/200,($F$10-$I$3+VLOOKUP($R210,武学奇术!$A:$ZZ,6,FALSE)+SUM(_xlfn.XLOOKUP($S210:$AL210,增益!$A:$A,增益!$F:$F,0)))/100)</f>
        <v>0.3534</v>
      </c>
      <c r="AW210" s="40" cm="1">
        <f t="array" ref="AW210">$G$10+VLOOKUP($R210,武学奇术!$A:$ZZ,7,FALSE)+SUM(_xlfn.XLOOKUP($S210:$AL210,增益!$A:$A,增益!$G:$G,0))</f>
        <v>0.12</v>
      </c>
      <c r="AX210" s="33" cm="1">
        <f t="array" ref="AX210">VLOOKUP($R210,武学奇术!$A:$ZZ,8,FALSE)+SUM(_xlfn.XLOOKUP($S210:$AL210,增益!$A:$A,增益!$H:$H,0))</f>
        <v>0</v>
      </c>
      <c r="AY210">
        <f t="shared" si="50"/>
        <v>0</v>
      </c>
      <c r="AZ210">
        <f t="shared" si="51"/>
        <v>0</v>
      </c>
      <c r="BA210" s="40" cm="1">
        <f t="array" ref="BA210">IF($F$11-$I$4+VLOOKUP($R210,武学奇术!$A:$ZZ,9,FALSE)+SUM(_xlfn.XLOOKUP($S210:$AL210,增益!$A:$A,增益!$I:$I,0))&gt;0,($F$11-$I$4+VLOOKUP($R210,武学奇术!$A:$ZZ,9,FALSE)+SUM(_xlfn.XLOOKUP($S210:$AL210,增益!$A:$A,增益!$I:$I,0)))/200,($F$11-$I$4+VLOOKUP($R210,武学奇术!$A:$ZZ,9,FALSE)+SUM(_xlfn.XLOOKUP($S210:$AL210,增益!$A:$A,增益!$I:$I,0)))/100)</f>
        <v>-0.3</v>
      </c>
      <c r="BB210" s="40" cm="1">
        <f t="array" ref="BB210">$G$11+VLOOKUP($R210,武学奇术!$A:$ZZ,10,FALSE)+SUM(_xlfn.XLOOKUP($S210:$AL210,增益!$A:$A,增益!$J:$J,0))</f>
        <v>0</v>
      </c>
      <c r="BC210">
        <f t="shared" si="52"/>
        <v>640.3</v>
      </c>
      <c r="BD210">
        <f t="shared" si="53"/>
        <v>1770.1</v>
      </c>
      <c r="BE210" s="40" cm="1">
        <f t="array" ref="BE210">IF($F$12-$I$4+VLOOKUP($R210,武学奇术!$A:$ZZ,11,FALSE)+SUM(_xlfn.XLOOKUP($S210:$AL210,增益!$A:$A,增益!$K:$K,0))&gt;0,($F$12-$I$4+VLOOKUP($R210,武学奇术!$A:$ZZ,11,FALSE)+SUM(_xlfn.XLOOKUP($S210:$AL210,增益!$A:$A,增益!$K:$K,0)))/200,($F$12-$I$4+VLOOKUP($R210,武学奇术!$A:$ZZ,11,FALSE)+SUM(_xlfn.XLOOKUP($S210:$AL210,增益!$A:$A,增益!$K:$K,0)))/100)</f>
        <v>0.09</v>
      </c>
      <c r="BF210" s="40" cm="1">
        <f t="array" ref="BF210">$G$12+VLOOKUP($R210,武学奇术!$A:$ZZ,12,FALSE)+SUM(_xlfn.XLOOKUP($S210:$AL210,增益!$A:$A,增益!$L:$L,0))</f>
        <v>0.27</v>
      </c>
      <c r="BG210">
        <f t="shared" si="54"/>
        <v>0</v>
      </c>
      <c r="BH210">
        <f t="shared" si="55"/>
        <v>0</v>
      </c>
      <c r="BI210" s="40" cm="1">
        <f t="array" ref="BI210">IF($F$13-$I$4+VLOOKUP($R210,武学奇术!$A:$ZZ,13,FALSE)+SUM(_xlfn.XLOOKUP($S210:$AL210,增益!$A:$A,增益!$M:$M,0))&gt;0,($F$13-$I$4+VLOOKUP($R210,武学奇术!$A:$ZZ,13,FALSE)+SUM(_xlfn.XLOOKUP($S210:$AL210,增益!$A:$A,增益!$K:$K,0)))/200,($F$13-$I$4+VLOOKUP($R210,武学奇术!$A:$ZZ,13,FALSE)+SUM(_xlfn.XLOOKUP($S210:$AL210,增益!$A:$A,增益!$M:$M,0)))/100)</f>
        <v>-0.3</v>
      </c>
      <c r="BJ210" s="40" cm="1">
        <f t="array" ref="BJ210">$G$13+VLOOKUP($R210,武学奇术!$A:$ZZ,14,FALSE)+SUM(_xlfn.XLOOKUP($S210:$AL210,增益!$A:$A,增益!$N:$N,0))</f>
        <v>0</v>
      </c>
      <c r="BK210">
        <f t="shared" si="56"/>
        <v>0</v>
      </c>
      <c r="BL210">
        <f t="shared" si="57"/>
        <v>0</v>
      </c>
      <c r="BM210" s="40" cm="1">
        <f t="array" ref="BM210">IF($F$14-$I$4+VLOOKUP($R210,武学奇术!$A:$ZZ,15,FALSE)+SUM(_xlfn.XLOOKUP($S210:$AL210,增益!$A:$A,增益!$O:$O,0))&gt;0,($F$14-$I$4+VLOOKUP($R210,武学奇术!$A:$ZZ,15,FALSE)+SUM(_xlfn.XLOOKUP($S210:$AL210,增益!$A:$A,增益!$O:$O,0)))/200,($F$14-$I$4+VLOOKUP($R210,武学奇术!$A:$ZZ,15,FALSE)+SUM(_xlfn.XLOOKUP($S210:$AL210,增益!$A:$A,增益!$O:$O,0)))/100)</f>
        <v>-0.3</v>
      </c>
      <c r="BN210" s="40" cm="1">
        <f t="array" ref="BN210">$G$14+VLOOKUP($R210,武学奇术!$A:$ZZ,16,FALSE)+SUM(_xlfn.XLOOKUP($S210:$AL210,增益!$A:$A,增益!$P:$P,0))</f>
        <v>0</v>
      </c>
      <c r="BO210" s="33">
        <f>MIN(IF(VLOOKUP($R210,武学奇术!$A:$ZZ,23,FALSE)=1,100%,$B$8),100%)</f>
        <v>0.9771</v>
      </c>
      <c r="BP210" s="33" cm="1">
        <f t="array" ref="BP210">IF(VLOOKUP($R210,武学奇术!$A:$ZZ,23,FALSE)=1,100%,MIN(80%,$B$9+VLOOKUP($R210,武学奇术!$A:$ZZ,17,FALSE)+SUM(_xlfn.XLOOKUP($S210:$AL210,增益!$A:$A,增益!$Q:$Q,0)))+$B$11+SUM(_xlfn.XLOOKUP($S210:$AL210,增益!$A:$A,增益!$U:$U,0)))*IF(VLOOKUP($R210,武学奇术!$A:$ZZ,24,FALSE)=1,0,1)</f>
        <v>0.8861</v>
      </c>
      <c r="BQ210" s="33" cm="1">
        <f t="array" ref="BQ210">1+$B$13+VLOOKUP($R210,武学奇术!$A:$ZZ,18,FALSE)+SUM(_xlfn.XLOOKUP($S210:$AL210,增益!$A:$A,增益!$R:$R,0))</f>
        <v>2</v>
      </c>
      <c r="BR210" s="33" cm="1">
        <f t="array" ref="BR210">IF(VLOOKUP($R210,武学奇术!$A:$ZZ,24,FALSE)=1,100%,MIN(40%,$B$10+VLOOKUP($R210,武学奇术!$A:$ZZ,19,FALSE)+SUM(_xlfn.XLOOKUP($S210:$AL210,增益!$A:$A,增益!$S:$S,0)))+$B$12+SUM(_xlfn.XLOOKUP($S210:$AL210,增益!$A:$A,增益!$V:$V,0)))*IF(VLOOKUP($R210,武学奇术!$A:$ZZ,23,FALSE)=1,0,1)</f>
        <v>0.0913</v>
      </c>
      <c r="BS210" s="33" cm="1">
        <f t="array" ref="BS210">1+$B$14+VLOOKUP($R210,武学奇术!$A:$ZZ,20,FALSE)+SUM(_xlfn.XLOOKUP($S210:$AL210,增益!$A:$A,增益!$T:$T,0))</f>
        <v>1.35</v>
      </c>
      <c r="BT210" s="33">
        <f t="shared" si="58"/>
        <v>0.86580831</v>
      </c>
      <c r="BU210" s="33">
        <f t="shared" si="59"/>
        <v>0.02208246</v>
      </c>
      <c r="BV210" s="33">
        <f>IF(VLOOKUP($R210,武学奇术!$A:$ZZ,22,FALSE)=1,0,(1-$BO210))*(1-$BR210)</f>
        <v>0.02080923</v>
      </c>
      <c r="BW210" s="33" cm="1">
        <f t="array" ref="BW210">SUM(_xlfn.XLOOKUP($S210:$AL210,增益!$A:$A,增益!$W:$W,0))+$I$5</f>
        <v>0.11</v>
      </c>
      <c r="BX210" s="33" cm="1">
        <f t="array" ref="BX210">VLOOKUP($R210,武学奇术!$A:$ZZ,32,FALSE)+SUM(_xlfn.XLOOKUP($S210:$AL210,增益!$A:$A,增益!$X:$X,0))</f>
        <v>0.4</v>
      </c>
    </row>
    <row r="211" spans="12:76">
      <c r="L211" s="46">
        <f t="shared" si="49"/>
        <v>0</v>
      </c>
      <c r="M211" s="46">
        <f>((($AT211+$AU211)/2*$AN211+$AO211)*(1+$AV211)*(1+$AW211)+(($AY211+$AZ211)/2*IF($G$1="鸣金",$AP211,$AN211)+IF($G$1="鸣金",$AQ211*1.5,0))*(1+$BA211)*(1+$BB211)+(($BC211+$BD211)/2*IF($G$1="裂石",$AP211,$AN211)+IF($G$1="裂石",$AQ211*1.5,0))*(1+$BE211)*(1+$BF211)+(($BG211+$BH211)/2*IF($G$1="牵丝",$AP211,$AN211)+IF($G$1="牵丝",$AQ211*1.5,0))*(1+$BI211)*(1+$BJ211)+(($BK211+$BL211)/2*IF($G$1="破竹",$AP211,$AN211)+IF($G$1="破竹",$AQ211*1.5,0))*(1+$BM211)*(1+$BN211))*(1+$AR211)*$BQ211*$Q211*(1+IF(VLOOKUP($R211,武学奇术!$A:$ZZ,30,FALSE)="蓄力技",$B$21,0))*(1+IF(VLOOKUP($R211,武学奇术!$A:$ZZ,30,FALSE)="派生技",$B$20,0))*(1+$BW211)*(1+$BX211)</f>
        <v>0</v>
      </c>
      <c r="N211" s="46">
        <f>(($AU211*$AN211+$AO211)*(1+$AV211)*(1+$AW211)+($AZ211*IF($G$1="鸣金",$AP211,$AN211)+IF($G$1="鸣金",$AQ211*1.5,0))*(1+$BA211)*(1+$BB211)+($BD211*IF($G$1="裂石",$AP211,$AN211)+IF($G$1="裂石",$AQ211*1.5,0))*(1+$BE211)*(1+$BF211)+($BH211*IF($G$1="牵丝",$AP211,$AN211)+IF($G$1="牵丝",$AQ211*1.5,0))*(1+$BI211)*(1+$BJ211)+($BL211*IF($G$1="破竹",$AP211,$AN211)+IF($G$1="破竹",$AQ211*1.5,0))*(1+$BM211)*(1+$BN211))*(1+$AR211)*$BS211*$Q211*(1+IF(VLOOKUP($R211,武学奇术!$A:$ZZ,30,FALSE)="蓄力技",$B$21,0))*(1+IF(VLOOKUP($R211,武学奇术!$A:$ZZ,30,FALSE)="派生技",$B$20,0))*(1+$BW211)*(1+$BX211)</f>
        <v>0</v>
      </c>
      <c r="O211" s="46">
        <f>((($AT211+$AU211)/2*$AN211+$AO211)*(1+$AV211)*(1+$AW211)+(($AY211+$AZ211)/2*IF($G$1="鸣金",$AP211,$AN211)+IF($G$1="鸣金",$AQ211*1.5,0))*(1+$BA211)*(1+$BB211)+(($BC211+$BD211)/2*IF($G$1="裂石",$AP211,$AN211)+IF($G$1="裂石",$AQ211*1.5,0))*(1+$BE211)*(1+$BF211)+(($BG211+$BH211)/2*IF($G$1="牵丝",$AP211,$AN211)+IF($G$1="牵丝",$AQ211*1.5,0))*(1+$BI211)*(1+$BJ211)+(($BK211+$BL211)/2*IF($G$1="破竹",$AP211,$AN211)+IF($G$1="破竹",$AQ211*1.5,0))*(1+$BM211)*(1+$BN211))*(1+$AR211)*$Q211*(1+IF(VLOOKUP($R211,武学奇术!$A:$ZZ,30,FALSE)="蓄力技",$B$21,0))*(1+IF(VLOOKUP($R211,武学奇术!$A:$ZZ,30,FALSE)="派生技",$B$20,0))*(1+$BW211)*(1+$BX211)</f>
        <v>0</v>
      </c>
      <c r="P211" s="46">
        <f>((($AT211*$AN211+$AO211)*(1+$AV211)*(1+$AW211)+($AY211*IF($G$1="鸣金",$AP211,$AN211)+IF($G$1="鸣金",$AQ211*1.5,0))*(1+$BA211)*(1+$BB211)+($BC211*IF($G$1="裂石",$AP211,$AN211)+IF($G$1="裂石",$AQ211*1.5,0))*(1+$BE211)*(1+$BF211)+($BG211*IF($G$1="牵丝",$AP211,$AN211)+IF($G$1="牵丝",$AQ211*1.5,0))*(1+$BI211)*(1+$BJ211)+($BK211*IF($G$1="破竹",$AP211,$AN211)+IF($G$1="破竹",$AQ211*1.5,0))*(1+$BM211)*(1+$BN211))*(1+$AR211))*$Q211*(1+IF(VLOOKUP($R211,武学奇术!$A:$ZZ,30,FALSE)="蓄力技",$B$21,0))*(1+IF(VLOOKUP($R211,武学奇术!$A:$ZZ,30,FALSE)="派生技",$B$20,0))*(1+$BW211)*(1+$BX211)</f>
        <v>0</v>
      </c>
      <c r="Q211" s="47">
        <f t="shared" si="60"/>
        <v>0</v>
      </c>
      <c r="R211" s="48" t="s">
        <v>197</v>
      </c>
      <c r="S211" s="48" t="s">
        <v>99</v>
      </c>
      <c r="T211" s="48" t="s">
        <v>182</v>
      </c>
      <c r="U211" s="48" t="s">
        <v>79</v>
      </c>
      <c r="V211" s="48" t="s">
        <v>80</v>
      </c>
      <c r="W211" s="48" t="s">
        <v>91</v>
      </c>
      <c r="X211" s="48" t="s">
        <v>80</v>
      </c>
      <c r="Y211" s="48" t="s">
        <v>80</v>
      </c>
      <c r="Z211" s="48" t="s">
        <v>80</v>
      </c>
      <c r="AA211" s="48" t="s">
        <v>80</v>
      </c>
      <c r="AB211" s="48" t="s">
        <v>80</v>
      </c>
      <c r="AC211" s="48" t="s">
        <v>80</v>
      </c>
      <c r="AD211" s="48" t="s">
        <v>80</v>
      </c>
      <c r="AE211" s="48" t="s">
        <v>80</v>
      </c>
      <c r="AF211" s="48" t="s">
        <v>83</v>
      </c>
      <c r="AG211" s="48" t="s">
        <v>84</v>
      </c>
      <c r="AH211" s="48" t="s">
        <v>80</v>
      </c>
      <c r="AI211" s="48" t="s">
        <v>80</v>
      </c>
      <c r="AJ211" s="48" t="s">
        <v>80</v>
      </c>
      <c r="AK211" s="48" t="s">
        <v>80</v>
      </c>
      <c r="AL211" s="48" t="s">
        <v>80</v>
      </c>
      <c r="AM211" t="str">
        <f>VLOOKUP($R211,武学奇术!$A:$ZZ,25,FALSE)</f>
        <v>横刀</v>
      </c>
      <c r="AN211" s="33">
        <f>VLOOKUP($R211,武学奇术!$A:$ZZ,26,FALSE)</f>
        <v>2.4495</v>
      </c>
      <c r="AO211" s="34">
        <f>VLOOKUP($R211,武学奇术!$A:$ZZ,27,FALSE)*(1+IF(OR($AM211=$F$4,$AM211=$F$5),$B$22,0))</f>
        <v>1083.2</v>
      </c>
      <c r="AP211" s="33">
        <f>VLOOKUP($R211,武学奇术!$A:$ZZ,28,FALSE)</f>
        <v>3.6743</v>
      </c>
      <c r="AQ211" s="34">
        <f>VLOOKUP($R211,武学奇术!$A:$ZZ,29,FALSE)*(1+IF(OR($AM211=$F$4,$AM211=$F$5),$B$22,0))</f>
        <v>588.8</v>
      </c>
      <c r="AR211" s="33" cm="1">
        <f t="array" ref="AR211">$G$3+IFERROR(VLOOKUP($AM211,$F$4:$G$7,2,FALSE),0)+VLOOKUP($R211,武学奇术!$A:$ZZ,2,FALSE)+SUM(_xlfn.XLOOKUP($S211:$AL211,增益!$A:$A,增益!$B:$B,0))</f>
        <v>0.3689</v>
      </c>
      <c r="AS211" s="33" cm="1">
        <f t="array" ref="AS211">VLOOKUP($R211,武学奇术!$A:$ZZ,5,FALSE)+SUM(_xlfn.XLOOKUP($S211:$AL211,增益!$A:$A,增益!$E:$E,0))</f>
        <v>0</v>
      </c>
      <c r="AT211" cm="1">
        <f t="array" ref="AT211">$D$10*(1+$AS211)+VLOOKUP($R211,武学奇术!$A:$ZZ,3,FALSE)+SUM(_xlfn.XLOOKUP($S211:$AL211,增益!$A:$A,增益!$C:$C,0))-$I$2</f>
        <v>4026</v>
      </c>
      <c r="AU211" cm="1">
        <f t="array" ref="AU211">$E$10*(1+$AS211)+VLOOKUP($R211,武学奇术!$A:$ZZ,4,FALSE)+SUM(_xlfn.XLOOKUP($S211:$AL211,增益!$A:$A,增益!$D:$D,0))-$I$2</f>
        <v>4026</v>
      </c>
      <c r="AV211" s="40" cm="1">
        <f t="array" ref="AV211">IF($F$10-$I$3+VLOOKUP($R211,武学奇术!$A:$ZZ,6,FALSE)+SUM(_xlfn.XLOOKUP($S211:$AL211,增益!$A:$A,增益!$F:$F,0))&gt;0,($F$10-$I$3+VLOOKUP($R211,武学奇术!$A:$ZZ,6,FALSE)+SUM(_xlfn.XLOOKUP($S211:$AL211,增益!$A:$A,增益!$F:$F,0)))/200,($F$10-$I$3+VLOOKUP($R211,武学奇术!$A:$ZZ,6,FALSE)+SUM(_xlfn.XLOOKUP($S211:$AL211,增益!$A:$A,增益!$F:$F,0)))/100)</f>
        <v>0.3284</v>
      </c>
      <c r="AW211" s="40" cm="1">
        <f t="array" ref="AW211">$G$10+VLOOKUP($R211,武学奇术!$A:$ZZ,7,FALSE)+SUM(_xlfn.XLOOKUP($S211:$AL211,增益!$A:$A,增益!$G:$G,0))</f>
        <v>0.12</v>
      </c>
      <c r="AX211" s="33" cm="1">
        <f t="array" ref="AX211">VLOOKUP($R211,武学奇术!$A:$ZZ,8,FALSE)+SUM(_xlfn.XLOOKUP($S211:$AL211,增益!$A:$A,增益!$H:$H,0))</f>
        <v>0</v>
      </c>
      <c r="AY211">
        <f t="shared" si="50"/>
        <v>0</v>
      </c>
      <c r="AZ211">
        <f t="shared" si="51"/>
        <v>0</v>
      </c>
      <c r="BA211" s="40" cm="1">
        <f t="array" ref="BA211">IF($F$11-$I$4+VLOOKUP($R211,武学奇术!$A:$ZZ,9,FALSE)+SUM(_xlfn.XLOOKUP($S211:$AL211,增益!$A:$A,增益!$I:$I,0))&gt;0,($F$11-$I$4+VLOOKUP($R211,武学奇术!$A:$ZZ,9,FALSE)+SUM(_xlfn.XLOOKUP($S211:$AL211,增益!$A:$A,增益!$I:$I,0)))/200,($F$11-$I$4+VLOOKUP($R211,武学奇术!$A:$ZZ,9,FALSE)+SUM(_xlfn.XLOOKUP($S211:$AL211,增益!$A:$A,增益!$I:$I,0)))/100)</f>
        <v>-0.3</v>
      </c>
      <c r="BB211" s="40" cm="1">
        <f t="array" ref="BB211">$G$11+VLOOKUP($R211,武学奇术!$A:$ZZ,10,FALSE)+SUM(_xlfn.XLOOKUP($S211:$AL211,增益!$A:$A,增益!$J:$J,0))</f>
        <v>0</v>
      </c>
      <c r="BC211">
        <f t="shared" si="52"/>
        <v>640.3</v>
      </c>
      <c r="BD211">
        <f t="shared" si="53"/>
        <v>1770.1</v>
      </c>
      <c r="BE211" s="40" cm="1">
        <f t="array" ref="BE211">IF($F$12-$I$4+VLOOKUP($R211,武学奇术!$A:$ZZ,11,FALSE)+SUM(_xlfn.XLOOKUP($S211:$AL211,增益!$A:$A,增益!$K:$K,0))&gt;0,($F$12-$I$4+VLOOKUP($R211,武学奇术!$A:$ZZ,11,FALSE)+SUM(_xlfn.XLOOKUP($S211:$AL211,增益!$A:$A,增益!$K:$K,0)))/200,($F$12-$I$4+VLOOKUP($R211,武学奇术!$A:$ZZ,11,FALSE)+SUM(_xlfn.XLOOKUP($S211:$AL211,增益!$A:$A,增益!$K:$K,0)))/100)</f>
        <v>0.09</v>
      </c>
      <c r="BF211" s="40" cm="1">
        <f t="array" ref="BF211">$G$12+VLOOKUP($R211,武学奇术!$A:$ZZ,12,FALSE)+SUM(_xlfn.XLOOKUP($S211:$AL211,增益!$A:$A,增益!$L:$L,0))</f>
        <v>0.27</v>
      </c>
      <c r="BG211">
        <f t="shared" si="54"/>
        <v>0</v>
      </c>
      <c r="BH211">
        <f t="shared" si="55"/>
        <v>0</v>
      </c>
      <c r="BI211" s="40" cm="1">
        <f t="array" ref="BI211">IF($F$13-$I$4+VLOOKUP($R211,武学奇术!$A:$ZZ,13,FALSE)+SUM(_xlfn.XLOOKUP($S211:$AL211,增益!$A:$A,增益!$M:$M,0))&gt;0,($F$13-$I$4+VLOOKUP($R211,武学奇术!$A:$ZZ,13,FALSE)+SUM(_xlfn.XLOOKUP($S211:$AL211,增益!$A:$A,增益!$K:$K,0)))/200,($F$13-$I$4+VLOOKUP($R211,武学奇术!$A:$ZZ,13,FALSE)+SUM(_xlfn.XLOOKUP($S211:$AL211,增益!$A:$A,增益!$M:$M,0)))/100)</f>
        <v>-0.3</v>
      </c>
      <c r="BJ211" s="40" cm="1">
        <f t="array" ref="BJ211">$G$13+VLOOKUP($R211,武学奇术!$A:$ZZ,14,FALSE)+SUM(_xlfn.XLOOKUP($S211:$AL211,增益!$A:$A,增益!$N:$N,0))</f>
        <v>0</v>
      </c>
      <c r="BK211">
        <f t="shared" si="56"/>
        <v>0</v>
      </c>
      <c r="BL211">
        <f t="shared" si="57"/>
        <v>0</v>
      </c>
      <c r="BM211" s="40" cm="1">
        <f t="array" ref="BM211">IF($F$14-$I$4+VLOOKUP($R211,武学奇术!$A:$ZZ,15,FALSE)+SUM(_xlfn.XLOOKUP($S211:$AL211,增益!$A:$A,增益!$O:$O,0))&gt;0,($F$14-$I$4+VLOOKUP($R211,武学奇术!$A:$ZZ,15,FALSE)+SUM(_xlfn.XLOOKUP($S211:$AL211,增益!$A:$A,增益!$O:$O,0)))/200,($F$14-$I$4+VLOOKUP($R211,武学奇术!$A:$ZZ,15,FALSE)+SUM(_xlfn.XLOOKUP($S211:$AL211,增益!$A:$A,增益!$O:$O,0)))/100)</f>
        <v>-0.3</v>
      </c>
      <c r="BN211" s="40" cm="1">
        <f t="array" ref="BN211">$G$14+VLOOKUP($R211,武学奇术!$A:$ZZ,16,FALSE)+SUM(_xlfn.XLOOKUP($S211:$AL211,增益!$A:$A,增益!$P:$P,0))</f>
        <v>0</v>
      </c>
      <c r="BO211" s="33">
        <f>MIN(IF(VLOOKUP($R211,武学奇术!$A:$ZZ,23,FALSE)=1,100%,$B$8),100%)</f>
        <v>0.9771</v>
      </c>
      <c r="BP211" s="33" cm="1">
        <f t="array" ref="BP211">IF(VLOOKUP($R211,武学奇术!$A:$ZZ,23,FALSE)=1,100%,MIN(80%,$B$9+VLOOKUP($R211,武学奇术!$A:$ZZ,17,FALSE)+SUM(_xlfn.XLOOKUP($S211:$AL211,增益!$A:$A,增益!$Q:$Q,0)))+$B$11+SUM(_xlfn.XLOOKUP($S211:$AL211,增益!$A:$A,增益!$U:$U,0)))*IF(VLOOKUP($R211,武学奇术!$A:$ZZ,24,FALSE)=1,0,1)</f>
        <v>0.8861</v>
      </c>
      <c r="BQ211" s="33" cm="1">
        <f t="array" ref="BQ211">1+$B$13+VLOOKUP($R211,武学奇术!$A:$ZZ,18,FALSE)+SUM(_xlfn.XLOOKUP($S211:$AL211,增益!$A:$A,增益!$R:$R,0))</f>
        <v>1.95</v>
      </c>
      <c r="BR211" s="33" cm="1">
        <f t="array" ref="BR211">IF(VLOOKUP($R211,武学奇术!$A:$ZZ,24,FALSE)=1,100%,MIN(40%,$B$10+VLOOKUP($R211,武学奇术!$A:$ZZ,19,FALSE)+SUM(_xlfn.XLOOKUP($S211:$AL211,增益!$A:$A,增益!$S:$S,0)))+$B$12+SUM(_xlfn.XLOOKUP($S211:$AL211,增益!$A:$A,增益!$V:$V,0)))*IF(VLOOKUP($R211,武学奇术!$A:$ZZ,23,FALSE)=1,0,1)</f>
        <v>0.0913</v>
      </c>
      <c r="BS211" s="33" cm="1">
        <f t="array" ref="BS211">1+$B$14+VLOOKUP($R211,武学奇术!$A:$ZZ,20,FALSE)+SUM(_xlfn.XLOOKUP($S211:$AL211,增益!$A:$A,增益!$T:$T,0))</f>
        <v>1.35</v>
      </c>
      <c r="BT211" s="33">
        <f t="shared" si="58"/>
        <v>0.86580831</v>
      </c>
      <c r="BU211" s="33">
        <f t="shared" si="59"/>
        <v>0.02208246</v>
      </c>
      <c r="BV211" s="33">
        <f>IF(VLOOKUP($R211,武学奇术!$A:$ZZ,22,FALSE)=1,0,(1-$BO211))*(1-$BR211)</f>
        <v>0.02080923</v>
      </c>
      <c r="BW211" s="33" cm="1">
        <f t="array" ref="BW211">SUM(_xlfn.XLOOKUP($S211:$AL211,增益!$A:$A,增益!$W:$W,0))+$I$5</f>
        <v>0.11</v>
      </c>
      <c r="BX211" s="33" cm="1">
        <f t="array" ref="BX211">VLOOKUP($R211,武学奇术!$A:$ZZ,32,FALSE)+SUM(_xlfn.XLOOKUP($S211:$AL211,增益!$A:$A,增益!$X:$X,0))</f>
        <v>0</v>
      </c>
    </row>
    <row r="212" spans="12:76">
      <c r="L212" s="46">
        <f t="shared" si="49"/>
        <v>0</v>
      </c>
      <c r="M212" s="46">
        <f>((($AT212+$AU212)/2*$AN212+$AO212)*(1+$AV212)*(1+$AW212)+(($AY212+$AZ212)/2*IF($G$1="鸣金",$AP212,$AN212)+IF($G$1="鸣金",$AQ212*1.5,0))*(1+$BA212)*(1+$BB212)+(($BC212+$BD212)/2*IF($G$1="裂石",$AP212,$AN212)+IF($G$1="裂石",$AQ212*1.5,0))*(1+$BE212)*(1+$BF212)+(($BG212+$BH212)/2*IF($G$1="牵丝",$AP212,$AN212)+IF($G$1="牵丝",$AQ212*1.5,0))*(1+$BI212)*(1+$BJ212)+(($BK212+$BL212)/2*IF($G$1="破竹",$AP212,$AN212)+IF($G$1="破竹",$AQ212*1.5,0))*(1+$BM212)*(1+$BN212))*(1+$AR212)*$BQ212*$Q212*(1+IF(VLOOKUP($R212,武学奇术!$A:$ZZ,30,FALSE)="蓄力技",$B$21,0))*(1+IF(VLOOKUP($R212,武学奇术!$A:$ZZ,30,FALSE)="派生技",$B$20,0))*(1+$BW212)*(1+$BX212)</f>
        <v>0</v>
      </c>
      <c r="N212" s="46">
        <f>(($AU212*$AN212+$AO212)*(1+$AV212)*(1+$AW212)+($AZ212*IF($G$1="鸣金",$AP212,$AN212)+IF($G$1="鸣金",$AQ212*1.5,0))*(1+$BA212)*(1+$BB212)+($BD212*IF($G$1="裂石",$AP212,$AN212)+IF($G$1="裂石",$AQ212*1.5,0))*(1+$BE212)*(1+$BF212)+($BH212*IF($G$1="牵丝",$AP212,$AN212)+IF($G$1="牵丝",$AQ212*1.5,0))*(1+$BI212)*(1+$BJ212)+($BL212*IF($G$1="破竹",$AP212,$AN212)+IF($G$1="破竹",$AQ212*1.5,0))*(1+$BM212)*(1+$BN212))*(1+$AR212)*$BS212*$Q212*(1+IF(VLOOKUP($R212,武学奇术!$A:$ZZ,30,FALSE)="蓄力技",$B$21,0))*(1+IF(VLOOKUP($R212,武学奇术!$A:$ZZ,30,FALSE)="派生技",$B$20,0))*(1+$BW212)*(1+$BX212)</f>
        <v>0</v>
      </c>
      <c r="O212" s="46">
        <f>((($AT212+$AU212)/2*$AN212+$AO212)*(1+$AV212)*(1+$AW212)+(($AY212+$AZ212)/2*IF($G$1="鸣金",$AP212,$AN212)+IF($G$1="鸣金",$AQ212*1.5,0))*(1+$BA212)*(1+$BB212)+(($BC212+$BD212)/2*IF($G$1="裂石",$AP212,$AN212)+IF($G$1="裂石",$AQ212*1.5,0))*(1+$BE212)*(1+$BF212)+(($BG212+$BH212)/2*IF($G$1="牵丝",$AP212,$AN212)+IF($G$1="牵丝",$AQ212*1.5,0))*(1+$BI212)*(1+$BJ212)+(($BK212+$BL212)/2*IF($G$1="破竹",$AP212,$AN212)+IF($G$1="破竹",$AQ212*1.5,0))*(1+$BM212)*(1+$BN212))*(1+$AR212)*$Q212*(1+IF(VLOOKUP($R212,武学奇术!$A:$ZZ,30,FALSE)="蓄力技",$B$21,0))*(1+IF(VLOOKUP($R212,武学奇术!$A:$ZZ,30,FALSE)="派生技",$B$20,0))*(1+$BW212)*(1+$BX212)</f>
        <v>0</v>
      </c>
      <c r="P212" s="46">
        <f>((($AT212*$AN212+$AO212)*(1+$AV212)*(1+$AW212)+($AY212*IF($G$1="鸣金",$AP212,$AN212)+IF($G$1="鸣金",$AQ212*1.5,0))*(1+$BA212)*(1+$BB212)+($BC212*IF($G$1="裂石",$AP212,$AN212)+IF($G$1="裂石",$AQ212*1.5,0))*(1+$BE212)*(1+$BF212)+($BG212*IF($G$1="牵丝",$AP212,$AN212)+IF($G$1="牵丝",$AQ212*1.5,0))*(1+$BI212)*(1+$BJ212)+($BK212*IF($G$1="破竹",$AP212,$AN212)+IF($G$1="破竹",$AQ212*1.5,0))*(1+$BM212)*(1+$BN212))*(1+$AR212))*$Q212*(1+IF(VLOOKUP($R212,武学奇术!$A:$ZZ,30,FALSE)="蓄力技",$B$21,0))*(1+IF(VLOOKUP($R212,武学奇术!$A:$ZZ,30,FALSE)="派生技",$B$20,0))*(1+$BW212)*(1+$BX212)</f>
        <v>0</v>
      </c>
      <c r="Q212" s="47">
        <f t="shared" si="60"/>
        <v>0</v>
      </c>
      <c r="R212" s="48" t="s">
        <v>119</v>
      </c>
      <c r="S212" s="48" t="s">
        <v>99</v>
      </c>
      <c r="T212" s="48" t="s">
        <v>182</v>
      </c>
      <c r="U212" s="48" t="s">
        <v>79</v>
      </c>
      <c r="V212" s="48" t="s">
        <v>80</v>
      </c>
      <c r="W212" s="48" t="s">
        <v>141</v>
      </c>
      <c r="X212" s="48" t="s">
        <v>80</v>
      </c>
      <c r="Y212" s="48" t="s">
        <v>74</v>
      </c>
      <c r="Z212" s="48" t="s">
        <v>80</v>
      </c>
      <c r="AA212" s="48" t="s">
        <v>183</v>
      </c>
      <c r="AB212" s="48" t="s">
        <v>80</v>
      </c>
      <c r="AC212" s="48" t="s">
        <v>80</v>
      </c>
      <c r="AD212" s="48" t="s">
        <v>80</v>
      </c>
      <c r="AE212" s="48" t="s">
        <v>80</v>
      </c>
      <c r="AF212" s="48" t="s">
        <v>83</v>
      </c>
      <c r="AG212" s="48" t="s">
        <v>84</v>
      </c>
      <c r="AH212" s="48" t="s">
        <v>80</v>
      </c>
      <c r="AI212" s="48" t="s">
        <v>80</v>
      </c>
      <c r="AJ212" s="48" t="s">
        <v>80</v>
      </c>
      <c r="AK212" s="48" t="s">
        <v>80</v>
      </c>
      <c r="AL212" s="48" t="s">
        <v>80</v>
      </c>
      <c r="AM212" t="str">
        <f>VLOOKUP($R212,武学奇术!$A:$ZZ,25,FALSE)</f>
        <v>横刀</v>
      </c>
      <c r="AN212" s="33">
        <f>VLOOKUP($R212,武学奇术!$A:$ZZ,26,FALSE)</f>
        <v>2.1324</v>
      </c>
      <c r="AO212" s="34">
        <f>VLOOKUP($R212,武学奇术!$A:$ZZ,27,FALSE)*(1+IF(OR($AM212=$F$4,$AM212=$F$5),$B$22,0))</f>
        <v>944</v>
      </c>
      <c r="AP212" s="33">
        <f>VLOOKUP($R212,武学奇术!$A:$ZZ,28,FALSE)</f>
        <v>3.1986</v>
      </c>
      <c r="AQ212" s="34">
        <f>VLOOKUP($R212,武学奇术!$A:$ZZ,29,FALSE)*(1+IF(OR($AM212=$F$4,$AM212=$F$5),$B$22,0))</f>
        <v>515.2</v>
      </c>
      <c r="AR212" s="33" cm="1">
        <f t="array" ref="AR212">$G$3+IFERROR(VLOOKUP($AM212,$F$4:$G$7,2,FALSE),0)+VLOOKUP($R212,武学奇术!$A:$ZZ,2,FALSE)+SUM(_xlfn.XLOOKUP($S212:$AL212,增益!$A:$A,增益!$B:$B,0))</f>
        <v>0.4489</v>
      </c>
      <c r="AS212" s="33" cm="1">
        <f t="array" ref="AS212">VLOOKUP($R212,武学奇术!$A:$ZZ,5,FALSE)+SUM(_xlfn.XLOOKUP($S212:$AL212,增益!$A:$A,增益!$E:$E,0))</f>
        <v>0</v>
      </c>
      <c r="AT212" cm="1">
        <f t="array" ref="AT212">$D$10*(1+$AS212)+VLOOKUP($R212,武学奇术!$A:$ZZ,3,FALSE)+SUM(_xlfn.XLOOKUP($S212:$AL212,增益!$A:$A,增益!$C:$C,0))-$I$2</f>
        <v>4026</v>
      </c>
      <c r="AU212" cm="1">
        <f t="array" ref="AU212">$E$10*(1+$AS212)+VLOOKUP($R212,武学奇术!$A:$ZZ,4,FALSE)+SUM(_xlfn.XLOOKUP($S212:$AL212,增益!$A:$A,增益!$D:$D,0))-$I$2</f>
        <v>4026</v>
      </c>
      <c r="AV212" s="40" cm="1">
        <f t="array" ref="AV212">IF($F$10-$I$3+VLOOKUP($R212,武学奇术!$A:$ZZ,6,FALSE)+SUM(_xlfn.XLOOKUP($S212:$AL212,增益!$A:$A,增益!$F:$F,0))&gt;0,($F$10-$I$3+VLOOKUP($R212,武学奇术!$A:$ZZ,6,FALSE)+SUM(_xlfn.XLOOKUP($S212:$AL212,增益!$A:$A,增益!$F:$F,0)))/200,($F$10-$I$3+VLOOKUP($R212,武学奇术!$A:$ZZ,6,FALSE)+SUM(_xlfn.XLOOKUP($S212:$AL212,增益!$A:$A,增益!$F:$F,0)))/100)</f>
        <v>0.3534</v>
      </c>
      <c r="AW212" s="40" cm="1">
        <f t="array" ref="AW212">$G$10+VLOOKUP($R212,武学奇术!$A:$ZZ,7,FALSE)+SUM(_xlfn.XLOOKUP($S212:$AL212,增益!$A:$A,增益!$G:$G,0))</f>
        <v>0.12</v>
      </c>
      <c r="AX212" s="33" cm="1">
        <f t="array" ref="AX212">VLOOKUP($R212,武学奇术!$A:$ZZ,8,FALSE)+SUM(_xlfn.XLOOKUP($S212:$AL212,增益!$A:$A,增益!$H:$H,0))</f>
        <v>0</v>
      </c>
      <c r="AY212">
        <f t="shared" si="50"/>
        <v>0</v>
      </c>
      <c r="AZ212">
        <f t="shared" si="51"/>
        <v>0</v>
      </c>
      <c r="BA212" s="40" cm="1">
        <f t="array" ref="BA212">IF($F$11-$I$4+VLOOKUP($R212,武学奇术!$A:$ZZ,9,FALSE)+SUM(_xlfn.XLOOKUP($S212:$AL212,增益!$A:$A,增益!$I:$I,0))&gt;0,($F$11-$I$4+VLOOKUP($R212,武学奇术!$A:$ZZ,9,FALSE)+SUM(_xlfn.XLOOKUP($S212:$AL212,增益!$A:$A,增益!$I:$I,0)))/200,($F$11-$I$4+VLOOKUP($R212,武学奇术!$A:$ZZ,9,FALSE)+SUM(_xlfn.XLOOKUP($S212:$AL212,增益!$A:$A,增益!$I:$I,0)))/100)</f>
        <v>-0.3</v>
      </c>
      <c r="BB212" s="40" cm="1">
        <f t="array" ref="BB212">$G$11+VLOOKUP($R212,武学奇术!$A:$ZZ,10,FALSE)+SUM(_xlfn.XLOOKUP($S212:$AL212,增益!$A:$A,增益!$J:$J,0))</f>
        <v>0</v>
      </c>
      <c r="BC212">
        <f t="shared" si="52"/>
        <v>640.3</v>
      </c>
      <c r="BD212">
        <f t="shared" si="53"/>
        <v>1770.1</v>
      </c>
      <c r="BE212" s="40" cm="1">
        <f t="array" ref="BE212">IF($F$12-$I$4+VLOOKUP($R212,武学奇术!$A:$ZZ,11,FALSE)+SUM(_xlfn.XLOOKUP($S212:$AL212,增益!$A:$A,增益!$K:$K,0))&gt;0,($F$12-$I$4+VLOOKUP($R212,武学奇术!$A:$ZZ,11,FALSE)+SUM(_xlfn.XLOOKUP($S212:$AL212,增益!$A:$A,增益!$K:$K,0)))/200,($F$12-$I$4+VLOOKUP($R212,武学奇术!$A:$ZZ,11,FALSE)+SUM(_xlfn.XLOOKUP($S212:$AL212,增益!$A:$A,增益!$K:$K,0)))/100)</f>
        <v>0.09</v>
      </c>
      <c r="BF212" s="40" cm="1">
        <f t="array" ref="BF212">$G$12+VLOOKUP($R212,武学奇术!$A:$ZZ,12,FALSE)+SUM(_xlfn.XLOOKUP($S212:$AL212,增益!$A:$A,增益!$L:$L,0))</f>
        <v>0.27</v>
      </c>
      <c r="BG212">
        <f t="shared" si="54"/>
        <v>0</v>
      </c>
      <c r="BH212">
        <f t="shared" si="55"/>
        <v>0</v>
      </c>
      <c r="BI212" s="40" cm="1">
        <f t="array" ref="BI212">IF($F$13-$I$4+VLOOKUP($R212,武学奇术!$A:$ZZ,13,FALSE)+SUM(_xlfn.XLOOKUP($S212:$AL212,增益!$A:$A,增益!$M:$M,0))&gt;0,($F$13-$I$4+VLOOKUP($R212,武学奇术!$A:$ZZ,13,FALSE)+SUM(_xlfn.XLOOKUP($S212:$AL212,增益!$A:$A,增益!$K:$K,0)))/200,($F$13-$I$4+VLOOKUP($R212,武学奇术!$A:$ZZ,13,FALSE)+SUM(_xlfn.XLOOKUP($S212:$AL212,增益!$A:$A,增益!$M:$M,0)))/100)</f>
        <v>-0.3</v>
      </c>
      <c r="BJ212" s="40" cm="1">
        <f t="array" ref="BJ212">$G$13+VLOOKUP($R212,武学奇术!$A:$ZZ,14,FALSE)+SUM(_xlfn.XLOOKUP($S212:$AL212,增益!$A:$A,增益!$N:$N,0))</f>
        <v>0</v>
      </c>
      <c r="BK212">
        <f t="shared" si="56"/>
        <v>0</v>
      </c>
      <c r="BL212">
        <f t="shared" si="57"/>
        <v>0</v>
      </c>
      <c r="BM212" s="40" cm="1">
        <f t="array" ref="BM212">IF($F$14-$I$4+VLOOKUP($R212,武学奇术!$A:$ZZ,15,FALSE)+SUM(_xlfn.XLOOKUP($S212:$AL212,增益!$A:$A,增益!$O:$O,0))&gt;0,($F$14-$I$4+VLOOKUP($R212,武学奇术!$A:$ZZ,15,FALSE)+SUM(_xlfn.XLOOKUP($S212:$AL212,增益!$A:$A,增益!$O:$O,0)))/200,($F$14-$I$4+VLOOKUP($R212,武学奇术!$A:$ZZ,15,FALSE)+SUM(_xlfn.XLOOKUP($S212:$AL212,增益!$A:$A,增益!$O:$O,0)))/100)</f>
        <v>-0.3</v>
      </c>
      <c r="BN212" s="40" cm="1">
        <f t="array" ref="BN212">$G$14+VLOOKUP($R212,武学奇术!$A:$ZZ,16,FALSE)+SUM(_xlfn.XLOOKUP($S212:$AL212,增益!$A:$A,增益!$P:$P,0))</f>
        <v>0</v>
      </c>
      <c r="BO212" s="33">
        <f>MIN(IF(VLOOKUP($R212,武学奇术!$A:$ZZ,23,FALSE)=1,100%,$B$8),100%)</f>
        <v>0.9771</v>
      </c>
      <c r="BP212" s="33" cm="1">
        <f t="array" ref="BP212">IF(VLOOKUP($R212,武学奇术!$A:$ZZ,23,FALSE)=1,100%,MIN(80%,$B$9+VLOOKUP($R212,武学奇术!$A:$ZZ,17,FALSE)+SUM(_xlfn.XLOOKUP($S212:$AL212,增益!$A:$A,增益!$Q:$Q,0)))+$B$11+SUM(_xlfn.XLOOKUP($S212:$AL212,增益!$A:$A,增益!$U:$U,0)))*IF(VLOOKUP($R212,武学奇术!$A:$ZZ,24,FALSE)=1,0,1)</f>
        <v>0.8861</v>
      </c>
      <c r="BQ212" s="33" cm="1">
        <f t="array" ref="BQ212">1+$B$13+VLOOKUP($R212,武学奇术!$A:$ZZ,18,FALSE)+SUM(_xlfn.XLOOKUP($S212:$AL212,增益!$A:$A,增益!$R:$R,0))</f>
        <v>2</v>
      </c>
      <c r="BR212" s="33" cm="1">
        <f t="array" ref="BR212">IF(VLOOKUP($R212,武学奇术!$A:$ZZ,24,FALSE)=1,100%,MIN(40%,$B$10+VLOOKUP($R212,武学奇术!$A:$ZZ,19,FALSE)+SUM(_xlfn.XLOOKUP($S212:$AL212,增益!$A:$A,增益!$S:$S,0)))+$B$12+SUM(_xlfn.XLOOKUP($S212:$AL212,增益!$A:$A,增益!$V:$V,0)))*IF(VLOOKUP($R212,武学奇术!$A:$ZZ,23,FALSE)=1,0,1)</f>
        <v>0.0913</v>
      </c>
      <c r="BS212" s="33" cm="1">
        <f t="array" ref="BS212">1+$B$14+VLOOKUP($R212,武学奇术!$A:$ZZ,20,FALSE)+SUM(_xlfn.XLOOKUP($S212:$AL212,增益!$A:$A,增益!$T:$T,0))</f>
        <v>1.35</v>
      </c>
      <c r="BT212" s="33">
        <f t="shared" si="58"/>
        <v>0.86580831</v>
      </c>
      <c r="BU212" s="33">
        <f t="shared" si="59"/>
        <v>0.02208246</v>
      </c>
      <c r="BV212" s="33">
        <f>IF(VLOOKUP($R212,武学奇术!$A:$ZZ,22,FALSE)=1,0,(1-$BO212))*(1-$BR212)</f>
        <v>0.02080923</v>
      </c>
      <c r="BW212" s="33" cm="1">
        <f t="array" ref="BW212">SUM(_xlfn.XLOOKUP($S212:$AL212,增益!$A:$A,增益!$W:$W,0))+$I$5</f>
        <v>0.21</v>
      </c>
      <c r="BX212" s="33" cm="1">
        <f t="array" ref="BX212">VLOOKUP($R212,武学奇术!$A:$ZZ,32,FALSE)+SUM(_xlfn.XLOOKUP($S212:$AL212,增益!$A:$A,增益!$X:$X,0))</f>
        <v>0</v>
      </c>
    </row>
    <row r="213" spans="12:76">
      <c r="L213" s="46">
        <f t="shared" si="49"/>
        <v>0</v>
      </c>
      <c r="M213" s="46">
        <f>((($AT213+$AU213)/2*$AN213+$AO213)*(1+$AV213)*(1+$AW213)+(($AY213+$AZ213)/2*IF($G$1="鸣金",$AP213,$AN213)+IF($G$1="鸣金",$AQ213*1.5,0))*(1+$BA213)*(1+$BB213)+(($BC213+$BD213)/2*IF($G$1="裂石",$AP213,$AN213)+IF($G$1="裂石",$AQ213*1.5,0))*(1+$BE213)*(1+$BF213)+(($BG213+$BH213)/2*IF($G$1="牵丝",$AP213,$AN213)+IF($G$1="牵丝",$AQ213*1.5,0))*(1+$BI213)*(1+$BJ213)+(($BK213+$BL213)/2*IF($G$1="破竹",$AP213,$AN213)+IF($G$1="破竹",$AQ213*1.5,0))*(1+$BM213)*(1+$BN213))*(1+$AR213)*$BQ213*$Q213*(1+IF(VLOOKUP($R213,武学奇术!$A:$ZZ,30,FALSE)="蓄力技",$B$21,0))*(1+IF(VLOOKUP($R213,武学奇术!$A:$ZZ,30,FALSE)="派生技",$B$20,0))*(1+$BW213)*(1+$BX213)</f>
        <v>0</v>
      </c>
      <c r="N213" s="46">
        <f>(($AU213*$AN213+$AO213)*(1+$AV213)*(1+$AW213)+($AZ213*IF($G$1="鸣金",$AP213,$AN213)+IF($G$1="鸣金",$AQ213*1.5,0))*(1+$BA213)*(1+$BB213)+($BD213*IF($G$1="裂石",$AP213,$AN213)+IF($G$1="裂石",$AQ213*1.5,0))*(1+$BE213)*(1+$BF213)+($BH213*IF($G$1="牵丝",$AP213,$AN213)+IF($G$1="牵丝",$AQ213*1.5,0))*(1+$BI213)*(1+$BJ213)+($BL213*IF($G$1="破竹",$AP213,$AN213)+IF($G$1="破竹",$AQ213*1.5,0))*(1+$BM213)*(1+$BN213))*(1+$AR213)*$BS213*$Q213*(1+IF(VLOOKUP($R213,武学奇术!$A:$ZZ,30,FALSE)="蓄力技",$B$21,0))*(1+IF(VLOOKUP($R213,武学奇术!$A:$ZZ,30,FALSE)="派生技",$B$20,0))*(1+$BW213)*(1+$BX213)</f>
        <v>0</v>
      </c>
      <c r="O213" s="46">
        <f>((($AT213+$AU213)/2*$AN213+$AO213)*(1+$AV213)*(1+$AW213)+(($AY213+$AZ213)/2*IF($G$1="鸣金",$AP213,$AN213)+IF($G$1="鸣金",$AQ213*1.5,0))*(1+$BA213)*(1+$BB213)+(($BC213+$BD213)/2*IF($G$1="裂石",$AP213,$AN213)+IF($G$1="裂石",$AQ213*1.5,0))*(1+$BE213)*(1+$BF213)+(($BG213+$BH213)/2*IF($G$1="牵丝",$AP213,$AN213)+IF($G$1="牵丝",$AQ213*1.5,0))*(1+$BI213)*(1+$BJ213)+(($BK213+$BL213)/2*IF($G$1="破竹",$AP213,$AN213)+IF($G$1="破竹",$AQ213*1.5,0))*(1+$BM213)*(1+$BN213))*(1+$AR213)*$Q213*(1+IF(VLOOKUP($R213,武学奇术!$A:$ZZ,30,FALSE)="蓄力技",$B$21,0))*(1+IF(VLOOKUP($R213,武学奇术!$A:$ZZ,30,FALSE)="派生技",$B$20,0))*(1+$BW213)*(1+$BX213)</f>
        <v>0</v>
      </c>
      <c r="P213" s="46">
        <f>((($AT213*$AN213+$AO213)*(1+$AV213)*(1+$AW213)+($AY213*IF($G$1="鸣金",$AP213,$AN213)+IF($G$1="鸣金",$AQ213*1.5,0))*(1+$BA213)*(1+$BB213)+($BC213*IF($G$1="裂石",$AP213,$AN213)+IF($G$1="裂石",$AQ213*1.5,0))*(1+$BE213)*(1+$BF213)+($BG213*IF($G$1="牵丝",$AP213,$AN213)+IF($G$1="牵丝",$AQ213*1.5,0))*(1+$BI213)*(1+$BJ213)+($BK213*IF($G$1="破竹",$AP213,$AN213)+IF($G$1="破竹",$AQ213*1.5,0))*(1+$BM213)*(1+$BN213))*(1+$AR213))*$Q213*(1+IF(VLOOKUP($R213,武学奇术!$A:$ZZ,30,FALSE)="蓄力技",$B$21,0))*(1+IF(VLOOKUP($R213,武学奇术!$A:$ZZ,30,FALSE)="派生技",$B$20,0))*(1+$BW213)*(1+$BX213)</f>
        <v>0</v>
      </c>
      <c r="Q213" s="47">
        <f t="shared" si="60"/>
        <v>0</v>
      </c>
      <c r="R213" s="48" t="s">
        <v>122</v>
      </c>
      <c r="S213" s="48" t="s">
        <v>99</v>
      </c>
      <c r="T213" s="48" t="s">
        <v>182</v>
      </c>
      <c r="U213" s="48" t="s">
        <v>79</v>
      </c>
      <c r="V213" s="48" t="s">
        <v>90</v>
      </c>
      <c r="W213" s="48" t="s">
        <v>141</v>
      </c>
      <c r="X213" s="48" t="s">
        <v>80</v>
      </c>
      <c r="Y213" s="48" t="s">
        <v>74</v>
      </c>
      <c r="Z213" s="48" t="s">
        <v>80</v>
      </c>
      <c r="AA213" s="48" t="s">
        <v>183</v>
      </c>
      <c r="AB213" s="48" t="s">
        <v>80</v>
      </c>
      <c r="AC213" s="48" t="s">
        <v>80</v>
      </c>
      <c r="AD213" s="48" t="s">
        <v>80</v>
      </c>
      <c r="AE213" s="48" t="s">
        <v>80</v>
      </c>
      <c r="AF213" s="48" t="s">
        <v>83</v>
      </c>
      <c r="AG213" s="48" t="s">
        <v>84</v>
      </c>
      <c r="AH213" s="48" t="s">
        <v>80</v>
      </c>
      <c r="AI213" s="48" t="s">
        <v>80</v>
      </c>
      <c r="AJ213" s="48" t="s">
        <v>80</v>
      </c>
      <c r="AK213" s="48" t="s">
        <v>80</v>
      </c>
      <c r="AL213" s="48" t="s">
        <v>80</v>
      </c>
      <c r="AM213" t="str">
        <f>VLOOKUP($R213,武学奇术!$A:$ZZ,25,FALSE)</f>
        <v>横刀</v>
      </c>
      <c r="AN213" s="33">
        <f>VLOOKUP($R213,武学奇术!$A:$ZZ,26,FALSE)</f>
        <v>1.47</v>
      </c>
      <c r="AO213" s="34">
        <f>VLOOKUP($R213,武学奇术!$A:$ZZ,27,FALSE)*(1+IF(OR($AM213=$F$4,$AM213=$F$5),$B$22,0))</f>
        <v>0</v>
      </c>
      <c r="AP213" s="33">
        <f>VLOOKUP($R213,武学奇术!$A:$ZZ,28,FALSE)</f>
        <v>2.205</v>
      </c>
      <c r="AQ213" s="34">
        <f>VLOOKUP($R213,武学奇术!$A:$ZZ,29,FALSE)*(1+IF(OR($AM213=$F$4,$AM213=$F$5),$B$22,0))</f>
        <v>0</v>
      </c>
      <c r="AR213" s="33" cm="1">
        <f t="array" ref="AR213">$G$3+IFERROR(VLOOKUP($AM213,$F$4:$G$7,2,FALSE),0)+VLOOKUP($R213,武学奇术!$A:$ZZ,2,FALSE)+SUM(_xlfn.XLOOKUP($S213:$AL213,增益!$A:$A,增益!$B:$B,0))</f>
        <v>0.5289</v>
      </c>
      <c r="AS213" s="33" cm="1">
        <f t="array" ref="AS213">VLOOKUP($R213,武学奇术!$A:$ZZ,5,FALSE)+SUM(_xlfn.XLOOKUP($S213:$AL213,增益!$A:$A,增益!$E:$E,0))</f>
        <v>0</v>
      </c>
      <c r="AT213" cm="1">
        <f t="array" ref="AT213">$D$10*(1+$AS213)+VLOOKUP($R213,武学奇术!$A:$ZZ,3,FALSE)+SUM(_xlfn.XLOOKUP($S213:$AL213,增益!$A:$A,增益!$C:$C,0))-$I$2</f>
        <v>4026</v>
      </c>
      <c r="AU213" cm="1">
        <f t="array" ref="AU213">$E$10*(1+$AS213)+VLOOKUP($R213,武学奇术!$A:$ZZ,4,FALSE)+SUM(_xlfn.XLOOKUP($S213:$AL213,增益!$A:$A,增益!$D:$D,0))-$I$2</f>
        <v>4026</v>
      </c>
      <c r="AV213" s="40" cm="1">
        <f t="array" ref="AV213">IF($F$10-$I$3+VLOOKUP($R213,武学奇术!$A:$ZZ,6,FALSE)+SUM(_xlfn.XLOOKUP($S213:$AL213,增益!$A:$A,增益!$F:$F,0))&gt;0,($F$10-$I$3+VLOOKUP($R213,武学奇术!$A:$ZZ,6,FALSE)+SUM(_xlfn.XLOOKUP($S213:$AL213,增益!$A:$A,增益!$F:$F,0)))/200,($F$10-$I$3+VLOOKUP($R213,武学奇术!$A:$ZZ,6,FALSE)+SUM(_xlfn.XLOOKUP($S213:$AL213,增益!$A:$A,增益!$F:$F,0)))/100)</f>
        <v>0.3534</v>
      </c>
      <c r="AW213" s="40" cm="1">
        <f t="array" ref="AW213">$G$10+VLOOKUP($R213,武学奇术!$A:$ZZ,7,FALSE)+SUM(_xlfn.XLOOKUP($S213:$AL213,增益!$A:$A,增益!$G:$G,0))</f>
        <v>0.12</v>
      </c>
      <c r="AX213" s="33" cm="1">
        <f t="array" ref="AX213">VLOOKUP($R213,武学奇术!$A:$ZZ,8,FALSE)+SUM(_xlfn.XLOOKUP($S213:$AL213,增益!$A:$A,增益!$H:$H,0))</f>
        <v>0</v>
      </c>
      <c r="AY213">
        <f t="shared" si="50"/>
        <v>0</v>
      </c>
      <c r="AZ213">
        <f t="shared" si="51"/>
        <v>0</v>
      </c>
      <c r="BA213" s="40" cm="1">
        <f t="array" ref="BA213">IF($F$11-$I$4+VLOOKUP($R213,武学奇术!$A:$ZZ,9,FALSE)+SUM(_xlfn.XLOOKUP($S213:$AL213,增益!$A:$A,增益!$I:$I,0))&gt;0,($F$11-$I$4+VLOOKUP($R213,武学奇术!$A:$ZZ,9,FALSE)+SUM(_xlfn.XLOOKUP($S213:$AL213,增益!$A:$A,增益!$I:$I,0)))/200,($F$11-$I$4+VLOOKUP($R213,武学奇术!$A:$ZZ,9,FALSE)+SUM(_xlfn.XLOOKUP($S213:$AL213,增益!$A:$A,增益!$I:$I,0)))/100)</f>
        <v>-0.14</v>
      </c>
      <c r="BB213" s="40" cm="1">
        <f t="array" ref="BB213">$G$11+VLOOKUP($R213,武学奇术!$A:$ZZ,10,FALSE)+SUM(_xlfn.XLOOKUP($S213:$AL213,增益!$A:$A,增益!$J:$J,0))</f>
        <v>0</v>
      </c>
      <c r="BC213">
        <f t="shared" si="52"/>
        <v>640.3</v>
      </c>
      <c r="BD213">
        <f t="shared" si="53"/>
        <v>1770.1</v>
      </c>
      <c r="BE213" s="40" cm="1">
        <f t="array" ref="BE213">IF($F$12-$I$4+VLOOKUP($R213,武学奇术!$A:$ZZ,11,FALSE)+SUM(_xlfn.XLOOKUP($S213:$AL213,增益!$A:$A,增益!$K:$K,0))&gt;0,($F$12-$I$4+VLOOKUP($R213,武学奇术!$A:$ZZ,11,FALSE)+SUM(_xlfn.XLOOKUP($S213:$AL213,增益!$A:$A,增益!$K:$K,0)))/200,($F$12-$I$4+VLOOKUP($R213,武学奇术!$A:$ZZ,11,FALSE)+SUM(_xlfn.XLOOKUP($S213:$AL213,增益!$A:$A,增益!$K:$K,0)))/100)</f>
        <v>0.17</v>
      </c>
      <c r="BF213" s="40" cm="1">
        <f t="array" ref="BF213">$G$12+VLOOKUP($R213,武学奇术!$A:$ZZ,12,FALSE)+SUM(_xlfn.XLOOKUP($S213:$AL213,增益!$A:$A,增益!$L:$L,0))</f>
        <v>0.27</v>
      </c>
      <c r="BG213">
        <f t="shared" si="54"/>
        <v>0</v>
      </c>
      <c r="BH213">
        <f t="shared" si="55"/>
        <v>0</v>
      </c>
      <c r="BI213" s="40" cm="1">
        <f t="array" ref="BI213">IF($F$13-$I$4+VLOOKUP($R213,武学奇术!$A:$ZZ,13,FALSE)+SUM(_xlfn.XLOOKUP($S213:$AL213,增益!$A:$A,增益!$M:$M,0))&gt;0,($F$13-$I$4+VLOOKUP($R213,武学奇术!$A:$ZZ,13,FALSE)+SUM(_xlfn.XLOOKUP($S213:$AL213,增益!$A:$A,增益!$K:$K,0)))/200,($F$13-$I$4+VLOOKUP($R213,武学奇术!$A:$ZZ,13,FALSE)+SUM(_xlfn.XLOOKUP($S213:$AL213,增益!$A:$A,增益!$M:$M,0)))/100)</f>
        <v>-0.14</v>
      </c>
      <c r="BJ213" s="40" cm="1">
        <f t="array" ref="BJ213">$G$13+VLOOKUP($R213,武学奇术!$A:$ZZ,14,FALSE)+SUM(_xlfn.XLOOKUP($S213:$AL213,增益!$A:$A,增益!$N:$N,0))</f>
        <v>0</v>
      </c>
      <c r="BK213">
        <f t="shared" si="56"/>
        <v>0</v>
      </c>
      <c r="BL213">
        <f t="shared" si="57"/>
        <v>0</v>
      </c>
      <c r="BM213" s="40" cm="1">
        <f t="array" ref="BM213">IF($F$14-$I$4+VLOOKUP($R213,武学奇术!$A:$ZZ,15,FALSE)+SUM(_xlfn.XLOOKUP($S213:$AL213,增益!$A:$A,增益!$O:$O,0))&gt;0,($F$14-$I$4+VLOOKUP($R213,武学奇术!$A:$ZZ,15,FALSE)+SUM(_xlfn.XLOOKUP($S213:$AL213,增益!$A:$A,增益!$O:$O,0)))/200,($F$14-$I$4+VLOOKUP($R213,武学奇术!$A:$ZZ,15,FALSE)+SUM(_xlfn.XLOOKUP($S213:$AL213,增益!$A:$A,增益!$O:$O,0)))/100)</f>
        <v>-0.14</v>
      </c>
      <c r="BN213" s="40" cm="1">
        <f t="array" ref="BN213">$G$14+VLOOKUP($R213,武学奇术!$A:$ZZ,16,FALSE)+SUM(_xlfn.XLOOKUP($S213:$AL213,增益!$A:$A,增益!$P:$P,0))</f>
        <v>0</v>
      </c>
      <c r="BO213" s="33">
        <f>MIN(IF(VLOOKUP($R213,武学奇术!$A:$ZZ,23,FALSE)=1,100%,$B$8),100%)</f>
        <v>0.9771</v>
      </c>
      <c r="BP213" s="33" cm="1">
        <f t="array" ref="BP213">IF(VLOOKUP($R213,武学奇术!$A:$ZZ,23,FALSE)=1,100%,MIN(80%,$B$9+VLOOKUP($R213,武学奇术!$A:$ZZ,17,FALSE)+SUM(_xlfn.XLOOKUP($S213:$AL213,增益!$A:$A,增益!$Q:$Q,0)))+$B$11+SUM(_xlfn.XLOOKUP($S213:$AL213,增益!$A:$A,增益!$U:$U,0)))*IF(VLOOKUP($R213,武学奇术!$A:$ZZ,24,FALSE)=1,0,1)</f>
        <v>0.8861</v>
      </c>
      <c r="BQ213" s="33" cm="1">
        <f t="array" ref="BQ213">1+$B$13+VLOOKUP($R213,武学奇术!$A:$ZZ,18,FALSE)+SUM(_xlfn.XLOOKUP($S213:$AL213,增益!$A:$A,增益!$R:$R,0))</f>
        <v>2</v>
      </c>
      <c r="BR213" s="33" cm="1">
        <f t="array" ref="BR213">IF(VLOOKUP($R213,武学奇术!$A:$ZZ,24,FALSE)=1,100%,MIN(40%,$B$10+VLOOKUP($R213,武学奇术!$A:$ZZ,19,FALSE)+SUM(_xlfn.XLOOKUP($S213:$AL213,增益!$A:$A,增益!$S:$S,0)))+$B$12+SUM(_xlfn.XLOOKUP($S213:$AL213,增益!$A:$A,增益!$V:$V,0)))*IF(VLOOKUP($R213,武学奇术!$A:$ZZ,23,FALSE)=1,0,1)</f>
        <v>0.0913</v>
      </c>
      <c r="BS213" s="33" cm="1">
        <f t="array" ref="BS213">1+$B$14+VLOOKUP($R213,武学奇术!$A:$ZZ,20,FALSE)+SUM(_xlfn.XLOOKUP($S213:$AL213,增益!$A:$A,增益!$T:$T,0))</f>
        <v>1.35</v>
      </c>
      <c r="BT213" s="33">
        <f t="shared" si="58"/>
        <v>0.86580831</v>
      </c>
      <c r="BU213" s="33">
        <f t="shared" si="59"/>
        <v>0.02208246</v>
      </c>
      <c r="BV213" s="33">
        <f>IF(VLOOKUP($R213,武学奇术!$A:$ZZ,22,FALSE)=1,0,(1-$BO213))*(1-$BR213)</f>
        <v>0.02080923</v>
      </c>
      <c r="BW213" s="33" cm="1">
        <f t="array" ref="BW213">SUM(_xlfn.XLOOKUP($S213:$AL213,增益!$A:$A,增益!$W:$W,0))+$I$5</f>
        <v>0.21</v>
      </c>
      <c r="BX213" s="33" cm="1">
        <f t="array" ref="BX213">VLOOKUP($R213,武学奇术!$A:$ZZ,32,FALSE)+SUM(_xlfn.XLOOKUP($S213:$AL213,增益!$A:$A,增益!$X:$X,0))</f>
        <v>0</v>
      </c>
    </row>
    <row r="214" spans="12:76">
      <c r="L214" s="46">
        <f t="shared" si="49"/>
        <v>0</v>
      </c>
      <c r="M214" s="46">
        <f>((($AT214+$AU214)/2*$AN214+$AO214)*(1+$AV214)*(1+$AW214)+(($AY214+$AZ214)/2*IF($G$1="鸣金",$AP214,$AN214)+IF($G$1="鸣金",$AQ214*1.5,0))*(1+$BA214)*(1+$BB214)+(($BC214+$BD214)/2*IF($G$1="裂石",$AP214,$AN214)+IF($G$1="裂石",$AQ214*1.5,0))*(1+$BE214)*(1+$BF214)+(($BG214+$BH214)/2*IF($G$1="牵丝",$AP214,$AN214)+IF($G$1="牵丝",$AQ214*1.5,0))*(1+$BI214)*(1+$BJ214)+(($BK214+$BL214)/2*IF($G$1="破竹",$AP214,$AN214)+IF($G$1="破竹",$AQ214*1.5,0))*(1+$BM214)*(1+$BN214))*(1+$AR214)*$BQ214*$Q214*(1+IF(VLOOKUP($R214,武学奇术!$A:$ZZ,30,FALSE)="蓄力技",$B$21,0))*(1+IF(VLOOKUP($R214,武学奇术!$A:$ZZ,30,FALSE)="派生技",$B$20,0))*(1+$BW214)*(1+$BX214)</f>
        <v>0</v>
      </c>
      <c r="N214" s="46">
        <f>(($AU214*$AN214+$AO214)*(1+$AV214)*(1+$AW214)+($AZ214*IF($G$1="鸣金",$AP214,$AN214)+IF($G$1="鸣金",$AQ214*1.5,0))*(1+$BA214)*(1+$BB214)+($BD214*IF($G$1="裂石",$AP214,$AN214)+IF($G$1="裂石",$AQ214*1.5,0))*(1+$BE214)*(1+$BF214)+($BH214*IF($G$1="牵丝",$AP214,$AN214)+IF($G$1="牵丝",$AQ214*1.5,0))*(1+$BI214)*(1+$BJ214)+($BL214*IF($G$1="破竹",$AP214,$AN214)+IF($G$1="破竹",$AQ214*1.5,0))*(1+$BM214)*(1+$BN214))*(1+$AR214)*$BS214*$Q214*(1+IF(VLOOKUP($R214,武学奇术!$A:$ZZ,30,FALSE)="蓄力技",$B$21,0))*(1+IF(VLOOKUP($R214,武学奇术!$A:$ZZ,30,FALSE)="派生技",$B$20,0))*(1+$BW214)*(1+$BX214)</f>
        <v>0</v>
      </c>
      <c r="O214" s="46">
        <f>((($AT214+$AU214)/2*$AN214+$AO214)*(1+$AV214)*(1+$AW214)+(($AY214+$AZ214)/2*IF($G$1="鸣金",$AP214,$AN214)+IF($G$1="鸣金",$AQ214*1.5,0))*(1+$BA214)*(1+$BB214)+(($BC214+$BD214)/2*IF($G$1="裂石",$AP214,$AN214)+IF($G$1="裂石",$AQ214*1.5,0))*(1+$BE214)*(1+$BF214)+(($BG214+$BH214)/2*IF($G$1="牵丝",$AP214,$AN214)+IF($G$1="牵丝",$AQ214*1.5,0))*(1+$BI214)*(1+$BJ214)+(($BK214+$BL214)/2*IF($G$1="破竹",$AP214,$AN214)+IF($G$1="破竹",$AQ214*1.5,0))*(1+$BM214)*(1+$BN214))*(1+$AR214)*$Q214*(1+IF(VLOOKUP($R214,武学奇术!$A:$ZZ,30,FALSE)="蓄力技",$B$21,0))*(1+IF(VLOOKUP($R214,武学奇术!$A:$ZZ,30,FALSE)="派生技",$B$20,0))*(1+$BW214)*(1+$BX214)</f>
        <v>0</v>
      </c>
      <c r="P214" s="46">
        <f>((($AT214*$AN214+$AO214)*(1+$AV214)*(1+$AW214)+($AY214*IF($G$1="鸣金",$AP214,$AN214)+IF($G$1="鸣金",$AQ214*1.5,0))*(1+$BA214)*(1+$BB214)+($BC214*IF($G$1="裂石",$AP214,$AN214)+IF($G$1="裂石",$AQ214*1.5,0))*(1+$BE214)*(1+$BF214)+($BG214*IF($G$1="牵丝",$AP214,$AN214)+IF($G$1="牵丝",$AQ214*1.5,0))*(1+$BI214)*(1+$BJ214)+($BK214*IF($G$1="破竹",$AP214,$AN214)+IF($G$1="破竹",$AQ214*1.5,0))*(1+$BM214)*(1+$BN214))*(1+$AR214))*$Q214*(1+IF(VLOOKUP($R214,武学奇术!$A:$ZZ,30,FALSE)="蓄力技",$B$21,0))*(1+IF(VLOOKUP($R214,武学奇术!$A:$ZZ,30,FALSE)="派生技",$B$20,0))*(1+$BW214)*(1+$BX214)</f>
        <v>0</v>
      </c>
      <c r="Q214" s="47">
        <f>IF($E$24="唐刀",5,0)</f>
        <v>0</v>
      </c>
      <c r="R214" s="48" t="s">
        <v>195</v>
      </c>
      <c r="S214" s="48" t="s">
        <v>99</v>
      </c>
      <c r="T214" s="48" t="s">
        <v>182</v>
      </c>
      <c r="U214" s="48" t="s">
        <v>79</v>
      </c>
      <c r="V214" s="48" t="s">
        <v>90</v>
      </c>
      <c r="W214" s="48" t="s">
        <v>141</v>
      </c>
      <c r="X214" s="48" t="s">
        <v>80</v>
      </c>
      <c r="Y214" s="48" t="s">
        <v>74</v>
      </c>
      <c r="Z214" s="48" t="s">
        <v>80</v>
      </c>
      <c r="AA214" s="48" t="s">
        <v>183</v>
      </c>
      <c r="AB214" s="48" t="s">
        <v>80</v>
      </c>
      <c r="AC214" s="48" t="s">
        <v>193</v>
      </c>
      <c r="AD214" s="48" t="s">
        <v>80</v>
      </c>
      <c r="AE214" s="48" t="s">
        <v>80</v>
      </c>
      <c r="AF214" s="48" t="s">
        <v>83</v>
      </c>
      <c r="AG214" s="48" t="s">
        <v>84</v>
      </c>
      <c r="AH214" s="48" t="s">
        <v>80</v>
      </c>
      <c r="AI214" s="48" t="s">
        <v>80</v>
      </c>
      <c r="AJ214" s="48" t="s">
        <v>80</v>
      </c>
      <c r="AK214" s="48" t="s">
        <v>80</v>
      </c>
      <c r="AL214" s="48" t="s">
        <v>80</v>
      </c>
      <c r="AM214" t="str">
        <f>VLOOKUP($R214,武学奇术!$A:$ZZ,25,FALSE)</f>
        <v>横刀</v>
      </c>
      <c r="AN214" s="33">
        <f>VLOOKUP($R214,武学奇术!$A:$ZZ,26,FALSE)</f>
        <v>3.6553</v>
      </c>
      <c r="AO214" s="34">
        <f>VLOOKUP($R214,武学奇术!$A:$ZZ,27,FALSE)*(1+IF(OR($AM214=$F$4,$AM214=$F$5),$B$22,0))</f>
        <v>1619.2</v>
      </c>
      <c r="AP214" s="33">
        <f>VLOOKUP($R214,武学奇术!$A:$ZZ,28,FALSE)</f>
        <v>5.4829</v>
      </c>
      <c r="AQ214" s="34">
        <f>VLOOKUP($R214,武学奇术!$A:$ZZ,29,FALSE)*(1+IF(OR($AM214=$F$4,$AM214=$F$5),$B$22,0))</f>
        <v>880</v>
      </c>
      <c r="AR214" s="33" cm="1">
        <f t="array" ref="AR214">$G$3+IFERROR(VLOOKUP($AM214,$F$4:$G$7,2,FALSE),0)+VLOOKUP($R214,武学奇术!$A:$ZZ,2,FALSE)+SUM(_xlfn.XLOOKUP($S214:$AL214,增益!$A:$A,增益!$B:$B,0))</f>
        <v>0.6289</v>
      </c>
      <c r="AS214" s="33" cm="1">
        <f t="array" ref="AS214">VLOOKUP($R214,武学奇术!$A:$ZZ,5,FALSE)+SUM(_xlfn.XLOOKUP($S214:$AL214,增益!$A:$A,增益!$E:$E,0))</f>
        <v>0</v>
      </c>
      <c r="AT214" cm="1">
        <f t="array" ref="AT214">$D$10*(1+$AS214)+VLOOKUP($R214,武学奇术!$A:$ZZ,3,FALSE)+SUM(_xlfn.XLOOKUP($S214:$AL214,增益!$A:$A,增益!$C:$C,0))-$I$2</f>
        <v>4026</v>
      </c>
      <c r="AU214" cm="1">
        <f t="array" ref="AU214">$E$10*(1+$AS214)+VLOOKUP($R214,武学奇术!$A:$ZZ,4,FALSE)+SUM(_xlfn.XLOOKUP($S214:$AL214,增益!$A:$A,增益!$D:$D,0))-$I$2</f>
        <v>4026</v>
      </c>
      <c r="AV214" s="40" cm="1">
        <f t="array" ref="AV214">IF($F$10-$I$3+VLOOKUP($R214,武学奇术!$A:$ZZ,6,FALSE)+SUM(_xlfn.XLOOKUP($S214:$AL214,增益!$A:$A,增益!$F:$F,0))&gt;0,($F$10-$I$3+VLOOKUP($R214,武学奇术!$A:$ZZ,6,FALSE)+SUM(_xlfn.XLOOKUP($S214:$AL214,增益!$A:$A,增益!$F:$F,0)))/200,($F$10-$I$3+VLOOKUP($R214,武学奇术!$A:$ZZ,6,FALSE)+SUM(_xlfn.XLOOKUP($S214:$AL214,增益!$A:$A,增益!$F:$F,0)))/100)</f>
        <v>0.3534</v>
      </c>
      <c r="AW214" s="40" cm="1">
        <f t="array" ref="AW214">$G$10+VLOOKUP($R214,武学奇术!$A:$ZZ,7,FALSE)+SUM(_xlfn.XLOOKUP($S214:$AL214,增益!$A:$A,增益!$G:$G,0))</f>
        <v>0.12</v>
      </c>
      <c r="AX214" s="33" cm="1">
        <f t="array" ref="AX214">VLOOKUP($R214,武学奇术!$A:$ZZ,8,FALSE)+SUM(_xlfn.XLOOKUP($S214:$AL214,增益!$A:$A,增益!$H:$H,0))</f>
        <v>0</v>
      </c>
      <c r="AY214">
        <f t="shared" si="50"/>
        <v>0</v>
      </c>
      <c r="AZ214">
        <f t="shared" si="51"/>
        <v>0</v>
      </c>
      <c r="BA214" s="40" cm="1">
        <f t="array" ref="BA214">IF($F$11-$I$4+VLOOKUP($R214,武学奇术!$A:$ZZ,9,FALSE)+SUM(_xlfn.XLOOKUP($S214:$AL214,增益!$A:$A,增益!$I:$I,0))&gt;0,($F$11-$I$4+VLOOKUP($R214,武学奇术!$A:$ZZ,9,FALSE)+SUM(_xlfn.XLOOKUP($S214:$AL214,增益!$A:$A,增益!$I:$I,0)))/200,($F$11-$I$4+VLOOKUP($R214,武学奇术!$A:$ZZ,9,FALSE)+SUM(_xlfn.XLOOKUP($S214:$AL214,增益!$A:$A,增益!$I:$I,0)))/100)</f>
        <v>-0.14</v>
      </c>
      <c r="BB214" s="40" cm="1">
        <f t="array" ref="BB214">$G$11+VLOOKUP($R214,武学奇术!$A:$ZZ,10,FALSE)+SUM(_xlfn.XLOOKUP($S214:$AL214,增益!$A:$A,增益!$J:$J,0))</f>
        <v>0</v>
      </c>
      <c r="BC214">
        <f t="shared" si="52"/>
        <v>640.3</v>
      </c>
      <c r="BD214">
        <f t="shared" si="53"/>
        <v>1770.1</v>
      </c>
      <c r="BE214" s="40" cm="1">
        <f t="array" ref="BE214">IF($F$12-$I$4+VLOOKUP($R214,武学奇术!$A:$ZZ,11,FALSE)+SUM(_xlfn.XLOOKUP($S214:$AL214,增益!$A:$A,增益!$K:$K,0))&gt;0,($F$12-$I$4+VLOOKUP($R214,武学奇术!$A:$ZZ,11,FALSE)+SUM(_xlfn.XLOOKUP($S214:$AL214,增益!$A:$A,增益!$K:$K,0)))/200,($F$12-$I$4+VLOOKUP($R214,武学奇术!$A:$ZZ,11,FALSE)+SUM(_xlfn.XLOOKUP($S214:$AL214,增益!$A:$A,增益!$K:$K,0)))/100)</f>
        <v>0.17</v>
      </c>
      <c r="BF214" s="40" cm="1">
        <f t="array" ref="BF214">$G$12+VLOOKUP($R214,武学奇术!$A:$ZZ,12,FALSE)+SUM(_xlfn.XLOOKUP($S214:$AL214,增益!$A:$A,增益!$L:$L,0))</f>
        <v>0.27</v>
      </c>
      <c r="BG214">
        <f t="shared" si="54"/>
        <v>0</v>
      </c>
      <c r="BH214">
        <f t="shared" si="55"/>
        <v>0</v>
      </c>
      <c r="BI214" s="40" cm="1">
        <f t="array" ref="BI214">IF($F$13-$I$4+VLOOKUP($R214,武学奇术!$A:$ZZ,13,FALSE)+SUM(_xlfn.XLOOKUP($S214:$AL214,增益!$A:$A,增益!$M:$M,0))&gt;0,($F$13-$I$4+VLOOKUP($R214,武学奇术!$A:$ZZ,13,FALSE)+SUM(_xlfn.XLOOKUP($S214:$AL214,增益!$A:$A,增益!$K:$K,0)))/200,($F$13-$I$4+VLOOKUP($R214,武学奇术!$A:$ZZ,13,FALSE)+SUM(_xlfn.XLOOKUP($S214:$AL214,增益!$A:$A,增益!$M:$M,0)))/100)</f>
        <v>-0.14</v>
      </c>
      <c r="BJ214" s="40" cm="1">
        <f t="array" ref="BJ214">$G$13+VLOOKUP($R214,武学奇术!$A:$ZZ,14,FALSE)+SUM(_xlfn.XLOOKUP($S214:$AL214,增益!$A:$A,增益!$N:$N,0))</f>
        <v>0</v>
      </c>
      <c r="BK214">
        <f t="shared" si="56"/>
        <v>0</v>
      </c>
      <c r="BL214">
        <f t="shared" si="57"/>
        <v>0</v>
      </c>
      <c r="BM214" s="40" cm="1">
        <f t="array" ref="BM214">IF($F$14-$I$4+VLOOKUP($R214,武学奇术!$A:$ZZ,15,FALSE)+SUM(_xlfn.XLOOKUP($S214:$AL214,增益!$A:$A,增益!$O:$O,0))&gt;0,($F$14-$I$4+VLOOKUP($R214,武学奇术!$A:$ZZ,15,FALSE)+SUM(_xlfn.XLOOKUP($S214:$AL214,增益!$A:$A,增益!$O:$O,0)))/200,($F$14-$I$4+VLOOKUP($R214,武学奇术!$A:$ZZ,15,FALSE)+SUM(_xlfn.XLOOKUP($S214:$AL214,增益!$A:$A,增益!$O:$O,0)))/100)</f>
        <v>-0.14</v>
      </c>
      <c r="BN214" s="40" cm="1">
        <f t="array" ref="BN214">$G$14+VLOOKUP($R214,武学奇术!$A:$ZZ,16,FALSE)+SUM(_xlfn.XLOOKUP($S214:$AL214,增益!$A:$A,增益!$P:$P,0))</f>
        <v>0</v>
      </c>
      <c r="BO214" s="33">
        <f>MIN(IF(VLOOKUP($R214,武学奇术!$A:$ZZ,23,FALSE)=1,100%,$B$8),100%)</f>
        <v>0.9771</v>
      </c>
      <c r="BP214" s="33" cm="1">
        <f t="array" ref="BP214">IF(VLOOKUP($R214,武学奇术!$A:$ZZ,23,FALSE)=1,100%,MIN(80%,$B$9+VLOOKUP($R214,武学奇术!$A:$ZZ,17,FALSE)+SUM(_xlfn.XLOOKUP($S214:$AL214,增益!$A:$A,增益!$Q:$Q,0)))+$B$11+SUM(_xlfn.XLOOKUP($S214:$AL214,增益!$A:$A,增益!$U:$U,0)))*IF(VLOOKUP($R214,武学奇术!$A:$ZZ,24,FALSE)=1,0,1)</f>
        <v>0.8861</v>
      </c>
      <c r="BQ214" s="33" cm="1">
        <f t="array" ref="BQ214">1+$B$13+VLOOKUP($R214,武学奇术!$A:$ZZ,18,FALSE)+SUM(_xlfn.XLOOKUP($S214:$AL214,增益!$A:$A,增益!$R:$R,0))</f>
        <v>2</v>
      </c>
      <c r="BR214" s="33" cm="1">
        <f t="array" ref="BR214">IF(VLOOKUP($R214,武学奇术!$A:$ZZ,24,FALSE)=1,100%,MIN(40%,$B$10+VLOOKUP($R214,武学奇术!$A:$ZZ,19,FALSE)+SUM(_xlfn.XLOOKUP($S214:$AL214,增益!$A:$A,增益!$S:$S,0)))+$B$12+SUM(_xlfn.XLOOKUP($S214:$AL214,增益!$A:$A,增益!$V:$V,0)))*IF(VLOOKUP($R214,武学奇术!$A:$ZZ,23,FALSE)=1,0,1)</f>
        <v>0.0913</v>
      </c>
      <c r="BS214" s="33" cm="1">
        <f t="array" ref="BS214">1+$B$14+VLOOKUP($R214,武学奇术!$A:$ZZ,20,FALSE)+SUM(_xlfn.XLOOKUP($S214:$AL214,增益!$A:$A,增益!$T:$T,0))</f>
        <v>1.35</v>
      </c>
      <c r="BT214" s="33">
        <f t="shared" si="58"/>
        <v>0.86580831</v>
      </c>
      <c r="BU214" s="33">
        <f t="shared" si="59"/>
        <v>0.02208246</v>
      </c>
      <c r="BV214" s="33">
        <f>IF(VLOOKUP($R214,武学奇术!$A:$ZZ,22,FALSE)=1,0,(1-$BO214))*(1-$BR214)</f>
        <v>0.02080923</v>
      </c>
      <c r="BW214" s="33" cm="1">
        <f t="array" ref="BW214">SUM(_xlfn.XLOOKUP($S214:$AL214,增益!$A:$A,增益!$W:$W,0))+$I$5</f>
        <v>0.21</v>
      </c>
      <c r="BX214" s="33" cm="1">
        <f t="array" ref="BX214">VLOOKUP($R214,武学奇术!$A:$ZZ,32,FALSE)+SUM(_xlfn.XLOOKUP($S214:$AL214,增益!$A:$A,增益!$X:$X,0))</f>
        <v>0</v>
      </c>
    </row>
    <row r="215" spans="12:76">
      <c r="L215" s="46">
        <f t="shared" si="49"/>
        <v>0</v>
      </c>
      <c r="M215" s="46">
        <f>((($AT215+$AU215)/2*$AN215+$AO215)*(1+$AV215)*(1+$AW215)+(($AY215+$AZ215)/2*IF($G$1="鸣金",$AP215,$AN215)+IF($G$1="鸣金",$AQ215*1.5,0))*(1+$BA215)*(1+$BB215)+(($BC215+$BD215)/2*IF($G$1="裂石",$AP215,$AN215)+IF($G$1="裂石",$AQ215*1.5,0))*(1+$BE215)*(1+$BF215)+(($BG215+$BH215)/2*IF($G$1="牵丝",$AP215,$AN215)+IF($G$1="牵丝",$AQ215*1.5,0))*(1+$BI215)*(1+$BJ215)+(($BK215+$BL215)/2*IF($G$1="破竹",$AP215,$AN215)+IF($G$1="破竹",$AQ215*1.5,0))*(1+$BM215)*(1+$BN215))*(1+$AR215)*$BQ215*$Q215*(1+IF(VLOOKUP($R215,武学奇术!$A:$ZZ,30,FALSE)="蓄力技",$B$21,0))*(1+IF(VLOOKUP($R215,武学奇术!$A:$ZZ,30,FALSE)="派生技",$B$20,0))*(1+$BW215)*(1+$BX215)</f>
        <v>0</v>
      </c>
      <c r="N215" s="46">
        <f>(($AU215*$AN215+$AO215)*(1+$AV215)*(1+$AW215)+($AZ215*IF($G$1="鸣金",$AP215,$AN215)+IF($G$1="鸣金",$AQ215*1.5,0))*(1+$BA215)*(1+$BB215)+($BD215*IF($G$1="裂石",$AP215,$AN215)+IF($G$1="裂石",$AQ215*1.5,0))*(1+$BE215)*(1+$BF215)+($BH215*IF($G$1="牵丝",$AP215,$AN215)+IF($G$1="牵丝",$AQ215*1.5,0))*(1+$BI215)*(1+$BJ215)+($BL215*IF($G$1="破竹",$AP215,$AN215)+IF($G$1="破竹",$AQ215*1.5,0))*(1+$BM215)*(1+$BN215))*(1+$AR215)*$BS215*$Q215*(1+IF(VLOOKUP($R215,武学奇术!$A:$ZZ,30,FALSE)="蓄力技",$B$21,0))*(1+IF(VLOOKUP($R215,武学奇术!$A:$ZZ,30,FALSE)="派生技",$B$20,0))*(1+$BW215)*(1+$BX215)</f>
        <v>0</v>
      </c>
      <c r="O215" s="46">
        <f>((($AT215+$AU215)/2*$AN215+$AO215)*(1+$AV215)*(1+$AW215)+(($AY215+$AZ215)/2*IF($G$1="鸣金",$AP215,$AN215)+IF($G$1="鸣金",$AQ215*1.5,0))*(1+$BA215)*(1+$BB215)+(($BC215+$BD215)/2*IF($G$1="裂石",$AP215,$AN215)+IF($G$1="裂石",$AQ215*1.5,0))*(1+$BE215)*(1+$BF215)+(($BG215+$BH215)/2*IF($G$1="牵丝",$AP215,$AN215)+IF($G$1="牵丝",$AQ215*1.5,0))*(1+$BI215)*(1+$BJ215)+(($BK215+$BL215)/2*IF($G$1="破竹",$AP215,$AN215)+IF($G$1="破竹",$AQ215*1.5,0))*(1+$BM215)*(1+$BN215))*(1+$AR215)*$Q215*(1+IF(VLOOKUP($R215,武学奇术!$A:$ZZ,30,FALSE)="蓄力技",$B$21,0))*(1+IF(VLOOKUP($R215,武学奇术!$A:$ZZ,30,FALSE)="派生技",$B$20,0))*(1+$BW215)*(1+$BX215)</f>
        <v>0</v>
      </c>
      <c r="P215" s="46">
        <f>((($AT215*$AN215+$AO215)*(1+$AV215)*(1+$AW215)+($AY215*IF($G$1="鸣金",$AP215,$AN215)+IF($G$1="鸣金",$AQ215*1.5,0))*(1+$BA215)*(1+$BB215)+($BC215*IF($G$1="裂石",$AP215,$AN215)+IF($G$1="裂石",$AQ215*1.5,0))*(1+$BE215)*(1+$BF215)+($BG215*IF($G$1="牵丝",$AP215,$AN215)+IF($G$1="牵丝",$AQ215*1.5,0))*(1+$BI215)*(1+$BJ215)+($BK215*IF($G$1="破竹",$AP215,$AN215)+IF($G$1="破竹",$AQ215*1.5,0))*(1+$BM215)*(1+$BN215))*(1+$AR215))*$Q215*(1+IF(VLOOKUP($R215,武学奇术!$A:$ZZ,30,FALSE)="蓄力技",$B$21,0))*(1+IF(VLOOKUP($R215,武学奇术!$A:$ZZ,30,FALSE)="派生技",$B$20,0))*(1+$BW215)*(1+$BX215)</f>
        <v>0</v>
      </c>
      <c r="Q215" s="47">
        <f>IF($E$24="唐刀",5,0)</f>
        <v>0</v>
      </c>
      <c r="R215" s="48" t="s">
        <v>196</v>
      </c>
      <c r="S215" s="48" t="s">
        <v>99</v>
      </c>
      <c r="T215" s="48" t="s">
        <v>182</v>
      </c>
      <c r="U215" s="48" t="s">
        <v>79</v>
      </c>
      <c r="V215" s="48" t="s">
        <v>90</v>
      </c>
      <c r="W215" s="48" t="s">
        <v>141</v>
      </c>
      <c r="X215" s="48" t="s">
        <v>80</v>
      </c>
      <c r="Y215" s="48" t="s">
        <v>74</v>
      </c>
      <c r="Z215" s="48" t="s">
        <v>80</v>
      </c>
      <c r="AA215" s="48" t="s">
        <v>183</v>
      </c>
      <c r="AB215" s="48" t="s">
        <v>80</v>
      </c>
      <c r="AC215" s="48" t="s">
        <v>193</v>
      </c>
      <c r="AD215" s="48" t="s">
        <v>80</v>
      </c>
      <c r="AE215" s="48" t="s">
        <v>80</v>
      </c>
      <c r="AF215" s="48" t="s">
        <v>83</v>
      </c>
      <c r="AG215" s="48" t="s">
        <v>84</v>
      </c>
      <c r="AH215" s="48" t="s">
        <v>80</v>
      </c>
      <c r="AI215" s="48" t="s">
        <v>80</v>
      </c>
      <c r="AJ215" s="48" t="s">
        <v>80</v>
      </c>
      <c r="AK215" s="48" t="s">
        <v>80</v>
      </c>
      <c r="AL215" s="48" t="s">
        <v>80</v>
      </c>
      <c r="AM215" t="str">
        <f>VLOOKUP($R215,武学奇术!$A:$ZZ,25,FALSE)</f>
        <v>横刀</v>
      </c>
      <c r="AN215" s="33">
        <f>VLOOKUP($R215,武学奇术!$A:$ZZ,26,FALSE)</f>
        <v>1.47</v>
      </c>
      <c r="AO215" s="34">
        <f>VLOOKUP($R215,武学奇术!$A:$ZZ,27,FALSE)*(1+IF(OR($AM215=$F$4,$AM215=$F$5),$B$22,0))</f>
        <v>0</v>
      </c>
      <c r="AP215" s="33">
        <f>VLOOKUP($R215,武学奇术!$A:$ZZ,28,FALSE)</f>
        <v>2.205</v>
      </c>
      <c r="AQ215" s="34">
        <f>VLOOKUP($R215,武学奇术!$A:$ZZ,29,FALSE)*(1+IF(OR($AM215=$F$4,$AM215=$F$5),$B$22,0))</f>
        <v>0</v>
      </c>
      <c r="AR215" s="33" cm="1">
        <f t="array" ref="AR215">$G$3+IFERROR(VLOOKUP($AM215,$F$4:$G$7,2,FALSE),0)+VLOOKUP($R215,武学奇术!$A:$ZZ,2,FALSE)+SUM(_xlfn.XLOOKUP($S215:$AL215,增益!$A:$A,增益!$B:$B,0))</f>
        <v>0.5289</v>
      </c>
      <c r="AS215" s="33" cm="1">
        <f t="array" ref="AS215">VLOOKUP($R215,武学奇术!$A:$ZZ,5,FALSE)+SUM(_xlfn.XLOOKUP($S215:$AL215,增益!$A:$A,增益!$E:$E,0))</f>
        <v>0</v>
      </c>
      <c r="AT215" cm="1">
        <f t="array" ref="AT215">$D$10*(1+$AS215)+VLOOKUP($R215,武学奇术!$A:$ZZ,3,FALSE)+SUM(_xlfn.XLOOKUP($S215:$AL215,增益!$A:$A,增益!$C:$C,0))-$I$2</f>
        <v>4026</v>
      </c>
      <c r="AU215" cm="1">
        <f t="array" ref="AU215">$E$10*(1+$AS215)+VLOOKUP($R215,武学奇术!$A:$ZZ,4,FALSE)+SUM(_xlfn.XLOOKUP($S215:$AL215,增益!$A:$A,增益!$D:$D,0))-$I$2</f>
        <v>4026</v>
      </c>
      <c r="AV215" s="40" cm="1">
        <f t="array" ref="AV215">IF($F$10-$I$3+VLOOKUP($R215,武学奇术!$A:$ZZ,6,FALSE)+SUM(_xlfn.XLOOKUP($S215:$AL215,增益!$A:$A,增益!$F:$F,0))&gt;0,($F$10-$I$3+VLOOKUP($R215,武学奇术!$A:$ZZ,6,FALSE)+SUM(_xlfn.XLOOKUP($S215:$AL215,增益!$A:$A,增益!$F:$F,0)))/200,($F$10-$I$3+VLOOKUP($R215,武学奇术!$A:$ZZ,6,FALSE)+SUM(_xlfn.XLOOKUP($S215:$AL215,增益!$A:$A,增益!$F:$F,0)))/100)</f>
        <v>0.3534</v>
      </c>
      <c r="AW215" s="40" cm="1">
        <f t="array" ref="AW215">$G$10+VLOOKUP($R215,武学奇术!$A:$ZZ,7,FALSE)+SUM(_xlfn.XLOOKUP($S215:$AL215,增益!$A:$A,增益!$G:$G,0))</f>
        <v>0.12</v>
      </c>
      <c r="AX215" s="33" cm="1">
        <f t="array" ref="AX215">VLOOKUP($R215,武学奇术!$A:$ZZ,8,FALSE)+SUM(_xlfn.XLOOKUP($S215:$AL215,增益!$A:$A,增益!$H:$H,0))</f>
        <v>0</v>
      </c>
      <c r="AY215">
        <f t="shared" si="50"/>
        <v>0</v>
      </c>
      <c r="AZ215">
        <f t="shared" si="51"/>
        <v>0</v>
      </c>
      <c r="BA215" s="40" cm="1">
        <f t="array" ref="BA215">IF($F$11-$I$4+VLOOKUP($R215,武学奇术!$A:$ZZ,9,FALSE)+SUM(_xlfn.XLOOKUP($S215:$AL215,增益!$A:$A,增益!$I:$I,0))&gt;0,($F$11-$I$4+VLOOKUP($R215,武学奇术!$A:$ZZ,9,FALSE)+SUM(_xlfn.XLOOKUP($S215:$AL215,增益!$A:$A,增益!$I:$I,0)))/200,($F$11-$I$4+VLOOKUP($R215,武学奇术!$A:$ZZ,9,FALSE)+SUM(_xlfn.XLOOKUP($S215:$AL215,增益!$A:$A,增益!$I:$I,0)))/100)</f>
        <v>-0.14</v>
      </c>
      <c r="BB215" s="40" cm="1">
        <f t="array" ref="BB215">$G$11+VLOOKUP($R215,武学奇术!$A:$ZZ,10,FALSE)+SUM(_xlfn.XLOOKUP($S215:$AL215,增益!$A:$A,增益!$J:$J,0))</f>
        <v>0</v>
      </c>
      <c r="BC215">
        <f t="shared" si="52"/>
        <v>640.3</v>
      </c>
      <c r="BD215">
        <f t="shared" si="53"/>
        <v>1770.1</v>
      </c>
      <c r="BE215" s="40" cm="1">
        <f t="array" ref="BE215">IF($F$12-$I$4+VLOOKUP($R215,武学奇术!$A:$ZZ,11,FALSE)+SUM(_xlfn.XLOOKUP($S215:$AL215,增益!$A:$A,增益!$K:$K,0))&gt;0,($F$12-$I$4+VLOOKUP($R215,武学奇术!$A:$ZZ,11,FALSE)+SUM(_xlfn.XLOOKUP($S215:$AL215,增益!$A:$A,增益!$K:$K,0)))/200,($F$12-$I$4+VLOOKUP($R215,武学奇术!$A:$ZZ,11,FALSE)+SUM(_xlfn.XLOOKUP($S215:$AL215,增益!$A:$A,增益!$K:$K,0)))/100)</f>
        <v>0.17</v>
      </c>
      <c r="BF215" s="40" cm="1">
        <f t="array" ref="BF215">$G$12+VLOOKUP($R215,武学奇术!$A:$ZZ,12,FALSE)+SUM(_xlfn.XLOOKUP($S215:$AL215,增益!$A:$A,增益!$L:$L,0))</f>
        <v>0.27</v>
      </c>
      <c r="BG215">
        <f t="shared" si="54"/>
        <v>0</v>
      </c>
      <c r="BH215">
        <f t="shared" si="55"/>
        <v>0</v>
      </c>
      <c r="BI215" s="40" cm="1">
        <f t="array" ref="BI215">IF($F$13-$I$4+VLOOKUP($R215,武学奇术!$A:$ZZ,13,FALSE)+SUM(_xlfn.XLOOKUP($S215:$AL215,增益!$A:$A,增益!$M:$M,0))&gt;0,($F$13-$I$4+VLOOKUP($R215,武学奇术!$A:$ZZ,13,FALSE)+SUM(_xlfn.XLOOKUP($S215:$AL215,增益!$A:$A,增益!$K:$K,0)))/200,($F$13-$I$4+VLOOKUP($R215,武学奇术!$A:$ZZ,13,FALSE)+SUM(_xlfn.XLOOKUP($S215:$AL215,增益!$A:$A,增益!$M:$M,0)))/100)</f>
        <v>-0.14</v>
      </c>
      <c r="BJ215" s="40" cm="1">
        <f t="array" ref="BJ215">$G$13+VLOOKUP($R215,武学奇术!$A:$ZZ,14,FALSE)+SUM(_xlfn.XLOOKUP($S215:$AL215,增益!$A:$A,增益!$N:$N,0))</f>
        <v>0</v>
      </c>
      <c r="BK215">
        <f t="shared" si="56"/>
        <v>0</v>
      </c>
      <c r="BL215">
        <f t="shared" si="57"/>
        <v>0</v>
      </c>
      <c r="BM215" s="40" cm="1">
        <f t="array" ref="BM215">IF($F$14-$I$4+VLOOKUP($R215,武学奇术!$A:$ZZ,15,FALSE)+SUM(_xlfn.XLOOKUP($S215:$AL215,增益!$A:$A,增益!$O:$O,0))&gt;0,($F$14-$I$4+VLOOKUP($R215,武学奇术!$A:$ZZ,15,FALSE)+SUM(_xlfn.XLOOKUP($S215:$AL215,增益!$A:$A,增益!$O:$O,0)))/200,($F$14-$I$4+VLOOKUP($R215,武学奇术!$A:$ZZ,15,FALSE)+SUM(_xlfn.XLOOKUP($S215:$AL215,增益!$A:$A,增益!$O:$O,0)))/100)</f>
        <v>-0.14</v>
      </c>
      <c r="BN215" s="40" cm="1">
        <f t="array" ref="BN215">$G$14+VLOOKUP($R215,武学奇术!$A:$ZZ,16,FALSE)+SUM(_xlfn.XLOOKUP($S215:$AL215,增益!$A:$A,增益!$P:$P,0))</f>
        <v>0</v>
      </c>
      <c r="BO215" s="33">
        <f>MIN(IF(VLOOKUP($R215,武学奇术!$A:$ZZ,23,FALSE)=1,100%,$B$8),100%)</f>
        <v>0.9771</v>
      </c>
      <c r="BP215" s="33" cm="1">
        <f t="array" ref="BP215">IF(VLOOKUP($R215,武学奇术!$A:$ZZ,23,FALSE)=1,100%,MIN(80%,$B$9+VLOOKUP($R215,武学奇术!$A:$ZZ,17,FALSE)+SUM(_xlfn.XLOOKUP($S215:$AL215,增益!$A:$A,增益!$Q:$Q,0)))+$B$11+SUM(_xlfn.XLOOKUP($S215:$AL215,增益!$A:$A,增益!$U:$U,0)))*IF(VLOOKUP($R215,武学奇术!$A:$ZZ,24,FALSE)=1,0,1)</f>
        <v>0.8861</v>
      </c>
      <c r="BQ215" s="33" cm="1">
        <f t="array" ref="BQ215">1+$B$13+VLOOKUP($R215,武学奇术!$A:$ZZ,18,FALSE)+SUM(_xlfn.XLOOKUP($S215:$AL215,增益!$A:$A,增益!$R:$R,0))</f>
        <v>2</v>
      </c>
      <c r="BR215" s="33" cm="1">
        <f t="array" ref="BR215">IF(VLOOKUP($R215,武学奇术!$A:$ZZ,24,FALSE)=1,100%,MIN(40%,$B$10+VLOOKUP($R215,武学奇术!$A:$ZZ,19,FALSE)+SUM(_xlfn.XLOOKUP($S215:$AL215,增益!$A:$A,增益!$S:$S,0)))+$B$12+SUM(_xlfn.XLOOKUP($S215:$AL215,增益!$A:$A,增益!$V:$V,0)))*IF(VLOOKUP($R215,武学奇术!$A:$ZZ,23,FALSE)=1,0,1)</f>
        <v>0.0913</v>
      </c>
      <c r="BS215" s="33" cm="1">
        <f t="array" ref="BS215">1+$B$14+VLOOKUP($R215,武学奇术!$A:$ZZ,20,FALSE)+SUM(_xlfn.XLOOKUP($S215:$AL215,增益!$A:$A,增益!$T:$T,0))</f>
        <v>1.35</v>
      </c>
      <c r="BT215" s="33">
        <f t="shared" si="58"/>
        <v>0.86580831</v>
      </c>
      <c r="BU215" s="33">
        <f t="shared" si="59"/>
        <v>0.02208246</v>
      </c>
      <c r="BV215" s="33">
        <f>IF(VLOOKUP($R215,武学奇术!$A:$ZZ,22,FALSE)=1,0,(1-$BO215))*(1-$BR215)</f>
        <v>0.02080923</v>
      </c>
      <c r="BW215" s="33" cm="1">
        <f t="array" ref="BW215">SUM(_xlfn.XLOOKUP($S215:$AL215,增益!$A:$A,增益!$W:$W,0))+$I$5</f>
        <v>0.21</v>
      </c>
      <c r="BX215" s="33" cm="1">
        <f t="array" ref="BX215">VLOOKUP($R215,武学奇术!$A:$ZZ,32,FALSE)+SUM(_xlfn.XLOOKUP($S215:$AL215,增益!$A:$A,增益!$X:$X,0))</f>
        <v>0.4</v>
      </c>
    </row>
    <row r="216" spans="12:76">
      <c r="L216" s="46">
        <f t="shared" si="49"/>
        <v>0</v>
      </c>
      <c r="M216" s="46">
        <f>((($AT216+$AU216)/2*$AN216+$AO216)*(1+$AV216)*(1+$AW216)+(($AY216+$AZ216)/2*IF($G$1="鸣金",$AP216,$AN216)+IF($G$1="鸣金",$AQ216*1.5,0))*(1+$BA216)*(1+$BB216)+(($BC216+$BD216)/2*IF($G$1="裂石",$AP216,$AN216)+IF($G$1="裂石",$AQ216*1.5,0))*(1+$BE216)*(1+$BF216)+(($BG216+$BH216)/2*IF($G$1="牵丝",$AP216,$AN216)+IF($G$1="牵丝",$AQ216*1.5,0))*(1+$BI216)*(1+$BJ216)+(($BK216+$BL216)/2*IF($G$1="破竹",$AP216,$AN216)+IF($G$1="破竹",$AQ216*1.5,0))*(1+$BM216)*(1+$BN216))*(1+$AR216)*$BQ216*$Q216*(1+IF(VLOOKUP($R216,武学奇术!$A:$ZZ,30,FALSE)="蓄力技",$B$21,0))*(1+IF(VLOOKUP($R216,武学奇术!$A:$ZZ,30,FALSE)="派生技",$B$20,0))*(1+$BW216)*(1+$BX216)</f>
        <v>0</v>
      </c>
      <c r="N216" s="46">
        <f>(($AU216*$AN216+$AO216)*(1+$AV216)*(1+$AW216)+($AZ216*IF($G$1="鸣金",$AP216,$AN216)+IF($G$1="鸣金",$AQ216*1.5,0))*(1+$BA216)*(1+$BB216)+($BD216*IF($G$1="裂石",$AP216,$AN216)+IF($G$1="裂石",$AQ216*1.5,0))*(1+$BE216)*(1+$BF216)+($BH216*IF($G$1="牵丝",$AP216,$AN216)+IF($G$1="牵丝",$AQ216*1.5,0))*(1+$BI216)*(1+$BJ216)+($BL216*IF($G$1="破竹",$AP216,$AN216)+IF($G$1="破竹",$AQ216*1.5,0))*(1+$BM216)*(1+$BN216))*(1+$AR216)*$BS216*$Q216*(1+IF(VLOOKUP($R216,武学奇术!$A:$ZZ,30,FALSE)="蓄力技",$B$21,0))*(1+IF(VLOOKUP($R216,武学奇术!$A:$ZZ,30,FALSE)="派生技",$B$20,0))*(1+$BW216)*(1+$BX216)</f>
        <v>0</v>
      </c>
      <c r="O216" s="46">
        <f>((($AT216+$AU216)/2*$AN216+$AO216)*(1+$AV216)*(1+$AW216)+(($AY216+$AZ216)/2*IF($G$1="鸣金",$AP216,$AN216)+IF($G$1="鸣金",$AQ216*1.5,0))*(1+$BA216)*(1+$BB216)+(($BC216+$BD216)/2*IF($G$1="裂石",$AP216,$AN216)+IF($G$1="裂石",$AQ216*1.5,0))*(1+$BE216)*(1+$BF216)+(($BG216+$BH216)/2*IF($G$1="牵丝",$AP216,$AN216)+IF($G$1="牵丝",$AQ216*1.5,0))*(1+$BI216)*(1+$BJ216)+(($BK216+$BL216)/2*IF($G$1="破竹",$AP216,$AN216)+IF($G$1="破竹",$AQ216*1.5,0))*(1+$BM216)*(1+$BN216))*(1+$AR216)*$Q216*(1+IF(VLOOKUP($R216,武学奇术!$A:$ZZ,30,FALSE)="蓄力技",$B$21,0))*(1+IF(VLOOKUP($R216,武学奇术!$A:$ZZ,30,FALSE)="派生技",$B$20,0))*(1+$BW216)*(1+$BX216)</f>
        <v>0</v>
      </c>
      <c r="P216" s="46">
        <f>((($AT216*$AN216+$AO216)*(1+$AV216)*(1+$AW216)+($AY216*IF($G$1="鸣金",$AP216,$AN216)+IF($G$1="鸣金",$AQ216*1.5,0))*(1+$BA216)*(1+$BB216)+($BC216*IF($G$1="裂石",$AP216,$AN216)+IF($G$1="裂石",$AQ216*1.5,0))*(1+$BE216)*(1+$BF216)+($BG216*IF($G$1="牵丝",$AP216,$AN216)+IF($G$1="牵丝",$AQ216*1.5,0))*(1+$BI216)*(1+$BJ216)+($BK216*IF($G$1="破竹",$AP216,$AN216)+IF($G$1="破竹",$AQ216*1.5,0))*(1+$BM216)*(1+$BN216))*(1+$AR216))*$Q216*(1+IF(VLOOKUP($R216,武学奇术!$A:$ZZ,30,FALSE)="蓄力技",$B$21,0))*(1+IF(VLOOKUP($R216,武学奇术!$A:$ZZ,30,FALSE)="派生技",$B$20,0))*(1+$BW216)*(1+$BX216)</f>
        <v>0</v>
      </c>
      <c r="Q216" s="47">
        <f>IF($E$24="唐刀",4,0)</f>
        <v>0</v>
      </c>
      <c r="R216" s="48" t="s">
        <v>197</v>
      </c>
      <c r="S216" s="48" t="s">
        <v>99</v>
      </c>
      <c r="T216" s="48" t="s">
        <v>182</v>
      </c>
      <c r="U216" s="48" t="s">
        <v>79</v>
      </c>
      <c r="V216" s="48" t="s">
        <v>90</v>
      </c>
      <c r="W216" s="48" t="s">
        <v>91</v>
      </c>
      <c r="X216" s="48" t="s">
        <v>80</v>
      </c>
      <c r="Y216" s="48" t="s">
        <v>80</v>
      </c>
      <c r="Z216" s="48" t="s">
        <v>80</v>
      </c>
      <c r="AA216" s="48" t="s">
        <v>183</v>
      </c>
      <c r="AB216" s="48" t="s">
        <v>80</v>
      </c>
      <c r="AC216" s="48" t="s">
        <v>193</v>
      </c>
      <c r="AD216" s="48" t="s">
        <v>80</v>
      </c>
      <c r="AE216" s="48" t="s">
        <v>80</v>
      </c>
      <c r="AF216" s="48" t="s">
        <v>83</v>
      </c>
      <c r="AG216" s="48" t="s">
        <v>84</v>
      </c>
      <c r="AH216" s="48" t="s">
        <v>80</v>
      </c>
      <c r="AI216" s="48" t="s">
        <v>80</v>
      </c>
      <c r="AJ216" s="48" t="s">
        <v>80</v>
      </c>
      <c r="AK216" s="48" t="s">
        <v>80</v>
      </c>
      <c r="AL216" s="48" t="s">
        <v>80</v>
      </c>
      <c r="AM216" t="str">
        <f>VLOOKUP($R216,武学奇术!$A:$ZZ,25,FALSE)</f>
        <v>横刀</v>
      </c>
      <c r="AN216" s="33">
        <f>VLOOKUP($R216,武学奇术!$A:$ZZ,26,FALSE)</f>
        <v>2.4495</v>
      </c>
      <c r="AO216" s="34">
        <f>VLOOKUP($R216,武学奇术!$A:$ZZ,27,FALSE)*(1+IF(OR($AM216=$F$4,$AM216=$F$5),$B$22,0))</f>
        <v>1083.2</v>
      </c>
      <c r="AP216" s="33">
        <f>VLOOKUP($R216,武学奇术!$A:$ZZ,28,FALSE)</f>
        <v>3.6743</v>
      </c>
      <c r="AQ216" s="34">
        <f>VLOOKUP($R216,武学奇术!$A:$ZZ,29,FALSE)*(1+IF(OR($AM216=$F$4,$AM216=$F$5),$B$22,0))</f>
        <v>588.8</v>
      </c>
      <c r="AR216" s="33" cm="1">
        <f t="array" ref="AR216">$G$3+IFERROR(VLOOKUP($AM216,$F$4:$G$7,2,FALSE),0)+VLOOKUP($R216,武学奇术!$A:$ZZ,2,FALSE)+SUM(_xlfn.XLOOKUP($S216:$AL216,增益!$A:$A,增益!$B:$B,0))</f>
        <v>0.4489</v>
      </c>
      <c r="AS216" s="33" cm="1">
        <f t="array" ref="AS216">VLOOKUP($R216,武学奇术!$A:$ZZ,5,FALSE)+SUM(_xlfn.XLOOKUP($S216:$AL216,增益!$A:$A,增益!$E:$E,0))</f>
        <v>0</v>
      </c>
      <c r="AT216" cm="1">
        <f t="array" ref="AT216">$D$10*(1+$AS216)+VLOOKUP($R216,武学奇术!$A:$ZZ,3,FALSE)+SUM(_xlfn.XLOOKUP($S216:$AL216,增益!$A:$A,增益!$C:$C,0))-$I$2</f>
        <v>4026</v>
      </c>
      <c r="AU216" cm="1">
        <f t="array" ref="AU216">$E$10*(1+$AS216)+VLOOKUP($R216,武学奇术!$A:$ZZ,4,FALSE)+SUM(_xlfn.XLOOKUP($S216:$AL216,增益!$A:$A,增益!$D:$D,0))-$I$2</f>
        <v>4026</v>
      </c>
      <c r="AV216" s="40" cm="1">
        <f t="array" ref="AV216">IF($F$10-$I$3+VLOOKUP($R216,武学奇术!$A:$ZZ,6,FALSE)+SUM(_xlfn.XLOOKUP($S216:$AL216,增益!$A:$A,增益!$F:$F,0))&gt;0,($F$10-$I$3+VLOOKUP($R216,武学奇术!$A:$ZZ,6,FALSE)+SUM(_xlfn.XLOOKUP($S216:$AL216,增益!$A:$A,增益!$F:$F,0)))/200,($F$10-$I$3+VLOOKUP($R216,武学奇术!$A:$ZZ,6,FALSE)+SUM(_xlfn.XLOOKUP($S216:$AL216,增益!$A:$A,增益!$F:$F,0)))/100)</f>
        <v>0.3284</v>
      </c>
      <c r="AW216" s="40" cm="1">
        <f t="array" ref="AW216">$G$10+VLOOKUP($R216,武学奇术!$A:$ZZ,7,FALSE)+SUM(_xlfn.XLOOKUP($S216:$AL216,增益!$A:$A,增益!$G:$G,0))</f>
        <v>0.12</v>
      </c>
      <c r="AX216" s="33" cm="1">
        <f t="array" ref="AX216">VLOOKUP($R216,武学奇术!$A:$ZZ,8,FALSE)+SUM(_xlfn.XLOOKUP($S216:$AL216,增益!$A:$A,增益!$H:$H,0))</f>
        <v>0</v>
      </c>
      <c r="AY216">
        <f t="shared" si="50"/>
        <v>0</v>
      </c>
      <c r="AZ216">
        <f t="shared" si="51"/>
        <v>0</v>
      </c>
      <c r="BA216" s="40" cm="1">
        <f t="array" ref="BA216">IF($F$11-$I$4+VLOOKUP($R216,武学奇术!$A:$ZZ,9,FALSE)+SUM(_xlfn.XLOOKUP($S216:$AL216,增益!$A:$A,增益!$I:$I,0))&gt;0,($F$11-$I$4+VLOOKUP($R216,武学奇术!$A:$ZZ,9,FALSE)+SUM(_xlfn.XLOOKUP($S216:$AL216,增益!$A:$A,增益!$I:$I,0)))/200,($F$11-$I$4+VLOOKUP($R216,武学奇术!$A:$ZZ,9,FALSE)+SUM(_xlfn.XLOOKUP($S216:$AL216,增益!$A:$A,增益!$I:$I,0)))/100)</f>
        <v>-0.14</v>
      </c>
      <c r="BB216" s="40" cm="1">
        <f t="array" ref="BB216">$G$11+VLOOKUP($R216,武学奇术!$A:$ZZ,10,FALSE)+SUM(_xlfn.XLOOKUP($S216:$AL216,增益!$A:$A,增益!$J:$J,0))</f>
        <v>0</v>
      </c>
      <c r="BC216">
        <f t="shared" si="52"/>
        <v>640.3</v>
      </c>
      <c r="BD216">
        <f t="shared" si="53"/>
        <v>1770.1</v>
      </c>
      <c r="BE216" s="40" cm="1">
        <f t="array" ref="BE216">IF($F$12-$I$4+VLOOKUP($R216,武学奇术!$A:$ZZ,11,FALSE)+SUM(_xlfn.XLOOKUP($S216:$AL216,增益!$A:$A,增益!$K:$K,0))&gt;0,($F$12-$I$4+VLOOKUP($R216,武学奇术!$A:$ZZ,11,FALSE)+SUM(_xlfn.XLOOKUP($S216:$AL216,增益!$A:$A,增益!$K:$K,0)))/200,($F$12-$I$4+VLOOKUP($R216,武学奇术!$A:$ZZ,11,FALSE)+SUM(_xlfn.XLOOKUP($S216:$AL216,增益!$A:$A,增益!$K:$K,0)))/100)</f>
        <v>0.17</v>
      </c>
      <c r="BF216" s="40" cm="1">
        <f t="array" ref="BF216">$G$12+VLOOKUP($R216,武学奇术!$A:$ZZ,12,FALSE)+SUM(_xlfn.XLOOKUP($S216:$AL216,增益!$A:$A,增益!$L:$L,0))</f>
        <v>0.27</v>
      </c>
      <c r="BG216">
        <f t="shared" si="54"/>
        <v>0</v>
      </c>
      <c r="BH216">
        <f t="shared" si="55"/>
        <v>0</v>
      </c>
      <c r="BI216" s="40" cm="1">
        <f t="array" ref="BI216">IF($F$13-$I$4+VLOOKUP($R216,武学奇术!$A:$ZZ,13,FALSE)+SUM(_xlfn.XLOOKUP($S216:$AL216,增益!$A:$A,增益!$M:$M,0))&gt;0,($F$13-$I$4+VLOOKUP($R216,武学奇术!$A:$ZZ,13,FALSE)+SUM(_xlfn.XLOOKUP($S216:$AL216,增益!$A:$A,增益!$K:$K,0)))/200,($F$13-$I$4+VLOOKUP($R216,武学奇术!$A:$ZZ,13,FALSE)+SUM(_xlfn.XLOOKUP($S216:$AL216,增益!$A:$A,增益!$M:$M,0)))/100)</f>
        <v>-0.14</v>
      </c>
      <c r="BJ216" s="40" cm="1">
        <f t="array" ref="BJ216">$G$13+VLOOKUP($R216,武学奇术!$A:$ZZ,14,FALSE)+SUM(_xlfn.XLOOKUP($S216:$AL216,增益!$A:$A,增益!$N:$N,0))</f>
        <v>0</v>
      </c>
      <c r="BK216">
        <f t="shared" si="56"/>
        <v>0</v>
      </c>
      <c r="BL216">
        <f t="shared" si="57"/>
        <v>0</v>
      </c>
      <c r="BM216" s="40" cm="1">
        <f t="array" ref="BM216">IF($F$14-$I$4+VLOOKUP($R216,武学奇术!$A:$ZZ,15,FALSE)+SUM(_xlfn.XLOOKUP($S216:$AL216,增益!$A:$A,增益!$O:$O,0))&gt;0,($F$14-$I$4+VLOOKUP($R216,武学奇术!$A:$ZZ,15,FALSE)+SUM(_xlfn.XLOOKUP($S216:$AL216,增益!$A:$A,增益!$O:$O,0)))/200,($F$14-$I$4+VLOOKUP($R216,武学奇术!$A:$ZZ,15,FALSE)+SUM(_xlfn.XLOOKUP($S216:$AL216,增益!$A:$A,增益!$O:$O,0)))/100)</f>
        <v>-0.14</v>
      </c>
      <c r="BN216" s="40" cm="1">
        <f t="array" ref="BN216">$G$14+VLOOKUP($R216,武学奇术!$A:$ZZ,16,FALSE)+SUM(_xlfn.XLOOKUP($S216:$AL216,增益!$A:$A,增益!$P:$P,0))</f>
        <v>0</v>
      </c>
      <c r="BO216" s="33">
        <f>MIN(IF(VLOOKUP($R216,武学奇术!$A:$ZZ,23,FALSE)=1,100%,$B$8),100%)</f>
        <v>0.9771</v>
      </c>
      <c r="BP216" s="33" cm="1">
        <f t="array" ref="BP216">IF(VLOOKUP($R216,武学奇术!$A:$ZZ,23,FALSE)=1,100%,MIN(80%,$B$9+VLOOKUP($R216,武学奇术!$A:$ZZ,17,FALSE)+SUM(_xlfn.XLOOKUP($S216:$AL216,增益!$A:$A,增益!$Q:$Q,0)))+$B$11+SUM(_xlfn.XLOOKUP($S216:$AL216,增益!$A:$A,增益!$U:$U,0)))*IF(VLOOKUP($R216,武学奇术!$A:$ZZ,24,FALSE)=1,0,1)</f>
        <v>0.8861</v>
      </c>
      <c r="BQ216" s="33" cm="1">
        <f t="array" ref="BQ216">1+$B$13+VLOOKUP($R216,武学奇术!$A:$ZZ,18,FALSE)+SUM(_xlfn.XLOOKUP($S216:$AL216,增益!$A:$A,增益!$R:$R,0))</f>
        <v>1.95</v>
      </c>
      <c r="BR216" s="33" cm="1">
        <f t="array" ref="BR216">IF(VLOOKUP($R216,武学奇术!$A:$ZZ,24,FALSE)=1,100%,MIN(40%,$B$10+VLOOKUP($R216,武学奇术!$A:$ZZ,19,FALSE)+SUM(_xlfn.XLOOKUP($S216:$AL216,增益!$A:$A,增益!$S:$S,0)))+$B$12+SUM(_xlfn.XLOOKUP($S216:$AL216,增益!$A:$A,增益!$V:$V,0)))*IF(VLOOKUP($R216,武学奇术!$A:$ZZ,23,FALSE)=1,0,1)</f>
        <v>0.0913</v>
      </c>
      <c r="BS216" s="33" cm="1">
        <f t="array" ref="BS216">1+$B$14+VLOOKUP($R216,武学奇术!$A:$ZZ,20,FALSE)+SUM(_xlfn.XLOOKUP($S216:$AL216,增益!$A:$A,增益!$T:$T,0))</f>
        <v>1.35</v>
      </c>
      <c r="BT216" s="33">
        <f t="shared" si="58"/>
        <v>0.86580831</v>
      </c>
      <c r="BU216" s="33">
        <f t="shared" si="59"/>
        <v>0.02208246</v>
      </c>
      <c r="BV216" s="33">
        <f>IF(VLOOKUP($R216,武学奇术!$A:$ZZ,22,FALSE)=1,0,(1-$BO216))*(1-$BR216)</f>
        <v>0.02080923</v>
      </c>
      <c r="BW216" s="33" cm="1">
        <f t="array" ref="BW216">SUM(_xlfn.XLOOKUP($S216:$AL216,增益!$A:$A,增益!$W:$W,0))+$I$5</f>
        <v>0.21</v>
      </c>
      <c r="BX216" s="33" cm="1">
        <f t="array" ref="BX216">VLOOKUP($R216,武学奇术!$A:$ZZ,32,FALSE)+SUM(_xlfn.XLOOKUP($S216:$AL216,增益!$A:$A,增益!$X:$X,0))</f>
        <v>0</v>
      </c>
    </row>
    <row r="217" spans="12:76">
      <c r="L217" s="46">
        <f t="shared" si="49"/>
        <v>0</v>
      </c>
      <c r="M217" s="46">
        <f>((($AT217+$AU217)/2*$AN217+$AO217)*(1+$AV217)*(1+$AW217)+(($AY217+$AZ217)/2*IF($G$1="鸣金",$AP217,$AN217)+IF($G$1="鸣金",$AQ217*1.5,0))*(1+$BA217)*(1+$BB217)+(($BC217+$BD217)/2*IF($G$1="裂石",$AP217,$AN217)+IF($G$1="裂石",$AQ217*1.5,0))*(1+$BE217)*(1+$BF217)+(($BG217+$BH217)/2*IF($G$1="牵丝",$AP217,$AN217)+IF($G$1="牵丝",$AQ217*1.5,0))*(1+$BI217)*(1+$BJ217)+(($BK217+$BL217)/2*IF($G$1="破竹",$AP217,$AN217)+IF($G$1="破竹",$AQ217*1.5,0))*(1+$BM217)*(1+$BN217))*(1+$AR217)*$BQ217*$Q217*(1+IF(VLOOKUP($R217,武学奇术!$A:$ZZ,30,FALSE)="蓄力技",$B$21,0))*(1+IF(VLOOKUP($R217,武学奇术!$A:$ZZ,30,FALSE)="派生技",$B$20,0))*(1+$BW217)*(1+$BX217)</f>
        <v>0</v>
      </c>
      <c r="N217" s="46">
        <f>(($AU217*$AN217+$AO217)*(1+$AV217)*(1+$AW217)+($AZ217*IF($G$1="鸣金",$AP217,$AN217)+IF($G$1="鸣金",$AQ217*1.5,0))*(1+$BA217)*(1+$BB217)+($BD217*IF($G$1="裂石",$AP217,$AN217)+IF($G$1="裂石",$AQ217*1.5,0))*(1+$BE217)*(1+$BF217)+($BH217*IF($G$1="牵丝",$AP217,$AN217)+IF($G$1="牵丝",$AQ217*1.5,0))*(1+$BI217)*(1+$BJ217)+($BL217*IF($G$1="破竹",$AP217,$AN217)+IF($G$1="破竹",$AQ217*1.5,0))*(1+$BM217)*(1+$BN217))*(1+$AR217)*$BS217*$Q217*(1+IF(VLOOKUP($R217,武学奇术!$A:$ZZ,30,FALSE)="蓄力技",$B$21,0))*(1+IF(VLOOKUP($R217,武学奇术!$A:$ZZ,30,FALSE)="派生技",$B$20,0))*(1+$BW217)*(1+$BX217)</f>
        <v>0</v>
      </c>
      <c r="O217" s="46">
        <f>((($AT217+$AU217)/2*$AN217+$AO217)*(1+$AV217)*(1+$AW217)+(($AY217+$AZ217)/2*IF($G$1="鸣金",$AP217,$AN217)+IF($G$1="鸣金",$AQ217*1.5,0))*(1+$BA217)*(1+$BB217)+(($BC217+$BD217)/2*IF($G$1="裂石",$AP217,$AN217)+IF($G$1="裂石",$AQ217*1.5,0))*(1+$BE217)*(1+$BF217)+(($BG217+$BH217)/2*IF($G$1="牵丝",$AP217,$AN217)+IF($G$1="牵丝",$AQ217*1.5,0))*(1+$BI217)*(1+$BJ217)+(($BK217+$BL217)/2*IF($G$1="破竹",$AP217,$AN217)+IF($G$1="破竹",$AQ217*1.5,0))*(1+$BM217)*(1+$BN217))*(1+$AR217)*$Q217*(1+IF(VLOOKUP($R217,武学奇术!$A:$ZZ,30,FALSE)="蓄力技",$B$21,0))*(1+IF(VLOOKUP($R217,武学奇术!$A:$ZZ,30,FALSE)="派生技",$B$20,0))*(1+$BW217)*(1+$BX217)</f>
        <v>0</v>
      </c>
      <c r="P217" s="46">
        <f>((($AT217*$AN217+$AO217)*(1+$AV217)*(1+$AW217)+($AY217*IF($G$1="鸣金",$AP217,$AN217)+IF($G$1="鸣金",$AQ217*1.5,0))*(1+$BA217)*(1+$BB217)+($BC217*IF($G$1="裂石",$AP217,$AN217)+IF($G$1="裂石",$AQ217*1.5,0))*(1+$BE217)*(1+$BF217)+($BG217*IF($G$1="牵丝",$AP217,$AN217)+IF($G$1="牵丝",$AQ217*1.5,0))*(1+$BI217)*(1+$BJ217)+($BK217*IF($G$1="破竹",$AP217,$AN217)+IF($G$1="破竹",$AQ217*1.5,0))*(1+$BM217)*(1+$BN217))*(1+$AR217))*$Q217*(1+IF(VLOOKUP($R217,武学奇术!$A:$ZZ,30,FALSE)="蓄力技",$B$21,0))*(1+IF(VLOOKUP($R217,武学奇术!$A:$ZZ,30,FALSE)="派生技",$B$20,0))*(1+$BW217)*(1+$BX217)</f>
        <v>0</v>
      </c>
      <c r="Q217" s="47">
        <f t="shared" ref="Q217:Q236" si="61">IF($E$24="唐刀",1,0)</f>
        <v>0</v>
      </c>
      <c r="R217" s="48" t="s">
        <v>197</v>
      </c>
      <c r="S217" s="48" t="s">
        <v>99</v>
      </c>
      <c r="T217" s="48" t="s">
        <v>182</v>
      </c>
      <c r="U217" s="48" t="s">
        <v>79</v>
      </c>
      <c r="V217" s="48" t="s">
        <v>90</v>
      </c>
      <c r="W217" s="48" t="s">
        <v>91</v>
      </c>
      <c r="X217" s="48" t="s">
        <v>80</v>
      </c>
      <c r="Y217" s="48" t="s">
        <v>80</v>
      </c>
      <c r="Z217" s="48" t="s">
        <v>80</v>
      </c>
      <c r="AA217" s="48" t="s">
        <v>80</v>
      </c>
      <c r="AB217" s="48" t="s">
        <v>80</v>
      </c>
      <c r="AC217" s="48" t="s">
        <v>193</v>
      </c>
      <c r="AD217" s="48" t="s">
        <v>80</v>
      </c>
      <c r="AE217" s="48" t="s">
        <v>80</v>
      </c>
      <c r="AF217" s="48" t="s">
        <v>83</v>
      </c>
      <c r="AG217" s="48" t="s">
        <v>84</v>
      </c>
      <c r="AH217" s="48" t="s">
        <v>80</v>
      </c>
      <c r="AI217" s="48" t="s">
        <v>80</v>
      </c>
      <c r="AJ217" s="48" t="s">
        <v>80</v>
      </c>
      <c r="AK217" s="48" t="s">
        <v>80</v>
      </c>
      <c r="AL217" s="48" t="s">
        <v>80</v>
      </c>
      <c r="AM217" t="str">
        <f>VLOOKUP($R217,武学奇术!$A:$ZZ,25,FALSE)</f>
        <v>横刀</v>
      </c>
      <c r="AN217" s="33">
        <f>VLOOKUP($R217,武学奇术!$A:$ZZ,26,FALSE)</f>
        <v>2.4495</v>
      </c>
      <c r="AO217" s="34">
        <f>VLOOKUP($R217,武学奇术!$A:$ZZ,27,FALSE)*(1+IF(OR($AM217=$F$4,$AM217=$F$5),$B$22,0))</f>
        <v>1083.2</v>
      </c>
      <c r="AP217" s="33">
        <f>VLOOKUP($R217,武学奇术!$A:$ZZ,28,FALSE)</f>
        <v>3.6743</v>
      </c>
      <c r="AQ217" s="34">
        <f>VLOOKUP($R217,武学奇术!$A:$ZZ,29,FALSE)*(1+IF(OR($AM217=$F$4,$AM217=$F$5),$B$22,0))</f>
        <v>588.8</v>
      </c>
      <c r="AR217" s="33" cm="1">
        <f t="array" ref="AR217">$G$3+IFERROR(VLOOKUP($AM217,$F$4:$G$7,2,FALSE),0)+VLOOKUP($R217,武学奇术!$A:$ZZ,2,FALSE)+SUM(_xlfn.XLOOKUP($S217:$AL217,增益!$A:$A,增益!$B:$B,0))</f>
        <v>0.4489</v>
      </c>
      <c r="AS217" s="33" cm="1">
        <f t="array" ref="AS217">VLOOKUP($R217,武学奇术!$A:$ZZ,5,FALSE)+SUM(_xlfn.XLOOKUP($S217:$AL217,增益!$A:$A,增益!$E:$E,0))</f>
        <v>0</v>
      </c>
      <c r="AT217" cm="1">
        <f t="array" ref="AT217">$D$10*(1+$AS217)+VLOOKUP($R217,武学奇术!$A:$ZZ,3,FALSE)+SUM(_xlfn.XLOOKUP($S217:$AL217,增益!$A:$A,增益!$C:$C,0))-$I$2</f>
        <v>4026</v>
      </c>
      <c r="AU217" cm="1">
        <f t="array" ref="AU217">$E$10*(1+$AS217)+VLOOKUP($R217,武学奇术!$A:$ZZ,4,FALSE)+SUM(_xlfn.XLOOKUP($S217:$AL217,增益!$A:$A,增益!$D:$D,0))-$I$2</f>
        <v>4026</v>
      </c>
      <c r="AV217" s="40" cm="1">
        <f t="array" ref="AV217">IF($F$10-$I$3+VLOOKUP($R217,武学奇术!$A:$ZZ,6,FALSE)+SUM(_xlfn.XLOOKUP($S217:$AL217,增益!$A:$A,增益!$F:$F,0))&gt;0,($F$10-$I$3+VLOOKUP($R217,武学奇术!$A:$ZZ,6,FALSE)+SUM(_xlfn.XLOOKUP($S217:$AL217,增益!$A:$A,增益!$F:$F,0)))/200,($F$10-$I$3+VLOOKUP($R217,武学奇术!$A:$ZZ,6,FALSE)+SUM(_xlfn.XLOOKUP($S217:$AL217,增益!$A:$A,增益!$F:$F,0)))/100)</f>
        <v>0.3284</v>
      </c>
      <c r="AW217" s="40" cm="1">
        <f t="array" ref="AW217">$G$10+VLOOKUP($R217,武学奇术!$A:$ZZ,7,FALSE)+SUM(_xlfn.XLOOKUP($S217:$AL217,增益!$A:$A,增益!$G:$G,0))</f>
        <v>0.12</v>
      </c>
      <c r="AX217" s="33" cm="1">
        <f t="array" ref="AX217">VLOOKUP($R217,武学奇术!$A:$ZZ,8,FALSE)+SUM(_xlfn.XLOOKUP($S217:$AL217,增益!$A:$A,增益!$H:$H,0))</f>
        <v>0</v>
      </c>
      <c r="AY217">
        <f t="shared" si="50"/>
        <v>0</v>
      </c>
      <c r="AZ217">
        <f t="shared" si="51"/>
        <v>0</v>
      </c>
      <c r="BA217" s="40" cm="1">
        <f t="array" ref="BA217">IF($F$11-$I$4+VLOOKUP($R217,武学奇术!$A:$ZZ,9,FALSE)+SUM(_xlfn.XLOOKUP($S217:$AL217,增益!$A:$A,增益!$I:$I,0))&gt;0,($F$11-$I$4+VLOOKUP($R217,武学奇术!$A:$ZZ,9,FALSE)+SUM(_xlfn.XLOOKUP($S217:$AL217,增益!$A:$A,增益!$I:$I,0)))/200,($F$11-$I$4+VLOOKUP($R217,武学奇术!$A:$ZZ,9,FALSE)+SUM(_xlfn.XLOOKUP($S217:$AL217,增益!$A:$A,增益!$I:$I,0)))/100)</f>
        <v>-0.14</v>
      </c>
      <c r="BB217" s="40" cm="1">
        <f t="array" ref="BB217">$G$11+VLOOKUP($R217,武学奇术!$A:$ZZ,10,FALSE)+SUM(_xlfn.XLOOKUP($S217:$AL217,增益!$A:$A,增益!$J:$J,0))</f>
        <v>0</v>
      </c>
      <c r="BC217">
        <f t="shared" si="52"/>
        <v>640.3</v>
      </c>
      <c r="BD217">
        <f t="shared" si="53"/>
        <v>1770.1</v>
      </c>
      <c r="BE217" s="40" cm="1">
        <f t="array" ref="BE217">IF($F$12-$I$4+VLOOKUP($R217,武学奇术!$A:$ZZ,11,FALSE)+SUM(_xlfn.XLOOKUP($S217:$AL217,增益!$A:$A,增益!$K:$K,0))&gt;0,($F$12-$I$4+VLOOKUP($R217,武学奇术!$A:$ZZ,11,FALSE)+SUM(_xlfn.XLOOKUP($S217:$AL217,增益!$A:$A,增益!$K:$K,0)))/200,($F$12-$I$4+VLOOKUP($R217,武学奇术!$A:$ZZ,11,FALSE)+SUM(_xlfn.XLOOKUP($S217:$AL217,增益!$A:$A,增益!$K:$K,0)))/100)</f>
        <v>0.17</v>
      </c>
      <c r="BF217" s="40" cm="1">
        <f t="array" ref="BF217">$G$12+VLOOKUP($R217,武学奇术!$A:$ZZ,12,FALSE)+SUM(_xlfn.XLOOKUP($S217:$AL217,增益!$A:$A,增益!$L:$L,0))</f>
        <v>0.27</v>
      </c>
      <c r="BG217">
        <f t="shared" si="54"/>
        <v>0</v>
      </c>
      <c r="BH217">
        <f t="shared" si="55"/>
        <v>0</v>
      </c>
      <c r="BI217" s="40" cm="1">
        <f t="array" ref="BI217">IF($F$13-$I$4+VLOOKUP($R217,武学奇术!$A:$ZZ,13,FALSE)+SUM(_xlfn.XLOOKUP($S217:$AL217,增益!$A:$A,增益!$M:$M,0))&gt;0,($F$13-$I$4+VLOOKUP($R217,武学奇术!$A:$ZZ,13,FALSE)+SUM(_xlfn.XLOOKUP($S217:$AL217,增益!$A:$A,增益!$K:$K,0)))/200,($F$13-$I$4+VLOOKUP($R217,武学奇术!$A:$ZZ,13,FALSE)+SUM(_xlfn.XLOOKUP($S217:$AL217,增益!$A:$A,增益!$M:$M,0)))/100)</f>
        <v>-0.14</v>
      </c>
      <c r="BJ217" s="40" cm="1">
        <f t="array" ref="BJ217">$G$13+VLOOKUP($R217,武学奇术!$A:$ZZ,14,FALSE)+SUM(_xlfn.XLOOKUP($S217:$AL217,增益!$A:$A,增益!$N:$N,0))</f>
        <v>0</v>
      </c>
      <c r="BK217">
        <f t="shared" si="56"/>
        <v>0</v>
      </c>
      <c r="BL217">
        <f t="shared" si="57"/>
        <v>0</v>
      </c>
      <c r="BM217" s="40" cm="1">
        <f t="array" ref="BM217">IF($F$14-$I$4+VLOOKUP($R217,武学奇术!$A:$ZZ,15,FALSE)+SUM(_xlfn.XLOOKUP($S217:$AL217,增益!$A:$A,增益!$O:$O,0))&gt;0,($F$14-$I$4+VLOOKUP($R217,武学奇术!$A:$ZZ,15,FALSE)+SUM(_xlfn.XLOOKUP($S217:$AL217,增益!$A:$A,增益!$O:$O,0)))/200,($F$14-$I$4+VLOOKUP($R217,武学奇术!$A:$ZZ,15,FALSE)+SUM(_xlfn.XLOOKUP($S217:$AL217,增益!$A:$A,增益!$O:$O,0)))/100)</f>
        <v>-0.14</v>
      </c>
      <c r="BN217" s="40" cm="1">
        <f t="array" ref="BN217">$G$14+VLOOKUP($R217,武学奇术!$A:$ZZ,16,FALSE)+SUM(_xlfn.XLOOKUP($S217:$AL217,增益!$A:$A,增益!$P:$P,0))</f>
        <v>0</v>
      </c>
      <c r="BO217" s="33">
        <f>MIN(IF(VLOOKUP($R217,武学奇术!$A:$ZZ,23,FALSE)=1,100%,$B$8),100%)</f>
        <v>0.9771</v>
      </c>
      <c r="BP217" s="33" cm="1">
        <f t="array" ref="BP217">IF(VLOOKUP($R217,武学奇术!$A:$ZZ,23,FALSE)=1,100%,MIN(80%,$B$9+VLOOKUP($R217,武学奇术!$A:$ZZ,17,FALSE)+SUM(_xlfn.XLOOKUP($S217:$AL217,增益!$A:$A,增益!$Q:$Q,0)))+$B$11+SUM(_xlfn.XLOOKUP($S217:$AL217,增益!$A:$A,增益!$U:$U,0)))*IF(VLOOKUP($R217,武学奇术!$A:$ZZ,24,FALSE)=1,0,1)</f>
        <v>0.8861</v>
      </c>
      <c r="BQ217" s="33" cm="1">
        <f t="array" ref="BQ217">1+$B$13+VLOOKUP($R217,武学奇术!$A:$ZZ,18,FALSE)+SUM(_xlfn.XLOOKUP($S217:$AL217,增益!$A:$A,增益!$R:$R,0))</f>
        <v>1.95</v>
      </c>
      <c r="BR217" s="33" cm="1">
        <f t="array" ref="BR217">IF(VLOOKUP($R217,武学奇术!$A:$ZZ,24,FALSE)=1,100%,MIN(40%,$B$10+VLOOKUP($R217,武学奇术!$A:$ZZ,19,FALSE)+SUM(_xlfn.XLOOKUP($S217:$AL217,增益!$A:$A,增益!$S:$S,0)))+$B$12+SUM(_xlfn.XLOOKUP($S217:$AL217,增益!$A:$A,增益!$V:$V,0)))*IF(VLOOKUP($R217,武学奇术!$A:$ZZ,23,FALSE)=1,0,1)</f>
        <v>0.0913</v>
      </c>
      <c r="BS217" s="33" cm="1">
        <f t="array" ref="BS217">1+$B$14+VLOOKUP($R217,武学奇术!$A:$ZZ,20,FALSE)+SUM(_xlfn.XLOOKUP($S217:$AL217,增益!$A:$A,增益!$T:$T,0))</f>
        <v>1.35</v>
      </c>
      <c r="BT217" s="33">
        <f t="shared" si="58"/>
        <v>0.86580831</v>
      </c>
      <c r="BU217" s="33">
        <f t="shared" si="59"/>
        <v>0.02208246</v>
      </c>
      <c r="BV217" s="33">
        <f>IF(VLOOKUP($R217,武学奇术!$A:$ZZ,22,FALSE)=1,0,(1-$BO217))*(1-$BR217)</f>
        <v>0.02080923</v>
      </c>
      <c r="BW217" s="33" cm="1">
        <f t="array" ref="BW217">SUM(_xlfn.XLOOKUP($S217:$AL217,增益!$A:$A,增益!$W:$W,0))+$I$5</f>
        <v>0.11</v>
      </c>
      <c r="BX217" s="33" cm="1">
        <f t="array" ref="BX217">VLOOKUP($R217,武学奇术!$A:$ZZ,32,FALSE)+SUM(_xlfn.XLOOKUP($S217:$AL217,增益!$A:$A,增益!$X:$X,0))</f>
        <v>0</v>
      </c>
    </row>
    <row r="218" spans="12:76">
      <c r="L218" s="46">
        <f t="shared" si="49"/>
        <v>0</v>
      </c>
      <c r="M218" s="46">
        <f>((($AT218+$AU218)/2*$AN218+$AO218)*(1+$AV218)*(1+$AW218)+(($AY218+$AZ218)/2*IF($G$1="鸣金",$AP218,$AN218)+IF($G$1="鸣金",$AQ218*1.5,0))*(1+$BA218)*(1+$BB218)+(($BC218+$BD218)/2*IF($G$1="裂石",$AP218,$AN218)+IF($G$1="裂石",$AQ218*1.5,0))*(1+$BE218)*(1+$BF218)+(($BG218+$BH218)/2*IF($G$1="牵丝",$AP218,$AN218)+IF($G$1="牵丝",$AQ218*1.5,0))*(1+$BI218)*(1+$BJ218)+(($BK218+$BL218)/2*IF($G$1="破竹",$AP218,$AN218)+IF($G$1="破竹",$AQ218*1.5,0))*(1+$BM218)*(1+$BN218))*(1+$AR218)*$BQ218*$Q218*(1+IF(VLOOKUP($R218,武学奇术!$A:$ZZ,30,FALSE)="蓄力技",$B$21,0))*(1+IF(VLOOKUP($R218,武学奇术!$A:$ZZ,30,FALSE)="派生技",$B$20,0))*(1+$BW218)*(1+$BX218)</f>
        <v>0</v>
      </c>
      <c r="N218" s="46">
        <f>(($AU218*$AN218+$AO218)*(1+$AV218)*(1+$AW218)+($AZ218*IF($G$1="鸣金",$AP218,$AN218)+IF($G$1="鸣金",$AQ218*1.5,0))*(1+$BA218)*(1+$BB218)+($BD218*IF($G$1="裂石",$AP218,$AN218)+IF($G$1="裂石",$AQ218*1.5,0))*(1+$BE218)*(1+$BF218)+($BH218*IF($G$1="牵丝",$AP218,$AN218)+IF($G$1="牵丝",$AQ218*1.5,0))*(1+$BI218)*(1+$BJ218)+($BL218*IF($G$1="破竹",$AP218,$AN218)+IF($G$1="破竹",$AQ218*1.5,0))*(1+$BM218)*(1+$BN218))*(1+$AR218)*$BS218*$Q218*(1+IF(VLOOKUP($R218,武学奇术!$A:$ZZ,30,FALSE)="蓄力技",$B$21,0))*(1+IF(VLOOKUP($R218,武学奇术!$A:$ZZ,30,FALSE)="派生技",$B$20,0))*(1+$BW218)*(1+$BX218)</f>
        <v>0</v>
      </c>
      <c r="O218" s="46">
        <f>((($AT218+$AU218)/2*$AN218+$AO218)*(1+$AV218)*(1+$AW218)+(($AY218+$AZ218)/2*IF($G$1="鸣金",$AP218,$AN218)+IF($G$1="鸣金",$AQ218*1.5,0))*(1+$BA218)*(1+$BB218)+(($BC218+$BD218)/2*IF($G$1="裂石",$AP218,$AN218)+IF($G$1="裂石",$AQ218*1.5,0))*(1+$BE218)*(1+$BF218)+(($BG218+$BH218)/2*IF($G$1="牵丝",$AP218,$AN218)+IF($G$1="牵丝",$AQ218*1.5,0))*(1+$BI218)*(1+$BJ218)+(($BK218+$BL218)/2*IF($G$1="破竹",$AP218,$AN218)+IF($G$1="破竹",$AQ218*1.5,0))*(1+$BM218)*(1+$BN218))*(1+$AR218)*$Q218*(1+IF(VLOOKUP($R218,武学奇术!$A:$ZZ,30,FALSE)="蓄力技",$B$21,0))*(1+IF(VLOOKUP($R218,武学奇术!$A:$ZZ,30,FALSE)="派生技",$B$20,0))*(1+$BW218)*(1+$BX218)</f>
        <v>0</v>
      </c>
      <c r="P218" s="46">
        <f>((($AT218*$AN218+$AO218)*(1+$AV218)*(1+$AW218)+($AY218*IF($G$1="鸣金",$AP218,$AN218)+IF($G$1="鸣金",$AQ218*1.5,0))*(1+$BA218)*(1+$BB218)+($BC218*IF($G$1="裂石",$AP218,$AN218)+IF($G$1="裂石",$AQ218*1.5,0))*(1+$BE218)*(1+$BF218)+($BG218*IF($G$1="牵丝",$AP218,$AN218)+IF($G$1="牵丝",$AQ218*1.5,0))*(1+$BI218)*(1+$BJ218)+($BK218*IF($G$1="破竹",$AP218,$AN218)+IF($G$1="破竹",$AQ218*1.5,0))*(1+$BM218)*(1+$BN218))*(1+$AR218))*$Q218*(1+IF(VLOOKUP($R218,武学奇术!$A:$ZZ,30,FALSE)="蓄力技",$B$21,0))*(1+IF(VLOOKUP($R218,武学奇术!$A:$ZZ,30,FALSE)="派生技",$B$20,0))*(1+$BW218)*(1+$BX218)</f>
        <v>0</v>
      </c>
      <c r="Q218" s="47">
        <f t="shared" si="61"/>
        <v>0</v>
      </c>
      <c r="R218" s="48" t="s">
        <v>199</v>
      </c>
      <c r="S218" s="48" t="s">
        <v>99</v>
      </c>
      <c r="T218" s="48" t="s">
        <v>182</v>
      </c>
      <c r="U218" s="48" t="s">
        <v>79</v>
      </c>
      <c r="V218" s="48" t="s">
        <v>90</v>
      </c>
      <c r="W218" s="48" t="s">
        <v>141</v>
      </c>
      <c r="X218" s="48" t="s">
        <v>80</v>
      </c>
      <c r="Y218" s="48" t="s">
        <v>74</v>
      </c>
      <c r="Z218" s="48" t="s">
        <v>80</v>
      </c>
      <c r="AA218" s="48" t="s">
        <v>80</v>
      </c>
      <c r="AB218" s="48" t="s">
        <v>80</v>
      </c>
      <c r="AC218" s="48" t="s">
        <v>193</v>
      </c>
      <c r="AD218" s="48" t="s">
        <v>80</v>
      </c>
      <c r="AE218" s="48" t="s">
        <v>80</v>
      </c>
      <c r="AF218" s="48" t="s">
        <v>83</v>
      </c>
      <c r="AG218" s="48" t="s">
        <v>84</v>
      </c>
      <c r="AH218" s="48" t="s">
        <v>80</v>
      </c>
      <c r="AI218" s="48" t="s">
        <v>80</v>
      </c>
      <c r="AJ218" s="48" t="s">
        <v>80</v>
      </c>
      <c r="AK218" s="48" t="s">
        <v>80</v>
      </c>
      <c r="AL218" s="48" t="s">
        <v>80</v>
      </c>
      <c r="AM218" t="str">
        <f>VLOOKUP($R218,武学奇术!$A:$ZZ,25,FALSE)</f>
        <v>横刀</v>
      </c>
      <c r="AN218" s="33">
        <f>VLOOKUP($R218,武学奇术!$A:$ZZ,26,FALSE)</f>
        <v>2.8245</v>
      </c>
      <c r="AO218" s="34">
        <f>VLOOKUP($R218,武学奇术!$A:$ZZ,27,FALSE)*(1+IF(OR($AM218=$F$4,$AM218=$F$5),$B$22,0))</f>
        <v>1251.2</v>
      </c>
      <c r="AP218" s="33">
        <f>VLOOKUP($R218,武学奇术!$A:$ZZ,28,FALSE)</f>
        <v>4.236808</v>
      </c>
      <c r="AQ218" s="34">
        <f>VLOOKUP($R218,武学奇术!$A:$ZZ,29,FALSE)*(1+IF(OR($AM218=$F$4,$AM218=$F$5),$B$22,0))</f>
        <v>680</v>
      </c>
      <c r="AR218" s="33" cm="1">
        <f t="array" ref="AR218">$G$3+IFERROR(VLOOKUP($AM218,$F$4:$G$7,2,FALSE),0)+VLOOKUP($R218,武学奇术!$A:$ZZ,2,FALSE)+SUM(_xlfn.XLOOKUP($S218:$AL218,增益!$A:$A,增益!$B:$B,0))</f>
        <v>0.6289</v>
      </c>
      <c r="AS218" s="33" cm="1">
        <f t="array" ref="AS218">VLOOKUP($R218,武学奇术!$A:$ZZ,5,FALSE)+SUM(_xlfn.XLOOKUP($S218:$AL218,增益!$A:$A,增益!$E:$E,0))</f>
        <v>0</v>
      </c>
      <c r="AT218" cm="1">
        <f t="array" ref="AT218">$D$10*(1+$AS218)+VLOOKUP($R218,武学奇术!$A:$ZZ,3,FALSE)+SUM(_xlfn.XLOOKUP($S218:$AL218,增益!$A:$A,增益!$C:$C,0))-$I$2</f>
        <v>4026</v>
      </c>
      <c r="AU218" cm="1">
        <f t="array" ref="AU218">$E$10*(1+$AS218)+VLOOKUP($R218,武学奇术!$A:$ZZ,4,FALSE)+SUM(_xlfn.XLOOKUP($S218:$AL218,增益!$A:$A,增益!$D:$D,0))-$I$2</f>
        <v>4026</v>
      </c>
      <c r="AV218" s="40" cm="1">
        <f t="array" ref="AV218">IF($F$10-$I$3+VLOOKUP($R218,武学奇术!$A:$ZZ,6,FALSE)+SUM(_xlfn.XLOOKUP($S218:$AL218,增益!$A:$A,增益!$F:$F,0))&gt;0,($F$10-$I$3+VLOOKUP($R218,武学奇术!$A:$ZZ,6,FALSE)+SUM(_xlfn.XLOOKUP($S218:$AL218,增益!$A:$A,增益!$F:$F,0)))/200,($F$10-$I$3+VLOOKUP($R218,武学奇术!$A:$ZZ,6,FALSE)+SUM(_xlfn.XLOOKUP($S218:$AL218,增益!$A:$A,增益!$F:$F,0)))/100)</f>
        <v>0.3534</v>
      </c>
      <c r="AW218" s="40" cm="1">
        <f t="array" ref="AW218">$G$10+VLOOKUP($R218,武学奇术!$A:$ZZ,7,FALSE)+SUM(_xlfn.XLOOKUP($S218:$AL218,增益!$A:$A,增益!$G:$G,0))</f>
        <v>0.12</v>
      </c>
      <c r="AX218" s="33" cm="1">
        <f t="array" ref="AX218">VLOOKUP($R218,武学奇术!$A:$ZZ,8,FALSE)+SUM(_xlfn.XLOOKUP($S218:$AL218,增益!$A:$A,增益!$H:$H,0))</f>
        <v>0</v>
      </c>
      <c r="AY218">
        <f t="shared" si="50"/>
        <v>0</v>
      </c>
      <c r="AZ218">
        <f t="shared" si="51"/>
        <v>0</v>
      </c>
      <c r="BA218" s="40" cm="1">
        <f t="array" ref="BA218">IF($F$11-$I$4+VLOOKUP($R218,武学奇术!$A:$ZZ,9,FALSE)+SUM(_xlfn.XLOOKUP($S218:$AL218,增益!$A:$A,增益!$I:$I,0))&gt;0,($F$11-$I$4+VLOOKUP($R218,武学奇术!$A:$ZZ,9,FALSE)+SUM(_xlfn.XLOOKUP($S218:$AL218,增益!$A:$A,增益!$I:$I,0)))/200,($F$11-$I$4+VLOOKUP($R218,武学奇术!$A:$ZZ,9,FALSE)+SUM(_xlfn.XLOOKUP($S218:$AL218,增益!$A:$A,增益!$I:$I,0)))/100)</f>
        <v>-0.14</v>
      </c>
      <c r="BB218" s="40" cm="1">
        <f t="array" ref="BB218">$G$11+VLOOKUP($R218,武学奇术!$A:$ZZ,10,FALSE)+SUM(_xlfn.XLOOKUP($S218:$AL218,增益!$A:$A,增益!$J:$J,0))</f>
        <v>0</v>
      </c>
      <c r="BC218">
        <f t="shared" si="52"/>
        <v>640.3</v>
      </c>
      <c r="BD218">
        <f t="shared" si="53"/>
        <v>1770.1</v>
      </c>
      <c r="BE218" s="40" cm="1">
        <f t="array" ref="BE218">IF($F$12-$I$4+VLOOKUP($R218,武学奇术!$A:$ZZ,11,FALSE)+SUM(_xlfn.XLOOKUP($S218:$AL218,增益!$A:$A,增益!$K:$K,0))&gt;0,($F$12-$I$4+VLOOKUP($R218,武学奇术!$A:$ZZ,11,FALSE)+SUM(_xlfn.XLOOKUP($S218:$AL218,增益!$A:$A,增益!$K:$K,0)))/200,($F$12-$I$4+VLOOKUP($R218,武学奇术!$A:$ZZ,11,FALSE)+SUM(_xlfn.XLOOKUP($S218:$AL218,增益!$A:$A,增益!$K:$K,0)))/100)</f>
        <v>0.17</v>
      </c>
      <c r="BF218" s="40" cm="1">
        <f t="array" ref="BF218">$G$12+VLOOKUP($R218,武学奇术!$A:$ZZ,12,FALSE)+SUM(_xlfn.XLOOKUP($S218:$AL218,增益!$A:$A,增益!$L:$L,0))</f>
        <v>0.27</v>
      </c>
      <c r="BG218">
        <f t="shared" si="54"/>
        <v>0</v>
      </c>
      <c r="BH218">
        <f t="shared" si="55"/>
        <v>0</v>
      </c>
      <c r="BI218" s="40" cm="1">
        <f t="array" ref="BI218">IF($F$13-$I$4+VLOOKUP($R218,武学奇术!$A:$ZZ,13,FALSE)+SUM(_xlfn.XLOOKUP($S218:$AL218,增益!$A:$A,增益!$M:$M,0))&gt;0,($F$13-$I$4+VLOOKUP($R218,武学奇术!$A:$ZZ,13,FALSE)+SUM(_xlfn.XLOOKUP($S218:$AL218,增益!$A:$A,增益!$K:$K,0)))/200,($F$13-$I$4+VLOOKUP($R218,武学奇术!$A:$ZZ,13,FALSE)+SUM(_xlfn.XLOOKUP($S218:$AL218,增益!$A:$A,增益!$M:$M,0)))/100)</f>
        <v>-0.14</v>
      </c>
      <c r="BJ218" s="40" cm="1">
        <f t="array" ref="BJ218">$G$13+VLOOKUP($R218,武学奇术!$A:$ZZ,14,FALSE)+SUM(_xlfn.XLOOKUP($S218:$AL218,增益!$A:$A,增益!$N:$N,0))</f>
        <v>0</v>
      </c>
      <c r="BK218">
        <f t="shared" si="56"/>
        <v>0</v>
      </c>
      <c r="BL218">
        <f t="shared" si="57"/>
        <v>0</v>
      </c>
      <c r="BM218" s="40" cm="1">
        <f t="array" ref="BM218">IF($F$14-$I$4+VLOOKUP($R218,武学奇术!$A:$ZZ,15,FALSE)+SUM(_xlfn.XLOOKUP($S218:$AL218,增益!$A:$A,增益!$O:$O,0))&gt;0,($F$14-$I$4+VLOOKUP($R218,武学奇术!$A:$ZZ,15,FALSE)+SUM(_xlfn.XLOOKUP($S218:$AL218,增益!$A:$A,增益!$O:$O,0)))/200,($F$14-$I$4+VLOOKUP($R218,武学奇术!$A:$ZZ,15,FALSE)+SUM(_xlfn.XLOOKUP($S218:$AL218,增益!$A:$A,增益!$O:$O,0)))/100)</f>
        <v>-0.14</v>
      </c>
      <c r="BN218" s="40" cm="1">
        <f t="array" ref="BN218">$G$14+VLOOKUP($R218,武学奇术!$A:$ZZ,16,FALSE)+SUM(_xlfn.XLOOKUP($S218:$AL218,增益!$A:$A,增益!$P:$P,0))</f>
        <v>0</v>
      </c>
      <c r="BO218" s="33">
        <f>MIN(IF(VLOOKUP($R218,武学奇术!$A:$ZZ,23,FALSE)=1,100%,$B$8),100%)</f>
        <v>0.9771</v>
      </c>
      <c r="BP218" s="33" cm="1">
        <f t="array" ref="BP218">IF(VLOOKUP($R218,武学奇术!$A:$ZZ,23,FALSE)=1,100%,MIN(80%,$B$9+VLOOKUP($R218,武学奇术!$A:$ZZ,17,FALSE)+SUM(_xlfn.XLOOKUP($S218:$AL218,增益!$A:$A,增益!$Q:$Q,0)))+$B$11+SUM(_xlfn.XLOOKUP($S218:$AL218,增益!$A:$A,增益!$U:$U,0)))*IF(VLOOKUP($R218,武学奇术!$A:$ZZ,24,FALSE)=1,0,1)</f>
        <v>0.8861</v>
      </c>
      <c r="BQ218" s="33" cm="1">
        <f t="array" ref="BQ218">1+$B$13+VLOOKUP($R218,武学奇术!$A:$ZZ,18,FALSE)+SUM(_xlfn.XLOOKUP($S218:$AL218,增益!$A:$A,增益!$R:$R,0))</f>
        <v>2</v>
      </c>
      <c r="BR218" s="33" cm="1">
        <f t="array" ref="BR218">IF(VLOOKUP($R218,武学奇术!$A:$ZZ,24,FALSE)=1,100%,MIN(40%,$B$10+VLOOKUP($R218,武学奇术!$A:$ZZ,19,FALSE)+SUM(_xlfn.XLOOKUP($S218:$AL218,增益!$A:$A,增益!$S:$S,0)))+$B$12+SUM(_xlfn.XLOOKUP($S218:$AL218,增益!$A:$A,增益!$V:$V,0)))*IF(VLOOKUP($R218,武学奇术!$A:$ZZ,23,FALSE)=1,0,1)</f>
        <v>0.0913</v>
      </c>
      <c r="BS218" s="33" cm="1">
        <f t="array" ref="BS218">1+$B$14+VLOOKUP($R218,武学奇术!$A:$ZZ,20,FALSE)+SUM(_xlfn.XLOOKUP($S218:$AL218,增益!$A:$A,增益!$T:$T,0))</f>
        <v>1.35</v>
      </c>
      <c r="BT218" s="33">
        <f t="shared" si="58"/>
        <v>0.86580831</v>
      </c>
      <c r="BU218" s="33">
        <f t="shared" si="59"/>
        <v>0.02208246</v>
      </c>
      <c r="BV218" s="33">
        <f>IF(VLOOKUP($R218,武学奇术!$A:$ZZ,22,FALSE)=1,0,(1-$BO218))*(1-$BR218)</f>
        <v>0.02080923</v>
      </c>
      <c r="BW218" s="33" cm="1">
        <f t="array" ref="BW218">SUM(_xlfn.XLOOKUP($S218:$AL218,增益!$A:$A,增益!$W:$W,0))+$I$5</f>
        <v>0.11</v>
      </c>
      <c r="BX218" s="33" cm="1">
        <f t="array" ref="BX218">VLOOKUP($R218,武学奇术!$A:$ZZ,32,FALSE)+SUM(_xlfn.XLOOKUP($S218:$AL218,增益!$A:$A,增益!$X:$X,0))</f>
        <v>0</v>
      </c>
    </row>
    <row r="219" spans="12:76">
      <c r="L219" s="46">
        <f t="shared" si="49"/>
        <v>0</v>
      </c>
      <c r="M219" s="46">
        <f>((($AT219+$AU219)/2*$AN219+$AO219)*(1+$AV219)*(1+$AW219)+(($AY219+$AZ219)/2*IF($G$1="鸣金",$AP219,$AN219)+IF($G$1="鸣金",$AQ219*1.5,0))*(1+$BA219)*(1+$BB219)+(($BC219+$BD219)/2*IF($G$1="裂石",$AP219,$AN219)+IF($G$1="裂石",$AQ219*1.5,0))*(1+$BE219)*(1+$BF219)+(($BG219+$BH219)/2*IF($G$1="牵丝",$AP219,$AN219)+IF($G$1="牵丝",$AQ219*1.5,0))*(1+$BI219)*(1+$BJ219)+(($BK219+$BL219)/2*IF($G$1="破竹",$AP219,$AN219)+IF($G$1="破竹",$AQ219*1.5,0))*(1+$BM219)*(1+$BN219))*(1+$AR219)*$BQ219*$Q219*(1+IF(VLOOKUP($R219,武学奇术!$A:$ZZ,30,FALSE)="蓄力技",$B$21,0))*(1+IF(VLOOKUP($R219,武学奇术!$A:$ZZ,30,FALSE)="派生技",$B$20,0))*(1+$BW219)*(1+$BX219)</f>
        <v>0</v>
      </c>
      <c r="N219" s="46">
        <f>(($AU219*$AN219+$AO219)*(1+$AV219)*(1+$AW219)+($AZ219*IF($G$1="鸣金",$AP219,$AN219)+IF($G$1="鸣金",$AQ219*1.5,0))*(1+$BA219)*(1+$BB219)+($BD219*IF($G$1="裂石",$AP219,$AN219)+IF($G$1="裂石",$AQ219*1.5,0))*(1+$BE219)*(1+$BF219)+($BH219*IF($G$1="牵丝",$AP219,$AN219)+IF($G$1="牵丝",$AQ219*1.5,0))*(1+$BI219)*(1+$BJ219)+($BL219*IF($G$1="破竹",$AP219,$AN219)+IF($G$1="破竹",$AQ219*1.5,0))*(1+$BM219)*(1+$BN219))*(1+$AR219)*$BS219*$Q219*(1+IF(VLOOKUP($R219,武学奇术!$A:$ZZ,30,FALSE)="蓄力技",$B$21,0))*(1+IF(VLOOKUP($R219,武学奇术!$A:$ZZ,30,FALSE)="派生技",$B$20,0))*(1+$BW219)*(1+$BX219)</f>
        <v>0</v>
      </c>
      <c r="O219" s="46">
        <f>((($AT219+$AU219)/2*$AN219+$AO219)*(1+$AV219)*(1+$AW219)+(($AY219+$AZ219)/2*IF($G$1="鸣金",$AP219,$AN219)+IF($G$1="鸣金",$AQ219*1.5,0))*(1+$BA219)*(1+$BB219)+(($BC219+$BD219)/2*IF($G$1="裂石",$AP219,$AN219)+IF($G$1="裂石",$AQ219*1.5,0))*(1+$BE219)*(1+$BF219)+(($BG219+$BH219)/2*IF($G$1="牵丝",$AP219,$AN219)+IF($G$1="牵丝",$AQ219*1.5,0))*(1+$BI219)*(1+$BJ219)+(($BK219+$BL219)/2*IF($G$1="破竹",$AP219,$AN219)+IF($G$1="破竹",$AQ219*1.5,0))*(1+$BM219)*(1+$BN219))*(1+$AR219)*$Q219*(1+IF(VLOOKUP($R219,武学奇术!$A:$ZZ,30,FALSE)="蓄力技",$B$21,0))*(1+IF(VLOOKUP($R219,武学奇术!$A:$ZZ,30,FALSE)="派生技",$B$20,0))*(1+$BW219)*(1+$BX219)</f>
        <v>0</v>
      </c>
      <c r="P219" s="46">
        <f>((($AT219*$AN219+$AO219)*(1+$AV219)*(1+$AW219)+($AY219*IF($G$1="鸣金",$AP219,$AN219)+IF($G$1="鸣金",$AQ219*1.5,0))*(1+$BA219)*(1+$BB219)+($BC219*IF($G$1="裂石",$AP219,$AN219)+IF($G$1="裂石",$AQ219*1.5,0))*(1+$BE219)*(1+$BF219)+($BG219*IF($G$1="牵丝",$AP219,$AN219)+IF($G$1="牵丝",$AQ219*1.5,0))*(1+$BI219)*(1+$BJ219)+($BK219*IF($G$1="破竹",$AP219,$AN219)+IF($G$1="破竹",$AQ219*1.5,0))*(1+$BM219)*(1+$BN219))*(1+$AR219))*$Q219*(1+IF(VLOOKUP($R219,武学奇术!$A:$ZZ,30,FALSE)="蓄力技",$B$21,0))*(1+IF(VLOOKUP($R219,武学奇术!$A:$ZZ,30,FALSE)="派生技",$B$20,0))*(1+$BW219)*(1+$BX219)</f>
        <v>0</v>
      </c>
      <c r="Q219" s="47">
        <f t="shared" si="61"/>
        <v>0</v>
      </c>
      <c r="R219" s="48" t="s">
        <v>122</v>
      </c>
      <c r="S219" s="48" t="s">
        <v>99</v>
      </c>
      <c r="T219" s="48" t="s">
        <v>182</v>
      </c>
      <c r="U219" s="48" t="s">
        <v>79</v>
      </c>
      <c r="V219" s="48" t="s">
        <v>90</v>
      </c>
      <c r="W219" s="48" t="s">
        <v>141</v>
      </c>
      <c r="X219" s="48" t="s">
        <v>80</v>
      </c>
      <c r="Y219" s="48" t="s">
        <v>74</v>
      </c>
      <c r="Z219" s="48" t="s">
        <v>80</v>
      </c>
      <c r="AA219" s="48" t="s">
        <v>80</v>
      </c>
      <c r="AB219" s="48" t="s">
        <v>80</v>
      </c>
      <c r="AC219" s="48" t="s">
        <v>193</v>
      </c>
      <c r="AD219" s="48" t="s">
        <v>80</v>
      </c>
      <c r="AE219" s="48" t="s">
        <v>80</v>
      </c>
      <c r="AF219" s="48" t="s">
        <v>83</v>
      </c>
      <c r="AG219" s="48" t="s">
        <v>84</v>
      </c>
      <c r="AH219" s="48" t="s">
        <v>80</v>
      </c>
      <c r="AI219" s="48" t="s">
        <v>80</v>
      </c>
      <c r="AJ219" s="48" t="s">
        <v>80</v>
      </c>
      <c r="AK219" s="48" t="s">
        <v>80</v>
      </c>
      <c r="AL219" s="48" t="s">
        <v>80</v>
      </c>
      <c r="AM219" t="str">
        <f>VLOOKUP($R219,武学奇术!$A:$ZZ,25,FALSE)</f>
        <v>横刀</v>
      </c>
      <c r="AN219" s="33">
        <f>VLOOKUP($R219,武学奇术!$A:$ZZ,26,FALSE)</f>
        <v>1.47</v>
      </c>
      <c r="AO219" s="34">
        <f>VLOOKUP($R219,武学奇术!$A:$ZZ,27,FALSE)*(1+IF(OR($AM219=$F$4,$AM219=$F$5),$B$22,0))</f>
        <v>0</v>
      </c>
      <c r="AP219" s="33">
        <f>VLOOKUP($R219,武学奇术!$A:$ZZ,28,FALSE)</f>
        <v>2.205</v>
      </c>
      <c r="AQ219" s="34">
        <f>VLOOKUP($R219,武学奇术!$A:$ZZ,29,FALSE)*(1+IF(OR($AM219=$F$4,$AM219=$F$5),$B$22,0))</f>
        <v>0</v>
      </c>
      <c r="AR219" s="33" cm="1">
        <f t="array" ref="AR219">$G$3+IFERROR(VLOOKUP($AM219,$F$4:$G$7,2,FALSE),0)+VLOOKUP($R219,武学奇术!$A:$ZZ,2,FALSE)+SUM(_xlfn.XLOOKUP($S219:$AL219,增益!$A:$A,增益!$B:$B,0))</f>
        <v>0.5289</v>
      </c>
      <c r="AS219" s="33" cm="1">
        <f t="array" ref="AS219">VLOOKUP($R219,武学奇术!$A:$ZZ,5,FALSE)+SUM(_xlfn.XLOOKUP($S219:$AL219,增益!$A:$A,增益!$E:$E,0))</f>
        <v>0</v>
      </c>
      <c r="AT219" cm="1">
        <f t="array" ref="AT219">$D$10*(1+$AS219)+VLOOKUP($R219,武学奇术!$A:$ZZ,3,FALSE)+SUM(_xlfn.XLOOKUP($S219:$AL219,增益!$A:$A,增益!$C:$C,0))-$I$2</f>
        <v>4026</v>
      </c>
      <c r="AU219" cm="1">
        <f t="array" ref="AU219">$E$10*(1+$AS219)+VLOOKUP($R219,武学奇术!$A:$ZZ,4,FALSE)+SUM(_xlfn.XLOOKUP($S219:$AL219,增益!$A:$A,增益!$D:$D,0))-$I$2</f>
        <v>4026</v>
      </c>
      <c r="AV219" s="40" cm="1">
        <f t="array" ref="AV219">IF($F$10-$I$3+VLOOKUP($R219,武学奇术!$A:$ZZ,6,FALSE)+SUM(_xlfn.XLOOKUP($S219:$AL219,增益!$A:$A,增益!$F:$F,0))&gt;0,($F$10-$I$3+VLOOKUP($R219,武学奇术!$A:$ZZ,6,FALSE)+SUM(_xlfn.XLOOKUP($S219:$AL219,增益!$A:$A,增益!$F:$F,0)))/200,($F$10-$I$3+VLOOKUP($R219,武学奇术!$A:$ZZ,6,FALSE)+SUM(_xlfn.XLOOKUP($S219:$AL219,增益!$A:$A,增益!$F:$F,0)))/100)</f>
        <v>0.3534</v>
      </c>
      <c r="AW219" s="40" cm="1">
        <f t="array" ref="AW219">$G$10+VLOOKUP($R219,武学奇术!$A:$ZZ,7,FALSE)+SUM(_xlfn.XLOOKUP($S219:$AL219,增益!$A:$A,增益!$G:$G,0))</f>
        <v>0.12</v>
      </c>
      <c r="AX219" s="33" cm="1">
        <f t="array" ref="AX219">VLOOKUP($R219,武学奇术!$A:$ZZ,8,FALSE)+SUM(_xlfn.XLOOKUP($S219:$AL219,增益!$A:$A,增益!$H:$H,0))</f>
        <v>0</v>
      </c>
      <c r="AY219">
        <f t="shared" si="50"/>
        <v>0</v>
      </c>
      <c r="AZ219">
        <f t="shared" si="51"/>
        <v>0</v>
      </c>
      <c r="BA219" s="40" cm="1">
        <f t="array" ref="BA219">IF($F$11-$I$4+VLOOKUP($R219,武学奇术!$A:$ZZ,9,FALSE)+SUM(_xlfn.XLOOKUP($S219:$AL219,增益!$A:$A,增益!$I:$I,0))&gt;0,($F$11-$I$4+VLOOKUP($R219,武学奇术!$A:$ZZ,9,FALSE)+SUM(_xlfn.XLOOKUP($S219:$AL219,增益!$A:$A,增益!$I:$I,0)))/200,($F$11-$I$4+VLOOKUP($R219,武学奇术!$A:$ZZ,9,FALSE)+SUM(_xlfn.XLOOKUP($S219:$AL219,增益!$A:$A,增益!$I:$I,0)))/100)</f>
        <v>-0.14</v>
      </c>
      <c r="BB219" s="40" cm="1">
        <f t="array" ref="BB219">$G$11+VLOOKUP($R219,武学奇术!$A:$ZZ,10,FALSE)+SUM(_xlfn.XLOOKUP($S219:$AL219,增益!$A:$A,增益!$J:$J,0))</f>
        <v>0</v>
      </c>
      <c r="BC219">
        <f t="shared" si="52"/>
        <v>640.3</v>
      </c>
      <c r="BD219">
        <f t="shared" si="53"/>
        <v>1770.1</v>
      </c>
      <c r="BE219" s="40" cm="1">
        <f t="array" ref="BE219">IF($F$12-$I$4+VLOOKUP($R219,武学奇术!$A:$ZZ,11,FALSE)+SUM(_xlfn.XLOOKUP($S219:$AL219,增益!$A:$A,增益!$K:$K,0))&gt;0,($F$12-$I$4+VLOOKUP($R219,武学奇术!$A:$ZZ,11,FALSE)+SUM(_xlfn.XLOOKUP($S219:$AL219,增益!$A:$A,增益!$K:$K,0)))/200,($F$12-$I$4+VLOOKUP($R219,武学奇术!$A:$ZZ,11,FALSE)+SUM(_xlfn.XLOOKUP($S219:$AL219,增益!$A:$A,增益!$K:$K,0)))/100)</f>
        <v>0.17</v>
      </c>
      <c r="BF219" s="40" cm="1">
        <f t="array" ref="BF219">$G$12+VLOOKUP($R219,武学奇术!$A:$ZZ,12,FALSE)+SUM(_xlfn.XLOOKUP($S219:$AL219,增益!$A:$A,增益!$L:$L,0))</f>
        <v>0.27</v>
      </c>
      <c r="BG219">
        <f t="shared" si="54"/>
        <v>0</v>
      </c>
      <c r="BH219">
        <f t="shared" si="55"/>
        <v>0</v>
      </c>
      <c r="BI219" s="40" cm="1">
        <f t="array" ref="BI219">IF($F$13-$I$4+VLOOKUP($R219,武学奇术!$A:$ZZ,13,FALSE)+SUM(_xlfn.XLOOKUP($S219:$AL219,增益!$A:$A,增益!$M:$M,0))&gt;0,($F$13-$I$4+VLOOKUP($R219,武学奇术!$A:$ZZ,13,FALSE)+SUM(_xlfn.XLOOKUP($S219:$AL219,增益!$A:$A,增益!$K:$K,0)))/200,($F$13-$I$4+VLOOKUP($R219,武学奇术!$A:$ZZ,13,FALSE)+SUM(_xlfn.XLOOKUP($S219:$AL219,增益!$A:$A,增益!$M:$M,0)))/100)</f>
        <v>-0.14</v>
      </c>
      <c r="BJ219" s="40" cm="1">
        <f t="array" ref="BJ219">$G$13+VLOOKUP($R219,武学奇术!$A:$ZZ,14,FALSE)+SUM(_xlfn.XLOOKUP($S219:$AL219,增益!$A:$A,增益!$N:$N,0))</f>
        <v>0</v>
      </c>
      <c r="BK219">
        <f t="shared" si="56"/>
        <v>0</v>
      </c>
      <c r="BL219">
        <f t="shared" si="57"/>
        <v>0</v>
      </c>
      <c r="BM219" s="40" cm="1">
        <f t="array" ref="BM219">IF($F$14-$I$4+VLOOKUP($R219,武学奇术!$A:$ZZ,15,FALSE)+SUM(_xlfn.XLOOKUP($S219:$AL219,增益!$A:$A,增益!$O:$O,0))&gt;0,($F$14-$I$4+VLOOKUP($R219,武学奇术!$A:$ZZ,15,FALSE)+SUM(_xlfn.XLOOKUP($S219:$AL219,增益!$A:$A,增益!$O:$O,0)))/200,($F$14-$I$4+VLOOKUP($R219,武学奇术!$A:$ZZ,15,FALSE)+SUM(_xlfn.XLOOKUP($S219:$AL219,增益!$A:$A,增益!$O:$O,0)))/100)</f>
        <v>-0.14</v>
      </c>
      <c r="BN219" s="40" cm="1">
        <f t="array" ref="BN219">$G$14+VLOOKUP($R219,武学奇术!$A:$ZZ,16,FALSE)+SUM(_xlfn.XLOOKUP($S219:$AL219,增益!$A:$A,增益!$P:$P,0))</f>
        <v>0</v>
      </c>
      <c r="BO219" s="33">
        <f>MIN(IF(VLOOKUP($R219,武学奇术!$A:$ZZ,23,FALSE)=1,100%,$B$8),100%)</f>
        <v>0.9771</v>
      </c>
      <c r="BP219" s="33" cm="1">
        <f t="array" ref="BP219">IF(VLOOKUP($R219,武学奇术!$A:$ZZ,23,FALSE)=1,100%,MIN(80%,$B$9+VLOOKUP($R219,武学奇术!$A:$ZZ,17,FALSE)+SUM(_xlfn.XLOOKUP($S219:$AL219,增益!$A:$A,增益!$Q:$Q,0)))+$B$11+SUM(_xlfn.XLOOKUP($S219:$AL219,增益!$A:$A,增益!$U:$U,0)))*IF(VLOOKUP($R219,武学奇术!$A:$ZZ,24,FALSE)=1,0,1)</f>
        <v>0.8861</v>
      </c>
      <c r="BQ219" s="33" cm="1">
        <f t="array" ref="BQ219">1+$B$13+VLOOKUP($R219,武学奇术!$A:$ZZ,18,FALSE)+SUM(_xlfn.XLOOKUP($S219:$AL219,增益!$A:$A,增益!$R:$R,0))</f>
        <v>2</v>
      </c>
      <c r="BR219" s="33" cm="1">
        <f t="array" ref="BR219">IF(VLOOKUP($R219,武学奇术!$A:$ZZ,24,FALSE)=1,100%,MIN(40%,$B$10+VLOOKUP($R219,武学奇术!$A:$ZZ,19,FALSE)+SUM(_xlfn.XLOOKUP($S219:$AL219,增益!$A:$A,增益!$S:$S,0)))+$B$12+SUM(_xlfn.XLOOKUP($S219:$AL219,增益!$A:$A,增益!$V:$V,0)))*IF(VLOOKUP($R219,武学奇术!$A:$ZZ,23,FALSE)=1,0,1)</f>
        <v>0.0913</v>
      </c>
      <c r="BS219" s="33" cm="1">
        <f t="array" ref="BS219">1+$B$14+VLOOKUP($R219,武学奇术!$A:$ZZ,20,FALSE)+SUM(_xlfn.XLOOKUP($S219:$AL219,增益!$A:$A,增益!$T:$T,0))</f>
        <v>1.35</v>
      </c>
      <c r="BT219" s="33">
        <f t="shared" si="58"/>
        <v>0.86580831</v>
      </c>
      <c r="BU219" s="33">
        <f t="shared" si="59"/>
        <v>0.02208246</v>
      </c>
      <c r="BV219" s="33">
        <f>IF(VLOOKUP($R219,武学奇术!$A:$ZZ,22,FALSE)=1,0,(1-$BO219))*(1-$BR219)</f>
        <v>0.02080923</v>
      </c>
      <c r="BW219" s="33" cm="1">
        <f t="array" ref="BW219">SUM(_xlfn.XLOOKUP($S219:$AL219,增益!$A:$A,增益!$W:$W,0))+$I$5</f>
        <v>0.11</v>
      </c>
      <c r="BX219" s="33" cm="1">
        <f t="array" ref="BX219">VLOOKUP($R219,武学奇术!$A:$ZZ,32,FALSE)+SUM(_xlfn.XLOOKUP($S219:$AL219,增益!$A:$A,增益!$X:$X,0))</f>
        <v>0</v>
      </c>
    </row>
    <row r="220" spans="12:76">
      <c r="L220" s="46">
        <f t="shared" si="49"/>
        <v>0</v>
      </c>
      <c r="M220" s="46">
        <f>((($AT220+$AU220)/2*$AN220+$AO220)*(1+$AV220)*(1+$AW220)+(($AY220+$AZ220)/2*IF($G$1="鸣金",$AP220,$AN220)+IF($G$1="鸣金",$AQ220*1.5,0))*(1+$BA220)*(1+$BB220)+(($BC220+$BD220)/2*IF($G$1="裂石",$AP220,$AN220)+IF($G$1="裂石",$AQ220*1.5,0))*(1+$BE220)*(1+$BF220)+(($BG220+$BH220)/2*IF($G$1="牵丝",$AP220,$AN220)+IF($G$1="牵丝",$AQ220*1.5,0))*(1+$BI220)*(1+$BJ220)+(($BK220+$BL220)/2*IF($G$1="破竹",$AP220,$AN220)+IF($G$1="破竹",$AQ220*1.5,0))*(1+$BM220)*(1+$BN220))*(1+$AR220)*$BQ220*$Q220*(1+IF(VLOOKUP($R220,武学奇术!$A:$ZZ,30,FALSE)="蓄力技",$B$21,0))*(1+IF(VLOOKUP($R220,武学奇术!$A:$ZZ,30,FALSE)="派生技",$B$20,0))*(1+$BW220)*(1+$BX220)</f>
        <v>0</v>
      </c>
      <c r="N220" s="46">
        <f>(($AU220*$AN220+$AO220)*(1+$AV220)*(1+$AW220)+($AZ220*IF($G$1="鸣金",$AP220,$AN220)+IF($G$1="鸣金",$AQ220*1.5,0))*(1+$BA220)*(1+$BB220)+($BD220*IF($G$1="裂石",$AP220,$AN220)+IF($G$1="裂石",$AQ220*1.5,0))*(1+$BE220)*(1+$BF220)+($BH220*IF($G$1="牵丝",$AP220,$AN220)+IF($G$1="牵丝",$AQ220*1.5,0))*(1+$BI220)*(1+$BJ220)+($BL220*IF($G$1="破竹",$AP220,$AN220)+IF($G$1="破竹",$AQ220*1.5,0))*(1+$BM220)*(1+$BN220))*(1+$AR220)*$BS220*$Q220*(1+IF(VLOOKUP($R220,武学奇术!$A:$ZZ,30,FALSE)="蓄力技",$B$21,0))*(1+IF(VLOOKUP($R220,武学奇术!$A:$ZZ,30,FALSE)="派生技",$B$20,0))*(1+$BW220)*(1+$BX220)</f>
        <v>0</v>
      </c>
      <c r="O220" s="46">
        <f>((($AT220+$AU220)/2*$AN220+$AO220)*(1+$AV220)*(1+$AW220)+(($AY220+$AZ220)/2*IF($G$1="鸣金",$AP220,$AN220)+IF($G$1="鸣金",$AQ220*1.5,0))*(1+$BA220)*(1+$BB220)+(($BC220+$BD220)/2*IF($G$1="裂石",$AP220,$AN220)+IF($G$1="裂石",$AQ220*1.5,0))*(1+$BE220)*(1+$BF220)+(($BG220+$BH220)/2*IF($G$1="牵丝",$AP220,$AN220)+IF($G$1="牵丝",$AQ220*1.5,0))*(1+$BI220)*(1+$BJ220)+(($BK220+$BL220)/2*IF($G$1="破竹",$AP220,$AN220)+IF($G$1="破竹",$AQ220*1.5,0))*(1+$BM220)*(1+$BN220))*(1+$AR220)*$Q220*(1+IF(VLOOKUP($R220,武学奇术!$A:$ZZ,30,FALSE)="蓄力技",$B$21,0))*(1+IF(VLOOKUP($R220,武学奇术!$A:$ZZ,30,FALSE)="派生技",$B$20,0))*(1+$BW220)*(1+$BX220)</f>
        <v>0</v>
      </c>
      <c r="P220" s="46">
        <f>((($AT220*$AN220+$AO220)*(1+$AV220)*(1+$AW220)+($AY220*IF($G$1="鸣金",$AP220,$AN220)+IF($G$1="鸣金",$AQ220*1.5,0))*(1+$BA220)*(1+$BB220)+($BC220*IF($G$1="裂石",$AP220,$AN220)+IF($G$1="裂石",$AQ220*1.5,0))*(1+$BE220)*(1+$BF220)+($BG220*IF($G$1="牵丝",$AP220,$AN220)+IF($G$1="牵丝",$AQ220*1.5,0))*(1+$BI220)*(1+$BJ220)+($BK220*IF($G$1="破竹",$AP220,$AN220)+IF($G$1="破竹",$AQ220*1.5,0))*(1+$BM220)*(1+$BN220))*(1+$AR220))*$Q220*(1+IF(VLOOKUP($R220,武学奇术!$A:$ZZ,30,FALSE)="蓄力技",$B$21,0))*(1+IF(VLOOKUP($R220,武学奇术!$A:$ZZ,30,FALSE)="派生技",$B$20,0))*(1+$BW220)*(1+$BX220)</f>
        <v>0</v>
      </c>
      <c r="Q220" s="47">
        <f t="shared" si="61"/>
        <v>0</v>
      </c>
      <c r="R220" s="48" t="s">
        <v>202</v>
      </c>
      <c r="S220" s="48" t="s">
        <v>99</v>
      </c>
      <c r="T220" s="48" t="s">
        <v>182</v>
      </c>
      <c r="U220" s="48" t="s">
        <v>79</v>
      </c>
      <c r="V220" s="48" t="s">
        <v>90</v>
      </c>
      <c r="W220" s="48" t="s">
        <v>91</v>
      </c>
      <c r="X220" s="48" t="s">
        <v>80</v>
      </c>
      <c r="Y220" s="48" t="s">
        <v>80</v>
      </c>
      <c r="Z220" s="48" t="s">
        <v>80</v>
      </c>
      <c r="AA220" s="48" t="s">
        <v>80</v>
      </c>
      <c r="AB220" s="48" t="s">
        <v>80</v>
      </c>
      <c r="AC220" s="48" t="s">
        <v>193</v>
      </c>
      <c r="AD220" s="48" t="s">
        <v>80</v>
      </c>
      <c r="AE220" s="48" t="s">
        <v>80</v>
      </c>
      <c r="AF220" s="48" t="s">
        <v>83</v>
      </c>
      <c r="AG220" s="48" t="s">
        <v>84</v>
      </c>
      <c r="AH220" s="48" t="s">
        <v>80</v>
      </c>
      <c r="AI220" s="48" t="s">
        <v>80</v>
      </c>
      <c r="AJ220" s="48" t="s">
        <v>80</v>
      </c>
      <c r="AK220" s="48" t="s">
        <v>80</v>
      </c>
      <c r="AL220" s="48" t="s">
        <v>80</v>
      </c>
      <c r="AM220" t="str">
        <f>VLOOKUP($R220,武学奇术!$A:$ZZ,25,FALSE)</f>
        <v>群体奇术</v>
      </c>
      <c r="AN220" s="33">
        <f>VLOOKUP($R220,武学奇术!$A:$ZZ,26,FALSE)</f>
        <v>10.31616</v>
      </c>
      <c r="AO220" s="34">
        <f>VLOOKUP($R220,武学奇术!$A:$ZZ,27,FALSE)*(1+IF(OR($AM220=$F$4,$AM220=$F$5),$B$22,0))</f>
        <v>2069.55</v>
      </c>
      <c r="AP220" s="33">
        <f>VLOOKUP($R220,武学奇术!$A:$ZZ,28,FALSE)</f>
        <v>15.47424</v>
      </c>
      <c r="AQ220" s="34">
        <f>VLOOKUP($R220,武学奇术!$A:$ZZ,29,FALSE)*(1+IF(OR($AM220=$F$4,$AM220=$F$5),$B$22,0))</f>
        <v>0</v>
      </c>
      <c r="AR220" s="33" cm="1">
        <f t="array" ref="AR220">$G$3+IFERROR(VLOOKUP($AM220,$F$4:$G$7,2,FALSE),0)+VLOOKUP($R220,武学奇术!$A:$ZZ,2,FALSE)+SUM(_xlfn.XLOOKUP($S220:$AL220,增益!$A:$A,增益!$B:$B,0))</f>
        <v>0.3642</v>
      </c>
      <c r="AS220" s="33" cm="1">
        <f t="array" ref="AS220">VLOOKUP($R220,武学奇术!$A:$ZZ,5,FALSE)+SUM(_xlfn.XLOOKUP($S220:$AL220,增益!$A:$A,增益!$E:$E,0))</f>
        <v>0</v>
      </c>
      <c r="AT220" cm="1">
        <f t="array" ref="AT220">$D$10*(1+$AS220)+VLOOKUP($R220,武学奇术!$A:$ZZ,3,FALSE)+SUM(_xlfn.XLOOKUP($S220:$AL220,增益!$A:$A,增益!$C:$C,0))-$I$2</f>
        <v>4026</v>
      </c>
      <c r="AU220" cm="1">
        <f t="array" ref="AU220">$E$10*(1+$AS220)+VLOOKUP($R220,武学奇术!$A:$ZZ,4,FALSE)+SUM(_xlfn.XLOOKUP($S220:$AL220,增益!$A:$A,增益!$D:$D,0))-$I$2</f>
        <v>4026</v>
      </c>
      <c r="AV220" s="40" cm="1">
        <f t="array" ref="AV220">IF($F$10-$I$3+VLOOKUP($R220,武学奇术!$A:$ZZ,6,FALSE)+SUM(_xlfn.XLOOKUP($S220:$AL220,增益!$A:$A,增益!$F:$F,0))&gt;0,($F$10-$I$3+VLOOKUP($R220,武学奇术!$A:$ZZ,6,FALSE)+SUM(_xlfn.XLOOKUP($S220:$AL220,增益!$A:$A,增益!$F:$F,0)))/200,($F$10-$I$3+VLOOKUP($R220,武学奇术!$A:$ZZ,6,FALSE)+SUM(_xlfn.XLOOKUP($S220:$AL220,增益!$A:$A,增益!$F:$F,0)))/100)</f>
        <v>0.3284</v>
      </c>
      <c r="AW220" s="40" cm="1">
        <f t="array" ref="AW220">$G$10+VLOOKUP($R220,武学奇术!$A:$ZZ,7,FALSE)+SUM(_xlfn.XLOOKUP($S220:$AL220,增益!$A:$A,增益!$G:$G,0))</f>
        <v>0.12</v>
      </c>
      <c r="AX220" s="33" cm="1">
        <f t="array" ref="AX220">VLOOKUP($R220,武学奇术!$A:$ZZ,8,FALSE)+SUM(_xlfn.XLOOKUP($S220:$AL220,增益!$A:$A,增益!$H:$H,0))</f>
        <v>0</v>
      </c>
      <c r="AY220">
        <f t="shared" si="50"/>
        <v>0</v>
      </c>
      <c r="AZ220">
        <f t="shared" si="51"/>
        <v>0</v>
      </c>
      <c r="BA220" s="40" cm="1">
        <f t="array" ref="BA220">IF($F$11-$I$4+VLOOKUP($R220,武学奇术!$A:$ZZ,9,FALSE)+SUM(_xlfn.XLOOKUP($S220:$AL220,增益!$A:$A,增益!$I:$I,0))&gt;0,($F$11-$I$4+VLOOKUP($R220,武学奇术!$A:$ZZ,9,FALSE)+SUM(_xlfn.XLOOKUP($S220:$AL220,增益!$A:$A,增益!$I:$I,0)))/200,($F$11-$I$4+VLOOKUP($R220,武学奇术!$A:$ZZ,9,FALSE)+SUM(_xlfn.XLOOKUP($S220:$AL220,增益!$A:$A,增益!$I:$I,0)))/100)</f>
        <v>-0.14</v>
      </c>
      <c r="BB220" s="40" cm="1">
        <f t="array" ref="BB220">$G$11+VLOOKUP($R220,武学奇术!$A:$ZZ,10,FALSE)+SUM(_xlfn.XLOOKUP($S220:$AL220,增益!$A:$A,增益!$J:$J,0))</f>
        <v>0</v>
      </c>
      <c r="BC220">
        <f t="shared" si="52"/>
        <v>640.3</v>
      </c>
      <c r="BD220">
        <f t="shared" si="53"/>
        <v>1770.1</v>
      </c>
      <c r="BE220" s="40" cm="1">
        <f t="array" ref="BE220">IF($F$12-$I$4+VLOOKUP($R220,武学奇术!$A:$ZZ,11,FALSE)+SUM(_xlfn.XLOOKUP($S220:$AL220,增益!$A:$A,增益!$K:$K,0))&gt;0,($F$12-$I$4+VLOOKUP($R220,武学奇术!$A:$ZZ,11,FALSE)+SUM(_xlfn.XLOOKUP($S220:$AL220,增益!$A:$A,增益!$K:$K,0)))/200,($F$12-$I$4+VLOOKUP($R220,武学奇术!$A:$ZZ,11,FALSE)+SUM(_xlfn.XLOOKUP($S220:$AL220,增益!$A:$A,增益!$K:$K,0)))/100)</f>
        <v>0.17</v>
      </c>
      <c r="BF220" s="40" cm="1">
        <f t="array" ref="BF220">$G$12+VLOOKUP($R220,武学奇术!$A:$ZZ,12,FALSE)+SUM(_xlfn.XLOOKUP($S220:$AL220,增益!$A:$A,增益!$L:$L,0))</f>
        <v>0.27</v>
      </c>
      <c r="BG220">
        <f t="shared" si="54"/>
        <v>0</v>
      </c>
      <c r="BH220">
        <f t="shared" si="55"/>
        <v>0</v>
      </c>
      <c r="BI220" s="40" cm="1">
        <f t="array" ref="BI220">IF($F$13-$I$4+VLOOKUP($R220,武学奇术!$A:$ZZ,13,FALSE)+SUM(_xlfn.XLOOKUP($S220:$AL220,增益!$A:$A,增益!$M:$M,0))&gt;0,($F$13-$I$4+VLOOKUP($R220,武学奇术!$A:$ZZ,13,FALSE)+SUM(_xlfn.XLOOKUP($S220:$AL220,增益!$A:$A,增益!$K:$K,0)))/200,($F$13-$I$4+VLOOKUP($R220,武学奇术!$A:$ZZ,13,FALSE)+SUM(_xlfn.XLOOKUP($S220:$AL220,增益!$A:$A,增益!$M:$M,0)))/100)</f>
        <v>-0.14</v>
      </c>
      <c r="BJ220" s="40" cm="1">
        <f t="array" ref="BJ220">$G$13+VLOOKUP($R220,武学奇术!$A:$ZZ,14,FALSE)+SUM(_xlfn.XLOOKUP($S220:$AL220,增益!$A:$A,增益!$N:$N,0))</f>
        <v>0</v>
      </c>
      <c r="BK220">
        <f t="shared" si="56"/>
        <v>0</v>
      </c>
      <c r="BL220">
        <f t="shared" si="57"/>
        <v>0</v>
      </c>
      <c r="BM220" s="40" cm="1">
        <f t="array" ref="BM220">IF($F$14-$I$4+VLOOKUP($R220,武学奇术!$A:$ZZ,15,FALSE)+SUM(_xlfn.XLOOKUP($S220:$AL220,增益!$A:$A,增益!$O:$O,0))&gt;0,($F$14-$I$4+VLOOKUP($R220,武学奇术!$A:$ZZ,15,FALSE)+SUM(_xlfn.XLOOKUP($S220:$AL220,增益!$A:$A,增益!$O:$O,0)))/200,($F$14-$I$4+VLOOKUP($R220,武学奇术!$A:$ZZ,15,FALSE)+SUM(_xlfn.XLOOKUP($S220:$AL220,增益!$A:$A,增益!$O:$O,0)))/100)</f>
        <v>-0.14</v>
      </c>
      <c r="BN220" s="40" cm="1">
        <f t="array" ref="BN220">$G$14+VLOOKUP($R220,武学奇术!$A:$ZZ,16,FALSE)+SUM(_xlfn.XLOOKUP($S220:$AL220,增益!$A:$A,增益!$P:$P,0))</f>
        <v>0</v>
      </c>
      <c r="BO220" s="33">
        <f>MIN(IF(VLOOKUP($R220,武学奇术!$A:$ZZ,23,FALSE)=1,100%,$B$8),100%)</f>
        <v>0.9771</v>
      </c>
      <c r="BP220" s="33" cm="1">
        <f t="array" ref="BP220">IF(VLOOKUP($R220,武学奇术!$A:$ZZ,23,FALSE)=1,100%,MIN(80%,$B$9+VLOOKUP($R220,武学奇术!$A:$ZZ,17,FALSE)+SUM(_xlfn.XLOOKUP($S220:$AL220,增益!$A:$A,增益!$Q:$Q,0)))+$B$11+SUM(_xlfn.XLOOKUP($S220:$AL220,增益!$A:$A,增益!$U:$U,0)))*IF(VLOOKUP($R220,武学奇术!$A:$ZZ,24,FALSE)=1,0,1)</f>
        <v>0.8861</v>
      </c>
      <c r="BQ220" s="33" cm="1">
        <f t="array" ref="BQ220">1+$B$13+VLOOKUP($R220,武学奇术!$A:$ZZ,18,FALSE)+SUM(_xlfn.XLOOKUP($S220:$AL220,增益!$A:$A,增益!$R:$R,0))</f>
        <v>1.95</v>
      </c>
      <c r="BR220" s="33" cm="1">
        <f t="array" ref="BR220">IF(VLOOKUP($R220,武学奇术!$A:$ZZ,24,FALSE)=1,100%,MIN(40%,$B$10+VLOOKUP($R220,武学奇术!$A:$ZZ,19,FALSE)+SUM(_xlfn.XLOOKUP($S220:$AL220,增益!$A:$A,增益!$S:$S,0)))+$B$12+SUM(_xlfn.XLOOKUP($S220:$AL220,增益!$A:$A,增益!$V:$V,0)))*IF(VLOOKUP($R220,武学奇术!$A:$ZZ,23,FALSE)=1,0,1)</f>
        <v>0.0913</v>
      </c>
      <c r="BS220" s="33" cm="1">
        <f t="array" ref="BS220">1+$B$14+VLOOKUP($R220,武学奇术!$A:$ZZ,20,FALSE)+SUM(_xlfn.XLOOKUP($S220:$AL220,增益!$A:$A,增益!$T:$T,0))</f>
        <v>1.35</v>
      </c>
      <c r="BT220" s="33">
        <f t="shared" si="58"/>
        <v>0.86580831</v>
      </c>
      <c r="BU220" s="33">
        <f t="shared" si="59"/>
        <v>0.02208246</v>
      </c>
      <c r="BV220" s="33">
        <f>IF(VLOOKUP($R220,武学奇术!$A:$ZZ,22,FALSE)=1,0,(1-$BO220))*(1-$BR220)</f>
        <v>0.02080923</v>
      </c>
      <c r="BW220" s="33" cm="1">
        <f t="array" ref="BW220">SUM(_xlfn.XLOOKUP($S220:$AL220,增益!$A:$A,增益!$W:$W,0))+$I$5</f>
        <v>0.11</v>
      </c>
      <c r="BX220" s="33" cm="1">
        <f t="array" ref="BX220">VLOOKUP($R220,武学奇术!$A:$ZZ,32,FALSE)+SUM(_xlfn.XLOOKUP($S220:$AL220,增益!$A:$A,增益!$X:$X,0))</f>
        <v>0</v>
      </c>
    </row>
    <row r="221" spans="12:76">
      <c r="L221" s="46">
        <f t="shared" si="49"/>
        <v>0</v>
      </c>
      <c r="M221" s="46">
        <f>((($AT221+$AU221)/2*$AN221+$AO221)*(1+$AV221)*(1+$AW221)+(($AY221+$AZ221)/2*IF($G$1="鸣金",$AP221,$AN221)+IF($G$1="鸣金",$AQ221*1.5,0))*(1+$BA221)*(1+$BB221)+(($BC221+$BD221)/2*IF($G$1="裂石",$AP221,$AN221)+IF($G$1="裂石",$AQ221*1.5,0))*(1+$BE221)*(1+$BF221)+(($BG221+$BH221)/2*IF($G$1="牵丝",$AP221,$AN221)+IF($G$1="牵丝",$AQ221*1.5,0))*(1+$BI221)*(1+$BJ221)+(($BK221+$BL221)/2*IF($G$1="破竹",$AP221,$AN221)+IF($G$1="破竹",$AQ221*1.5,0))*(1+$BM221)*(1+$BN221))*(1+$AR221)*$BQ221*$Q221*(1+IF(VLOOKUP($R221,武学奇术!$A:$ZZ,30,FALSE)="蓄力技",$B$21,0))*(1+IF(VLOOKUP($R221,武学奇术!$A:$ZZ,30,FALSE)="派生技",$B$20,0))*(1+$BW221)*(1+$BX221)</f>
        <v>0</v>
      </c>
      <c r="N221" s="46">
        <f>(($AU221*$AN221+$AO221)*(1+$AV221)*(1+$AW221)+($AZ221*IF($G$1="鸣金",$AP221,$AN221)+IF($G$1="鸣金",$AQ221*1.5,0))*(1+$BA221)*(1+$BB221)+($BD221*IF($G$1="裂石",$AP221,$AN221)+IF($G$1="裂石",$AQ221*1.5,0))*(1+$BE221)*(1+$BF221)+($BH221*IF($G$1="牵丝",$AP221,$AN221)+IF($G$1="牵丝",$AQ221*1.5,0))*(1+$BI221)*(1+$BJ221)+($BL221*IF($G$1="破竹",$AP221,$AN221)+IF($G$1="破竹",$AQ221*1.5,0))*(1+$BM221)*(1+$BN221))*(1+$AR221)*$BS221*$Q221*(1+IF(VLOOKUP($R221,武学奇术!$A:$ZZ,30,FALSE)="蓄力技",$B$21,0))*(1+IF(VLOOKUP($R221,武学奇术!$A:$ZZ,30,FALSE)="派生技",$B$20,0))*(1+$BW221)*(1+$BX221)</f>
        <v>0</v>
      </c>
      <c r="O221" s="46">
        <f>((($AT221+$AU221)/2*$AN221+$AO221)*(1+$AV221)*(1+$AW221)+(($AY221+$AZ221)/2*IF($G$1="鸣金",$AP221,$AN221)+IF($G$1="鸣金",$AQ221*1.5,0))*(1+$BA221)*(1+$BB221)+(($BC221+$BD221)/2*IF($G$1="裂石",$AP221,$AN221)+IF($G$1="裂石",$AQ221*1.5,0))*(1+$BE221)*(1+$BF221)+(($BG221+$BH221)/2*IF($G$1="牵丝",$AP221,$AN221)+IF($G$1="牵丝",$AQ221*1.5,0))*(1+$BI221)*(1+$BJ221)+(($BK221+$BL221)/2*IF($G$1="破竹",$AP221,$AN221)+IF($G$1="破竹",$AQ221*1.5,0))*(1+$BM221)*(1+$BN221))*(1+$AR221)*$Q221*(1+IF(VLOOKUP($R221,武学奇术!$A:$ZZ,30,FALSE)="蓄力技",$B$21,0))*(1+IF(VLOOKUP($R221,武学奇术!$A:$ZZ,30,FALSE)="派生技",$B$20,0))*(1+$BW221)*(1+$BX221)</f>
        <v>0</v>
      </c>
      <c r="P221" s="46">
        <f>((($AT221*$AN221+$AO221)*(1+$AV221)*(1+$AW221)+($AY221*IF($G$1="鸣金",$AP221,$AN221)+IF($G$1="鸣金",$AQ221*1.5,0))*(1+$BA221)*(1+$BB221)+($BC221*IF($G$1="裂石",$AP221,$AN221)+IF($G$1="裂石",$AQ221*1.5,0))*(1+$BE221)*(1+$BF221)+($BG221*IF($G$1="牵丝",$AP221,$AN221)+IF($G$1="牵丝",$AQ221*1.5,0))*(1+$BI221)*(1+$BJ221)+($BK221*IF($G$1="破竹",$AP221,$AN221)+IF($G$1="破竹",$AQ221*1.5,0))*(1+$BM221)*(1+$BN221))*(1+$AR221))*$Q221*(1+IF(VLOOKUP($R221,武学奇术!$A:$ZZ,30,FALSE)="蓄力技",$B$21,0))*(1+IF(VLOOKUP($R221,武学奇术!$A:$ZZ,30,FALSE)="派生技",$B$20,0))*(1+$BW221)*(1+$BX221)</f>
        <v>0</v>
      </c>
      <c r="Q221" s="47">
        <f t="shared" si="61"/>
        <v>0</v>
      </c>
      <c r="R221" s="48" t="s">
        <v>172</v>
      </c>
      <c r="S221" s="48" t="s">
        <v>99</v>
      </c>
      <c r="T221" s="48" t="s">
        <v>182</v>
      </c>
      <c r="U221" s="48" t="s">
        <v>79</v>
      </c>
      <c r="V221" s="48" t="s">
        <v>90</v>
      </c>
      <c r="W221" s="48" t="s">
        <v>141</v>
      </c>
      <c r="X221" s="48" t="s">
        <v>80</v>
      </c>
      <c r="Y221" s="48" t="s">
        <v>74</v>
      </c>
      <c r="Z221" s="48" t="s">
        <v>80</v>
      </c>
      <c r="AA221" s="48" t="s">
        <v>80</v>
      </c>
      <c r="AB221" s="48" t="s">
        <v>80</v>
      </c>
      <c r="AC221" s="48" t="s">
        <v>193</v>
      </c>
      <c r="AD221" s="48" t="s">
        <v>80</v>
      </c>
      <c r="AE221" s="48" t="s">
        <v>80</v>
      </c>
      <c r="AF221" s="48" t="s">
        <v>83</v>
      </c>
      <c r="AG221" s="48" t="s">
        <v>84</v>
      </c>
      <c r="AH221" s="48" t="s">
        <v>80</v>
      </c>
      <c r="AI221" s="48" t="s">
        <v>80</v>
      </c>
      <c r="AJ221" s="48" t="s">
        <v>80</v>
      </c>
      <c r="AK221" s="48" t="s">
        <v>80</v>
      </c>
      <c r="AL221" s="48" t="s">
        <v>80</v>
      </c>
      <c r="AM221" t="str">
        <f>VLOOKUP($R221,武学奇术!$A:$ZZ,25,FALSE)</f>
        <v>陌刀</v>
      </c>
      <c r="AN221" s="33">
        <f>VLOOKUP($R221,武学奇术!$A:$ZZ,26,FALSE)</f>
        <v>3.5256</v>
      </c>
      <c r="AO221" s="34">
        <f>VLOOKUP($R221,武学奇术!$A:$ZZ,27,FALSE)*(1+IF(OR($AM221=$F$4,$AM221=$F$5),$B$22,0))</f>
        <v>846.144</v>
      </c>
      <c r="AP221" s="33">
        <f>VLOOKUP($R221,武学奇术!$A:$ZZ,28,FALSE)</f>
        <v>5.2884</v>
      </c>
      <c r="AQ221" s="34">
        <f>VLOOKUP($R221,武学奇术!$A:$ZZ,29,FALSE)*(1+IF(OR($AM221=$F$4,$AM221=$F$5),$B$22,0))</f>
        <v>851.2</v>
      </c>
      <c r="AR221" s="33" cm="1">
        <f t="array" ref="AR221">$G$3+IFERROR(VLOOKUP($AM221,$F$4:$G$7,2,FALSE),0)+VLOOKUP($R221,武学奇术!$A:$ZZ,2,FALSE)+SUM(_xlfn.XLOOKUP($S221:$AL221,增益!$A:$A,增益!$B:$B,0))</f>
        <v>0.6143</v>
      </c>
      <c r="AS221" s="33" cm="1">
        <f t="array" ref="AS221">VLOOKUP($R221,武学奇术!$A:$ZZ,5,FALSE)+SUM(_xlfn.XLOOKUP($S221:$AL221,增益!$A:$A,增益!$E:$E,0))</f>
        <v>0</v>
      </c>
      <c r="AT221" cm="1">
        <f t="array" ref="AT221">$D$10*(1+$AS221)+VLOOKUP($R221,武学奇术!$A:$ZZ,3,FALSE)+SUM(_xlfn.XLOOKUP($S221:$AL221,增益!$A:$A,增益!$C:$C,0))-$I$2</f>
        <v>4026</v>
      </c>
      <c r="AU221" cm="1">
        <f t="array" ref="AU221">$E$10*(1+$AS221)+VLOOKUP($R221,武学奇术!$A:$ZZ,4,FALSE)+SUM(_xlfn.XLOOKUP($S221:$AL221,增益!$A:$A,增益!$D:$D,0))-$I$2</f>
        <v>4026</v>
      </c>
      <c r="AV221" s="40" cm="1">
        <f t="array" ref="AV221">IF($F$10-$I$3+VLOOKUP($R221,武学奇术!$A:$ZZ,6,FALSE)+SUM(_xlfn.XLOOKUP($S221:$AL221,增益!$A:$A,增益!$F:$F,0))&gt;0,($F$10-$I$3+VLOOKUP($R221,武学奇术!$A:$ZZ,6,FALSE)+SUM(_xlfn.XLOOKUP($S221:$AL221,增益!$A:$A,增益!$F:$F,0)))/200,($F$10-$I$3+VLOOKUP($R221,武学奇术!$A:$ZZ,6,FALSE)+SUM(_xlfn.XLOOKUP($S221:$AL221,增益!$A:$A,增益!$F:$F,0)))/100)</f>
        <v>0.3534</v>
      </c>
      <c r="AW221" s="40" cm="1">
        <f t="array" ref="AW221">$G$10+VLOOKUP($R221,武学奇术!$A:$ZZ,7,FALSE)+SUM(_xlfn.XLOOKUP($S221:$AL221,增益!$A:$A,增益!$G:$G,0))</f>
        <v>0.12</v>
      </c>
      <c r="AX221" s="33" cm="1">
        <f t="array" ref="AX221">VLOOKUP($R221,武学奇术!$A:$ZZ,8,FALSE)+SUM(_xlfn.XLOOKUP($S221:$AL221,增益!$A:$A,增益!$H:$H,0))</f>
        <v>0</v>
      </c>
      <c r="AY221">
        <f t="shared" si="50"/>
        <v>0</v>
      </c>
      <c r="AZ221">
        <f t="shared" si="51"/>
        <v>0</v>
      </c>
      <c r="BA221" s="40" cm="1">
        <f t="array" ref="BA221">IF($F$11-$I$4+VLOOKUP($R221,武学奇术!$A:$ZZ,9,FALSE)+SUM(_xlfn.XLOOKUP($S221:$AL221,增益!$A:$A,增益!$I:$I,0))&gt;0,($F$11-$I$4+VLOOKUP($R221,武学奇术!$A:$ZZ,9,FALSE)+SUM(_xlfn.XLOOKUP($S221:$AL221,增益!$A:$A,增益!$I:$I,0)))/200,($F$11-$I$4+VLOOKUP($R221,武学奇术!$A:$ZZ,9,FALSE)+SUM(_xlfn.XLOOKUP($S221:$AL221,增益!$A:$A,增益!$I:$I,0)))/100)</f>
        <v>-0.14</v>
      </c>
      <c r="BB221" s="40" cm="1">
        <f t="array" ref="BB221">$G$11+VLOOKUP($R221,武学奇术!$A:$ZZ,10,FALSE)+SUM(_xlfn.XLOOKUP($S221:$AL221,增益!$A:$A,增益!$J:$J,0))</f>
        <v>0</v>
      </c>
      <c r="BC221">
        <f t="shared" si="52"/>
        <v>640.3</v>
      </c>
      <c r="BD221">
        <f t="shared" si="53"/>
        <v>1770.1</v>
      </c>
      <c r="BE221" s="40" cm="1">
        <f t="array" ref="BE221">IF($F$12-$I$4+VLOOKUP($R221,武学奇术!$A:$ZZ,11,FALSE)+SUM(_xlfn.XLOOKUP($S221:$AL221,增益!$A:$A,增益!$K:$K,0))&gt;0,($F$12-$I$4+VLOOKUP($R221,武学奇术!$A:$ZZ,11,FALSE)+SUM(_xlfn.XLOOKUP($S221:$AL221,增益!$A:$A,增益!$K:$K,0)))/200,($F$12-$I$4+VLOOKUP($R221,武学奇术!$A:$ZZ,11,FALSE)+SUM(_xlfn.XLOOKUP($S221:$AL221,增益!$A:$A,增益!$K:$K,0)))/100)</f>
        <v>0.17</v>
      </c>
      <c r="BF221" s="40" cm="1">
        <f t="array" ref="BF221">$G$12+VLOOKUP($R221,武学奇术!$A:$ZZ,12,FALSE)+SUM(_xlfn.XLOOKUP($S221:$AL221,增益!$A:$A,增益!$L:$L,0))</f>
        <v>0.27</v>
      </c>
      <c r="BG221">
        <f t="shared" si="54"/>
        <v>0</v>
      </c>
      <c r="BH221">
        <f t="shared" si="55"/>
        <v>0</v>
      </c>
      <c r="BI221" s="40" cm="1">
        <f t="array" ref="BI221">IF($F$13-$I$4+VLOOKUP($R221,武学奇术!$A:$ZZ,13,FALSE)+SUM(_xlfn.XLOOKUP($S221:$AL221,增益!$A:$A,增益!$M:$M,0))&gt;0,($F$13-$I$4+VLOOKUP($R221,武学奇术!$A:$ZZ,13,FALSE)+SUM(_xlfn.XLOOKUP($S221:$AL221,增益!$A:$A,增益!$K:$K,0)))/200,($F$13-$I$4+VLOOKUP($R221,武学奇术!$A:$ZZ,13,FALSE)+SUM(_xlfn.XLOOKUP($S221:$AL221,增益!$A:$A,增益!$M:$M,0)))/100)</f>
        <v>-0.14</v>
      </c>
      <c r="BJ221" s="40" cm="1">
        <f t="array" ref="BJ221">$G$13+VLOOKUP($R221,武学奇术!$A:$ZZ,14,FALSE)+SUM(_xlfn.XLOOKUP($S221:$AL221,增益!$A:$A,增益!$N:$N,0))</f>
        <v>0</v>
      </c>
      <c r="BK221">
        <f t="shared" si="56"/>
        <v>0</v>
      </c>
      <c r="BL221">
        <f t="shared" si="57"/>
        <v>0</v>
      </c>
      <c r="BM221" s="40" cm="1">
        <f t="array" ref="BM221">IF($F$14-$I$4+VLOOKUP($R221,武学奇术!$A:$ZZ,15,FALSE)+SUM(_xlfn.XLOOKUP($S221:$AL221,增益!$A:$A,增益!$O:$O,0))&gt;0,($F$14-$I$4+VLOOKUP($R221,武学奇术!$A:$ZZ,15,FALSE)+SUM(_xlfn.XLOOKUP($S221:$AL221,增益!$A:$A,增益!$O:$O,0)))/200,($F$14-$I$4+VLOOKUP($R221,武学奇术!$A:$ZZ,15,FALSE)+SUM(_xlfn.XLOOKUP($S221:$AL221,增益!$A:$A,增益!$O:$O,0)))/100)</f>
        <v>-0.14</v>
      </c>
      <c r="BN221" s="40" cm="1">
        <f t="array" ref="BN221">$G$14+VLOOKUP($R221,武学奇术!$A:$ZZ,16,FALSE)+SUM(_xlfn.XLOOKUP($S221:$AL221,增益!$A:$A,增益!$P:$P,0))</f>
        <v>0</v>
      </c>
      <c r="BO221" s="33">
        <f>MIN(IF(VLOOKUP($R221,武学奇术!$A:$ZZ,23,FALSE)=1,100%,$B$8),100%)</f>
        <v>0.9771</v>
      </c>
      <c r="BP221" s="33" cm="1">
        <f t="array" ref="BP221">IF(VLOOKUP($R221,武学奇术!$A:$ZZ,23,FALSE)=1,100%,MIN(80%,$B$9+VLOOKUP($R221,武学奇术!$A:$ZZ,17,FALSE)+SUM(_xlfn.XLOOKUP($S221:$AL221,增益!$A:$A,增益!$Q:$Q,0)))+$B$11+SUM(_xlfn.XLOOKUP($S221:$AL221,增益!$A:$A,增益!$U:$U,0)))*IF(VLOOKUP($R221,武学奇术!$A:$ZZ,24,FALSE)=1,0,1)</f>
        <v>0.8861</v>
      </c>
      <c r="BQ221" s="33" cm="1">
        <f t="array" ref="BQ221">1+$B$13+VLOOKUP($R221,武学奇术!$A:$ZZ,18,FALSE)+SUM(_xlfn.XLOOKUP($S221:$AL221,增益!$A:$A,增益!$R:$R,0))</f>
        <v>2</v>
      </c>
      <c r="BR221" s="33" cm="1">
        <f t="array" ref="BR221">IF(VLOOKUP($R221,武学奇术!$A:$ZZ,24,FALSE)=1,100%,MIN(40%,$B$10+VLOOKUP($R221,武学奇术!$A:$ZZ,19,FALSE)+SUM(_xlfn.XLOOKUP($S221:$AL221,增益!$A:$A,增益!$S:$S,0)))+$B$12+SUM(_xlfn.XLOOKUP($S221:$AL221,增益!$A:$A,增益!$V:$V,0)))*IF(VLOOKUP($R221,武学奇术!$A:$ZZ,23,FALSE)=1,0,1)</f>
        <v>0.0913</v>
      </c>
      <c r="BS221" s="33" cm="1">
        <f t="array" ref="BS221">1+$B$14+VLOOKUP($R221,武学奇术!$A:$ZZ,20,FALSE)+SUM(_xlfn.XLOOKUP($S221:$AL221,增益!$A:$A,增益!$T:$T,0))</f>
        <v>1.35</v>
      </c>
      <c r="BT221" s="33">
        <f t="shared" si="58"/>
        <v>0.86580831</v>
      </c>
      <c r="BU221" s="33">
        <f t="shared" si="59"/>
        <v>0.02208246</v>
      </c>
      <c r="BV221" s="33">
        <f>IF(VLOOKUP($R221,武学奇术!$A:$ZZ,22,FALSE)=1,0,(1-$BO221))*(1-$BR221)</f>
        <v>0.02080923</v>
      </c>
      <c r="BW221" s="33" cm="1">
        <f t="array" ref="BW221">SUM(_xlfn.XLOOKUP($S221:$AL221,增益!$A:$A,增益!$W:$W,0))+$I$5</f>
        <v>0.11</v>
      </c>
      <c r="BX221" s="33" cm="1">
        <f t="array" ref="BX221">VLOOKUP($R221,武学奇术!$A:$ZZ,32,FALSE)+SUM(_xlfn.XLOOKUP($S221:$AL221,增益!$A:$A,增益!$X:$X,0))</f>
        <v>0</v>
      </c>
    </row>
    <row r="222" spans="12:76">
      <c r="L222" s="46">
        <f t="shared" si="49"/>
        <v>0</v>
      </c>
      <c r="M222" s="46">
        <f>((($AT222+$AU222)/2*$AN222+$AO222)*(1+$AV222)*(1+$AW222)+(($AY222+$AZ222)/2*IF($G$1="鸣金",$AP222,$AN222)+IF($G$1="鸣金",$AQ222*1.5,0))*(1+$BA222)*(1+$BB222)+(($BC222+$BD222)/2*IF($G$1="裂石",$AP222,$AN222)+IF($G$1="裂石",$AQ222*1.5,0))*(1+$BE222)*(1+$BF222)+(($BG222+$BH222)/2*IF($G$1="牵丝",$AP222,$AN222)+IF($G$1="牵丝",$AQ222*1.5,0))*(1+$BI222)*(1+$BJ222)+(($BK222+$BL222)/2*IF($G$1="破竹",$AP222,$AN222)+IF($G$1="破竹",$AQ222*1.5,0))*(1+$BM222)*(1+$BN222))*(1+$AR222)*$BQ222*$Q222*(1+IF(VLOOKUP($R222,武学奇术!$A:$ZZ,30,FALSE)="蓄力技",$B$21,0))*(1+IF(VLOOKUP($R222,武学奇术!$A:$ZZ,30,FALSE)="派生技",$B$20,0))*(1+$BW222)*(1+$BX222)</f>
        <v>0</v>
      </c>
      <c r="N222" s="46">
        <f>(($AU222*$AN222+$AO222)*(1+$AV222)*(1+$AW222)+($AZ222*IF($G$1="鸣金",$AP222,$AN222)+IF($G$1="鸣金",$AQ222*1.5,0))*(1+$BA222)*(1+$BB222)+($BD222*IF($G$1="裂石",$AP222,$AN222)+IF($G$1="裂石",$AQ222*1.5,0))*(1+$BE222)*(1+$BF222)+($BH222*IF($G$1="牵丝",$AP222,$AN222)+IF($G$1="牵丝",$AQ222*1.5,0))*(1+$BI222)*(1+$BJ222)+($BL222*IF($G$1="破竹",$AP222,$AN222)+IF($G$1="破竹",$AQ222*1.5,0))*(1+$BM222)*(1+$BN222))*(1+$AR222)*$BS222*$Q222*(1+IF(VLOOKUP($R222,武学奇术!$A:$ZZ,30,FALSE)="蓄力技",$B$21,0))*(1+IF(VLOOKUP($R222,武学奇术!$A:$ZZ,30,FALSE)="派生技",$B$20,0))*(1+$BW222)*(1+$BX222)</f>
        <v>0</v>
      </c>
      <c r="O222" s="46">
        <f>((($AT222+$AU222)/2*$AN222+$AO222)*(1+$AV222)*(1+$AW222)+(($AY222+$AZ222)/2*IF($G$1="鸣金",$AP222,$AN222)+IF($G$1="鸣金",$AQ222*1.5,0))*(1+$BA222)*(1+$BB222)+(($BC222+$BD222)/2*IF($G$1="裂石",$AP222,$AN222)+IF($G$1="裂石",$AQ222*1.5,0))*(1+$BE222)*(1+$BF222)+(($BG222+$BH222)/2*IF($G$1="牵丝",$AP222,$AN222)+IF($G$1="牵丝",$AQ222*1.5,0))*(1+$BI222)*(1+$BJ222)+(($BK222+$BL222)/2*IF($G$1="破竹",$AP222,$AN222)+IF($G$1="破竹",$AQ222*1.5,0))*(1+$BM222)*(1+$BN222))*(1+$AR222)*$Q222*(1+IF(VLOOKUP($R222,武学奇术!$A:$ZZ,30,FALSE)="蓄力技",$B$21,0))*(1+IF(VLOOKUP($R222,武学奇术!$A:$ZZ,30,FALSE)="派生技",$B$20,0))*(1+$BW222)*(1+$BX222)</f>
        <v>0</v>
      </c>
      <c r="P222" s="46">
        <f>((($AT222*$AN222+$AO222)*(1+$AV222)*(1+$AW222)+($AY222*IF($G$1="鸣金",$AP222,$AN222)+IF($G$1="鸣金",$AQ222*1.5,0))*(1+$BA222)*(1+$BB222)+($BC222*IF($G$1="裂石",$AP222,$AN222)+IF($G$1="裂石",$AQ222*1.5,0))*(1+$BE222)*(1+$BF222)+($BG222*IF($G$1="牵丝",$AP222,$AN222)+IF($G$1="牵丝",$AQ222*1.5,0))*(1+$BI222)*(1+$BJ222)+($BK222*IF($G$1="破竹",$AP222,$AN222)+IF($G$1="破竹",$AQ222*1.5,0))*(1+$BM222)*(1+$BN222))*(1+$AR222))*$Q222*(1+IF(VLOOKUP($R222,武学奇术!$A:$ZZ,30,FALSE)="蓄力技",$B$21,0))*(1+IF(VLOOKUP($R222,武学奇术!$A:$ZZ,30,FALSE)="派生技",$B$20,0))*(1+$BW222)*(1+$BX222)</f>
        <v>0</v>
      </c>
      <c r="Q222" s="47">
        <f t="shared" si="61"/>
        <v>0</v>
      </c>
      <c r="R222" s="48" t="s">
        <v>173</v>
      </c>
      <c r="S222" s="48" t="s">
        <v>99</v>
      </c>
      <c r="T222" s="48" t="s">
        <v>182</v>
      </c>
      <c r="U222" s="48" t="s">
        <v>79</v>
      </c>
      <c r="V222" s="48" t="s">
        <v>90</v>
      </c>
      <c r="W222" s="48" t="s">
        <v>141</v>
      </c>
      <c r="X222" s="48" t="s">
        <v>80</v>
      </c>
      <c r="Y222" s="48" t="s">
        <v>74</v>
      </c>
      <c r="Z222" s="48" t="s">
        <v>80</v>
      </c>
      <c r="AA222" s="48" t="s">
        <v>80</v>
      </c>
      <c r="AB222" s="48" t="s">
        <v>80</v>
      </c>
      <c r="AC222" s="48" t="s">
        <v>193</v>
      </c>
      <c r="AD222" s="48" t="s">
        <v>80</v>
      </c>
      <c r="AE222" s="48" t="s">
        <v>80</v>
      </c>
      <c r="AF222" s="48" t="s">
        <v>83</v>
      </c>
      <c r="AG222" s="48" t="s">
        <v>84</v>
      </c>
      <c r="AH222" s="48" t="s">
        <v>80</v>
      </c>
      <c r="AI222" s="48" t="s">
        <v>80</v>
      </c>
      <c r="AJ222" s="48" t="s">
        <v>80</v>
      </c>
      <c r="AK222" s="48" t="s">
        <v>80</v>
      </c>
      <c r="AL222" s="48" t="s">
        <v>80</v>
      </c>
      <c r="AM222" t="str">
        <f>VLOOKUP($R222,武学奇术!$A:$ZZ,25,FALSE)</f>
        <v>陌刀</v>
      </c>
      <c r="AN222" s="33">
        <f>VLOOKUP($R222,武学奇术!$A:$ZZ,26,FALSE)</f>
        <v>1.05</v>
      </c>
      <c r="AO222" s="34">
        <f>VLOOKUP($R222,武学奇术!$A:$ZZ,27,FALSE)*(1+IF(OR($AM222=$F$4,$AM222=$F$5),$B$22,0))</f>
        <v>0</v>
      </c>
      <c r="AP222" s="33">
        <f>VLOOKUP($R222,武学奇术!$A:$ZZ,28,FALSE)</f>
        <v>1.575</v>
      </c>
      <c r="AQ222" s="34">
        <f>VLOOKUP($R222,武学奇术!$A:$ZZ,29,FALSE)*(1+IF(OR($AM222=$F$4,$AM222=$F$5),$B$22,0))</f>
        <v>0</v>
      </c>
      <c r="AR222" s="33" cm="1">
        <f t="array" ref="AR222">$G$3+IFERROR(VLOOKUP($AM222,$F$4:$G$7,2,FALSE),0)+VLOOKUP($R222,武学奇术!$A:$ZZ,2,FALSE)+SUM(_xlfn.XLOOKUP($S222:$AL222,增益!$A:$A,增益!$B:$B,0))</f>
        <v>0.6143</v>
      </c>
      <c r="AS222" s="33" cm="1">
        <f t="array" ref="AS222">VLOOKUP($R222,武学奇术!$A:$ZZ,5,FALSE)+SUM(_xlfn.XLOOKUP($S222:$AL222,增益!$A:$A,增益!$E:$E,0))</f>
        <v>0</v>
      </c>
      <c r="AT222" cm="1">
        <f t="array" ref="AT222">$D$10*(1+$AS222)+VLOOKUP($R222,武学奇术!$A:$ZZ,3,FALSE)+SUM(_xlfn.XLOOKUP($S222:$AL222,增益!$A:$A,增益!$C:$C,0))-$I$2</f>
        <v>4026</v>
      </c>
      <c r="AU222" cm="1">
        <f t="array" ref="AU222">$E$10*(1+$AS222)+VLOOKUP($R222,武学奇术!$A:$ZZ,4,FALSE)+SUM(_xlfn.XLOOKUP($S222:$AL222,增益!$A:$A,增益!$D:$D,0))-$I$2</f>
        <v>4026</v>
      </c>
      <c r="AV222" s="40" cm="1">
        <f t="array" ref="AV222">IF($F$10-$I$3+VLOOKUP($R222,武学奇术!$A:$ZZ,6,FALSE)+SUM(_xlfn.XLOOKUP($S222:$AL222,增益!$A:$A,增益!$F:$F,0))&gt;0,($F$10-$I$3+VLOOKUP($R222,武学奇术!$A:$ZZ,6,FALSE)+SUM(_xlfn.XLOOKUP($S222:$AL222,增益!$A:$A,增益!$F:$F,0)))/200,($F$10-$I$3+VLOOKUP($R222,武学奇术!$A:$ZZ,6,FALSE)+SUM(_xlfn.XLOOKUP($S222:$AL222,增益!$A:$A,增益!$F:$F,0)))/100)</f>
        <v>0.3534</v>
      </c>
      <c r="AW222" s="40" cm="1">
        <f t="array" ref="AW222">$G$10+VLOOKUP($R222,武学奇术!$A:$ZZ,7,FALSE)+SUM(_xlfn.XLOOKUP($S222:$AL222,增益!$A:$A,增益!$G:$G,0))</f>
        <v>0.12</v>
      </c>
      <c r="AX222" s="33" cm="1">
        <f t="array" ref="AX222">VLOOKUP($R222,武学奇术!$A:$ZZ,8,FALSE)+SUM(_xlfn.XLOOKUP($S222:$AL222,增益!$A:$A,增益!$H:$H,0))</f>
        <v>0</v>
      </c>
      <c r="AY222">
        <f t="shared" si="50"/>
        <v>0</v>
      </c>
      <c r="AZ222">
        <f t="shared" si="51"/>
        <v>0</v>
      </c>
      <c r="BA222" s="40" cm="1">
        <f t="array" ref="BA222">IF($F$11-$I$4+VLOOKUP($R222,武学奇术!$A:$ZZ,9,FALSE)+SUM(_xlfn.XLOOKUP($S222:$AL222,增益!$A:$A,增益!$I:$I,0))&gt;0,($F$11-$I$4+VLOOKUP($R222,武学奇术!$A:$ZZ,9,FALSE)+SUM(_xlfn.XLOOKUP($S222:$AL222,增益!$A:$A,增益!$I:$I,0)))/200,($F$11-$I$4+VLOOKUP($R222,武学奇术!$A:$ZZ,9,FALSE)+SUM(_xlfn.XLOOKUP($S222:$AL222,增益!$A:$A,增益!$I:$I,0)))/100)</f>
        <v>-0.14</v>
      </c>
      <c r="BB222" s="40" cm="1">
        <f t="array" ref="BB222">$G$11+VLOOKUP($R222,武学奇术!$A:$ZZ,10,FALSE)+SUM(_xlfn.XLOOKUP($S222:$AL222,增益!$A:$A,增益!$J:$J,0))</f>
        <v>0</v>
      </c>
      <c r="BC222">
        <f t="shared" si="52"/>
        <v>640.3</v>
      </c>
      <c r="BD222">
        <f t="shared" si="53"/>
        <v>1770.1</v>
      </c>
      <c r="BE222" s="40" cm="1">
        <f t="array" ref="BE222">IF($F$12-$I$4+VLOOKUP($R222,武学奇术!$A:$ZZ,11,FALSE)+SUM(_xlfn.XLOOKUP($S222:$AL222,增益!$A:$A,增益!$K:$K,0))&gt;0,($F$12-$I$4+VLOOKUP($R222,武学奇术!$A:$ZZ,11,FALSE)+SUM(_xlfn.XLOOKUP($S222:$AL222,增益!$A:$A,增益!$K:$K,0)))/200,($F$12-$I$4+VLOOKUP($R222,武学奇术!$A:$ZZ,11,FALSE)+SUM(_xlfn.XLOOKUP($S222:$AL222,增益!$A:$A,增益!$K:$K,0)))/100)</f>
        <v>0.17</v>
      </c>
      <c r="BF222" s="40" cm="1">
        <f t="array" ref="BF222">$G$12+VLOOKUP($R222,武学奇术!$A:$ZZ,12,FALSE)+SUM(_xlfn.XLOOKUP($S222:$AL222,增益!$A:$A,增益!$L:$L,0))</f>
        <v>0.27</v>
      </c>
      <c r="BG222">
        <f t="shared" si="54"/>
        <v>0</v>
      </c>
      <c r="BH222">
        <f t="shared" si="55"/>
        <v>0</v>
      </c>
      <c r="BI222" s="40" cm="1">
        <f t="array" ref="BI222">IF($F$13-$I$4+VLOOKUP($R222,武学奇术!$A:$ZZ,13,FALSE)+SUM(_xlfn.XLOOKUP($S222:$AL222,增益!$A:$A,增益!$M:$M,0))&gt;0,($F$13-$I$4+VLOOKUP($R222,武学奇术!$A:$ZZ,13,FALSE)+SUM(_xlfn.XLOOKUP($S222:$AL222,增益!$A:$A,增益!$K:$K,0)))/200,($F$13-$I$4+VLOOKUP($R222,武学奇术!$A:$ZZ,13,FALSE)+SUM(_xlfn.XLOOKUP($S222:$AL222,增益!$A:$A,增益!$M:$M,0)))/100)</f>
        <v>-0.14</v>
      </c>
      <c r="BJ222" s="40" cm="1">
        <f t="array" ref="BJ222">$G$13+VLOOKUP($R222,武学奇术!$A:$ZZ,14,FALSE)+SUM(_xlfn.XLOOKUP($S222:$AL222,增益!$A:$A,增益!$N:$N,0))</f>
        <v>0</v>
      </c>
      <c r="BK222">
        <f t="shared" si="56"/>
        <v>0</v>
      </c>
      <c r="BL222">
        <f t="shared" si="57"/>
        <v>0</v>
      </c>
      <c r="BM222" s="40" cm="1">
        <f t="array" ref="BM222">IF($F$14-$I$4+VLOOKUP($R222,武学奇术!$A:$ZZ,15,FALSE)+SUM(_xlfn.XLOOKUP($S222:$AL222,增益!$A:$A,增益!$O:$O,0))&gt;0,($F$14-$I$4+VLOOKUP($R222,武学奇术!$A:$ZZ,15,FALSE)+SUM(_xlfn.XLOOKUP($S222:$AL222,增益!$A:$A,增益!$O:$O,0)))/200,($F$14-$I$4+VLOOKUP($R222,武学奇术!$A:$ZZ,15,FALSE)+SUM(_xlfn.XLOOKUP($S222:$AL222,增益!$A:$A,增益!$O:$O,0)))/100)</f>
        <v>-0.14</v>
      </c>
      <c r="BN222" s="40" cm="1">
        <f t="array" ref="BN222">$G$14+VLOOKUP($R222,武学奇术!$A:$ZZ,16,FALSE)+SUM(_xlfn.XLOOKUP($S222:$AL222,增益!$A:$A,增益!$P:$P,0))</f>
        <v>0</v>
      </c>
      <c r="BO222" s="33">
        <f>MIN(IF(VLOOKUP($R222,武学奇术!$A:$ZZ,23,FALSE)=1,100%,$B$8),100%)</f>
        <v>0.9771</v>
      </c>
      <c r="BP222" s="33" cm="1">
        <f t="array" ref="BP222">IF(VLOOKUP($R222,武学奇术!$A:$ZZ,23,FALSE)=1,100%,MIN(80%,$B$9+VLOOKUP($R222,武学奇术!$A:$ZZ,17,FALSE)+SUM(_xlfn.XLOOKUP($S222:$AL222,增益!$A:$A,增益!$Q:$Q,0)))+$B$11+SUM(_xlfn.XLOOKUP($S222:$AL222,增益!$A:$A,增益!$U:$U,0)))*IF(VLOOKUP($R222,武学奇术!$A:$ZZ,24,FALSE)=1,0,1)</f>
        <v>0.8861</v>
      </c>
      <c r="BQ222" s="33" cm="1">
        <f t="array" ref="BQ222">1+$B$13+VLOOKUP($R222,武学奇术!$A:$ZZ,18,FALSE)+SUM(_xlfn.XLOOKUP($S222:$AL222,增益!$A:$A,增益!$R:$R,0))</f>
        <v>2</v>
      </c>
      <c r="BR222" s="33" cm="1">
        <f t="array" ref="BR222">IF(VLOOKUP($R222,武学奇术!$A:$ZZ,24,FALSE)=1,100%,MIN(40%,$B$10+VLOOKUP($R222,武学奇术!$A:$ZZ,19,FALSE)+SUM(_xlfn.XLOOKUP($S222:$AL222,增益!$A:$A,增益!$S:$S,0)))+$B$12+SUM(_xlfn.XLOOKUP($S222:$AL222,增益!$A:$A,增益!$V:$V,0)))*IF(VLOOKUP($R222,武学奇术!$A:$ZZ,23,FALSE)=1,0,1)</f>
        <v>0.0913</v>
      </c>
      <c r="BS222" s="33" cm="1">
        <f t="array" ref="BS222">1+$B$14+VLOOKUP($R222,武学奇术!$A:$ZZ,20,FALSE)+SUM(_xlfn.XLOOKUP($S222:$AL222,增益!$A:$A,增益!$T:$T,0))</f>
        <v>1.35</v>
      </c>
      <c r="BT222" s="33">
        <f t="shared" si="58"/>
        <v>0.86580831</v>
      </c>
      <c r="BU222" s="33">
        <f t="shared" si="59"/>
        <v>0.02208246</v>
      </c>
      <c r="BV222" s="33">
        <f>IF(VLOOKUP($R222,武学奇术!$A:$ZZ,22,FALSE)=1,0,(1-$BO222))*(1-$BR222)</f>
        <v>0.02080923</v>
      </c>
      <c r="BW222" s="33" cm="1">
        <f t="array" ref="BW222">SUM(_xlfn.XLOOKUP($S222:$AL222,增益!$A:$A,增益!$W:$W,0))+$I$5</f>
        <v>0.11</v>
      </c>
      <c r="BX222" s="33" cm="1">
        <f t="array" ref="BX222">VLOOKUP($R222,武学奇术!$A:$ZZ,32,FALSE)+SUM(_xlfn.XLOOKUP($S222:$AL222,增益!$A:$A,增益!$X:$X,0))</f>
        <v>0</v>
      </c>
    </row>
    <row r="223" spans="12:76">
      <c r="L223" s="46">
        <f t="shared" si="49"/>
        <v>0</v>
      </c>
      <c r="M223" s="46">
        <f>((($AT223+$AU223)/2*$AN223+$AO223)*(1+$AV223)*(1+$AW223)+(($AY223+$AZ223)/2*IF($G$1="鸣金",$AP223,$AN223)+IF($G$1="鸣金",$AQ223*1.5,0))*(1+$BA223)*(1+$BB223)+(($BC223+$BD223)/2*IF($G$1="裂石",$AP223,$AN223)+IF($G$1="裂石",$AQ223*1.5,0))*(1+$BE223)*(1+$BF223)+(($BG223+$BH223)/2*IF($G$1="牵丝",$AP223,$AN223)+IF($G$1="牵丝",$AQ223*1.5,0))*(1+$BI223)*(1+$BJ223)+(($BK223+$BL223)/2*IF($G$1="破竹",$AP223,$AN223)+IF($G$1="破竹",$AQ223*1.5,0))*(1+$BM223)*(1+$BN223))*(1+$AR223)*$BQ223*$Q223*(1+IF(VLOOKUP($R223,武学奇术!$A:$ZZ,30,FALSE)="蓄力技",$B$21,0))*(1+IF(VLOOKUP($R223,武学奇术!$A:$ZZ,30,FALSE)="派生技",$B$20,0))*(1+$BW223)*(1+$BX223)</f>
        <v>0</v>
      </c>
      <c r="N223" s="46">
        <f>(($AU223*$AN223+$AO223)*(1+$AV223)*(1+$AW223)+($AZ223*IF($G$1="鸣金",$AP223,$AN223)+IF($G$1="鸣金",$AQ223*1.5,0))*(1+$BA223)*(1+$BB223)+($BD223*IF($G$1="裂石",$AP223,$AN223)+IF($G$1="裂石",$AQ223*1.5,0))*(1+$BE223)*(1+$BF223)+($BH223*IF($G$1="牵丝",$AP223,$AN223)+IF($G$1="牵丝",$AQ223*1.5,0))*(1+$BI223)*(1+$BJ223)+($BL223*IF($G$1="破竹",$AP223,$AN223)+IF($G$1="破竹",$AQ223*1.5,0))*(1+$BM223)*(1+$BN223))*(1+$AR223)*$BS223*$Q223*(1+IF(VLOOKUP($R223,武学奇术!$A:$ZZ,30,FALSE)="蓄力技",$B$21,0))*(1+IF(VLOOKUP($R223,武学奇术!$A:$ZZ,30,FALSE)="派生技",$B$20,0))*(1+$BW223)*(1+$BX223)</f>
        <v>0</v>
      </c>
      <c r="O223" s="46">
        <f>((($AT223+$AU223)/2*$AN223+$AO223)*(1+$AV223)*(1+$AW223)+(($AY223+$AZ223)/2*IF($G$1="鸣金",$AP223,$AN223)+IF($G$1="鸣金",$AQ223*1.5,0))*(1+$BA223)*(1+$BB223)+(($BC223+$BD223)/2*IF($G$1="裂石",$AP223,$AN223)+IF($G$1="裂石",$AQ223*1.5,0))*(1+$BE223)*(1+$BF223)+(($BG223+$BH223)/2*IF($G$1="牵丝",$AP223,$AN223)+IF($G$1="牵丝",$AQ223*1.5,0))*(1+$BI223)*(1+$BJ223)+(($BK223+$BL223)/2*IF($G$1="破竹",$AP223,$AN223)+IF($G$1="破竹",$AQ223*1.5,0))*(1+$BM223)*(1+$BN223))*(1+$AR223)*$Q223*(1+IF(VLOOKUP($R223,武学奇术!$A:$ZZ,30,FALSE)="蓄力技",$B$21,0))*(1+IF(VLOOKUP($R223,武学奇术!$A:$ZZ,30,FALSE)="派生技",$B$20,0))*(1+$BW223)*(1+$BX223)</f>
        <v>0</v>
      </c>
      <c r="P223" s="46">
        <f>((($AT223*$AN223+$AO223)*(1+$AV223)*(1+$AW223)+($AY223*IF($G$1="鸣金",$AP223,$AN223)+IF($G$1="鸣金",$AQ223*1.5,0))*(1+$BA223)*(1+$BB223)+($BC223*IF($G$1="裂石",$AP223,$AN223)+IF($G$1="裂石",$AQ223*1.5,0))*(1+$BE223)*(1+$BF223)+($BG223*IF($G$1="牵丝",$AP223,$AN223)+IF($G$1="牵丝",$AQ223*1.5,0))*(1+$BI223)*(1+$BJ223)+($BK223*IF($G$1="破竹",$AP223,$AN223)+IF($G$1="破竹",$AQ223*1.5,0))*(1+$BM223)*(1+$BN223))*(1+$AR223))*$Q223*(1+IF(VLOOKUP($R223,武学奇术!$A:$ZZ,30,FALSE)="蓄力技",$B$21,0))*(1+IF(VLOOKUP($R223,武学奇术!$A:$ZZ,30,FALSE)="派生技",$B$20,0))*(1+$BW223)*(1+$BX223)</f>
        <v>0</v>
      </c>
      <c r="Q223" s="47">
        <f t="shared" si="61"/>
        <v>0</v>
      </c>
      <c r="R223" s="48" t="s">
        <v>200</v>
      </c>
      <c r="S223" s="48" t="s">
        <v>99</v>
      </c>
      <c r="T223" s="48" t="s">
        <v>182</v>
      </c>
      <c r="U223" s="48" t="s">
        <v>79</v>
      </c>
      <c r="V223" s="48" t="s">
        <v>90</v>
      </c>
      <c r="W223" s="48" t="s">
        <v>91</v>
      </c>
      <c r="X223" s="48" t="s">
        <v>80</v>
      </c>
      <c r="Y223" s="48" t="s">
        <v>80</v>
      </c>
      <c r="Z223" s="48" t="s">
        <v>80</v>
      </c>
      <c r="AA223" s="48" t="s">
        <v>80</v>
      </c>
      <c r="AB223" s="48" t="s">
        <v>80</v>
      </c>
      <c r="AC223" s="48" t="s">
        <v>80</v>
      </c>
      <c r="AD223" s="48" t="s">
        <v>80</v>
      </c>
      <c r="AE223" s="48" t="s">
        <v>80</v>
      </c>
      <c r="AF223" s="48" t="s">
        <v>83</v>
      </c>
      <c r="AG223" s="48" t="s">
        <v>84</v>
      </c>
      <c r="AH223" s="48" t="s">
        <v>80</v>
      </c>
      <c r="AI223" s="48" t="s">
        <v>80</v>
      </c>
      <c r="AJ223" s="48" t="s">
        <v>80</v>
      </c>
      <c r="AK223" s="48" t="s">
        <v>80</v>
      </c>
      <c r="AL223" s="48" t="s">
        <v>80</v>
      </c>
      <c r="AM223" t="str">
        <f>VLOOKUP($R223,武学奇术!$A:$ZZ,25,FALSE)</f>
        <v>横刀</v>
      </c>
      <c r="AN223" s="33">
        <f>VLOOKUP($R223,武学奇术!$A:$ZZ,26,FALSE)</f>
        <v>0.6486</v>
      </c>
      <c r="AO223" s="34">
        <f>VLOOKUP($R223,武学奇术!$A:$ZZ,27,FALSE)*(1+IF(OR($AM223=$F$4,$AM223=$F$5),$B$22,0))</f>
        <v>288</v>
      </c>
      <c r="AP223" s="33">
        <f>VLOOKUP($R223,武学奇术!$A:$ZZ,28,FALSE)</f>
        <v>0.9729</v>
      </c>
      <c r="AQ223" s="34">
        <f>VLOOKUP($R223,武学奇术!$A:$ZZ,29,FALSE)*(1+IF(OR($AM223=$F$4,$AM223=$F$5),$B$22,0))</f>
        <v>156.8</v>
      </c>
      <c r="AR223" s="33" cm="1">
        <f t="array" ref="AR223">$G$3+IFERROR(VLOOKUP($AM223,$F$4:$G$7,2,FALSE),0)+VLOOKUP($R223,武学奇术!$A:$ZZ,2,FALSE)+SUM(_xlfn.XLOOKUP($S223:$AL223,增益!$A:$A,增益!$B:$B,0))</f>
        <v>0.4489</v>
      </c>
      <c r="AS223" s="33" cm="1">
        <f t="array" ref="AS223">VLOOKUP($R223,武学奇术!$A:$ZZ,5,FALSE)+SUM(_xlfn.XLOOKUP($S223:$AL223,增益!$A:$A,增益!$E:$E,0))</f>
        <v>0</v>
      </c>
      <c r="AT223" cm="1">
        <f t="array" ref="AT223">$D$10*(1+$AS223)+VLOOKUP($R223,武学奇术!$A:$ZZ,3,FALSE)+SUM(_xlfn.XLOOKUP($S223:$AL223,增益!$A:$A,增益!$C:$C,0))-$I$2</f>
        <v>4026</v>
      </c>
      <c r="AU223" cm="1">
        <f t="array" ref="AU223">$E$10*(1+$AS223)+VLOOKUP($R223,武学奇术!$A:$ZZ,4,FALSE)+SUM(_xlfn.XLOOKUP($S223:$AL223,增益!$A:$A,增益!$D:$D,0))-$I$2</f>
        <v>4026</v>
      </c>
      <c r="AV223" s="40" cm="1">
        <f t="array" ref="AV223">IF($F$10-$I$3+VLOOKUP($R223,武学奇术!$A:$ZZ,6,FALSE)+SUM(_xlfn.XLOOKUP($S223:$AL223,增益!$A:$A,增益!$F:$F,0))&gt;0,($F$10-$I$3+VLOOKUP($R223,武学奇术!$A:$ZZ,6,FALSE)+SUM(_xlfn.XLOOKUP($S223:$AL223,增益!$A:$A,增益!$F:$F,0)))/200,($F$10-$I$3+VLOOKUP($R223,武学奇术!$A:$ZZ,6,FALSE)+SUM(_xlfn.XLOOKUP($S223:$AL223,增益!$A:$A,增益!$F:$F,0)))/100)</f>
        <v>0.3284</v>
      </c>
      <c r="AW223" s="40" cm="1">
        <f t="array" ref="AW223">$G$10+VLOOKUP($R223,武学奇术!$A:$ZZ,7,FALSE)+SUM(_xlfn.XLOOKUP($S223:$AL223,增益!$A:$A,增益!$G:$G,0))</f>
        <v>0.12</v>
      </c>
      <c r="AX223" s="33" cm="1">
        <f t="array" ref="AX223">VLOOKUP($R223,武学奇术!$A:$ZZ,8,FALSE)+SUM(_xlfn.XLOOKUP($S223:$AL223,增益!$A:$A,增益!$H:$H,0))</f>
        <v>0</v>
      </c>
      <c r="AY223">
        <f t="shared" si="50"/>
        <v>0</v>
      </c>
      <c r="AZ223">
        <f t="shared" si="51"/>
        <v>0</v>
      </c>
      <c r="BA223" s="40" cm="1">
        <f t="array" ref="BA223">IF($F$11-$I$4+VLOOKUP($R223,武学奇术!$A:$ZZ,9,FALSE)+SUM(_xlfn.XLOOKUP($S223:$AL223,增益!$A:$A,增益!$I:$I,0))&gt;0,($F$11-$I$4+VLOOKUP($R223,武学奇术!$A:$ZZ,9,FALSE)+SUM(_xlfn.XLOOKUP($S223:$AL223,增益!$A:$A,增益!$I:$I,0)))/200,($F$11-$I$4+VLOOKUP($R223,武学奇术!$A:$ZZ,9,FALSE)+SUM(_xlfn.XLOOKUP($S223:$AL223,增益!$A:$A,增益!$I:$I,0)))/100)</f>
        <v>-0.14</v>
      </c>
      <c r="BB223" s="40" cm="1">
        <f t="array" ref="BB223">$G$11+VLOOKUP($R223,武学奇术!$A:$ZZ,10,FALSE)+SUM(_xlfn.XLOOKUP($S223:$AL223,增益!$A:$A,增益!$J:$J,0))</f>
        <v>0</v>
      </c>
      <c r="BC223">
        <f t="shared" si="52"/>
        <v>640.3</v>
      </c>
      <c r="BD223">
        <f t="shared" si="53"/>
        <v>1770.1</v>
      </c>
      <c r="BE223" s="40" cm="1">
        <f t="array" ref="BE223">IF($F$12-$I$4+VLOOKUP($R223,武学奇术!$A:$ZZ,11,FALSE)+SUM(_xlfn.XLOOKUP($S223:$AL223,增益!$A:$A,增益!$K:$K,0))&gt;0,($F$12-$I$4+VLOOKUP($R223,武学奇术!$A:$ZZ,11,FALSE)+SUM(_xlfn.XLOOKUP($S223:$AL223,增益!$A:$A,增益!$K:$K,0)))/200,($F$12-$I$4+VLOOKUP($R223,武学奇术!$A:$ZZ,11,FALSE)+SUM(_xlfn.XLOOKUP($S223:$AL223,增益!$A:$A,增益!$K:$K,0)))/100)</f>
        <v>0.17</v>
      </c>
      <c r="BF223" s="40" cm="1">
        <f t="array" ref="BF223">$G$12+VLOOKUP($R223,武学奇术!$A:$ZZ,12,FALSE)+SUM(_xlfn.XLOOKUP($S223:$AL223,增益!$A:$A,增益!$L:$L,0))</f>
        <v>0.27</v>
      </c>
      <c r="BG223">
        <f t="shared" si="54"/>
        <v>0</v>
      </c>
      <c r="BH223">
        <f t="shared" si="55"/>
        <v>0</v>
      </c>
      <c r="BI223" s="40" cm="1">
        <f t="array" ref="BI223">IF($F$13-$I$4+VLOOKUP($R223,武学奇术!$A:$ZZ,13,FALSE)+SUM(_xlfn.XLOOKUP($S223:$AL223,增益!$A:$A,增益!$M:$M,0))&gt;0,($F$13-$I$4+VLOOKUP($R223,武学奇术!$A:$ZZ,13,FALSE)+SUM(_xlfn.XLOOKUP($S223:$AL223,增益!$A:$A,增益!$K:$K,0)))/200,($F$13-$I$4+VLOOKUP($R223,武学奇术!$A:$ZZ,13,FALSE)+SUM(_xlfn.XLOOKUP($S223:$AL223,增益!$A:$A,增益!$M:$M,0)))/100)</f>
        <v>-0.14</v>
      </c>
      <c r="BJ223" s="40" cm="1">
        <f t="array" ref="BJ223">$G$13+VLOOKUP($R223,武学奇术!$A:$ZZ,14,FALSE)+SUM(_xlfn.XLOOKUP($S223:$AL223,增益!$A:$A,增益!$N:$N,0))</f>
        <v>0</v>
      </c>
      <c r="BK223">
        <f t="shared" si="56"/>
        <v>0</v>
      </c>
      <c r="BL223">
        <f t="shared" si="57"/>
        <v>0</v>
      </c>
      <c r="BM223" s="40" cm="1">
        <f t="array" ref="BM223">IF($F$14-$I$4+VLOOKUP($R223,武学奇术!$A:$ZZ,15,FALSE)+SUM(_xlfn.XLOOKUP($S223:$AL223,增益!$A:$A,增益!$O:$O,0))&gt;0,($F$14-$I$4+VLOOKUP($R223,武学奇术!$A:$ZZ,15,FALSE)+SUM(_xlfn.XLOOKUP($S223:$AL223,增益!$A:$A,增益!$O:$O,0)))/200,($F$14-$I$4+VLOOKUP($R223,武学奇术!$A:$ZZ,15,FALSE)+SUM(_xlfn.XLOOKUP($S223:$AL223,增益!$A:$A,增益!$O:$O,0)))/100)</f>
        <v>-0.14</v>
      </c>
      <c r="BN223" s="40" cm="1">
        <f t="array" ref="BN223">$G$14+VLOOKUP($R223,武学奇术!$A:$ZZ,16,FALSE)+SUM(_xlfn.XLOOKUP($S223:$AL223,增益!$A:$A,增益!$P:$P,0))</f>
        <v>0</v>
      </c>
      <c r="BO223" s="33">
        <f>MIN(IF(VLOOKUP($R223,武学奇术!$A:$ZZ,23,FALSE)=1,100%,$B$8),100%)</f>
        <v>0.9771</v>
      </c>
      <c r="BP223" s="33" cm="1">
        <f t="array" ref="BP223">IF(VLOOKUP($R223,武学奇术!$A:$ZZ,23,FALSE)=1,100%,MIN(80%,$B$9+VLOOKUP($R223,武学奇术!$A:$ZZ,17,FALSE)+SUM(_xlfn.XLOOKUP($S223:$AL223,增益!$A:$A,增益!$Q:$Q,0)))+$B$11+SUM(_xlfn.XLOOKUP($S223:$AL223,增益!$A:$A,增益!$U:$U,0)))*IF(VLOOKUP($R223,武学奇术!$A:$ZZ,24,FALSE)=1,0,1)</f>
        <v>0.8861</v>
      </c>
      <c r="BQ223" s="33" cm="1">
        <f t="array" ref="BQ223">1+$B$13+VLOOKUP($R223,武学奇术!$A:$ZZ,18,FALSE)+SUM(_xlfn.XLOOKUP($S223:$AL223,增益!$A:$A,增益!$R:$R,0))</f>
        <v>1.95</v>
      </c>
      <c r="BR223" s="33" cm="1">
        <f t="array" ref="BR223">IF(VLOOKUP($R223,武学奇术!$A:$ZZ,24,FALSE)=1,100%,MIN(40%,$B$10+VLOOKUP($R223,武学奇术!$A:$ZZ,19,FALSE)+SUM(_xlfn.XLOOKUP($S223:$AL223,增益!$A:$A,增益!$S:$S,0)))+$B$12+SUM(_xlfn.XLOOKUP($S223:$AL223,增益!$A:$A,增益!$V:$V,0)))*IF(VLOOKUP($R223,武学奇术!$A:$ZZ,23,FALSE)=1,0,1)</f>
        <v>0.0913</v>
      </c>
      <c r="BS223" s="33" cm="1">
        <f t="array" ref="BS223">1+$B$14+VLOOKUP($R223,武学奇术!$A:$ZZ,20,FALSE)+SUM(_xlfn.XLOOKUP($S223:$AL223,增益!$A:$A,增益!$T:$T,0))</f>
        <v>1.35</v>
      </c>
      <c r="BT223" s="33">
        <f t="shared" si="58"/>
        <v>0.86580831</v>
      </c>
      <c r="BU223" s="33">
        <f t="shared" si="59"/>
        <v>0.02208246</v>
      </c>
      <c r="BV223" s="33">
        <f>IF(VLOOKUP($R223,武学奇术!$A:$ZZ,22,FALSE)=1,0,(1-$BO223))*(1-$BR223)</f>
        <v>0.02080923</v>
      </c>
      <c r="BW223" s="33" cm="1">
        <f t="array" ref="BW223">SUM(_xlfn.XLOOKUP($S223:$AL223,增益!$A:$A,增益!$W:$W,0))+$I$5</f>
        <v>0.11</v>
      </c>
      <c r="BX223" s="33" cm="1">
        <f t="array" ref="BX223">VLOOKUP($R223,武学奇术!$A:$ZZ,32,FALSE)+SUM(_xlfn.XLOOKUP($S223:$AL223,增益!$A:$A,增益!$X:$X,0))</f>
        <v>0</v>
      </c>
    </row>
    <row r="224" spans="12:76">
      <c r="L224" s="46">
        <f t="shared" si="49"/>
        <v>0</v>
      </c>
      <c r="M224" s="46">
        <f>((($AT224+$AU224)/2*$AN224+$AO224)*(1+$AV224)*(1+$AW224)+(($AY224+$AZ224)/2*IF($G$1="鸣金",$AP224,$AN224)+IF($G$1="鸣金",$AQ224*1.5,0))*(1+$BA224)*(1+$BB224)+(($BC224+$BD224)/2*IF($G$1="裂石",$AP224,$AN224)+IF($G$1="裂石",$AQ224*1.5,0))*(1+$BE224)*(1+$BF224)+(($BG224+$BH224)/2*IF($G$1="牵丝",$AP224,$AN224)+IF($G$1="牵丝",$AQ224*1.5,0))*(1+$BI224)*(1+$BJ224)+(($BK224+$BL224)/2*IF($G$1="破竹",$AP224,$AN224)+IF($G$1="破竹",$AQ224*1.5,0))*(1+$BM224)*(1+$BN224))*(1+$AR224)*$BQ224*$Q224*(1+IF(VLOOKUP($R224,武学奇术!$A:$ZZ,30,FALSE)="蓄力技",$B$21,0))*(1+IF(VLOOKUP($R224,武学奇术!$A:$ZZ,30,FALSE)="派生技",$B$20,0))*(1+$BW224)*(1+$BX224)</f>
        <v>0</v>
      </c>
      <c r="N224" s="46">
        <f>(($AU224*$AN224+$AO224)*(1+$AV224)*(1+$AW224)+($AZ224*IF($G$1="鸣金",$AP224,$AN224)+IF($G$1="鸣金",$AQ224*1.5,0))*(1+$BA224)*(1+$BB224)+($BD224*IF($G$1="裂石",$AP224,$AN224)+IF($G$1="裂石",$AQ224*1.5,0))*(1+$BE224)*(1+$BF224)+($BH224*IF($G$1="牵丝",$AP224,$AN224)+IF($G$1="牵丝",$AQ224*1.5,0))*(1+$BI224)*(1+$BJ224)+($BL224*IF($G$1="破竹",$AP224,$AN224)+IF($G$1="破竹",$AQ224*1.5,0))*(1+$BM224)*(1+$BN224))*(1+$AR224)*$BS224*$Q224*(1+IF(VLOOKUP($R224,武学奇术!$A:$ZZ,30,FALSE)="蓄力技",$B$21,0))*(1+IF(VLOOKUP($R224,武学奇术!$A:$ZZ,30,FALSE)="派生技",$B$20,0))*(1+$BW224)*(1+$BX224)</f>
        <v>0</v>
      </c>
      <c r="O224" s="46">
        <f>((($AT224+$AU224)/2*$AN224+$AO224)*(1+$AV224)*(1+$AW224)+(($AY224+$AZ224)/2*IF($G$1="鸣金",$AP224,$AN224)+IF($G$1="鸣金",$AQ224*1.5,0))*(1+$BA224)*(1+$BB224)+(($BC224+$BD224)/2*IF($G$1="裂石",$AP224,$AN224)+IF($G$1="裂石",$AQ224*1.5,0))*(1+$BE224)*(1+$BF224)+(($BG224+$BH224)/2*IF($G$1="牵丝",$AP224,$AN224)+IF($G$1="牵丝",$AQ224*1.5,0))*(1+$BI224)*(1+$BJ224)+(($BK224+$BL224)/2*IF($G$1="破竹",$AP224,$AN224)+IF($G$1="破竹",$AQ224*1.5,0))*(1+$BM224)*(1+$BN224))*(1+$AR224)*$Q224*(1+IF(VLOOKUP($R224,武学奇术!$A:$ZZ,30,FALSE)="蓄力技",$B$21,0))*(1+IF(VLOOKUP($R224,武学奇术!$A:$ZZ,30,FALSE)="派生技",$B$20,0))*(1+$BW224)*(1+$BX224)</f>
        <v>0</v>
      </c>
      <c r="P224" s="46">
        <f>((($AT224*$AN224+$AO224)*(1+$AV224)*(1+$AW224)+($AY224*IF($G$1="鸣金",$AP224,$AN224)+IF($G$1="鸣金",$AQ224*1.5,0))*(1+$BA224)*(1+$BB224)+($BC224*IF($G$1="裂石",$AP224,$AN224)+IF($G$1="裂石",$AQ224*1.5,0))*(1+$BE224)*(1+$BF224)+($BG224*IF($G$1="牵丝",$AP224,$AN224)+IF($G$1="牵丝",$AQ224*1.5,0))*(1+$BI224)*(1+$BJ224)+($BK224*IF($G$1="破竹",$AP224,$AN224)+IF($G$1="破竹",$AQ224*1.5,0))*(1+$BM224)*(1+$BN224))*(1+$AR224))*$Q224*(1+IF(VLOOKUP($R224,武学奇术!$A:$ZZ,30,FALSE)="蓄力技",$B$21,0))*(1+IF(VLOOKUP($R224,武学奇术!$A:$ZZ,30,FALSE)="派生技",$B$20,0))*(1+$BW224)*(1+$BX224)</f>
        <v>0</v>
      </c>
      <c r="Q224" s="47">
        <f t="shared" si="61"/>
        <v>0</v>
      </c>
      <c r="R224" s="48" t="s">
        <v>200</v>
      </c>
      <c r="S224" s="48" t="s">
        <v>99</v>
      </c>
      <c r="T224" s="48" t="s">
        <v>182</v>
      </c>
      <c r="U224" s="48" t="s">
        <v>79</v>
      </c>
      <c r="V224" s="48" t="s">
        <v>90</v>
      </c>
      <c r="W224" s="48" t="s">
        <v>91</v>
      </c>
      <c r="X224" s="48" t="s">
        <v>80</v>
      </c>
      <c r="Y224" s="48" t="s">
        <v>80</v>
      </c>
      <c r="Z224" s="48" t="s">
        <v>80</v>
      </c>
      <c r="AA224" s="48" t="s">
        <v>80</v>
      </c>
      <c r="AB224" s="48" t="s">
        <v>80</v>
      </c>
      <c r="AC224" s="48" t="s">
        <v>80</v>
      </c>
      <c r="AD224" s="48" t="s">
        <v>80</v>
      </c>
      <c r="AE224" s="48" t="s">
        <v>80</v>
      </c>
      <c r="AF224" s="48" t="s">
        <v>83</v>
      </c>
      <c r="AG224" s="48" t="s">
        <v>84</v>
      </c>
      <c r="AH224" s="48" t="s">
        <v>80</v>
      </c>
      <c r="AI224" s="48" t="s">
        <v>80</v>
      </c>
      <c r="AJ224" s="48" t="s">
        <v>80</v>
      </c>
      <c r="AK224" s="48" t="s">
        <v>80</v>
      </c>
      <c r="AL224" s="48" t="s">
        <v>80</v>
      </c>
      <c r="AM224" t="str">
        <f>VLOOKUP($R224,武学奇术!$A:$ZZ,25,FALSE)</f>
        <v>横刀</v>
      </c>
      <c r="AN224" s="33">
        <f>VLOOKUP($R224,武学奇术!$A:$ZZ,26,FALSE)</f>
        <v>0.6486</v>
      </c>
      <c r="AO224" s="34">
        <f>VLOOKUP($R224,武学奇术!$A:$ZZ,27,FALSE)*(1+IF(OR($AM224=$F$4,$AM224=$F$5),$B$22,0))</f>
        <v>288</v>
      </c>
      <c r="AP224" s="33">
        <f>VLOOKUP($R224,武学奇术!$A:$ZZ,28,FALSE)</f>
        <v>0.9729</v>
      </c>
      <c r="AQ224" s="34">
        <f>VLOOKUP($R224,武学奇术!$A:$ZZ,29,FALSE)*(1+IF(OR($AM224=$F$4,$AM224=$F$5),$B$22,0))</f>
        <v>156.8</v>
      </c>
      <c r="AR224" s="33" cm="1">
        <f t="array" ref="AR224">$G$3+IFERROR(VLOOKUP($AM224,$F$4:$G$7,2,FALSE),0)+VLOOKUP($R224,武学奇术!$A:$ZZ,2,FALSE)+SUM(_xlfn.XLOOKUP($S224:$AL224,增益!$A:$A,增益!$B:$B,0))</f>
        <v>0.4489</v>
      </c>
      <c r="AS224" s="33" cm="1">
        <f t="array" ref="AS224">VLOOKUP($R224,武学奇术!$A:$ZZ,5,FALSE)+SUM(_xlfn.XLOOKUP($S224:$AL224,增益!$A:$A,增益!$E:$E,0))</f>
        <v>0</v>
      </c>
      <c r="AT224" cm="1">
        <f t="array" ref="AT224">$D$10*(1+$AS224)+VLOOKUP($R224,武学奇术!$A:$ZZ,3,FALSE)+SUM(_xlfn.XLOOKUP($S224:$AL224,增益!$A:$A,增益!$C:$C,0))-$I$2</f>
        <v>4026</v>
      </c>
      <c r="AU224" cm="1">
        <f t="array" ref="AU224">$E$10*(1+$AS224)+VLOOKUP($R224,武学奇术!$A:$ZZ,4,FALSE)+SUM(_xlfn.XLOOKUP($S224:$AL224,增益!$A:$A,增益!$D:$D,0))-$I$2</f>
        <v>4026</v>
      </c>
      <c r="AV224" s="40" cm="1">
        <f t="array" ref="AV224">IF($F$10-$I$3+VLOOKUP($R224,武学奇术!$A:$ZZ,6,FALSE)+SUM(_xlfn.XLOOKUP($S224:$AL224,增益!$A:$A,增益!$F:$F,0))&gt;0,($F$10-$I$3+VLOOKUP($R224,武学奇术!$A:$ZZ,6,FALSE)+SUM(_xlfn.XLOOKUP($S224:$AL224,增益!$A:$A,增益!$F:$F,0)))/200,($F$10-$I$3+VLOOKUP($R224,武学奇术!$A:$ZZ,6,FALSE)+SUM(_xlfn.XLOOKUP($S224:$AL224,增益!$A:$A,增益!$F:$F,0)))/100)</f>
        <v>0.3284</v>
      </c>
      <c r="AW224" s="40" cm="1">
        <f t="array" ref="AW224">$G$10+VLOOKUP($R224,武学奇术!$A:$ZZ,7,FALSE)+SUM(_xlfn.XLOOKUP($S224:$AL224,增益!$A:$A,增益!$G:$G,0))</f>
        <v>0.12</v>
      </c>
      <c r="AX224" s="33" cm="1">
        <f t="array" ref="AX224">VLOOKUP($R224,武学奇术!$A:$ZZ,8,FALSE)+SUM(_xlfn.XLOOKUP($S224:$AL224,增益!$A:$A,增益!$H:$H,0))</f>
        <v>0</v>
      </c>
      <c r="AY224">
        <f t="shared" si="50"/>
        <v>0</v>
      </c>
      <c r="AZ224">
        <f t="shared" si="51"/>
        <v>0</v>
      </c>
      <c r="BA224" s="40" cm="1">
        <f t="array" ref="BA224">IF($F$11-$I$4+VLOOKUP($R224,武学奇术!$A:$ZZ,9,FALSE)+SUM(_xlfn.XLOOKUP($S224:$AL224,增益!$A:$A,增益!$I:$I,0))&gt;0,($F$11-$I$4+VLOOKUP($R224,武学奇术!$A:$ZZ,9,FALSE)+SUM(_xlfn.XLOOKUP($S224:$AL224,增益!$A:$A,增益!$I:$I,0)))/200,($F$11-$I$4+VLOOKUP($R224,武学奇术!$A:$ZZ,9,FALSE)+SUM(_xlfn.XLOOKUP($S224:$AL224,增益!$A:$A,增益!$I:$I,0)))/100)</f>
        <v>-0.14</v>
      </c>
      <c r="BB224" s="40" cm="1">
        <f t="array" ref="BB224">$G$11+VLOOKUP($R224,武学奇术!$A:$ZZ,10,FALSE)+SUM(_xlfn.XLOOKUP($S224:$AL224,增益!$A:$A,增益!$J:$J,0))</f>
        <v>0</v>
      </c>
      <c r="BC224">
        <f t="shared" si="52"/>
        <v>640.3</v>
      </c>
      <c r="BD224">
        <f t="shared" si="53"/>
        <v>1770.1</v>
      </c>
      <c r="BE224" s="40" cm="1">
        <f t="array" ref="BE224">IF($F$12-$I$4+VLOOKUP($R224,武学奇术!$A:$ZZ,11,FALSE)+SUM(_xlfn.XLOOKUP($S224:$AL224,增益!$A:$A,增益!$K:$K,0))&gt;0,($F$12-$I$4+VLOOKUP($R224,武学奇术!$A:$ZZ,11,FALSE)+SUM(_xlfn.XLOOKUP($S224:$AL224,增益!$A:$A,增益!$K:$K,0)))/200,($F$12-$I$4+VLOOKUP($R224,武学奇术!$A:$ZZ,11,FALSE)+SUM(_xlfn.XLOOKUP($S224:$AL224,增益!$A:$A,增益!$K:$K,0)))/100)</f>
        <v>0.17</v>
      </c>
      <c r="BF224" s="40" cm="1">
        <f t="array" ref="BF224">$G$12+VLOOKUP($R224,武学奇术!$A:$ZZ,12,FALSE)+SUM(_xlfn.XLOOKUP($S224:$AL224,增益!$A:$A,增益!$L:$L,0))</f>
        <v>0.27</v>
      </c>
      <c r="BG224">
        <f t="shared" si="54"/>
        <v>0</v>
      </c>
      <c r="BH224">
        <f t="shared" si="55"/>
        <v>0</v>
      </c>
      <c r="BI224" s="40" cm="1">
        <f t="array" ref="BI224">IF($F$13-$I$4+VLOOKUP($R224,武学奇术!$A:$ZZ,13,FALSE)+SUM(_xlfn.XLOOKUP($S224:$AL224,增益!$A:$A,增益!$M:$M,0))&gt;0,($F$13-$I$4+VLOOKUP($R224,武学奇术!$A:$ZZ,13,FALSE)+SUM(_xlfn.XLOOKUP($S224:$AL224,增益!$A:$A,增益!$K:$K,0)))/200,($F$13-$I$4+VLOOKUP($R224,武学奇术!$A:$ZZ,13,FALSE)+SUM(_xlfn.XLOOKUP($S224:$AL224,增益!$A:$A,增益!$M:$M,0)))/100)</f>
        <v>-0.14</v>
      </c>
      <c r="BJ224" s="40" cm="1">
        <f t="array" ref="BJ224">$G$13+VLOOKUP($R224,武学奇术!$A:$ZZ,14,FALSE)+SUM(_xlfn.XLOOKUP($S224:$AL224,增益!$A:$A,增益!$N:$N,0))</f>
        <v>0</v>
      </c>
      <c r="BK224">
        <f t="shared" si="56"/>
        <v>0</v>
      </c>
      <c r="BL224">
        <f t="shared" si="57"/>
        <v>0</v>
      </c>
      <c r="BM224" s="40" cm="1">
        <f t="array" ref="BM224">IF($F$14-$I$4+VLOOKUP($R224,武学奇术!$A:$ZZ,15,FALSE)+SUM(_xlfn.XLOOKUP($S224:$AL224,增益!$A:$A,增益!$O:$O,0))&gt;0,($F$14-$I$4+VLOOKUP($R224,武学奇术!$A:$ZZ,15,FALSE)+SUM(_xlfn.XLOOKUP($S224:$AL224,增益!$A:$A,增益!$O:$O,0)))/200,($F$14-$I$4+VLOOKUP($R224,武学奇术!$A:$ZZ,15,FALSE)+SUM(_xlfn.XLOOKUP($S224:$AL224,增益!$A:$A,增益!$O:$O,0)))/100)</f>
        <v>-0.14</v>
      </c>
      <c r="BN224" s="40" cm="1">
        <f t="array" ref="BN224">$G$14+VLOOKUP($R224,武学奇术!$A:$ZZ,16,FALSE)+SUM(_xlfn.XLOOKUP($S224:$AL224,增益!$A:$A,增益!$P:$P,0))</f>
        <v>0</v>
      </c>
      <c r="BO224" s="33">
        <f>MIN(IF(VLOOKUP($R224,武学奇术!$A:$ZZ,23,FALSE)=1,100%,$B$8),100%)</f>
        <v>0.9771</v>
      </c>
      <c r="BP224" s="33" cm="1">
        <f t="array" ref="BP224">IF(VLOOKUP($R224,武学奇术!$A:$ZZ,23,FALSE)=1,100%,MIN(80%,$B$9+VLOOKUP($R224,武学奇术!$A:$ZZ,17,FALSE)+SUM(_xlfn.XLOOKUP($S224:$AL224,增益!$A:$A,增益!$Q:$Q,0)))+$B$11+SUM(_xlfn.XLOOKUP($S224:$AL224,增益!$A:$A,增益!$U:$U,0)))*IF(VLOOKUP($R224,武学奇术!$A:$ZZ,24,FALSE)=1,0,1)</f>
        <v>0.8861</v>
      </c>
      <c r="BQ224" s="33" cm="1">
        <f t="array" ref="BQ224">1+$B$13+VLOOKUP($R224,武学奇术!$A:$ZZ,18,FALSE)+SUM(_xlfn.XLOOKUP($S224:$AL224,增益!$A:$A,增益!$R:$R,0))</f>
        <v>1.95</v>
      </c>
      <c r="BR224" s="33" cm="1">
        <f t="array" ref="BR224">IF(VLOOKUP($R224,武学奇术!$A:$ZZ,24,FALSE)=1,100%,MIN(40%,$B$10+VLOOKUP($R224,武学奇术!$A:$ZZ,19,FALSE)+SUM(_xlfn.XLOOKUP($S224:$AL224,增益!$A:$A,增益!$S:$S,0)))+$B$12+SUM(_xlfn.XLOOKUP($S224:$AL224,增益!$A:$A,增益!$V:$V,0)))*IF(VLOOKUP($R224,武学奇术!$A:$ZZ,23,FALSE)=1,0,1)</f>
        <v>0.0913</v>
      </c>
      <c r="BS224" s="33" cm="1">
        <f t="array" ref="BS224">1+$B$14+VLOOKUP($R224,武学奇术!$A:$ZZ,20,FALSE)+SUM(_xlfn.XLOOKUP($S224:$AL224,增益!$A:$A,增益!$T:$T,0))</f>
        <v>1.35</v>
      </c>
      <c r="BT224" s="33">
        <f t="shared" si="58"/>
        <v>0.86580831</v>
      </c>
      <c r="BU224" s="33">
        <f t="shared" si="59"/>
        <v>0.02208246</v>
      </c>
      <c r="BV224" s="33">
        <f>IF(VLOOKUP($R224,武学奇术!$A:$ZZ,22,FALSE)=1,0,(1-$BO224))*(1-$BR224)</f>
        <v>0.02080923</v>
      </c>
      <c r="BW224" s="33" cm="1">
        <f t="array" ref="BW224">SUM(_xlfn.XLOOKUP($S224:$AL224,增益!$A:$A,增益!$W:$W,0))+$I$5</f>
        <v>0.11</v>
      </c>
      <c r="BX224" s="33" cm="1">
        <f t="array" ref="BX224">VLOOKUP($R224,武学奇术!$A:$ZZ,32,FALSE)+SUM(_xlfn.XLOOKUP($S224:$AL224,增益!$A:$A,增益!$X:$X,0))</f>
        <v>0</v>
      </c>
    </row>
    <row r="225" spans="12:76">
      <c r="L225" s="46">
        <f t="shared" si="49"/>
        <v>0</v>
      </c>
      <c r="M225" s="46">
        <f>((($AT225+$AU225)/2*$AN225+$AO225)*(1+$AV225)*(1+$AW225)+(($AY225+$AZ225)/2*IF($G$1="鸣金",$AP225,$AN225)+IF($G$1="鸣金",$AQ225*1.5,0))*(1+$BA225)*(1+$BB225)+(($BC225+$BD225)/2*IF($G$1="裂石",$AP225,$AN225)+IF($G$1="裂石",$AQ225*1.5,0))*(1+$BE225)*(1+$BF225)+(($BG225+$BH225)/2*IF($G$1="牵丝",$AP225,$AN225)+IF($G$1="牵丝",$AQ225*1.5,0))*(1+$BI225)*(1+$BJ225)+(($BK225+$BL225)/2*IF($G$1="破竹",$AP225,$AN225)+IF($G$1="破竹",$AQ225*1.5,0))*(1+$BM225)*(1+$BN225))*(1+$AR225)*$BQ225*$Q225*(1+IF(VLOOKUP($R225,武学奇术!$A:$ZZ,30,FALSE)="蓄力技",$B$21,0))*(1+IF(VLOOKUP($R225,武学奇术!$A:$ZZ,30,FALSE)="派生技",$B$20,0))*(1+$BW225)*(1+$BX225)</f>
        <v>0</v>
      </c>
      <c r="N225" s="46">
        <f>(($AU225*$AN225+$AO225)*(1+$AV225)*(1+$AW225)+($AZ225*IF($G$1="鸣金",$AP225,$AN225)+IF($G$1="鸣金",$AQ225*1.5,0))*(1+$BA225)*(1+$BB225)+($BD225*IF($G$1="裂石",$AP225,$AN225)+IF($G$1="裂石",$AQ225*1.5,0))*(1+$BE225)*(1+$BF225)+($BH225*IF($G$1="牵丝",$AP225,$AN225)+IF($G$1="牵丝",$AQ225*1.5,0))*(1+$BI225)*(1+$BJ225)+($BL225*IF($G$1="破竹",$AP225,$AN225)+IF($G$1="破竹",$AQ225*1.5,0))*(1+$BM225)*(1+$BN225))*(1+$AR225)*$BS225*$Q225*(1+IF(VLOOKUP($R225,武学奇术!$A:$ZZ,30,FALSE)="蓄力技",$B$21,0))*(1+IF(VLOOKUP($R225,武学奇术!$A:$ZZ,30,FALSE)="派生技",$B$20,0))*(1+$BW225)*(1+$BX225)</f>
        <v>0</v>
      </c>
      <c r="O225" s="46">
        <f>((($AT225+$AU225)/2*$AN225+$AO225)*(1+$AV225)*(1+$AW225)+(($AY225+$AZ225)/2*IF($G$1="鸣金",$AP225,$AN225)+IF($G$1="鸣金",$AQ225*1.5,0))*(1+$BA225)*(1+$BB225)+(($BC225+$BD225)/2*IF($G$1="裂石",$AP225,$AN225)+IF($G$1="裂石",$AQ225*1.5,0))*(1+$BE225)*(1+$BF225)+(($BG225+$BH225)/2*IF($G$1="牵丝",$AP225,$AN225)+IF($G$1="牵丝",$AQ225*1.5,0))*(1+$BI225)*(1+$BJ225)+(($BK225+$BL225)/2*IF($G$1="破竹",$AP225,$AN225)+IF($G$1="破竹",$AQ225*1.5,0))*(1+$BM225)*(1+$BN225))*(1+$AR225)*$Q225*(1+IF(VLOOKUP($R225,武学奇术!$A:$ZZ,30,FALSE)="蓄力技",$B$21,0))*(1+IF(VLOOKUP($R225,武学奇术!$A:$ZZ,30,FALSE)="派生技",$B$20,0))*(1+$BW225)*(1+$BX225)</f>
        <v>0</v>
      </c>
      <c r="P225" s="46">
        <f>((($AT225*$AN225+$AO225)*(1+$AV225)*(1+$AW225)+($AY225*IF($G$1="鸣金",$AP225,$AN225)+IF($G$1="鸣金",$AQ225*1.5,0))*(1+$BA225)*(1+$BB225)+($BC225*IF($G$1="裂石",$AP225,$AN225)+IF($G$1="裂石",$AQ225*1.5,0))*(1+$BE225)*(1+$BF225)+($BG225*IF($G$1="牵丝",$AP225,$AN225)+IF($G$1="牵丝",$AQ225*1.5,0))*(1+$BI225)*(1+$BJ225)+($BK225*IF($G$1="破竹",$AP225,$AN225)+IF($G$1="破竹",$AQ225*1.5,0))*(1+$BM225)*(1+$BN225))*(1+$AR225))*$Q225*(1+IF(VLOOKUP($R225,武学奇术!$A:$ZZ,30,FALSE)="蓄力技",$B$21,0))*(1+IF(VLOOKUP($R225,武学奇术!$A:$ZZ,30,FALSE)="派生技",$B$20,0))*(1+$BW225)*(1+$BX225)</f>
        <v>0</v>
      </c>
      <c r="Q225" s="47">
        <f t="shared" si="61"/>
        <v>0</v>
      </c>
      <c r="R225" s="48" t="s">
        <v>175</v>
      </c>
      <c r="S225" s="48" t="s">
        <v>99</v>
      </c>
      <c r="T225" s="48" t="s">
        <v>182</v>
      </c>
      <c r="U225" s="48" t="s">
        <v>79</v>
      </c>
      <c r="V225" s="48" t="s">
        <v>90</v>
      </c>
      <c r="W225" s="48" t="s">
        <v>91</v>
      </c>
      <c r="X225" s="48" t="s">
        <v>80</v>
      </c>
      <c r="Y225" s="48" t="s">
        <v>80</v>
      </c>
      <c r="Z225" s="48" t="s">
        <v>80</v>
      </c>
      <c r="AA225" s="48" t="s">
        <v>80</v>
      </c>
      <c r="AB225" s="48" t="s">
        <v>80</v>
      </c>
      <c r="AC225" s="48" t="s">
        <v>80</v>
      </c>
      <c r="AD225" s="48" t="s">
        <v>80</v>
      </c>
      <c r="AE225" s="48" t="s">
        <v>80</v>
      </c>
      <c r="AF225" s="48" t="s">
        <v>83</v>
      </c>
      <c r="AG225" s="48" t="s">
        <v>84</v>
      </c>
      <c r="AH225" s="48" t="s">
        <v>80</v>
      </c>
      <c r="AI225" s="48" t="s">
        <v>80</v>
      </c>
      <c r="AJ225" s="48" t="s">
        <v>80</v>
      </c>
      <c r="AK225" s="48" t="s">
        <v>80</v>
      </c>
      <c r="AL225" s="48" t="s">
        <v>80</v>
      </c>
      <c r="AM225" t="str">
        <f>VLOOKUP($R225,武学奇术!$A:$ZZ,25,FALSE)</f>
        <v>横刀</v>
      </c>
      <c r="AN225" s="33">
        <f>VLOOKUP($R225,武学奇术!$A:$ZZ,26,FALSE)</f>
        <v>1.2338</v>
      </c>
      <c r="AO225" s="34">
        <f>VLOOKUP($R225,武学奇术!$A:$ZZ,27,FALSE)*(1+IF(OR($AM225=$F$4,$AM225=$F$5),$B$22,0))</f>
        <v>547.2</v>
      </c>
      <c r="AP225" s="33">
        <f>VLOOKUP($R225,武学奇术!$A:$ZZ,28,FALSE)</f>
        <v>1.8507</v>
      </c>
      <c r="AQ225" s="34">
        <f>VLOOKUP($R225,武学奇术!$A:$ZZ,29,FALSE)*(1+IF(OR($AM225=$F$4,$AM225=$F$5),$B$22,0))</f>
        <v>297.6</v>
      </c>
      <c r="AR225" s="33" cm="1">
        <f t="array" ref="AR225">$G$3+IFERROR(VLOOKUP($AM225,$F$4:$G$7,2,FALSE),0)+VLOOKUP($R225,武学奇术!$A:$ZZ,2,FALSE)+SUM(_xlfn.XLOOKUP($S225:$AL225,增益!$A:$A,增益!$B:$B,0))</f>
        <v>0.4489</v>
      </c>
      <c r="AS225" s="33" cm="1">
        <f t="array" ref="AS225">VLOOKUP($R225,武学奇术!$A:$ZZ,5,FALSE)+SUM(_xlfn.XLOOKUP($S225:$AL225,增益!$A:$A,增益!$E:$E,0))</f>
        <v>0</v>
      </c>
      <c r="AT225" cm="1">
        <f t="array" ref="AT225">$D$10*(1+$AS225)+VLOOKUP($R225,武学奇术!$A:$ZZ,3,FALSE)+SUM(_xlfn.XLOOKUP($S225:$AL225,增益!$A:$A,增益!$C:$C,0))-$I$2</f>
        <v>4026</v>
      </c>
      <c r="AU225" cm="1">
        <f t="array" ref="AU225">$E$10*(1+$AS225)+VLOOKUP($R225,武学奇术!$A:$ZZ,4,FALSE)+SUM(_xlfn.XLOOKUP($S225:$AL225,增益!$A:$A,增益!$D:$D,0))-$I$2</f>
        <v>4026</v>
      </c>
      <c r="AV225" s="40" cm="1">
        <f t="array" ref="AV225">IF($F$10-$I$3+VLOOKUP($R225,武学奇术!$A:$ZZ,6,FALSE)+SUM(_xlfn.XLOOKUP($S225:$AL225,增益!$A:$A,增益!$F:$F,0))&gt;0,($F$10-$I$3+VLOOKUP($R225,武学奇术!$A:$ZZ,6,FALSE)+SUM(_xlfn.XLOOKUP($S225:$AL225,增益!$A:$A,增益!$F:$F,0)))/200,($F$10-$I$3+VLOOKUP($R225,武学奇术!$A:$ZZ,6,FALSE)+SUM(_xlfn.XLOOKUP($S225:$AL225,增益!$A:$A,增益!$F:$F,0)))/100)</f>
        <v>0.3284</v>
      </c>
      <c r="AW225" s="40" cm="1">
        <f t="array" ref="AW225">$G$10+VLOOKUP($R225,武学奇术!$A:$ZZ,7,FALSE)+SUM(_xlfn.XLOOKUP($S225:$AL225,增益!$A:$A,增益!$G:$G,0))</f>
        <v>0.12</v>
      </c>
      <c r="AX225" s="33" cm="1">
        <f t="array" ref="AX225">VLOOKUP($R225,武学奇术!$A:$ZZ,8,FALSE)+SUM(_xlfn.XLOOKUP($S225:$AL225,增益!$A:$A,增益!$H:$H,0))</f>
        <v>0</v>
      </c>
      <c r="AY225">
        <f t="shared" si="50"/>
        <v>0</v>
      </c>
      <c r="AZ225">
        <f t="shared" si="51"/>
        <v>0</v>
      </c>
      <c r="BA225" s="40" cm="1">
        <f t="array" ref="BA225">IF($F$11-$I$4+VLOOKUP($R225,武学奇术!$A:$ZZ,9,FALSE)+SUM(_xlfn.XLOOKUP($S225:$AL225,增益!$A:$A,增益!$I:$I,0))&gt;0,($F$11-$I$4+VLOOKUP($R225,武学奇术!$A:$ZZ,9,FALSE)+SUM(_xlfn.XLOOKUP($S225:$AL225,增益!$A:$A,增益!$I:$I,0)))/200,($F$11-$I$4+VLOOKUP($R225,武学奇术!$A:$ZZ,9,FALSE)+SUM(_xlfn.XLOOKUP($S225:$AL225,增益!$A:$A,增益!$I:$I,0)))/100)</f>
        <v>-0.14</v>
      </c>
      <c r="BB225" s="40" cm="1">
        <f t="array" ref="BB225">$G$11+VLOOKUP($R225,武学奇术!$A:$ZZ,10,FALSE)+SUM(_xlfn.XLOOKUP($S225:$AL225,增益!$A:$A,增益!$J:$J,0))</f>
        <v>0</v>
      </c>
      <c r="BC225">
        <f t="shared" si="52"/>
        <v>640.3</v>
      </c>
      <c r="BD225">
        <f t="shared" si="53"/>
        <v>1770.1</v>
      </c>
      <c r="BE225" s="40" cm="1">
        <f t="array" ref="BE225">IF($F$12-$I$4+VLOOKUP($R225,武学奇术!$A:$ZZ,11,FALSE)+SUM(_xlfn.XLOOKUP($S225:$AL225,增益!$A:$A,增益!$K:$K,0))&gt;0,($F$12-$I$4+VLOOKUP($R225,武学奇术!$A:$ZZ,11,FALSE)+SUM(_xlfn.XLOOKUP($S225:$AL225,增益!$A:$A,增益!$K:$K,0)))/200,($F$12-$I$4+VLOOKUP($R225,武学奇术!$A:$ZZ,11,FALSE)+SUM(_xlfn.XLOOKUP($S225:$AL225,增益!$A:$A,增益!$K:$K,0)))/100)</f>
        <v>0.17</v>
      </c>
      <c r="BF225" s="40" cm="1">
        <f t="array" ref="BF225">$G$12+VLOOKUP($R225,武学奇术!$A:$ZZ,12,FALSE)+SUM(_xlfn.XLOOKUP($S225:$AL225,增益!$A:$A,增益!$L:$L,0))</f>
        <v>0.27</v>
      </c>
      <c r="BG225">
        <f t="shared" si="54"/>
        <v>0</v>
      </c>
      <c r="BH225">
        <f t="shared" si="55"/>
        <v>0</v>
      </c>
      <c r="BI225" s="40" cm="1">
        <f t="array" ref="BI225">IF($F$13-$I$4+VLOOKUP($R225,武学奇术!$A:$ZZ,13,FALSE)+SUM(_xlfn.XLOOKUP($S225:$AL225,增益!$A:$A,增益!$M:$M,0))&gt;0,($F$13-$I$4+VLOOKUP($R225,武学奇术!$A:$ZZ,13,FALSE)+SUM(_xlfn.XLOOKUP($S225:$AL225,增益!$A:$A,增益!$K:$K,0)))/200,($F$13-$I$4+VLOOKUP($R225,武学奇术!$A:$ZZ,13,FALSE)+SUM(_xlfn.XLOOKUP($S225:$AL225,增益!$A:$A,增益!$M:$M,0)))/100)</f>
        <v>-0.14</v>
      </c>
      <c r="BJ225" s="40" cm="1">
        <f t="array" ref="BJ225">$G$13+VLOOKUP($R225,武学奇术!$A:$ZZ,14,FALSE)+SUM(_xlfn.XLOOKUP($S225:$AL225,增益!$A:$A,增益!$N:$N,0))</f>
        <v>0</v>
      </c>
      <c r="BK225">
        <f t="shared" si="56"/>
        <v>0</v>
      </c>
      <c r="BL225">
        <f t="shared" si="57"/>
        <v>0</v>
      </c>
      <c r="BM225" s="40" cm="1">
        <f t="array" ref="BM225">IF($F$14-$I$4+VLOOKUP($R225,武学奇术!$A:$ZZ,15,FALSE)+SUM(_xlfn.XLOOKUP($S225:$AL225,增益!$A:$A,增益!$O:$O,0))&gt;0,($F$14-$I$4+VLOOKUP($R225,武学奇术!$A:$ZZ,15,FALSE)+SUM(_xlfn.XLOOKUP($S225:$AL225,增益!$A:$A,增益!$O:$O,0)))/200,($F$14-$I$4+VLOOKUP($R225,武学奇术!$A:$ZZ,15,FALSE)+SUM(_xlfn.XLOOKUP($S225:$AL225,增益!$A:$A,增益!$O:$O,0)))/100)</f>
        <v>-0.14</v>
      </c>
      <c r="BN225" s="40" cm="1">
        <f t="array" ref="BN225">$G$14+VLOOKUP($R225,武学奇术!$A:$ZZ,16,FALSE)+SUM(_xlfn.XLOOKUP($S225:$AL225,增益!$A:$A,增益!$P:$P,0))</f>
        <v>0</v>
      </c>
      <c r="BO225" s="33">
        <f>MIN(IF(VLOOKUP($R225,武学奇术!$A:$ZZ,23,FALSE)=1,100%,$B$8),100%)</f>
        <v>0.9771</v>
      </c>
      <c r="BP225" s="33" cm="1">
        <f t="array" ref="BP225">IF(VLOOKUP($R225,武学奇术!$A:$ZZ,23,FALSE)=1,100%,MIN(80%,$B$9+VLOOKUP($R225,武学奇术!$A:$ZZ,17,FALSE)+SUM(_xlfn.XLOOKUP($S225:$AL225,增益!$A:$A,增益!$Q:$Q,0)))+$B$11+SUM(_xlfn.XLOOKUP($S225:$AL225,增益!$A:$A,增益!$U:$U,0)))*IF(VLOOKUP($R225,武学奇术!$A:$ZZ,24,FALSE)=1,0,1)</f>
        <v>0.8861</v>
      </c>
      <c r="BQ225" s="33" cm="1">
        <f t="array" ref="BQ225">1+$B$13+VLOOKUP($R225,武学奇术!$A:$ZZ,18,FALSE)+SUM(_xlfn.XLOOKUP($S225:$AL225,增益!$A:$A,增益!$R:$R,0))</f>
        <v>1.95</v>
      </c>
      <c r="BR225" s="33" cm="1">
        <f t="array" ref="BR225">IF(VLOOKUP($R225,武学奇术!$A:$ZZ,24,FALSE)=1,100%,MIN(40%,$B$10+VLOOKUP($R225,武学奇术!$A:$ZZ,19,FALSE)+SUM(_xlfn.XLOOKUP($S225:$AL225,增益!$A:$A,增益!$S:$S,0)))+$B$12+SUM(_xlfn.XLOOKUP($S225:$AL225,增益!$A:$A,增益!$V:$V,0)))*IF(VLOOKUP($R225,武学奇术!$A:$ZZ,23,FALSE)=1,0,1)</f>
        <v>0.0913</v>
      </c>
      <c r="BS225" s="33" cm="1">
        <f t="array" ref="BS225">1+$B$14+VLOOKUP($R225,武学奇术!$A:$ZZ,20,FALSE)+SUM(_xlfn.XLOOKUP($S225:$AL225,增益!$A:$A,增益!$T:$T,0))</f>
        <v>1.35</v>
      </c>
      <c r="BT225" s="33">
        <f t="shared" si="58"/>
        <v>0.86580831</v>
      </c>
      <c r="BU225" s="33">
        <f t="shared" si="59"/>
        <v>0.02208246</v>
      </c>
      <c r="BV225" s="33">
        <f>IF(VLOOKUP($R225,武学奇术!$A:$ZZ,22,FALSE)=1,0,(1-$BO225))*(1-$BR225)</f>
        <v>0.02080923</v>
      </c>
      <c r="BW225" s="33" cm="1">
        <f t="array" ref="BW225">SUM(_xlfn.XLOOKUP($S225:$AL225,增益!$A:$A,增益!$W:$W,0))+$I$5</f>
        <v>0.11</v>
      </c>
      <c r="BX225" s="33" cm="1">
        <f t="array" ref="BX225">VLOOKUP($R225,武学奇术!$A:$ZZ,32,FALSE)+SUM(_xlfn.XLOOKUP($S225:$AL225,增益!$A:$A,增益!$X:$X,0))</f>
        <v>0</v>
      </c>
    </row>
    <row r="226" spans="12:76">
      <c r="L226" s="46">
        <f t="shared" si="49"/>
        <v>0</v>
      </c>
      <c r="M226" s="46">
        <f>((($AT226+$AU226)/2*$AN226+$AO226)*(1+$AV226)*(1+$AW226)+(($AY226+$AZ226)/2*IF($G$1="鸣金",$AP226,$AN226)+IF($G$1="鸣金",$AQ226*1.5,0))*(1+$BA226)*(1+$BB226)+(($BC226+$BD226)/2*IF($G$1="裂石",$AP226,$AN226)+IF($G$1="裂石",$AQ226*1.5,0))*(1+$BE226)*(1+$BF226)+(($BG226+$BH226)/2*IF($G$1="牵丝",$AP226,$AN226)+IF($G$1="牵丝",$AQ226*1.5,0))*(1+$BI226)*(1+$BJ226)+(($BK226+$BL226)/2*IF($G$1="破竹",$AP226,$AN226)+IF($G$1="破竹",$AQ226*1.5,0))*(1+$BM226)*(1+$BN226))*(1+$AR226)*$BQ226*$Q226*(1+IF(VLOOKUP($R226,武学奇术!$A:$ZZ,30,FALSE)="蓄力技",$B$21,0))*(1+IF(VLOOKUP($R226,武学奇术!$A:$ZZ,30,FALSE)="派生技",$B$20,0))*(1+$BW226)*(1+$BX226)</f>
        <v>0</v>
      </c>
      <c r="N226" s="46">
        <f>(($AU226*$AN226+$AO226)*(1+$AV226)*(1+$AW226)+($AZ226*IF($G$1="鸣金",$AP226,$AN226)+IF($G$1="鸣金",$AQ226*1.5,0))*(1+$BA226)*(1+$BB226)+($BD226*IF($G$1="裂石",$AP226,$AN226)+IF($G$1="裂石",$AQ226*1.5,0))*(1+$BE226)*(1+$BF226)+($BH226*IF($G$1="牵丝",$AP226,$AN226)+IF($G$1="牵丝",$AQ226*1.5,0))*(1+$BI226)*(1+$BJ226)+($BL226*IF($G$1="破竹",$AP226,$AN226)+IF($G$1="破竹",$AQ226*1.5,0))*(1+$BM226)*(1+$BN226))*(1+$AR226)*$BS226*$Q226*(1+IF(VLOOKUP($R226,武学奇术!$A:$ZZ,30,FALSE)="蓄力技",$B$21,0))*(1+IF(VLOOKUP($R226,武学奇术!$A:$ZZ,30,FALSE)="派生技",$B$20,0))*(1+$BW226)*(1+$BX226)</f>
        <v>0</v>
      </c>
      <c r="O226" s="46">
        <f>((($AT226+$AU226)/2*$AN226+$AO226)*(1+$AV226)*(1+$AW226)+(($AY226+$AZ226)/2*IF($G$1="鸣金",$AP226,$AN226)+IF($G$1="鸣金",$AQ226*1.5,0))*(1+$BA226)*(1+$BB226)+(($BC226+$BD226)/2*IF($G$1="裂石",$AP226,$AN226)+IF($G$1="裂石",$AQ226*1.5,0))*(1+$BE226)*(1+$BF226)+(($BG226+$BH226)/2*IF($G$1="牵丝",$AP226,$AN226)+IF($G$1="牵丝",$AQ226*1.5,0))*(1+$BI226)*(1+$BJ226)+(($BK226+$BL226)/2*IF($G$1="破竹",$AP226,$AN226)+IF($G$1="破竹",$AQ226*1.5,0))*(1+$BM226)*(1+$BN226))*(1+$AR226)*$Q226*(1+IF(VLOOKUP($R226,武学奇术!$A:$ZZ,30,FALSE)="蓄力技",$B$21,0))*(1+IF(VLOOKUP($R226,武学奇术!$A:$ZZ,30,FALSE)="派生技",$B$20,0))*(1+$BW226)*(1+$BX226)</f>
        <v>0</v>
      </c>
      <c r="P226" s="46">
        <f>((($AT226*$AN226+$AO226)*(1+$AV226)*(1+$AW226)+($AY226*IF($G$1="鸣金",$AP226,$AN226)+IF($G$1="鸣金",$AQ226*1.5,0))*(1+$BA226)*(1+$BB226)+($BC226*IF($G$1="裂石",$AP226,$AN226)+IF($G$1="裂石",$AQ226*1.5,0))*(1+$BE226)*(1+$BF226)+($BG226*IF($G$1="牵丝",$AP226,$AN226)+IF($G$1="牵丝",$AQ226*1.5,0))*(1+$BI226)*(1+$BJ226)+($BK226*IF($G$1="破竹",$AP226,$AN226)+IF($G$1="破竹",$AQ226*1.5,0))*(1+$BM226)*(1+$BN226))*(1+$AR226))*$Q226*(1+IF(VLOOKUP($R226,武学奇术!$A:$ZZ,30,FALSE)="蓄力技",$B$21,0))*(1+IF(VLOOKUP($R226,武学奇术!$A:$ZZ,30,FALSE)="派生技",$B$20,0))*(1+$BW226)*(1+$BX226)</f>
        <v>0</v>
      </c>
      <c r="Q226" s="47">
        <f t="shared" si="61"/>
        <v>0</v>
      </c>
      <c r="R226" s="48" t="s">
        <v>116</v>
      </c>
      <c r="S226" s="48" t="s">
        <v>99</v>
      </c>
      <c r="T226" s="48" t="s">
        <v>182</v>
      </c>
      <c r="U226" s="48" t="s">
        <v>79</v>
      </c>
      <c r="V226" s="48" t="s">
        <v>80</v>
      </c>
      <c r="W226" s="48" t="s">
        <v>91</v>
      </c>
      <c r="X226" s="48" t="s">
        <v>80</v>
      </c>
      <c r="Y226" s="48" t="s">
        <v>80</v>
      </c>
      <c r="Z226" s="48" t="s">
        <v>80</v>
      </c>
      <c r="AA226" s="48" t="s">
        <v>80</v>
      </c>
      <c r="AB226" s="48" t="s">
        <v>80</v>
      </c>
      <c r="AC226" s="48" t="s">
        <v>80</v>
      </c>
      <c r="AD226" s="48" t="s">
        <v>80</v>
      </c>
      <c r="AE226" s="48" t="s">
        <v>80</v>
      </c>
      <c r="AF226" s="48" t="s">
        <v>83</v>
      </c>
      <c r="AG226" s="48" t="s">
        <v>84</v>
      </c>
      <c r="AH226" s="48" t="s">
        <v>80</v>
      </c>
      <c r="AI226" s="48" t="s">
        <v>80</v>
      </c>
      <c r="AJ226" s="48" t="s">
        <v>80</v>
      </c>
      <c r="AK226" s="48" t="s">
        <v>80</v>
      </c>
      <c r="AL226" s="48" t="s">
        <v>80</v>
      </c>
      <c r="AM226" t="str">
        <f>VLOOKUP($R226,武学奇术!$A:$ZZ,25,FALSE)</f>
        <v>横刀</v>
      </c>
      <c r="AN226" s="33">
        <f>VLOOKUP($R226,武学奇术!$A:$ZZ,26,FALSE)</f>
        <v>3.7797</v>
      </c>
      <c r="AO226" s="34">
        <f>VLOOKUP($R226,武学奇术!$A:$ZZ,27,FALSE)*(1+IF(OR($AM226=$F$4,$AM226=$F$5),$B$22,0))</f>
        <v>1672</v>
      </c>
      <c r="AP226" s="33">
        <f>VLOOKUP($R226,武学奇术!$A:$ZZ,28,FALSE)</f>
        <v>5.6696</v>
      </c>
      <c r="AQ226" s="34">
        <f>VLOOKUP($R226,武学奇术!$A:$ZZ,29,FALSE)*(1+IF(OR($AM226=$F$4,$AM226=$F$5),$B$22,0))</f>
        <v>912</v>
      </c>
      <c r="AR226" s="33" cm="1">
        <f t="array" ref="AR226">$G$3+IFERROR(VLOOKUP($AM226,$F$4:$G$7,2,FALSE),0)+VLOOKUP($R226,武学奇术!$A:$ZZ,2,FALSE)+SUM(_xlfn.XLOOKUP($S226:$AL226,增益!$A:$A,增益!$B:$B,0))</f>
        <v>0.3689</v>
      </c>
      <c r="AS226" s="33" cm="1">
        <f t="array" ref="AS226">VLOOKUP($R226,武学奇术!$A:$ZZ,5,FALSE)+SUM(_xlfn.XLOOKUP($S226:$AL226,增益!$A:$A,增益!$E:$E,0))</f>
        <v>0</v>
      </c>
      <c r="AT226" cm="1">
        <f t="array" ref="AT226">$D$10*(1+$AS226)+VLOOKUP($R226,武学奇术!$A:$ZZ,3,FALSE)+SUM(_xlfn.XLOOKUP($S226:$AL226,增益!$A:$A,增益!$C:$C,0))-$I$2</f>
        <v>4026</v>
      </c>
      <c r="AU226" cm="1">
        <f t="array" ref="AU226">$E$10*(1+$AS226)+VLOOKUP($R226,武学奇术!$A:$ZZ,4,FALSE)+SUM(_xlfn.XLOOKUP($S226:$AL226,增益!$A:$A,增益!$D:$D,0))-$I$2</f>
        <v>4026</v>
      </c>
      <c r="AV226" s="40" cm="1">
        <f t="array" ref="AV226">IF($F$10-$I$3+VLOOKUP($R226,武学奇术!$A:$ZZ,6,FALSE)+SUM(_xlfn.XLOOKUP($S226:$AL226,增益!$A:$A,增益!$F:$F,0))&gt;0,($F$10-$I$3+VLOOKUP($R226,武学奇术!$A:$ZZ,6,FALSE)+SUM(_xlfn.XLOOKUP($S226:$AL226,增益!$A:$A,增益!$F:$F,0)))/200,($F$10-$I$3+VLOOKUP($R226,武学奇术!$A:$ZZ,6,FALSE)+SUM(_xlfn.XLOOKUP($S226:$AL226,增益!$A:$A,增益!$F:$F,0)))/100)</f>
        <v>0.3284</v>
      </c>
      <c r="AW226" s="40" cm="1">
        <f t="array" ref="AW226">$G$10+VLOOKUP($R226,武学奇术!$A:$ZZ,7,FALSE)+SUM(_xlfn.XLOOKUP($S226:$AL226,增益!$A:$A,增益!$G:$G,0))</f>
        <v>0.12</v>
      </c>
      <c r="AX226" s="33" cm="1">
        <f t="array" ref="AX226">VLOOKUP($R226,武学奇术!$A:$ZZ,8,FALSE)+SUM(_xlfn.XLOOKUP($S226:$AL226,增益!$A:$A,增益!$H:$H,0))</f>
        <v>0</v>
      </c>
      <c r="AY226">
        <f t="shared" si="50"/>
        <v>0</v>
      </c>
      <c r="AZ226">
        <f t="shared" si="51"/>
        <v>0</v>
      </c>
      <c r="BA226" s="40" cm="1">
        <f t="array" ref="BA226">IF($F$11-$I$4+VLOOKUP($R226,武学奇术!$A:$ZZ,9,FALSE)+SUM(_xlfn.XLOOKUP($S226:$AL226,增益!$A:$A,增益!$I:$I,0))&gt;0,($F$11-$I$4+VLOOKUP($R226,武学奇术!$A:$ZZ,9,FALSE)+SUM(_xlfn.XLOOKUP($S226:$AL226,增益!$A:$A,增益!$I:$I,0)))/200,($F$11-$I$4+VLOOKUP($R226,武学奇术!$A:$ZZ,9,FALSE)+SUM(_xlfn.XLOOKUP($S226:$AL226,增益!$A:$A,增益!$I:$I,0)))/100)</f>
        <v>-0.3</v>
      </c>
      <c r="BB226" s="40" cm="1">
        <f t="array" ref="BB226">$G$11+VLOOKUP($R226,武学奇术!$A:$ZZ,10,FALSE)+SUM(_xlfn.XLOOKUP($S226:$AL226,增益!$A:$A,增益!$J:$J,0))</f>
        <v>0</v>
      </c>
      <c r="BC226">
        <f t="shared" si="52"/>
        <v>640.3</v>
      </c>
      <c r="BD226">
        <f t="shared" si="53"/>
        <v>1770.1</v>
      </c>
      <c r="BE226" s="40" cm="1">
        <f t="array" ref="BE226">IF($F$12-$I$4+VLOOKUP($R226,武学奇术!$A:$ZZ,11,FALSE)+SUM(_xlfn.XLOOKUP($S226:$AL226,增益!$A:$A,增益!$K:$K,0))&gt;0,($F$12-$I$4+VLOOKUP($R226,武学奇术!$A:$ZZ,11,FALSE)+SUM(_xlfn.XLOOKUP($S226:$AL226,增益!$A:$A,增益!$K:$K,0)))/200,($F$12-$I$4+VLOOKUP($R226,武学奇术!$A:$ZZ,11,FALSE)+SUM(_xlfn.XLOOKUP($S226:$AL226,增益!$A:$A,增益!$K:$K,0)))/100)</f>
        <v>0.09</v>
      </c>
      <c r="BF226" s="40" cm="1">
        <f t="array" ref="BF226">$G$12+VLOOKUP($R226,武学奇术!$A:$ZZ,12,FALSE)+SUM(_xlfn.XLOOKUP($S226:$AL226,增益!$A:$A,增益!$L:$L,0))</f>
        <v>0.27</v>
      </c>
      <c r="BG226">
        <f t="shared" si="54"/>
        <v>0</v>
      </c>
      <c r="BH226">
        <f t="shared" si="55"/>
        <v>0</v>
      </c>
      <c r="BI226" s="40" cm="1">
        <f t="array" ref="BI226">IF($F$13-$I$4+VLOOKUP($R226,武学奇术!$A:$ZZ,13,FALSE)+SUM(_xlfn.XLOOKUP($S226:$AL226,增益!$A:$A,增益!$M:$M,0))&gt;0,($F$13-$I$4+VLOOKUP($R226,武学奇术!$A:$ZZ,13,FALSE)+SUM(_xlfn.XLOOKUP($S226:$AL226,增益!$A:$A,增益!$K:$K,0)))/200,($F$13-$I$4+VLOOKUP($R226,武学奇术!$A:$ZZ,13,FALSE)+SUM(_xlfn.XLOOKUP($S226:$AL226,增益!$A:$A,增益!$M:$M,0)))/100)</f>
        <v>-0.3</v>
      </c>
      <c r="BJ226" s="40" cm="1">
        <f t="array" ref="BJ226">$G$13+VLOOKUP($R226,武学奇术!$A:$ZZ,14,FALSE)+SUM(_xlfn.XLOOKUP($S226:$AL226,增益!$A:$A,增益!$N:$N,0))</f>
        <v>0</v>
      </c>
      <c r="BK226">
        <f t="shared" si="56"/>
        <v>0</v>
      </c>
      <c r="BL226">
        <f t="shared" si="57"/>
        <v>0</v>
      </c>
      <c r="BM226" s="40" cm="1">
        <f t="array" ref="BM226">IF($F$14-$I$4+VLOOKUP($R226,武学奇术!$A:$ZZ,15,FALSE)+SUM(_xlfn.XLOOKUP($S226:$AL226,增益!$A:$A,增益!$O:$O,0))&gt;0,($F$14-$I$4+VLOOKUP($R226,武学奇术!$A:$ZZ,15,FALSE)+SUM(_xlfn.XLOOKUP($S226:$AL226,增益!$A:$A,增益!$O:$O,0)))/200,($F$14-$I$4+VLOOKUP($R226,武学奇术!$A:$ZZ,15,FALSE)+SUM(_xlfn.XLOOKUP($S226:$AL226,增益!$A:$A,增益!$O:$O,0)))/100)</f>
        <v>-0.3</v>
      </c>
      <c r="BN226" s="40" cm="1">
        <f t="array" ref="BN226">$G$14+VLOOKUP($R226,武学奇术!$A:$ZZ,16,FALSE)+SUM(_xlfn.XLOOKUP($S226:$AL226,增益!$A:$A,增益!$P:$P,0))</f>
        <v>0</v>
      </c>
      <c r="BO226" s="33">
        <f>MIN(IF(VLOOKUP($R226,武学奇术!$A:$ZZ,23,FALSE)=1,100%,$B$8),100%)</f>
        <v>0.9771</v>
      </c>
      <c r="BP226" s="33" cm="1">
        <f t="array" ref="BP226">IF(VLOOKUP($R226,武学奇术!$A:$ZZ,23,FALSE)=1,100%,MIN(80%,$B$9+VLOOKUP($R226,武学奇术!$A:$ZZ,17,FALSE)+SUM(_xlfn.XLOOKUP($S226:$AL226,增益!$A:$A,增益!$Q:$Q,0)))+$B$11+SUM(_xlfn.XLOOKUP($S226:$AL226,增益!$A:$A,增益!$U:$U,0)))*IF(VLOOKUP($R226,武学奇术!$A:$ZZ,24,FALSE)=1,0,1)</f>
        <v>0.8861</v>
      </c>
      <c r="BQ226" s="33" cm="1">
        <f t="array" ref="BQ226">1+$B$13+VLOOKUP($R226,武学奇术!$A:$ZZ,18,FALSE)+SUM(_xlfn.XLOOKUP($S226:$AL226,增益!$A:$A,增益!$R:$R,0))</f>
        <v>1.95</v>
      </c>
      <c r="BR226" s="33" cm="1">
        <f t="array" ref="BR226">IF(VLOOKUP($R226,武学奇术!$A:$ZZ,24,FALSE)=1,100%,MIN(40%,$B$10+VLOOKUP($R226,武学奇术!$A:$ZZ,19,FALSE)+SUM(_xlfn.XLOOKUP($S226:$AL226,增益!$A:$A,增益!$S:$S,0)))+$B$12+SUM(_xlfn.XLOOKUP($S226:$AL226,增益!$A:$A,增益!$V:$V,0)))*IF(VLOOKUP($R226,武学奇术!$A:$ZZ,23,FALSE)=1,0,1)</f>
        <v>0.0913</v>
      </c>
      <c r="BS226" s="33" cm="1">
        <f t="array" ref="BS226">1+$B$14+VLOOKUP($R226,武学奇术!$A:$ZZ,20,FALSE)+SUM(_xlfn.XLOOKUP($S226:$AL226,增益!$A:$A,增益!$T:$T,0))</f>
        <v>1.35</v>
      </c>
      <c r="BT226" s="33">
        <f t="shared" si="58"/>
        <v>0.86580831</v>
      </c>
      <c r="BU226" s="33">
        <f t="shared" si="59"/>
        <v>0.02208246</v>
      </c>
      <c r="BV226" s="33">
        <f>IF(VLOOKUP($R226,武学奇术!$A:$ZZ,22,FALSE)=1,0,(1-$BO226))*(1-$BR226)</f>
        <v>0.02080923</v>
      </c>
      <c r="BW226" s="33" cm="1">
        <f t="array" ref="BW226">SUM(_xlfn.XLOOKUP($S226:$AL226,增益!$A:$A,增益!$W:$W,0))+$I$5</f>
        <v>0.11</v>
      </c>
      <c r="BX226" s="33" cm="1">
        <f t="array" ref="BX226">VLOOKUP($R226,武学奇术!$A:$ZZ,32,FALSE)+SUM(_xlfn.XLOOKUP($S226:$AL226,增益!$A:$A,增益!$X:$X,0))</f>
        <v>0</v>
      </c>
    </row>
    <row r="227" spans="12:76">
      <c r="L227" s="46">
        <f t="shared" si="49"/>
        <v>0</v>
      </c>
      <c r="M227" s="46">
        <f>((($AT227+$AU227)/2*$AN227+$AO227)*(1+$AV227)*(1+$AW227)+(($AY227+$AZ227)/2*IF($G$1="鸣金",$AP227,$AN227)+IF($G$1="鸣金",$AQ227*1.5,0))*(1+$BA227)*(1+$BB227)+(($BC227+$BD227)/2*IF($G$1="裂石",$AP227,$AN227)+IF($G$1="裂石",$AQ227*1.5,0))*(1+$BE227)*(1+$BF227)+(($BG227+$BH227)/2*IF($G$1="牵丝",$AP227,$AN227)+IF($G$1="牵丝",$AQ227*1.5,0))*(1+$BI227)*(1+$BJ227)+(($BK227+$BL227)/2*IF($G$1="破竹",$AP227,$AN227)+IF($G$1="破竹",$AQ227*1.5,0))*(1+$BM227)*(1+$BN227))*(1+$AR227)*$BQ227*$Q227*(1+IF(VLOOKUP($R227,武学奇术!$A:$ZZ,30,FALSE)="蓄力技",$B$21,0))*(1+IF(VLOOKUP($R227,武学奇术!$A:$ZZ,30,FALSE)="派生技",$B$20,0))*(1+$BW227)*(1+$BX227)</f>
        <v>0</v>
      </c>
      <c r="N227" s="46">
        <f>(($AU227*$AN227+$AO227)*(1+$AV227)*(1+$AW227)+($AZ227*IF($G$1="鸣金",$AP227,$AN227)+IF($G$1="鸣金",$AQ227*1.5,0))*(1+$BA227)*(1+$BB227)+($BD227*IF($G$1="裂石",$AP227,$AN227)+IF($G$1="裂石",$AQ227*1.5,0))*(1+$BE227)*(1+$BF227)+($BH227*IF($G$1="牵丝",$AP227,$AN227)+IF($G$1="牵丝",$AQ227*1.5,0))*(1+$BI227)*(1+$BJ227)+($BL227*IF($G$1="破竹",$AP227,$AN227)+IF($G$1="破竹",$AQ227*1.5,0))*(1+$BM227)*(1+$BN227))*(1+$AR227)*$BS227*$Q227*(1+IF(VLOOKUP($R227,武学奇术!$A:$ZZ,30,FALSE)="蓄力技",$B$21,0))*(1+IF(VLOOKUP($R227,武学奇术!$A:$ZZ,30,FALSE)="派生技",$B$20,0))*(1+$BW227)*(1+$BX227)</f>
        <v>0</v>
      </c>
      <c r="O227" s="46">
        <f>((($AT227+$AU227)/2*$AN227+$AO227)*(1+$AV227)*(1+$AW227)+(($AY227+$AZ227)/2*IF($G$1="鸣金",$AP227,$AN227)+IF($G$1="鸣金",$AQ227*1.5,0))*(1+$BA227)*(1+$BB227)+(($BC227+$BD227)/2*IF($G$1="裂石",$AP227,$AN227)+IF($G$1="裂石",$AQ227*1.5,0))*(1+$BE227)*(1+$BF227)+(($BG227+$BH227)/2*IF($G$1="牵丝",$AP227,$AN227)+IF($G$1="牵丝",$AQ227*1.5,0))*(1+$BI227)*(1+$BJ227)+(($BK227+$BL227)/2*IF($G$1="破竹",$AP227,$AN227)+IF($G$1="破竹",$AQ227*1.5,0))*(1+$BM227)*(1+$BN227))*(1+$AR227)*$Q227*(1+IF(VLOOKUP($R227,武学奇术!$A:$ZZ,30,FALSE)="蓄力技",$B$21,0))*(1+IF(VLOOKUP($R227,武学奇术!$A:$ZZ,30,FALSE)="派生技",$B$20,0))*(1+$BW227)*(1+$BX227)</f>
        <v>0</v>
      </c>
      <c r="P227" s="46">
        <f>((($AT227*$AN227+$AO227)*(1+$AV227)*(1+$AW227)+($AY227*IF($G$1="鸣金",$AP227,$AN227)+IF($G$1="鸣金",$AQ227*1.5,0))*(1+$BA227)*(1+$BB227)+($BC227*IF($G$1="裂石",$AP227,$AN227)+IF($G$1="裂石",$AQ227*1.5,0))*(1+$BE227)*(1+$BF227)+($BG227*IF($G$1="牵丝",$AP227,$AN227)+IF($G$1="牵丝",$AQ227*1.5,0))*(1+$BI227)*(1+$BJ227)+($BK227*IF($G$1="破竹",$AP227,$AN227)+IF($G$1="破竹",$AQ227*1.5,0))*(1+$BM227)*(1+$BN227))*(1+$AR227))*$Q227*(1+IF(VLOOKUP($R227,武学奇术!$A:$ZZ,30,FALSE)="蓄力技",$B$21,0))*(1+IF(VLOOKUP($R227,武学奇术!$A:$ZZ,30,FALSE)="派生技",$B$20,0))*(1+$BW227)*(1+$BX227)</f>
        <v>0</v>
      </c>
      <c r="Q227" s="47">
        <f t="shared" si="61"/>
        <v>0</v>
      </c>
      <c r="R227" s="48" t="s">
        <v>195</v>
      </c>
      <c r="S227" s="48" t="s">
        <v>99</v>
      </c>
      <c r="T227" s="48" t="s">
        <v>182</v>
      </c>
      <c r="U227" s="48" t="s">
        <v>79</v>
      </c>
      <c r="V227" s="48" t="s">
        <v>80</v>
      </c>
      <c r="W227" s="48" t="s">
        <v>141</v>
      </c>
      <c r="X227" s="48" t="s">
        <v>80</v>
      </c>
      <c r="Y227" s="48" t="s">
        <v>74</v>
      </c>
      <c r="Z227" s="48" t="s">
        <v>80</v>
      </c>
      <c r="AA227" s="48" t="s">
        <v>80</v>
      </c>
      <c r="AB227" s="48" t="s">
        <v>80</v>
      </c>
      <c r="AC227" s="48" t="s">
        <v>80</v>
      </c>
      <c r="AD227" s="48" t="s">
        <v>80</v>
      </c>
      <c r="AE227" s="48" t="s">
        <v>80</v>
      </c>
      <c r="AF227" s="48" t="s">
        <v>83</v>
      </c>
      <c r="AG227" s="48" t="s">
        <v>84</v>
      </c>
      <c r="AH227" s="48" t="s">
        <v>80</v>
      </c>
      <c r="AI227" s="48" t="s">
        <v>80</v>
      </c>
      <c r="AJ227" s="48" t="s">
        <v>80</v>
      </c>
      <c r="AK227" s="48" t="s">
        <v>80</v>
      </c>
      <c r="AL227" s="48" t="s">
        <v>80</v>
      </c>
      <c r="AM227" t="str">
        <f>VLOOKUP($R227,武学奇术!$A:$ZZ,25,FALSE)</f>
        <v>横刀</v>
      </c>
      <c r="AN227" s="33">
        <f>VLOOKUP($R227,武学奇术!$A:$ZZ,26,FALSE)</f>
        <v>3.6553</v>
      </c>
      <c r="AO227" s="34">
        <f>VLOOKUP($R227,武学奇术!$A:$ZZ,27,FALSE)*(1+IF(OR($AM227=$F$4,$AM227=$F$5),$B$22,0))</f>
        <v>1619.2</v>
      </c>
      <c r="AP227" s="33">
        <f>VLOOKUP($R227,武学奇术!$A:$ZZ,28,FALSE)</f>
        <v>5.4829</v>
      </c>
      <c r="AQ227" s="34">
        <f>VLOOKUP($R227,武学奇术!$A:$ZZ,29,FALSE)*(1+IF(OR($AM227=$F$4,$AM227=$F$5),$B$22,0))</f>
        <v>880</v>
      </c>
      <c r="AR227" s="33" cm="1">
        <f t="array" ref="AR227">$G$3+IFERROR(VLOOKUP($AM227,$F$4:$G$7,2,FALSE),0)+VLOOKUP($R227,武学奇术!$A:$ZZ,2,FALSE)+SUM(_xlfn.XLOOKUP($S227:$AL227,增益!$A:$A,增益!$B:$B,0))</f>
        <v>0.5489</v>
      </c>
      <c r="AS227" s="33" cm="1">
        <f t="array" ref="AS227">VLOOKUP($R227,武学奇术!$A:$ZZ,5,FALSE)+SUM(_xlfn.XLOOKUP($S227:$AL227,增益!$A:$A,增益!$E:$E,0))</f>
        <v>0</v>
      </c>
      <c r="AT227" cm="1">
        <f t="array" ref="AT227">$D$10*(1+$AS227)+VLOOKUP($R227,武学奇术!$A:$ZZ,3,FALSE)+SUM(_xlfn.XLOOKUP($S227:$AL227,增益!$A:$A,增益!$C:$C,0))-$I$2</f>
        <v>4026</v>
      </c>
      <c r="AU227" cm="1">
        <f t="array" ref="AU227">$E$10*(1+$AS227)+VLOOKUP($R227,武学奇术!$A:$ZZ,4,FALSE)+SUM(_xlfn.XLOOKUP($S227:$AL227,增益!$A:$A,增益!$D:$D,0))-$I$2</f>
        <v>4026</v>
      </c>
      <c r="AV227" s="40" cm="1">
        <f t="array" ref="AV227">IF($F$10-$I$3+VLOOKUP($R227,武学奇术!$A:$ZZ,6,FALSE)+SUM(_xlfn.XLOOKUP($S227:$AL227,增益!$A:$A,增益!$F:$F,0))&gt;0,($F$10-$I$3+VLOOKUP($R227,武学奇术!$A:$ZZ,6,FALSE)+SUM(_xlfn.XLOOKUP($S227:$AL227,增益!$A:$A,增益!$F:$F,0)))/200,($F$10-$I$3+VLOOKUP($R227,武学奇术!$A:$ZZ,6,FALSE)+SUM(_xlfn.XLOOKUP($S227:$AL227,增益!$A:$A,增益!$F:$F,0)))/100)</f>
        <v>0.3534</v>
      </c>
      <c r="AW227" s="40" cm="1">
        <f t="array" ref="AW227">$G$10+VLOOKUP($R227,武学奇术!$A:$ZZ,7,FALSE)+SUM(_xlfn.XLOOKUP($S227:$AL227,增益!$A:$A,增益!$G:$G,0))</f>
        <v>0.12</v>
      </c>
      <c r="AX227" s="33" cm="1">
        <f t="array" ref="AX227">VLOOKUP($R227,武学奇术!$A:$ZZ,8,FALSE)+SUM(_xlfn.XLOOKUP($S227:$AL227,增益!$A:$A,增益!$H:$H,0))</f>
        <v>0</v>
      </c>
      <c r="AY227">
        <f t="shared" si="50"/>
        <v>0</v>
      </c>
      <c r="AZ227">
        <f t="shared" si="51"/>
        <v>0</v>
      </c>
      <c r="BA227" s="40" cm="1">
        <f t="array" ref="BA227">IF($F$11-$I$4+VLOOKUP($R227,武学奇术!$A:$ZZ,9,FALSE)+SUM(_xlfn.XLOOKUP($S227:$AL227,增益!$A:$A,增益!$I:$I,0))&gt;0,($F$11-$I$4+VLOOKUP($R227,武学奇术!$A:$ZZ,9,FALSE)+SUM(_xlfn.XLOOKUP($S227:$AL227,增益!$A:$A,增益!$I:$I,0)))/200,($F$11-$I$4+VLOOKUP($R227,武学奇术!$A:$ZZ,9,FALSE)+SUM(_xlfn.XLOOKUP($S227:$AL227,增益!$A:$A,增益!$I:$I,0)))/100)</f>
        <v>-0.3</v>
      </c>
      <c r="BB227" s="40" cm="1">
        <f t="array" ref="BB227">$G$11+VLOOKUP($R227,武学奇术!$A:$ZZ,10,FALSE)+SUM(_xlfn.XLOOKUP($S227:$AL227,增益!$A:$A,增益!$J:$J,0))</f>
        <v>0</v>
      </c>
      <c r="BC227">
        <f t="shared" si="52"/>
        <v>640.3</v>
      </c>
      <c r="BD227">
        <f t="shared" si="53"/>
        <v>1770.1</v>
      </c>
      <c r="BE227" s="40" cm="1">
        <f t="array" ref="BE227">IF($F$12-$I$4+VLOOKUP($R227,武学奇术!$A:$ZZ,11,FALSE)+SUM(_xlfn.XLOOKUP($S227:$AL227,增益!$A:$A,增益!$K:$K,0))&gt;0,($F$12-$I$4+VLOOKUP($R227,武学奇术!$A:$ZZ,11,FALSE)+SUM(_xlfn.XLOOKUP($S227:$AL227,增益!$A:$A,增益!$K:$K,0)))/200,($F$12-$I$4+VLOOKUP($R227,武学奇术!$A:$ZZ,11,FALSE)+SUM(_xlfn.XLOOKUP($S227:$AL227,增益!$A:$A,增益!$K:$K,0)))/100)</f>
        <v>0.09</v>
      </c>
      <c r="BF227" s="40" cm="1">
        <f t="array" ref="BF227">$G$12+VLOOKUP($R227,武学奇术!$A:$ZZ,12,FALSE)+SUM(_xlfn.XLOOKUP($S227:$AL227,增益!$A:$A,增益!$L:$L,0))</f>
        <v>0.27</v>
      </c>
      <c r="BG227">
        <f t="shared" si="54"/>
        <v>0</v>
      </c>
      <c r="BH227">
        <f t="shared" si="55"/>
        <v>0</v>
      </c>
      <c r="BI227" s="40" cm="1">
        <f t="array" ref="BI227">IF($F$13-$I$4+VLOOKUP($R227,武学奇术!$A:$ZZ,13,FALSE)+SUM(_xlfn.XLOOKUP($S227:$AL227,增益!$A:$A,增益!$M:$M,0))&gt;0,($F$13-$I$4+VLOOKUP($R227,武学奇术!$A:$ZZ,13,FALSE)+SUM(_xlfn.XLOOKUP($S227:$AL227,增益!$A:$A,增益!$K:$K,0)))/200,($F$13-$I$4+VLOOKUP($R227,武学奇术!$A:$ZZ,13,FALSE)+SUM(_xlfn.XLOOKUP($S227:$AL227,增益!$A:$A,增益!$M:$M,0)))/100)</f>
        <v>-0.3</v>
      </c>
      <c r="BJ227" s="40" cm="1">
        <f t="array" ref="BJ227">$G$13+VLOOKUP($R227,武学奇术!$A:$ZZ,14,FALSE)+SUM(_xlfn.XLOOKUP($S227:$AL227,增益!$A:$A,增益!$N:$N,0))</f>
        <v>0</v>
      </c>
      <c r="BK227">
        <f t="shared" si="56"/>
        <v>0</v>
      </c>
      <c r="BL227">
        <f t="shared" si="57"/>
        <v>0</v>
      </c>
      <c r="BM227" s="40" cm="1">
        <f t="array" ref="BM227">IF($F$14-$I$4+VLOOKUP($R227,武学奇术!$A:$ZZ,15,FALSE)+SUM(_xlfn.XLOOKUP($S227:$AL227,增益!$A:$A,增益!$O:$O,0))&gt;0,($F$14-$I$4+VLOOKUP($R227,武学奇术!$A:$ZZ,15,FALSE)+SUM(_xlfn.XLOOKUP($S227:$AL227,增益!$A:$A,增益!$O:$O,0)))/200,($F$14-$I$4+VLOOKUP($R227,武学奇术!$A:$ZZ,15,FALSE)+SUM(_xlfn.XLOOKUP($S227:$AL227,增益!$A:$A,增益!$O:$O,0)))/100)</f>
        <v>-0.3</v>
      </c>
      <c r="BN227" s="40" cm="1">
        <f t="array" ref="BN227">$G$14+VLOOKUP($R227,武学奇术!$A:$ZZ,16,FALSE)+SUM(_xlfn.XLOOKUP($S227:$AL227,增益!$A:$A,增益!$P:$P,0))</f>
        <v>0</v>
      </c>
      <c r="BO227" s="33">
        <f>MIN(IF(VLOOKUP($R227,武学奇术!$A:$ZZ,23,FALSE)=1,100%,$B$8),100%)</f>
        <v>0.9771</v>
      </c>
      <c r="BP227" s="33" cm="1">
        <f t="array" ref="BP227">IF(VLOOKUP($R227,武学奇术!$A:$ZZ,23,FALSE)=1,100%,MIN(80%,$B$9+VLOOKUP($R227,武学奇术!$A:$ZZ,17,FALSE)+SUM(_xlfn.XLOOKUP($S227:$AL227,增益!$A:$A,增益!$Q:$Q,0)))+$B$11+SUM(_xlfn.XLOOKUP($S227:$AL227,增益!$A:$A,增益!$U:$U,0)))*IF(VLOOKUP($R227,武学奇术!$A:$ZZ,24,FALSE)=1,0,1)</f>
        <v>0.8861</v>
      </c>
      <c r="BQ227" s="33" cm="1">
        <f t="array" ref="BQ227">1+$B$13+VLOOKUP($R227,武学奇术!$A:$ZZ,18,FALSE)+SUM(_xlfn.XLOOKUP($S227:$AL227,增益!$A:$A,增益!$R:$R,0))</f>
        <v>2</v>
      </c>
      <c r="BR227" s="33" cm="1">
        <f t="array" ref="BR227">IF(VLOOKUP($R227,武学奇术!$A:$ZZ,24,FALSE)=1,100%,MIN(40%,$B$10+VLOOKUP($R227,武学奇术!$A:$ZZ,19,FALSE)+SUM(_xlfn.XLOOKUP($S227:$AL227,增益!$A:$A,增益!$S:$S,0)))+$B$12+SUM(_xlfn.XLOOKUP($S227:$AL227,增益!$A:$A,增益!$V:$V,0)))*IF(VLOOKUP($R227,武学奇术!$A:$ZZ,23,FALSE)=1,0,1)</f>
        <v>0.0913</v>
      </c>
      <c r="BS227" s="33" cm="1">
        <f t="array" ref="BS227">1+$B$14+VLOOKUP($R227,武学奇术!$A:$ZZ,20,FALSE)+SUM(_xlfn.XLOOKUP($S227:$AL227,增益!$A:$A,增益!$T:$T,0))</f>
        <v>1.35</v>
      </c>
      <c r="BT227" s="33">
        <f t="shared" si="58"/>
        <v>0.86580831</v>
      </c>
      <c r="BU227" s="33">
        <f t="shared" si="59"/>
        <v>0.02208246</v>
      </c>
      <c r="BV227" s="33">
        <f>IF(VLOOKUP($R227,武学奇术!$A:$ZZ,22,FALSE)=1,0,(1-$BO227))*(1-$BR227)</f>
        <v>0.02080923</v>
      </c>
      <c r="BW227" s="33" cm="1">
        <f t="array" ref="BW227">SUM(_xlfn.XLOOKUP($S227:$AL227,增益!$A:$A,增益!$W:$W,0))+$I$5</f>
        <v>0.11</v>
      </c>
      <c r="BX227" s="33" cm="1">
        <f t="array" ref="BX227">VLOOKUP($R227,武学奇术!$A:$ZZ,32,FALSE)+SUM(_xlfn.XLOOKUP($S227:$AL227,增益!$A:$A,增益!$X:$X,0))</f>
        <v>0</v>
      </c>
    </row>
    <row r="228" spans="12:76">
      <c r="L228" s="46">
        <f t="shared" si="49"/>
        <v>0</v>
      </c>
      <c r="M228" s="46">
        <f>((($AT228+$AU228)/2*$AN228+$AO228)*(1+$AV228)*(1+$AW228)+(($AY228+$AZ228)/2*IF($G$1="鸣金",$AP228,$AN228)+IF($G$1="鸣金",$AQ228*1.5,0))*(1+$BA228)*(1+$BB228)+(($BC228+$BD228)/2*IF($G$1="裂石",$AP228,$AN228)+IF($G$1="裂石",$AQ228*1.5,0))*(1+$BE228)*(1+$BF228)+(($BG228+$BH228)/2*IF($G$1="牵丝",$AP228,$AN228)+IF($G$1="牵丝",$AQ228*1.5,0))*(1+$BI228)*(1+$BJ228)+(($BK228+$BL228)/2*IF($G$1="破竹",$AP228,$AN228)+IF($G$1="破竹",$AQ228*1.5,0))*(1+$BM228)*(1+$BN228))*(1+$AR228)*$BQ228*$Q228*(1+IF(VLOOKUP($R228,武学奇术!$A:$ZZ,30,FALSE)="蓄力技",$B$21,0))*(1+IF(VLOOKUP($R228,武学奇术!$A:$ZZ,30,FALSE)="派生技",$B$20,0))*(1+$BW228)*(1+$BX228)</f>
        <v>0</v>
      </c>
      <c r="N228" s="46">
        <f>(($AU228*$AN228+$AO228)*(1+$AV228)*(1+$AW228)+($AZ228*IF($G$1="鸣金",$AP228,$AN228)+IF($G$1="鸣金",$AQ228*1.5,0))*(1+$BA228)*(1+$BB228)+($BD228*IF($G$1="裂石",$AP228,$AN228)+IF($G$1="裂石",$AQ228*1.5,0))*(1+$BE228)*(1+$BF228)+($BH228*IF($G$1="牵丝",$AP228,$AN228)+IF($G$1="牵丝",$AQ228*1.5,0))*(1+$BI228)*(1+$BJ228)+($BL228*IF($G$1="破竹",$AP228,$AN228)+IF($G$1="破竹",$AQ228*1.5,0))*(1+$BM228)*(1+$BN228))*(1+$AR228)*$BS228*$Q228*(1+IF(VLOOKUP($R228,武学奇术!$A:$ZZ,30,FALSE)="蓄力技",$B$21,0))*(1+IF(VLOOKUP($R228,武学奇术!$A:$ZZ,30,FALSE)="派生技",$B$20,0))*(1+$BW228)*(1+$BX228)</f>
        <v>0</v>
      </c>
      <c r="O228" s="46">
        <f>((($AT228+$AU228)/2*$AN228+$AO228)*(1+$AV228)*(1+$AW228)+(($AY228+$AZ228)/2*IF($G$1="鸣金",$AP228,$AN228)+IF($G$1="鸣金",$AQ228*1.5,0))*(1+$BA228)*(1+$BB228)+(($BC228+$BD228)/2*IF($G$1="裂石",$AP228,$AN228)+IF($G$1="裂石",$AQ228*1.5,0))*(1+$BE228)*(1+$BF228)+(($BG228+$BH228)/2*IF($G$1="牵丝",$AP228,$AN228)+IF($G$1="牵丝",$AQ228*1.5,0))*(1+$BI228)*(1+$BJ228)+(($BK228+$BL228)/2*IF($G$1="破竹",$AP228,$AN228)+IF($G$1="破竹",$AQ228*1.5,0))*(1+$BM228)*(1+$BN228))*(1+$AR228)*$Q228*(1+IF(VLOOKUP($R228,武学奇术!$A:$ZZ,30,FALSE)="蓄力技",$B$21,0))*(1+IF(VLOOKUP($R228,武学奇术!$A:$ZZ,30,FALSE)="派生技",$B$20,0))*(1+$BW228)*(1+$BX228)</f>
        <v>0</v>
      </c>
      <c r="P228" s="46">
        <f>((($AT228*$AN228+$AO228)*(1+$AV228)*(1+$AW228)+($AY228*IF($G$1="鸣金",$AP228,$AN228)+IF($G$1="鸣金",$AQ228*1.5,0))*(1+$BA228)*(1+$BB228)+($BC228*IF($G$1="裂石",$AP228,$AN228)+IF($G$1="裂石",$AQ228*1.5,0))*(1+$BE228)*(1+$BF228)+($BG228*IF($G$1="牵丝",$AP228,$AN228)+IF($G$1="牵丝",$AQ228*1.5,0))*(1+$BI228)*(1+$BJ228)+($BK228*IF($G$1="破竹",$AP228,$AN228)+IF($G$1="破竹",$AQ228*1.5,0))*(1+$BM228)*(1+$BN228))*(1+$AR228))*$Q228*(1+IF(VLOOKUP($R228,武学奇术!$A:$ZZ,30,FALSE)="蓄力技",$B$21,0))*(1+IF(VLOOKUP($R228,武学奇术!$A:$ZZ,30,FALSE)="派生技",$B$20,0))*(1+$BW228)*(1+$BX228)</f>
        <v>0</v>
      </c>
      <c r="Q228" s="47">
        <f t="shared" si="61"/>
        <v>0</v>
      </c>
      <c r="R228" s="48" t="s">
        <v>196</v>
      </c>
      <c r="S228" s="48" t="s">
        <v>99</v>
      </c>
      <c r="T228" s="48" t="s">
        <v>182</v>
      </c>
      <c r="U228" s="48" t="s">
        <v>79</v>
      </c>
      <c r="V228" s="48" t="s">
        <v>80</v>
      </c>
      <c r="W228" s="48" t="s">
        <v>141</v>
      </c>
      <c r="X228" s="48" t="s">
        <v>80</v>
      </c>
      <c r="Y228" s="48" t="s">
        <v>74</v>
      </c>
      <c r="Z228" s="48" t="s">
        <v>80</v>
      </c>
      <c r="AA228" s="48" t="s">
        <v>80</v>
      </c>
      <c r="AB228" s="48" t="s">
        <v>80</v>
      </c>
      <c r="AC228" s="48" t="s">
        <v>80</v>
      </c>
      <c r="AD228" s="48" t="s">
        <v>80</v>
      </c>
      <c r="AE228" s="48" t="s">
        <v>80</v>
      </c>
      <c r="AF228" s="48" t="s">
        <v>83</v>
      </c>
      <c r="AG228" s="48" t="s">
        <v>84</v>
      </c>
      <c r="AH228" s="48" t="s">
        <v>80</v>
      </c>
      <c r="AI228" s="48" t="s">
        <v>80</v>
      </c>
      <c r="AJ228" s="48" t="s">
        <v>80</v>
      </c>
      <c r="AK228" s="48" t="s">
        <v>80</v>
      </c>
      <c r="AL228" s="48" t="s">
        <v>80</v>
      </c>
      <c r="AM228" t="str">
        <f>VLOOKUP($R228,武学奇术!$A:$ZZ,25,FALSE)</f>
        <v>横刀</v>
      </c>
      <c r="AN228" s="33">
        <f>VLOOKUP($R228,武学奇术!$A:$ZZ,26,FALSE)</f>
        <v>1.47</v>
      </c>
      <c r="AO228" s="34">
        <f>VLOOKUP($R228,武学奇术!$A:$ZZ,27,FALSE)*(1+IF(OR($AM228=$F$4,$AM228=$F$5),$B$22,0))</f>
        <v>0</v>
      </c>
      <c r="AP228" s="33">
        <f>VLOOKUP($R228,武学奇术!$A:$ZZ,28,FALSE)</f>
        <v>2.205</v>
      </c>
      <c r="AQ228" s="34">
        <f>VLOOKUP($R228,武学奇术!$A:$ZZ,29,FALSE)*(1+IF(OR($AM228=$F$4,$AM228=$F$5),$B$22,0))</f>
        <v>0</v>
      </c>
      <c r="AR228" s="33" cm="1">
        <f t="array" ref="AR228">$G$3+IFERROR(VLOOKUP($AM228,$F$4:$G$7,2,FALSE),0)+VLOOKUP($R228,武学奇术!$A:$ZZ,2,FALSE)+SUM(_xlfn.XLOOKUP($S228:$AL228,增益!$A:$A,增益!$B:$B,0))</f>
        <v>0.4489</v>
      </c>
      <c r="AS228" s="33" cm="1">
        <f t="array" ref="AS228">VLOOKUP($R228,武学奇术!$A:$ZZ,5,FALSE)+SUM(_xlfn.XLOOKUP($S228:$AL228,增益!$A:$A,增益!$E:$E,0))</f>
        <v>0</v>
      </c>
      <c r="AT228" cm="1">
        <f t="array" ref="AT228">$D$10*(1+$AS228)+VLOOKUP($R228,武学奇术!$A:$ZZ,3,FALSE)+SUM(_xlfn.XLOOKUP($S228:$AL228,增益!$A:$A,增益!$C:$C,0))-$I$2</f>
        <v>4026</v>
      </c>
      <c r="AU228" cm="1">
        <f t="array" ref="AU228">$E$10*(1+$AS228)+VLOOKUP($R228,武学奇术!$A:$ZZ,4,FALSE)+SUM(_xlfn.XLOOKUP($S228:$AL228,增益!$A:$A,增益!$D:$D,0))-$I$2</f>
        <v>4026</v>
      </c>
      <c r="AV228" s="40" cm="1">
        <f t="array" ref="AV228">IF($F$10-$I$3+VLOOKUP($R228,武学奇术!$A:$ZZ,6,FALSE)+SUM(_xlfn.XLOOKUP($S228:$AL228,增益!$A:$A,增益!$F:$F,0))&gt;0,($F$10-$I$3+VLOOKUP($R228,武学奇术!$A:$ZZ,6,FALSE)+SUM(_xlfn.XLOOKUP($S228:$AL228,增益!$A:$A,增益!$F:$F,0)))/200,($F$10-$I$3+VLOOKUP($R228,武学奇术!$A:$ZZ,6,FALSE)+SUM(_xlfn.XLOOKUP($S228:$AL228,增益!$A:$A,增益!$F:$F,0)))/100)</f>
        <v>0.3534</v>
      </c>
      <c r="AW228" s="40" cm="1">
        <f t="array" ref="AW228">$G$10+VLOOKUP($R228,武学奇术!$A:$ZZ,7,FALSE)+SUM(_xlfn.XLOOKUP($S228:$AL228,增益!$A:$A,增益!$G:$G,0))</f>
        <v>0.12</v>
      </c>
      <c r="AX228" s="33" cm="1">
        <f t="array" ref="AX228">VLOOKUP($R228,武学奇术!$A:$ZZ,8,FALSE)+SUM(_xlfn.XLOOKUP($S228:$AL228,增益!$A:$A,增益!$H:$H,0))</f>
        <v>0</v>
      </c>
      <c r="AY228">
        <f t="shared" si="50"/>
        <v>0</v>
      </c>
      <c r="AZ228">
        <f t="shared" si="51"/>
        <v>0</v>
      </c>
      <c r="BA228" s="40" cm="1">
        <f t="array" ref="BA228">IF($F$11-$I$4+VLOOKUP($R228,武学奇术!$A:$ZZ,9,FALSE)+SUM(_xlfn.XLOOKUP($S228:$AL228,增益!$A:$A,增益!$I:$I,0))&gt;0,($F$11-$I$4+VLOOKUP($R228,武学奇术!$A:$ZZ,9,FALSE)+SUM(_xlfn.XLOOKUP($S228:$AL228,增益!$A:$A,增益!$I:$I,0)))/200,($F$11-$I$4+VLOOKUP($R228,武学奇术!$A:$ZZ,9,FALSE)+SUM(_xlfn.XLOOKUP($S228:$AL228,增益!$A:$A,增益!$I:$I,0)))/100)</f>
        <v>-0.3</v>
      </c>
      <c r="BB228" s="40" cm="1">
        <f t="array" ref="BB228">$G$11+VLOOKUP($R228,武学奇术!$A:$ZZ,10,FALSE)+SUM(_xlfn.XLOOKUP($S228:$AL228,增益!$A:$A,增益!$J:$J,0))</f>
        <v>0</v>
      </c>
      <c r="BC228">
        <f t="shared" si="52"/>
        <v>640.3</v>
      </c>
      <c r="BD228">
        <f t="shared" si="53"/>
        <v>1770.1</v>
      </c>
      <c r="BE228" s="40" cm="1">
        <f t="array" ref="BE228">IF($F$12-$I$4+VLOOKUP($R228,武学奇术!$A:$ZZ,11,FALSE)+SUM(_xlfn.XLOOKUP($S228:$AL228,增益!$A:$A,增益!$K:$K,0))&gt;0,($F$12-$I$4+VLOOKUP($R228,武学奇术!$A:$ZZ,11,FALSE)+SUM(_xlfn.XLOOKUP($S228:$AL228,增益!$A:$A,增益!$K:$K,0)))/200,($F$12-$I$4+VLOOKUP($R228,武学奇术!$A:$ZZ,11,FALSE)+SUM(_xlfn.XLOOKUP($S228:$AL228,增益!$A:$A,增益!$K:$K,0)))/100)</f>
        <v>0.09</v>
      </c>
      <c r="BF228" s="40" cm="1">
        <f t="array" ref="BF228">$G$12+VLOOKUP($R228,武学奇术!$A:$ZZ,12,FALSE)+SUM(_xlfn.XLOOKUP($S228:$AL228,增益!$A:$A,增益!$L:$L,0))</f>
        <v>0.27</v>
      </c>
      <c r="BG228">
        <f t="shared" si="54"/>
        <v>0</v>
      </c>
      <c r="BH228">
        <f t="shared" si="55"/>
        <v>0</v>
      </c>
      <c r="BI228" s="40" cm="1">
        <f t="array" ref="BI228">IF($F$13-$I$4+VLOOKUP($R228,武学奇术!$A:$ZZ,13,FALSE)+SUM(_xlfn.XLOOKUP($S228:$AL228,增益!$A:$A,增益!$M:$M,0))&gt;0,($F$13-$I$4+VLOOKUP($R228,武学奇术!$A:$ZZ,13,FALSE)+SUM(_xlfn.XLOOKUP($S228:$AL228,增益!$A:$A,增益!$K:$K,0)))/200,($F$13-$I$4+VLOOKUP($R228,武学奇术!$A:$ZZ,13,FALSE)+SUM(_xlfn.XLOOKUP($S228:$AL228,增益!$A:$A,增益!$M:$M,0)))/100)</f>
        <v>-0.3</v>
      </c>
      <c r="BJ228" s="40" cm="1">
        <f t="array" ref="BJ228">$G$13+VLOOKUP($R228,武学奇术!$A:$ZZ,14,FALSE)+SUM(_xlfn.XLOOKUP($S228:$AL228,增益!$A:$A,增益!$N:$N,0))</f>
        <v>0</v>
      </c>
      <c r="BK228">
        <f t="shared" si="56"/>
        <v>0</v>
      </c>
      <c r="BL228">
        <f t="shared" si="57"/>
        <v>0</v>
      </c>
      <c r="BM228" s="40" cm="1">
        <f t="array" ref="BM228">IF($F$14-$I$4+VLOOKUP($R228,武学奇术!$A:$ZZ,15,FALSE)+SUM(_xlfn.XLOOKUP($S228:$AL228,增益!$A:$A,增益!$O:$O,0))&gt;0,($F$14-$I$4+VLOOKUP($R228,武学奇术!$A:$ZZ,15,FALSE)+SUM(_xlfn.XLOOKUP($S228:$AL228,增益!$A:$A,增益!$O:$O,0)))/200,($F$14-$I$4+VLOOKUP($R228,武学奇术!$A:$ZZ,15,FALSE)+SUM(_xlfn.XLOOKUP($S228:$AL228,增益!$A:$A,增益!$O:$O,0)))/100)</f>
        <v>-0.3</v>
      </c>
      <c r="BN228" s="40" cm="1">
        <f t="array" ref="BN228">$G$14+VLOOKUP($R228,武学奇术!$A:$ZZ,16,FALSE)+SUM(_xlfn.XLOOKUP($S228:$AL228,增益!$A:$A,增益!$P:$P,0))</f>
        <v>0</v>
      </c>
      <c r="BO228" s="33">
        <f>MIN(IF(VLOOKUP($R228,武学奇术!$A:$ZZ,23,FALSE)=1,100%,$B$8),100%)</f>
        <v>0.9771</v>
      </c>
      <c r="BP228" s="33" cm="1">
        <f t="array" ref="BP228">IF(VLOOKUP($R228,武学奇术!$A:$ZZ,23,FALSE)=1,100%,MIN(80%,$B$9+VLOOKUP($R228,武学奇术!$A:$ZZ,17,FALSE)+SUM(_xlfn.XLOOKUP($S228:$AL228,增益!$A:$A,增益!$Q:$Q,0)))+$B$11+SUM(_xlfn.XLOOKUP($S228:$AL228,增益!$A:$A,增益!$U:$U,0)))*IF(VLOOKUP($R228,武学奇术!$A:$ZZ,24,FALSE)=1,0,1)</f>
        <v>0.8861</v>
      </c>
      <c r="BQ228" s="33" cm="1">
        <f t="array" ref="BQ228">1+$B$13+VLOOKUP($R228,武学奇术!$A:$ZZ,18,FALSE)+SUM(_xlfn.XLOOKUP($S228:$AL228,增益!$A:$A,增益!$R:$R,0))</f>
        <v>2</v>
      </c>
      <c r="BR228" s="33" cm="1">
        <f t="array" ref="BR228">IF(VLOOKUP($R228,武学奇术!$A:$ZZ,24,FALSE)=1,100%,MIN(40%,$B$10+VLOOKUP($R228,武学奇术!$A:$ZZ,19,FALSE)+SUM(_xlfn.XLOOKUP($S228:$AL228,增益!$A:$A,增益!$S:$S,0)))+$B$12+SUM(_xlfn.XLOOKUP($S228:$AL228,增益!$A:$A,增益!$V:$V,0)))*IF(VLOOKUP($R228,武学奇术!$A:$ZZ,23,FALSE)=1,0,1)</f>
        <v>0.0913</v>
      </c>
      <c r="BS228" s="33" cm="1">
        <f t="array" ref="BS228">1+$B$14+VLOOKUP($R228,武学奇术!$A:$ZZ,20,FALSE)+SUM(_xlfn.XLOOKUP($S228:$AL228,增益!$A:$A,增益!$T:$T,0))</f>
        <v>1.35</v>
      </c>
      <c r="BT228" s="33">
        <f t="shared" si="58"/>
        <v>0.86580831</v>
      </c>
      <c r="BU228" s="33">
        <f t="shared" si="59"/>
        <v>0.02208246</v>
      </c>
      <c r="BV228" s="33">
        <f>IF(VLOOKUP($R228,武学奇术!$A:$ZZ,22,FALSE)=1,0,(1-$BO228))*(1-$BR228)</f>
        <v>0.02080923</v>
      </c>
      <c r="BW228" s="33" cm="1">
        <f t="array" ref="BW228">SUM(_xlfn.XLOOKUP($S228:$AL228,增益!$A:$A,增益!$W:$W,0))+$I$5</f>
        <v>0.11</v>
      </c>
      <c r="BX228" s="33" cm="1">
        <f t="array" ref="BX228">VLOOKUP($R228,武学奇术!$A:$ZZ,32,FALSE)+SUM(_xlfn.XLOOKUP($S228:$AL228,增益!$A:$A,增益!$X:$X,0))</f>
        <v>0.4</v>
      </c>
    </row>
    <row r="229" spans="12:76">
      <c r="L229" s="46">
        <f t="shared" si="49"/>
        <v>0</v>
      </c>
      <c r="M229" s="46">
        <f>((($AT229+$AU229)/2*$AN229+$AO229)*(1+$AV229)*(1+$AW229)+(($AY229+$AZ229)/2*IF($G$1="鸣金",$AP229,$AN229)+IF($G$1="鸣金",$AQ229*1.5,0))*(1+$BA229)*(1+$BB229)+(($BC229+$BD229)/2*IF($G$1="裂石",$AP229,$AN229)+IF($G$1="裂石",$AQ229*1.5,0))*(1+$BE229)*(1+$BF229)+(($BG229+$BH229)/2*IF($G$1="牵丝",$AP229,$AN229)+IF($G$1="牵丝",$AQ229*1.5,0))*(1+$BI229)*(1+$BJ229)+(($BK229+$BL229)/2*IF($G$1="破竹",$AP229,$AN229)+IF($G$1="破竹",$AQ229*1.5,0))*(1+$BM229)*(1+$BN229))*(1+$AR229)*$BQ229*$Q229*(1+IF(VLOOKUP($R229,武学奇术!$A:$ZZ,30,FALSE)="蓄力技",$B$21,0))*(1+IF(VLOOKUP($R229,武学奇术!$A:$ZZ,30,FALSE)="派生技",$B$20,0))*(1+$BW229)*(1+$BX229)</f>
        <v>0</v>
      </c>
      <c r="N229" s="46">
        <f>(($AU229*$AN229+$AO229)*(1+$AV229)*(1+$AW229)+($AZ229*IF($G$1="鸣金",$AP229,$AN229)+IF($G$1="鸣金",$AQ229*1.5,0))*(1+$BA229)*(1+$BB229)+($BD229*IF($G$1="裂石",$AP229,$AN229)+IF($G$1="裂石",$AQ229*1.5,0))*(1+$BE229)*(1+$BF229)+($BH229*IF($G$1="牵丝",$AP229,$AN229)+IF($G$1="牵丝",$AQ229*1.5,0))*(1+$BI229)*(1+$BJ229)+($BL229*IF($G$1="破竹",$AP229,$AN229)+IF($G$1="破竹",$AQ229*1.5,0))*(1+$BM229)*(1+$BN229))*(1+$AR229)*$BS229*$Q229*(1+IF(VLOOKUP($R229,武学奇术!$A:$ZZ,30,FALSE)="蓄力技",$B$21,0))*(1+IF(VLOOKUP($R229,武学奇术!$A:$ZZ,30,FALSE)="派生技",$B$20,0))*(1+$BW229)*(1+$BX229)</f>
        <v>0</v>
      </c>
      <c r="O229" s="46">
        <f>((($AT229+$AU229)/2*$AN229+$AO229)*(1+$AV229)*(1+$AW229)+(($AY229+$AZ229)/2*IF($G$1="鸣金",$AP229,$AN229)+IF($G$1="鸣金",$AQ229*1.5,0))*(1+$BA229)*(1+$BB229)+(($BC229+$BD229)/2*IF($G$1="裂石",$AP229,$AN229)+IF($G$1="裂石",$AQ229*1.5,0))*(1+$BE229)*(1+$BF229)+(($BG229+$BH229)/2*IF($G$1="牵丝",$AP229,$AN229)+IF($G$1="牵丝",$AQ229*1.5,0))*(1+$BI229)*(1+$BJ229)+(($BK229+$BL229)/2*IF($G$1="破竹",$AP229,$AN229)+IF($G$1="破竹",$AQ229*1.5,0))*(1+$BM229)*(1+$BN229))*(1+$AR229)*$Q229*(1+IF(VLOOKUP($R229,武学奇术!$A:$ZZ,30,FALSE)="蓄力技",$B$21,0))*(1+IF(VLOOKUP($R229,武学奇术!$A:$ZZ,30,FALSE)="派生技",$B$20,0))*(1+$BW229)*(1+$BX229)</f>
        <v>0</v>
      </c>
      <c r="P229" s="46">
        <f>((($AT229*$AN229+$AO229)*(1+$AV229)*(1+$AW229)+($AY229*IF($G$1="鸣金",$AP229,$AN229)+IF($G$1="鸣金",$AQ229*1.5,0))*(1+$BA229)*(1+$BB229)+($BC229*IF($G$1="裂石",$AP229,$AN229)+IF($G$1="裂石",$AQ229*1.5,0))*(1+$BE229)*(1+$BF229)+($BG229*IF($G$1="牵丝",$AP229,$AN229)+IF($G$1="牵丝",$AQ229*1.5,0))*(1+$BI229)*(1+$BJ229)+($BK229*IF($G$1="破竹",$AP229,$AN229)+IF($G$1="破竹",$AQ229*1.5,0))*(1+$BM229)*(1+$BN229))*(1+$AR229))*$Q229*(1+IF(VLOOKUP($R229,武学奇术!$A:$ZZ,30,FALSE)="蓄力技",$B$21,0))*(1+IF(VLOOKUP($R229,武学奇术!$A:$ZZ,30,FALSE)="派生技",$B$20,0))*(1+$BW229)*(1+$BX229)</f>
        <v>0</v>
      </c>
      <c r="Q229" s="47">
        <f t="shared" si="61"/>
        <v>0</v>
      </c>
      <c r="R229" s="48" t="s">
        <v>197</v>
      </c>
      <c r="S229" s="48" t="s">
        <v>99</v>
      </c>
      <c r="T229" s="48" t="s">
        <v>182</v>
      </c>
      <c r="U229" s="48" t="s">
        <v>79</v>
      </c>
      <c r="V229" s="48" t="s">
        <v>80</v>
      </c>
      <c r="W229" s="48" t="s">
        <v>91</v>
      </c>
      <c r="X229" s="48" t="s">
        <v>80</v>
      </c>
      <c r="Y229" s="48" t="s">
        <v>80</v>
      </c>
      <c r="Z229" s="48" t="s">
        <v>80</v>
      </c>
      <c r="AA229" s="48" t="s">
        <v>80</v>
      </c>
      <c r="AB229" s="48" t="s">
        <v>80</v>
      </c>
      <c r="AC229" s="48" t="s">
        <v>80</v>
      </c>
      <c r="AD229" s="48" t="s">
        <v>80</v>
      </c>
      <c r="AE229" s="48" t="s">
        <v>80</v>
      </c>
      <c r="AF229" s="48" t="s">
        <v>83</v>
      </c>
      <c r="AG229" s="48" t="s">
        <v>84</v>
      </c>
      <c r="AH229" s="48" t="s">
        <v>80</v>
      </c>
      <c r="AI229" s="48" t="s">
        <v>80</v>
      </c>
      <c r="AJ229" s="48" t="s">
        <v>80</v>
      </c>
      <c r="AK229" s="48" t="s">
        <v>80</v>
      </c>
      <c r="AL229" s="48" t="s">
        <v>80</v>
      </c>
      <c r="AM229" t="str">
        <f>VLOOKUP($R229,武学奇术!$A:$ZZ,25,FALSE)</f>
        <v>横刀</v>
      </c>
      <c r="AN229" s="33">
        <f>VLOOKUP($R229,武学奇术!$A:$ZZ,26,FALSE)</f>
        <v>2.4495</v>
      </c>
      <c r="AO229" s="34">
        <f>VLOOKUP($R229,武学奇术!$A:$ZZ,27,FALSE)*(1+IF(OR($AM229=$F$4,$AM229=$F$5),$B$22,0))</f>
        <v>1083.2</v>
      </c>
      <c r="AP229" s="33">
        <f>VLOOKUP($R229,武学奇术!$A:$ZZ,28,FALSE)</f>
        <v>3.6743</v>
      </c>
      <c r="AQ229" s="34">
        <f>VLOOKUP($R229,武学奇术!$A:$ZZ,29,FALSE)*(1+IF(OR($AM229=$F$4,$AM229=$F$5),$B$22,0))</f>
        <v>588.8</v>
      </c>
      <c r="AR229" s="33" cm="1">
        <f t="array" ref="AR229">$G$3+IFERROR(VLOOKUP($AM229,$F$4:$G$7,2,FALSE),0)+VLOOKUP($R229,武学奇术!$A:$ZZ,2,FALSE)+SUM(_xlfn.XLOOKUP($S229:$AL229,增益!$A:$A,增益!$B:$B,0))</f>
        <v>0.3689</v>
      </c>
      <c r="AS229" s="33" cm="1">
        <f t="array" ref="AS229">VLOOKUP($R229,武学奇术!$A:$ZZ,5,FALSE)+SUM(_xlfn.XLOOKUP($S229:$AL229,增益!$A:$A,增益!$E:$E,0))</f>
        <v>0</v>
      </c>
      <c r="AT229" cm="1">
        <f t="array" ref="AT229">$D$10*(1+$AS229)+VLOOKUP($R229,武学奇术!$A:$ZZ,3,FALSE)+SUM(_xlfn.XLOOKUP($S229:$AL229,增益!$A:$A,增益!$C:$C,0))-$I$2</f>
        <v>4026</v>
      </c>
      <c r="AU229" cm="1">
        <f t="array" ref="AU229">$E$10*(1+$AS229)+VLOOKUP($R229,武学奇术!$A:$ZZ,4,FALSE)+SUM(_xlfn.XLOOKUP($S229:$AL229,增益!$A:$A,增益!$D:$D,0))-$I$2</f>
        <v>4026</v>
      </c>
      <c r="AV229" s="40" cm="1">
        <f t="array" ref="AV229">IF($F$10-$I$3+VLOOKUP($R229,武学奇术!$A:$ZZ,6,FALSE)+SUM(_xlfn.XLOOKUP($S229:$AL229,增益!$A:$A,增益!$F:$F,0))&gt;0,($F$10-$I$3+VLOOKUP($R229,武学奇术!$A:$ZZ,6,FALSE)+SUM(_xlfn.XLOOKUP($S229:$AL229,增益!$A:$A,增益!$F:$F,0)))/200,($F$10-$I$3+VLOOKUP($R229,武学奇术!$A:$ZZ,6,FALSE)+SUM(_xlfn.XLOOKUP($S229:$AL229,增益!$A:$A,增益!$F:$F,0)))/100)</f>
        <v>0.3284</v>
      </c>
      <c r="AW229" s="40" cm="1">
        <f t="array" ref="AW229">$G$10+VLOOKUP($R229,武学奇术!$A:$ZZ,7,FALSE)+SUM(_xlfn.XLOOKUP($S229:$AL229,增益!$A:$A,增益!$G:$G,0))</f>
        <v>0.12</v>
      </c>
      <c r="AX229" s="33" cm="1">
        <f t="array" ref="AX229">VLOOKUP($R229,武学奇术!$A:$ZZ,8,FALSE)+SUM(_xlfn.XLOOKUP($S229:$AL229,增益!$A:$A,增益!$H:$H,0))</f>
        <v>0</v>
      </c>
      <c r="AY229">
        <f t="shared" si="50"/>
        <v>0</v>
      </c>
      <c r="AZ229">
        <f t="shared" si="51"/>
        <v>0</v>
      </c>
      <c r="BA229" s="40" cm="1">
        <f t="array" ref="BA229">IF($F$11-$I$4+VLOOKUP($R229,武学奇术!$A:$ZZ,9,FALSE)+SUM(_xlfn.XLOOKUP($S229:$AL229,增益!$A:$A,增益!$I:$I,0))&gt;0,($F$11-$I$4+VLOOKUP($R229,武学奇术!$A:$ZZ,9,FALSE)+SUM(_xlfn.XLOOKUP($S229:$AL229,增益!$A:$A,增益!$I:$I,0)))/200,($F$11-$I$4+VLOOKUP($R229,武学奇术!$A:$ZZ,9,FALSE)+SUM(_xlfn.XLOOKUP($S229:$AL229,增益!$A:$A,增益!$I:$I,0)))/100)</f>
        <v>-0.3</v>
      </c>
      <c r="BB229" s="40" cm="1">
        <f t="array" ref="BB229">$G$11+VLOOKUP($R229,武学奇术!$A:$ZZ,10,FALSE)+SUM(_xlfn.XLOOKUP($S229:$AL229,增益!$A:$A,增益!$J:$J,0))</f>
        <v>0</v>
      </c>
      <c r="BC229">
        <f t="shared" si="52"/>
        <v>640.3</v>
      </c>
      <c r="BD229">
        <f t="shared" si="53"/>
        <v>1770.1</v>
      </c>
      <c r="BE229" s="40" cm="1">
        <f t="array" ref="BE229">IF($F$12-$I$4+VLOOKUP($R229,武学奇术!$A:$ZZ,11,FALSE)+SUM(_xlfn.XLOOKUP($S229:$AL229,增益!$A:$A,增益!$K:$K,0))&gt;0,($F$12-$I$4+VLOOKUP($R229,武学奇术!$A:$ZZ,11,FALSE)+SUM(_xlfn.XLOOKUP($S229:$AL229,增益!$A:$A,增益!$K:$K,0)))/200,($F$12-$I$4+VLOOKUP($R229,武学奇术!$A:$ZZ,11,FALSE)+SUM(_xlfn.XLOOKUP($S229:$AL229,增益!$A:$A,增益!$K:$K,0)))/100)</f>
        <v>0.09</v>
      </c>
      <c r="BF229" s="40" cm="1">
        <f t="array" ref="BF229">$G$12+VLOOKUP($R229,武学奇术!$A:$ZZ,12,FALSE)+SUM(_xlfn.XLOOKUP($S229:$AL229,增益!$A:$A,增益!$L:$L,0))</f>
        <v>0.27</v>
      </c>
      <c r="BG229">
        <f t="shared" si="54"/>
        <v>0</v>
      </c>
      <c r="BH229">
        <f t="shared" si="55"/>
        <v>0</v>
      </c>
      <c r="BI229" s="40" cm="1">
        <f t="array" ref="BI229">IF($F$13-$I$4+VLOOKUP($R229,武学奇术!$A:$ZZ,13,FALSE)+SUM(_xlfn.XLOOKUP($S229:$AL229,增益!$A:$A,增益!$M:$M,0))&gt;0,($F$13-$I$4+VLOOKUP($R229,武学奇术!$A:$ZZ,13,FALSE)+SUM(_xlfn.XLOOKUP($S229:$AL229,增益!$A:$A,增益!$K:$K,0)))/200,($F$13-$I$4+VLOOKUP($R229,武学奇术!$A:$ZZ,13,FALSE)+SUM(_xlfn.XLOOKUP($S229:$AL229,增益!$A:$A,增益!$M:$M,0)))/100)</f>
        <v>-0.3</v>
      </c>
      <c r="BJ229" s="40" cm="1">
        <f t="array" ref="BJ229">$G$13+VLOOKUP($R229,武学奇术!$A:$ZZ,14,FALSE)+SUM(_xlfn.XLOOKUP($S229:$AL229,增益!$A:$A,增益!$N:$N,0))</f>
        <v>0</v>
      </c>
      <c r="BK229">
        <f t="shared" si="56"/>
        <v>0</v>
      </c>
      <c r="BL229">
        <f t="shared" si="57"/>
        <v>0</v>
      </c>
      <c r="BM229" s="40" cm="1">
        <f t="array" ref="BM229">IF($F$14-$I$4+VLOOKUP($R229,武学奇术!$A:$ZZ,15,FALSE)+SUM(_xlfn.XLOOKUP($S229:$AL229,增益!$A:$A,增益!$O:$O,0))&gt;0,($F$14-$I$4+VLOOKUP($R229,武学奇术!$A:$ZZ,15,FALSE)+SUM(_xlfn.XLOOKUP($S229:$AL229,增益!$A:$A,增益!$O:$O,0)))/200,($F$14-$I$4+VLOOKUP($R229,武学奇术!$A:$ZZ,15,FALSE)+SUM(_xlfn.XLOOKUP($S229:$AL229,增益!$A:$A,增益!$O:$O,0)))/100)</f>
        <v>-0.3</v>
      </c>
      <c r="BN229" s="40" cm="1">
        <f t="array" ref="BN229">$G$14+VLOOKUP($R229,武学奇术!$A:$ZZ,16,FALSE)+SUM(_xlfn.XLOOKUP($S229:$AL229,增益!$A:$A,增益!$P:$P,0))</f>
        <v>0</v>
      </c>
      <c r="BO229" s="33">
        <f>MIN(IF(VLOOKUP($R229,武学奇术!$A:$ZZ,23,FALSE)=1,100%,$B$8),100%)</f>
        <v>0.9771</v>
      </c>
      <c r="BP229" s="33" cm="1">
        <f t="array" ref="BP229">IF(VLOOKUP($R229,武学奇术!$A:$ZZ,23,FALSE)=1,100%,MIN(80%,$B$9+VLOOKUP($R229,武学奇术!$A:$ZZ,17,FALSE)+SUM(_xlfn.XLOOKUP($S229:$AL229,增益!$A:$A,增益!$Q:$Q,0)))+$B$11+SUM(_xlfn.XLOOKUP($S229:$AL229,增益!$A:$A,增益!$U:$U,0)))*IF(VLOOKUP($R229,武学奇术!$A:$ZZ,24,FALSE)=1,0,1)</f>
        <v>0.8861</v>
      </c>
      <c r="BQ229" s="33" cm="1">
        <f t="array" ref="BQ229">1+$B$13+VLOOKUP($R229,武学奇术!$A:$ZZ,18,FALSE)+SUM(_xlfn.XLOOKUP($S229:$AL229,增益!$A:$A,增益!$R:$R,0))</f>
        <v>1.95</v>
      </c>
      <c r="BR229" s="33" cm="1">
        <f t="array" ref="BR229">IF(VLOOKUP($R229,武学奇术!$A:$ZZ,24,FALSE)=1,100%,MIN(40%,$B$10+VLOOKUP($R229,武学奇术!$A:$ZZ,19,FALSE)+SUM(_xlfn.XLOOKUP($S229:$AL229,增益!$A:$A,增益!$S:$S,0)))+$B$12+SUM(_xlfn.XLOOKUP($S229:$AL229,增益!$A:$A,增益!$V:$V,0)))*IF(VLOOKUP($R229,武学奇术!$A:$ZZ,23,FALSE)=1,0,1)</f>
        <v>0.0913</v>
      </c>
      <c r="BS229" s="33" cm="1">
        <f t="array" ref="BS229">1+$B$14+VLOOKUP($R229,武学奇术!$A:$ZZ,20,FALSE)+SUM(_xlfn.XLOOKUP($S229:$AL229,增益!$A:$A,增益!$T:$T,0))</f>
        <v>1.35</v>
      </c>
      <c r="BT229" s="33">
        <f t="shared" si="58"/>
        <v>0.86580831</v>
      </c>
      <c r="BU229" s="33">
        <f t="shared" si="59"/>
        <v>0.02208246</v>
      </c>
      <c r="BV229" s="33">
        <f>IF(VLOOKUP($R229,武学奇术!$A:$ZZ,22,FALSE)=1,0,(1-$BO229))*(1-$BR229)</f>
        <v>0.02080923</v>
      </c>
      <c r="BW229" s="33" cm="1">
        <f t="array" ref="BW229">SUM(_xlfn.XLOOKUP($S229:$AL229,增益!$A:$A,增益!$W:$W,0))+$I$5</f>
        <v>0.11</v>
      </c>
      <c r="BX229" s="33" cm="1">
        <f t="array" ref="BX229">VLOOKUP($R229,武学奇术!$A:$ZZ,32,FALSE)+SUM(_xlfn.XLOOKUP($S229:$AL229,增益!$A:$A,增益!$X:$X,0))</f>
        <v>0</v>
      </c>
    </row>
    <row r="230" spans="12:76">
      <c r="L230" s="46">
        <f t="shared" si="49"/>
        <v>0</v>
      </c>
      <c r="M230" s="46">
        <f>((($AT230+$AU230)/2*$AN230+$AO230)*(1+$AV230)*(1+$AW230)+(($AY230+$AZ230)/2*IF($G$1="鸣金",$AP230,$AN230)+IF($G$1="鸣金",$AQ230*1.5,0))*(1+$BA230)*(1+$BB230)+(($BC230+$BD230)/2*IF($G$1="裂石",$AP230,$AN230)+IF($G$1="裂石",$AQ230*1.5,0))*(1+$BE230)*(1+$BF230)+(($BG230+$BH230)/2*IF($G$1="牵丝",$AP230,$AN230)+IF($G$1="牵丝",$AQ230*1.5,0))*(1+$BI230)*(1+$BJ230)+(($BK230+$BL230)/2*IF($G$1="破竹",$AP230,$AN230)+IF($G$1="破竹",$AQ230*1.5,0))*(1+$BM230)*(1+$BN230))*(1+$AR230)*$BQ230*$Q230*(1+IF(VLOOKUP($R230,武学奇术!$A:$ZZ,30,FALSE)="蓄力技",$B$21,0))*(1+IF(VLOOKUP($R230,武学奇术!$A:$ZZ,30,FALSE)="派生技",$B$20,0))*(1+$BW230)*(1+$BX230)</f>
        <v>0</v>
      </c>
      <c r="N230" s="46">
        <f>(($AU230*$AN230+$AO230)*(1+$AV230)*(1+$AW230)+($AZ230*IF($G$1="鸣金",$AP230,$AN230)+IF($G$1="鸣金",$AQ230*1.5,0))*(1+$BA230)*(1+$BB230)+($BD230*IF($G$1="裂石",$AP230,$AN230)+IF($G$1="裂石",$AQ230*1.5,0))*(1+$BE230)*(1+$BF230)+($BH230*IF($G$1="牵丝",$AP230,$AN230)+IF($G$1="牵丝",$AQ230*1.5,0))*(1+$BI230)*(1+$BJ230)+($BL230*IF($G$1="破竹",$AP230,$AN230)+IF($G$1="破竹",$AQ230*1.5,0))*(1+$BM230)*(1+$BN230))*(1+$AR230)*$BS230*$Q230*(1+IF(VLOOKUP($R230,武学奇术!$A:$ZZ,30,FALSE)="蓄力技",$B$21,0))*(1+IF(VLOOKUP($R230,武学奇术!$A:$ZZ,30,FALSE)="派生技",$B$20,0))*(1+$BW230)*(1+$BX230)</f>
        <v>0</v>
      </c>
      <c r="O230" s="46">
        <f>((($AT230+$AU230)/2*$AN230+$AO230)*(1+$AV230)*(1+$AW230)+(($AY230+$AZ230)/2*IF($G$1="鸣金",$AP230,$AN230)+IF($G$1="鸣金",$AQ230*1.5,0))*(1+$BA230)*(1+$BB230)+(($BC230+$BD230)/2*IF($G$1="裂石",$AP230,$AN230)+IF($G$1="裂石",$AQ230*1.5,0))*(1+$BE230)*(1+$BF230)+(($BG230+$BH230)/2*IF($G$1="牵丝",$AP230,$AN230)+IF($G$1="牵丝",$AQ230*1.5,0))*(1+$BI230)*(1+$BJ230)+(($BK230+$BL230)/2*IF($G$1="破竹",$AP230,$AN230)+IF($G$1="破竹",$AQ230*1.5,0))*(1+$BM230)*(1+$BN230))*(1+$AR230)*$Q230*(1+IF(VLOOKUP($R230,武学奇术!$A:$ZZ,30,FALSE)="蓄力技",$B$21,0))*(1+IF(VLOOKUP($R230,武学奇术!$A:$ZZ,30,FALSE)="派生技",$B$20,0))*(1+$BW230)*(1+$BX230)</f>
        <v>0</v>
      </c>
      <c r="P230" s="46">
        <f>((($AT230*$AN230+$AO230)*(1+$AV230)*(1+$AW230)+($AY230*IF($G$1="鸣金",$AP230,$AN230)+IF($G$1="鸣金",$AQ230*1.5,0))*(1+$BA230)*(1+$BB230)+($BC230*IF($G$1="裂石",$AP230,$AN230)+IF($G$1="裂石",$AQ230*1.5,0))*(1+$BE230)*(1+$BF230)+($BG230*IF($G$1="牵丝",$AP230,$AN230)+IF($G$1="牵丝",$AQ230*1.5,0))*(1+$BI230)*(1+$BJ230)+($BK230*IF($G$1="破竹",$AP230,$AN230)+IF($G$1="破竹",$AQ230*1.5,0))*(1+$BM230)*(1+$BN230))*(1+$AR230))*$Q230*(1+IF(VLOOKUP($R230,武学奇术!$A:$ZZ,30,FALSE)="蓄力技",$B$21,0))*(1+IF(VLOOKUP($R230,武学奇术!$A:$ZZ,30,FALSE)="派生技",$B$20,0))*(1+$BW230)*(1+$BX230)</f>
        <v>0</v>
      </c>
      <c r="Q230" s="47">
        <f t="shared" si="61"/>
        <v>0</v>
      </c>
      <c r="R230" s="48" t="s">
        <v>119</v>
      </c>
      <c r="S230" s="48" t="s">
        <v>99</v>
      </c>
      <c r="T230" s="48" t="s">
        <v>182</v>
      </c>
      <c r="U230" s="48" t="s">
        <v>79</v>
      </c>
      <c r="V230" s="48" t="s">
        <v>80</v>
      </c>
      <c r="W230" s="48" t="s">
        <v>141</v>
      </c>
      <c r="X230" s="48" t="s">
        <v>80</v>
      </c>
      <c r="Y230" s="48" t="s">
        <v>74</v>
      </c>
      <c r="Z230" s="48" t="s">
        <v>80</v>
      </c>
      <c r="AA230" s="48" t="s">
        <v>80</v>
      </c>
      <c r="AB230" s="48" t="s">
        <v>80</v>
      </c>
      <c r="AC230" s="48" t="s">
        <v>80</v>
      </c>
      <c r="AD230" s="48" t="s">
        <v>80</v>
      </c>
      <c r="AE230" s="48" t="s">
        <v>80</v>
      </c>
      <c r="AF230" s="48" t="s">
        <v>83</v>
      </c>
      <c r="AG230" s="48" t="s">
        <v>84</v>
      </c>
      <c r="AH230" s="48" t="s">
        <v>80</v>
      </c>
      <c r="AI230" s="48" t="s">
        <v>80</v>
      </c>
      <c r="AJ230" s="48" t="s">
        <v>80</v>
      </c>
      <c r="AK230" s="48" t="s">
        <v>80</v>
      </c>
      <c r="AL230" s="48" t="s">
        <v>80</v>
      </c>
      <c r="AM230" t="str">
        <f>VLOOKUP($R230,武学奇术!$A:$ZZ,25,FALSE)</f>
        <v>横刀</v>
      </c>
      <c r="AN230" s="33">
        <f>VLOOKUP($R230,武学奇术!$A:$ZZ,26,FALSE)</f>
        <v>2.1324</v>
      </c>
      <c r="AO230" s="34">
        <f>VLOOKUP($R230,武学奇术!$A:$ZZ,27,FALSE)*(1+IF(OR($AM230=$F$4,$AM230=$F$5),$B$22,0))</f>
        <v>944</v>
      </c>
      <c r="AP230" s="33">
        <f>VLOOKUP($R230,武学奇术!$A:$ZZ,28,FALSE)</f>
        <v>3.1986</v>
      </c>
      <c r="AQ230" s="34">
        <f>VLOOKUP($R230,武学奇术!$A:$ZZ,29,FALSE)*(1+IF(OR($AM230=$F$4,$AM230=$F$5),$B$22,0))</f>
        <v>515.2</v>
      </c>
      <c r="AR230" s="33" cm="1">
        <f t="array" ref="AR230">$G$3+IFERROR(VLOOKUP($AM230,$F$4:$G$7,2,FALSE),0)+VLOOKUP($R230,武学奇术!$A:$ZZ,2,FALSE)+SUM(_xlfn.XLOOKUP($S230:$AL230,增益!$A:$A,增益!$B:$B,0))</f>
        <v>0.4489</v>
      </c>
      <c r="AS230" s="33" cm="1">
        <f t="array" ref="AS230">VLOOKUP($R230,武学奇术!$A:$ZZ,5,FALSE)+SUM(_xlfn.XLOOKUP($S230:$AL230,增益!$A:$A,增益!$E:$E,0))</f>
        <v>0</v>
      </c>
      <c r="AT230" cm="1">
        <f t="array" ref="AT230">$D$10*(1+$AS230)+VLOOKUP($R230,武学奇术!$A:$ZZ,3,FALSE)+SUM(_xlfn.XLOOKUP($S230:$AL230,增益!$A:$A,增益!$C:$C,0))-$I$2</f>
        <v>4026</v>
      </c>
      <c r="AU230" cm="1">
        <f t="array" ref="AU230">$E$10*(1+$AS230)+VLOOKUP($R230,武学奇术!$A:$ZZ,4,FALSE)+SUM(_xlfn.XLOOKUP($S230:$AL230,增益!$A:$A,增益!$D:$D,0))-$I$2</f>
        <v>4026</v>
      </c>
      <c r="AV230" s="40" cm="1">
        <f t="array" ref="AV230">IF($F$10-$I$3+VLOOKUP($R230,武学奇术!$A:$ZZ,6,FALSE)+SUM(_xlfn.XLOOKUP($S230:$AL230,增益!$A:$A,增益!$F:$F,0))&gt;0,($F$10-$I$3+VLOOKUP($R230,武学奇术!$A:$ZZ,6,FALSE)+SUM(_xlfn.XLOOKUP($S230:$AL230,增益!$A:$A,增益!$F:$F,0)))/200,($F$10-$I$3+VLOOKUP($R230,武学奇术!$A:$ZZ,6,FALSE)+SUM(_xlfn.XLOOKUP($S230:$AL230,增益!$A:$A,增益!$F:$F,0)))/100)</f>
        <v>0.3534</v>
      </c>
      <c r="AW230" s="40" cm="1">
        <f t="array" ref="AW230">$G$10+VLOOKUP($R230,武学奇术!$A:$ZZ,7,FALSE)+SUM(_xlfn.XLOOKUP($S230:$AL230,增益!$A:$A,增益!$G:$G,0))</f>
        <v>0.12</v>
      </c>
      <c r="AX230" s="33" cm="1">
        <f t="array" ref="AX230">VLOOKUP($R230,武学奇术!$A:$ZZ,8,FALSE)+SUM(_xlfn.XLOOKUP($S230:$AL230,增益!$A:$A,增益!$H:$H,0))</f>
        <v>0</v>
      </c>
      <c r="AY230">
        <f t="shared" si="50"/>
        <v>0</v>
      </c>
      <c r="AZ230">
        <f t="shared" si="51"/>
        <v>0</v>
      </c>
      <c r="BA230" s="40" cm="1">
        <f t="array" ref="BA230">IF($F$11-$I$4+VLOOKUP($R230,武学奇术!$A:$ZZ,9,FALSE)+SUM(_xlfn.XLOOKUP($S230:$AL230,增益!$A:$A,增益!$I:$I,0))&gt;0,($F$11-$I$4+VLOOKUP($R230,武学奇术!$A:$ZZ,9,FALSE)+SUM(_xlfn.XLOOKUP($S230:$AL230,增益!$A:$A,增益!$I:$I,0)))/200,($F$11-$I$4+VLOOKUP($R230,武学奇术!$A:$ZZ,9,FALSE)+SUM(_xlfn.XLOOKUP($S230:$AL230,增益!$A:$A,增益!$I:$I,0)))/100)</f>
        <v>-0.3</v>
      </c>
      <c r="BB230" s="40" cm="1">
        <f t="array" ref="BB230">$G$11+VLOOKUP($R230,武学奇术!$A:$ZZ,10,FALSE)+SUM(_xlfn.XLOOKUP($S230:$AL230,增益!$A:$A,增益!$J:$J,0))</f>
        <v>0</v>
      </c>
      <c r="BC230">
        <f t="shared" si="52"/>
        <v>640.3</v>
      </c>
      <c r="BD230">
        <f t="shared" si="53"/>
        <v>1770.1</v>
      </c>
      <c r="BE230" s="40" cm="1">
        <f t="array" ref="BE230">IF($F$12-$I$4+VLOOKUP($R230,武学奇术!$A:$ZZ,11,FALSE)+SUM(_xlfn.XLOOKUP($S230:$AL230,增益!$A:$A,增益!$K:$K,0))&gt;0,($F$12-$I$4+VLOOKUP($R230,武学奇术!$A:$ZZ,11,FALSE)+SUM(_xlfn.XLOOKUP($S230:$AL230,增益!$A:$A,增益!$K:$K,0)))/200,($F$12-$I$4+VLOOKUP($R230,武学奇术!$A:$ZZ,11,FALSE)+SUM(_xlfn.XLOOKUP($S230:$AL230,增益!$A:$A,增益!$K:$K,0)))/100)</f>
        <v>0.09</v>
      </c>
      <c r="BF230" s="40" cm="1">
        <f t="array" ref="BF230">$G$12+VLOOKUP($R230,武学奇术!$A:$ZZ,12,FALSE)+SUM(_xlfn.XLOOKUP($S230:$AL230,增益!$A:$A,增益!$L:$L,0))</f>
        <v>0.27</v>
      </c>
      <c r="BG230">
        <f t="shared" si="54"/>
        <v>0</v>
      </c>
      <c r="BH230">
        <f t="shared" si="55"/>
        <v>0</v>
      </c>
      <c r="BI230" s="40" cm="1">
        <f t="array" ref="BI230">IF($F$13-$I$4+VLOOKUP($R230,武学奇术!$A:$ZZ,13,FALSE)+SUM(_xlfn.XLOOKUP($S230:$AL230,增益!$A:$A,增益!$M:$M,0))&gt;0,($F$13-$I$4+VLOOKUP($R230,武学奇术!$A:$ZZ,13,FALSE)+SUM(_xlfn.XLOOKUP($S230:$AL230,增益!$A:$A,增益!$K:$K,0)))/200,($F$13-$I$4+VLOOKUP($R230,武学奇术!$A:$ZZ,13,FALSE)+SUM(_xlfn.XLOOKUP($S230:$AL230,增益!$A:$A,增益!$M:$M,0)))/100)</f>
        <v>-0.3</v>
      </c>
      <c r="BJ230" s="40" cm="1">
        <f t="array" ref="BJ230">$G$13+VLOOKUP($R230,武学奇术!$A:$ZZ,14,FALSE)+SUM(_xlfn.XLOOKUP($S230:$AL230,增益!$A:$A,增益!$N:$N,0))</f>
        <v>0</v>
      </c>
      <c r="BK230">
        <f t="shared" si="56"/>
        <v>0</v>
      </c>
      <c r="BL230">
        <f t="shared" si="57"/>
        <v>0</v>
      </c>
      <c r="BM230" s="40" cm="1">
        <f t="array" ref="BM230">IF($F$14-$I$4+VLOOKUP($R230,武学奇术!$A:$ZZ,15,FALSE)+SUM(_xlfn.XLOOKUP($S230:$AL230,增益!$A:$A,增益!$O:$O,0))&gt;0,($F$14-$I$4+VLOOKUP($R230,武学奇术!$A:$ZZ,15,FALSE)+SUM(_xlfn.XLOOKUP($S230:$AL230,增益!$A:$A,增益!$O:$O,0)))/200,($F$14-$I$4+VLOOKUP($R230,武学奇术!$A:$ZZ,15,FALSE)+SUM(_xlfn.XLOOKUP($S230:$AL230,增益!$A:$A,增益!$O:$O,0)))/100)</f>
        <v>-0.3</v>
      </c>
      <c r="BN230" s="40" cm="1">
        <f t="array" ref="BN230">$G$14+VLOOKUP($R230,武学奇术!$A:$ZZ,16,FALSE)+SUM(_xlfn.XLOOKUP($S230:$AL230,增益!$A:$A,增益!$P:$P,0))</f>
        <v>0</v>
      </c>
      <c r="BO230" s="33">
        <f>MIN(IF(VLOOKUP($R230,武学奇术!$A:$ZZ,23,FALSE)=1,100%,$B$8),100%)</f>
        <v>0.9771</v>
      </c>
      <c r="BP230" s="33" cm="1">
        <f t="array" ref="BP230">IF(VLOOKUP($R230,武学奇术!$A:$ZZ,23,FALSE)=1,100%,MIN(80%,$B$9+VLOOKUP($R230,武学奇术!$A:$ZZ,17,FALSE)+SUM(_xlfn.XLOOKUP($S230:$AL230,增益!$A:$A,增益!$Q:$Q,0)))+$B$11+SUM(_xlfn.XLOOKUP($S230:$AL230,增益!$A:$A,增益!$U:$U,0)))*IF(VLOOKUP($R230,武学奇术!$A:$ZZ,24,FALSE)=1,0,1)</f>
        <v>0.8861</v>
      </c>
      <c r="BQ230" s="33" cm="1">
        <f t="array" ref="BQ230">1+$B$13+VLOOKUP($R230,武学奇术!$A:$ZZ,18,FALSE)+SUM(_xlfn.XLOOKUP($S230:$AL230,增益!$A:$A,增益!$R:$R,0))</f>
        <v>2</v>
      </c>
      <c r="BR230" s="33" cm="1">
        <f t="array" ref="BR230">IF(VLOOKUP($R230,武学奇术!$A:$ZZ,24,FALSE)=1,100%,MIN(40%,$B$10+VLOOKUP($R230,武学奇术!$A:$ZZ,19,FALSE)+SUM(_xlfn.XLOOKUP($S230:$AL230,增益!$A:$A,增益!$S:$S,0)))+$B$12+SUM(_xlfn.XLOOKUP($S230:$AL230,增益!$A:$A,增益!$V:$V,0)))*IF(VLOOKUP($R230,武学奇术!$A:$ZZ,23,FALSE)=1,0,1)</f>
        <v>0.0913</v>
      </c>
      <c r="BS230" s="33" cm="1">
        <f t="array" ref="BS230">1+$B$14+VLOOKUP($R230,武学奇术!$A:$ZZ,20,FALSE)+SUM(_xlfn.XLOOKUP($S230:$AL230,增益!$A:$A,增益!$T:$T,0))</f>
        <v>1.35</v>
      </c>
      <c r="BT230" s="33">
        <f t="shared" si="58"/>
        <v>0.86580831</v>
      </c>
      <c r="BU230" s="33">
        <f t="shared" si="59"/>
        <v>0.02208246</v>
      </c>
      <c r="BV230" s="33">
        <f>IF(VLOOKUP($R230,武学奇术!$A:$ZZ,22,FALSE)=1,0,(1-$BO230))*(1-$BR230)</f>
        <v>0.02080923</v>
      </c>
      <c r="BW230" s="33" cm="1">
        <f t="array" ref="BW230">SUM(_xlfn.XLOOKUP($S230:$AL230,增益!$A:$A,增益!$W:$W,0))+$I$5</f>
        <v>0.11</v>
      </c>
      <c r="BX230" s="33" cm="1">
        <f t="array" ref="BX230">VLOOKUP($R230,武学奇术!$A:$ZZ,32,FALSE)+SUM(_xlfn.XLOOKUP($S230:$AL230,增益!$A:$A,增益!$X:$X,0))</f>
        <v>0</v>
      </c>
    </row>
    <row r="231" spans="12:76">
      <c r="L231" s="46">
        <f t="shared" si="49"/>
        <v>0</v>
      </c>
      <c r="M231" s="46">
        <f>((($AT231+$AU231)/2*$AN231+$AO231)*(1+$AV231)*(1+$AW231)+(($AY231+$AZ231)/2*IF($G$1="鸣金",$AP231,$AN231)+IF($G$1="鸣金",$AQ231*1.5,0))*(1+$BA231)*(1+$BB231)+(($BC231+$BD231)/2*IF($G$1="裂石",$AP231,$AN231)+IF($G$1="裂石",$AQ231*1.5,0))*(1+$BE231)*(1+$BF231)+(($BG231+$BH231)/2*IF($G$1="牵丝",$AP231,$AN231)+IF($G$1="牵丝",$AQ231*1.5,0))*(1+$BI231)*(1+$BJ231)+(($BK231+$BL231)/2*IF($G$1="破竹",$AP231,$AN231)+IF($G$1="破竹",$AQ231*1.5,0))*(1+$BM231)*(1+$BN231))*(1+$AR231)*$BQ231*$Q231*(1+IF(VLOOKUP($R231,武学奇术!$A:$ZZ,30,FALSE)="蓄力技",$B$21,0))*(1+IF(VLOOKUP($R231,武学奇术!$A:$ZZ,30,FALSE)="派生技",$B$20,0))*(1+$BW231)*(1+$BX231)</f>
        <v>0</v>
      </c>
      <c r="N231" s="46">
        <f>(($AU231*$AN231+$AO231)*(1+$AV231)*(1+$AW231)+($AZ231*IF($G$1="鸣金",$AP231,$AN231)+IF($G$1="鸣金",$AQ231*1.5,0))*(1+$BA231)*(1+$BB231)+($BD231*IF($G$1="裂石",$AP231,$AN231)+IF($G$1="裂石",$AQ231*1.5,0))*(1+$BE231)*(1+$BF231)+($BH231*IF($G$1="牵丝",$AP231,$AN231)+IF($G$1="牵丝",$AQ231*1.5,0))*(1+$BI231)*(1+$BJ231)+($BL231*IF($G$1="破竹",$AP231,$AN231)+IF($G$1="破竹",$AQ231*1.5,0))*(1+$BM231)*(1+$BN231))*(1+$AR231)*$BS231*$Q231*(1+IF(VLOOKUP($R231,武学奇术!$A:$ZZ,30,FALSE)="蓄力技",$B$21,0))*(1+IF(VLOOKUP($R231,武学奇术!$A:$ZZ,30,FALSE)="派生技",$B$20,0))*(1+$BW231)*(1+$BX231)</f>
        <v>0</v>
      </c>
      <c r="O231" s="46">
        <f>((($AT231+$AU231)/2*$AN231+$AO231)*(1+$AV231)*(1+$AW231)+(($AY231+$AZ231)/2*IF($G$1="鸣金",$AP231,$AN231)+IF($G$1="鸣金",$AQ231*1.5,0))*(1+$BA231)*(1+$BB231)+(($BC231+$BD231)/2*IF($G$1="裂石",$AP231,$AN231)+IF($G$1="裂石",$AQ231*1.5,0))*(1+$BE231)*(1+$BF231)+(($BG231+$BH231)/2*IF($G$1="牵丝",$AP231,$AN231)+IF($G$1="牵丝",$AQ231*1.5,0))*(1+$BI231)*(1+$BJ231)+(($BK231+$BL231)/2*IF($G$1="破竹",$AP231,$AN231)+IF($G$1="破竹",$AQ231*1.5,0))*(1+$BM231)*(1+$BN231))*(1+$AR231)*$Q231*(1+IF(VLOOKUP($R231,武学奇术!$A:$ZZ,30,FALSE)="蓄力技",$B$21,0))*(1+IF(VLOOKUP($R231,武学奇术!$A:$ZZ,30,FALSE)="派生技",$B$20,0))*(1+$BW231)*(1+$BX231)</f>
        <v>0</v>
      </c>
      <c r="P231" s="46">
        <f>((($AT231*$AN231+$AO231)*(1+$AV231)*(1+$AW231)+($AY231*IF($G$1="鸣金",$AP231,$AN231)+IF($G$1="鸣金",$AQ231*1.5,0))*(1+$BA231)*(1+$BB231)+($BC231*IF($G$1="裂石",$AP231,$AN231)+IF($G$1="裂石",$AQ231*1.5,0))*(1+$BE231)*(1+$BF231)+($BG231*IF($G$1="牵丝",$AP231,$AN231)+IF($G$1="牵丝",$AQ231*1.5,0))*(1+$BI231)*(1+$BJ231)+($BK231*IF($G$1="破竹",$AP231,$AN231)+IF($G$1="破竹",$AQ231*1.5,0))*(1+$BM231)*(1+$BN231))*(1+$AR231))*$Q231*(1+IF(VLOOKUP($R231,武学奇术!$A:$ZZ,30,FALSE)="蓄力技",$B$21,0))*(1+IF(VLOOKUP($R231,武学奇术!$A:$ZZ,30,FALSE)="派生技",$B$20,0))*(1+$BW231)*(1+$BX231)</f>
        <v>0</v>
      </c>
      <c r="Q231" s="47">
        <f t="shared" si="61"/>
        <v>0</v>
      </c>
      <c r="R231" s="48" t="s">
        <v>122</v>
      </c>
      <c r="S231" s="48" t="s">
        <v>99</v>
      </c>
      <c r="T231" s="48" t="s">
        <v>182</v>
      </c>
      <c r="U231" s="48" t="s">
        <v>79</v>
      </c>
      <c r="V231" s="48" t="s">
        <v>90</v>
      </c>
      <c r="W231" s="48" t="s">
        <v>141</v>
      </c>
      <c r="X231" s="48" t="s">
        <v>80</v>
      </c>
      <c r="Y231" s="48" t="s">
        <v>74</v>
      </c>
      <c r="Z231" s="48" t="s">
        <v>80</v>
      </c>
      <c r="AA231" s="48" t="s">
        <v>80</v>
      </c>
      <c r="AB231" s="48" t="s">
        <v>80</v>
      </c>
      <c r="AC231" s="48" t="s">
        <v>80</v>
      </c>
      <c r="AD231" s="48" t="s">
        <v>80</v>
      </c>
      <c r="AE231" s="48" t="s">
        <v>80</v>
      </c>
      <c r="AF231" s="48" t="s">
        <v>83</v>
      </c>
      <c r="AG231" s="48" t="s">
        <v>84</v>
      </c>
      <c r="AH231" s="48" t="s">
        <v>80</v>
      </c>
      <c r="AI231" s="48" t="s">
        <v>80</v>
      </c>
      <c r="AJ231" s="48" t="s">
        <v>80</v>
      </c>
      <c r="AK231" s="48" t="s">
        <v>80</v>
      </c>
      <c r="AL231" s="48" t="s">
        <v>80</v>
      </c>
      <c r="AM231" t="str">
        <f>VLOOKUP($R231,武学奇术!$A:$ZZ,25,FALSE)</f>
        <v>横刀</v>
      </c>
      <c r="AN231" s="33">
        <f>VLOOKUP($R231,武学奇术!$A:$ZZ,26,FALSE)</f>
        <v>1.47</v>
      </c>
      <c r="AO231" s="34">
        <f>VLOOKUP($R231,武学奇术!$A:$ZZ,27,FALSE)*(1+IF(OR($AM231=$F$4,$AM231=$F$5),$B$22,0))</f>
        <v>0</v>
      </c>
      <c r="AP231" s="33">
        <f>VLOOKUP($R231,武学奇术!$A:$ZZ,28,FALSE)</f>
        <v>2.205</v>
      </c>
      <c r="AQ231" s="34">
        <f>VLOOKUP($R231,武学奇术!$A:$ZZ,29,FALSE)*(1+IF(OR($AM231=$F$4,$AM231=$F$5),$B$22,0))</f>
        <v>0</v>
      </c>
      <c r="AR231" s="33" cm="1">
        <f t="array" ref="AR231">$G$3+IFERROR(VLOOKUP($AM231,$F$4:$G$7,2,FALSE),0)+VLOOKUP($R231,武学奇术!$A:$ZZ,2,FALSE)+SUM(_xlfn.XLOOKUP($S231:$AL231,增益!$A:$A,增益!$B:$B,0))</f>
        <v>0.5289</v>
      </c>
      <c r="AS231" s="33" cm="1">
        <f t="array" ref="AS231">VLOOKUP($R231,武学奇术!$A:$ZZ,5,FALSE)+SUM(_xlfn.XLOOKUP($S231:$AL231,增益!$A:$A,增益!$E:$E,0))</f>
        <v>0</v>
      </c>
      <c r="AT231" cm="1">
        <f t="array" ref="AT231">$D$10*(1+$AS231)+VLOOKUP($R231,武学奇术!$A:$ZZ,3,FALSE)+SUM(_xlfn.XLOOKUP($S231:$AL231,增益!$A:$A,增益!$C:$C,0))-$I$2</f>
        <v>4026</v>
      </c>
      <c r="AU231" cm="1">
        <f t="array" ref="AU231">$E$10*(1+$AS231)+VLOOKUP($R231,武学奇术!$A:$ZZ,4,FALSE)+SUM(_xlfn.XLOOKUP($S231:$AL231,增益!$A:$A,增益!$D:$D,0))-$I$2</f>
        <v>4026</v>
      </c>
      <c r="AV231" s="40" cm="1">
        <f t="array" ref="AV231">IF($F$10-$I$3+VLOOKUP($R231,武学奇术!$A:$ZZ,6,FALSE)+SUM(_xlfn.XLOOKUP($S231:$AL231,增益!$A:$A,增益!$F:$F,0))&gt;0,($F$10-$I$3+VLOOKUP($R231,武学奇术!$A:$ZZ,6,FALSE)+SUM(_xlfn.XLOOKUP($S231:$AL231,增益!$A:$A,增益!$F:$F,0)))/200,($F$10-$I$3+VLOOKUP($R231,武学奇术!$A:$ZZ,6,FALSE)+SUM(_xlfn.XLOOKUP($S231:$AL231,增益!$A:$A,增益!$F:$F,0)))/100)</f>
        <v>0.3534</v>
      </c>
      <c r="AW231" s="40" cm="1">
        <f t="array" ref="AW231">$G$10+VLOOKUP($R231,武学奇术!$A:$ZZ,7,FALSE)+SUM(_xlfn.XLOOKUP($S231:$AL231,增益!$A:$A,增益!$G:$G,0))</f>
        <v>0.12</v>
      </c>
      <c r="AX231" s="33" cm="1">
        <f t="array" ref="AX231">VLOOKUP($R231,武学奇术!$A:$ZZ,8,FALSE)+SUM(_xlfn.XLOOKUP($S231:$AL231,增益!$A:$A,增益!$H:$H,0))</f>
        <v>0</v>
      </c>
      <c r="AY231">
        <f t="shared" si="50"/>
        <v>0</v>
      </c>
      <c r="AZ231">
        <f t="shared" si="51"/>
        <v>0</v>
      </c>
      <c r="BA231" s="40" cm="1">
        <f t="array" ref="BA231">IF($F$11-$I$4+VLOOKUP($R231,武学奇术!$A:$ZZ,9,FALSE)+SUM(_xlfn.XLOOKUP($S231:$AL231,增益!$A:$A,增益!$I:$I,0))&gt;0,($F$11-$I$4+VLOOKUP($R231,武学奇术!$A:$ZZ,9,FALSE)+SUM(_xlfn.XLOOKUP($S231:$AL231,增益!$A:$A,增益!$I:$I,0)))/200,($F$11-$I$4+VLOOKUP($R231,武学奇术!$A:$ZZ,9,FALSE)+SUM(_xlfn.XLOOKUP($S231:$AL231,增益!$A:$A,增益!$I:$I,0)))/100)</f>
        <v>-0.14</v>
      </c>
      <c r="BB231" s="40" cm="1">
        <f t="array" ref="BB231">$G$11+VLOOKUP($R231,武学奇术!$A:$ZZ,10,FALSE)+SUM(_xlfn.XLOOKUP($S231:$AL231,增益!$A:$A,增益!$J:$J,0))</f>
        <v>0</v>
      </c>
      <c r="BC231">
        <f t="shared" si="52"/>
        <v>640.3</v>
      </c>
      <c r="BD231">
        <f t="shared" si="53"/>
        <v>1770.1</v>
      </c>
      <c r="BE231" s="40" cm="1">
        <f t="array" ref="BE231">IF($F$12-$I$4+VLOOKUP($R231,武学奇术!$A:$ZZ,11,FALSE)+SUM(_xlfn.XLOOKUP($S231:$AL231,增益!$A:$A,增益!$K:$K,0))&gt;0,($F$12-$I$4+VLOOKUP($R231,武学奇术!$A:$ZZ,11,FALSE)+SUM(_xlfn.XLOOKUP($S231:$AL231,增益!$A:$A,增益!$K:$K,0)))/200,($F$12-$I$4+VLOOKUP($R231,武学奇术!$A:$ZZ,11,FALSE)+SUM(_xlfn.XLOOKUP($S231:$AL231,增益!$A:$A,增益!$K:$K,0)))/100)</f>
        <v>0.17</v>
      </c>
      <c r="BF231" s="40" cm="1">
        <f t="array" ref="BF231">$G$12+VLOOKUP($R231,武学奇术!$A:$ZZ,12,FALSE)+SUM(_xlfn.XLOOKUP($S231:$AL231,增益!$A:$A,增益!$L:$L,0))</f>
        <v>0.27</v>
      </c>
      <c r="BG231">
        <f t="shared" si="54"/>
        <v>0</v>
      </c>
      <c r="BH231">
        <f t="shared" si="55"/>
        <v>0</v>
      </c>
      <c r="BI231" s="40" cm="1">
        <f t="array" ref="BI231">IF($F$13-$I$4+VLOOKUP($R231,武学奇术!$A:$ZZ,13,FALSE)+SUM(_xlfn.XLOOKUP($S231:$AL231,增益!$A:$A,增益!$M:$M,0))&gt;0,($F$13-$I$4+VLOOKUP($R231,武学奇术!$A:$ZZ,13,FALSE)+SUM(_xlfn.XLOOKUP($S231:$AL231,增益!$A:$A,增益!$K:$K,0)))/200,($F$13-$I$4+VLOOKUP($R231,武学奇术!$A:$ZZ,13,FALSE)+SUM(_xlfn.XLOOKUP($S231:$AL231,增益!$A:$A,增益!$M:$M,0)))/100)</f>
        <v>-0.14</v>
      </c>
      <c r="BJ231" s="40" cm="1">
        <f t="array" ref="BJ231">$G$13+VLOOKUP($R231,武学奇术!$A:$ZZ,14,FALSE)+SUM(_xlfn.XLOOKUP($S231:$AL231,增益!$A:$A,增益!$N:$N,0))</f>
        <v>0</v>
      </c>
      <c r="BK231">
        <f t="shared" si="56"/>
        <v>0</v>
      </c>
      <c r="BL231">
        <f t="shared" si="57"/>
        <v>0</v>
      </c>
      <c r="BM231" s="40" cm="1">
        <f t="array" ref="BM231">IF($F$14-$I$4+VLOOKUP($R231,武学奇术!$A:$ZZ,15,FALSE)+SUM(_xlfn.XLOOKUP($S231:$AL231,增益!$A:$A,增益!$O:$O,0))&gt;0,($F$14-$I$4+VLOOKUP($R231,武学奇术!$A:$ZZ,15,FALSE)+SUM(_xlfn.XLOOKUP($S231:$AL231,增益!$A:$A,增益!$O:$O,0)))/200,($F$14-$I$4+VLOOKUP($R231,武学奇术!$A:$ZZ,15,FALSE)+SUM(_xlfn.XLOOKUP($S231:$AL231,增益!$A:$A,增益!$O:$O,0)))/100)</f>
        <v>-0.14</v>
      </c>
      <c r="BN231" s="40" cm="1">
        <f t="array" ref="BN231">$G$14+VLOOKUP($R231,武学奇术!$A:$ZZ,16,FALSE)+SUM(_xlfn.XLOOKUP($S231:$AL231,增益!$A:$A,增益!$P:$P,0))</f>
        <v>0</v>
      </c>
      <c r="BO231" s="33">
        <f>MIN(IF(VLOOKUP($R231,武学奇术!$A:$ZZ,23,FALSE)=1,100%,$B$8),100%)</f>
        <v>0.9771</v>
      </c>
      <c r="BP231" s="33" cm="1">
        <f t="array" ref="BP231">IF(VLOOKUP($R231,武学奇术!$A:$ZZ,23,FALSE)=1,100%,MIN(80%,$B$9+VLOOKUP($R231,武学奇术!$A:$ZZ,17,FALSE)+SUM(_xlfn.XLOOKUP($S231:$AL231,增益!$A:$A,增益!$Q:$Q,0)))+$B$11+SUM(_xlfn.XLOOKUP($S231:$AL231,增益!$A:$A,增益!$U:$U,0)))*IF(VLOOKUP($R231,武学奇术!$A:$ZZ,24,FALSE)=1,0,1)</f>
        <v>0.8861</v>
      </c>
      <c r="BQ231" s="33" cm="1">
        <f t="array" ref="BQ231">1+$B$13+VLOOKUP($R231,武学奇术!$A:$ZZ,18,FALSE)+SUM(_xlfn.XLOOKUP($S231:$AL231,增益!$A:$A,增益!$R:$R,0))</f>
        <v>2</v>
      </c>
      <c r="BR231" s="33" cm="1">
        <f t="array" ref="BR231">IF(VLOOKUP($R231,武学奇术!$A:$ZZ,24,FALSE)=1,100%,MIN(40%,$B$10+VLOOKUP($R231,武学奇术!$A:$ZZ,19,FALSE)+SUM(_xlfn.XLOOKUP($S231:$AL231,增益!$A:$A,增益!$S:$S,0)))+$B$12+SUM(_xlfn.XLOOKUP($S231:$AL231,增益!$A:$A,增益!$V:$V,0)))*IF(VLOOKUP($R231,武学奇术!$A:$ZZ,23,FALSE)=1,0,1)</f>
        <v>0.0913</v>
      </c>
      <c r="BS231" s="33" cm="1">
        <f t="array" ref="BS231">1+$B$14+VLOOKUP($R231,武学奇术!$A:$ZZ,20,FALSE)+SUM(_xlfn.XLOOKUP($S231:$AL231,增益!$A:$A,增益!$T:$T,0))</f>
        <v>1.35</v>
      </c>
      <c r="BT231" s="33">
        <f t="shared" si="58"/>
        <v>0.86580831</v>
      </c>
      <c r="BU231" s="33">
        <f t="shared" si="59"/>
        <v>0.02208246</v>
      </c>
      <c r="BV231" s="33">
        <f>IF(VLOOKUP($R231,武学奇术!$A:$ZZ,22,FALSE)=1,0,(1-$BO231))*(1-$BR231)</f>
        <v>0.02080923</v>
      </c>
      <c r="BW231" s="33" cm="1">
        <f t="array" ref="BW231">SUM(_xlfn.XLOOKUP($S231:$AL231,增益!$A:$A,增益!$W:$W,0))+$I$5</f>
        <v>0.11</v>
      </c>
      <c r="BX231" s="33" cm="1">
        <f t="array" ref="BX231">VLOOKUP($R231,武学奇术!$A:$ZZ,32,FALSE)+SUM(_xlfn.XLOOKUP($S231:$AL231,增益!$A:$A,增益!$X:$X,0))</f>
        <v>0</v>
      </c>
    </row>
    <row r="232" spans="12:76">
      <c r="L232" s="46">
        <f t="shared" si="49"/>
        <v>0</v>
      </c>
      <c r="M232" s="46">
        <f>((($AT232+$AU232)/2*$AN232+$AO232)*(1+$AV232)*(1+$AW232)+(($AY232+$AZ232)/2*IF($G$1="鸣金",$AP232,$AN232)+IF($G$1="鸣金",$AQ232*1.5,0))*(1+$BA232)*(1+$BB232)+(($BC232+$BD232)/2*IF($G$1="裂石",$AP232,$AN232)+IF($G$1="裂石",$AQ232*1.5,0))*(1+$BE232)*(1+$BF232)+(($BG232+$BH232)/2*IF($G$1="牵丝",$AP232,$AN232)+IF($G$1="牵丝",$AQ232*1.5,0))*(1+$BI232)*(1+$BJ232)+(($BK232+$BL232)/2*IF($G$1="破竹",$AP232,$AN232)+IF($G$1="破竹",$AQ232*1.5,0))*(1+$BM232)*(1+$BN232))*(1+$AR232)*$BQ232*$Q232*(1+IF(VLOOKUP($R232,武学奇术!$A:$ZZ,30,FALSE)="蓄力技",$B$21,0))*(1+IF(VLOOKUP($R232,武学奇术!$A:$ZZ,30,FALSE)="派生技",$B$20,0))*(1+$BW232)*(1+$BX232)</f>
        <v>0</v>
      </c>
      <c r="N232" s="46">
        <f>(($AU232*$AN232+$AO232)*(1+$AV232)*(1+$AW232)+($AZ232*IF($G$1="鸣金",$AP232,$AN232)+IF($G$1="鸣金",$AQ232*1.5,0))*(1+$BA232)*(1+$BB232)+($BD232*IF($G$1="裂石",$AP232,$AN232)+IF($G$1="裂石",$AQ232*1.5,0))*(1+$BE232)*(1+$BF232)+($BH232*IF($G$1="牵丝",$AP232,$AN232)+IF($G$1="牵丝",$AQ232*1.5,0))*(1+$BI232)*(1+$BJ232)+($BL232*IF($G$1="破竹",$AP232,$AN232)+IF($G$1="破竹",$AQ232*1.5,0))*(1+$BM232)*(1+$BN232))*(1+$AR232)*$BS232*$Q232*(1+IF(VLOOKUP($R232,武学奇术!$A:$ZZ,30,FALSE)="蓄力技",$B$21,0))*(1+IF(VLOOKUP($R232,武学奇术!$A:$ZZ,30,FALSE)="派生技",$B$20,0))*(1+$BW232)*(1+$BX232)</f>
        <v>0</v>
      </c>
      <c r="O232" s="46">
        <f>((($AT232+$AU232)/2*$AN232+$AO232)*(1+$AV232)*(1+$AW232)+(($AY232+$AZ232)/2*IF($G$1="鸣金",$AP232,$AN232)+IF($G$1="鸣金",$AQ232*1.5,0))*(1+$BA232)*(1+$BB232)+(($BC232+$BD232)/2*IF($G$1="裂石",$AP232,$AN232)+IF($G$1="裂石",$AQ232*1.5,0))*(1+$BE232)*(1+$BF232)+(($BG232+$BH232)/2*IF($G$1="牵丝",$AP232,$AN232)+IF($G$1="牵丝",$AQ232*1.5,0))*(1+$BI232)*(1+$BJ232)+(($BK232+$BL232)/2*IF($G$1="破竹",$AP232,$AN232)+IF($G$1="破竹",$AQ232*1.5,0))*(1+$BM232)*(1+$BN232))*(1+$AR232)*$Q232*(1+IF(VLOOKUP($R232,武学奇术!$A:$ZZ,30,FALSE)="蓄力技",$B$21,0))*(1+IF(VLOOKUP($R232,武学奇术!$A:$ZZ,30,FALSE)="派生技",$B$20,0))*(1+$BW232)*(1+$BX232)</f>
        <v>0</v>
      </c>
      <c r="P232" s="46">
        <f>((($AT232*$AN232+$AO232)*(1+$AV232)*(1+$AW232)+($AY232*IF($G$1="鸣金",$AP232,$AN232)+IF($G$1="鸣金",$AQ232*1.5,0))*(1+$BA232)*(1+$BB232)+($BC232*IF($G$1="裂石",$AP232,$AN232)+IF($G$1="裂石",$AQ232*1.5,0))*(1+$BE232)*(1+$BF232)+($BG232*IF($G$1="牵丝",$AP232,$AN232)+IF($G$1="牵丝",$AQ232*1.5,0))*(1+$BI232)*(1+$BJ232)+($BK232*IF($G$1="破竹",$AP232,$AN232)+IF($G$1="破竹",$AQ232*1.5,0))*(1+$BM232)*(1+$BN232))*(1+$AR232))*$Q232*(1+IF(VLOOKUP($R232,武学奇术!$A:$ZZ,30,FALSE)="蓄力技",$B$21,0))*(1+IF(VLOOKUP($R232,武学奇术!$A:$ZZ,30,FALSE)="派生技",$B$20,0))*(1+$BW232)*(1+$BX232)</f>
        <v>0</v>
      </c>
      <c r="Q232" s="47">
        <f t="shared" si="61"/>
        <v>0</v>
      </c>
      <c r="R232" s="48" t="s">
        <v>195</v>
      </c>
      <c r="S232" s="48" t="s">
        <v>99</v>
      </c>
      <c r="T232" s="48" t="s">
        <v>182</v>
      </c>
      <c r="U232" s="48" t="s">
        <v>79</v>
      </c>
      <c r="V232" s="48" t="s">
        <v>90</v>
      </c>
      <c r="W232" s="48" t="s">
        <v>141</v>
      </c>
      <c r="X232" s="48" t="s">
        <v>80</v>
      </c>
      <c r="Y232" s="48" t="s">
        <v>74</v>
      </c>
      <c r="Z232" s="48" t="s">
        <v>80</v>
      </c>
      <c r="AA232" s="48" t="s">
        <v>80</v>
      </c>
      <c r="AB232" s="48" t="s">
        <v>80</v>
      </c>
      <c r="AC232" s="48" t="s">
        <v>80</v>
      </c>
      <c r="AD232" s="48" t="s">
        <v>80</v>
      </c>
      <c r="AE232" s="48" t="s">
        <v>80</v>
      </c>
      <c r="AF232" s="48" t="s">
        <v>83</v>
      </c>
      <c r="AG232" s="48" t="s">
        <v>84</v>
      </c>
      <c r="AH232" s="48" t="s">
        <v>80</v>
      </c>
      <c r="AI232" s="48" t="s">
        <v>80</v>
      </c>
      <c r="AJ232" s="48" t="s">
        <v>80</v>
      </c>
      <c r="AK232" s="48" t="s">
        <v>80</v>
      </c>
      <c r="AL232" s="48" t="s">
        <v>80</v>
      </c>
      <c r="AM232" t="str">
        <f>VLOOKUP($R232,武学奇术!$A:$ZZ,25,FALSE)</f>
        <v>横刀</v>
      </c>
      <c r="AN232" s="33">
        <f>VLOOKUP($R232,武学奇术!$A:$ZZ,26,FALSE)</f>
        <v>3.6553</v>
      </c>
      <c r="AO232" s="34">
        <f>VLOOKUP($R232,武学奇术!$A:$ZZ,27,FALSE)*(1+IF(OR($AM232=$F$4,$AM232=$F$5),$B$22,0))</f>
        <v>1619.2</v>
      </c>
      <c r="AP232" s="33">
        <f>VLOOKUP($R232,武学奇术!$A:$ZZ,28,FALSE)</f>
        <v>5.4829</v>
      </c>
      <c r="AQ232" s="34">
        <f>VLOOKUP($R232,武学奇术!$A:$ZZ,29,FALSE)*(1+IF(OR($AM232=$F$4,$AM232=$F$5),$B$22,0))</f>
        <v>880</v>
      </c>
      <c r="AR232" s="33" cm="1">
        <f t="array" ref="AR232">$G$3+IFERROR(VLOOKUP($AM232,$F$4:$G$7,2,FALSE),0)+VLOOKUP($R232,武学奇术!$A:$ZZ,2,FALSE)+SUM(_xlfn.XLOOKUP($S232:$AL232,增益!$A:$A,增益!$B:$B,0))</f>
        <v>0.6289</v>
      </c>
      <c r="AS232" s="33" cm="1">
        <f t="array" ref="AS232">VLOOKUP($R232,武学奇术!$A:$ZZ,5,FALSE)+SUM(_xlfn.XLOOKUP($S232:$AL232,增益!$A:$A,增益!$E:$E,0))</f>
        <v>0</v>
      </c>
      <c r="AT232" cm="1">
        <f t="array" ref="AT232">$D$10*(1+$AS232)+VLOOKUP($R232,武学奇术!$A:$ZZ,3,FALSE)+SUM(_xlfn.XLOOKUP($S232:$AL232,增益!$A:$A,增益!$C:$C,0))-$I$2</f>
        <v>4026</v>
      </c>
      <c r="AU232" cm="1">
        <f t="array" ref="AU232">$E$10*(1+$AS232)+VLOOKUP($R232,武学奇术!$A:$ZZ,4,FALSE)+SUM(_xlfn.XLOOKUP($S232:$AL232,增益!$A:$A,增益!$D:$D,0))-$I$2</f>
        <v>4026</v>
      </c>
      <c r="AV232" s="40" cm="1">
        <f t="array" ref="AV232">IF($F$10-$I$3+VLOOKUP($R232,武学奇术!$A:$ZZ,6,FALSE)+SUM(_xlfn.XLOOKUP($S232:$AL232,增益!$A:$A,增益!$F:$F,0))&gt;0,($F$10-$I$3+VLOOKUP($R232,武学奇术!$A:$ZZ,6,FALSE)+SUM(_xlfn.XLOOKUP($S232:$AL232,增益!$A:$A,增益!$F:$F,0)))/200,($F$10-$I$3+VLOOKUP($R232,武学奇术!$A:$ZZ,6,FALSE)+SUM(_xlfn.XLOOKUP($S232:$AL232,增益!$A:$A,增益!$F:$F,0)))/100)</f>
        <v>0.3534</v>
      </c>
      <c r="AW232" s="40" cm="1">
        <f t="array" ref="AW232">$G$10+VLOOKUP($R232,武学奇术!$A:$ZZ,7,FALSE)+SUM(_xlfn.XLOOKUP($S232:$AL232,增益!$A:$A,增益!$G:$G,0))</f>
        <v>0.12</v>
      </c>
      <c r="AX232" s="33" cm="1">
        <f t="array" ref="AX232">VLOOKUP($R232,武学奇术!$A:$ZZ,8,FALSE)+SUM(_xlfn.XLOOKUP($S232:$AL232,增益!$A:$A,增益!$H:$H,0))</f>
        <v>0</v>
      </c>
      <c r="AY232">
        <f t="shared" si="50"/>
        <v>0</v>
      </c>
      <c r="AZ232">
        <f t="shared" si="51"/>
        <v>0</v>
      </c>
      <c r="BA232" s="40" cm="1">
        <f t="array" ref="BA232">IF($F$11-$I$4+VLOOKUP($R232,武学奇术!$A:$ZZ,9,FALSE)+SUM(_xlfn.XLOOKUP($S232:$AL232,增益!$A:$A,增益!$I:$I,0))&gt;0,($F$11-$I$4+VLOOKUP($R232,武学奇术!$A:$ZZ,9,FALSE)+SUM(_xlfn.XLOOKUP($S232:$AL232,增益!$A:$A,增益!$I:$I,0)))/200,($F$11-$I$4+VLOOKUP($R232,武学奇术!$A:$ZZ,9,FALSE)+SUM(_xlfn.XLOOKUP($S232:$AL232,增益!$A:$A,增益!$I:$I,0)))/100)</f>
        <v>-0.14</v>
      </c>
      <c r="BB232" s="40" cm="1">
        <f t="array" ref="BB232">$G$11+VLOOKUP($R232,武学奇术!$A:$ZZ,10,FALSE)+SUM(_xlfn.XLOOKUP($S232:$AL232,增益!$A:$A,增益!$J:$J,0))</f>
        <v>0</v>
      </c>
      <c r="BC232">
        <f t="shared" si="52"/>
        <v>640.3</v>
      </c>
      <c r="BD232">
        <f t="shared" si="53"/>
        <v>1770.1</v>
      </c>
      <c r="BE232" s="40" cm="1">
        <f t="array" ref="BE232">IF($F$12-$I$4+VLOOKUP($R232,武学奇术!$A:$ZZ,11,FALSE)+SUM(_xlfn.XLOOKUP($S232:$AL232,增益!$A:$A,增益!$K:$K,0))&gt;0,($F$12-$I$4+VLOOKUP($R232,武学奇术!$A:$ZZ,11,FALSE)+SUM(_xlfn.XLOOKUP($S232:$AL232,增益!$A:$A,增益!$K:$K,0)))/200,($F$12-$I$4+VLOOKUP($R232,武学奇术!$A:$ZZ,11,FALSE)+SUM(_xlfn.XLOOKUP($S232:$AL232,增益!$A:$A,增益!$K:$K,0)))/100)</f>
        <v>0.17</v>
      </c>
      <c r="BF232" s="40" cm="1">
        <f t="array" ref="BF232">$G$12+VLOOKUP($R232,武学奇术!$A:$ZZ,12,FALSE)+SUM(_xlfn.XLOOKUP($S232:$AL232,增益!$A:$A,增益!$L:$L,0))</f>
        <v>0.27</v>
      </c>
      <c r="BG232">
        <f t="shared" si="54"/>
        <v>0</v>
      </c>
      <c r="BH232">
        <f t="shared" si="55"/>
        <v>0</v>
      </c>
      <c r="BI232" s="40" cm="1">
        <f t="array" ref="BI232">IF($F$13-$I$4+VLOOKUP($R232,武学奇术!$A:$ZZ,13,FALSE)+SUM(_xlfn.XLOOKUP($S232:$AL232,增益!$A:$A,增益!$M:$M,0))&gt;0,($F$13-$I$4+VLOOKUP($R232,武学奇术!$A:$ZZ,13,FALSE)+SUM(_xlfn.XLOOKUP($S232:$AL232,增益!$A:$A,增益!$K:$K,0)))/200,($F$13-$I$4+VLOOKUP($R232,武学奇术!$A:$ZZ,13,FALSE)+SUM(_xlfn.XLOOKUP($S232:$AL232,增益!$A:$A,增益!$M:$M,0)))/100)</f>
        <v>-0.14</v>
      </c>
      <c r="BJ232" s="40" cm="1">
        <f t="array" ref="BJ232">$G$13+VLOOKUP($R232,武学奇术!$A:$ZZ,14,FALSE)+SUM(_xlfn.XLOOKUP($S232:$AL232,增益!$A:$A,增益!$N:$N,0))</f>
        <v>0</v>
      </c>
      <c r="BK232">
        <f t="shared" si="56"/>
        <v>0</v>
      </c>
      <c r="BL232">
        <f t="shared" si="57"/>
        <v>0</v>
      </c>
      <c r="BM232" s="40" cm="1">
        <f t="array" ref="BM232">IF($F$14-$I$4+VLOOKUP($R232,武学奇术!$A:$ZZ,15,FALSE)+SUM(_xlfn.XLOOKUP($S232:$AL232,增益!$A:$A,增益!$O:$O,0))&gt;0,($F$14-$I$4+VLOOKUP($R232,武学奇术!$A:$ZZ,15,FALSE)+SUM(_xlfn.XLOOKUP($S232:$AL232,增益!$A:$A,增益!$O:$O,0)))/200,($F$14-$I$4+VLOOKUP($R232,武学奇术!$A:$ZZ,15,FALSE)+SUM(_xlfn.XLOOKUP($S232:$AL232,增益!$A:$A,增益!$O:$O,0)))/100)</f>
        <v>-0.14</v>
      </c>
      <c r="BN232" s="40" cm="1">
        <f t="array" ref="BN232">$G$14+VLOOKUP($R232,武学奇术!$A:$ZZ,16,FALSE)+SUM(_xlfn.XLOOKUP($S232:$AL232,增益!$A:$A,增益!$P:$P,0))</f>
        <v>0</v>
      </c>
      <c r="BO232" s="33">
        <f>MIN(IF(VLOOKUP($R232,武学奇术!$A:$ZZ,23,FALSE)=1,100%,$B$8),100%)</f>
        <v>0.9771</v>
      </c>
      <c r="BP232" s="33" cm="1">
        <f t="array" ref="BP232">IF(VLOOKUP($R232,武学奇术!$A:$ZZ,23,FALSE)=1,100%,MIN(80%,$B$9+VLOOKUP($R232,武学奇术!$A:$ZZ,17,FALSE)+SUM(_xlfn.XLOOKUP($S232:$AL232,增益!$A:$A,增益!$Q:$Q,0)))+$B$11+SUM(_xlfn.XLOOKUP($S232:$AL232,增益!$A:$A,增益!$U:$U,0)))*IF(VLOOKUP($R232,武学奇术!$A:$ZZ,24,FALSE)=1,0,1)</f>
        <v>0.8861</v>
      </c>
      <c r="BQ232" s="33" cm="1">
        <f t="array" ref="BQ232">1+$B$13+VLOOKUP($R232,武学奇术!$A:$ZZ,18,FALSE)+SUM(_xlfn.XLOOKUP($S232:$AL232,增益!$A:$A,增益!$R:$R,0))</f>
        <v>2</v>
      </c>
      <c r="BR232" s="33" cm="1">
        <f t="array" ref="BR232">IF(VLOOKUP($R232,武学奇术!$A:$ZZ,24,FALSE)=1,100%,MIN(40%,$B$10+VLOOKUP($R232,武学奇术!$A:$ZZ,19,FALSE)+SUM(_xlfn.XLOOKUP($S232:$AL232,增益!$A:$A,增益!$S:$S,0)))+$B$12+SUM(_xlfn.XLOOKUP($S232:$AL232,增益!$A:$A,增益!$V:$V,0)))*IF(VLOOKUP($R232,武学奇术!$A:$ZZ,23,FALSE)=1,0,1)</f>
        <v>0.0913</v>
      </c>
      <c r="BS232" s="33" cm="1">
        <f t="array" ref="BS232">1+$B$14+VLOOKUP($R232,武学奇术!$A:$ZZ,20,FALSE)+SUM(_xlfn.XLOOKUP($S232:$AL232,增益!$A:$A,增益!$T:$T,0))</f>
        <v>1.35</v>
      </c>
      <c r="BT232" s="33">
        <f t="shared" si="58"/>
        <v>0.86580831</v>
      </c>
      <c r="BU232" s="33">
        <f t="shared" si="59"/>
        <v>0.02208246</v>
      </c>
      <c r="BV232" s="33">
        <f>IF(VLOOKUP($R232,武学奇术!$A:$ZZ,22,FALSE)=1,0,(1-$BO232))*(1-$BR232)</f>
        <v>0.02080923</v>
      </c>
      <c r="BW232" s="33" cm="1">
        <f t="array" ref="BW232">SUM(_xlfn.XLOOKUP($S232:$AL232,增益!$A:$A,增益!$W:$W,0))+$I$5</f>
        <v>0.11</v>
      </c>
      <c r="BX232" s="33" cm="1">
        <f t="array" ref="BX232">VLOOKUP($R232,武学奇术!$A:$ZZ,32,FALSE)+SUM(_xlfn.XLOOKUP($S232:$AL232,增益!$A:$A,增益!$X:$X,0))</f>
        <v>0</v>
      </c>
    </row>
    <row r="233" spans="12:76">
      <c r="L233" s="46">
        <f t="shared" si="49"/>
        <v>0</v>
      </c>
      <c r="M233" s="46">
        <f>((($AT233+$AU233)/2*$AN233+$AO233)*(1+$AV233)*(1+$AW233)+(($AY233+$AZ233)/2*IF($G$1="鸣金",$AP233,$AN233)+IF($G$1="鸣金",$AQ233*1.5,0))*(1+$BA233)*(1+$BB233)+(($BC233+$BD233)/2*IF($G$1="裂石",$AP233,$AN233)+IF($G$1="裂石",$AQ233*1.5,0))*(1+$BE233)*(1+$BF233)+(($BG233+$BH233)/2*IF($G$1="牵丝",$AP233,$AN233)+IF($G$1="牵丝",$AQ233*1.5,0))*(1+$BI233)*(1+$BJ233)+(($BK233+$BL233)/2*IF($G$1="破竹",$AP233,$AN233)+IF($G$1="破竹",$AQ233*1.5,0))*(1+$BM233)*(1+$BN233))*(1+$AR233)*$BQ233*$Q233*(1+IF(VLOOKUP($R233,武学奇术!$A:$ZZ,30,FALSE)="蓄力技",$B$21,0))*(1+IF(VLOOKUP($R233,武学奇术!$A:$ZZ,30,FALSE)="派生技",$B$20,0))*(1+$BW233)*(1+$BX233)</f>
        <v>0</v>
      </c>
      <c r="N233" s="46">
        <f>(($AU233*$AN233+$AO233)*(1+$AV233)*(1+$AW233)+($AZ233*IF($G$1="鸣金",$AP233,$AN233)+IF($G$1="鸣金",$AQ233*1.5,0))*(1+$BA233)*(1+$BB233)+($BD233*IF($G$1="裂石",$AP233,$AN233)+IF($G$1="裂石",$AQ233*1.5,0))*(1+$BE233)*(1+$BF233)+($BH233*IF($G$1="牵丝",$AP233,$AN233)+IF($G$1="牵丝",$AQ233*1.5,0))*(1+$BI233)*(1+$BJ233)+($BL233*IF($G$1="破竹",$AP233,$AN233)+IF($G$1="破竹",$AQ233*1.5,0))*(1+$BM233)*(1+$BN233))*(1+$AR233)*$BS233*$Q233*(1+IF(VLOOKUP($R233,武学奇术!$A:$ZZ,30,FALSE)="蓄力技",$B$21,0))*(1+IF(VLOOKUP($R233,武学奇术!$A:$ZZ,30,FALSE)="派生技",$B$20,0))*(1+$BW233)*(1+$BX233)</f>
        <v>0</v>
      </c>
      <c r="O233" s="46">
        <f>((($AT233+$AU233)/2*$AN233+$AO233)*(1+$AV233)*(1+$AW233)+(($AY233+$AZ233)/2*IF($G$1="鸣金",$AP233,$AN233)+IF($G$1="鸣金",$AQ233*1.5,0))*(1+$BA233)*(1+$BB233)+(($BC233+$BD233)/2*IF($G$1="裂石",$AP233,$AN233)+IF($G$1="裂石",$AQ233*1.5,0))*(1+$BE233)*(1+$BF233)+(($BG233+$BH233)/2*IF($G$1="牵丝",$AP233,$AN233)+IF($G$1="牵丝",$AQ233*1.5,0))*(1+$BI233)*(1+$BJ233)+(($BK233+$BL233)/2*IF($G$1="破竹",$AP233,$AN233)+IF($G$1="破竹",$AQ233*1.5,0))*(1+$BM233)*(1+$BN233))*(1+$AR233)*$Q233*(1+IF(VLOOKUP($R233,武学奇术!$A:$ZZ,30,FALSE)="蓄力技",$B$21,0))*(1+IF(VLOOKUP($R233,武学奇术!$A:$ZZ,30,FALSE)="派生技",$B$20,0))*(1+$BW233)*(1+$BX233)</f>
        <v>0</v>
      </c>
      <c r="P233" s="46">
        <f>((($AT233*$AN233+$AO233)*(1+$AV233)*(1+$AW233)+($AY233*IF($G$1="鸣金",$AP233,$AN233)+IF($G$1="鸣金",$AQ233*1.5,0))*(1+$BA233)*(1+$BB233)+($BC233*IF($G$1="裂石",$AP233,$AN233)+IF($G$1="裂石",$AQ233*1.5,0))*(1+$BE233)*(1+$BF233)+($BG233*IF($G$1="牵丝",$AP233,$AN233)+IF($G$1="牵丝",$AQ233*1.5,0))*(1+$BI233)*(1+$BJ233)+($BK233*IF($G$1="破竹",$AP233,$AN233)+IF($G$1="破竹",$AQ233*1.5,0))*(1+$BM233)*(1+$BN233))*(1+$AR233))*$Q233*(1+IF(VLOOKUP($R233,武学奇术!$A:$ZZ,30,FALSE)="蓄力技",$B$21,0))*(1+IF(VLOOKUP($R233,武学奇术!$A:$ZZ,30,FALSE)="派生技",$B$20,0))*(1+$BW233)*(1+$BX233)</f>
        <v>0</v>
      </c>
      <c r="Q233" s="47">
        <f t="shared" si="61"/>
        <v>0</v>
      </c>
      <c r="R233" s="48" t="s">
        <v>196</v>
      </c>
      <c r="S233" s="48" t="s">
        <v>99</v>
      </c>
      <c r="T233" s="48" t="s">
        <v>182</v>
      </c>
      <c r="U233" s="48" t="s">
        <v>79</v>
      </c>
      <c r="V233" s="48" t="s">
        <v>90</v>
      </c>
      <c r="W233" s="48" t="s">
        <v>141</v>
      </c>
      <c r="X233" s="48" t="s">
        <v>80</v>
      </c>
      <c r="Y233" s="48" t="s">
        <v>74</v>
      </c>
      <c r="Z233" s="48" t="s">
        <v>80</v>
      </c>
      <c r="AA233" s="48" t="s">
        <v>80</v>
      </c>
      <c r="AB233" s="48" t="s">
        <v>80</v>
      </c>
      <c r="AC233" s="48" t="s">
        <v>80</v>
      </c>
      <c r="AD233" s="48" t="s">
        <v>80</v>
      </c>
      <c r="AE233" s="48" t="s">
        <v>80</v>
      </c>
      <c r="AF233" s="48" t="s">
        <v>83</v>
      </c>
      <c r="AG233" s="48" t="s">
        <v>84</v>
      </c>
      <c r="AH233" s="48" t="s">
        <v>80</v>
      </c>
      <c r="AI233" s="48" t="s">
        <v>80</v>
      </c>
      <c r="AJ233" s="48" t="s">
        <v>80</v>
      </c>
      <c r="AK233" s="48" t="s">
        <v>80</v>
      </c>
      <c r="AL233" s="48" t="s">
        <v>80</v>
      </c>
      <c r="AM233" t="str">
        <f>VLOOKUP($R233,武学奇术!$A:$ZZ,25,FALSE)</f>
        <v>横刀</v>
      </c>
      <c r="AN233" s="33">
        <f>VLOOKUP($R233,武学奇术!$A:$ZZ,26,FALSE)</f>
        <v>1.47</v>
      </c>
      <c r="AO233" s="34">
        <f>VLOOKUP($R233,武学奇术!$A:$ZZ,27,FALSE)*(1+IF(OR($AM233=$F$4,$AM233=$F$5),$B$22,0))</f>
        <v>0</v>
      </c>
      <c r="AP233" s="33">
        <f>VLOOKUP($R233,武学奇术!$A:$ZZ,28,FALSE)</f>
        <v>2.205</v>
      </c>
      <c r="AQ233" s="34">
        <f>VLOOKUP($R233,武学奇术!$A:$ZZ,29,FALSE)*(1+IF(OR($AM233=$F$4,$AM233=$F$5),$B$22,0))</f>
        <v>0</v>
      </c>
      <c r="AR233" s="33" cm="1">
        <f t="array" ref="AR233">$G$3+IFERROR(VLOOKUP($AM233,$F$4:$G$7,2,FALSE),0)+VLOOKUP($R233,武学奇术!$A:$ZZ,2,FALSE)+SUM(_xlfn.XLOOKUP($S233:$AL233,增益!$A:$A,增益!$B:$B,0))</f>
        <v>0.5289</v>
      </c>
      <c r="AS233" s="33" cm="1">
        <f t="array" ref="AS233">VLOOKUP($R233,武学奇术!$A:$ZZ,5,FALSE)+SUM(_xlfn.XLOOKUP($S233:$AL233,增益!$A:$A,增益!$E:$E,0))</f>
        <v>0</v>
      </c>
      <c r="AT233" cm="1">
        <f t="array" ref="AT233">$D$10*(1+$AS233)+VLOOKUP($R233,武学奇术!$A:$ZZ,3,FALSE)+SUM(_xlfn.XLOOKUP($S233:$AL233,增益!$A:$A,增益!$C:$C,0))-$I$2</f>
        <v>4026</v>
      </c>
      <c r="AU233" cm="1">
        <f t="array" ref="AU233">$E$10*(1+$AS233)+VLOOKUP($R233,武学奇术!$A:$ZZ,4,FALSE)+SUM(_xlfn.XLOOKUP($S233:$AL233,增益!$A:$A,增益!$D:$D,0))-$I$2</f>
        <v>4026</v>
      </c>
      <c r="AV233" s="40" cm="1">
        <f t="array" ref="AV233">IF($F$10-$I$3+VLOOKUP($R233,武学奇术!$A:$ZZ,6,FALSE)+SUM(_xlfn.XLOOKUP($S233:$AL233,增益!$A:$A,增益!$F:$F,0))&gt;0,($F$10-$I$3+VLOOKUP($R233,武学奇术!$A:$ZZ,6,FALSE)+SUM(_xlfn.XLOOKUP($S233:$AL233,增益!$A:$A,增益!$F:$F,0)))/200,($F$10-$I$3+VLOOKUP($R233,武学奇术!$A:$ZZ,6,FALSE)+SUM(_xlfn.XLOOKUP($S233:$AL233,增益!$A:$A,增益!$F:$F,0)))/100)</f>
        <v>0.3534</v>
      </c>
      <c r="AW233" s="40" cm="1">
        <f t="array" ref="AW233">$G$10+VLOOKUP($R233,武学奇术!$A:$ZZ,7,FALSE)+SUM(_xlfn.XLOOKUP($S233:$AL233,增益!$A:$A,增益!$G:$G,0))</f>
        <v>0.12</v>
      </c>
      <c r="AX233" s="33" cm="1">
        <f t="array" ref="AX233">VLOOKUP($R233,武学奇术!$A:$ZZ,8,FALSE)+SUM(_xlfn.XLOOKUP($S233:$AL233,增益!$A:$A,增益!$H:$H,0))</f>
        <v>0</v>
      </c>
      <c r="AY233">
        <f t="shared" si="50"/>
        <v>0</v>
      </c>
      <c r="AZ233">
        <f t="shared" si="51"/>
        <v>0</v>
      </c>
      <c r="BA233" s="40" cm="1">
        <f t="array" ref="BA233">IF($F$11-$I$4+VLOOKUP($R233,武学奇术!$A:$ZZ,9,FALSE)+SUM(_xlfn.XLOOKUP($S233:$AL233,增益!$A:$A,增益!$I:$I,0))&gt;0,($F$11-$I$4+VLOOKUP($R233,武学奇术!$A:$ZZ,9,FALSE)+SUM(_xlfn.XLOOKUP($S233:$AL233,增益!$A:$A,增益!$I:$I,0)))/200,($F$11-$I$4+VLOOKUP($R233,武学奇术!$A:$ZZ,9,FALSE)+SUM(_xlfn.XLOOKUP($S233:$AL233,增益!$A:$A,增益!$I:$I,0)))/100)</f>
        <v>-0.14</v>
      </c>
      <c r="BB233" s="40" cm="1">
        <f t="array" ref="BB233">$G$11+VLOOKUP($R233,武学奇术!$A:$ZZ,10,FALSE)+SUM(_xlfn.XLOOKUP($S233:$AL233,增益!$A:$A,增益!$J:$J,0))</f>
        <v>0</v>
      </c>
      <c r="BC233">
        <f t="shared" si="52"/>
        <v>640.3</v>
      </c>
      <c r="BD233">
        <f t="shared" si="53"/>
        <v>1770.1</v>
      </c>
      <c r="BE233" s="40" cm="1">
        <f t="array" ref="BE233">IF($F$12-$I$4+VLOOKUP($R233,武学奇术!$A:$ZZ,11,FALSE)+SUM(_xlfn.XLOOKUP($S233:$AL233,增益!$A:$A,增益!$K:$K,0))&gt;0,($F$12-$I$4+VLOOKUP($R233,武学奇术!$A:$ZZ,11,FALSE)+SUM(_xlfn.XLOOKUP($S233:$AL233,增益!$A:$A,增益!$K:$K,0)))/200,($F$12-$I$4+VLOOKUP($R233,武学奇术!$A:$ZZ,11,FALSE)+SUM(_xlfn.XLOOKUP($S233:$AL233,增益!$A:$A,增益!$K:$K,0)))/100)</f>
        <v>0.17</v>
      </c>
      <c r="BF233" s="40" cm="1">
        <f t="array" ref="BF233">$G$12+VLOOKUP($R233,武学奇术!$A:$ZZ,12,FALSE)+SUM(_xlfn.XLOOKUP($S233:$AL233,增益!$A:$A,增益!$L:$L,0))</f>
        <v>0.27</v>
      </c>
      <c r="BG233">
        <f t="shared" si="54"/>
        <v>0</v>
      </c>
      <c r="BH233">
        <f t="shared" si="55"/>
        <v>0</v>
      </c>
      <c r="BI233" s="40" cm="1">
        <f t="array" ref="BI233">IF($F$13-$I$4+VLOOKUP($R233,武学奇术!$A:$ZZ,13,FALSE)+SUM(_xlfn.XLOOKUP($S233:$AL233,增益!$A:$A,增益!$M:$M,0))&gt;0,($F$13-$I$4+VLOOKUP($R233,武学奇术!$A:$ZZ,13,FALSE)+SUM(_xlfn.XLOOKUP($S233:$AL233,增益!$A:$A,增益!$K:$K,0)))/200,($F$13-$I$4+VLOOKUP($R233,武学奇术!$A:$ZZ,13,FALSE)+SUM(_xlfn.XLOOKUP($S233:$AL233,增益!$A:$A,增益!$M:$M,0)))/100)</f>
        <v>-0.14</v>
      </c>
      <c r="BJ233" s="40" cm="1">
        <f t="array" ref="BJ233">$G$13+VLOOKUP($R233,武学奇术!$A:$ZZ,14,FALSE)+SUM(_xlfn.XLOOKUP($S233:$AL233,增益!$A:$A,增益!$N:$N,0))</f>
        <v>0</v>
      </c>
      <c r="BK233">
        <f t="shared" si="56"/>
        <v>0</v>
      </c>
      <c r="BL233">
        <f t="shared" si="57"/>
        <v>0</v>
      </c>
      <c r="BM233" s="40" cm="1">
        <f t="array" ref="BM233">IF($F$14-$I$4+VLOOKUP($R233,武学奇术!$A:$ZZ,15,FALSE)+SUM(_xlfn.XLOOKUP($S233:$AL233,增益!$A:$A,增益!$O:$O,0))&gt;0,($F$14-$I$4+VLOOKUP($R233,武学奇术!$A:$ZZ,15,FALSE)+SUM(_xlfn.XLOOKUP($S233:$AL233,增益!$A:$A,增益!$O:$O,0)))/200,($F$14-$I$4+VLOOKUP($R233,武学奇术!$A:$ZZ,15,FALSE)+SUM(_xlfn.XLOOKUP($S233:$AL233,增益!$A:$A,增益!$O:$O,0)))/100)</f>
        <v>-0.14</v>
      </c>
      <c r="BN233" s="40" cm="1">
        <f t="array" ref="BN233">$G$14+VLOOKUP($R233,武学奇术!$A:$ZZ,16,FALSE)+SUM(_xlfn.XLOOKUP($S233:$AL233,增益!$A:$A,增益!$P:$P,0))</f>
        <v>0</v>
      </c>
      <c r="BO233" s="33">
        <f>MIN(IF(VLOOKUP($R233,武学奇术!$A:$ZZ,23,FALSE)=1,100%,$B$8),100%)</f>
        <v>0.9771</v>
      </c>
      <c r="BP233" s="33" cm="1">
        <f t="array" ref="BP233">IF(VLOOKUP($R233,武学奇术!$A:$ZZ,23,FALSE)=1,100%,MIN(80%,$B$9+VLOOKUP($R233,武学奇术!$A:$ZZ,17,FALSE)+SUM(_xlfn.XLOOKUP($S233:$AL233,增益!$A:$A,增益!$Q:$Q,0)))+$B$11+SUM(_xlfn.XLOOKUP($S233:$AL233,增益!$A:$A,增益!$U:$U,0)))*IF(VLOOKUP($R233,武学奇术!$A:$ZZ,24,FALSE)=1,0,1)</f>
        <v>0.8861</v>
      </c>
      <c r="BQ233" s="33" cm="1">
        <f t="array" ref="BQ233">1+$B$13+VLOOKUP($R233,武学奇术!$A:$ZZ,18,FALSE)+SUM(_xlfn.XLOOKUP($S233:$AL233,增益!$A:$A,增益!$R:$R,0))</f>
        <v>2</v>
      </c>
      <c r="BR233" s="33" cm="1">
        <f t="array" ref="BR233">IF(VLOOKUP($R233,武学奇术!$A:$ZZ,24,FALSE)=1,100%,MIN(40%,$B$10+VLOOKUP($R233,武学奇术!$A:$ZZ,19,FALSE)+SUM(_xlfn.XLOOKUP($S233:$AL233,增益!$A:$A,增益!$S:$S,0)))+$B$12+SUM(_xlfn.XLOOKUP($S233:$AL233,增益!$A:$A,增益!$V:$V,0)))*IF(VLOOKUP($R233,武学奇术!$A:$ZZ,23,FALSE)=1,0,1)</f>
        <v>0.0913</v>
      </c>
      <c r="BS233" s="33" cm="1">
        <f t="array" ref="BS233">1+$B$14+VLOOKUP($R233,武学奇术!$A:$ZZ,20,FALSE)+SUM(_xlfn.XLOOKUP($S233:$AL233,增益!$A:$A,增益!$T:$T,0))</f>
        <v>1.35</v>
      </c>
      <c r="BT233" s="33">
        <f t="shared" si="58"/>
        <v>0.86580831</v>
      </c>
      <c r="BU233" s="33">
        <f t="shared" si="59"/>
        <v>0.02208246</v>
      </c>
      <c r="BV233" s="33">
        <f>IF(VLOOKUP($R233,武学奇术!$A:$ZZ,22,FALSE)=1,0,(1-$BO233))*(1-$BR233)</f>
        <v>0.02080923</v>
      </c>
      <c r="BW233" s="33" cm="1">
        <f t="array" ref="BW233">SUM(_xlfn.XLOOKUP($S233:$AL233,增益!$A:$A,增益!$W:$W,0))+$I$5</f>
        <v>0.11</v>
      </c>
      <c r="BX233" s="33" cm="1">
        <f t="array" ref="BX233">VLOOKUP($R233,武学奇术!$A:$ZZ,32,FALSE)+SUM(_xlfn.XLOOKUP($S233:$AL233,增益!$A:$A,增益!$X:$X,0))</f>
        <v>0.4</v>
      </c>
    </row>
    <row r="234" spans="12:76">
      <c r="L234" s="46">
        <f t="shared" si="49"/>
        <v>0</v>
      </c>
      <c r="M234" s="46">
        <f>((($AT234+$AU234)/2*$AN234+$AO234)*(1+$AV234)*(1+$AW234)+(($AY234+$AZ234)/2*IF($G$1="鸣金",$AP234,$AN234)+IF($G$1="鸣金",$AQ234*1.5,0))*(1+$BA234)*(1+$BB234)+(($BC234+$BD234)/2*IF($G$1="裂石",$AP234,$AN234)+IF($G$1="裂石",$AQ234*1.5,0))*(1+$BE234)*(1+$BF234)+(($BG234+$BH234)/2*IF($G$1="牵丝",$AP234,$AN234)+IF($G$1="牵丝",$AQ234*1.5,0))*(1+$BI234)*(1+$BJ234)+(($BK234+$BL234)/2*IF($G$1="破竹",$AP234,$AN234)+IF($G$1="破竹",$AQ234*1.5,0))*(1+$BM234)*(1+$BN234))*(1+$AR234)*$BQ234*$Q234*(1+IF(VLOOKUP($R234,武学奇术!$A:$ZZ,30,FALSE)="蓄力技",$B$21,0))*(1+IF(VLOOKUP($R234,武学奇术!$A:$ZZ,30,FALSE)="派生技",$B$20,0))*(1+$BW234)*(1+$BX234)</f>
        <v>0</v>
      </c>
      <c r="N234" s="46">
        <f>(($AU234*$AN234+$AO234)*(1+$AV234)*(1+$AW234)+($AZ234*IF($G$1="鸣金",$AP234,$AN234)+IF($G$1="鸣金",$AQ234*1.5,0))*(1+$BA234)*(1+$BB234)+($BD234*IF($G$1="裂石",$AP234,$AN234)+IF($G$1="裂石",$AQ234*1.5,0))*(1+$BE234)*(1+$BF234)+($BH234*IF($G$1="牵丝",$AP234,$AN234)+IF($G$1="牵丝",$AQ234*1.5,0))*(1+$BI234)*(1+$BJ234)+($BL234*IF($G$1="破竹",$AP234,$AN234)+IF($G$1="破竹",$AQ234*1.5,0))*(1+$BM234)*(1+$BN234))*(1+$AR234)*$BS234*$Q234*(1+IF(VLOOKUP($R234,武学奇术!$A:$ZZ,30,FALSE)="蓄力技",$B$21,0))*(1+IF(VLOOKUP($R234,武学奇术!$A:$ZZ,30,FALSE)="派生技",$B$20,0))*(1+$BW234)*(1+$BX234)</f>
        <v>0</v>
      </c>
      <c r="O234" s="46">
        <f>((($AT234+$AU234)/2*$AN234+$AO234)*(1+$AV234)*(1+$AW234)+(($AY234+$AZ234)/2*IF($G$1="鸣金",$AP234,$AN234)+IF($G$1="鸣金",$AQ234*1.5,0))*(1+$BA234)*(1+$BB234)+(($BC234+$BD234)/2*IF($G$1="裂石",$AP234,$AN234)+IF($G$1="裂石",$AQ234*1.5,0))*(1+$BE234)*(1+$BF234)+(($BG234+$BH234)/2*IF($G$1="牵丝",$AP234,$AN234)+IF($G$1="牵丝",$AQ234*1.5,0))*(1+$BI234)*(1+$BJ234)+(($BK234+$BL234)/2*IF($G$1="破竹",$AP234,$AN234)+IF($G$1="破竹",$AQ234*1.5,0))*(1+$BM234)*(1+$BN234))*(1+$AR234)*$Q234*(1+IF(VLOOKUP($R234,武学奇术!$A:$ZZ,30,FALSE)="蓄力技",$B$21,0))*(1+IF(VLOOKUP($R234,武学奇术!$A:$ZZ,30,FALSE)="派生技",$B$20,0))*(1+$BW234)*(1+$BX234)</f>
        <v>0</v>
      </c>
      <c r="P234" s="46">
        <f>((($AT234*$AN234+$AO234)*(1+$AV234)*(1+$AW234)+($AY234*IF($G$1="鸣金",$AP234,$AN234)+IF($G$1="鸣金",$AQ234*1.5,0))*(1+$BA234)*(1+$BB234)+($BC234*IF($G$1="裂石",$AP234,$AN234)+IF($G$1="裂石",$AQ234*1.5,0))*(1+$BE234)*(1+$BF234)+($BG234*IF($G$1="牵丝",$AP234,$AN234)+IF($G$1="牵丝",$AQ234*1.5,0))*(1+$BI234)*(1+$BJ234)+($BK234*IF($G$1="破竹",$AP234,$AN234)+IF($G$1="破竹",$AQ234*1.5,0))*(1+$BM234)*(1+$BN234))*(1+$AR234))*$Q234*(1+IF(VLOOKUP($R234,武学奇术!$A:$ZZ,30,FALSE)="蓄力技",$B$21,0))*(1+IF(VLOOKUP($R234,武学奇术!$A:$ZZ,30,FALSE)="派生技",$B$20,0))*(1+$BW234)*(1+$BX234)</f>
        <v>0</v>
      </c>
      <c r="Q234" s="47">
        <f t="shared" si="61"/>
        <v>0</v>
      </c>
      <c r="R234" s="48" t="s">
        <v>80</v>
      </c>
      <c r="S234" s="48" t="s">
        <v>80</v>
      </c>
      <c r="T234" s="48" t="s">
        <v>80</v>
      </c>
      <c r="U234" s="48" t="s">
        <v>80</v>
      </c>
      <c r="V234" s="48" t="s">
        <v>80</v>
      </c>
      <c r="W234" s="48" t="s">
        <v>80</v>
      </c>
      <c r="X234" s="48" t="s">
        <v>80</v>
      </c>
      <c r="Y234" s="48" t="s">
        <v>80</v>
      </c>
      <c r="Z234" s="48" t="s">
        <v>80</v>
      </c>
      <c r="AA234" s="48" t="s">
        <v>80</v>
      </c>
      <c r="AB234" s="48" t="s">
        <v>80</v>
      </c>
      <c r="AC234" s="48" t="s">
        <v>80</v>
      </c>
      <c r="AD234" s="48" t="s">
        <v>80</v>
      </c>
      <c r="AE234" s="48" t="s">
        <v>80</v>
      </c>
      <c r="AF234" s="48" t="s">
        <v>83</v>
      </c>
      <c r="AG234" s="48" t="s">
        <v>84</v>
      </c>
      <c r="AH234" s="48" t="s">
        <v>80</v>
      </c>
      <c r="AI234" s="48" t="s">
        <v>80</v>
      </c>
      <c r="AJ234" s="48" t="s">
        <v>80</v>
      </c>
      <c r="AK234" s="48" t="s">
        <v>80</v>
      </c>
      <c r="AL234" s="48" t="s">
        <v>80</v>
      </c>
      <c r="AM234" t="str">
        <f>VLOOKUP($R234,武学奇术!$A:$ZZ,25,FALSE)</f>
        <v>心法</v>
      </c>
      <c r="AN234" s="33">
        <f>VLOOKUP($R234,武学奇术!$A:$ZZ,26,FALSE)</f>
        <v>0</v>
      </c>
      <c r="AO234" s="34">
        <f>VLOOKUP($R234,武学奇术!$A:$ZZ,27,FALSE)*(1+IF(OR($AM234=$F$4,$AM234=$F$5),$B$22,0))</f>
        <v>0</v>
      </c>
      <c r="AP234" s="33">
        <f>VLOOKUP($R234,武学奇术!$A:$ZZ,28,FALSE)</f>
        <v>0</v>
      </c>
      <c r="AQ234" s="34">
        <f>VLOOKUP($R234,武学奇术!$A:$ZZ,29,FALSE)*(1+IF(OR($AM234=$F$4,$AM234=$F$5),$B$22,0))</f>
        <v>0</v>
      </c>
      <c r="AR234" s="33" cm="1">
        <f t="array" ref="AR234">$G$3+IFERROR(VLOOKUP($AM234,$F$4:$G$7,2,FALSE),0)+VLOOKUP($R234,武学奇术!$A:$ZZ,2,FALSE)+SUM(_xlfn.XLOOKUP($S234:$AL234,增益!$A:$A,增益!$B:$B,0))</f>
        <v>0.2342</v>
      </c>
      <c r="AS234" s="33" cm="1">
        <f t="array" ref="AS234">VLOOKUP($R234,武学奇术!$A:$ZZ,5,FALSE)+SUM(_xlfn.XLOOKUP($S234:$AL234,增益!$A:$A,增益!$E:$E,0))</f>
        <v>0</v>
      </c>
      <c r="AT234" cm="1">
        <f t="array" ref="AT234">$D$10*(1+$AS234)+VLOOKUP($R234,武学奇术!$A:$ZZ,3,FALSE)+SUM(_xlfn.XLOOKUP($S234:$AL234,增益!$A:$A,增益!$C:$C,0))-$I$2</f>
        <v>4026</v>
      </c>
      <c r="AU234" cm="1">
        <f t="array" ref="AU234">$E$10*(1+$AS234)+VLOOKUP($R234,武学奇术!$A:$ZZ,4,FALSE)+SUM(_xlfn.XLOOKUP($S234:$AL234,增益!$A:$A,增益!$D:$D,0))-$I$2</f>
        <v>4026</v>
      </c>
      <c r="AV234" s="40" cm="1">
        <f t="array" ref="AV234">IF($F$10-$I$3+VLOOKUP($R234,武学奇术!$A:$ZZ,6,FALSE)+SUM(_xlfn.XLOOKUP($S234:$AL234,增益!$A:$A,增益!$F:$F,0))&gt;0,($F$10-$I$3+VLOOKUP($R234,武学奇术!$A:$ZZ,6,FALSE)+SUM(_xlfn.XLOOKUP($S234:$AL234,增益!$A:$A,增益!$F:$F,0)))/200,($F$10-$I$3+VLOOKUP($R234,武学奇术!$A:$ZZ,6,FALSE)+SUM(_xlfn.XLOOKUP($S234:$AL234,增益!$A:$A,增益!$F:$F,0)))/100)</f>
        <v>0.2284</v>
      </c>
      <c r="AW234" s="40" cm="1">
        <f t="array" ref="AW234">$G$10+VLOOKUP($R234,武学奇术!$A:$ZZ,7,FALSE)+SUM(_xlfn.XLOOKUP($S234:$AL234,增益!$A:$A,增益!$G:$G,0))</f>
        <v>0</v>
      </c>
      <c r="AX234" s="33" cm="1">
        <f t="array" ref="AX234">VLOOKUP($R234,武学奇术!$A:$ZZ,8,FALSE)+SUM(_xlfn.XLOOKUP($S234:$AL234,增益!$A:$A,增益!$H:$H,0))</f>
        <v>0</v>
      </c>
      <c r="AY234">
        <f t="shared" si="50"/>
        <v>0</v>
      </c>
      <c r="AZ234">
        <f t="shared" si="51"/>
        <v>0</v>
      </c>
      <c r="BA234" s="40" cm="1">
        <f t="array" ref="BA234">IF($F$11-$I$4+VLOOKUP($R234,武学奇术!$A:$ZZ,9,FALSE)+SUM(_xlfn.XLOOKUP($S234:$AL234,增益!$A:$A,增益!$I:$I,0))&gt;0,($F$11-$I$4+VLOOKUP($R234,武学奇术!$A:$ZZ,9,FALSE)+SUM(_xlfn.XLOOKUP($S234:$AL234,增益!$A:$A,增益!$I:$I,0)))/200,($F$11-$I$4+VLOOKUP($R234,武学奇术!$A:$ZZ,9,FALSE)+SUM(_xlfn.XLOOKUP($S234:$AL234,增益!$A:$A,增益!$I:$I,0)))/100)</f>
        <v>-0.3</v>
      </c>
      <c r="BB234" s="40" cm="1">
        <f t="array" ref="BB234">$G$11+VLOOKUP($R234,武学奇术!$A:$ZZ,10,FALSE)+SUM(_xlfn.XLOOKUP($S234:$AL234,增益!$A:$A,增益!$J:$J,0))</f>
        <v>0</v>
      </c>
      <c r="BC234">
        <f t="shared" si="52"/>
        <v>640.3</v>
      </c>
      <c r="BD234">
        <f t="shared" si="53"/>
        <v>1770.1</v>
      </c>
      <c r="BE234" s="40" cm="1">
        <f t="array" ref="BE234">IF($F$12-$I$4+VLOOKUP($R234,武学奇术!$A:$ZZ,11,FALSE)+SUM(_xlfn.XLOOKUP($S234:$AL234,增益!$A:$A,增益!$K:$K,0))&gt;0,($F$12-$I$4+VLOOKUP($R234,武学奇术!$A:$ZZ,11,FALSE)+SUM(_xlfn.XLOOKUP($S234:$AL234,增益!$A:$A,增益!$K:$K,0)))/200,($F$12-$I$4+VLOOKUP($R234,武学奇术!$A:$ZZ,11,FALSE)+SUM(_xlfn.XLOOKUP($S234:$AL234,增益!$A:$A,增益!$K:$K,0)))/100)</f>
        <v>0.09</v>
      </c>
      <c r="BF234" s="40" cm="1">
        <f t="array" ref="BF234">$G$12+VLOOKUP($R234,武学奇术!$A:$ZZ,12,FALSE)+SUM(_xlfn.XLOOKUP($S234:$AL234,增益!$A:$A,增益!$L:$L,0))</f>
        <v>0.15</v>
      </c>
      <c r="BG234">
        <f t="shared" si="54"/>
        <v>0</v>
      </c>
      <c r="BH234">
        <f t="shared" si="55"/>
        <v>0</v>
      </c>
      <c r="BI234" s="40" cm="1">
        <f t="array" ref="BI234">IF($F$13-$I$4+VLOOKUP($R234,武学奇术!$A:$ZZ,13,FALSE)+SUM(_xlfn.XLOOKUP($S234:$AL234,增益!$A:$A,增益!$M:$M,0))&gt;0,($F$13-$I$4+VLOOKUP($R234,武学奇术!$A:$ZZ,13,FALSE)+SUM(_xlfn.XLOOKUP($S234:$AL234,增益!$A:$A,增益!$K:$K,0)))/200,($F$13-$I$4+VLOOKUP($R234,武学奇术!$A:$ZZ,13,FALSE)+SUM(_xlfn.XLOOKUP($S234:$AL234,增益!$A:$A,增益!$M:$M,0)))/100)</f>
        <v>-0.3</v>
      </c>
      <c r="BJ234" s="40" cm="1">
        <f t="array" ref="BJ234">$G$13+VLOOKUP($R234,武学奇术!$A:$ZZ,14,FALSE)+SUM(_xlfn.XLOOKUP($S234:$AL234,增益!$A:$A,增益!$N:$N,0))</f>
        <v>0</v>
      </c>
      <c r="BK234">
        <f t="shared" si="56"/>
        <v>0</v>
      </c>
      <c r="BL234">
        <f t="shared" si="57"/>
        <v>0</v>
      </c>
      <c r="BM234" s="40" cm="1">
        <f t="array" ref="BM234">IF($F$14-$I$4+VLOOKUP($R234,武学奇术!$A:$ZZ,15,FALSE)+SUM(_xlfn.XLOOKUP($S234:$AL234,增益!$A:$A,增益!$O:$O,0))&gt;0,($F$14-$I$4+VLOOKUP($R234,武学奇术!$A:$ZZ,15,FALSE)+SUM(_xlfn.XLOOKUP($S234:$AL234,增益!$A:$A,增益!$O:$O,0)))/200,($F$14-$I$4+VLOOKUP($R234,武学奇术!$A:$ZZ,15,FALSE)+SUM(_xlfn.XLOOKUP($S234:$AL234,增益!$A:$A,增益!$O:$O,0)))/100)</f>
        <v>-0.3</v>
      </c>
      <c r="BN234" s="40" cm="1">
        <f t="array" ref="BN234">$G$14+VLOOKUP($R234,武学奇术!$A:$ZZ,16,FALSE)+SUM(_xlfn.XLOOKUP($S234:$AL234,增益!$A:$A,增益!$P:$P,0))</f>
        <v>0</v>
      </c>
      <c r="BO234" s="33">
        <f>MIN(IF(VLOOKUP($R234,武学奇术!$A:$ZZ,23,FALSE)=1,100%,$B$8),100%)</f>
        <v>0.9771</v>
      </c>
      <c r="BP234" s="33" cm="1">
        <f t="array" ref="BP234">IF(VLOOKUP($R234,武学奇术!$A:$ZZ,23,FALSE)=1,100%,MIN(80%,$B$9+VLOOKUP($R234,武学奇术!$A:$ZZ,17,FALSE)+SUM(_xlfn.XLOOKUP($S234:$AL234,增益!$A:$A,增益!$Q:$Q,0)))+$B$11+SUM(_xlfn.XLOOKUP($S234:$AL234,增益!$A:$A,增益!$U:$U,0)))*IF(VLOOKUP($R234,武学奇术!$A:$ZZ,24,FALSE)=1,0,1)</f>
        <v>0.8861</v>
      </c>
      <c r="BQ234" s="33" cm="1">
        <f t="array" ref="BQ234">1+$B$13+VLOOKUP($R234,武学奇术!$A:$ZZ,18,FALSE)+SUM(_xlfn.XLOOKUP($S234:$AL234,增益!$A:$A,增益!$R:$R,0))</f>
        <v>1.54</v>
      </c>
      <c r="BR234" s="33" cm="1">
        <f t="array" ref="BR234">IF(VLOOKUP($R234,武学奇术!$A:$ZZ,24,FALSE)=1,100%,MIN(40%,$B$10+VLOOKUP($R234,武学奇术!$A:$ZZ,19,FALSE)+SUM(_xlfn.XLOOKUP($S234:$AL234,增益!$A:$A,增益!$S:$S,0)))+$B$12+SUM(_xlfn.XLOOKUP($S234:$AL234,增益!$A:$A,增益!$V:$V,0)))*IF(VLOOKUP($R234,武学奇术!$A:$ZZ,23,FALSE)=1,0,1)</f>
        <v>0.0913</v>
      </c>
      <c r="BS234" s="33" cm="1">
        <f t="array" ref="BS234">1+$B$14+VLOOKUP($R234,武学奇术!$A:$ZZ,20,FALSE)+SUM(_xlfn.XLOOKUP($S234:$AL234,增益!$A:$A,增益!$T:$T,0))</f>
        <v>1.35</v>
      </c>
      <c r="BT234" s="33">
        <f t="shared" si="58"/>
        <v>0.86580831</v>
      </c>
      <c r="BU234" s="33">
        <f t="shared" si="59"/>
        <v>0.02208246</v>
      </c>
      <c r="BV234" s="33">
        <f>IF(VLOOKUP($R234,武学奇术!$A:$ZZ,22,FALSE)=1,0,(1-$BO234))*(1-$BR234)</f>
        <v>0.02080923</v>
      </c>
      <c r="BW234" s="33" cm="1">
        <f t="array" ref="BW234">SUM(_xlfn.XLOOKUP($S234:$AL234,增益!$A:$A,增益!$W:$W,0))+$I$5</f>
        <v>0.11</v>
      </c>
      <c r="BX234" s="33" cm="1">
        <f t="array" ref="BX234">VLOOKUP($R234,武学奇术!$A:$ZZ,32,FALSE)+SUM(_xlfn.XLOOKUP($S234:$AL234,增益!$A:$A,增益!$X:$X,0))</f>
        <v>0</v>
      </c>
    </row>
    <row r="235" spans="12:76">
      <c r="L235" s="46">
        <f t="shared" si="49"/>
        <v>0</v>
      </c>
      <c r="M235" s="46">
        <f>((($AT235+$AU235)/2*$AN235+$AO235)*(1+$AV235)*(1+$AW235)+(($AY235+$AZ235)/2*IF($G$1="鸣金",$AP235,$AN235)+IF($G$1="鸣金",$AQ235*1.5,0))*(1+$BA235)*(1+$BB235)+(($BC235+$BD235)/2*IF($G$1="裂石",$AP235,$AN235)+IF($G$1="裂石",$AQ235*1.5,0))*(1+$BE235)*(1+$BF235)+(($BG235+$BH235)/2*IF($G$1="牵丝",$AP235,$AN235)+IF($G$1="牵丝",$AQ235*1.5,0))*(1+$BI235)*(1+$BJ235)+(($BK235+$BL235)/2*IF($G$1="破竹",$AP235,$AN235)+IF($G$1="破竹",$AQ235*1.5,0))*(1+$BM235)*(1+$BN235))*(1+$AR235)*$BQ235*$Q235*(1+IF(VLOOKUP($R235,武学奇术!$A:$ZZ,30,FALSE)="蓄力技",$B$21,0))*(1+IF(VLOOKUP($R235,武学奇术!$A:$ZZ,30,FALSE)="派生技",$B$20,0))*(1+$BW235)*(1+$BX235)</f>
        <v>0</v>
      </c>
      <c r="N235" s="46">
        <f>(($AU235*$AN235+$AO235)*(1+$AV235)*(1+$AW235)+($AZ235*IF($G$1="鸣金",$AP235,$AN235)+IF($G$1="鸣金",$AQ235*1.5,0))*(1+$BA235)*(1+$BB235)+($BD235*IF($G$1="裂石",$AP235,$AN235)+IF($G$1="裂石",$AQ235*1.5,0))*(1+$BE235)*(1+$BF235)+($BH235*IF($G$1="牵丝",$AP235,$AN235)+IF($G$1="牵丝",$AQ235*1.5,0))*(1+$BI235)*(1+$BJ235)+($BL235*IF($G$1="破竹",$AP235,$AN235)+IF($G$1="破竹",$AQ235*1.5,0))*(1+$BM235)*(1+$BN235))*(1+$AR235)*$BS235*$Q235*(1+IF(VLOOKUP($R235,武学奇术!$A:$ZZ,30,FALSE)="蓄力技",$B$21,0))*(1+IF(VLOOKUP($R235,武学奇术!$A:$ZZ,30,FALSE)="派生技",$B$20,0))*(1+$BW235)*(1+$BX235)</f>
        <v>0</v>
      </c>
      <c r="O235" s="46">
        <f>((($AT235+$AU235)/2*$AN235+$AO235)*(1+$AV235)*(1+$AW235)+(($AY235+$AZ235)/2*IF($G$1="鸣金",$AP235,$AN235)+IF($G$1="鸣金",$AQ235*1.5,0))*(1+$BA235)*(1+$BB235)+(($BC235+$BD235)/2*IF($G$1="裂石",$AP235,$AN235)+IF($G$1="裂石",$AQ235*1.5,0))*(1+$BE235)*(1+$BF235)+(($BG235+$BH235)/2*IF($G$1="牵丝",$AP235,$AN235)+IF($G$1="牵丝",$AQ235*1.5,0))*(1+$BI235)*(1+$BJ235)+(($BK235+$BL235)/2*IF($G$1="破竹",$AP235,$AN235)+IF($G$1="破竹",$AQ235*1.5,0))*(1+$BM235)*(1+$BN235))*(1+$AR235)*$Q235*(1+IF(VLOOKUP($R235,武学奇术!$A:$ZZ,30,FALSE)="蓄力技",$B$21,0))*(1+IF(VLOOKUP($R235,武学奇术!$A:$ZZ,30,FALSE)="派生技",$B$20,0))*(1+$BW235)*(1+$BX235)</f>
        <v>0</v>
      </c>
      <c r="P235" s="46">
        <f>((($AT235*$AN235+$AO235)*(1+$AV235)*(1+$AW235)+($AY235*IF($G$1="鸣金",$AP235,$AN235)+IF($G$1="鸣金",$AQ235*1.5,0))*(1+$BA235)*(1+$BB235)+($BC235*IF($G$1="裂石",$AP235,$AN235)+IF($G$1="裂石",$AQ235*1.5,0))*(1+$BE235)*(1+$BF235)+($BG235*IF($G$1="牵丝",$AP235,$AN235)+IF($G$1="牵丝",$AQ235*1.5,0))*(1+$BI235)*(1+$BJ235)+($BK235*IF($G$1="破竹",$AP235,$AN235)+IF($G$1="破竹",$AQ235*1.5,0))*(1+$BM235)*(1+$BN235))*(1+$AR235))*$Q235*(1+IF(VLOOKUP($R235,武学奇术!$A:$ZZ,30,FALSE)="蓄力技",$B$21,0))*(1+IF(VLOOKUP($R235,武学奇术!$A:$ZZ,30,FALSE)="派生技",$B$20,0))*(1+$BW235)*(1+$BX235)</f>
        <v>0</v>
      </c>
      <c r="Q235" s="47">
        <f t="shared" si="61"/>
        <v>0</v>
      </c>
      <c r="R235" s="48" t="s">
        <v>80</v>
      </c>
      <c r="S235" s="48" t="s">
        <v>80</v>
      </c>
      <c r="T235" s="48" t="s">
        <v>80</v>
      </c>
      <c r="U235" s="48" t="s">
        <v>80</v>
      </c>
      <c r="V235" s="48" t="s">
        <v>80</v>
      </c>
      <c r="W235" s="48" t="s">
        <v>80</v>
      </c>
      <c r="X235" s="48" t="s">
        <v>80</v>
      </c>
      <c r="Y235" s="48" t="s">
        <v>80</v>
      </c>
      <c r="Z235" s="48" t="s">
        <v>80</v>
      </c>
      <c r="AA235" s="48" t="s">
        <v>80</v>
      </c>
      <c r="AB235" s="48" t="s">
        <v>80</v>
      </c>
      <c r="AC235" s="48" t="s">
        <v>80</v>
      </c>
      <c r="AD235" s="48" t="s">
        <v>80</v>
      </c>
      <c r="AE235" s="48" t="s">
        <v>80</v>
      </c>
      <c r="AF235" s="48" t="s">
        <v>83</v>
      </c>
      <c r="AG235" s="48" t="s">
        <v>84</v>
      </c>
      <c r="AH235" s="48" t="s">
        <v>80</v>
      </c>
      <c r="AI235" s="48" t="s">
        <v>80</v>
      </c>
      <c r="AJ235" s="48" t="s">
        <v>80</v>
      </c>
      <c r="AK235" s="48" t="s">
        <v>80</v>
      </c>
      <c r="AL235" s="48" t="s">
        <v>80</v>
      </c>
      <c r="AM235" t="str">
        <f>VLOOKUP($R235,武学奇术!$A:$ZZ,25,FALSE)</f>
        <v>心法</v>
      </c>
      <c r="AN235" s="33">
        <f>VLOOKUP($R235,武学奇术!$A:$ZZ,26,FALSE)</f>
        <v>0</v>
      </c>
      <c r="AO235" s="34">
        <f>VLOOKUP($R235,武学奇术!$A:$ZZ,27,FALSE)*(1+IF(OR($AM235=$F$4,$AM235=$F$5),$B$22,0))</f>
        <v>0</v>
      </c>
      <c r="AP235" s="33">
        <f>VLOOKUP($R235,武学奇术!$A:$ZZ,28,FALSE)</f>
        <v>0</v>
      </c>
      <c r="AQ235" s="34">
        <f>VLOOKUP($R235,武学奇术!$A:$ZZ,29,FALSE)*(1+IF(OR($AM235=$F$4,$AM235=$F$5),$B$22,0))</f>
        <v>0</v>
      </c>
      <c r="AR235" s="33" cm="1">
        <f t="array" ref="AR235">$G$3+IFERROR(VLOOKUP($AM235,$F$4:$G$7,2,FALSE),0)+VLOOKUP($R235,武学奇术!$A:$ZZ,2,FALSE)+SUM(_xlfn.XLOOKUP($S235:$AL235,增益!$A:$A,增益!$B:$B,0))</f>
        <v>0.2342</v>
      </c>
      <c r="AS235" s="33" cm="1">
        <f t="array" ref="AS235">VLOOKUP($R235,武学奇术!$A:$ZZ,5,FALSE)+SUM(_xlfn.XLOOKUP($S235:$AL235,增益!$A:$A,增益!$E:$E,0))</f>
        <v>0</v>
      </c>
      <c r="AT235" cm="1">
        <f t="array" ref="AT235">$D$10*(1+$AS235)+VLOOKUP($R235,武学奇术!$A:$ZZ,3,FALSE)+SUM(_xlfn.XLOOKUP($S235:$AL235,增益!$A:$A,增益!$C:$C,0))-$I$2</f>
        <v>4026</v>
      </c>
      <c r="AU235" cm="1">
        <f t="array" ref="AU235">$E$10*(1+$AS235)+VLOOKUP($R235,武学奇术!$A:$ZZ,4,FALSE)+SUM(_xlfn.XLOOKUP($S235:$AL235,增益!$A:$A,增益!$D:$D,0))-$I$2</f>
        <v>4026</v>
      </c>
      <c r="AV235" s="40" cm="1">
        <f t="array" ref="AV235">IF($F$10-$I$3+VLOOKUP($R235,武学奇术!$A:$ZZ,6,FALSE)+SUM(_xlfn.XLOOKUP($S235:$AL235,增益!$A:$A,增益!$F:$F,0))&gt;0,($F$10-$I$3+VLOOKUP($R235,武学奇术!$A:$ZZ,6,FALSE)+SUM(_xlfn.XLOOKUP($S235:$AL235,增益!$A:$A,增益!$F:$F,0)))/200,($F$10-$I$3+VLOOKUP($R235,武学奇术!$A:$ZZ,6,FALSE)+SUM(_xlfn.XLOOKUP($S235:$AL235,增益!$A:$A,增益!$F:$F,0)))/100)</f>
        <v>0.2284</v>
      </c>
      <c r="AW235" s="40" cm="1">
        <f t="array" ref="AW235">$G$10+VLOOKUP($R235,武学奇术!$A:$ZZ,7,FALSE)+SUM(_xlfn.XLOOKUP($S235:$AL235,增益!$A:$A,增益!$G:$G,0))</f>
        <v>0</v>
      </c>
      <c r="AX235" s="33" cm="1">
        <f t="array" ref="AX235">VLOOKUP($R235,武学奇术!$A:$ZZ,8,FALSE)+SUM(_xlfn.XLOOKUP($S235:$AL235,增益!$A:$A,增益!$H:$H,0))</f>
        <v>0</v>
      </c>
      <c r="AY235">
        <f t="shared" si="50"/>
        <v>0</v>
      </c>
      <c r="AZ235">
        <f t="shared" si="51"/>
        <v>0</v>
      </c>
      <c r="BA235" s="40" cm="1">
        <f t="array" ref="BA235">IF($F$11-$I$4+VLOOKUP($R235,武学奇术!$A:$ZZ,9,FALSE)+SUM(_xlfn.XLOOKUP($S235:$AL235,增益!$A:$A,增益!$I:$I,0))&gt;0,($F$11-$I$4+VLOOKUP($R235,武学奇术!$A:$ZZ,9,FALSE)+SUM(_xlfn.XLOOKUP($S235:$AL235,增益!$A:$A,增益!$I:$I,0)))/200,($F$11-$I$4+VLOOKUP($R235,武学奇术!$A:$ZZ,9,FALSE)+SUM(_xlfn.XLOOKUP($S235:$AL235,增益!$A:$A,增益!$I:$I,0)))/100)</f>
        <v>-0.3</v>
      </c>
      <c r="BB235" s="40" cm="1">
        <f t="array" ref="BB235">$G$11+VLOOKUP($R235,武学奇术!$A:$ZZ,10,FALSE)+SUM(_xlfn.XLOOKUP($S235:$AL235,增益!$A:$A,增益!$J:$J,0))</f>
        <v>0</v>
      </c>
      <c r="BC235">
        <f t="shared" si="52"/>
        <v>640.3</v>
      </c>
      <c r="BD235">
        <f t="shared" si="53"/>
        <v>1770.1</v>
      </c>
      <c r="BE235" s="40" cm="1">
        <f t="array" ref="BE235">IF($F$12-$I$4+VLOOKUP($R235,武学奇术!$A:$ZZ,11,FALSE)+SUM(_xlfn.XLOOKUP($S235:$AL235,增益!$A:$A,增益!$K:$K,0))&gt;0,($F$12-$I$4+VLOOKUP($R235,武学奇术!$A:$ZZ,11,FALSE)+SUM(_xlfn.XLOOKUP($S235:$AL235,增益!$A:$A,增益!$K:$K,0)))/200,($F$12-$I$4+VLOOKUP($R235,武学奇术!$A:$ZZ,11,FALSE)+SUM(_xlfn.XLOOKUP($S235:$AL235,增益!$A:$A,增益!$K:$K,0)))/100)</f>
        <v>0.09</v>
      </c>
      <c r="BF235" s="40" cm="1">
        <f t="array" ref="BF235">$G$12+VLOOKUP($R235,武学奇术!$A:$ZZ,12,FALSE)+SUM(_xlfn.XLOOKUP($S235:$AL235,增益!$A:$A,增益!$L:$L,0))</f>
        <v>0.15</v>
      </c>
      <c r="BG235">
        <f t="shared" si="54"/>
        <v>0</v>
      </c>
      <c r="BH235">
        <f t="shared" si="55"/>
        <v>0</v>
      </c>
      <c r="BI235" s="40" cm="1">
        <f t="array" ref="BI235">IF($F$13-$I$4+VLOOKUP($R235,武学奇术!$A:$ZZ,13,FALSE)+SUM(_xlfn.XLOOKUP($S235:$AL235,增益!$A:$A,增益!$M:$M,0))&gt;0,($F$13-$I$4+VLOOKUP($R235,武学奇术!$A:$ZZ,13,FALSE)+SUM(_xlfn.XLOOKUP($S235:$AL235,增益!$A:$A,增益!$K:$K,0)))/200,($F$13-$I$4+VLOOKUP($R235,武学奇术!$A:$ZZ,13,FALSE)+SUM(_xlfn.XLOOKUP($S235:$AL235,增益!$A:$A,增益!$M:$M,0)))/100)</f>
        <v>-0.3</v>
      </c>
      <c r="BJ235" s="40" cm="1">
        <f t="array" ref="BJ235">$G$13+VLOOKUP($R235,武学奇术!$A:$ZZ,14,FALSE)+SUM(_xlfn.XLOOKUP($S235:$AL235,增益!$A:$A,增益!$N:$N,0))</f>
        <v>0</v>
      </c>
      <c r="BK235">
        <f t="shared" si="56"/>
        <v>0</v>
      </c>
      <c r="BL235">
        <f t="shared" si="57"/>
        <v>0</v>
      </c>
      <c r="BM235" s="40" cm="1">
        <f t="array" ref="BM235">IF($F$14-$I$4+VLOOKUP($R235,武学奇术!$A:$ZZ,15,FALSE)+SUM(_xlfn.XLOOKUP($S235:$AL235,增益!$A:$A,增益!$O:$O,0))&gt;0,($F$14-$I$4+VLOOKUP($R235,武学奇术!$A:$ZZ,15,FALSE)+SUM(_xlfn.XLOOKUP($S235:$AL235,增益!$A:$A,增益!$O:$O,0)))/200,($F$14-$I$4+VLOOKUP($R235,武学奇术!$A:$ZZ,15,FALSE)+SUM(_xlfn.XLOOKUP($S235:$AL235,增益!$A:$A,增益!$O:$O,0)))/100)</f>
        <v>-0.3</v>
      </c>
      <c r="BN235" s="40" cm="1">
        <f t="array" ref="BN235">$G$14+VLOOKUP($R235,武学奇术!$A:$ZZ,16,FALSE)+SUM(_xlfn.XLOOKUP($S235:$AL235,增益!$A:$A,增益!$P:$P,0))</f>
        <v>0</v>
      </c>
      <c r="BO235" s="33">
        <f>MIN(IF(VLOOKUP($R235,武学奇术!$A:$ZZ,23,FALSE)=1,100%,$B$8),100%)</f>
        <v>0.9771</v>
      </c>
      <c r="BP235" s="33" cm="1">
        <f t="array" ref="BP235">IF(VLOOKUP($R235,武学奇术!$A:$ZZ,23,FALSE)=1,100%,MIN(80%,$B$9+VLOOKUP($R235,武学奇术!$A:$ZZ,17,FALSE)+SUM(_xlfn.XLOOKUP($S235:$AL235,增益!$A:$A,增益!$Q:$Q,0)))+$B$11+SUM(_xlfn.XLOOKUP($S235:$AL235,增益!$A:$A,增益!$U:$U,0)))*IF(VLOOKUP($R235,武学奇术!$A:$ZZ,24,FALSE)=1,0,1)</f>
        <v>0.8861</v>
      </c>
      <c r="BQ235" s="33" cm="1">
        <f t="array" ref="BQ235">1+$B$13+VLOOKUP($R235,武学奇术!$A:$ZZ,18,FALSE)+SUM(_xlfn.XLOOKUP($S235:$AL235,增益!$A:$A,增益!$R:$R,0))</f>
        <v>1.54</v>
      </c>
      <c r="BR235" s="33" cm="1">
        <f t="array" ref="BR235">IF(VLOOKUP($R235,武学奇术!$A:$ZZ,24,FALSE)=1,100%,MIN(40%,$B$10+VLOOKUP($R235,武学奇术!$A:$ZZ,19,FALSE)+SUM(_xlfn.XLOOKUP($S235:$AL235,增益!$A:$A,增益!$S:$S,0)))+$B$12+SUM(_xlfn.XLOOKUP($S235:$AL235,增益!$A:$A,增益!$V:$V,0)))*IF(VLOOKUP($R235,武学奇术!$A:$ZZ,23,FALSE)=1,0,1)</f>
        <v>0.0913</v>
      </c>
      <c r="BS235" s="33" cm="1">
        <f t="array" ref="BS235">1+$B$14+VLOOKUP($R235,武学奇术!$A:$ZZ,20,FALSE)+SUM(_xlfn.XLOOKUP($S235:$AL235,增益!$A:$A,增益!$T:$T,0))</f>
        <v>1.35</v>
      </c>
      <c r="BT235" s="33">
        <f t="shared" si="58"/>
        <v>0.86580831</v>
      </c>
      <c r="BU235" s="33">
        <f t="shared" si="59"/>
        <v>0.02208246</v>
      </c>
      <c r="BV235" s="33">
        <f>IF(VLOOKUP($R235,武学奇术!$A:$ZZ,22,FALSE)=1,0,(1-$BO235))*(1-$BR235)</f>
        <v>0.02080923</v>
      </c>
      <c r="BW235" s="33" cm="1">
        <f t="array" ref="BW235">SUM(_xlfn.XLOOKUP($S235:$AL235,增益!$A:$A,增益!$W:$W,0))+$I$5</f>
        <v>0.11</v>
      </c>
      <c r="BX235" s="33" cm="1">
        <f t="array" ref="BX235">VLOOKUP($R235,武学奇术!$A:$ZZ,32,FALSE)+SUM(_xlfn.XLOOKUP($S235:$AL235,增益!$A:$A,增益!$X:$X,0))</f>
        <v>0</v>
      </c>
    </row>
    <row r="236" spans="12:76">
      <c r="L236" s="46">
        <f t="shared" si="49"/>
        <v>0</v>
      </c>
      <c r="M236" s="46">
        <f>((($AT236+$AU236)/2*$AN236+$AO236)*(1+$AV236)*(1+$AW236)+(($AY236+$AZ236)/2*IF($G$1="鸣金",$AP236,$AN236)+IF($G$1="鸣金",$AQ236*1.5,0))*(1+$BA236)*(1+$BB236)+(($BC236+$BD236)/2*IF($G$1="裂石",$AP236,$AN236)+IF($G$1="裂石",$AQ236*1.5,0))*(1+$BE236)*(1+$BF236)+(($BG236+$BH236)/2*IF($G$1="牵丝",$AP236,$AN236)+IF($G$1="牵丝",$AQ236*1.5,0))*(1+$BI236)*(1+$BJ236)+(($BK236+$BL236)/2*IF($G$1="破竹",$AP236,$AN236)+IF($G$1="破竹",$AQ236*1.5,0))*(1+$BM236)*(1+$BN236))*(1+$AR236)*$BQ236*$Q236*(1+IF(VLOOKUP($R236,武学奇术!$A:$ZZ,30,FALSE)="蓄力技",$B$21,0))*(1+IF(VLOOKUP($R236,武学奇术!$A:$ZZ,30,FALSE)="派生技",$B$20,0))*(1+$BW236)*(1+$BX236)</f>
        <v>0</v>
      </c>
      <c r="N236" s="46">
        <f>(($AU236*$AN236+$AO236)*(1+$AV236)*(1+$AW236)+($AZ236*IF($G$1="鸣金",$AP236,$AN236)+IF($G$1="鸣金",$AQ236*1.5,0))*(1+$BA236)*(1+$BB236)+($BD236*IF($G$1="裂石",$AP236,$AN236)+IF($G$1="裂石",$AQ236*1.5,0))*(1+$BE236)*(1+$BF236)+($BH236*IF($G$1="牵丝",$AP236,$AN236)+IF($G$1="牵丝",$AQ236*1.5,0))*(1+$BI236)*(1+$BJ236)+($BL236*IF($G$1="破竹",$AP236,$AN236)+IF($G$1="破竹",$AQ236*1.5,0))*(1+$BM236)*(1+$BN236))*(1+$AR236)*$BS236*$Q236*(1+IF(VLOOKUP($R236,武学奇术!$A:$ZZ,30,FALSE)="蓄力技",$B$21,0))*(1+IF(VLOOKUP($R236,武学奇术!$A:$ZZ,30,FALSE)="派生技",$B$20,0))*(1+$BW236)*(1+$BX236)</f>
        <v>0</v>
      </c>
      <c r="O236" s="46">
        <f>((($AT236+$AU236)/2*$AN236+$AO236)*(1+$AV236)*(1+$AW236)+(($AY236+$AZ236)/2*IF($G$1="鸣金",$AP236,$AN236)+IF($G$1="鸣金",$AQ236*1.5,0))*(1+$BA236)*(1+$BB236)+(($BC236+$BD236)/2*IF($G$1="裂石",$AP236,$AN236)+IF($G$1="裂石",$AQ236*1.5,0))*(1+$BE236)*(1+$BF236)+(($BG236+$BH236)/2*IF($G$1="牵丝",$AP236,$AN236)+IF($G$1="牵丝",$AQ236*1.5,0))*(1+$BI236)*(1+$BJ236)+(($BK236+$BL236)/2*IF($G$1="破竹",$AP236,$AN236)+IF($G$1="破竹",$AQ236*1.5,0))*(1+$BM236)*(1+$BN236))*(1+$AR236)*$Q236*(1+IF(VLOOKUP($R236,武学奇术!$A:$ZZ,30,FALSE)="蓄力技",$B$21,0))*(1+IF(VLOOKUP($R236,武学奇术!$A:$ZZ,30,FALSE)="派生技",$B$20,0))*(1+$BW236)*(1+$BX236)</f>
        <v>0</v>
      </c>
      <c r="P236" s="46">
        <f>((($AT236*$AN236+$AO236)*(1+$AV236)*(1+$AW236)+($AY236*IF($G$1="鸣金",$AP236,$AN236)+IF($G$1="鸣金",$AQ236*1.5,0))*(1+$BA236)*(1+$BB236)+($BC236*IF($G$1="裂石",$AP236,$AN236)+IF($G$1="裂石",$AQ236*1.5,0))*(1+$BE236)*(1+$BF236)+($BG236*IF($G$1="牵丝",$AP236,$AN236)+IF($G$1="牵丝",$AQ236*1.5,0))*(1+$BI236)*(1+$BJ236)+($BK236*IF($G$1="破竹",$AP236,$AN236)+IF($G$1="破竹",$AQ236*1.5,0))*(1+$BM236)*(1+$BN236))*(1+$AR236))*$Q236*(1+IF(VLOOKUP($R236,武学奇术!$A:$ZZ,30,FALSE)="蓄力技",$B$21,0))*(1+IF(VLOOKUP($R236,武学奇术!$A:$ZZ,30,FALSE)="派生技",$B$20,0))*(1+$BW236)*(1+$BX236)</f>
        <v>0</v>
      </c>
      <c r="Q236" s="47">
        <f t="shared" si="61"/>
        <v>0</v>
      </c>
      <c r="R236" s="48" t="s">
        <v>80</v>
      </c>
      <c r="S236" s="48" t="s">
        <v>80</v>
      </c>
      <c r="T236" s="48" t="s">
        <v>80</v>
      </c>
      <c r="U236" s="48" t="s">
        <v>80</v>
      </c>
      <c r="V236" s="48" t="s">
        <v>80</v>
      </c>
      <c r="W236" s="48" t="s">
        <v>80</v>
      </c>
      <c r="X236" s="48" t="s">
        <v>80</v>
      </c>
      <c r="Y236" s="48" t="s">
        <v>80</v>
      </c>
      <c r="Z236" s="48" t="s">
        <v>80</v>
      </c>
      <c r="AA236" s="48" t="s">
        <v>80</v>
      </c>
      <c r="AB236" s="48" t="s">
        <v>80</v>
      </c>
      <c r="AC236" s="48" t="s">
        <v>80</v>
      </c>
      <c r="AD236" s="48" t="s">
        <v>80</v>
      </c>
      <c r="AE236" s="48" t="s">
        <v>80</v>
      </c>
      <c r="AF236" s="48" t="s">
        <v>83</v>
      </c>
      <c r="AG236" s="48" t="s">
        <v>84</v>
      </c>
      <c r="AH236" s="48" t="s">
        <v>80</v>
      </c>
      <c r="AI236" s="48" t="s">
        <v>80</v>
      </c>
      <c r="AJ236" s="48" t="s">
        <v>80</v>
      </c>
      <c r="AK236" s="48" t="s">
        <v>80</v>
      </c>
      <c r="AL236" s="48" t="s">
        <v>80</v>
      </c>
      <c r="AM236" t="str">
        <f>VLOOKUP($R236,武学奇术!$A:$ZZ,25,FALSE)</f>
        <v>心法</v>
      </c>
      <c r="AN236" s="33">
        <f>VLOOKUP($R236,武学奇术!$A:$ZZ,26,FALSE)</f>
        <v>0</v>
      </c>
      <c r="AO236" s="34">
        <f>VLOOKUP($R236,武学奇术!$A:$ZZ,27,FALSE)*(1+IF(OR($AM236=$F$4,$AM236=$F$5),$B$22,0))</f>
        <v>0</v>
      </c>
      <c r="AP236" s="33">
        <f>VLOOKUP($R236,武学奇术!$A:$ZZ,28,FALSE)</f>
        <v>0</v>
      </c>
      <c r="AQ236" s="34">
        <f>VLOOKUP($R236,武学奇术!$A:$ZZ,29,FALSE)*(1+IF(OR($AM236=$F$4,$AM236=$F$5),$B$22,0))</f>
        <v>0</v>
      </c>
      <c r="AR236" s="33" cm="1">
        <f t="array" ref="AR236">$G$3+IFERROR(VLOOKUP($AM236,$F$4:$G$7,2,FALSE),0)+VLOOKUP($R236,武学奇术!$A:$ZZ,2,FALSE)+SUM(_xlfn.XLOOKUP($S236:$AL236,增益!$A:$A,增益!$B:$B,0))</f>
        <v>0.2342</v>
      </c>
      <c r="AS236" s="33" cm="1">
        <f t="array" ref="AS236">VLOOKUP($R236,武学奇术!$A:$ZZ,5,FALSE)+SUM(_xlfn.XLOOKUP($S236:$AL236,增益!$A:$A,增益!$E:$E,0))</f>
        <v>0</v>
      </c>
      <c r="AT236" cm="1">
        <f t="array" ref="AT236">$D$10*(1+$AS236)+VLOOKUP($R236,武学奇术!$A:$ZZ,3,FALSE)+SUM(_xlfn.XLOOKUP($S236:$AL236,增益!$A:$A,增益!$C:$C,0))-$I$2</f>
        <v>4026</v>
      </c>
      <c r="AU236" cm="1">
        <f t="array" ref="AU236">$E$10*(1+$AS236)+VLOOKUP($R236,武学奇术!$A:$ZZ,4,FALSE)+SUM(_xlfn.XLOOKUP($S236:$AL236,增益!$A:$A,增益!$D:$D,0))-$I$2</f>
        <v>4026</v>
      </c>
      <c r="AV236" s="40" cm="1">
        <f t="array" ref="AV236">IF($F$10-$I$3+VLOOKUP($R236,武学奇术!$A:$ZZ,6,FALSE)+SUM(_xlfn.XLOOKUP($S236:$AL236,增益!$A:$A,增益!$F:$F,0))&gt;0,($F$10-$I$3+VLOOKUP($R236,武学奇术!$A:$ZZ,6,FALSE)+SUM(_xlfn.XLOOKUP($S236:$AL236,增益!$A:$A,增益!$F:$F,0)))/200,($F$10-$I$3+VLOOKUP($R236,武学奇术!$A:$ZZ,6,FALSE)+SUM(_xlfn.XLOOKUP($S236:$AL236,增益!$A:$A,增益!$F:$F,0)))/100)</f>
        <v>0.2284</v>
      </c>
      <c r="AW236" s="40" cm="1">
        <f t="array" ref="AW236">$G$10+VLOOKUP($R236,武学奇术!$A:$ZZ,7,FALSE)+SUM(_xlfn.XLOOKUP($S236:$AL236,增益!$A:$A,增益!$G:$G,0))</f>
        <v>0</v>
      </c>
      <c r="AX236" s="33" cm="1">
        <f t="array" ref="AX236">VLOOKUP($R236,武学奇术!$A:$ZZ,8,FALSE)+SUM(_xlfn.XLOOKUP($S236:$AL236,增益!$A:$A,增益!$H:$H,0))</f>
        <v>0</v>
      </c>
      <c r="AY236">
        <f t="shared" si="50"/>
        <v>0</v>
      </c>
      <c r="AZ236">
        <f t="shared" si="51"/>
        <v>0</v>
      </c>
      <c r="BA236" s="40" cm="1">
        <f t="array" ref="BA236">IF($F$11-$I$4+VLOOKUP($R236,武学奇术!$A:$ZZ,9,FALSE)+SUM(_xlfn.XLOOKUP($S236:$AL236,增益!$A:$A,增益!$I:$I,0))&gt;0,($F$11-$I$4+VLOOKUP($R236,武学奇术!$A:$ZZ,9,FALSE)+SUM(_xlfn.XLOOKUP($S236:$AL236,增益!$A:$A,增益!$I:$I,0)))/200,($F$11-$I$4+VLOOKUP($R236,武学奇术!$A:$ZZ,9,FALSE)+SUM(_xlfn.XLOOKUP($S236:$AL236,增益!$A:$A,增益!$I:$I,0)))/100)</f>
        <v>-0.3</v>
      </c>
      <c r="BB236" s="40" cm="1">
        <f t="array" ref="BB236">$G$11+VLOOKUP($R236,武学奇术!$A:$ZZ,10,FALSE)+SUM(_xlfn.XLOOKUP($S236:$AL236,增益!$A:$A,增益!$J:$J,0))</f>
        <v>0</v>
      </c>
      <c r="BC236">
        <f t="shared" si="52"/>
        <v>640.3</v>
      </c>
      <c r="BD236">
        <f t="shared" si="53"/>
        <v>1770.1</v>
      </c>
      <c r="BE236" s="40" cm="1">
        <f t="array" ref="BE236">IF($F$12-$I$4+VLOOKUP($R236,武学奇术!$A:$ZZ,11,FALSE)+SUM(_xlfn.XLOOKUP($S236:$AL236,增益!$A:$A,增益!$K:$K,0))&gt;0,($F$12-$I$4+VLOOKUP($R236,武学奇术!$A:$ZZ,11,FALSE)+SUM(_xlfn.XLOOKUP($S236:$AL236,增益!$A:$A,增益!$K:$K,0)))/200,($F$12-$I$4+VLOOKUP($R236,武学奇术!$A:$ZZ,11,FALSE)+SUM(_xlfn.XLOOKUP($S236:$AL236,增益!$A:$A,增益!$K:$K,0)))/100)</f>
        <v>0.09</v>
      </c>
      <c r="BF236" s="40" cm="1">
        <f t="array" ref="BF236">$G$12+VLOOKUP($R236,武学奇术!$A:$ZZ,12,FALSE)+SUM(_xlfn.XLOOKUP($S236:$AL236,增益!$A:$A,增益!$L:$L,0))</f>
        <v>0.15</v>
      </c>
      <c r="BG236">
        <f t="shared" si="54"/>
        <v>0</v>
      </c>
      <c r="BH236">
        <f t="shared" si="55"/>
        <v>0</v>
      </c>
      <c r="BI236" s="40" cm="1">
        <f t="array" ref="BI236">IF($F$13-$I$4+VLOOKUP($R236,武学奇术!$A:$ZZ,13,FALSE)+SUM(_xlfn.XLOOKUP($S236:$AL236,增益!$A:$A,增益!$M:$M,0))&gt;0,($F$13-$I$4+VLOOKUP($R236,武学奇术!$A:$ZZ,13,FALSE)+SUM(_xlfn.XLOOKUP($S236:$AL236,增益!$A:$A,增益!$K:$K,0)))/200,($F$13-$I$4+VLOOKUP($R236,武学奇术!$A:$ZZ,13,FALSE)+SUM(_xlfn.XLOOKUP($S236:$AL236,增益!$A:$A,增益!$M:$M,0)))/100)</f>
        <v>-0.3</v>
      </c>
      <c r="BJ236" s="40" cm="1">
        <f t="array" ref="BJ236">$G$13+VLOOKUP($R236,武学奇术!$A:$ZZ,14,FALSE)+SUM(_xlfn.XLOOKUP($S236:$AL236,增益!$A:$A,增益!$N:$N,0))</f>
        <v>0</v>
      </c>
      <c r="BK236">
        <f t="shared" si="56"/>
        <v>0</v>
      </c>
      <c r="BL236">
        <f t="shared" si="57"/>
        <v>0</v>
      </c>
      <c r="BM236" s="40" cm="1">
        <f t="array" ref="BM236">IF($F$14-$I$4+VLOOKUP($R236,武学奇术!$A:$ZZ,15,FALSE)+SUM(_xlfn.XLOOKUP($S236:$AL236,增益!$A:$A,增益!$O:$O,0))&gt;0,($F$14-$I$4+VLOOKUP($R236,武学奇术!$A:$ZZ,15,FALSE)+SUM(_xlfn.XLOOKUP($S236:$AL236,增益!$A:$A,增益!$O:$O,0)))/200,($F$14-$I$4+VLOOKUP($R236,武学奇术!$A:$ZZ,15,FALSE)+SUM(_xlfn.XLOOKUP($S236:$AL236,增益!$A:$A,增益!$O:$O,0)))/100)</f>
        <v>-0.3</v>
      </c>
      <c r="BN236" s="40" cm="1">
        <f t="array" ref="BN236">$G$14+VLOOKUP($R236,武学奇术!$A:$ZZ,16,FALSE)+SUM(_xlfn.XLOOKUP($S236:$AL236,增益!$A:$A,增益!$P:$P,0))</f>
        <v>0</v>
      </c>
      <c r="BO236" s="33">
        <f>MIN(IF(VLOOKUP($R236,武学奇术!$A:$ZZ,23,FALSE)=1,100%,$B$8),100%)</f>
        <v>0.9771</v>
      </c>
      <c r="BP236" s="33" cm="1">
        <f t="array" ref="BP236">IF(VLOOKUP($R236,武学奇术!$A:$ZZ,23,FALSE)=1,100%,MIN(80%,$B$9+VLOOKUP($R236,武学奇术!$A:$ZZ,17,FALSE)+SUM(_xlfn.XLOOKUP($S236:$AL236,增益!$A:$A,增益!$Q:$Q,0)))+$B$11+SUM(_xlfn.XLOOKUP($S236:$AL236,增益!$A:$A,增益!$U:$U,0)))*IF(VLOOKUP($R236,武学奇术!$A:$ZZ,24,FALSE)=1,0,1)</f>
        <v>0.8861</v>
      </c>
      <c r="BQ236" s="33" cm="1">
        <f t="array" ref="BQ236">1+$B$13+VLOOKUP($R236,武学奇术!$A:$ZZ,18,FALSE)+SUM(_xlfn.XLOOKUP($S236:$AL236,增益!$A:$A,增益!$R:$R,0))</f>
        <v>1.54</v>
      </c>
      <c r="BR236" s="33" cm="1">
        <f t="array" ref="BR236">IF(VLOOKUP($R236,武学奇术!$A:$ZZ,24,FALSE)=1,100%,MIN(40%,$B$10+VLOOKUP($R236,武学奇术!$A:$ZZ,19,FALSE)+SUM(_xlfn.XLOOKUP($S236:$AL236,增益!$A:$A,增益!$S:$S,0)))+$B$12+SUM(_xlfn.XLOOKUP($S236:$AL236,增益!$A:$A,增益!$V:$V,0)))*IF(VLOOKUP($R236,武学奇术!$A:$ZZ,23,FALSE)=1,0,1)</f>
        <v>0.0913</v>
      </c>
      <c r="BS236" s="33" cm="1">
        <f t="array" ref="BS236">1+$B$14+VLOOKUP($R236,武学奇术!$A:$ZZ,20,FALSE)+SUM(_xlfn.XLOOKUP($S236:$AL236,增益!$A:$A,增益!$T:$T,0))</f>
        <v>1.35</v>
      </c>
      <c r="BT236" s="33">
        <f t="shared" si="58"/>
        <v>0.86580831</v>
      </c>
      <c r="BU236" s="33">
        <f t="shared" si="59"/>
        <v>0.02208246</v>
      </c>
      <c r="BV236" s="33">
        <f>IF(VLOOKUP($R236,武学奇术!$A:$ZZ,22,FALSE)=1,0,(1-$BO236))*(1-$BR236)</f>
        <v>0.02080923</v>
      </c>
      <c r="BW236" s="33" cm="1">
        <f t="array" ref="BW236">SUM(_xlfn.XLOOKUP($S236:$AL236,增益!$A:$A,增益!$W:$W,0))+$I$5</f>
        <v>0.11</v>
      </c>
      <c r="BX236" s="33" cm="1">
        <f t="array" ref="BX236">VLOOKUP($R236,武学奇术!$A:$ZZ,32,FALSE)+SUM(_xlfn.XLOOKUP($S236:$AL236,增益!$A:$A,增益!$X:$X,0))</f>
        <v>0</v>
      </c>
    </row>
  </sheetData>
  <mergeCells count="18">
    <mergeCell ref="H1:I1"/>
    <mergeCell ref="C8:G8"/>
    <mergeCell ref="C15:D15"/>
    <mergeCell ref="E21:F21"/>
    <mergeCell ref="E22:F22"/>
    <mergeCell ref="E23:F23"/>
    <mergeCell ref="E24:F24"/>
    <mergeCell ref="A23:A24"/>
    <mergeCell ref="H8:H9"/>
    <mergeCell ref="H10:H11"/>
    <mergeCell ref="H12:H13"/>
    <mergeCell ref="H14:H15"/>
    <mergeCell ref="H16:H17"/>
    <mergeCell ref="I8:J9"/>
    <mergeCell ref="I10:J11"/>
    <mergeCell ref="I12:J13"/>
    <mergeCell ref="I14:J15"/>
    <mergeCell ref="I16:J17"/>
  </mergeCells>
  <conditionalFormatting sqref="F18">
    <cfRule type="cellIs" dxfId="0" priority="1" operator="greaterThanOrEqual">
      <formula>0.7</formula>
    </cfRule>
    <cfRule type="cellIs" dxfId="1" priority="2" operator="lessThan">
      <formula>0.7</formula>
    </cfRule>
  </conditionalFormatting>
  <dataValidations count="4">
    <dataValidation type="list" allowBlank="1" showInputMessage="1" showErrorMessage="1" sqref="G1">
      <formula1>"鸣金,裂石,牵丝,破竹"</formula1>
    </dataValidation>
    <dataValidation type="list" allowBlank="1" showInputMessage="1" showErrorMessage="1" sqref="S2:AB2 AD2 AF2:AK2 S109 T109 U109 V109 W109 X109 Y109 Z109:AB109 AC109 AD109 AF109:AK109 S110 T110 U110 V110 W110 X110 Y110 Z110:AB110 AC110 AD110 AF110:AK110 S111 T111 U111 V111 W111 X111 Y111 S112 T112 U112 V112 W112 X112 Y112 S113 T113 U113 V113 W113 X113 Y113 Z113:AB113 AC113 AD113 AF113:AK113 AC125 AC126 S129:T129 U129 V129 X129:Z129 S130:U130 V130 X130:Z130 S134:U134 V134 W134 X134:Z134 S135:U135 V135 W135 X135:Z135 S139 T139 Z139 U141 S142 T142 S143 T143 S144 T144 T145 T146 W146 Y146 S147 T147 Y147 Y148 Y149 S150 T150 Y150 S151 T151 W151 Y151 S152 T152 Y152 S153 T153 Y153 S154 T154 W154 Y154 S155 T155 Y155 S156 Y156 S157 U157 V157 W157 X157 Y157 AA157 AB157 AC157 AD157 AF157 AG157 AH157 AI157 AJ157 AK157 S158 W158 X158 Y158 Z158 AA158 AB158 AC158 AD158 AF158 AG158 AH158 AI158 AJ158 AK158 S159 X159 Y159 Z159 AA159 AB159 AC159 AD159 AF159 AG159 AH159 AI159 AJ159 AK159 S160 T160 X160 Y160 Z160 AA160 AB160 AC160 AD160 AF160 AG160 AH160 AI160 AJ160 AK160 S161 T161 W161 X161 Y161 Z161 AA161 AB161 AC161 AD161 AF161 AG161 AH161 AI161 AJ161 AK161 S162 T162 X162 Y162 Z162 AA162 AB162 AC162 AD162 AF162 AG162 AH162 AI162 AJ162 AK162 S163 X163 Y163 Z163 AA163 AB163 AC163 AD163 AF163 AG163 AH163 AI163 AJ163 AK163 X164 Y164 Z164 AA164 AB164 AC164 AD164 AF164 AG164 AH164 AI164 AJ164 AK164 T165 X165 Y165 Z165 AA165 AB165 AC165 AD165 AF165 AG165 AH165 AI165 AJ165 AK165 T166 U166:V166 W166 X166 Y166 Z166 AA166 AB166 AC166 AD166 AF166 AG166 AH166 AI166 AJ166 AK166 T167 U167 V167 W167 X167 Y167 Z167 AA167 AB167 AC167 AD167 AF167 AG167 AH167 AI167 AJ167 AK167 T168 U168 V168 W168 X168 Y168 Z168 AA168 AB168 AC168 AD168 AF168 AG168 AH168 AI168 AJ168 AK168 T169 V169 X169 Y169 Z169 AA169 AB169 AC169 AD169 AF169 AG169 AH169 AI169 AJ169 AK169 T170 V170 X170 Y170 Z170 AA170 AB170 AC170 AD170 AF170 AG170 AH170 AI170 AJ170 AK170 V171 W171 X171 Y171 Z171 AA171 AB171 AC171 AD171 AF171 AG171 AH171 AI171 AJ171 AK171 V172 X172 Z172 AA172 AB172 AC172 AD172 AF172 AG172 AH172 AI172 AJ172 AK172 X173 Z173 AA173 AB173 AC173 AD173 AF173 AG173 AH173 AI173 AJ173 AK173 X174 Z174 AA174 AB174 AC174 AD174 AF174 AG174 AH174 AI174 AJ174 AK174 T175 X175 Z175 AA175 AB175 AC175 AD175 AF175 AG175 AH175 AI175 AJ175 AK175 S176 T176 W176 X176 Y176 Z176 AA176 AC176 AD176 AF176 AG176 AH176 AI176 AJ176 AK176 S177 T177 U177 V177 W177 X177 Y177 Z177 AA177 AC177 AD177 AF177 AG177 AH177 AI177 AJ177 AK177 S178 T178 U178 V178 W178 X178 Y178 Z178 AA178 AC178 AD178 AF178 AG178 AH178 AI178 AJ178 AK178 U179 V179 W179 X179 Y179 Z179 AA179 AD179 AF179 AG179 AH179 AI179 AJ179 AK179 U180 V180 W180 X180 Y180 Z180 AA180 AD180 AF180 AG180 AH180 AI180 AJ180 AK180 W181 X181 Y181 Z181 AA181 AD181 AF181 AG181 AH181 AI181 AJ181 AK181 W182 X182 Y182 Z182 AA182 AD182 AF182 AG182 AH182 AI182 AJ182 AK182 W183 X183 Y183 Z183 AA183 AD183 AF183 AG183 AH183 AI183 AJ183 AK183 W184 X184 Y184 Z184 AA184 AD184 AF184 AG184 AH184 AI184 AJ184 AK184 V185 W185 X185 Y185 Z185 AA185 AD185 AF185 AG185 AH185 AI185 AJ185 AK185 V186 W186 X186 Y186 Z186 AA186 AC186 AD186 AF186 AG186 AH186 AI186 AJ186 AK186 V187 W187 X187 Y187 Z187 AA187 AC187 AD187 AF187 AG187 AH187 AI187 AJ187 AK187 V188 W188 X188 Y188 Z188 AA188 AC188 AD188 AF188 AG188 AH188 AI188 AJ188 AK188 V189 W189 X189 Y189 Z189 AA189 AC189 AD189 AF189 AG189 AH189 AI189 AJ189 AK189 V190 W190 X190 Y190 Z190 AA190 AC190 AD190 AF190 AG190 AH190 AI190 AJ190 AK190 W191 X191 Y191 Z191 AA191 AC191 AD191 AF191 AG191 AH191 AI191 AJ191 AK191 W192 X192 Y192 Z192 AA192 AC192 AD192 AF192 AG192 AH192 AI192 AJ192 AK192 W193 X193 Y193 Z193 AA193 AC193 AD193 AF193 AG193 AH193 AI193 AJ193 AK193 V194 W194 X194 Y194 Z194 AA194 AC194 AD194 AF194 AG194 AH194 AI194 AJ194 AK194 U195 V195 W195 X195 Y195 Z195 AA195 AC195 AD195 AF195 AG195 AH195 AI195 AJ195 AK195 U196 V196 W196 X196 Y196 Z196 AA196 AC196 AD196 AF196 AG196 AH196 AI196 AJ196 AK196 U197 V197 W197 X197 Y197 Z197 AA197 AC197 AD197 AF197 AG197 AH197 AI197 AJ197 AK197 U198 V198 W198 X198 Y198 Z198 AA198 AC198 AD198 AF198 AG198 AH198 AI198 AJ198 AK198 U199 V199 W199 X199 Y199 Z199 AA199 AC199 AD199 AF199 AG199 AH199 AI199 AJ199 AK199 U200 V200 W200 X200 Y200 Z200 AA200 AC200 AD200 AF200 AG200 AH200 AI200 AJ200 AK200 U201 V201 W201 X201 Y201 Z201 AA201 AC201 AD201 AF201 AG201 AH201 AI201 AJ201 AK201 U202 V202 W202 X202 Y202 Z202 AA202 AC202 AD202 AF202 AG202 AH202 AI202 AJ202 AK202 U203 W203 X203 Y203 Z203 AA203 AC203 AD203 AF203 AG203 AH203 AI203 AJ203 AK203 U204 W204 X204 Y204 Z204 AA204 AC204 AD204 AF204 AG204 AH204 AI204 AJ204 AK204 U205 W205 X205 Y205 Z205 AA205 AC205 AD205 AF205 AG205 AH205 AI205 AJ205 AK205 U206 V206 W206 X206 Y206 Z206 AA206 AC206 AD206 AF206 AG206 AH206 AI206 AJ206 AK206 U207 V207 W207 X207 Y207 Z207 AA207 AC207 AD207 AF207 AG207 AH207 AI207 AJ207 AK207 U208 V208 W208 X208 Y208 Z208 AA208 AC208 AD208 AF208 AG208 AH208 AI208 AJ208 AK208 V209 W209 X209 Y209 Z209 AA209 AC209 AD209 AF209 AG209 AH209 AI209 AJ209 AK209 W210 X210 Y210 AC210 W211 X211 Y211 W212 X212 Y212 W213 X213 Y213 W214 Y214 W215 Y215 W216 W217 W218 X218 Y218 W219 X219 Y219 W220 X220 Y220 W221 X221 Y221 W222 X222 Y222 AC222 W223 W224 W225 W226 W227 X227 Y227 W228 X228 Y228 W229 X229 Y229 S230:U230 W230 X230 Y230 W231 X231 Y231 W232 X232 Y232 W233 X233 Y233 S127:S128 S140:S141 S145:S146 S148:S149 S164:S175 S234:S236 T127:T128 T140:T141 T148:T149 T156:T157 T158:T159 T163:T164 T171:T174 T234:T236 U127:U128 U139:U140 U142:U144 U145:U147 U148:U156 U169:U176 U181:U194 U209:U212 U234:U236 V127:V128 V139:V147 V148:V156 V173:V176 V181:V184 V191:V193 V203:V205 V210:V212 V226:V230 V234:V236 W127:W128 W129:W130 W139:W141 W142:W145 W147:W150 W152:W153 W155:W156 W159:W160 W162:W163 W164:W165 W169:W170 W172:W173 W174:W175 W234:W236 X127:X128 X139:X156 X214:X217 X223:X226 X234:X236 Y127:Y128 Y139:Y140 Y141:Y145 Y172:Y175 Y216:Y217 Y223:Y226 Y234:Y236 Z127:Z128 Z140:Z145 Z146:Z147 Z148:Z157 Z210:Z219 Z220:Z230 Z231:Z236 AA127:AA156 AA210:AA211 AA212:AA216 AA217:AA219 AA220:AA230 AA231:AA236 AB127:AB156 AB176:AB217 AB218:AB219 AB220:AB230 AB231:AB236 AC2:AC108 AC111:AC112 AC114:AC124 AC127:AC156 AC179:AC181 AC182:AC185 AC211:AC213 AC214:AC215 AC216:AC221 AC223:AC230 AC231:AC236 AD3:AD108 AD111:AD112 AD114:AD126 AD127:AD156 AD210:AD219 AD220:AD230 AD231:AD236 AE2:AE236 AF127:AF156 AF210:AF219 AF220:AF230 AF231:AF236 AG127:AG156 AG210:AG219 AG220:AG230 AG231:AG236 AH127:AH156 AH210:AH219 AH220:AH230 AH231:AH236 AI127:AI156 AI210:AI219 AI220:AI230 AI231:AI236 AJ127:AJ156 AJ210:AJ219 AJ220:AJ230 AJ231:AJ236 AK127:AK156 AK210:AK219 AK220:AK230 AK231:AK236 AL2:AL236 S131:Z133 S136:Z138 U158:V161 U162:V165 S179:T192 S193:T194 S195:T201 S202:T212 S231:V233 S213:V225 S226:U229 AF114:AK126 AF111:AK112 AF3:AK108 Z111:AB112 S114:AB126 S3:AB108">
      <formula1>增益!$A:$A</formula1>
    </dataValidation>
    <dataValidation type="list" allowBlank="1" showInputMessage="1" showErrorMessage="1" sqref="R109 R110 R111 R112 R113 R139 R140 R141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R108 R114:R126 R127:R128 R129:R138 R142:R145 R146:R147 R234:R236">
      <formula1>武学奇术!$A:$A</formula1>
    </dataValidation>
    <dataValidation type="list" allowBlank="1" showInputMessage="1" showErrorMessage="1" sqref="D16:D18 D20:D22 F15:F17">
      <formula1>"√,×"</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42"/>
  <sheetViews>
    <sheetView topLeftCell="I1" workbookViewId="0">
      <selection activeCell="AE11" sqref="AE11"/>
    </sheetView>
  </sheetViews>
  <sheetFormatPr defaultColWidth="9" defaultRowHeight="13.5"/>
  <cols>
    <col min="1" max="1" width="21.5" customWidth="1"/>
    <col min="2" max="2" width="9.00833333333333" customWidth="1"/>
    <col min="17" max="17" width="9" style="33"/>
    <col min="26" max="26" width="9.375" style="33"/>
    <col min="27" max="27" width="9" style="34"/>
    <col min="28" max="28" width="9.375" style="33"/>
    <col min="29" max="29" width="9" style="34"/>
  </cols>
  <sheetData>
    <row r="1" spans="1:32">
      <c r="B1" t="s">
        <v>39</v>
      </c>
      <c r="C1" t="s">
        <v>205</v>
      </c>
      <c r="D1" t="s">
        <v>206</v>
      </c>
      <c r="E1" t="s">
        <v>207</v>
      </c>
      <c r="F1" t="s">
        <v>208</v>
      </c>
      <c r="G1" t="s">
        <v>209</v>
      </c>
      <c r="H1" t="s">
        <v>210</v>
      </c>
      <c r="I1" t="s">
        <v>48</v>
      </c>
      <c r="J1" t="s">
        <v>49</v>
      </c>
      <c r="K1" t="s">
        <v>52</v>
      </c>
      <c r="L1" t="s">
        <v>53</v>
      </c>
      <c r="M1" t="s">
        <v>56</v>
      </c>
      <c r="N1" t="s">
        <v>57</v>
      </c>
      <c r="O1" t="s">
        <v>60</v>
      </c>
      <c r="P1" t="s">
        <v>61</v>
      </c>
      <c r="Q1" s="33" t="s">
        <v>110</v>
      </c>
      <c r="R1" t="s">
        <v>211</v>
      </c>
      <c r="S1" t="s">
        <v>111</v>
      </c>
      <c r="T1" t="s">
        <v>212</v>
      </c>
      <c r="U1" t="s">
        <v>213</v>
      </c>
      <c r="V1" t="s">
        <v>214</v>
      </c>
      <c r="W1" t="s">
        <v>215</v>
      </c>
      <c r="X1" t="s">
        <v>216</v>
      </c>
      <c r="Y1" t="s">
        <v>34</v>
      </c>
      <c r="Z1" s="33" t="s">
        <v>35</v>
      </c>
      <c r="AA1" s="34" t="s">
        <v>36</v>
      </c>
      <c r="AB1" s="33" t="s">
        <v>37</v>
      </c>
      <c r="AC1" s="34" t="s">
        <v>38</v>
      </c>
      <c r="AD1" t="s">
        <v>217</v>
      </c>
      <c r="AF1" t="s">
        <v>71</v>
      </c>
    </row>
    <row r="2" spans="1:32">
      <c r="A2" t="s">
        <v>122</v>
      </c>
      <c r="R2" s="35">
        <v>0.21</v>
      </c>
      <c r="Y2" s="36" t="s">
        <v>97</v>
      </c>
      <c r="Z2" s="36">
        <f>140%*1.05</f>
        <v>1.47</v>
      </c>
      <c r="AA2" s="37"/>
      <c r="AB2" s="36">
        <f>210%*1.05</f>
        <v>2.205</v>
      </c>
      <c r="AD2" t="s">
        <v>218</v>
      </c>
    </row>
    <row r="3" customFormat="1" spans="1:32">
      <c r="A3" t="s">
        <v>196</v>
      </c>
      <c r="B3"/>
      <c r="Q3" s="33"/>
      <c r="R3" s="35">
        <v>0.21</v>
      </c>
      <c r="Y3" s="36" t="s">
        <v>97</v>
      </c>
      <c r="Z3" s="36">
        <f>140%*1.05</f>
        <v>1.47</v>
      </c>
      <c r="AA3" s="37"/>
      <c r="AB3" s="36">
        <f>210%*1.05</f>
        <v>2.205</v>
      </c>
      <c r="AC3" s="34"/>
      <c r="AD3" t="s">
        <v>218</v>
      </c>
      <c r="AF3" s="35">
        <v>0.4</v>
      </c>
    </row>
    <row r="4" spans="1:32">
      <c r="A4" t="s">
        <v>199</v>
      </c>
      <c r="B4" s="35">
        <v>0.1</v>
      </c>
      <c r="R4" s="35">
        <v>0.21</v>
      </c>
      <c r="Y4" s="36" t="s">
        <v>97</v>
      </c>
      <c r="Z4" s="36">
        <v>2.8245</v>
      </c>
      <c r="AA4" s="37">
        <f>575*1.36</f>
        <v>782</v>
      </c>
      <c r="AB4" s="36">
        <f>311.53%*1.36</f>
        <v>4.236808</v>
      </c>
      <c r="AC4" s="34">
        <v>425</v>
      </c>
      <c r="AD4" t="s">
        <v>218</v>
      </c>
    </row>
    <row r="5" customFormat="1" spans="1:32">
      <c r="A5" t="s">
        <v>195</v>
      </c>
      <c r="B5" s="35">
        <v>0.1</v>
      </c>
      <c r="Q5" s="33"/>
      <c r="R5" s="35">
        <v>0.21</v>
      </c>
      <c r="Y5" s="36" t="s">
        <v>97</v>
      </c>
      <c r="Z5" s="36">
        <v>3.6553</v>
      </c>
      <c r="AA5" s="37">
        <v>1012</v>
      </c>
      <c r="AB5" s="36">
        <v>5.4829</v>
      </c>
      <c r="AC5" s="34">
        <v>550</v>
      </c>
      <c r="AD5" t="s">
        <v>218</v>
      </c>
    </row>
    <row r="6" spans="1:32">
      <c r="A6" t="s">
        <v>197</v>
      </c>
      <c r="R6" s="35">
        <v>0.21</v>
      </c>
      <c r="Y6" s="36" t="s">
        <v>97</v>
      </c>
      <c r="Z6" s="33">
        <f>146.97%+97.98%</f>
        <v>2.4495</v>
      </c>
      <c r="AA6" s="34">
        <f>406+271</f>
        <v>677</v>
      </c>
      <c r="AB6" s="33">
        <f>220.46%+146.97%</f>
        <v>3.6743</v>
      </c>
      <c r="AC6" s="34">
        <f>221+147</f>
        <v>368</v>
      </c>
    </row>
    <row r="7" spans="1:32">
      <c r="A7" t="s">
        <v>116</v>
      </c>
      <c r="R7" s="35">
        <v>0.21</v>
      </c>
      <c r="Y7" s="36" t="s">
        <v>97</v>
      </c>
      <c r="Z7" s="33">
        <f>37.8%+151.19%+188.98%</f>
        <v>3.7797</v>
      </c>
      <c r="AA7" s="34">
        <f>104+418+523</f>
        <v>1045</v>
      </c>
      <c r="AB7" s="33">
        <f>56.7%+226.78%+283.48%</f>
        <v>5.6696</v>
      </c>
      <c r="AC7" s="34">
        <f>57+228+285</f>
        <v>570</v>
      </c>
    </row>
    <row r="8" spans="1:32">
      <c r="A8" t="s">
        <v>175</v>
      </c>
      <c r="R8" s="35">
        <v>0.21</v>
      </c>
      <c r="Y8" s="36" t="s">
        <v>97</v>
      </c>
      <c r="Z8" s="33">
        <v>1.2338</v>
      </c>
      <c r="AA8" s="34">
        <v>342</v>
      </c>
      <c r="AB8" s="33">
        <v>1.8507</v>
      </c>
      <c r="AC8" s="34">
        <v>186</v>
      </c>
    </row>
    <row r="9" spans="1:32">
      <c r="A9" t="s">
        <v>119</v>
      </c>
      <c r="R9" s="35">
        <v>0.21</v>
      </c>
      <c r="Y9" s="36" t="s">
        <v>97</v>
      </c>
      <c r="Z9" s="33">
        <v>2.1324</v>
      </c>
      <c r="AA9" s="34">
        <v>590</v>
      </c>
      <c r="AB9" s="33">
        <v>3.1986</v>
      </c>
      <c r="AC9" s="34">
        <v>322</v>
      </c>
    </row>
    <row r="10" spans="1:32">
      <c r="A10" t="s">
        <v>200</v>
      </c>
      <c r="R10" s="35">
        <v>0.21</v>
      </c>
      <c r="Y10" s="36" t="s">
        <v>97</v>
      </c>
      <c r="Z10" s="33">
        <v>0.6486</v>
      </c>
      <c r="AA10" s="34">
        <v>180</v>
      </c>
      <c r="AB10" s="33">
        <v>0.9729</v>
      </c>
      <c r="AC10" s="34">
        <v>98</v>
      </c>
    </row>
    <row r="11" spans="1:32">
      <c r="A11" t="s">
        <v>148</v>
      </c>
      <c r="Q11" s="33">
        <f>IF(期望!$F$18&lt;75%,15%,0)</f>
        <v>0</v>
      </c>
      <c r="R11" s="35">
        <v>0.21</v>
      </c>
      <c r="W11">
        <f>IF(期望!$F$18&gt;=75%,1,0)</f>
        <v>1</v>
      </c>
      <c r="Y11" t="s">
        <v>92</v>
      </c>
      <c r="Z11" s="33">
        <f>227.02%+529.72%</f>
        <v>7.5674</v>
      </c>
      <c r="AA11" s="34">
        <f>628+1465</f>
        <v>2093</v>
      </c>
      <c r="AB11" s="33">
        <f>340.54%+794.58%</f>
        <v>11.3512</v>
      </c>
      <c r="AC11" s="34">
        <f>342+798</f>
        <v>1140</v>
      </c>
      <c r="AD11" t="s">
        <v>219</v>
      </c>
    </row>
    <row r="12" customFormat="1" spans="1:32">
      <c r="A12" t="s">
        <v>185</v>
      </c>
      <c r="Q12" s="33">
        <f>IF(期望!$F$18&lt;75%,15%,0)</f>
        <v>0</v>
      </c>
      <c r="R12" s="35">
        <v>0.21</v>
      </c>
      <c r="Y12" t="s">
        <v>92</v>
      </c>
      <c r="Z12" s="33">
        <f>227.02%+529.72%</f>
        <v>7.5674</v>
      </c>
      <c r="AA12" s="34">
        <f>628+1465</f>
        <v>2093</v>
      </c>
      <c r="AB12" s="33">
        <f>340.54%+794.58%</f>
        <v>11.3512</v>
      </c>
      <c r="AC12" s="34">
        <f>342+798</f>
        <v>1140</v>
      </c>
      <c r="AD12" t="s">
        <v>219</v>
      </c>
    </row>
    <row r="13" spans="1:32">
      <c r="A13" t="s">
        <v>154</v>
      </c>
      <c r="Q13" s="33">
        <f>IF(期望!$F$18&lt;75%,15%,0)</f>
        <v>0</v>
      </c>
      <c r="R13" s="35">
        <v>0.21</v>
      </c>
      <c r="W13">
        <f>IF(期望!$F$18&gt;=75%,1,0)</f>
        <v>1</v>
      </c>
      <c r="Y13" t="s">
        <v>92</v>
      </c>
      <c r="Z13" s="36">
        <f>50%*1.05</f>
        <v>0.525</v>
      </c>
      <c r="AA13" s="37"/>
      <c r="AB13" s="36">
        <f>75%*1.05</f>
        <v>0.7875</v>
      </c>
      <c r="AD13" t="s">
        <v>219</v>
      </c>
    </row>
    <row r="14" spans="1:32">
      <c r="A14" t="s">
        <v>144</v>
      </c>
      <c r="Q14" s="33">
        <f>IF(期望!$F$18&lt;75%,15%,0)</f>
        <v>0</v>
      </c>
      <c r="R14" s="35">
        <v>0.21</v>
      </c>
      <c r="W14">
        <f>IF(期望!$F$18&gt;=75%,1,0)</f>
        <v>1</v>
      </c>
      <c r="Y14" t="s">
        <v>92</v>
      </c>
      <c r="Z14" s="36">
        <f>90%*1.05</f>
        <v>0.945</v>
      </c>
      <c r="AA14" s="37"/>
      <c r="AB14" s="36">
        <f>135%*1.05</f>
        <v>1.4175</v>
      </c>
      <c r="AD14" t="s">
        <v>219</v>
      </c>
    </row>
    <row r="15" customFormat="1" spans="1:32">
      <c r="A15" t="s">
        <v>171</v>
      </c>
      <c r="Q15" s="33"/>
      <c r="R15" s="35">
        <v>0.21</v>
      </c>
      <c r="Y15" t="s">
        <v>92</v>
      </c>
      <c r="Z15" s="36">
        <f>171.99%+401.31%</f>
        <v>5.733</v>
      </c>
      <c r="AA15" s="37">
        <f>475+1110</f>
        <v>1585</v>
      </c>
      <c r="AB15" s="36">
        <f>257.98%+601.96%</f>
        <v>8.5994</v>
      </c>
      <c r="AC15" s="34">
        <f>259+604</f>
        <v>863</v>
      </c>
      <c r="AD15" t="s">
        <v>219</v>
      </c>
    </row>
    <row r="16" customFormat="1" spans="1:32">
      <c r="A16" t="s">
        <v>140</v>
      </c>
      <c r="Q16" s="33"/>
      <c r="R16" s="35">
        <v>0.21</v>
      </c>
      <c r="Y16" t="s">
        <v>92</v>
      </c>
      <c r="Z16" s="36">
        <f>50%*1.05</f>
        <v>0.525</v>
      </c>
      <c r="AA16" s="37"/>
      <c r="AB16" s="36">
        <f>75%*1.05</f>
        <v>0.7875</v>
      </c>
      <c r="AC16" s="34"/>
      <c r="AD16" t="s">
        <v>219</v>
      </c>
    </row>
    <row r="17" customFormat="1" spans="1:31">
      <c r="A17" t="s">
        <v>169</v>
      </c>
      <c r="Q17" s="33"/>
      <c r="R17" s="35">
        <v>0.21</v>
      </c>
      <c r="Y17" t="s">
        <v>92</v>
      </c>
      <c r="Z17" s="36">
        <f>90%*1.05</f>
        <v>0.945</v>
      </c>
      <c r="AA17" s="37"/>
      <c r="AB17" s="36">
        <f>135%*1.05</f>
        <v>1.4175</v>
      </c>
      <c r="AC17" s="34"/>
      <c r="AD17" t="s">
        <v>219</v>
      </c>
    </row>
    <row r="18" customFormat="1" spans="1:31">
      <c r="A18" t="s">
        <v>220</v>
      </c>
      <c r="Q18" s="33"/>
      <c r="R18" s="35">
        <v>0.21</v>
      </c>
      <c r="W18">
        <f>IF(期望!$F$18&gt;=75%,1,0)</f>
        <v>1</v>
      </c>
      <c r="Y18" t="s">
        <v>92</v>
      </c>
      <c r="Z18" s="33">
        <f>39.72%+92.69%</f>
        <v>1.3241</v>
      </c>
      <c r="AA18" s="34">
        <f>110+256</f>
        <v>366</v>
      </c>
      <c r="AB18" s="33">
        <f>59.58%+139.03%</f>
        <v>1.9861</v>
      </c>
      <c r="AC18" s="34">
        <f>60+140</f>
        <v>200</v>
      </c>
      <c r="AD18" t="s">
        <v>219</v>
      </c>
    </row>
    <row r="19" spans="1:31">
      <c r="A19" t="s">
        <v>221</v>
      </c>
      <c r="R19" s="35">
        <v>0.21</v>
      </c>
      <c r="Y19" t="s">
        <v>92</v>
      </c>
      <c r="Z19" s="33">
        <v>1.8948</v>
      </c>
      <c r="AA19" s="34">
        <v>525</v>
      </c>
      <c r="AB19" s="33">
        <v>2.8422</v>
      </c>
      <c r="AC19" s="34">
        <v>286</v>
      </c>
    </row>
    <row r="20" customFormat="1" spans="1:31">
      <c r="A20" t="s">
        <v>172</v>
      </c>
      <c r="Q20" s="33"/>
      <c r="R20" s="35">
        <v>0.21</v>
      </c>
      <c r="Y20" t="s">
        <v>92</v>
      </c>
      <c r="Z20" s="33">
        <v>3.5256</v>
      </c>
      <c r="AA20" s="34">
        <v>528.84</v>
      </c>
      <c r="AB20" s="33">
        <v>5.2884</v>
      </c>
      <c r="AC20" s="34">
        <v>532</v>
      </c>
    </row>
    <row r="21" customFormat="1" spans="1:31">
      <c r="A21" t="s">
        <v>173</v>
      </c>
      <c r="Q21" s="33"/>
      <c r="R21" s="35">
        <v>0.21</v>
      </c>
      <c r="Y21" t="s">
        <v>92</v>
      </c>
      <c r="Z21" s="33">
        <f>100%*1.05</f>
        <v>1.05</v>
      </c>
      <c r="AA21" s="34"/>
      <c r="AB21" s="33">
        <f>150%*1.05</f>
        <v>1.575</v>
      </c>
      <c r="AC21" s="34"/>
    </row>
    <row r="22" spans="1:31">
      <c r="A22" t="s">
        <v>187</v>
      </c>
      <c r="Q22" s="33">
        <f>IF(期望!$F$18&lt;75%,15%,0)</f>
        <v>0</v>
      </c>
      <c r="R22" s="35">
        <v>0.21</v>
      </c>
      <c r="W22">
        <v>1</v>
      </c>
      <c r="Y22" t="s">
        <v>92</v>
      </c>
      <c r="Z22" s="33">
        <f>100%*1.05</f>
        <v>1.05</v>
      </c>
      <c r="AB22" s="33">
        <f>150%*1.05</f>
        <v>1.575</v>
      </c>
    </row>
    <row r="23" customFormat="1" spans="1:31">
      <c r="A23" t="s">
        <v>222</v>
      </c>
      <c r="Q23" s="33"/>
      <c r="R23" s="35">
        <v>0.21</v>
      </c>
      <c r="Y23" t="s">
        <v>105</v>
      </c>
      <c r="Z23" s="33">
        <f>198.74%*2</f>
        <v>3.9748</v>
      </c>
      <c r="AA23" s="34">
        <f>516*2</f>
        <v>1032</v>
      </c>
      <c r="AB23" s="33">
        <f t="shared" ref="AB23:AB38" si="0">Z23*1.5</f>
        <v>5.9622</v>
      </c>
      <c r="AC23" s="34"/>
      <c r="AE23">
        <v>1</v>
      </c>
    </row>
    <row r="24" customFormat="1" spans="1:31">
      <c r="A24" t="s">
        <v>76</v>
      </c>
      <c r="Q24" s="33"/>
      <c r="R24" s="35">
        <v>0.21</v>
      </c>
      <c r="Y24" t="s">
        <v>105</v>
      </c>
      <c r="Z24" s="33">
        <f>74.53%*2</f>
        <v>1.4906</v>
      </c>
      <c r="AA24" s="34">
        <f>193*2</f>
        <v>386</v>
      </c>
      <c r="AB24" s="33">
        <f t="shared" si="0"/>
        <v>2.2359</v>
      </c>
      <c r="AC24" s="34"/>
      <c r="AE24">
        <v>1</v>
      </c>
    </row>
    <row r="25" customFormat="1" spans="1:31">
      <c r="A25" t="s">
        <v>202</v>
      </c>
      <c r="B25" s="35"/>
      <c r="E25" s="35"/>
      <c r="G25" s="35"/>
      <c r="N25" s="35"/>
      <c r="R25" s="35">
        <v>0.21</v>
      </c>
      <c r="Y25" t="s">
        <v>105</v>
      </c>
      <c r="Z25" s="33">
        <f>254.72%*2.7*1.5</f>
        <v>10.31616</v>
      </c>
      <c r="AA25" s="34">
        <f>511*2.7*1.5</f>
        <v>2069.55</v>
      </c>
      <c r="AB25" s="33">
        <f t="shared" si="0"/>
        <v>15.47424</v>
      </c>
      <c r="AC25" s="34"/>
      <c r="AE25">
        <v>1</v>
      </c>
    </row>
    <row r="26" customFormat="1" spans="1:31">
      <c r="A26" t="s">
        <v>165</v>
      </c>
      <c r="B26" s="35"/>
      <c r="Q26" s="33"/>
      <c r="R26" s="35">
        <v>0.21</v>
      </c>
      <c r="Y26" t="s">
        <v>102</v>
      </c>
      <c r="Z26" s="33">
        <f>319.92%+391.02%</f>
        <v>7.1094</v>
      </c>
      <c r="AA26" s="34">
        <f>639+781</f>
        <v>1420</v>
      </c>
      <c r="AB26" s="33">
        <f t="shared" si="0"/>
        <v>10.6641</v>
      </c>
      <c r="AC26" s="34"/>
      <c r="AE26">
        <v>1</v>
      </c>
    </row>
    <row r="27" customFormat="1" spans="1:31">
      <c r="A27" t="s">
        <v>223</v>
      </c>
      <c r="B27" s="35">
        <v>0.47</v>
      </c>
      <c r="Q27" s="33"/>
      <c r="R27" s="35">
        <v>0.21</v>
      </c>
      <c r="V27">
        <v>1</v>
      </c>
      <c r="Y27" t="s">
        <v>102</v>
      </c>
      <c r="Z27" s="33">
        <f>1636.57%*2.2*0.7</f>
        <v>25.203178</v>
      </c>
      <c r="AA27" s="34">
        <f>3275*2.2*0.7</f>
        <v>5043.5</v>
      </c>
      <c r="AB27" s="33">
        <f t="shared" si="0"/>
        <v>37.804767</v>
      </c>
      <c r="AC27" s="34"/>
      <c r="AE27">
        <v>1</v>
      </c>
    </row>
    <row r="28" customFormat="1" spans="1:31">
      <c r="A28" t="s">
        <v>224</v>
      </c>
      <c r="Q28" s="33"/>
      <c r="R28" s="35">
        <v>0.21</v>
      </c>
      <c r="Y28" t="s">
        <v>105</v>
      </c>
      <c r="Z28" s="33">
        <f>(416.02%+772.61%)*2</f>
        <v>23.7726</v>
      </c>
      <c r="AA28" s="34">
        <f>(803+1493)*2</f>
        <v>4592</v>
      </c>
      <c r="AB28" s="33">
        <f t="shared" si="0"/>
        <v>35.6589</v>
      </c>
      <c r="AC28" s="34"/>
      <c r="AE28">
        <v>1</v>
      </c>
    </row>
    <row r="29" customFormat="1" spans="1:31">
      <c r="A29" t="s">
        <v>225</v>
      </c>
      <c r="B29" s="35"/>
      <c r="Q29" s="33"/>
      <c r="R29" s="35">
        <v>0.21</v>
      </c>
      <c r="Y29" t="s">
        <v>102</v>
      </c>
      <c r="Z29" s="33">
        <f>257.06%/2</f>
        <v>1.2853</v>
      </c>
      <c r="AA29" s="34">
        <f>520/2</f>
        <v>260</v>
      </c>
      <c r="AB29" s="33">
        <f t="shared" si="0"/>
        <v>1.92795</v>
      </c>
      <c r="AC29" s="34"/>
      <c r="AE29">
        <v>1</v>
      </c>
    </row>
    <row r="30" customFormat="1" spans="1:31">
      <c r="A30" t="s">
        <v>226</v>
      </c>
      <c r="Q30" s="33"/>
      <c r="R30" s="35">
        <v>0.21</v>
      </c>
      <c r="Y30" t="s">
        <v>102</v>
      </c>
      <c r="Z30" s="33">
        <f>257.06%+141.64%</f>
        <v>3.987</v>
      </c>
      <c r="AA30" s="34">
        <f>520+287</f>
        <v>807</v>
      </c>
      <c r="AB30" s="33">
        <f t="shared" si="0"/>
        <v>5.9805</v>
      </c>
      <c r="AC30" s="34"/>
      <c r="AE30">
        <v>1</v>
      </c>
    </row>
    <row r="31" customFormat="1" spans="1:31">
      <c r="A31" t="s">
        <v>227</v>
      </c>
      <c r="B31" s="35"/>
      <c r="Q31" s="33"/>
      <c r="R31" s="35">
        <v>0.21</v>
      </c>
      <c r="T31" s="35"/>
      <c r="Y31" t="s">
        <v>102</v>
      </c>
      <c r="Z31" s="33">
        <v>0.2361</v>
      </c>
      <c r="AA31" s="34">
        <v>47</v>
      </c>
      <c r="AB31" s="33">
        <f t="shared" si="0"/>
        <v>0.35415</v>
      </c>
      <c r="AC31" s="34"/>
      <c r="AE31">
        <v>0.6</v>
      </c>
    </row>
    <row r="32" customFormat="1" spans="1:31">
      <c r="A32" t="s">
        <v>228</v>
      </c>
      <c r="B32" s="35"/>
      <c r="Q32" s="33"/>
      <c r="R32" s="35">
        <v>0.21</v>
      </c>
      <c r="Y32" t="s">
        <v>102</v>
      </c>
      <c r="Z32" s="33">
        <f>272.47%/2</f>
        <v>1.36235</v>
      </c>
      <c r="AA32" s="34">
        <f>548/2</f>
        <v>274</v>
      </c>
      <c r="AB32" s="33">
        <f t="shared" si="0"/>
        <v>2.043525</v>
      </c>
      <c r="AC32" s="34"/>
      <c r="AE32">
        <v>1</v>
      </c>
    </row>
    <row r="33" customFormat="1" spans="1:31">
      <c r="A33" t="s">
        <v>229</v>
      </c>
      <c r="Q33" s="33"/>
      <c r="R33" s="35">
        <v>0.21</v>
      </c>
      <c r="Y33" t="s">
        <v>102</v>
      </c>
      <c r="Z33" s="33">
        <f>272.47%+150.14%</f>
        <v>4.2261</v>
      </c>
      <c r="AA33" s="34">
        <f>548+302</f>
        <v>850</v>
      </c>
      <c r="AB33" s="33">
        <f t="shared" si="0"/>
        <v>6.33915</v>
      </c>
      <c r="AC33" s="34"/>
      <c r="AE33">
        <v>1</v>
      </c>
    </row>
    <row r="34" customFormat="1" spans="1:31">
      <c r="A34" t="s">
        <v>230</v>
      </c>
      <c r="B34" s="35"/>
      <c r="Q34" s="33"/>
      <c r="R34" s="35">
        <v>0.21</v>
      </c>
      <c r="T34" s="35"/>
      <c r="Y34" t="s">
        <v>102</v>
      </c>
      <c r="Z34" s="33">
        <v>0.2958</v>
      </c>
      <c r="AA34" s="34">
        <v>59</v>
      </c>
      <c r="AB34" s="33">
        <f t="shared" si="0"/>
        <v>0.4437</v>
      </c>
      <c r="AC34" s="34"/>
      <c r="AE34">
        <v>0.6</v>
      </c>
    </row>
    <row r="35" customFormat="1" spans="1:31">
      <c r="A35" t="s">
        <v>231</v>
      </c>
      <c r="Q35" s="33"/>
      <c r="R35" s="35">
        <v>0.21</v>
      </c>
      <c r="Y35" t="s">
        <v>102</v>
      </c>
      <c r="Z35" s="33">
        <v>1.024</v>
      </c>
      <c r="AA35" s="34">
        <v>203</v>
      </c>
      <c r="AB35" s="33">
        <f t="shared" si="0"/>
        <v>1.536</v>
      </c>
      <c r="AC35" s="34"/>
      <c r="AE35">
        <v>1</v>
      </c>
    </row>
    <row r="36" customFormat="1" spans="1:31">
      <c r="A36" t="s">
        <v>232</v>
      </c>
      <c r="B36" s="35">
        <v>0.8</v>
      </c>
      <c r="Q36" s="33"/>
      <c r="R36" s="35">
        <v>0.21</v>
      </c>
      <c r="Y36" t="s">
        <v>102</v>
      </c>
      <c r="Z36" s="33">
        <v>1.7066</v>
      </c>
      <c r="AA36" s="34">
        <v>339</v>
      </c>
      <c r="AB36" s="33">
        <f t="shared" si="0"/>
        <v>2.5599</v>
      </c>
      <c r="AC36" s="34"/>
      <c r="AE36">
        <v>1</v>
      </c>
    </row>
    <row r="37" customFormat="1" spans="1:31">
      <c r="A37" t="s">
        <v>233</v>
      </c>
      <c r="Q37" s="33"/>
      <c r="R37" s="35">
        <v>0.21</v>
      </c>
      <c r="Y37" t="s">
        <v>102</v>
      </c>
      <c r="Z37" s="33">
        <v>0.7022</v>
      </c>
      <c r="AA37" s="34">
        <v>139</v>
      </c>
      <c r="AB37" s="33">
        <f t="shared" si="0"/>
        <v>1.0533</v>
      </c>
      <c r="AC37" s="34"/>
      <c r="AE37">
        <v>1</v>
      </c>
    </row>
    <row r="38" customFormat="1" spans="1:31">
      <c r="A38" t="s">
        <v>234</v>
      </c>
      <c r="Q38" s="33"/>
      <c r="R38" s="35">
        <v>0.21</v>
      </c>
      <c r="Y38" t="s">
        <v>102</v>
      </c>
      <c r="Z38" s="33">
        <v>1.6091</v>
      </c>
      <c r="AA38" s="34">
        <v>319</v>
      </c>
      <c r="AB38" s="33">
        <f t="shared" si="0"/>
        <v>2.41365</v>
      </c>
      <c r="AC38" s="34"/>
      <c r="AE38">
        <v>1</v>
      </c>
    </row>
    <row r="39" customFormat="1" spans="1:31">
      <c r="A39" t="s">
        <v>192</v>
      </c>
      <c r="Q39" s="33"/>
      <c r="R39" s="35">
        <v>0.21</v>
      </c>
      <c r="Y39" t="s">
        <v>235</v>
      </c>
      <c r="Z39" s="33">
        <v>1</v>
      </c>
      <c r="AA39" s="34"/>
      <c r="AB39" s="33">
        <v>1</v>
      </c>
      <c r="AC39" s="34"/>
      <c r="AE39">
        <v>1</v>
      </c>
    </row>
    <row r="40" customFormat="1" spans="1:31">
      <c r="A40" t="s">
        <v>236</v>
      </c>
      <c r="B40" s="35"/>
      <c r="E40" s="35"/>
      <c r="G40" s="35"/>
      <c r="N40" s="35"/>
      <c r="R40" s="35">
        <v>0.21</v>
      </c>
      <c r="Y40" t="s">
        <v>105</v>
      </c>
      <c r="Z40" s="33">
        <f>254.72%*2.7</f>
        <v>6.87744</v>
      </c>
      <c r="AA40" s="34">
        <f>511*2.7</f>
        <v>1379.7</v>
      </c>
      <c r="AB40" s="33">
        <f>Z40*1.5</f>
        <v>10.31616</v>
      </c>
      <c r="AC40" s="34"/>
      <c r="AE40">
        <v>1</v>
      </c>
    </row>
    <row r="41" customFormat="1" spans="1:31">
      <c r="A41" t="s">
        <v>106</v>
      </c>
      <c r="Q41" s="33"/>
      <c r="R41" s="35">
        <v>0.21</v>
      </c>
      <c r="Y41" t="s">
        <v>105</v>
      </c>
      <c r="Z41" s="33">
        <f>118.87%*2</f>
        <v>2.3774</v>
      </c>
      <c r="AA41" s="34">
        <f>238*2</f>
        <v>476</v>
      </c>
      <c r="AB41" s="33">
        <f>Z41*1.5</f>
        <v>3.5661</v>
      </c>
      <c r="AC41" s="34"/>
      <c r="AE41">
        <v>1</v>
      </c>
    </row>
    <row r="42" customFormat="1" spans="1:31">
      <c r="A42" t="s">
        <v>80</v>
      </c>
      <c r="Q42" s="33"/>
      <c r="Y42" t="s">
        <v>235</v>
      </c>
      <c r="Z42" s="33">
        <v>0</v>
      </c>
      <c r="AA42" s="34"/>
      <c r="AB42" s="33">
        <v>0</v>
      </c>
      <c r="AC42" s="34"/>
      <c r="AE42">
        <v>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3"/>
  <sheetViews>
    <sheetView workbookViewId="0">
      <selection activeCell="R16" sqref="R16"/>
    </sheetView>
  </sheetViews>
  <sheetFormatPr defaultColWidth="9" defaultRowHeight="13.5"/>
  <cols>
    <col min="1" max="1" width="15.875" customWidth="1"/>
    <col min="2" max="2" width="9.00833333333333" customWidth="1"/>
    <col min="23" max="23" width="9" style="33"/>
    <col min="24" max="24" width="9.375" style="33"/>
    <col min="25" max="25" width="9" style="34"/>
    <col min="26" max="26" width="9.375" style="33"/>
    <col min="27" max="27" width="9" style="34"/>
  </cols>
  <sheetData>
    <row r="1" spans="1:27">
      <c r="B1" t="s">
        <v>39</v>
      </c>
      <c r="C1" t="s">
        <v>205</v>
      </c>
      <c r="D1" t="s">
        <v>206</v>
      </c>
      <c r="E1" t="s">
        <v>207</v>
      </c>
      <c r="F1" t="s">
        <v>208</v>
      </c>
      <c r="G1" t="s">
        <v>209</v>
      </c>
      <c r="H1" t="s">
        <v>210</v>
      </c>
      <c r="I1" t="s">
        <v>48</v>
      </c>
      <c r="J1" t="s">
        <v>49</v>
      </c>
      <c r="K1" t="s">
        <v>52</v>
      </c>
      <c r="L1" t="s">
        <v>53</v>
      </c>
      <c r="M1" t="s">
        <v>56</v>
      </c>
      <c r="N1" t="s">
        <v>57</v>
      </c>
      <c r="O1" t="s">
        <v>60</v>
      </c>
      <c r="P1" t="s">
        <v>61</v>
      </c>
      <c r="Q1" t="s">
        <v>110</v>
      </c>
      <c r="R1" t="s">
        <v>211</v>
      </c>
      <c r="S1" t="s">
        <v>111</v>
      </c>
      <c r="T1" t="s">
        <v>212</v>
      </c>
      <c r="U1" t="s">
        <v>237</v>
      </c>
      <c r="V1" t="s">
        <v>238</v>
      </c>
      <c r="W1" s="33" t="s">
        <v>70</v>
      </c>
      <c r="X1" s="33" t="s">
        <v>71</v>
      </c>
    </row>
    <row r="2" spans="1:27">
      <c r="A2" t="s">
        <v>90</v>
      </c>
      <c r="B2" s="35">
        <v>0.08</v>
      </c>
      <c r="I2">
        <v>16</v>
      </c>
      <c r="K2">
        <v>16</v>
      </c>
      <c r="M2">
        <v>16</v>
      </c>
      <c r="O2">
        <v>16</v>
      </c>
      <c r="W2" s="36"/>
      <c r="X2" s="36"/>
      <c r="Y2" s="37"/>
      <c r="Z2" s="36"/>
    </row>
    <row r="3" spans="1:27">
      <c r="A3" t="s">
        <v>239</v>
      </c>
      <c r="B3" s="35">
        <f>IF(期望!$D$20="√",25%,0)</f>
        <v>0.25</v>
      </c>
      <c r="W3" s="36"/>
      <c r="X3" s="36"/>
      <c r="Y3" s="37"/>
      <c r="Z3" s="36"/>
    </row>
    <row r="4" customFormat="1" spans="1:27">
      <c r="A4" t="s">
        <v>240</v>
      </c>
      <c r="B4" s="35"/>
      <c r="E4" s="35">
        <f>IF(期望!$D$21="√",12%,0)</f>
        <v>0</v>
      </c>
      <c r="H4" s="35">
        <f>IF(期望!$D$21="√",12%,0)</f>
        <v>0</v>
      </c>
      <c r="I4" s="35"/>
      <c r="W4" s="36"/>
      <c r="X4" s="36"/>
      <c r="Y4" s="37"/>
      <c r="Z4" s="36"/>
      <c r="AA4" s="34"/>
    </row>
    <row r="5" customFormat="1" spans="1:27">
      <c r="A5" t="s">
        <v>241</v>
      </c>
      <c r="B5" s="35"/>
      <c r="H5" s="35">
        <f>IF(期望!$D$21="√",6%,0)</f>
        <v>0</v>
      </c>
      <c r="W5" s="36"/>
      <c r="X5" s="36"/>
      <c r="Y5" s="37"/>
      <c r="Z5" s="36"/>
      <c r="AA5" s="34"/>
    </row>
    <row r="6" customFormat="1" spans="1:27">
      <c r="A6" t="s">
        <v>82</v>
      </c>
      <c r="B6" s="35"/>
      <c r="G6" s="35">
        <f>IF(期望!$D$21="√",2%,0)</f>
        <v>0</v>
      </c>
      <c r="J6" s="35">
        <f>IF(期望!$D$21="√",2%,0)</f>
        <v>0</v>
      </c>
      <c r="L6" s="35">
        <f>IF(期望!$D$21="√",2%,0)</f>
        <v>0</v>
      </c>
      <c r="N6" s="35">
        <f>IF(期望!$D$21="√",2%,0)</f>
        <v>0</v>
      </c>
      <c r="P6" s="35">
        <f>IF(期望!$D$21="√",2%,0)</f>
        <v>0</v>
      </c>
      <c r="W6" s="36"/>
      <c r="X6" s="36"/>
      <c r="Y6" s="37"/>
      <c r="Z6" s="36"/>
      <c r="AA6" s="34"/>
    </row>
    <row r="7" customFormat="1" spans="1:27">
      <c r="A7" t="s">
        <v>85</v>
      </c>
      <c r="B7" s="35"/>
      <c r="G7" s="35">
        <f>IF(期望!$D$22="√",2%,0)</f>
        <v>0.02</v>
      </c>
      <c r="J7" s="35">
        <f>IF(期望!$D$22="√",2%,0)</f>
        <v>0.02</v>
      </c>
      <c r="L7" s="35">
        <f>IF(期望!$D$22="√",2%,0)</f>
        <v>0.02</v>
      </c>
      <c r="N7" s="35">
        <f>IF(期望!$D$22="√",2%,0)</f>
        <v>0.02</v>
      </c>
      <c r="P7" s="35">
        <f>IF(期望!$D$22="√",2%,0)</f>
        <v>0.02</v>
      </c>
      <c r="W7" s="36"/>
      <c r="X7" s="36"/>
      <c r="Y7" s="37"/>
      <c r="Z7" s="36"/>
      <c r="AA7" s="34"/>
    </row>
    <row r="8" spans="1:27">
      <c r="A8" t="s">
        <v>79</v>
      </c>
      <c r="B8" s="35"/>
      <c r="G8" s="35">
        <v>0.12</v>
      </c>
      <c r="L8" s="35">
        <v>0.12</v>
      </c>
      <c r="W8" s="36"/>
      <c r="X8" s="36"/>
      <c r="Y8" s="37"/>
      <c r="Z8" s="36"/>
    </row>
    <row r="9" spans="1:27">
      <c r="A9" t="s">
        <v>141</v>
      </c>
      <c r="F9">
        <v>15</v>
      </c>
      <c r="R9" s="35">
        <v>0.15</v>
      </c>
      <c r="W9" s="36"/>
    </row>
    <row r="10" customFormat="1" spans="1:27">
      <c r="A10" t="s">
        <v>136</v>
      </c>
      <c r="B10"/>
      <c r="F10">
        <v>12</v>
      </c>
      <c r="R10" s="35">
        <v>0.12</v>
      </c>
      <c r="W10" s="36"/>
      <c r="X10" s="33"/>
      <c r="Y10" s="34"/>
      <c r="Z10" s="33"/>
      <c r="AA10" s="34"/>
    </row>
    <row r="11" customFormat="1" spans="1:27">
      <c r="A11" t="s">
        <v>132</v>
      </c>
      <c r="F11">
        <v>9</v>
      </c>
      <c r="R11" s="35">
        <v>0.09</v>
      </c>
      <c r="W11" s="36"/>
      <c r="X11" s="33"/>
      <c r="Y11" s="34"/>
      <c r="Z11" s="33"/>
      <c r="AA11" s="34"/>
    </row>
    <row r="12" customFormat="1" spans="1:27">
      <c r="A12" t="s">
        <v>126</v>
      </c>
      <c r="F12">
        <v>6</v>
      </c>
      <c r="R12" s="35">
        <v>0.06</v>
      </c>
      <c r="W12" s="36"/>
      <c r="X12" s="33"/>
      <c r="Y12" s="34"/>
      <c r="Z12" s="33"/>
      <c r="AA12" s="34"/>
    </row>
    <row r="13" customFormat="1" spans="1:27">
      <c r="A13" t="s">
        <v>123</v>
      </c>
      <c r="F13">
        <v>3</v>
      </c>
      <c r="R13" s="35">
        <v>0.03</v>
      </c>
      <c r="W13" s="36"/>
      <c r="X13" s="33"/>
      <c r="Y13" s="34"/>
      <c r="Z13" s="33"/>
      <c r="AA13" s="34"/>
    </row>
    <row r="14" customFormat="1" spans="1:27">
      <c r="A14" t="s">
        <v>91</v>
      </c>
      <c r="B14"/>
      <c r="F14">
        <v>10</v>
      </c>
      <c r="R14" s="35">
        <v>0.1</v>
      </c>
      <c r="W14" s="36"/>
      <c r="X14" s="33"/>
      <c r="Y14" s="34"/>
      <c r="Z14" s="33"/>
      <c r="AA14" s="34"/>
    </row>
    <row r="15" customFormat="1" spans="1:27">
      <c r="A15" t="s">
        <v>193</v>
      </c>
      <c r="B15" s="35"/>
      <c r="F15">
        <f>IF(AND(期望!$E$24="唐刀",期望!$E$22="断石之构"),25,0)</f>
        <v>0</v>
      </c>
      <c r="R15" s="35">
        <f>IF(AND(期望!$E$24="唐刀",期望!$E$22="断石之构"),25%,0)</f>
        <v>0</v>
      </c>
      <c r="W15" s="36"/>
      <c r="X15" s="33"/>
      <c r="Y15" s="34"/>
      <c r="Z15" s="33"/>
      <c r="AA15" s="34"/>
    </row>
    <row r="16" spans="1:27">
      <c r="A16" t="s">
        <v>183</v>
      </c>
      <c r="B16" s="35"/>
      <c r="W16" s="36">
        <v>0.1</v>
      </c>
    </row>
    <row r="17" spans="1:26">
      <c r="A17" t="s">
        <v>74</v>
      </c>
      <c r="B17" s="35">
        <v>0.08</v>
      </c>
      <c r="W17" s="36"/>
    </row>
    <row r="18" spans="1:26">
      <c r="A18" t="s">
        <v>145</v>
      </c>
      <c r="R18" s="35">
        <v>0.1</v>
      </c>
      <c r="W18" s="36"/>
    </row>
    <row r="19" spans="1:26">
      <c r="A19" t="s">
        <v>81</v>
      </c>
      <c r="B19" s="35">
        <v>0.02</v>
      </c>
      <c r="R19" s="35"/>
      <c r="W19" s="36"/>
    </row>
    <row r="20" spans="1:26">
      <c r="A20" t="s">
        <v>142</v>
      </c>
      <c r="B20" s="35">
        <v>0.05</v>
      </c>
      <c r="R20" s="35"/>
      <c r="W20" s="36"/>
    </row>
    <row r="21" spans="1:26">
      <c r="A21" t="s">
        <v>149</v>
      </c>
      <c r="B21" s="35">
        <v>0.03</v>
      </c>
    </row>
    <row r="22" spans="1:26">
      <c r="A22" t="s">
        <v>184</v>
      </c>
      <c r="B22" s="35"/>
      <c r="J22" s="35">
        <f>IF(期望!$D$18="√",10%,0)</f>
        <v>0.1</v>
      </c>
      <c r="W22" s="33">
        <f>IF(期望!$D$18="√",10%,0)</f>
        <v>0.1</v>
      </c>
      <c r="X22" s="36"/>
      <c r="Y22" s="37"/>
      <c r="Z22" s="36"/>
    </row>
    <row r="23" spans="1:26">
      <c r="A23" t="s">
        <v>83</v>
      </c>
      <c r="B23" s="35"/>
      <c r="W23" s="33">
        <v>0.05</v>
      </c>
      <c r="X23" s="36"/>
      <c r="Y23" s="37"/>
      <c r="Z23" s="36"/>
    </row>
    <row r="24" spans="1:26">
      <c r="A24" t="s">
        <v>84</v>
      </c>
      <c r="B24" s="35">
        <v>0.08</v>
      </c>
      <c r="F24">
        <v>12</v>
      </c>
      <c r="K24">
        <v>12</v>
      </c>
      <c r="X24" s="36"/>
      <c r="Y24" s="37"/>
      <c r="Z24" s="36"/>
    </row>
    <row r="25" spans="1:26">
      <c r="A25" s="38" t="s">
        <v>242</v>
      </c>
      <c r="X25" s="36"/>
      <c r="Y25" s="37"/>
      <c r="Z25" s="36"/>
    </row>
    <row r="26" spans="1:26">
      <c r="A26" t="s">
        <v>78</v>
      </c>
      <c r="R26" s="35">
        <f>IF(期望!$F$16="√",1%,0)</f>
        <v>0.01</v>
      </c>
      <c r="X26" s="36"/>
      <c r="Y26" s="37"/>
      <c r="Z26" s="36"/>
    </row>
    <row r="27" spans="1:26">
      <c r="A27" t="s">
        <v>89</v>
      </c>
      <c r="R27" s="35">
        <f>IF(期望!$F$16="√",2%,0)</f>
        <v>0.02</v>
      </c>
      <c r="X27" s="36"/>
      <c r="Y27" s="37"/>
      <c r="Z27" s="36"/>
    </row>
    <row r="28" spans="1:26">
      <c r="A28" t="s">
        <v>95</v>
      </c>
      <c r="R28" s="35">
        <f>IF(期望!$F$16="√",3%,0)</f>
        <v>0.03</v>
      </c>
      <c r="X28" s="36"/>
      <c r="Y28" s="37"/>
      <c r="Z28" s="36"/>
    </row>
    <row r="29" spans="1:26">
      <c r="A29" t="s">
        <v>100</v>
      </c>
      <c r="R29" s="35">
        <f>IF(期望!$F$16="√",4%,0)</f>
        <v>0.04</v>
      </c>
      <c r="X29" s="36"/>
      <c r="Y29" s="37"/>
      <c r="Z29" s="36"/>
    </row>
    <row r="30" spans="1:26">
      <c r="A30" t="s">
        <v>103</v>
      </c>
      <c r="R30" s="35">
        <f>IF(期望!$F$16="√",5%,0)</f>
        <v>0.05</v>
      </c>
      <c r="X30" s="36"/>
      <c r="Y30" s="37"/>
      <c r="Z30" s="36"/>
    </row>
    <row r="31" spans="1:26">
      <c r="A31" t="s">
        <v>170</v>
      </c>
      <c r="R31" s="35">
        <f>IF(期望!$F$16="√",6%,0)</f>
        <v>0.06</v>
      </c>
      <c r="X31" s="36"/>
      <c r="Y31" s="37"/>
      <c r="Z31" s="36"/>
    </row>
    <row r="32" spans="1:26">
      <c r="A32" t="s">
        <v>176</v>
      </c>
      <c r="R32" s="35">
        <f>IF(期望!$F$16="√",7%,0)</f>
        <v>0.07</v>
      </c>
      <c r="X32" s="36"/>
      <c r="Y32" s="37"/>
      <c r="Z32" s="36"/>
    </row>
    <row r="33" spans="1:26">
      <c r="A33" t="s">
        <v>178</v>
      </c>
      <c r="R33" s="35">
        <f>IF(期望!$F$16="√",8%,0)</f>
        <v>0.08</v>
      </c>
      <c r="X33" s="36"/>
      <c r="Y33" s="37"/>
      <c r="Z33" s="36"/>
    </row>
    <row r="34" spans="1:26">
      <c r="A34" t="s">
        <v>181</v>
      </c>
      <c r="R34" s="35">
        <f>IF(期望!$F$16="√",9%,0)</f>
        <v>0.09</v>
      </c>
      <c r="X34" s="36"/>
      <c r="Y34" s="37"/>
      <c r="Z34" s="36"/>
    </row>
    <row r="35" spans="1:26">
      <c r="A35" t="s">
        <v>182</v>
      </c>
      <c r="R35" s="35">
        <f>IF(期望!$F$16="√",10%,0)</f>
        <v>0.1</v>
      </c>
      <c r="X35" s="36"/>
      <c r="Y35" s="37"/>
      <c r="Z35" s="36"/>
    </row>
    <row r="36" spans="1:26">
      <c r="A36" t="s">
        <v>243</v>
      </c>
      <c r="R36" s="35">
        <f>IF(期望!$F$16="√",10%,0)</f>
        <v>0.1</v>
      </c>
      <c r="X36" s="36"/>
      <c r="Y36" s="37"/>
      <c r="Z36" s="36"/>
    </row>
    <row r="37" spans="1:26">
      <c r="A37" t="s">
        <v>117</v>
      </c>
      <c r="B37" s="35">
        <v>0.01</v>
      </c>
      <c r="F37">
        <v>2</v>
      </c>
      <c r="X37" s="36"/>
      <c r="Y37" s="37"/>
      <c r="Z37" s="36"/>
    </row>
    <row r="38" spans="1:26">
      <c r="A38" t="s">
        <v>77</v>
      </c>
      <c r="B38" s="35">
        <v>0.02</v>
      </c>
      <c r="F38">
        <v>4</v>
      </c>
      <c r="X38" s="36"/>
      <c r="Y38" s="37"/>
      <c r="Z38" s="36"/>
    </row>
    <row r="39" spans="1:26">
      <c r="A39" t="s">
        <v>88</v>
      </c>
      <c r="B39" s="35">
        <v>0.03</v>
      </c>
      <c r="F39">
        <v>6</v>
      </c>
      <c r="X39" s="36"/>
      <c r="Y39" s="37"/>
      <c r="Z39" s="36"/>
    </row>
    <row r="40" spans="1:26">
      <c r="A40" t="s">
        <v>94</v>
      </c>
      <c r="B40" s="35">
        <v>0.04</v>
      </c>
      <c r="F40">
        <v>8</v>
      </c>
      <c r="X40" s="36"/>
      <c r="Y40" s="37"/>
      <c r="Z40" s="36"/>
    </row>
    <row r="41" spans="1:26">
      <c r="A41" t="s">
        <v>99</v>
      </c>
      <c r="B41" s="35">
        <v>0.05</v>
      </c>
      <c r="F41">
        <v>10</v>
      </c>
      <c r="X41" s="36"/>
      <c r="Y41" s="37"/>
      <c r="Z41" s="36"/>
    </row>
    <row r="42" spans="1:26">
      <c r="A42" t="s">
        <v>80</v>
      </c>
      <c r="X42" s="36"/>
      <c r="Y42" s="37"/>
      <c r="Z42" s="36"/>
    </row>
    <row r="43" spans="1:26">
      <c r="X43" s="36"/>
      <c r="Y43" s="37"/>
      <c r="Z43" s="36"/>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3"/>
  <sheetViews>
    <sheetView tabSelected="1" topLeftCell="A25" workbookViewId="0">
      <selection activeCell="C58" sqref="C58"/>
    </sheetView>
  </sheetViews>
  <sheetFormatPr defaultColWidth="9" defaultRowHeight="13.5" outlineLevelCol="3"/>
  <cols>
    <col min="1" max="1" width="9" style="1"/>
    <col min="3" max="3" width="65" customWidth="1"/>
    <col min="4" max="4" width="13.75" customWidth="1"/>
  </cols>
  <sheetData>
    <row r="1" ht="14.25" spans="1:4">
      <c r="A1" s="2" t="s">
        <v>244</v>
      </c>
      <c r="B1" s="3" t="s">
        <v>245</v>
      </c>
      <c r="C1" s="4" t="s">
        <v>246</v>
      </c>
      <c r="D1" s="5" t="s">
        <v>247</v>
      </c>
    </row>
    <row r="2" spans="1:4">
      <c r="A2" s="6">
        <v>0.1</v>
      </c>
      <c r="B2" s="7">
        <v>1</v>
      </c>
      <c r="C2" s="8" t="s">
        <v>248</v>
      </c>
      <c r="D2" s="4" t="s">
        <v>249</v>
      </c>
    </row>
    <row r="3" spans="1:4">
      <c r="A3" s="9"/>
      <c r="B3" s="10">
        <v>2</v>
      </c>
      <c r="C3" s="11" t="s">
        <v>250</v>
      </c>
    </row>
    <row r="4" ht="14.25" spans="1:4">
      <c r="A4" s="12"/>
      <c r="B4" s="13">
        <v>3</v>
      </c>
      <c r="C4" s="14" t="s">
        <v>251</v>
      </c>
    </row>
    <row r="5" ht="14.25" spans="1:4">
      <c r="A5" s="15">
        <v>0.2</v>
      </c>
      <c r="B5" s="16">
        <v>1</v>
      </c>
      <c r="C5" s="17" t="s">
        <v>252</v>
      </c>
    </row>
    <row r="6" ht="14.25" spans="1:4">
      <c r="A6" s="15">
        <v>0.3</v>
      </c>
      <c r="B6" s="16">
        <v>1</v>
      </c>
      <c r="C6" s="17" t="s">
        <v>253</v>
      </c>
    </row>
    <row r="7" ht="14.25" spans="1:4">
      <c r="A7" s="15">
        <v>0.4</v>
      </c>
      <c r="B7" s="16">
        <v>1</v>
      </c>
      <c r="C7" s="17" t="s">
        <v>254</v>
      </c>
    </row>
    <row r="8" ht="14.25" spans="1:4">
      <c r="A8" s="15">
        <v>0.5</v>
      </c>
      <c r="B8" s="16">
        <v>1</v>
      </c>
      <c r="C8" s="17" t="s">
        <v>255</v>
      </c>
    </row>
    <row r="9" spans="1:4">
      <c r="A9" s="18">
        <v>0.6</v>
      </c>
      <c r="B9" s="19">
        <v>1</v>
      </c>
      <c r="C9" s="8" t="s">
        <v>256</v>
      </c>
    </row>
    <row r="10" ht="14.25" spans="1:4">
      <c r="A10" s="20"/>
      <c r="B10" s="13">
        <v>2</v>
      </c>
      <c r="C10" s="14" t="s">
        <v>257</v>
      </c>
    </row>
    <row r="11" ht="14.25" spans="1:4">
      <c r="A11" s="18">
        <v>0.7</v>
      </c>
      <c r="B11" s="19">
        <v>1</v>
      </c>
      <c r="C11" s="8" t="s">
        <v>258</v>
      </c>
    </row>
    <row r="12" spans="1:4">
      <c r="A12" s="18">
        <v>0.8</v>
      </c>
      <c r="B12" s="19">
        <v>1</v>
      </c>
      <c r="C12" s="8" t="s">
        <v>259</v>
      </c>
    </row>
    <row r="13" spans="1:4">
      <c r="A13" s="21"/>
      <c r="B13">
        <v>2</v>
      </c>
      <c r="C13" s="11" t="s">
        <v>260</v>
      </c>
    </row>
    <row r="14" ht="14.25" spans="1:4">
      <c r="A14" s="20"/>
      <c r="B14" s="13">
        <v>3</v>
      </c>
      <c r="C14" s="14" t="s">
        <v>261</v>
      </c>
    </row>
    <row r="15" spans="1:4">
      <c r="A15" s="18">
        <v>0.9</v>
      </c>
      <c r="B15" s="19">
        <v>1</v>
      </c>
      <c r="C15" s="8" t="s">
        <v>262</v>
      </c>
    </row>
    <row r="16" spans="1:4">
      <c r="A16" s="21"/>
      <c r="B16">
        <v>2</v>
      </c>
      <c r="C16" s="11" t="s">
        <v>263</v>
      </c>
    </row>
    <row r="17" ht="14.25" spans="1:3">
      <c r="A17" s="20"/>
      <c r="B17" s="13"/>
      <c r="C17" s="14" t="s">
        <v>264</v>
      </c>
    </row>
    <row r="18" ht="14.25" spans="1:3">
      <c r="A18" s="15">
        <v>1</v>
      </c>
      <c r="B18" s="16">
        <v>1</v>
      </c>
      <c r="C18" s="17" t="s">
        <v>265</v>
      </c>
    </row>
    <row r="19" ht="14.25" spans="1:3">
      <c r="A19" s="15">
        <v>1.1</v>
      </c>
      <c r="B19" s="16">
        <v>1</v>
      </c>
      <c r="C19" s="17" t="s">
        <v>266</v>
      </c>
    </row>
    <row r="20" ht="14.25" spans="1:3">
      <c r="A20" s="15">
        <v>1.2</v>
      </c>
      <c r="B20" s="16">
        <v>1</v>
      </c>
      <c r="C20" s="17" t="s">
        <v>267</v>
      </c>
    </row>
    <row r="21" ht="14.25" spans="1:3">
      <c r="A21" s="15">
        <v>1.3</v>
      </c>
      <c r="B21" s="16">
        <v>1</v>
      </c>
      <c r="C21" s="17" t="s">
        <v>268</v>
      </c>
    </row>
    <row r="22" ht="14.25" spans="1:3">
      <c r="A22" s="15">
        <v>1.4</v>
      </c>
      <c r="B22" s="16">
        <v>1</v>
      </c>
      <c r="C22" s="17" t="s">
        <v>269</v>
      </c>
    </row>
    <row r="23" ht="14.25" spans="1:3">
      <c r="A23" s="18">
        <v>1.5</v>
      </c>
      <c r="B23" s="19">
        <v>1</v>
      </c>
      <c r="C23" s="8" t="s">
        <v>270</v>
      </c>
    </row>
    <row r="24" spans="1:3">
      <c r="A24" s="18">
        <v>1.6</v>
      </c>
      <c r="B24" s="19">
        <v>1</v>
      </c>
      <c r="C24" s="8" t="s">
        <v>271</v>
      </c>
    </row>
    <row r="25" spans="1:3">
      <c r="A25" s="21"/>
      <c r="B25" s="22">
        <v>2</v>
      </c>
      <c r="C25" s="11" t="s">
        <v>272</v>
      </c>
    </row>
    <row r="26" ht="14.25" spans="1:3">
      <c r="A26" s="20"/>
      <c r="B26" s="13">
        <v>3</v>
      </c>
      <c r="C26" s="14" t="s">
        <v>273</v>
      </c>
    </row>
    <row r="27" ht="14.25" spans="1:3">
      <c r="A27" s="15">
        <v>1.7</v>
      </c>
      <c r="B27" s="16">
        <v>1</v>
      </c>
      <c r="C27" s="17" t="s">
        <v>274</v>
      </c>
    </row>
    <row r="28" ht="14.25" spans="1:3">
      <c r="A28" s="15">
        <v>1.8</v>
      </c>
      <c r="B28" s="16">
        <v>1</v>
      </c>
      <c r="C28" s="17" t="s">
        <v>275</v>
      </c>
    </row>
    <row r="29" ht="14.25" spans="1:3">
      <c r="A29" s="15">
        <v>1.9</v>
      </c>
      <c r="B29" s="16">
        <v>1</v>
      </c>
      <c r="C29" s="17" t="s">
        <v>276</v>
      </c>
    </row>
    <row r="30" ht="14.25" spans="1:3">
      <c r="A30" s="23">
        <v>1.1</v>
      </c>
      <c r="B30" s="16">
        <v>1</v>
      </c>
      <c r="C30" s="17" t="s">
        <v>277</v>
      </c>
    </row>
    <row r="31" ht="14.25" spans="1:3">
      <c r="A31" s="23">
        <v>1.11</v>
      </c>
      <c r="B31" s="16">
        <v>1</v>
      </c>
      <c r="C31" s="17" t="s">
        <v>278</v>
      </c>
    </row>
    <row r="32" spans="1:3">
      <c r="A32" s="24">
        <v>1.12</v>
      </c>
      <c r="B32" s="19">
        <v>1</v>
      </c>
      <c r="C32" s="8" t="s">
        <v>279</v>
      </c>
    </row>
    <row r="33" ht="14.25" spans="1:3">
      <c r="A33" s="25"/>
      <c r="B33" s="13"/>
      <c r="C33" s="14" t="s">
        <v>280</v>
      </c>
    </row>
    <row r="34" ht="14.25" spans="1:3">
      <c r="A34" s="23">
        <v>1.13</v>
      </c>
      <c r="B34" s="16">
        <v>1</v>
      </c>
      <c r="C34" s="17" t="s">
        <v>281</v>
      </c>
    </row>
    <row r="35" spans="1:3">
      <c r="A35" s="24">
        <v>1.14</v>
      </c>
      <c r="B35" s="19">
        <v>1</v>
      </c>
      <c r="C35" s="8" t="s">
        <v>282</v>
      </c>
    </row>
    <row r="36" spans="1:3">
      <c r="A36" s="26"/>
      <c r="B36">
        <v>2</v>
      </c>
      <c r="C36" s="11" t="s">
        <v>283</v>
      </c>
    </row>
    <row r="37" spans="1:3">
      <c r="A37" s="26"/>
      <c r="B37">
        <v>3</v>
      </c>
      <c r="C37" s="11" t="s">
        <v>284</v>
      </c>
    </row>
    <row r="38" ht="14.25" spans="1:3">
      <c r="A38" s="25"/>
      <c r="B38" s="13">
        <v>4</v>
      </c>
      <c r="C38" s="14" t="s">
        <v>285</v>
      </c>
    </row>
    <row r="39" ht="14.25" spans="1:3">
      <c r="A39" s="24">
        <v>1.15</v>
      </c>
      <c r="B39" s="19">
        <v>1</v>
      </c>
      <c r="C39" s="8" t="s">
        <v>286</v>
      </c>
    </row>
    <row r="40" spans="1:3">
      <c r="A40" s="18">
        <v>2</v>
      </c>
      <c r="B40" s="19">
        <v>1</v>
      </c>
      <c r="C40" s="8" t="s">
        <v>287</v>
      </c>
    </row>
    <row r="41" spans="1:3">
      <c r="A41" s="21"/>
      <c r="B41" s="22">
        <v>2</v>
      </c>
      <c r="C41" s="11" t="s">
        <v>288</v>
      </c>
    </row>
    <row r="42" spans="1:3">
      <c r="A42" s="21"/>
      <c r="B42" s="22">
        <v>3</v>
      </c>
      <c r="C42" s="11" t="s">
        <v>289</v>
      </c>
    </row>
    <row r="43" ht="14.25" spans="1:3">
      <c r="A43" s="20"/>
      <c r="B43" s="13">
        <v>4</v>
      </c>
      <c r="C43" s="14" t="s">
        <v>290</v>
      </c>
    </row>
    <row r="44" spans="1:3">
      <c r="A44" s="18">
        <v>2.1</v>
      </c>
      <c r="B44" s="19">
        <v>1</v>
      </c>
      <c r="C44" s="8" t="s">
        <v>291</v>
      </c>
    </row>
    <row r="45" ht="14.25" spans="1:3">
      <c r="A45" s="20"/>
      <c r="B45" s="13">
        <v>2</v>
      </c>
      <c r="C45" s="14" t="s">
        <v>292</v>
      </c>
    </row>
    <row r="46" ht="14.25" spans="1:3">
      <c r="A46" s="15">
        <v>2.2</v>
      </c>
      <c r="B46" s="16">
        <v>1</v>
      </c>
      <c r="C46" s="17" t="s">
        <v>293</v>
      </c>
    </row>
    <row r="47" ht="14.25" spans="1:3">
      <c r="A47" s="15">
        <v>2.3</v>
      </c>
      <c r="B47" s="16">
        <v>1</v>
      </c>
      <c r="C47" s="17" t="s">
        <v>294</v>
      </c>
    </row>
    <row r="48" ht="14.25" spans="1:3">
      <c r="A48" s="15">
        <v>2.4</v>
      </c>
      <c r="B48" s="16">
        <v>1</v>
      </c>
      <c r="C48" s="17" t="s">
        <v>295</v>
      </c>
    </row>
    <row r="49" ht="14.25" spans="1:3">
      <c r="A49" s="15">
        <v>2.5</v>
      </c>
      <c r="B49" s="16">
        <v>1</v>
      </c>
      <c r="C49" s="17" t="s">
        <v>296</v>
      </c>
    </row>
    <row r="50" ht="14.25" spans="1:3">
      <c r="A50" s="15">
        <v>2.6</v>
      </c>
      <c r="B50" s="16">
        <v>1</v>
      </c>
      <c r="C50" s="17" t="s">
        <v>297</v>
      </c>
    </row>
    <row r="51" ht="14.25" spans="1:3">
      <c r="A51" s="15">
        <v>3</v>
      </c>
      <c r="B51" s="16">
        <v>1</v>
      </c>
      <c r="C51" s="17" t="s">
        <v>298</v>
      </c>
    </row>
    <row r="52" spans="1:3">
      <c r="A52" s="27">
        <v>3.1</v>
      </c>
      <c r="B52" s="28">
        <v>1</v>
      </c>
      <c r="C52" s="29" t="s">
        <v>299</v>
      </c>
    </row>
    <row r="53" ht="14.25" spans="1:3">
      <c r="A53" s="30"/>
      <c r="B53" s="31">
        <v>2</v>
      </c>
      <c r="C53" s="32" t="s">
        <v>300</v>
      </c>
    </row>
  </sheetData>
  <mergeCells count="10">
    <mergeCell ref="A2:A4"/>
    <mergeCell ref="A9:A10"/>
    <mergeCell ref="A12:A14"/>
    <mergeCell ref="A15:A17"/>
    <mergeCell ref="A24:A26"/>
    <mergeCell ref="A32:A33"/>
    <mergeCell ref="A35:A38"/>
    <mergeCell ref="A40:A43"/>
    <mergeCell ref="A44:A45"/>
    <mergeCell ref="A52:A53"/>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2026-10-10T06:51:01Z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A9271B5BCF9E4E1496E8D008C2A94A9E_12</vt:lpwstr>
  </property>
  <property fmtid="{D5CDD505-2E9C-101B-9397-08002B2CF9AE}" pid="4" name="CalculationRule">
    <vt:i4>0</vt:i4>
  </property>
</Properties>
</file>