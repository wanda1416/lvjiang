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<sst xmlns="http://schemas.openxmlformats.org/spreadsheetml/2006/main" count="5879" uniqueCount="283">
  <si>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</si>
  <si>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</si>
  <si>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</si>
  <si>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</si>
  <si>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</si>
  <si>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</si>
  <si>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</si>
  <si>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</si>
  <si>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</si>
  <si>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</si>
  <si>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</si>
  <si>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</si>
  <si>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</si>
  <si>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</si>
  <si>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</si>
  <si>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</si>
  <si>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</si>
  <si>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</si>
  <si>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</si>
  <si>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</si>
  <si>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</si>
  <si>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</si>
  <si>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</si>
  <si>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</si>
  <si>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</si>
  <si>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</si>
  <si>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</si>
  <si>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</si>
  <si>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</si>
  <si>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</si>
  <si>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</si>
  <si>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</si>
  <si>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</si>
  <si>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</si>
  <si>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</si>
  <si>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</si>
  <si>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</si>
  <si>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</si>
  <si>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</si>
  <si>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</si>
  <si>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</si>
  <si>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</si>
  <si>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</si>
  <si>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</si>
  <si>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</si>
  <si>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</si>
  <si>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</si>
  <si>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</si>
  <si>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</si>
  <si>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</si>
  <si>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</si>
  <si>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</si>
  <si>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</si>
  <si>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</si>
  <si>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</si>
  <si>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</si>
  <si>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</si>
  <si>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</si>
  <si>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</si>
  <si>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</si>
  <si>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</si>
  <si>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</si>
  <si>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</si>
  <si>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</si>
  <si>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</si>
  <si>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</si>
  <si>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</si>
  <si>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</si>
  <si>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</si>
  <si>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</si>
  <si>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</si>
  <si>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</si>
  <si>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</si>
  <si>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</si>
  <si>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</si>
  <si>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</si>
  <si>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</si>
  <si>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</si>
  <si>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</si>
  <si>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沧海帖1层</t>
  </si>
  <si>
    <t>裁云(拐)</t>
  </si>
  <si>
    <t>无惧</t>
  </si>
  <si>
    <t>铁衣</t>
  </si>
  <si>
    <t>鸣金</t>
  </si>
  <si>
    <t>外抗</t>
  </si>
  <si>
    <t>易水歌2层</t>
  </si>
  <si>
    <t>惧刃</t>
  </si>
  <si>
    <t>穿喉5(普)</t>
  </si>
  <si>
    <t>沧海帖2层</t>
  </si>
  <si>
    <t>扶风(拐)</t>
  </si>
  <si>
    <t>离猎(拐)</t>
  </si>
  <si>
    <t>陌刀</t>
  </si>
  <si>
    <t>属抗</t>
  </si>
  <si>
    <t>易水歌3层</t>
  </si>
  <si>
    <t>沧海帖3层</t>
  </si>
  <si>
    <t>烁鼓(拐)</t>
  </si>
  <si>
    <t>牵丝</t>
  </si>
  <si>
    <t>横刀</t>
  </si>
  <si>
    <t>副本天赋</t>
  </si>
  <si>
    <t>易水歌4层</t>
  </si>
  <si>
    <t>沧海帖4层</t>
  </si>
  <si>
    <t>破竹</t>
  </si>
  <si>
    <t>单体奇术</t>
  </si>
  <si>
    <t>易水歌5层</t>
  </si>
  <si>
    <t>无相</t>
  </si>
  <si>
    <t>群体奇术</t>
  </si>
  <si>
    <t>白刃杀将刺</t>
  </si>
  <si>
    <t>精准率</t>
  </si>
  <si>
    <t>实际属性</t>
  </si>
  <si>
    <t>战斗时间</t>
  </si>
  <si>
    <t>横刀安西军</t>
  </si>
  <si>
    <t>会心率</t>
  </si>
  <si>
    <t>陌刀安西军下劈无开山</t>
  </si>
  <si>
    <t>穿喉4</t>
  </si>
  <si>
    <t>中程笛(小人)</t>
  </si>
  <si>
    <t>会意率</t>
  </si>
  <si>
    <t>总伤</t>
  </si>
  <si>
    <t>陌刀安西军跳劈</t>
  </si>
  <si>
    <t>开山</t>
  </si>
  <si>
    <t>直接会心率</t>
  </si>
  <si>
    <t>加速陌刀三蓄</t>
  </si>
  <si>
    <t>穿喉5</t>
  </si>
  <si>
    <t>中程笛(蓄力)</t>
  </si>
  <si>
    <t>直接会意率</t>
  </si>
  <si>
    <t>ADPS</t>
  </si>
  <si>
    <t>陌刀安西军下劈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</si>
  <si>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</si>
  <si>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</si>
  <si>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</si>
  <si>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</si>
  <si>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</si>
  <si>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</si>
  <si>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</si>
  <si>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</si>
  <si>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</si>
  <si>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</si>
  <si>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陌刀增</t>
  </si>
  <si>
    <t>尘</t>
  </si>
  <si>
    <t>所恨年年</t>
  </si>
  <si>
    <t>横刀增</t>
  </si>
  <si>
    <t>虹</t>
  </si>
  <si>
    <t>机制时间</t>
  </si>
  <si>
    <t>单体奇术增</t>
  </si>
  <si>
    <t>群体奇术增</t>
  </si>
  <si>
    <t>影</t>
  </si>
  <si>
    <t>蓄力技定音</t>
  </si>
  <si>
    <t>翊</t>
  </si>
  <si>
    <t>×</t>
  </si>
  <si>
    <t>第四心法</t>
  </si>
  <si>
    <t>骑龙回马</t>
  </si>
  <si>
    <t>固伤加成</t>
  </si>
  <si>
    <t>樽</t>
  </si>
  <si>
    <t>易水歌</t>
  </si>
  <si>
    <t>沧海帖5层</t>
  </si>
  <si>
    <t>食物加成</t>
  </si>
  <si>
    <t>陌刀安西军跳劈无开山</t>
  </si>
  <si>
    <t>陌刀三蓄</t>
  </si>
  <si>
    <t>燃此魂秒放</t>
  </si>
  <si>
    <t>沧海帖6层</t>
  </si>
  <si>
    <t>陌刀安西军荡八荒</t>
  </si>
  <si>
    <t>QQ</t>
  </si>
  <si>
    <t>前置</t>
  </si>
  <si>
    <t>横刀Q1</t>
  </si>
  <si>
    <t>笛</t>
  </si>
  <si>
    <t>横刀～</t>
  </si>
  <si>
    <t>沧海帖7层</t>
  </si>
  <si>
    <t>横刀Q2</t>
  </si>
  <si>
    <t>切武器</t>
  </si>
  <si>
    <t>惧</t>
  </si>
  <si>
    <t>胆寒</t>
  </si>
  <si>
    <t>沧海帖8层</t>
  </si>
  <si>
    <t>加速三蓄</t>
  </si>
  <si>
    <t>鼓</t>
  </si>
  <si>
    <t>沧海帖9层</t>
  </si>
  <si>
    <t>骑龙</t>
  </si>
  <si>
    <t>蓄3</t>
  </si>
  <si>
    <t>沧海帖10层</t>
  </si>
  <si>
    <t>陌刀Q</t>
  </si>
  <si>
    <t>Q1</t>
  </si>
  <si>
    <t>横刀易武</t>
  </si>
  <si>
    <t>横刀重击派生</t>
  </si>
  <si>
    <t>移动药叉</t>
  </si>
  <si>
    <t>横刀左蓄</t>
  </si>
  <si>
    <t>易武派生</t>
  </si>
  <si>
    <t>陌刀～</t>
  </si>
  <si>
    <t>左</t>
  </si>
  <si>
    <t>气竭</t>
  </si>
  <si>
    <t>真气失衡</t>
  </si>
  <si>
    <t>派</t>
  </si>
  <si>
    <t>等待</t>
  </si>
  <si>
    <t>机制</t>
  </si>
  <si>
    <t>射箭</t>
  </si>
  <si>
    <t>易武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</si>
  <si>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</si>
  <si>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</si>
  <si>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</si>
  <si>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</si>
  <si>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</si>
  <si>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</si>
  <si>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</si>
  <si>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</si>
  <si>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</si>
  <si>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</si>
  <si>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</si>
  <si>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</si>
  <si>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</si>
  <si>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</si>
  <si>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</si>
  <si>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</si>
  <si>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横刀重击派生(热血)</t>
  </si>
  <si>
    <t>蓄力技</t>
  </si>
  <si>
    <t>加速陌刀三蓄无开山</t>
  </si>
  <si>
    <t>陌刀一蓄(气竭)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</si>
  <si>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</si>
  <si>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</si>
  <si>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</si>
  <si>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</si>
  <si>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</si>
  <si>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</si>
  <si>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</si>
  <si>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</si>
  <si>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</si>
  <si>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</si>
  <si>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</si>
  <si>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</si>
  <si>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</si>
  <si>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</si>
  <si>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</si>
  <si>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</si>
  <si>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</si>
  <si>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</si>
  <si>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</si>
  <si>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</si>
  <si>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</si>
  <si>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</si>
  <si>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</si>
  <si>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</si>
  <si>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</si>
  <si>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</si>
  <si>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</si>
  <si>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</si>
  <si>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</si>
  <si>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</si>
  <si>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</si>
  <si>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</si>
  <si>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</si>
  <si>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</si>
  <si>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</si>
  <si>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</si>
  <si>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</si>
  <si>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</si>
  <si>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</si>
  <si>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</si>
  <si>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</si>
  <si>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</si>
  <si>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</si>
  <si>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</si>
  <si>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</si>
  <si>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</si>
  <si>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</si>
  <si>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</si>
  <si>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</si>
  <si>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</si>
  <si>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</si>
  <si>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</si>
  <si>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</si>
  <si>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</si>
  <si>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</si>
  <si>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</si>
  <si>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</si>
  <si>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</si>
  <si>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</si>
  <si>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</si>
  <si>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</si>
  <si>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</si>
  <si>
    <t>修正队友基础dps至11万</t>
  </si>
  <si>
    <t>更新蕤宾叠奏下半数值,更新虎孟极快气轴</t>
  </si>
  <si>
    <t>根据排轴修正rd</t>
  </si>
  <si>
    <t>增加了翊的rd,自身rd小于第二个威但不多</t>
  </si>
  <si>
    <t>修正了diy配比以配合打小人和打气稳定性与没精元打叶龙</t>
  </si>
  <si>
    <t>扩充了增益区</t>
  </si>
  <si>
    <t>增加了樽的rd</t>
  </si>
  <si>
    <t>按照上线内容修改了樽的rd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</si>
</sst>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7"/>
  <sheetViews>
    <sheetView workbookViewId="0">
      <selection activeCell="F27" sqref="F27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3" customWidth="1"/>
    <col min="18" max="37" width="9" style="33"/>
    <col min="39" max="39" width="9.375" style="27"/>
    <col min="40" max="40" width="9" style="28"/>
    <col min="41" max="41" width="9.375" style="27"/>
    <col min="42" max="42" width="9" style="28"/>
    <col min="43" max="44" width="9" style="27"/>
    <col min="47" max="49" width="9" style="34"/>
    <col min="52" max="53" width="9" style="34"/>
    <col min="66" max="70" width="9" style="27"/>
    <col min="71" max="72" width="9.00833333333333" style="27" customWidth="1"/>
    <col min="73" max="74" width="9" style="27"/>
  </cols>
  <sheetData>
    <row r="1" spans="1:74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s="42" t="s">
        <v>30</v>
      </c>
      <c r="AI1" s="42" t="s">
        <v>31</v>
      </c>
      <c r="AJ1" s="42" t="s">
        <v>32</v>
      </c>
      <c r="AK1" s="42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t="s">
        <v>58</v>
      </c>
      <c r="BK1" t="s">
        <v>59</v>
      </c>
      <c r="BL1" s="34" t="s">
        <v>60</v>
      </c>
      <c r="BM1" s="34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3" t="s">
        <v>71</v>
      </c>
      <c r="B2" s="33">
        <v>3994.7</v>
      </c>
      <c r="C2" s="33">
        <v>3071.9</v>
      </c>
      <c r="D2" s="33">
        <f>58.4+IF($E$22="征人归",5.1,0)</f>
        <v>58.4</v>
      </c>
      <c r="E2" s="44"/>
      <c r="F2" s="45" t="s">
        <v>72</v>
      </c>
      <c r="G2" s="46" t="s">
        <v>73</v>
      </c>
      <c r="H2" s="47" t="s">
        <v>74</v>
      </c>
      <c r="I2" s="11">
        <f>620*(1-IF(F17="√",0.06,0)-IF(D20="√",0.04,0))</f>
        <v>558</v>
      </c>
      <c r="K2" s="40">
        <f>($L2*$BS2+$M2*$BQ2+$N2*$BT2+$O2*$BU2)</f>
        <v>24707.3519824437</v>
      </c>
      <c r="L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25022.7057063681</v>
      </c>
      <c r="M2" s="40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24638.956871196</v>
      </c>
      <c r="N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16143.6811008826</v>
      </c>
      <c r="O2" s="40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14036.2830379164</v>
      </c>
      <c r="P2" s="41">
        <v>1</v>
      </c>
      <c r="Q2" s="42" t="s">
        <v>75</v>
      </c>
      <c r="R2" s="42" t="s">
        <v>76</v>
      </c>
      <c r="S2" s="42" t="s">
        <v>77</v>
      </c>
      <c r="T2" s="42" t="s">
        <v>77</v>
      </c>
      <c r="U2" s="42" t="s">
        <v>77</v>
      </c>
      <c r="V2" s="42" t="s">
        <v>77</v>
      </c>
      <c r="W2" s="42" t="s">
        <v>78</v>
      </c>
      <c r="X2" s="42" t="s">
        <v>79</v>
      </c>
      <c r="Y2" s="42" t="s">
        <v>77</v>
      </c>
      <c r="Z2" s="42" t="s">
        <v>77</v>
      </c>
      <c r="AA2" s="42" t="s">
        <v>77</v>
      </c>
      <c r="AB2" s="42" t="s">
        <v>77</v>
      </c>
      <c r="AC2" s="42" t="s">
        <v>77</v>
      </c>
      <c r="AD2" s="42" t="s">
        <v>80</v>
      </c>
      <c r="AE2" s="42" t="s">
        <v>81</v>
      </c>
      <c r="AF2" s="42" t="s">
        <v>82</v>
      </c>
      <c r="AG2" s="42" t="s">
        <v>77</v>
      </c>
      <c r="AH2" s="42" t="s">
        <v>77</v>
      </c>
      <c r="AI2" s="42" t="s">
        <v>77</v>
      </c>
      <c r="AJ2" s="42" t="s">
        <v>77</v>
      </c>
      <c r="AK2" s="42" t="s">
        <v>77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0.3437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3636.7</v>
      </c>
      <c r="AT2" cm="1">
        <f t="array" ref="AT2">$E$10*(1+$AR2)+VLOOKUP($Q2,武学奇术!$A:$ZZ,4,FALSE)+SUM(_xlfn.XLOOKUP($R2:$AK2,增益!$A:$A,增益!$D:$D,0))-$I$2</f>
        <v>3636.7</v>
      </c>
      <c r="AU2" s="34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0.337</v>
      </c>
      <c r="AV2" s="34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4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4" cm="1">
        <f t="array" ref="BA2">$G$11+VLOOKUP($Q2,武学奇术!$A:$ZZ,10,FALSE)+SUM(_xlfn.XLOOKUP($R2:$AK2,增益!$A:$A,增益!$J:$J,0))</f>
        <v>0</v>
      </c>
      <c r="BB2">
        <f>$D$12*(1+$AW2)</f>
        <v>591.9</v>
      </c>
      <c r="BC2">
        <f>$E$12*(1+$AW2)</f>
        <v>1600.3</v>
      </c>
      <c r="BD2" s="34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0.09</v>
      </c>
      <c r="BE2" s="34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4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4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4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4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0.9859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7" cm="1">
        <f t="array" ref="BP2">1+$B$13+VLOOKUP($Q2,武学奇术!$A:$ZZ,18,FALSE)+SUM(_xlfn.XLOOKUP($R2:$AK2,增益!$A:$A,增益!$R:$R,0))</f>
        <v>1.55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7" cm="1">
        <f t="array" ref="BR2">1+$B$14+VLOOKUP($Q2,武学奇术!$A:$ZZ,20,FALSE)+SUM(_xlfn.XLOOKUP($R2:$AK2,增益!$A:$A,增益!$T:$T,0))</f>
        <v>1.35</v>
      </c>
      <c r="BS2" s="27">
        <f>MIN((1-BQ2)*BN2,BN2*BO2)</f>
        <v>0.87863408</v>
      </c>
      <c r="BT2" s="27">
        <f>1-BQ2-BS2-BU2</f>
        <v>0.01567581</v>
      </c>
      <c r="BU2" s="27">
        <f>IF(VLOOKUP($Q2,武学奇术!$A:$ZZ,22,FALSE)=1,0,(1-$BN2))*(1-$BQ2)</f>
        <v>0.01279011</v>
      </c>
      <c r="BV2" s="27" cm="1">
        <f t="array" ref="BV2">SUM(_xlfn.XLOOKUP($R2:$AK2,增益!$A:$A,增益!$W:$W,0))+$I$5</f>
        <v>0.11</v>
      </c>
    </row>
    <row r="3" spans="1:74">
      <c r="A3" s="48" t="s">
        <v>83</v>
      </c>
      <c r="B3" s="49"/>
      <c r="C3" s="49"/>
      <c r="D3" s="49"/>
      <c r="E3" s="50"/>
      <c r="F3" s="47" t="s">
        <v>39</v>
      </c>
      <c r="G3" s="51">
        <f>B16+1.5%+IF(G2="断岳",5%,0)+IF($D$16="√",8%,0)+IF($E$22="征人归",8%,0)</f>
        <v>0.2337</v>
      </c>
      <c r="H3" s="47" t="s">
        <v>84</v>
      </c>
      <c r="I3" s="11">
        <f>25-IF(D17="√",10,0)-IF(F17="√",10,0)</f>
        <v>5</v>
      </c>
      <c r="K3" s="40">
        <f t="shared" ref="K3:K34" si="0">($L3*$BS3+$M3*$BQ3+$N3*$BT3+$O3*$BU3)</f>
        <v>29516.7727719781</v>
      </c>
      <c r="L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30108.0376454008</v>
      </c>
      <c r="M3" s="40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27743.7868774295</v>
      </c>
      <c r="N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18137.3720755427</v>
      </c>
      <c r="O3" s="40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15723.790908545</v>
      </c>
      <c r="P3" s="41">
        <v>1</v>
      </c>
      <c r="Q3" s="42" t="s">
        <v>75</v>
      </c>
      <c r="R3" s="42" t="s">
        <v>85</v>
      </c>
      <c r="S3" s="42" t="s">
        <v>77</v>
      </c>
      <c r="T3" s="42" t="s">
        <v>86</v>
      </c>
      <c r="U3" s="42" t="s">
        <v>87</v>
      </c>
      <c r="V3" s="42" t="s">
        <v>77</v>
      </c>
      <c r="W3" s="42" t="s">
        <v>78</v>
      </c>
      <c r="X3" s="42" t="s">
        <v>88</v>
      </c>
      <c r="Y3" s="42" t="s">
        <v>77</v>
      </c>
      <c r="Z3" s="42" t="s">
        <v>77</v>
      </c>
      <c r="AA3" s="42" t="s">
        <v>77</v>
      </c>
      <c r="AB3" s="42" t="s">
        <v>89</v>
      </c>
      <c r="AC3" s="42" t="s">
        <v>77</v>
      </c>
      <c r="AD3" s="42" t="s">
        <v>80</v>
      </c>
      <c r="AE3" s="42" t="s">
        <v>81</v>
      </c>
      <c r="AF3" s="42" t="s">
        <v>82</v>
      </c>
      <c r="AG3" s="42" t="s">
        <v>77</v>
      </c>
      <c r="AH3" s="42" t="s">
        <v>77</v>
      </c>
      <c r="AI3" s="42" t="s">
        <v>77</v>
      </c>
      <c r="AJ3" s="42" t="s">
        <v>77</v>
      </c>
      <c r="AK3" s="42" t="s">
        <v>90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0.4337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3636.7</v>
      </c>
      <c r="AT3" cm="1">
        <f t="array" ref="AT3">$E$10*(1+$AR3)+VLOOKUP($Q3,武学奇术!$A:$ZZ,4,FALSE)+SUM(_xlfn.XLOOKUP($R3:$AK3,增益!$A:$A,增益!$D:$D,0))-$I$2</f>
        <v>3636.7</v>
      </c>
      <c r="AU3" s="34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0.397</v>
      </c>
      <c r="AV3" s="34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4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4" cm="1">
        <f t="array" ref="BA3">$G$11+VLOOKUP($Q3,武学奇术!$A:$ZZ,10,FALSE)+SUM(_xlfn.XLOOKUP($R3:$AK3,增益!$A:$A,增益!$J:$J,0))</f>
        <v>0</v>
      </c>
      <c r="BB3">
        <f t="shared" ref="BB3:BB34" si="3">$D$12*(1+$AW3)</f>
        <v>591.9</v>
      </c>
      <c r="BC3">
        <f t="shared" ref="BC3:BC34" si="4">$E$12*(1+$AW3)</f>
        <v>1600.3</v>
      </c>
      <c r="BD3" s="34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0.17</v>
      </c>
      <c r="BE3" s="34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4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4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4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4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0.9859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7" cm="1">
        <f t="array" ref="BP3">1+$B$13+VLOOKUP($Q3,武学奇术!$A:$ZZ,18,FALSE)+SUM(_xlfn.XLOOKUP($R3:$AK3,增益!$A:$A,增益!$R:$R,0))</f>
        <v>1.66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7" cm="1">
        <f t="array" ref="BR3">1+$B$14+VLOOKUP($Q3,武学奇术!$A:$ZZ,20,FALSE)+SUM(_xlfn.XLOOKUP($R3:$AK3,增益!$A:$A,增益!$T:$T,0))</f>
        <v>1.35</v>
      </c>
      <c r="BS3" s="27">
        <f t="shared" ref="BS3:BS34" si="9">MIN((1-BQ3)*BN3,BN3*BO3)</f>
        <v>0.87863408</v>
      </c>
      <c r="BT3" s="27">
        <f t="shared" ref="BT3:BT34" si="10">1-BQ3-BS3-BU3</f>
        <v>0.01567581</v>
      </c>
      <c r="BU3" s="27">
        <f>IF(VLOOKUP($Q3,武学奇术!$A:$ZZ,22,FALSE)=1,0,(1-$BN3))*(1-$BQ3)</f>
        <v>0.01279011</v>
      </c>
      <c r="BV3" s="27" cm="1">
        <f t="array" ref="BV3">SUM(_xlfn.XLOOKUP($R3:$AK3,增益!$A:$A,增益!$W:$W,0))+$I$5</f>
        <v>0.11</v>
      </c>
    </row>
    <row r="4" spans="1:74">
      <c r="A4" s="52" t="s">
        <v>5</v>
      </c>
      <c r="B4" s="53">
        <v>512.7</v>
      </c>
      <c r="C4" s="53">
        <v>1370.3</v>
      </c>
      <c r="D4" s="53">
        <v>36</v>
      </c>
      <c r="E4" s="54">
        <v>0.15</v>
      </c>
      <c r="F4" s="47" t="s">
        <v>91</v>
      </c>
      <c r="G4" s="51">
        <f>B15+B17</f>
        <v>0.1704</v>
      </c>
      <c r="H4" s="55" t="s">
        <v>92</v>
      </c>
      <c r="I4" s="14">
        <f>30</f>
        <v>30</v>
      </c>
      <c r="K4" s="40">
        <f t="shared" si="0"/>
        <v>30033.7584420047</v>
      </c>
      <c r="L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30655.8477845075</v>
      </c>
      <c r="M4" s="40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28062.7346871655</v>
      </c>
      <c r="N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18356.7950805434</v>
      </c>
      <c r="O4" s="40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15926.379281705</v>
      </c>
      <c r="P4" s="41">
        <v>1</v>
      </c>
      <c r="Q4" s="42" t="s">
        <v>75</v>
      </c>
      <c r="R4" s="42" t="s">
        <v>93</v>
      </c>
      <c r="S4" s="42" t="s">
        <v>77</v>
      </c>
      <c r="T4" s="42" t="s">
        <v>86</v>
      </c>
      <c r="U4" s="42" t="s">
        <v>87</v>
      </c>
      <c r="V4" s="42" t="s">
        <v>77</v>
      </c>
      <c r="W4" s="42" t="s">
        <v>78</v>
      </c>
      <c r="X4" s="42" t="s">
        <v>94</v>
      </c>
      <c r="Y4" s="42" t="s">
        <v>77</v>
      </c>
      <c r="Z4" s="42" t="s">
        <v>77</v>
      </c>
      <c r="AA4" s="42" t="s">
        <v>77</v>
      </c>
      <c r="AB4" s="42" t="s">
        <v>95</v>
      </c>
      <c r="AC4" s="42" t="s">
        <v>77</v>
      </c>
      <c r="AD4" s="42" t="s">
        <v>80</v>
      </c>
      <c r="AE4" s="42" t="s">
        <v>81</v>
      </c>
      <c r="AF4" s="42" t="s">
        <v>82</v>
      </c>
      <c r="AG4" s="42" t="s">
        <v>77</v>
      </c>
      <c r="AH4" s="42" t="s">
        <v>77</v>
      </c>
      <c r="AI4" s="42" t="s">
        <v>77</v>
      </c>
      <c r="AJ4" s="42" t="s">
        <v>77</v>
      </c>
      <c r="AK4" s="42" t="s">
        <v>90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0.4437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3636.7</v>
      </c>
      <c r="AT4" cm="1">
        <f t="array" ref="AT4">$E$10*(1+$AR4)+VLOOKUP($Q4,武学奇术!$A:$ZZ,4,FALSE)+SUM(_xlfn.XLOOKUP($R4:$AK4,增益!$A:$A,增益!$D:$D,0))-$I$2</f>
        <v>3636.7</v>
      </c>
      <c r="AU4" s="34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0.407</v>
      </c>
      <c r="AV4" s="34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4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4" cm="1">
        <f t="array" ref="BA4">$G$11+VLOOKUP($Q4,武学奇术!$A:$ZZ,10,FALSE)+SUM(_xlfn.XLOOKUP($R4:$AK4,增益!$A:$A,增益!$J:$J,0))</f>
        <v>0</v>
      </c>
      <c r="BB4">
        <f t="shared" si="3"/>
        <v>591.9</v>
      </c>
      <c r="BC4">
        <f t="shared" si="4"/>
        <v>1600.3</v>
      </c>
      <c r="BD4" s="34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0.17</v>
      </c>
      <c r="BE4" s="34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4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4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4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4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0.9859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7" cm="1">
        <f t="array" ref="BP4">1+$B$13+VLOOKUP($Q4,武学奇术!$A:$ZZ,18,FALSE)+SUM(_xlfn.XLOOKUP($R4:$AK4,增益!$A:$A,增益!$R:$R,0))</f>
        <v>1.67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0.87863408</v>
      </c>
      <c r="BT4" s="27">
        <f t="shared" si="10"/>
        <v>0.01567581</v>
      </c>
      <c r="BU4" s="27">
        <f>IF(VLOOKUP($Q4,武学奇术!$A:$ZZ,22,FALSE)=1,0,(1-$BN4))*(1-$BQ4)</f>
        <v>0.01279011</v>
      </c>
      <c r="BV4" s="27" cm="1">
        <f t="array" ref="BV4">SUM(_xlfn.XLOOKUP($R4:$AK4,增益!$A:$A,增益!$W:$W,0))+$I$5</f>
        <v>0.11</v>
      </c>
    </row>
    <row r="5" spans="1:74">
      <c r="A5" s="56" t="s">
        <v>96</v>
      </c>
      <c r="B5" s="57"/>
      <c r="C5" s="57"/>
      <c r="D5" s="57"/>
      <c r="E5" s="58"/>
      <c r="F5" s="47" t="s">
        <v>97</v>
      </c>
      <c r="G5" s="51">
        <f>B15+B18</f>
        <v>0.0852</v>
      </c>
      <c r="H5" t="s">
        <v>98</v>
      </c>
      <c r="I5" s="29">
        <v>0.06</v>
      </c>
      <c r="K5" s="40">
        <f t="shared" si="0"/>
        <v>30556.6980589387</v>
      </c>
      <c r="L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31210.2088571433</v>
      </c>
      <c r="M5" s="40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28383.4201987641</v>
      </c>
      <c r="N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18577.5052721091</v>
      </c>
      <c r="O5" s="40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16130.2548414301</v>
      </c>
      <c r="P5" s="41">
        <v>1</v>
      </c>
      <c r="Q5" s="42" t="s">
        <v>75</v>
      </c>
      <c r="R5" s="42" t="s">
        <v>99</v>
      </c>
      <c r="S5" s="42" t="s">
        <v>77</v>
      </c>
      <c r="T5" s="42" t="s">
        <v>86</v>
      </c>
      <c r="U5" s="42" t="s">
        <v>87</v>
      </c>
      <c r="V5" s="42" t="s">
        <v>77</v>
      </c>
      <c r="W5" s="42" t="s">
        <v>78</v>
      </c>
      <c r="X5" s="42" t="s">
        <v>100</v>
      </c>
      <c r="Y5" s="42" t="s">
        <v>77</v>
      </c>
      <c r="Z5" s="42" t="s">
        <v>77</v>
      </c>
      <c r="AA5" s="42" t="s">
        <v>77</v>
      </c>
      <c r="AB5" s="42" t="s">
        <v>95</v>
      </c>
      <c r="AC5" s="42" t="s">
        <v>77</v>
      </c>
      <c r="AD5" s="42" t="s">
        <v>80</v>
      </c>
      <c r="AE5" s="42" t="s">
        <v>81</v>
      </c>
      <c r="AF5" s="42" t="s">
        <v>82</v>
      </c>
      <c r="AG5" s="42" t="s">
        <v>77</v>
      </c>
      <c r="AH5" s="42" t="s">
        <v>77</v>
      </c>
      <c r="AI5" s="42" t="s">
        <v>77</v>
      </c>
      <c r="AJ5" s="42" t="s">
        <v>77</v>
      </c>
      <c r="AK5" s="42" t="s">
        <v>90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0.4537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3636.7</v>
      </c>
      <c r="AT5" cm="1">
        <f t="array" ref="AT5">$E$10*(1+$AR5)+VLOOKUP($Q5,武学奇术!$A:$ZZ,4,FALSE)+SUM(_xlfn.XLOOKUP($R5:$AK5,增益!$A:$A,增益!$D:$D,0))-$I$2</f>
        <v>3636.7</v>
      </c>
      <c r="AU5" s="34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0.417</v>
      </c>
      <c r="AV5" s="34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4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4" cm="1">
        <f t="array" ref="BA5">$G$11+VLOOKUP($Q5,武学奇术!$A:$ZZ,10,FALSE)+SUM(_xlfn.XLOOKUP($R5:$AK5,增益!$A:$A,增益!$J:$J,0))</f>
        <v>0</v>
      </c>
      <c r="BB5">
        <f t="shared" si="3"/>
        <v>591.9</v>
      </c>
      <c r="BC5">
        <f t="shared" si="4"/>
        <v>1600.3</v>
      </c>
      <c r="BD5" s="34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0.17</v>
      </c>
      <c r="BE5" s="34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4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4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4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4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0.9859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7" cm="1">
        <f t="array" ref="BP5">1+$B$13+VLOOKUP($Q5,武学奇术!$A:$ZZ,18,FALSE)+SUM(_xlfn.XLOOKUP($R5:$AK5,增益!$A:$A,增益!$R:$R,0))</f>
        <v>1.68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0.87863408</v>
      </c>
      <c r="BT5" s="27">
        <f t="shared" si="10"/>
        <v>0.01567581</v>
      </c>
      <c r="BU5" s="27">
        <f>IF(VLOOKUP($Q5,武学奇术!$A:$ZZ,22,FALSE)=1,0,(1-$BN5))*(1-$BQ5)</f>
        <v>0.01279011</v>
      </c>
      <c r="BV5" s="27" cm="1">
        <f t="array" ref="BV5">SUM(_xlfn.XLOOKUP($R5:$AK5,增益!$A:$A,增益!$W:$W,0))+$I$5</f>
        <v>0.11</v>
      </c>
    </row>
    <row r="6" spans="1:74">
      <c r="A6" s="59" t="s">
        <v>101</v>
      </c>
      <c r="B6" s="60"/>
      <c r="C6" s="60"/>
      <c r="D6" s="60"/>
      <c r="E6" s="61"/>
      <c r="F6" s="47" t="s">
        <v>102</v>
      </c>
      <c r="G6" s="51">
        <f>B19</f>
        <v>0</v>
      </c>
      <c r="K6" s="40">
        <f t="shared" si="0"/>
        <v>30920.446714604</v>
      </c>
      <c r="L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31583.1644524029</v>
      </c>
      <c r="M6" s="40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28705.8434122254</v>
      </c>
      <c r="N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18799.5026502398</v>
      </c>
      <c r="O6" s="40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16335.4175877201</v>
      </c>
      <c r="P6" s="41">
        <v>1</v>
      </c>
      <c r="Q6" s="42" t="s">
        <v>75</v>
      </c>
      <c r="R6" s="42" t="s">
        <v>103</v>
      </c>
      <c r="S6" s="42" t="s">
        <v>77</v>
      </c>
      <c r="T6" s="42" t="s">
        <v>86</v>
      </c>
      <c r="U6" s="42" t="s">
        <v>87</v>
      </c>
      <c r="V6" s="42" t="s">
        <v>77</v>
      </c>
      <c r="W6" s="42" t="s">
        <v>78</v>
      </c>
      <c r="X6" s="42" t="s">
        <v>100</v>
      </c>
      <c r="Y6" s="42" t="s">
        <v>77</v>
      </c>
      <c r="Z6" s="42" t="s">
        <v>77</v>
      </c>
      <c r="AA6" s="42" t="s">
        <v>77</v>
      </c>
      <c r="AB6" s="42" t="s">
        <v>89</v>
      </c>
      <c r="AC6" s="42" t="s">
        <v>77</v>
      </c>
      <c r="AD6" s="42" t="s">
        <v>80</v>
      </c>
      <c r="AE6" s="42" t="s">
        <v>81</v>
      </c>
      <c r="AF6" s="42" t="s">
        <v>82</v>
      </c>
      <c r="AG6" s="42" t="s">
        <v>77</v>
      </c>
      <c r="AH6" s="42" t="s">
        <v>77</v>
      </c>
      <c r="AI6" s="42" t="s">
        <v>77</v>
      </c>
      <c r="AJ6" s="42" t="s">
        <v>77</v>
      </c>
      <c r="AK6" s="42" t="s">
        <v>90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0.4637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3636.7</v>
      </c>
      <c r="AT6" cm="1">
        <f t="array" ref="AT6">$E$10*(1+$AR6)+VLOOKUP($Q6,武学奇术!$A:$ZZ,4,FALSE)+SUM(_xlfn.XLOOKUP($R6:$AK6,增益!$A:$A,增益!$D:$D,0))-$I$2</f>
        <v>3636.7</v>
      </c>
      <c r="AU6" s="34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0.427</v>
      </c>
      <c r="AV6" s="34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4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4" cm="1">
        <f t="array" ref="BA6">$G$11+VLOOKUP($Q6,武学奇术!$A:$ZZ,10,FALSE)+SUM(_xlfn.XLOOKUP($R6:$AK6,增益!$A:$A,增益!$J:$J,0))</f>
        <v>0</v>
      </c>
      <c r="BB6">
        <f t="shared" si="3"/>
        <v>591.9</v>
      </c>
      <c r="BC6">
        <f t="shared" si="4"/>
        <v>1600.3</v>
      </c>
      <c r="BD6" s="34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0.17</v>
      </c>
      <c r="BE6" s="34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4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4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4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4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0.9859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7" cm="1">
        <f t="array" ref="BP6">1+$B$13+VLOOKUP($Q6,武学奇术!$A:$ZZ,18,FALSE)+SUM(_xlfn.XLOOKUP($R6:$AK6,增益!$A:$A,增益!$R:$R,0))</f>
        <v>1.68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0.87863408</v>
      </c>
      <c r="BT6" s="27">
        <f t="shared" si="10"/>
        <v>0.01567581</v>
      </c>
      <c r="BU6" s="27">
        <f>IF(VLOOKUP($Q6,武学奇术!$A:$ZZ,22,FALSE)=1,0,(1-$BN6))*(1-$BQ6)</f>
        <v>0.01279011</v>
      </c>
      <c r="BV6" s="27" cm="1">
        <f t="array" ref="BV6">SUM(_xlfn.XLOOKUP($R6:$AK6,增益!$A:$A,增益!$W:$W,0))+$I$5</f>
        <v>0.11</v>
      </c>
    </row>
    <row r="7" ht="14.25" spans="1:74">
      <c r="A7" s="85" t="s">
        <v>104</v>
      </c>
      <c r="B7" s="87">
        <v>79.2</v>
      </c>
      <c r="C7" s="62">
        <f>92.4+68.8*2</f>
        <v>230</v>
      </c>
      <c r="D7" s="63"/>
      <c r="E7" s="64"/>
      <c r="F7" s="55" t="s">
        <v>105</v>
      </c>
      <c r="G7" s="65">
        <f>B20</f>
        <v>0</v>
      </c>
      <c r="K7" s="40">
        <f t="shared" si="0"/>
        <v>47813.718565411</v>
      </c>
      <c r="L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49101.0879720574</v>
      </c>
      <c r="M7" s="40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42203.40057882</v>
      </c>
      <c r="N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27898.345438669</v>
      </c>
      <c r="O7" s="40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24534.9126708046</v>
      </c>
      <c r="P7" s="41">
        <v>1</v>
      </c>
      <c r="Q7" s="42" t="s">
        <v>106</v>
      </c>
      <c r="R7" s="42" t="s">
        <v>77</v>
      </c>
      <c r="S7" s="42" t="s">
        <v>77</v>
      </c>
      <c r="T7" s="42" t="s">
        <v>77</v>
      </c>
      <c r="U7" s="42" t="s">
        <v>77</v>
      </c>
      <c r="V7" s="42" t="s">
        <v>77</v>
      </c>
      <c r="W7" s="42" t="s">
        <v>78</v>
      </c>
      <c r="X7" s="42" t="s">
        <v>79</v>
      </c>
      <c r="Y7" s="42" t="s">
        <v>77</v>
      </c>
      <c r="Z7" s="42" t="s">
        <v>77</v>
      </c>
      <c r="AA7" s="42" t="s">
        <v>73</v>
      </c>
      <c r="AB7" s="42" t="s">
        <v>77</v>
      </c>
      <c r="AC7" s="42" t="s">
        <v>77</v>
      </c>
      <c r="AD7" s="42" t="s">
        <v>80</v>
      </c>
      <c r="AE7" s="42" t="s">
        <v>81</v>
      </c>
      <c r="AF7" s="42" t="s">
        <v>82</v>
      </c>
      <c r="AG7" s="42" t="s">
        <v>77</v>
      </c>
      <c r="AH7" s="42" t="s">
        <v>77</v>
      </c>
      <c r="AI7" s="42" t="s">
        <v>77</v>
      </c>
      <c r="AJ7" s="42" t="s">
        <v>77</v>
      </c>
      <c r="AK7" s="42" t="s">
        <v>77</v>
      </c>
      <c r="AL7" t="str">
        <f>VLOOKUP($Q7,武学奇术!$A:$ZZ,25,FALSE)</f>
        <v>横刀</v>
      </c>
      <c r="AM7" s="27">
        <f>VLOOKUP($Q7,武学奇术!$A:$ZZ,26,FALSE)</f>
        <v>2.1324</v>
      </c>
      <c r="AN7" s="28">
        <f>VLOOKUP($Q7,武学奇术!$A:$ZZ,27,FALSE)*(1+IF(OR($AL7=$F$4,$AL7=$F$5),$B$22,0))</f>
        <v>885</v>
      </c>
      <c r="AO7" s="27">
        <f>VLOOKUP($Q7,武学奇术!$A:$ZZ,28,FALSE)</f>
        <v>3.1986</v>
      </c>
      <c r="AP7" s="28">
        <f>VLOOKUP($Q7,武学奇术!$A:$ZZ,29,FALSE)*(1+IF(OR($AL7=$F$4,$AL7=$F$5),$B$22,0))</f>
        <v>483</v>
      </c>
      <c r="AQ7" s="27" cm="1">
        <f t="array" ref="AQ7">$G$3+IFERROR(VLOOKUP($AL7,$F$4:$G$7,2,FALSE),0)+VLOOKUP($Q7,武学奇术!$A:$ZZ,2,FALSE)+SUM(_xlfn.XLOOKUP($R7:$AK7,增益!$A:$A,增益!$B:$B,0))</f>
        <v>0.4989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3636.7</v>
      </c>
      <c r="AT7" cm="1">
        <f t="array" ref="AT7">$E$10*(1+$AR7)+VLOOKUP($Q7,武学奇术!$A:$ZZ,4,FALSE)+SUM(_xlfn.XLOOKUP($R7:$AK7,增益!$A:$A,增益!$D:$D,0))-$I$2</f>
        <v>3636.7</v>
      </c>
      <c r="AU7" s="34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0.327</v>
      </c>
      <c r="AV7" s="34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4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4" cm="1">
        <f t="array" ref="BA7">$G$11+VLOOKUP($Q7,武学奇术!$A:$ZZ,10,FALSE)+SUM(_xlfn.XLOOKUP($R7:$AK7,增益!$A:$A,增益!$J:$J,0))</f>
        <v>0</v>
      </c>
      <c r="BB7">
        <f t="shared" si="3"/>
        <v>591.9</v>
      </c>
      <c r="BC7">
        <f t="shared" si="4"/>
        <v>1600.3</v>
      </c>
      <c r="BD7" s="34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0.09</v>
      </c>
      <c r="BE7" s="34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4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4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4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4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0.9859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7" cm="1">
        <f t="array" ref="BP7">1+$B$13+VLOOKUP($Q7,武学奇术!$A:$ZZ,18,FALSE)+SUM(_xlfn.XLOOKUP($R7:$AK7,增益!$A:$A,增益!$R:$R,0))</f>
        <v>1.76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0.87863408</v>
      </c>
      <c r="BT7" s="27">
        <f t="shared" si="10"/>
        <v>0.01567581</v>
      </c>
      <c r="BU7" s="27">
        <f>IF(VLOOKUP($Q7,武学奇术!$A:$ZZ,22,FALSE)=1,0,(1-$BN7))*(1-$BQ7)</f>
        <v>0.01279011</v>
      </c>
      <c r="BV7" s="27" cm="1">
        <f t="array" ref="BV7">SUM(_xlfn.XLOOKUP($R7:$AK7,增益!$A:$A,增益!$W:$W,0))+$I$5</f>
        <v>0.11</v>
      </c>
    </row>
    <row r="8" spans="1:74">
      <c r="A8" s="66" t="s">
        <v>107</v>
      </c>
      <c r="B8" s="67">
        <v>0.9859</v>
      </c>
      <c r="C8" s="38" t="s">
        <v>108</v>
      </c>
      <c r="D8" s="68"/>
      <c r="E8" s="68"/>
      <c r="F8" s="68"/>
      <c r="G8" s="39"/>
      <c r="H8" s="69" t="s">
        <v>109</v>
      </c>
      <c r="I8" s="18">
        <v>101.7</v>
      </c>
      <c r="J8" s="70"/>
      <c r="K8" s="40">
        <f t="shared" si="0"/>
        <v>29983.3108821776</v>
      </c>
      <c r="L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30743.5675438615</v>
      </c>
      <c r="M8" s="40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26973.7395693191</v>
      </c>
      <c r="N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17467.9361044668</v>
      </c>
      <c r="O8" s="40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14955.3243798083</v>
      </c>
      <c r="P8" s="41">
        <v>1</v>
      </c>
      <c r="Q8" s="42" t="s">
        <v>110</v>
      </c>
      <c r="R8" s="42" t="s">
        <v>76</v>
      </c>
      <c r="S8" s="42" t="s">
        <v>77</v>
      </c>
      <c r="T8" s="42" t="s">
        <v>86</v>
      </c>
      <c r="U8" s="42" t="s">
        <v>77</v>
      </c>
      <c r="V8" s="42" t="s">
        <v>77</v>
      </c>
      <c r="W8" s="42" t="s">
        <v>78</v>
      </c>
      <c r="X8" s="42" t="s">
        <v>79</v>
      </c>
      <c r="Y8" s="42" t="s">
        <v>77</v>
      </c>
      <c r="Z8" s="42" t="s">
        <v>77</v>
      </c>
      <c r="AA8" s="42" t="s">
        <v>73</v>
      </c>
      <c r="AB8" s="42" t="s">
        <v>89</v>
      </c>
      <c r="AC8" s="42" t="s">
        <v>77</v>
      </c>
      <c r="AD8" s="42" t="s">
        <v>80</v>
      </c>
      <c r="AE8" s="42" t="s">
        <v>81</v>
      </c>
      <c r="AF8" s="42" t="s">
        <v>82</v>
      </c>
      <c r="AG8" s="42" t="s">
        <v>77</v>
      </c>
      <c r="AH8" s="42" t="s">
        <v>77</v>
      </c>
      <c r="AI8" s="42" t="s">
        <v>77</v>
      </c>
      <c r="AJ8" s="42" t="s">
        <v>77</v>
      </c>
      <c r="AK8" s="42" t="s">
        <v>90</v>
      </c>
      <c r="AL8" t="str">
        <f>VLOOKUP($Q8,武学奇术!$A:$ZZ,25,FALSE)</f>
        <v>横刀</v>
      </c>
      <c r="AM8" s="27">
        <f>VLOOKUP($Q8,武学奇术!$A:$ZZ,26,FALSE)</f>
        <v>1.4</v>
      </c>
      <c r="AN8" s="28">
        <f>VLOOKUP($Q8,武学奇术!$A:$ZZ,27,FALSE)*(1+IF(OR($AL8=$F$4,$AL8=$F$5),$B$22,0))</f>
        <v>0</v>
      </c>
      <c r="AO8" s="27">
        <f>VLOOKUP($Q8,武学奇术!$A:$ZZ,28,FALSE)</f>
        <v>2.1</v>
      </c>
      <c r="AP8" s="28">
        <f>VLOOKUP($Q8,武学奇术!$A:$ZZ,29,FALSE)*(1+IF(OR($AL8=$F$4,$AL8=$F$5),$B$22,0))</f>
        <v>0</v>
      </c>
      <c r="AQ8" s="27" cm="1">
        <f t="array" ref="AQ8">$G$3+IFERROR(VLOOKUP($AL8,$F$4:$G$7,2,FALSE),0)+VLOOKUP($Q8,武学奇术!$A:$ZZ,2,FALSE)+SUM(_xlfn.XLOOKUP($R8:$AK8,增益!$A:$A,增益!$B:$B,0))</f>
        <v>0.5889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3636.7</v>
      </c>
      <c r="AT8" cm="1">
        <f t="array" ref="AT8">$E$10*(1+$AR8)+VLOOKUP($Q8,武学奇术!$A:$ZZ,4,FALSE)+SUM(_xlfn.XLOOKUP($R8:$AK8,增益!$A:$A,增益!$D:$D,0))-$I$2</f>
        <v>3636.7</v>
      </c>
      <c r="AU8" s="34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0.337</v>
      </c>
      <c r="AV8" s="34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4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4" cm="1">
        <f t="array" ref="BA8">$G$11+VLOOKUP($Q8,武学奇术!$A:$ZZ,10,FALSE)+SUM(_xlfn.XLOOKUP($R8:$AK8,增益!$A:$A,增益!$J:$J,0))</f>
        <v>0</v>
      </c>
      <c r="BB8">
        <f t="shared" si="3"/>
        <v>591.9</v>
      </c>
      <c r="BC8">
        <f t="shared" si="4"/>
        <v>1600.3</v>
      </c>
      <c r="BD8" s="34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0.17</v>
      </c>
      <c r="BE8" s="34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4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4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4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4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0.9859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7" cm="1">
        <f t="array" ref="BP8">1+$B$13+VLOOKUP($Q8,武学奇术!$A:$ZZ,18,FALSE)+SUM(_xlfn.XLOOKUP($R8:$AK8,增益!$A:$A,增益!$R:$R,0))</f>
        <v>1.76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0.87863408</v>
      </c>
      <c r="BT8" s="27">
        <f t="shared" si="10"/>
        <v>0.01567581</v>
      </c>
      <c r="BU8" s="27">
        <f>IF(VLOOKUP($Q8,武学奇术!$A:$ZZ,22,FALSE)=1,0,(1-$BN8))*(1-$BQ8)</f>
        <v>0.01279011</v>
      </c>
      <c r="BV8" s="27" cm="1">
        <f t="array" ref="BV8">SUM(_xlfn.XLOOKUP($R8:$AK8,增益!$A:$A,增益!$W:$W,0))+$I$5</f>
        <v>0.11</v>
      </c>
    </row>
    <row r="9" spans="1:74">
      <c r="A9" s="43" t="s">
        <v>111</v>
      </c>
      <c r="B9" s="71">
        <v>0.7992</v>
      </c>
      <c r="C9" s="47"/>
      <c r="D9" t="s">
        <v>0</v>
      </c>
      <c r="E9" t="s">
        <v>1</v>
      </c>
      <c r="F9" s="41" t="s">
        <v>2</v>
      </c>
      <c r="G9" s="46" t="s">
        <v>3</v>
      </c>
      <c r="H9" s="72"/>
      <c r="I9" s="20"/>
      <c r="J9" s="73"/>
      <c r="K9" s="40">
        <f t="shared" si="0"/>
        <v>16582.9150373619</v>
      </c>
      <c r="L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17116.1712751466</v>
      </c>
      <c r="M9" s="40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14005.9049390083</v>
      </c>
      <c r="N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9104.34642295033</v>
      </c>
      <c r="O9" s="40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7833.9484466353</v>
      </c>
      <c r="P9" s="41">
        <v>1</v>
      </c>
      <c r="Q9" s="42" t="s">
        <v>112</v>
      </c>
      <c r="R9" s="42" t="s">
        <v>76</v>
      </c>
      <c r="S9" s="42" t="s">
        <v>77</v>
      </c>
      <c r="T9" s="42" t="s">
        <v>86</v>
      </c>
      <c r="U9" s="42" t="s">
        <v>113</v>
      </c>
      <c r="V9" s="42" t="s">
        <v>77</v>
      </c>
      <c r="W9" s="42" t="s">
        <v>114</v>
      </c>
      <c r="X9" s="42" t="s">
        <v>79</v>
      </c>
      <c r="Y9" s="42" t="s">
        <v>77</v>
      </c>
      <c r="Z9" s="42" t="s">
        <v>77</v>
      </c>
      <c r="AA9" s="42" t="s">
        <v>73</v>
      </c>
      <c r="AB9" s="42" t="s">
        <v>89</v>
      </c>
      <c r="AC9" s="42" t="s">
        <v>77</v>
      </c>
      <c r="AD9" s="42" t="s">
        <v>80</v>
      </c>
      <c r="AE9" s="42" t="s">
        <v>81</v>
      </c>
      <c r="AF9" s="42" t="s">
        <v>82</v>
      </c>
      <c r="AG9" s="42" t="s">
        <v>77</v>
      </c>
      <c r="AH9" s="42" t="s">
        <v>77</v>
      </c>
      <c r="AI9" s="42" t="s">
        <v>77</v>
      </c>
      <c r="AJ9" s="42" t="s">
        <v>77</v>
      </c>
      <c r="AK9" s="42" t="s">
        <v>90</v>
      </c>
      <c r="AL9" t="str">
        <f>VLOOKUP($Q9,武学奇术!$A:$ZZ,25,FALSE)</f>
        <v>陌刀</v>
      </c>
      <c r="AM9" s="27">
        <f>VLOOKUP($Q9,武学奇术!$A:$ZZ,26,FALSE)</f>
        <v>0.5</v>
      </c>
      <c r="AN9" s="28">
        <f>VLOOKUP($Q9,武学奇术!$A:$ZZ,27,FALSE)*(1+IF(OR($AL9=$F$4,$AL9=$F$5),$B$22,0))</f>
        <v>0</v>
      </c>
      <c r="AO9" s="27">
        <f>VLOOKUP($Q9,武学奇术!$A:$ZZ,28,FALSE)</f>
        <v>0.75</v>
      </c>
      <c r="AP9" s="28">
        <f>VLOOKUP($Q9,武学奇术!$A:$ZZ,29,FALSE)*(1+IF(OR($AL9=$F$4,$AL9=$F$5),$B$22,0))</f>
        <v>0</v>
      </c>
      <c r="AQ9" s="27" cm="1">
        <f t="array" ref="AQ9">$G$3+IFERROR(VLOOKUP($AL9,$F$4:$G$7,2,FALSE),0)+VLOOKUP($Q9,武学奇术!$A:$ZZ,2,FALSE)+SUM(_xlfn.XLOOKUP($R9:$AK9,增益!$A:$A,增益!$B:$B,0))</f>
        <v>0.7041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3636.7</v>
      </c>
      <c r="AT9" cm="1">
        <f t="array" ref="AT9">$E$10*(1+$AR9)+VLOOKUP($Q9,武学奇术!$A:$ZZ,4,FALSE)+SUM(_xlfn.XLOOKUP($R9:$AK9,增益!$A:$A,增益!$D:$D,0))-$I$2</f>
        <v>3636.7</v>
      </c>
      <c r="AU9" s="34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0.397</v>
      </c>
      <c r="AV9" s="34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4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4" cm="1">
        <f t="array" ref="BA9">$G$11+VLOOKUP($Q9,武学奇术!$A:$ZZ,10,FALSE)+SUM(_xlfn.XLOOKUP($R9:$AK9,增益!$A:$A,增益!$J:$J,0))</f>
        <v>0</v>
      </c>
      <c r="BB9">
        <f t="shared" si="3"/>
        <v>591.9</v>
      </c>
      <c r="BC9">
        <f t="shared" si="4"/>
        <v>1600.3</v>
      </c>
      <c r="BD9" s="34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0.17</v>
      </c>
      <c r="BE9" s="34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4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4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4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4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0.9859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7" cm="1">
        <f t="array" ref="BP9">1+$B$13+VLOOKUP($Q9,武学奇术!$A:$ZZ,18,FALSE)+SUM(_xlfn.XLOOKUP($R9:$AK9,增益!$A:$A,增益!$R:$R,0))</f>
        <v>1.88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0.87863408</v>
      </c>
      <c r="BT9" s="27">
        <f t="shared" si="10"/>
        <v>0.01567581</v>
      </c>
      <c r="BU9" s="27">
        <f>IF(VLOOKUP($Q9,武学奇术!$A:$ZZ,22,FALSE)=1,0,(1-$BN9))*(1-$BQ9)</f>
        <v>0.01279011</v>
      </c>
      <c r="BV9" s="27" cm="1">
        <f t="array" ref="BV9">SUM(_xlfn.XLOOKUP($R9:$AK9,增益!$A:$A,增益!$W:$W,0))+$I$5</f>
        <v>0.11</v>
      </c>
    </row>
    <row r="10" spans="1:74">
      <c r="A10" s="43" t="s">
        <v>115</v>
      </c>
      <c r="B10" s="71">
        <v>0.0929</v>
      </c>
      <c r="C10" s="47" t="s">
        <v>71</v>
      </c>
      <c r="D10">
        <f>B2+B23</f>
        <v>4194.7</v>
      </c>
      <c r="E10">
        <f>MAX(B2+B23,C2+B24)</f>
        <v>4194.7</v>
      </c>
      <c r="F10">
        <f>D2</f>
        <v>58.4</v>
      </c>
      <c r="G10" s="88">
        <f>E2</f>
        <v>0</v>
      </c>
      <c r="H10" s="69" t="s">
        <v>116</v>
      </c>
      <c r="I10" s="24">
        <f>SUM(K:K)</f>
        <v>13645385.5619188</v>
      </c>
      <c r="J10" s="74"/>
      <c r="K10" s="40">
        <f t="shared" si="0"/>
        <v>32447.890651395</v>
      </c>
      <c r="L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32447.890651395</v>
      </c>
      <c r="M10" s="40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25210.6288902149</v>
      </c>
      <c r="N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16387.8235613106</v>
      </c>
      <c r="O10" s="40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14101.1072039435</v>
      </c>
      <c r="P10" s="41">
        <v>1</v>
      </c>
      <c r="Q10" s="42" t="s">
        <v>117</v>
      </c>
      <c r="R10" s="42" t="s">
        <v>76</v>
      </c>
      <c r="S10" s="42" t="s">
        <v>77</v>
      </c>
      <c r="T10" s="42" t="s">
        <v>86</v>
      </c>
      <c r="U10" s="42" t="s">
        <v>113</v>
      </c>
      <c r="V10" s="42" t="s">
        <v>118</v>
      </c>
      <c r="W10" s="42" t="s">
        <v>114</v>
      </c>
      <c r="X10" s="42" t="s">
        <v>79</v>
      </c>
      <c r="Y10" s="42" t="s">
        <v>77</v>
      </c>
      <c r="Z10" s="42" t="s">
        <v>77</v>
      </c>
      <c r="AA10" s="42" t="s">
        <v>73</v>
      </c>
      <c r="AB10" s="42" t="s">
        <v>89</v>
      </c>
      <c r="AC10" s="42" t="s">
        <v>77</v>
      </c>
      <c r="AD10" s="42" t="s">
        <v>80</v>
      </c>
      <c r="AE10" s="42" t="s">
        <v>81</v>
      </c>
      <c r="AF10" s="42" t="s">
        <v>82</v>
      </c>
      <c r="AG10" s="42" t="s">
        <v>77</v>
      </c>
      <c r="AH10" s="42" t="s">
        <v>77</v>
      </c>
      <c r="AI10" s="42" t="s">
        <v>77</v>
      </c>
      <c r="AJ10" s="42" t="s">
        <v>77</v>
      </c>
      <c r="AK10" s="42" t="s">
        <v>90</v>
      </c>
      <c r="AL10" t="str">
        <f>VLOOKUP($Q10,武学奇术!$A:$ZZ,25,FALSE)</f>
        <v>陌刀</v>
      </c>
      <c r="AM10" s="27">
        <f>VLOOKUP($Q10,武学奇术!$A:$ZZ,26,FALSE)</f>
        <v>0.9</v>
      </c>
      <c r="AN10" s="28">
        <f>VLOOKUP($Q10,武学奇术!$A:$ZZ,27,FALSE)*(1+IF(OR($AL10=$F$4,$AL10=$F$5),$B$22,0))</f>
        <v>0</v>
      </c>
      <c r="AO10" s="27">
        <f>VLOOKUP($Q10,武学奇术!$A:$ZZ,28,FALSE)</f>
        <v>1.35</v>
      </c>
      <c r="AP10" s="28">
        <f>VLOOKUP($Q10,武学奇术!$A:$ZZ,29,FALSE)*(1+IF(OR($AL10=$F$4,$AL10=$F$5),$B$22,0))</f>
        <v>0</v>
      </c>
      <c r="AQ10" s="27" cm="1">
        <f t="array" ref="AQ10">$G$3+IFERROR(VLOOKUP($AL10,$F$4:$G$7,2,FALSE),0)+VLOOKUP($Q10,武学奇术!$A:$ZZ,2,FALSE)+SUM(_xlfn.XLOOKUP($R10:$AK10,增益!$A:$A,增益!$B:$B,0))</f>
        <v>0.7041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3636.7</v>
      </c>
      <c r="AT10" cm="1">
        <f t="array" ref="AT10">$E$10*(1+$AR10)+VLOOKUP($Q10,武学奇术!$A:$ZZ,4,FALSE)+SUM(_xlfn.XLOOKUP($R10:$AK10,增益!$A:$A,增益!$D:$D,0))-$I$2</f>
        <v>3636.7</v>
      </c>
      <c r="AU10" s="34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0.397</v>
      </c>
      <c r="AV10" s="34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4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4" cm="1">
        <f t="array" ref="BA10">$G$11+VLOOKUP($Q10,武学奇术!$A:$ZZ,10,FALSE)+SUM(_xlfn.XLOOKUP($R10:$AK10,增益!$A:$A,增益!$J:$J,0))</f>
        <v>0</v>
      </c>
      <c r="BB10">
        <f t="shared" si="3"/>
        <v>591.9</v>
      </c>
      <c r="BC10">
        <f t="shared" si="4"/>
        <v>1600.3</v>
      </c>
      <c r="BD10" s="34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0.17</v>
      </c>
      <c r="BE10" s="34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4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4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4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4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1</v>
      </c>
      <c r="BP10" s="27" cm="1">
        <f t="array" ref="BP10">1+$B$13+VLOOKUP($Q10,武学奇术!$A:$ZZ,18,FALSE)+SUM(_xlfn.XLOOKUP($R10:$AK10,增益!$A:$A,增益!$R:$R,0))</f>
        <v>1.98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1</v>
      </c>
      <c r="BT10" s="27">
        <f t="shared" si="10"/>
        <v>0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spans="1:74">
      <c r="A11" s="43" t="s">
        <v>119</v>
      </c>
      <c r="B11" s="71">
        <f>4.6%+IF($E$22="易水歌",4.6%,0)</f>
        <v>0.092</v>
      </c>
      <c r="C11" s="47" t="s">
        <v>83</v>
      </c>
      <c r="D11">
        <f>B3+IF($G$1=$C11,$B$7,0)</f>
        <v>0</v>
      </c>
      <c r="E11">
        <f>MAX(B3,C3)+IF($G$1=$C11,$C$7,0)</f>
        <v>0</v>
      </c>
      <c r="F11">
        <f>D3</f>
        <v>0</v>
      </c>
      <c r="G11" s="88">
        <f>E3</f>
        <v>0</v>
      </c>
      <c r="H11" s="72"/>
      <c r="I11" s="25"/>
      <c r="J11" s="75"/>
      <c r="K11" s="40">
        <f t="shared" si="0"/>
        <v>318263.429033824</v>
      </c>
      <c r="L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318263.429033824</v>
      </c>
      <c r="M11" s="40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239563.673491259</v>
      </c>
      <c r="N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158340.014444688</v>
      </c>
      <c r="O11" s="40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139225.455932888</v>
      </c>
      <c r="P11" s="41">
        <v>1</v>
      </c>
      <c r="Q11" s="42" t="s">
        <v>120</v>
      </c>
      <c r="R11" s="42" t="s">
        <v>85</v>
      </c>
      <c r="S11" s="42" t="s">
        <v>77</v>
      </c>
      <c r="T11" s="42" t="s">
        <v>86</v>
      </c>
      <c r="U11" s="42" t="s">
        <v>121</v>
      </c>
      <c r="V11" s="42" t="s">
        <v>118</v>
      </c>
      <c r="W11" s="42" t="s">
        <v>122</v>
      </c>
      <c r="X11" s="42" t="s">
        <v>79</v>
      </c>
      <c r="Y11" s="42" t="s">
        <v>77</v>
      </c>
      <c r="Z11" s="42" t="s">
        <v>77</v>
      </c>
      <c r="AA11" s="42" t="s">
        <v>73</v>
      </c>
      <c r="AB11" s="42" t="s">
        <v>89</v>
      </c>
      <c r="AC11" s="42" t="s">
        <v>77</v>
      </c>
      <c r="AD11" s="42" t="s">
        <v>80</v>
      </c>
      <c r="AE11" s="42" t="s">
        <v>81</v>
      </c>
      <c r="AF11" s="42" t="s">
        <v>82</v>
      </c>
      <c r="AG11" s="42" t="s">
        <v>77</v>
      </c>
      <c r="AH11" s="42" t="s">
        <v>77</v>
      </c>
      <c r="AI11" s="42" t="s">
        <v>77</v>
      </c>
      <c r="AJ11" s="42" t="s">
        <v>77</v>
      </c>
      <c r="AK11" s="42" t="s">
        <v>90</v>
      </c>
      <c r="AL11" t="str">
        <f>VLOOKUP($Q11,武学奇术!$A:$ZZ,25,FALSE)</f>
        <v>陌刀</v>
      </c>
      <c r="AM11" s="27">
        <f>VLOOKUP($Q11,武学奇术!$A:$ZZ,26,FALSE)</f>
        <v>7.5674</v>
      </c>
      <c r="AN11" s="28">
        <f>VLOOKUP($Q11,武学奇术!$A:$ZZ,27,FALSE)*(1+IF(OR($AL11=$F$4,$AL11=$F$5),$B$22,0))</f>
        <v>3139.5</v>
      </c>
      <c r="AO11" s="27">
        <f>VLOOKUP($Q11,武学奇术!$A:$ZZ,28,FALSE)</f>
        <v>11.3512</v>
      </c>
      <c r="AP11" s="28">
        <f>VLOOKUP($Q11,武学奇术!$A:$ZZ,29,FALSE)*(1+IF(OR($AL11=$F$4,$AL11=$F$5),$B$22,0))</f>
        <v>1710</v>
      </c>
      <c r="AQ11" s="27" cm="1">
        <f t="array" ref="AQ11">$G$3+IFERROR(VLOOKUP($AL11,$F$4:$G$7,2,FALSE),0)+VLOOKUP($Q11,武学奇术!$A:$ZZ,2,FALSE)+SUM(_xlfn.XLOOKUP($R11:$AK11,增益!$A:$A,增益!$B:$B,0))</f>
        <v>0.6941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3636.7</v>
      </c>
      <c r="AT11" cm="1">
        <f t="array" ref="AT11">$E$10*(1+$AR11)+VLOOKUP($Q11,武学奇术!$A:$ZZ,4,FALSE)+SUM(_xlfn.XLOOKUP($R11:$AK11,增益!$A:$A,增益!$D:$D,0))-$I$2</f>
        <v>3636.7</v>
      </c>
      <c r="AU11" s="34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0.422</v>
      </c>
      <c r="AV11" s="34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4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4" cm="1">
        <f t="array" ref="BA11">$G$11+VLOOKUP($Q11,武学奇术!$A:$ZZ,10,FALSE)+SUM(_xlfn.XLOOKUP($R11:$AK11,增益!$A:$A,增益!$J:$J,0))</f>
        <v>0</v>
      </c>
      <c r="BB11">
        <f t="shared" si="3"/>
        <v>591.9</v>
      </c>
      <c r="BC11">
        <f t="shared" si="4"/>
        <v>1600.3</v>
      </c>
      <c r="BD11" s="34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0.17</v>
      </c>
      <c r="BE11" s="34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4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4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4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4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1</v>
      </c>
      <c r="BP11" s="27" cm="1">
        <f t="array" ref="BP11">1+$B$13+VLOOKUP($Q11,武学奇术!$A:$ZZ,18,FALSE)+SUM(_xlfn.XLOOKUP($R11:$AK11,增益!$A:$A,增益!$R:$R,0))</f>
        <v>2.01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1</v>
      </c>
      <c r="BT11" s="27">
        <f t="shared" si="10"/>
        <v>0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3" t="s">
        <v>123</v>
      </c>
      <c r="B12" s="71">
        <v>0</v>
      </c>
      <c r="C12" s="47" t="s">
        <v>5</v>
      </c>
      <c r="D12">
        <f>B4+IF($G$1=$C12,$B$7,0)</f>
        <v>591.9</v>
      </c>
      <c r="E12">
        <f>MAX(B4,C4)+IF($G$1=$C12,$C$7,0)</f>
        <v>1600.3</v>
      </c>
      <c r="F12">
        <f>D4</f>
        <v>36</v>
      </c>
      <c r="G12" s="88">
        <f>E4</f>
        <v>0.15</v>
      </c>
      <c r="H12" s="69" t="s">
        <v>124</v>
      </c>
      <c r="I12" s="40">
        <f>I10/I8</f>
        <v>134172.916046399</v>
      </c>
      <c r="J12" s="76"/>
      <c r="K12" s="40">
        <f t="shared" si="0"/>
        <v>18729.3231841529</v>
      </c>
      <c r="L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18729.3231841529</v>
      </c>
      <c r="M12" s="40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14242.2233801072</v>
      </c>
      <c r="N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9271.94217037274</v>
      </c>
      <c r="O12" s="40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7994.0892443698</v>
      </c>
      <c r="P12" s="41">
        <v>1</v>
      </c>
      <c r="Q12" s="42" t="s">
        <v>125</v>
      </c>
      <c r="R12" s="42" t="s">
        <v>85</v>
      </c>
      <c r="S12" s="42" t="s">
        <v>77</v>
      </c>
      <c r="T12" s="42" t="s">
        <v>86</v>
      </c>
      <c r="U12" s="42" t="s">
        <v>121</v>
      </c>
      <c r="V12" s="42" t="s">
        <v>118</v>
      </c>
      <c r="W12" s="42" t="s">
        <v>114</v>
      </c>
      <c r="X12" s="42" t="s">
        <v>88</v>
      </c>
      <c r="Y12" s="42" t="s">
        <v>77</v>
      </c>
      <c r="Z12" s="42" t="s">
        <v>77</v>
      </c>
      <c r="AA12" s="42" t="s">
        <v>73</v>
      </c>
      <c r="AB12" s="42" t="s">
        <v>95</v>
      </c>
      <c r="AC12" s="42" t="s">
        <v>77</v>
      </c>
      <c r="AD12" s="42" t="s">
        <v>80</v>
      </c>
      <c r="AE12" s="42" t="s">
        <v>81</v>
      </c>
      <c r="AF12" s="42" t="s">
        <v>82</v>
      </c>
      <c r="AG12" s="42" t="s">
        <v>77</v>
      </c>
      <c r="AH12" s="42" t="s">
        <v>77</v>
      </c>
      <c r="AI12" s="42" t="s">
        <v>77</v>
      </c>
      <c r="AJ12" s="42" t="s">
        <v>77</v>
      </c>
      <c r="AK12" s="42" t="s">
        <v>90</v>
      </c>
      <c r="AL12" t="str">
        <f>VLOOKUP($Q12,武学奇术!$A:$ZZ,25,FALSE)</f>
        <v>陌刀</v>
      </c>
      <c r="AM12" s="27">
        <f>VLOOKUP($Q12,武学奇术!$A:$ZZ,26,FALSE)</f>
        <v>0.5</v>
      </c>
      <c r="AN12" s="28">
        <f>VLOOKUP($Q12,武学奇术!$A:$ZZ,27,FALSE)*(1+IF(OR($AL12=$F$4,$AL12=$F$5),$B$22,0))</f>
        <v>0</v>
      </c>
      <c r="AO12" s="27">
        <f>VLOOKUP($Q12,武学奇术!$A:$ZZ,28,FALSE)</f>
        <v>0.75</v>
      </c>
      <c r="AP12" s="28">
        <f>VLOOKUP($Q12,武学奇术!$A:$ZZ,29,FALSE)*(1+IF(OR($AL12=$F$4,$AL12=$F$5),$B$22,0))</f>
        <v>0</v>
      </c>
      <c r="AQ12" s="27" cm="1">
        <f t="array" ref="AQ12">$G$3+IFERROR(VLOOKUP($AL12,$F$4:$G$7,2,FALSE),0)+VLOOKUP($Q12,武学奇术!$A:$ZZ,2,FALSE)+SUM(_xlfn.XLOOKUP($R12:$AK12,增益!$A:$A,增益!$B:$B,0))</f>
        <v>0.7141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3636.7</v>
      </c>
      <c r="AT12" cm="1">
        <f t="array" ref="AT12">$E$10*(1+$AR12)+VLOOKUP($Q12,武学奇术!$A:$ZZ,4,FALSE)+SUM(_xlfn.XLOOKUP($R12:$AK12,增益!$A:$A,增益!$D:$D,0))-$I$2</f>
        <v>3636.7</v>
      </c>
      <c r="AU12" s="34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0.422</v>
      </c>
      <c r="AV12" s="34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4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4" cm="1">
        <f t="array" ref="BA12">$G$11+VLOOKUP($Q12,武学奇术!$A:$ZZ,10,FALSE)+SUM(_xlfn.XLOOKUP($R12:$AK12,增益!$A:$A,增益!$J:$J,0))</f>
        <v>0</v>
      </c>
      <c r="BB12">
        <f t="shared" si="3"/>
        <v>591.9</v>
      </c>
      <c r="BC12">
        <f t="shared" si="4"/>
        <v>1600.3</v>
      </c>
      <c r="BD12" s="34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0.17</v>
      </c>
      <c r="BE12" s="34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4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4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4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4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1</v>
      </c>
      <c r="BP12" s="27" cm="1">
        <f t="array" ref="BP12">1+$B$13+VLOOKUP($Q12,武学奇术!$A:$ZZ,18,FALSE)+SUM(_xlfn.XLOOKUP($R12:$AK12,增益!$A:$A,增益!$R:$R,0))</f>
        <v>2.02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1</v>
      </c>
      <c r="BT12" s="27">
        <f t="shared" si="10"/>
        <v>0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spans="1:74">
      <c r="A13" s="43" t="s">
        <v>126</v>
      </c>
      <c r="B13" s="71">
        <v>0.54</v>
      </c>
      <c r="C13" s="47" t="s">
        <v>96</v>
      </c>
      <c r="D13">
        <f>B5+IF($G$1=$C13,$B$7,0)</f>
        <v>0</v>
      </c>
      <c r="E13">
        <f>MAX(B5,C5)+IF($G$1=$C13,$C$7,0)</f>
        <v>0</v>
      </c>
      <c r="F13">
        <f>D5</f>
        <v>0</v>
      </c>
      <c r="G13" s="88">
        <f>E5</f>
        <v>0</v>
      </c>
      <c r="H13" s="72"/>
      <c r="I13" s="77"/>
      <c r="J13" s="75"/>
      <c r="K13" s="40">
        <f t="shared" si="0"/>
        <v>34076.4779467312</v>
      </c>
      <c r="L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34076.4779467312</v>
      </c>
      <c r="M13" s="40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25897.1819142095</v>
      </c>
      <c r="N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16869.5435379857</v>
      </c>
      <c r="O13" s="40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14555.9893617422</v>
      </c>
      <c r="P13" s="41">
        <v>1</v>
      </c>
      <c r="Q13" s="42" t="s">
        <v>117</v>
      </c>
      <c r="R13" s="42" t="s">
        <v>93</v>
      </c>
      <c r="S13" s="42" t="s">
        <v>77</v>
      </c>
      <c r="T13" s="42" t="s">
        <v>86</v>
      </c>
      <c r="U13" s="42" t="s">
        <v>121</v>
      </c>
      <c r="V13" s="42" t="s">
        <v>118</v>
      </c>
      <c r="W13" s="42" t="s">
        <v>114</v>
      </c>
      <c r="X13" s="42" t="s">
        <v>88</v>
      </c>
      <c r="Y13" s="42" t="s">
        <v>77</v>
      </c>
      <c r="Z13" s="42" t="s">
        <v>77</v>
      </c>
      <c r="AA13" s="42" t="s">
        <v>73</v>
      </c>
      <c r="AB13" s="42" t="s">
        <v>95</v>
      </c>
      <c r="AC13" s="42" t="s">
        <v>77</v>
      </c>
      <c r="AD13" s="42" t="s">
        <v>80</v>
      </c>
      <c r="AE13" s="42" t="s">
        <v>81</v>
      </c>
      <c r="AF13" s="42" t="s">
        <v>82</v>
      </c>
      <c r="AG13" s="42" t="s">
        <v>77</v>
      </c>
      <c r="AH13" s="42" t="s">
        <v>77</v>
      </c>
      <c r="AI13" s="42" t="s">
        <v>77</v>
      </c>
      <c r="AJ13" s="42" t="s">
        <v>77</v>
      </c>
      <c r="AK13" s="42" t="s">
        <v>90</v>
      </c>
      <c r="AL13" t="str">
        <f>VLOOKUP($Q13,武学奇术!$A:$ZZ,25,FALSE)</f>
        <v>陌刀</v>
      </c>
      <c r="AM13" s="27">
        <f>VLOOKUP($Q13,武学奇术!$A:$ZZ,26,FALSE)</f>
        <v>0.9</v>
      </c>
      <c r="AN13" s="28">
        <f>VLOOKUP($Q13,武学奇术!$A:$ZZ,27,FALSE)*(1+IF(OR($AL13=$F$4,$AL13=$F$5),$B$22,0))</f>
        <v>0</v>
      </c>
      <c r="AO13" s="27">
        <f>VLOOKUP($Q13,武学奇术!$A:$ZZ,28,FALSE)</f>
        <v>1.35</v>
      </c>
      <c r="AP13" s="28">
        <f>VLOOKUP($Q13,武学奇术!$A:$ZZ,29,FALSE)*(1+IF(OR($AL13=$F$4,$AL13=$F$5),$B$22,0))</f>
        <v>0</v>
      </c>
      <c r="AQ13" s="27" cm="1">
        <f t="array" ref="AQ13">$G$3+IFERROR(VLOOKUP($AL13,$F$4:$G$7,2,FALSE),0)+VLOOKUP($Q13,武学奇术!$A:$ZZ,2,FALSE)+SUM(_xlfn.XLOOKUP($R13:$AK13,增益!$A:$A,增益!$B:$B,0))</f>
        <v>0.7241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3636.7</v>
      </c>
      <c r="AT13" cm="1">
        <f t="array" ref="AT13">$E$10*(1+$AR13)+VLOOKUP($Q13,武学奇术!$A:$ZZ,4,FALSE)+SUM(_xlfn.XLOOKUP($R13:$AK13,增益!$A:$A,增益!$D:$D,0))-$I$2</f>
        <v>3636.7</v>
      </c>
      <c r="AU13" s="34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0.432</v>
      </c>
      <c r="AV13" s="34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4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4" cm="1">
        <f t="array" ref="BA13">$G$11+VLOOKUP($Q13,武学奇术!$A:$ZZ,10,FALSE)+SUM(_xlfn.XLOOKUP($R13:$AK13,增益!$A:$A,增益!$J:$J,0))</f>
        <v>0</v>
      </c>
      <c r="BB13">
        <f t="shared" si="3"/>
        <v>591.9</v>
      </c>
      <c r="BC13">
        <f t="shared" si="4"/>
        <v>1600.3</v>
      </c>
      <c r="BD13" s="34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0.17</v>
      </c>
      <c r="BE13" s="34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4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4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4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4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1</v>
      </c>
      <c r="BP13" s="27" cm="1">
        <f t="array" ref="BP13">1+$B$13+VLOOKUP($Q13,武学奇术!$A:$ZZ,18,FALSE)+SUM(_xlfn.XLOOKUP($R13:$AK13,增益!$A:$A,增益!$R:$R,0))</f>
        <v>2.02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1</v>
      </c>
      <c r="BT13" s="27">
        <f t="shared" si="10"/>
        <v>0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spans="1:74">
      <c r="A14" s="43" t="s">
        <v>127</v>
      </c>
      <c r="B14" s="71">
        <v>0.35</v>
      </c>
      <c r="C14" s="55" t="s">
        <v>101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89">
        <f>E6</f>
        <v>0</v>
      </c>
      <c r="H14" s="38" t="s">
        <v>128</v>
      </c>
      <c r="I14" s="24">
        <f>RD!I14</f>
        <v>127643.783226154</v>
      </c>
      <c r="J14" s="74"/>
      <c r="K14" s="40">
        <f t="shared" si="0"/>
        <v>323281.204164417</v>
      </c>
      <c r="L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323281.204164417</v>
      </c>
      <c r="M14" s="40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242011.244825628</v>
      </c>
      <c r="N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160040.200081395</v>
      </c>
      <c r="O14" s="40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140812.811403065</v>
      </c>
      <c r="P14" s="41">
        <v>1</v>
      </c>
      <c r="Q14" s="42" t="s">
        <v>120</v>
      </c>
      <c r="R14" s="42" t="s">
        <v>93</v>
      </c>
      <c r="S14" s="42" t="s">
        <v>77</v>
      </c>
      <c r="T14" s="42" t="s">
        <v>86</v>
      </c>
      <c r="U14" s="42" t="s">
        <v>121</v>
      </c>
      <c r="V14" s="42" t="s">
        <v>118</v>
      </c>
      <c r="W14" s="42" t="s">
        <v>122</v>
      </c>
      <c r="X14" s="42" t="s">
        <v>88</v>
      </c>
      <c r="Y14" s="42" t="s">
        <v>77</v>
      </c>
      <c r="Z14" s="42" t="s">
        <v>77</v>
      </c>
      <c r="AA14" s="42" t="s">
        <v>73</v>
      </c>
      <c r="AB14" s="42" t="s">
        <v>95</v>
      </c>
      <c r="AC14" s="42" t="s">
        <v>77</v>
      </c>
      <c r="AD14" s="42" t="s">
        <v>80</v>
      </c>
      <c r="AE14" s="42" t="s">
        <v>81</v>
      </c>
      <c r="AF14" s="42" t="s">
        <v>82</v>
      </c>
      <c r="AG14" s="42" t="s">
        <v>77</v>
      </c>
      <c r="AH14" s="42" t="s">
        <v>77</v>
      </c>
      <c r="AI14" s="42" t="s">
        <v>77</v>
      </c>
      <c r="AJ14" s="42" t="s">
        <v>77</v>
      </c>
      <c r="AK14" s="42" t="s">
        <v>90</v>
      </c>
      <c r="AL14" t="str">
        <f>VLOOKUP($Q14,武学奇术!$A:$ZZ,25,FALSE)</f>
        <v>陌刀</v>
      </c>
      <c r="AM14" s="27">
        <f>VLOOKUP($Q14,武学奇术!$A:$ZZ,26,FALSE)</f>
        <v>7.5674</v>
      </c>
      <c r="AN14" s="28">
        <f>VLOOKUP($Q14,武学奇术!$A:$ZZ,27,FALSE)*(1+IF(OR($AL14=$F$4,$AL14=$F$5),$B$22,0))</f>
        <v>3139.5</v>
      </c>
      <c r="AO14" s="27">
        <f>VLOOKUP($Q14,武学奇术!$A:$ZZ,28,FALSE)</f>
        <v>11.3512</v>
      </c>
      <c r="AP14" s="28">
        <f>VLOOKUP($Q14,武学奇术!$A:$ZZ,29,FALSE)*(1+IF(OR($AL14=$F$4,$AL14=$F$5),$B$22,0))</f>
        <v>1710</v>
      </c>
      <c r="AQ14" s="27" cm="1">
        <f t="array" ref="AQ14">$G$3+IFERROR(VLOOKUP($AL14,$F$4:$G$7,2,FALSE),0)+VLOOKUP($Q14,武学奇术!$A:$ZZ,2,FALSE)+SUM(_xlfn.XLOOKUP($R14:$AK14,增益!$A:$A,增益!$B:$B,0))</f>
        <v>0.7041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3636.7</v>
      </c>
      <c r="AT14" cm="1">
        <f t="array" ref="AT14">$E$10*(1+$AR14)+VLOOKUP($Q14,武学奇术!$A:$ZZ,4,FALSE)+SUM(_xlfn.XLOOKUP($R14:$AK14,增益!$A:$A,增益!$D:$D,0))-$I$2</f>
        <v>3636.7</v>
      </c>
      <c r="AU14" s="34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0.432</v>
      </c>
      <c r="AV14" s="34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4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4" cm="1">
        <f t="array" ref="BA14">$G$11+VLOOKUP($Q14,武学奇术!$A:$ZZ,10,FALSE)+SUM(_xlfn.XLOOKUP($R14:$AK14,增益!$A:$A,增益!$J:$J,0))</f>
        <v>0</v>
      </c>
      <c r="BB14">
        <f t="shared" si="3"/>
        <v>591.9</v>
      </c>
      <c r="BC14">
        <f t="shared" si="4"/>
        <v>1600.3</v>
      </c>
      <c r="BD14" s="34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0.17</v>
      </c>
      <c r="BE14" s="34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4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4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4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4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1</v>
      </c>
      <c r="BP14" s="27" cm="1">
        <f t="array" ref="BP14">1+$B$13+VLOOKUP($Q14,武学奇术!$A:$ZZ,18,FALSE)+SUM(_xlfn.XLOOKUP($R14:$AK14,增益!$A:$A,增益!$R:$R,0))</f>
        <v>2.02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1</v>
      </c>
      <c r="BT14" s="27">
        <f t="shared" si="10"/>
        <v>0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spans="1:74">
      <c r="A15" s="43" t="s">
        <v>129</v>
      </c>
      <c r="B15" s="71">
        <v>0.0852</v>
      </c>
      <c r="C15" s="41" t="s">
        <v>130</v>
      </c>
      <c r="D15" s="41"/>
      <c r="F15" s="78"/>
      <c r="H15" s="79"/>
      <c r="I15" s="25"/>
      <c r="J15" s="75"/>
      <c r="K15" s="40">
        <f t="shared" si="0"/>
        <v>19229.2317249799</v>
      </c>
      <c r="L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19229.2317249799</v>
      </c>
      <c r="M15" s="40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14533.1425377701</v>
      </c>
      <c r="N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9472.52794333987</v>
      </c>
      <c r="O15" s="40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8179.76511796113</v>
      </c>
      <c r="P15" s="41">
        <v>1</v>
      </c>
      <c r="Q15" s="42" t="s">
        <v>125</v>
      </c>
      <c r="R15" s="42" t="s">
        <v>99</v>
      </c>
      <c r="S15" s="42" t="s">
        <v>77</v>
      </c>
      <c r="T15" s="42" t="s">
        <v>86</v>
      </c>
      <c r="U15" s="42" t="s">
        <v>121</v>
      </c>
      <c r="V15" s="42" t="s">
        <v>118</v>
      </c>
      <c r="W15" s="42" t="s">
        <v>114</v>
      </c>
      <c r="X15" s="42" t="s">
        <v>94</v>
      </c>
      <c r="Y15" s="42" t="s">
        <v>77</v>
      </c>
      <c r="Z15" s="42" t="s">
        <v>77</v>
      </c>
      <c r="AA15" s="42" t="s">
        <v>73</v>
      </c>
      <c r="AB15" s="42" t="s">
        <v>95</v>
      </c>
      <c r="AC15" s="42" t="s">
        <v>77</v>
      </c>
      <c r="AD15" s="42" t="s">
        <v>80</v>
      </c>
      <c r="AE15" s="42" t="s">
        <v>81</v>
      </c>
      <c r="AF15" s="42" t="s">
        <v>82</v>
      </c>
      <c r="AG15" s="42" t="s">
        <v>77</v>
      </c>
      <c r="AH15" s="42" t="s">
        <v>77</v>
      </c>
      <c r="AI15" s="42" t="s">
        <v>77</v>
      </c>
      <c r="AJ15" s="42" t="s">
        <v>77</v>
      </c>
      <c r="AK15" s="42" t="s">
        <v>90</v>
      </c>
      <c r="AL15" t="str">
        <f>VLOOKUP($Q15,武学奇术!$A:$ZZ,25,FALSE)</f>
        <v>陌刀</v>
      </c>
      <c r="AM15" s="27">
        <f>VLOOKUP($Q15,武学奇术!$A:$ZZ,26,FALSE)</f>
        <v>0.5</v>
      </c>
      <c r="AN15" s="28">
        <f>VLOOKUP($Q15,武学奇术!$A:$ZZ,27,FALSE)*(1+IF(OR($AL15=$F$4,$AL15=$F$5),$B$22,0))</f>
        <v>0</v>
      </c>
      <c r="AO15" s="27">
        <f>VLOOKUP($Q15,武学奇术!$A:$ZZ,28,FALSE)</f>
        <v>0.75</v>
      </c>
      <c r="AP15" s="28">
        <f>VLOOKUP($Q15,武学奇术!$A:$ZZ,29,FALSE)*(1+IF(OR($AL15=$F$4,$AL15=$F$5),$B$22,0))</f>
        <v>0</v>
      </c>
      <c r="AQ15" s="27" cm="1">
        <f t="array" ref="AQ15">$G$3+IFERROR(VLOOKUP($AL15,$F$4:$G$7,2,FALSE),0)+VLOOKUP($Q15,武学奇术!$A:$ZZ,2,FALSE)+SUM(_xlfn.XLOOKUP($R15:$AK15,增益!$A:$A,增益!$B:$B,0))</f>
        <v>0.7341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3636.7</v>
      </c>
      <c r="AT15" cm="1">
        <f t="array" ref="AT15">$E$10*(1+$AR15)+VLOOKUP($Q15,武学奇术!$A:$ZZ,4,FALSE)+SUM(_xlfn.XLOOKUP($R15:$AK15,增益!$A:$A,增益!$D:$D,0))-$I$2</f>
        <v>3636.7</v>
      </c>
      <c r="AU15" s="34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0.442</v>
      </c>
      <c r="AV15" s="34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4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4" cm="1">
        <f t="array" ref="BA15">$G$11+VLOOKUP($Q15,武学奇术!$A:$ZZ,10,FALSE)+SUM(_xlfn.XLOOKUP($R15:$AK15,增益!$A:$A,增益!$J:$J,0))</f>
        <v>0</v>
      </c>
      <c r="BB15">
        <f t="shared" si="3"/>
        <v>591.9</v>
      </c>
      <c r="BC15">
        <f t="shared" si="4"/>
        <v>1600.3</v>
      </c>
      <c r="BD15" s="34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0.17</v>
      </c>
      <c r="BE15" s="34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4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4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4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4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1</v>
      </c>
      <c r="BP15" s="27" cm="1">
        <f t="array" ref="BP15">1+$B$13+VLOOKUP($Q15,武学奇术!$A:$ZZ,18,FALSE)+SUM(_xlfn.XLOOKUP($R15:$AK15,增益!$A:$A,增益!$R:$R,0))</f>
        <v>2.03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1</v>
      </c>
      <c r="BT15" s="27">
        <f t="shared" si="10"/>
        <v>0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3" t="s">
        <v>131</v>
      </c>
      <c r="B16" s="71">
        <v>0.0887</v>
      </c>
      <c r="C16" s="41" t="s">
        <v>132</v>
      </c>
      <c r="D16" s="78" t="s">
        <v>133</v>
      </c>
      <c r="E16" s="41" t="s">
        <v>134</v>
      </c>
      <c r="F16" s="78" t="s">
        <v>133</v>
      </c>
      <c r="H16" s="69" t="s">
        <v>135</v>
      </c>
      <c r="I16" s="80">
        <f>I12/134172.92</f>
        <v>0.999999970533541</v>
      </c>
      <c r="J16" s="81"/>
      <c r="K16" s="40">
        <f t="shared" si="0"/>
        <v>34612.6171049639</v>
      </c>
      <c r="L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34612.6171049639</v>
      </c>
      <c r="M16" s="40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26159.6565679862</v>
      </c>
      <c r="N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17050.5502980118</v>
      </c>
      <c r="O16" s="40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14723.57721233</v>
      </c>
      <c r="P16" s="41">
        <v>1</v>
      </c>
      <c r="Q16" s="42" t="s">
        <v>117</v>
      </c>
      <c r="R16" s="42" t="s">
        <v>99</v>
      </c>
      <c r="S16" s="42" t="s">
        <v>77</v>
      </c>
      <c r="T16" s="42" t="s">
        <v>86</v>
      </c>
      <c r="U16" s="42" t="s">
        <v>121</v>
      </c>
      <c r="V16" s="42" t="s">
        <v>118</v>
      </c>
      <c r="W16" s="42" t="s">
        <v>114</v>
      </c>
      <c r="X16" s="42" t="s">
        <v>94</v>
      </c>
      <c r="Y16" s="42" t="s">
        <v>77</v>
      </c>
      <c r="Z16" s="42" t="s">
        <v>77</v>
      </c>
      <c r="AA16" s="42" t="s">
        <v>73</v>
      </c>
      <c r="AB16" s="42" t="s">
        <v>95</v>
      </c>
      <c r="AC16" s="42" t="s">
        <v>77</v>
      </c>
      <c r="AD16" s="42" t="s">
        <v>80</v>
      </c>
      <c r="AE16" s="42" t="s">
        <v>81</v>
      </c>
      <c r="AF16" s="42" t="s">
        <v>82</v>
      </c>
      <c r="AG16" s="42" t="s">
        <v>77</v>
      </c>
      <c r="AH16" s="42" t="s">
        <v>77</v>
      </c>
      <c r="AI16" s="42" t="s">
        <v>77</v>
      </c>
      <c r="AJ16" s="42" t="s">
        <v>77</v>
      </c>
      <c r="AK16" s="42" t="s">
        <v>90</v>
      </c>
      <c r="AL16" t="str">
        <f>VLOOKUP($Q16,武学奇术!$A:$ZZ,25,FALSE)</f>
        <v>陌刀</v>
      </c>
      <c r="AM16" s="27">
        <f>VLOOKUP($Q16,武学奇术!$A:$ZZ,26,FALSE)</f>
        <v>0.9</v>
      </c>
      <c r="AN16" s="28">
        <f>VLOOKUP($Q16,武学奇术!$A:$ZZ,27,FALSE)*(1+IF(OR($AL16=$F$4,$AL16=$F$5),$B$22,0))</f>
        <v>0</v>
      </c>
      <c r="AO16" s="27">
        <f>VLOOKUP($Q16,武学奇术!$A:$ZZ,28,FALSE)</f>
        <v>1.35</v>
      </c>
      <c r="AP16" s="28">
        <f>VLOOKUP($Q16,武学奇术!$A:$ZZ,29,FALSE)*(1+IF(OR($AL16=$F$4,$AL16=$F$5),$B$22,0))</f>
        <v>0</v>
      </c>
      <c r="AQ16" s="27" cm="1">
        <f t="array" ref="AQ16">$G$3+IFERROR(VLOOKUP($AL16,$F$4:$G$7,2,FALSE),0)+VLOOKUP($Q16,武学奇术!$A:$ZZ,2,FALSE)+SUM(_xlfn.XLOOKUP($R16:$AK16,增益!$A:$A,增益!$B:$B,0))</f>
        <v>0.7341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3636.7</v>
      </c>
      <c r="AT16" cm="1">
        <f t="array" ref="AT16">$E$10*(1+$AR16)+VLOOKUP($Q16,武学奇术!$A:$ZZ,4,FALSE)+SUM(_xlfn.XLOOKUP($R16:$AK16,增益!$A:$A,增益!$D:$D,0))-$I$2</f>
        <v>3636.7</v>
      </c>
      <c r="AU16" s="34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0.442</v>
      </c>
      <c r="AV16" s="34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4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4" cm="1">
        <f t="array" ref="BA16">$G$11+VLOOKUP($Q16,武学奇术!$A:$ZZ,10,FALSE)+SUM(_xlfn.XLOOKUP($R16:$AK16,增益!$A:$A,增益!$J:$J,0))</f>
        <v>0</v>
      </c>
      <c r="BB16">
        <f t="shared" si="3"/>
        <v>591.9</v>
      </c>
      <c r="BC16">
        <f t="shared" si="4"/>
        <v>1600.3</v>
      </c>
      <c r="BD16" s="34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0.17</v>
      </c>
      <c r="BE16" s="34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4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34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4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4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1</v>
      </c>
      <c r="BP16" s="27" cm="1">
        <f t="array" ref="BP16">1+$B$13+VLOOKUP($Q16,武学奇术!$A:$ZZ,18,FALSE)+SUM(_xlfn.XLOOKUP($R16:$AK16,增益!$A:$A,增益!$R:$R,0))</f>
        <v>2.03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1</v>
      </c>
      <c r="BT16" s="27">
        <f t="shared" si="10"/>
        <v>0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spans="1:74">
      <c r="A17" s="43" t="s">
        <v>136</v>
      </c>
      <c r="B17" s="71">
        <v>0.0852</v>
      </c>
      <c r="C17" s="41" t="s">
        <v>137</v>
      </c>
      <c r="D17" s="78" t="s">
        <v>133</v>
      </c>
      <c r="E17" s="41" t="s">
        <v>138</v>
      </c>
      <c r="F17" s="78" t="s">
        <v>133</v>
      </c>
      <c r="H17" s="72"/>
      <c r="I17" s="82"/>
      <c r="J17" s="83"/>
      <c r="K17" s="40">
        <f t="shared" si="0"/>
        <v>328351.221677585</v>
      </c>
      <c r="L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328351.221677585</v>
      </c>
      <c r="M17" s="40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244470.945324668</v>
      </c>
      <c r="N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161749.370284525</v>
      </c>
      <c r="O17" s="40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142409.151439665</v>
      </c>
      <c r="P17" s="41">
        <v>1</v>
      </c>
      <c r="Q17" s="42" t="s">
        <v>120</v>
      </c>
      <c r="R17" s="42" t="s">
        <v>99</v>
      </c>
      <c r="S17" s="42" t="s">
        <v>77</v>
      </c>
      <c r="T17" s="42" t="s">
        <v>86</v>
      </c>
      <c r="U17" s="42" t="s">
        <v>121</v>
      </c>
      <c r="V17" s="42" t="s">
        <v>118</v>
      </c>
      <c r="W17" s="42" t="s">
        <v>122</v>
      </c>
      <c r="X17" s="42" t="s">
        <v>94</v>
      </c>
      <c r="Y17" s="42" t="s">
        <v>77</v>
      </c>
      <c r="Z17" s="42" t="s">
        <v>77</v>
      </c>
      <c r="AA17" s="42" t="s">
        <v>73</v>
      </c>
      <c r="AB17" s="42" t="s">
        <v>95</v>
      </c>
      <c r="AC17" s="42" t="s">
        <v>77</v>
      </c>
      <c r="AD17" s="42" t="s">
        <v>80</v>
      </c>
      <c r="AE17" s="42" t="s">
        <v>81</v>
      </c>
      <c r="AF17" s="42" t="s">
        <v>82</v>
      </c>
      <c r="AG17" s="42" t="s">
        <v>77</v>
      </c>
      <c r="AH17" s="42" t="s">
        <v>77</v>
      </c>
      <c r="AI17" s="42" t="s">
        <v>77</v>
      </c>
      <c r="AJ17" s="42" t="s">
        <v>77</v>
      </c>
      <c r="AK17" s="42" t="s">
        <v>90</v>
      </c>
      <c r="AL17" t="str">
        <f>VLOOKUP($Q17,武学奇术!$A:$ZZ,25,FALSE)</f>
        <v>陌刀</v>
      </c>
      <c r="AM17" s="27">
        <f>VLOOKUP($Q17,武学奇术!$A:$ZZ,26,FALSE)</f>
        <v>7.5674</v>
      </c>
      <c r="AN17" s="28">
        <f>VLOOKUP($Q17,武学奇术!$A:$ZZ,27,FALSE)*(1+IF(OR($AL17=$F$4,$AL17=$F$5),$B$22,0))</f>
        <v>3139.5</v>
      </c>
      <c r="AO17" s="27">
        <f>VLOOKUP($Q17,武学奇术!$A:$ZZ,28,FALSE)</f>
        <v>11.3512</v>
      </c>
      <c r="AP17" s="28">
        <f>VLOOKUP($Q17,武学奇术!$A:$ZZ,29,FALSE)*(1+IF(OR($AL17=$F$4,$AL17=$F$5),$B$22,0))</f>
        <v>1710</v>
      </c>
      <c r="AQ17" s="27" cm="1">
        <f t="array" ref="AQ17">$G$3+IFERROR(VLOOKUP($AL17,$F$4:$G$7,2,FALSE),0)+VLOOKUP($Q17,武学奇术!$A:$ZZ,2,FALSE)+SUM(_xlfn.XLOOKUP($R17:$AK17,增益!$A:$A,增益!$B:$B,0))</f>
        <v>0.7141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3636.7</v>
      </c>
      <c r="AT17" cm="1">
        <f t="array" ref="AT17">$E$10*(1+$AR17)+VLOOKUP($Q17,武学奇术!$A:$ZZ,4,FALSE)+SUM(_xlfn.XLOOKUP($R17:$AK17,增益!$A:$A,增益!$D:$D,0))-$I$2</f>
        <v>3636.7</v>
      </c>
      <c r="AU17" s="34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0.442</v>
      </c>
      <c r="AV17" s="34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4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4" cm="1">
        <f t="array" ref="BA17">$G$11+VLOOKUP($Q17,武学奇术!$A:$ZZ,10,FALSE)+SUM(_xlfn.XLOOKUP($R17:$AK17,增益!$A:$A,增益!$J:$J,0))</f>
        <v>0</v>
      </c>
      <c r="BB17">
        <f t="shared" si="3"/>
        <v>591.9</v>
      </c>
      <c r="BC17">
        <f t="shared" si="4"/>
        <v>1600.3</v>
      </c>
      <c r="BD17" s="34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0.17</v>
      </c>
      <c r="BE17" s="34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4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34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4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4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1</v>
      </c>
      <c r="BP17" s="27" cm="1">
        <f t="array" ref="BP17">1+$B$13+VLOOKUP($Q17,武学奇术!$A:$ZZ,18,FALSE)+SUM(_xlfn.XLOOKUP($R17:$AK17,增益!$A:$A,增益!$R:$R,0))</f>
        <v>2.03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1</v>
      </c>
      <c r="BT17" s="27">
        <f t="shared" si="10"/>
        <v>0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3" t="s">
        <v>139</v>
      </c>
      <c r="B18" s="71">
        <v>0</v>
      </c>
      <c r="C18" s="41" t="s">
        <v>140</v>
      </c>
      <c r="D18" s="78" t="s">
        <v>133</v>
      </c>
      <c r="E18" s="41" t="s">
        <v>63</v>
      </c>
      <c r="F18" s="84">
        <f>MIN(1,$B$8)*($B$9+$B$11)</f>
        <v>0.87863408</v>
      </c>
      <c r="H18" s="69" t="s">
        <v>141</v>
      </c>
      <c r="I18" s="38">
        <v>50</v>
      </c>
      <c r="J18" s="39"/>
      <c r="K18" s="40">
        <f t="shared" si="0"/>
        <v>19530.1850116489</v>
      </c>
      <c r="L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19530.1850116489</v>
      </c>
      <c r="M18" s="40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14679.6811364017</v>
      </c>
      <c r="N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9573.62010374944</v>
      </c>
      <c r="O18" s="40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8273.4023286828</v>
      </c>
      <c r="P18" s="41">
        <v>1</v>
      </c>
      <c r="Q18" s="42" t="s">
        <v>125</v>
      </c>
      <c r="R18" s="42" t="s">
        <v>103</v>
      </c>
      <c r="S18" s="42" t="s">
        <v>77</v>
      </c>
      <c r="T18" s="42" t="s">
        <v>86</v>
      </c>
      <c r="U18" s="42" t="s">
        <v>121</v>
      </c>
      <c r="V18" s="42" t="s">
        <v>118</v>
      </c>
      <c r="W18" s="42" t="s">
        <v>114</v>
      </c>
      <c r="X18" s="42" t="s">
        <v>100</v>
      </c>
      <c r="Y18" s="42" t="s">
        <v>77</v>
      </c>
      <c r="Z18" s="42" t="s">
        <v>77</v>
      </c>
      <c r="AA18" s="42" t="s">
        <v>73</v>
      </c>
      <c r="AB18" s="42" t="s">
        <v>95</v>
      </c>
      <c r="AC18" s="42" t="s">
        <v>77</v>
      </c>
      <c r="AD18" s="42" t="s">
        <v>80</v>
      </c>
      <c r="AE18" s="42" t="s">
        <v>81</v>
      </c>
      <c r="AF18" s="42" t="s">
        <v>82</v>
      </c>
      <c r="AG18" s="42" t="s">
        <v>77</v>
      </c>
      <c r="AH18" s="42" t="s">
        <v>77</v>
      </c>
      <c r="AI18" s="42" t="s">
        <v>77</v>
      </c>
      <c r="AJ18" s="42" t="s">
        <v>77</v>
      </c>
      <c r="AK18" s="42" t="s">
        <v>90</v>
      </c>
      <c r="AL18" t="str">
        <f>VLOOKUP($Q18,武学奇术!$A:$ZZ,25,FALSE)</f>
        <v>陌刀</v>
      </c>
      <c r="AM18" s="27">
        <f>VLOOKUP($Q18,武学奇术!$A:$ZZ,26,FALSE)</f>
        <v>0.5</v>
      </c>
      <c r="AN18" s="28">
        <f>VLOOKUP($Q18,武学奇术!$A:$ZZ,27,FALSE)*(1+IF(OR($AL18=$F$4,$AL18=$F$5),$B$22,0))</f>
        <v>0</v>
      </c>
      <c r="AO18" s="27">
        <f>VLOOKUP($Q18,武学奇术!$A:$ZZ,28,FALSE)</f>
        <v>0.75</v>
      </c>
      <c r="AP18" s="28">
        <f>VLOOKUP($Q18,武学奇术!$A:$ZZ,29,FALSE)*(1+IF(OR($AL18=$F$4,$AL18=$F$5),$B$22,0))</f>
        <v>0</v>
      </c>
      <c r="AQ18" s="27" cm="1">
        <f t="array" ref="AQ18">$G$3+IFERROR(VLOOKUP($AL18,$F$4:$G$7,2,FALSE),0)+VLOOKUP($Q18,武学奇术!$A:$ZZ,2,FALSE)+SUM(_xlfn.XLOOKUP($R18:$AK18,增益!$A:$A,增益!$B:$B,0))</f>
        <v>0.7441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3636.7</v>
      </c>
      <c r="AT18" cm="1">
        <f t="array" ref="AT18">$E$10*(1+$AR18)+VLOOKUP($Q18,武学奇术!$A:$ZZ,4,FALSE)+SUM(_xlfn.XLOOKUP($R18:$AK18,增益!$A:$A,增益!$D:$D,0))-$I$2</f>
        <v>3636.7</v>
      </c>
      <c r="AU18" s="34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0.452</v>
      </c>
      <c r="AV18" s="34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4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4" cm="1">
        <f t="array" ref="BA18">$G$11+VLOOKUP($Q18,武学奇术!$A:$ZZ,10,FALSE)+SUM(_xlfn.XLOOKUP($R18:$AK18,增益!$A:$A,增益!$J:$J,0))</f>
        <v>0</v>
      </c>
      <c r="BB18">
        <f t="shared" si="3"/>
        <v>591.9</v>
      </c>
      <c r="BC18">
        <f t="shared" si="4"/>
        <v>1600.3</v>
      </c>
      <c r="BD18" s="34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0.17</v>
      </c>
      <c r="BE18" s="34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4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34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4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4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1</v>
      </c>
      <c r="BP18" s="27" cm="1">
        <f t="array" ref="BP18">1+$B$13+VLOOKUP($Q18,武学奇术!$A:$ZZ,18,FALSE)+SUM(_xlfn.XLOOKUP($R18:$AK18,增益!$A:$A,增益!$R:$R,0))</f>
        <v>2.04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1</v>
      </c>
      <c r="BT18" s="27">
        <f t="shared" si="10"/>
        <v>0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3" t="s">
        <v>142</v>
      </c>
      <c r="B19" s="71">
        <v>0</v>
      </c>
      <c r="H19" s="72"/>
      <c r="I19" s="79"/>
      <c r="J19" s="90"/>
      <c r="K19" s="40">
        <f t="shared" si="0"/>
        <v>35154.333020968</v>
      </c>
      <c r="L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35154.333020968</v>
      </c>
      <c r="M19" s="40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26423.4260455231</v>
      </c>
      <c r="N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17232.516186749</v>
      </c>
      <c r="O19" s="40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14892.124191629</v>
      </c>
      <c r="P19" s="41">
        <v>1</v>
      </c>
      <c r="Q19" s="42" t="s">
        <v>117</v>
      </c>
      <c r="R19" s="42" t="s">
        <v>103</v>
      </c>
      <c r="S19" s="42" t="s">
        <v>77</v>
      </c>
      <c r="T19" s="42" t="s">
        <v>86</v>
      </c>
      <c r="U19" s="42" t="s">
        <v>121</v>
      </c>
      <c r="V19" s="42" t="s">
        <v>118</v>
      </c>
      <c r="W19" s="42" t="s">
        <v>114</v>
      </c>
      <c r="X19" s="42" t="s">
        <v>100</v>
      </c>
      <c r="Y19" s="42" t="s">
        <v>77</v>
      </c>
      <c r="Z19" s="42" t="s">
        <v>77</v>
      </c>
      <c r="AA19" s="42" t="s">
        <v>73</v>
      </c>
      <c r="AB19" s="42" t="s">
        <v>95</v>
      </c>
      <c r="AC19" s="42" t="s">
        <v>77</v>
      </c>
      <c r="AD19" s="42" t="s">
        <v>80</v>
      </c>
      <c r="AE19" s="42" t="s">
        <v>81</v>
      </c>
      <c r="AF19" s="42" t="s">
        <v>82</v>
      </c>
      <c r="AG19" s="42" t="s">
        <v>77</v>
      </c>
      <c r="AH19" s="42" t="s">
        <v>77</v>
      </c>
      <c r="AI19" s="42" t="s">
        <v>77</v>
      </c>
      <c r="AJ19" s="42" t="s">
        <v>77</v>
      </c>
      <c r="AK19" s="42" t="s">
        <v>90</v>
      </c>
      <c r="AL19" t="str">
        <f>VLOOKUP($Q19,武学奇术!$A:$ZZ,25,FALSE)</f>
        <v>陌刀</v>
      </c>
      <c r="AM19" s="27">
        <f>VLOOKUP($Q19,武学奇术!$A:$ZZ,26,FALSE)</f>
        <v>0.9</v>
      </c>
      <c r="AN19" s="28">
        <f>VLOOKUP($Q19,武学奇术!$A:$ZZ,27,FALSE)*(1+IF(OR($AL19=$F$4,$AL19=$F$5),$B$22,0))</f>
        <v>0</v>
      </c>
      <c r="AO19" s="27">
        <f>VLOOKUP($Q19,武学奇术!$A:$ZZ,28,FALSE)</f>
        <v>1.35</v>
      </c>
      <c r="AP19" s="28">
        <f>VLOOKUP($Q19,武学奇术!$A:$ZZ,29,FALSE)*(1+IF(OR($AL19=$F$4,$AL19=$F$5),$B$22,0))</f>
        <v>0</v>
      </c>
      <c r="AQ19" s="27" cm="1">
        <f t="array" ref="AQ19">$G$3+IFERROR(VLOOKUP($AL19,$F$4:$G$7,2,FALSE),0)+VLOOKUP($Q19,武学奇术!$A:$ZZ,2,FALSE)+SUM(_xlfn.XLOOKUP($R19:$AK19,增益!$A:$A,增益!$B:$B,0))</f>
        <v>0.7441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3636.7</v>
      </c>
      <c r="AT19" cm="1">
        <f t="array" ref="AT19">$E$10*(1+$AR19)+VLOOKUP($Q19,武学奇术!$A:$ZZ,4,FALSE)+SUM(_xlfn.XLOOKUP($R19:$AK19,增益!$A:$A,增益!$D:$D,0))-$I$2</f>
        <v>3636.7</v>
      </c>
      <c r="AU19" s="34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0.452</v>
      </c>
      <c r="AV19" s="34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4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4" cm="1">
        <f t="array" ref="BA19">$G$11+VLOOKUP($Q19,武学奇术!$A:$ZZ,10,FALSE)+SUM(_xlfn.XLOOKUP($R19:$AK19,增益!$A:$A,增益!$J:$J,0))</f>
        <v>0</v>
      </c>
      <c r="BB19">
        <f t="shared" si="3"/>
        <v>591.9</v>
      </c>
      <c r="BC19">
        <f t="shared" si="4"/>
        <v>1600.3</v>
      </c>
      <c r="BD19" s="34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0.17</v>
      </c>
      <c r="BE19" s="34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4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34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4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4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1</v>
      </c>
      <c r="BP19" s="27" cm="1">
        <f t="array" ref="BP19">1+$B$13+VLOOKUP($Q19,武学奇术!$A:$ZZ,18,FALSE)+SUM(_xlfn.XLOOKUP($R19:$AK19,增益!$A:$A,增益!$R:$R,0))</f>
        <v>2.04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1</v>
      </c>
      <c r="BT19" s="27">
        <f t="shared" si="10"/>
        <v>0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3" t="s">
        <v>143</v>
      </c>
      <c r="B20" s="71">
        <v>0</v>
      </c>
      <c r="C20" s="41" t="s">
        <v>144</v>
      </c>
      <c r="D20" s="78" t="s">
        <v>133</v>
      </c>
      <c r="H20" s="69"/>
      <c r="I20" s="38"/>
      <c r="J20" s="39"/>
      <c r="K20" s="40">
        <f t="shared" si="0"/>
        <v>333473.751110319</v>
      </c>
      <c r="L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333473.751110319</v>
      </c>
      <c r="M20" s="40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246942.774988381</v>
      </c>
      <c r="N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163467.525054078</v>
      </c>
      <c r="O20" s="40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144014.476042689</v>
      </c>
      <c r="P20" s="41">
        <v>1</v>
      </c>
      <c r="Q20" s="42" t="s">
        <v>120</v>
      </c>
      <c r="R20" s="42" t="s">
        <v>103</v>
      </c>
      <c r="S20" s="42" t="s">
        <v>77</v>
      </c>
      <c r="T20" s="42" t="s">
        <v>86</v>
      </c>
      <c r="U20" s="42" t="s">
        <v>121</v>
      </c>
      <c r="V20" s="42" t="s">
        <v>118</v>
      </c>
      <c r="W20" s="42" t="s">
        <v>122</v>
      </c>
      <c r="X20" s="42" t="s">
        <v>100</v>
      </c>
      <c r="Y20" s="42" t="s">
        <v>77</v>
      </c>
      <c r="Z20" s="42" t="s">
        <v>77</v>
      </c>
      <c r="AA20" s="42" t="s">
        <v>73</v>
      </c>
      <c r="AB20" s="42" t="s">
        <v>95</v>
      </c>
      <c r="AC20" s="42" t="s">
        <v>77</v>
      </c>
      <c r="AD20" s="42" t="s">
        <v>80</v>
      </c>
      <c r="AE20" s="42" t="s">
        <v>81</v>
      </c>
      <c r="AF20" s="42" t="s">
        <v>82</v>
      </c>
      <c r="AG20" s="42" t="s">
        <v>77</v>
      </c>
      <c r="AH20" s="42" t="s">
        <v>77</v>
      </c>
      <c r="AI20" s="42" t="s">
        <v>77</v>
      </c>
      <c r="AJ20" s="42" t="s">
        <v>77</v>
      </c>
      <c r="AK20" s="42" t="s">
        <v>90</v>
      </c>
      <c r="AL20" t="str">
        <f>VLOOKUP($Q20,武学奇术!$A:$ZZ,25,FALSE)</f>
        <v>陌刀</v>
      </c>
      <c r="AM20" s="27">
        <f>VLOOKUP($Q20,武学奇术!$A:$ZZ,26,FALSE)</f>
        <v>7.5674</v>
      </c>
      <c r="AN20" s="28">
        <f>VLOOKUP($Q20,武学奇术!$A:$ZZ,27,FALSE)*(1+IF(OR($AL20=$F$4,$AL20=$F$5),$B$22,0))</f>
        <v>3139.5</v>
      </c>
      <c r="AO20" s="27">
        <f>VLOOKUP($Q20,武学奇术!$A:$ZZ,28,FALSE)</f>
        <v>11.3512</v>
      </c>
      <c r="AP20" s="28">
        <f>VLOOKUP($Q20,武学奇术!$A:$ZZ,29,FALSE)*(1+IF(OR($AL20=$F$4,$AL20=$F$5),$B$22,0))</f>
        <v>1710</v>
      </c>
      <c r="AQ20" s="27" cm="1">
        <f t="array" ref="AQ20">$G$3+IFERROR(VLOOKUP($AL20,$F$4:$G$7,2,FALSE),0)+VLOOKUP($Q20,武学奇术!$A:$ZZ,2,FALSE)+SUM(_xlfn.XLOOKUP($R20:$AK20,增益!$A:$A,增益!$B:$B,0))</f>
        <v>0.7241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3636.7</v>
      </c>
      <c r="AT20" cm="1">
        <f t="array" ref="AT20">$E$10*(1+$AR20)+VLOOKUP($Q20,武学奇术!$A:$ZZ,4,FALSE)+SUM(_xlfn.XLOOKUP($R20:$AK20,增益!$A:$A,增益!$D:$D,0))-$I$2</f>
        <v>3636.7</v>
      </c>
      <c r="AU20" s="34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0.452</v>
      </c>
      <c r="AV20" s="34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4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4" cm="1">
        <f t="array" ref="BA20">$G$11+VLOOKUP($Q20,武学奇术!$A:$ZZ,10,FALSE)+SUM(_xlfn.XLOOKUP($R20:$AK20,增益!$A:$A,增益!$J:$J,0))</f>
        <v>0</v>
      </c>
      <c r="BB20">
        <f t="shared" si="3"/>
        <v>591.9</v>
      </c>
      <c r="BC20">
        <f t="shared" si="4"/>
        <v>1600.3</v>
      </c>
      <c r="BD20" s="34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0.17</v>
      </c>
      <c r="BE20" s="34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4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4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4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4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1</v>
      </c>
      <c r="BP20" s="27" cm="1">
        <f t="array" ref="BP20">1+$B$13+VLOOKUP($Q20,武学奇术!$A:$ZZ,18,FALSE)+SUM(_xlfn.XLOOKUP($R20:$AK20,增益!$A:$A,增益!$R:$R,0))</f>
        <v>2.04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1</v>
      </c>
      <c r="BT20" s="27">
        <f t="shared" si="10"/>
        <v>0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spans="1:74">
      <c r="A21" s="85" t="s">
        <v>145</v>
      </c>
      <c r="B21" s="91">
        <v>0.32</v>
      </c>
      <c r="C21" s="41" t="s">
        <v>146</v>
      </c>
      <c r="D21" s="78" t="s">
        <v>147</v>
      </c>
      <c r="E21" s="41" t="s">
        <v>148</v>
      </c>
      <c r="F21" s="41"/>
      <c r="H21" s="72"/>
      <c r="I21" s="79"/>
      <c r="J21" s="90"/>
      <c r="K21" s="40">
        <f t="shared" si="0"/>
        <v>145834.20655871</v>
      </c>
      <c r="L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148944.703263748</v>
      </c>
      <c r="M21" s="40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135553.380315318</v>
      </c>
      <c r="N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88657.5614665164</v>
      </c>
      <c r="O21" s="40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76905.2115883526</v>
      </c>
      <c r="P21" s="41">
        <v>1</v>
      </c>
      <c r="Q21" s="42" t="s">
        <v>149</v>
      </c>
      <c r="R21" s="42" t="s">
        <v>103</v>
      </c>
      <c r="S21" s="42" t="s">
        <v>77</v>
      </c>
      <c r="T21" s="42" t="s">
        <v>86</v>
      </c>
      <c r="U21" s="42" t="s">
        <v>87</v>
      </c>
      <c r="V21" s="42" t="s">
        <v>77</v>
      </c>
      <c r="W21" s="42" t="s">
        <v>78</v>
      </c>
      <c r="X21" s="42" t="s">
        <v>100</v>
      </c>
      <c r="Y21" s="42" t="s">
        <v>77</v>
      </c>
      <c r="Z21" s="42" t="s">
        <v>77</v>
      </c>
      <c r="AA21" s="42" t="s">
        <v>77</v>
      </c>
      <c r="AB21" s="42" t="s">
        <v>89</v>
      </c>
      <c r="AC21" s="42" t="s">
        <v>77</v>
      </c>
      <c r="AD21" s="42" t="s">
        <v>80</v>
      </c>
      <c r="AE21" s="42" t="s">
        <v>81</v>
      </c>
      <c r="AF21" s="42" t="s">
        <v>82</v>
      </c>
      <c r="AG21" s="42" t="s">
        <v>77</v>
      </c>
      <c r="AH21" s="42" t="s">
        <v>77</v>
      </c>
      <c r="AI21" s="42" t="s">
        <v>77</v>
      </c>
      <c r="AJ21" s="42" t="s">
        <v>77</v>
      </c>
      <c r="AK21" s="42" t="s">
        <v>90</v>
      </c>
      <c r="AL21" t="str">
        <f>VLOOKUP($Q21,武学奇术!$A:$ZZ,25,FALSE)</f>
        <v>单体奇术</v>
      </c>
      <c r="AM21" s="27">
        <f>VLOOKUP($Q21,武学奇术!$A:$ZZ,26,FALSE)</f>
        <v>7.1084</v>
      </c>
      <c r="AN21" s="28">
        <f>VLOOKUP($Q21,武学奇术!$A:$ZZ,27,FALSE)*(1+IF(OR($AL21=$F$4,$AL21=$F$5),$B$22,0))</f>
        <v>1369</v>
      </c>
      <c r="AO21" s="27">
        <f>VLOOKUP($Q21,武学奇术!$A:$ZZ,28,FALSE)</f>
        <v>10.6626</v>
      </c>
      <c r="AP21" s="28">
        <f>VLOOKUP($Q21,武学奇术!$A:$ZZ,29,FALSE)*(1+IF(OR($AL21=$F$4,$AL21=$F$5),$B$22,0))</f>
        <v>0</v>
      </c>
      <c r="AQ21" s="27" cm="1">
        <f t="array" ref="AQ21">$G$3+IFERROR(VLOOKUP($AL21,$F$4:$G$7,2,FALSE),0)+VLOOKUP($Q21,武学奇术!$A:$ZZ,2,FALSE)+SUM(_xlfn.XLOOKUP($R21:$AK21,增益!$A:$A,增益!$B:$B,0))</f>
        <v>0.4637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3636.7</v>
      </c>
      <c r="AT21" cm="1">
        <f t="array" ref="AT21">$E$10*(1+$AR21)+VLOOKUP($Q21,武学奇术!$A:$ZZ,4,FALSE)+SUM(_xlfn.XLOOKUP($R21:$AK21,增益!$A:$A,增益!$D:$D,0))-$I$2</f>
        <v>3636.7</v>
      </c>
      <c r="AU21" s="34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0.427</v>
      </c>
      <c r="AV21" s="34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4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4" cm="1">
        <f t="array" ref="BA21">$G$11+VLOOKUP($Q21,武学奇术!$A:$ZZ,10,FALSE)+SUM(_xlfn.XLOOKUP($R21:$AK21,增益!$A:$A,增益!$J:$J,0))</f>
        <v>0</v>
      </c>
      <c r="BB21">
        <f t="shared" si="3"/>
        <v>591.9</v>
      </c>
      <c r="BC21">
        <f t="shared" si="4"/>
        <v>1600.3</v>
      </c>
      <c r="BD21" s="34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0.17</v>
      </c>
      <c r="BE21" s="34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4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4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4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4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0.9859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7" cm="1">
        <f t="array" ref="BP21">1+$B$13+VLOOKUP($Q21,武学奇术!$A:$ZZ,18,FALSE)+SUM(_xlfn.XLOOKUP($R21:$AK21,增益!$A:$A,增益!$R:$R,0))</f>
        <v>1.68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0.87863408</v>
      </c>
      <c r="BT21" s="27">
        <f t="shared" si="10"/>
        <v>0.01567581</v>
      </c>
      <c r="BU21" s="27">
        <f>IF(VLOOKUP($Q21,武学奇术!$A:$ZZ,22,FALSE)=1,0,(1-$BN21))*(1-$BQ21)</f>
        <v>0.01279011</v>
      </c>
      <c r="BV21" s="27" cm="1">
        <f t="array" ref="BV21">SUM(_xlfn.XLOOKUP($R21:$AK21,增益!$A:$A,增益!$W:$W,0))+$I$5</f>
        <v>0.11</v>
      </c>
    </row>
    <row r="22" spans="1:74">
      <c r="A22" t="s">
        <v>150</v>
      </c>
      <c r="B22" s="29">
        <v>0.5</v>
      </c>
      <c r="C22" s="41" t="s">
        <v>151</v>
      </c>
      <c r="D22" s="78" t="s">
        <v>147</v>
      </c>
      <c r="E22" s="42" t="s">
        <v>152</v>
      </c>
      <c r="F22" s="42"/>
      <c r="K22" s="40">
        <f t="shared" si="0"/>
        <v>17505.7971586118</v>
      </c>
      <c r="L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18133.367435718</v>
      </c>
      <c r="M22" s="40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14258.842849136</v>
      </c>
      <c r="N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9299.1627875477</v>
      </c>
      <c r="O22" s="40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8036.21976092055</v>
      </c>
      <c r="P22" s="41">
        <v>1</v>
      </c>
      <c r="Q22" s="42" t="s">
        <v>112</v>
      </c>
      <c r="R22" s="42" t="s">
        <v>103</v>
      </c>
      <c r="S22" s="42" t="s">
        <v>77</v>
      </c>
      <c r="T22" s="42" t="s">
        <v>86</v>
      </c>
      <c r="U22" s="42" t="s">
        <v>121</v>
      </c>
      <c r="V22" s="42" t="s">
        <v>77</v>
      </c>
      <c r="W22" s="42" t="s">
        <v>77</v>
      </c>
      <c r="X22" s="42" t="s">
        <v>153</v>
      </c>
      <c r="Y22" s="42" t="s">
        <v>77</v>
      </c>
      <c r="Z22" s="42" t="s">
        <v>77</v>
      </c>
      <c r="AA22" s="42" t="s">
        <v>73</v>
      </c>
      <c r="AB22" s="42" t="s">
        <v>89</v>
      </c>
      <c r="AC22" s="42" t="s">
        <v>77</v>
      </c>
      <c r="AD22" s="42" t="s">
        <v>80</v>
      </c>
      <c r="AE22" s="42" t="s">
        <v>81</v>
      </c>
      <c r="AF22" s="42" t="s">
        <v>82</v>
      </c>
      <c r="AG22" s="42" t="s">
        <v>77</v>
      </c>
      <c r="AH22" s="42" t="s">
        <v>77</v>
      </c>
      <c r="AI22" s="42" t="s">
        <v>77</v>
      </c>
      <c r="AJ22" s="42" t="s">
        <v>77</v>
      </c>
      <c r="AK22" s="42" t="s">
        <v>90</v>
      </c>
      <c r="AL22" t="str">
        <f>VLOOKUP($Q22,武学奇术!$A:$ZZ,25,FALSE)</f>
        <v>陌刀</v>
      </c>
      <c r="AM22" s="27">
        <f>VLOOKUP($Q22,武学奇术!$A:$ZZ,26,FALSE)</f>
        <v>0.5</v>
      </c>
      <c r="AN22" s="28">
        <f>VLOOKUP($Q22,武学奇术!$A:$ZZ,27,FALSE)*(1+IF(OR($AL22=$F$4,$AL22=$F$5),$B$22,0))</f>
        <v>0</v>
      </c>
      <c r="AO22" s="27">
        <f>VLOOKUP($Q22,武学奇术!$A:$ZZ,28,FALSE)</f>
        <v>0.75</v>
      </c>
      <c r="AP22" s="28">
        <f>VLOOKUP($Q22,武学奇术!$A:$ZZ,29,FALSE)*(1+IF(OR($AL22=$F$4,$AL22=$F$5),$B$22,0))</f>
        <v>0</v>
      </c>
      <c r="AQ22" s="27" cm="1">
        <f t="array" ref="AQ22">$G$3+IFERROR(VLOOKUP($AL22,$F$4:$G$7,2,FALSE),0)+VLOOKUP($Q22,武学奇术!$A:$ZZ,2,FALSE)+SUM(_xlfn.XLOOKUP($R22:$AK22,增益!$A:$A,增益!$B:$B,0))</f>
        <v>0.6941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3636.7</v>
      </c>
      <c r="AT22" cm="1">
        <f t="array" ref="AT22">$E$10*(1+$AR22)+VLOOKUP($Q22,武学奇术!$A:$ZZ,4,FALSE)+SUM(_xlfn.XLOOKUP($R22:$AK22,增益!$A:$A,增益!$D:$D,0))-$I$2</f>
        <v>3636.7</v>
      </c>
      <c r="AU22" s="34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0.452</v>
      </c>
      <c r="AV22" s="34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4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4" cm="1">
        <f t="array" ref="BA22">$G$11+VLOOKUP($Q22,武学奇术!$A:$ZZ,10,FALSE)+SUM(_xlfn.XLOOKUP($R22:$AK22,增益!$A:$A,增益!$J:$J,0))</f>
        <v>0</v>
      </c>
      <c r="BB22">
        <f t="shared" si="3"/>
        <v>591.9</v>
      </c>
      <c r="BC22">
        <f t="shared" si="4"/>
        <v>1600.3</v>
      </c>
      <c r="BD22" s="34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0.17</v>
      </c>
      <c r="BE22" s="34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4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4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4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4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0.9859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7" cm="1">
        <f t="array" ref="BP22">1+$B$13+VLOOKUP($Q22,武学奇术!$A:$ZZ,18,FALSE)+SUM(_xlfn.XLOOKUP($R22:$AK22,增益!$A:$A,增益!$R:$R,0))</f>
        <v>1.95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0.87863408</v>
      </c>
      <c r="BT22" s="27">
        <f t="shared" si="10"/>
        <v>0.01567581</v>
      </c>
      <c r="BU22" s="27">
        <f>IF(VLOOKUP($Q22,武学奇术!$A:$ZZ,22,FALSE)=1,0,(1-$BN22))*(1-$BQ22)</f>
        <v>0.01279011</v>
      </c>
      <c r="BV22" s="27" cm="1">
        <f t="array" ref="BV22">SUM(_xlfn.XLOOKUP($R22:$AK22,增益!$A:$A,增益!$W:$W,0))+$I$5</f>
        <v>0.11</v>
      </c>
    </row>
    <row r="23" spans="1:74">
      <c r="A23" s="41" t="s">
        <v>154</v>
      </c>
      <c r="B23">
        <v>200</v>
      </c>
      <c r="K23" s="40">
        <f t="shared" si="0"/>
        <v>31510.4348855012</v>
      </c>
      <c r="L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32640.0613842924</v>
      </c>
      <c r="M23" s="40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25665.9171284448</v>
      </c>
      <c r="N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16738.4930175859</v>
      </c>
      <c r="O23" s="40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14465.195569657</v>
      </c>
      <c r="P23" s="41">
        <v>1</v>
      </c>
      <c r="Q23" s="42" t="s">
        <v>155</v>
      </c>
      <c r="R23" s="42" t="s">
        <v>103</v>
      </c>
      <c r="S23" s="42" t="s">
        <v>77</v>
      </c>
      <c r="T23" s="42" t="s">
        <v>86</v>
      </c>
      <c r="U23" s="42" t="s">
        <v>121</v>
      </c>
      <c r="V23" s="42" t="s">
        <v>77</v>
      </c>
      <c r="W23" s="42" t="s">
        <v>77</v>
      </c>
      <c r="X23" s="42" t="s">
        <v>153</v>
      </c>
      <c r="Y23" s="42" t="s">
        <v>77</v>
      </c>
      <c r="Z23" s="42" t="s">
        <v>77</v>
      </c>
      <c r="AA23" s="42" t="s">
        <v>73</v>
      </c>
      <c r="AB23" s="42" t="s">
        <v>89</v>
      </c>
      <c r="AC23" s="42" t="s">
        <v>77</v>
      </c>
      <c r="AD23" s="42" t="s">
        <v>80</v>
      </c>
      <c r="AE23" s="42" t="s">
        <v>81</v>
      </c>
      <c r="AF23" s="42" t="s">
        <v>82</v>
      </c>
      <c r="AG23" s="42" t="s">
        <v>77</v>
      </c>
      <c r="AH23" s="42" t="s">
        <v>77</v>
      </c>
      <c r="AI23" s="42" t="s">
        <v>77</v>
      </c>
      <c r="AJ23" s="42" t="s">
        <v>77</v>
      </c>
      <c r="AK23" s="42" t="s">
        <v>90</v>
      </c>
      <c r="AL23" t="str">
        <f>VLOOKUP($Q23,武学奇术!$A:$ZZ,25,FALSE)</f>
        <v>陌刀</v>
      </c>
      <c r="AM23" s="27">
        <f>VLOOKUP($Q23,武学奇术!$A:$ZZ,26,FALSE)</f>
        <v>0.9</v>
      </c>
      <c r="AN23" s="28">
        <f>VLOOKUP($Q23,武学奇术!$A:$ZZ,27,FALSE)*(1+IF(OR($AL23=$F$4,$AL23=$F$5),$B$22,0))</f>
        <v>0</v>
      </c>
      <c r="AO23" s="27">
        <f>VLOOKUP($Q23,武学奇术!$A:$ZZ,28,FALSE)</f>
        <v>1.35</v>
      </c>
      <c r="AP23" s="28">
        <f>VLOOKUP($Q23,武学奇术!$A:$ZZ,29,FALSE)*(1+IF(OR($AL23=$F$4,$AL23=$F$5),$B$22,0))</f>
        <v>0</v>
      </c>
      <c r="AQ23" s="27" cm="1">
        <f t="array" ref="AQ23">$G$3+IFERROR(VLOOKUP($AL23,$F$4:$G$7,2,FALSE),0)+VLOOKUP($Q23,武学奇术!$A:$ZZ,2,FALSE)+SUM(_xlfn.XLOOKUP($R23:$AK23,增益!$A:$A,增益!$B:$B,0))</f>
        <v>0.6941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3636.7</v>
      </c>
      <c r="AT23" cm="1">
        <f t="array" ref="AT23">$E$10*(1+$AR23)+VLOOKUP($Q23,武学奇术!$A:$ZZ,4,FALSE)+SUM(_xlfn.XLOOKUP($R23:$AK23,增益!$A:$A,增益!$D:$D,0))-$I$2</f>
        <v>3636.7</v>
      </c>
      <c r="AU23" s="34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0.452</v>
      </c>
      <c r="AV23" s="34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4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4" cm="1">
        <f t="array" ref="BA23">$G$11+VLOOKUP($Q23,武学奇术!$A:$ZZ,10,FALSE)+SUM(_xlfn.XLOOKUP($R23:$AK23,增益!$A:$A,增益!$J:$J,0))</f>
        <v>0</v>
      </c>
      <c r="BB23">
        <f t="shared" si="3"/>
        <v>591.9</v>
      </c>
      <c r="BC23">
        <f t="shared" si="4"/>
        <v>1600.3</v>
      </c>
      <c r="BD23" s="34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0.17</v>
      </c>
      <c r="BE23" s="34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4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4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4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4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0.9859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7" cm="1">
        <f t="array" ref="BP23">1+$B$13+VLOOKUP($Q23,武学奇术!$A:$ZZ,18,FALSE)+SUM(_xlfn.XLOOKUP($R23:$AK23,增益!$A:$A,增益!$R:$R,0))</f>
        <v>1.95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0.87863408</v>
      </c>
      <c r="BT23" s="27">
        <f t="shared" si="10"/>
        <v>0.01567581</v>
      </c>
      <c r="BU23" s="27">
        <f>IF(VLOOKUP($Q23,武学奇术!$A:$ZZ,22,FALSE)=1,0,(1-$BN23))*(1-$BQ23)</f>
        <v>0.01279011</v>
      </c>
      <c r="BV23" s="27" cm="1">
        <f t="array" ref="BV23">SUM(_xlfn.XLOOKUP($R23:$AK23,增益!$A:$A,增益!$W:$W,0))+$I$5</f>
        <v>0.11</v>
      </c>
    </row>
    <row r="24" spans="1:74">
      <c r="A24" s="41"/>
      <c r="B24">
        <v>400</v>
      </c>
      <c r="K24" s="40">
        <f t="shared" si="0"/>
        <v>228829.681728493</v>
      </c>
      <c r="L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237271.592988976</v>
      </c>
      <c r="M24" s="40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183813.943066087</v>
      </c>
      <c r="N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121677.739994346</v>
      </c>
      <c r="O24" s="40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107197.003643443</v>
      </c>
      <c r="P24" s="41">
        <v>1</v>
      </c>
      <c r="Q24" s="42" t="s">
        <v>156</v>
      </c>
      <c r="R24" s="42" t="s">
        <v>103</v>
      </c>
      <c r="S24" s="42" t="s">
        <v>77</v>
      </c>
      <c r="T24" s="42" t="s">
        <v>86</v>
      </c>
      <c r="U24" s="42" t="s">
        <v>121</v>
      </c>
      <c r="V24" s="42" t="s">
        <v>77</v>
      </c>
      <c r="W24" s="42" t="s">
        <v>77</v>
      </c>
      <c r="X24" s="42" t="s">
        <v>153</v>
      </c>
      <c r="Y24" s="42" t="s">
        <v>77</v>
      </c>
      <c r="Z24" s="42" t="s">
        <v>77</v>
      </c>
      <c r="AA24" s="42" t="s">
        <v>73</v>
      </c>
      <c r="AB24" s="42" t="s">
        <v>89</v>
      </c>
      <c r="AC24" s="42" t="s">
        <v>77</v>
      </c>
      <c r="AD24" s="42" t="s">
        <v>80</v>
      </c>
      <c r="AE24" s="42" t="s">
        <v>81</v>
      </c>
      <c r="AF24" s="42" t="s">
        <v>82</v>
      </c>
      <c r="AG24" s="42" t="s">
        <v>77</v>
      </c>
      <c r="AH24" s="42" t="s">
        <v>77</v>
      </c>
      <c r="AI24" s="42" t="s">
        <v>77</v>
      </c>
      <c r="AJ24" s="42" t="s">
        <v>77</v>
      </c>
      <c r="AK24" s="42" t="s">
        <v>90</v>
      </c>
      <c r="AL24" t="str">
        <f>VLOOKUP($Q24,武学奇术!$A:$ZZ,25,FALSE)</f>
        <v>陌刀</v>
      </c>
      <c r="AM24" s="27">
        <f>VLOOKUP($Q24,武学奇术!$A:$ZZ,26,FALSE)</f>
        <v>5.733</v>
      </c>
      <c r="AN24" s="28">
        <f>VLOOKUP($Q24,武学奇术!$A:$ZZ,27,FALSE)*(1+IF(OR($AL24=$F$4,$AL24=$F$5),$B$22,0))</f>
        <v>2377.5</v>
      </c>
      <c r="AO24" s="27">
        <f>VLOOKUP($Q24,武学奇术!$A:$ZZ,28,FALSE)</f>
        <v>8.5994</v>
      </c>
      <c r="AP24" s="28">
        <f>VLOOKUP($Q24,武学奇术!$A:$ZZ,29,FALSE)*(1+IF(OR($AL24=$F$4,$AL24=$F$5),$B$22,0))</f>
        <v>1294.5</v>
      </c>
      <c r="AQ24" s="27" cm="1">
        <f t="array" ref="AQ24">$G$3+IFERROR(VLOOKUP($AL24,$F$4:$G$7,2,FALSE),0)+VLOOKUP($Q24,武学奇术!$A:$ZZ,2,FALSE)+SUM(_xlfn.XLOOKUP($R24:$AK24,增益!$A:$A,增益!$B:$B,0))</f>
        <v>0.6941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3636.7</v>
      </c>
      <c r="AT24" cm="1">
        <f t="array" ref="AT24">$E$10*(1+$AR24)+VLOOKUP($Q24,武学奇术!$A:$ZZ,4,FALSE)+SUM(_xlfn.XLOOKUP($R24:$AK24,增益!$A:$A,增益!$D:$D,0))-$I$2</f>
        <v>3636.7</v>
      </c>
      <c r="AU24" s="34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0.452</v>
      </c>
      <c r="AV24" s="34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4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4" cm="1">
        <f t="array" ref="BA24">$G$11+VLOOKUP($Q24,武学奇术!$A:$ZZ,10,FALSE)+SUM(_xlfn.XLOOKUP($R24:$AK24,增益!$A:$A,增益!$J:$J,0))</f>
        <v>0</v>
      </c>
      <c r="BB24">
        <f t="shared" si="3"/>
        <v>591.9</v>
      </c>
      <c r="BC24">
        <f t="shared" si="4"/>
        <v>1600.3</v>
      </c>
      <c r="BD24" s="34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0.17</v>
      </c>
      <c r="BE24" s="34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4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4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4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4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0.9859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7" cm="1">
        <f t="array" ref="BP24">1+$B$13+VLOOKUP($Q24,武学奇术!$A:$ZZ,18,FALSE)+SUM(_xlfn.XLOOKUP($R24:$AK24,增益!$A:$A,增益!$R:$R,0))</f>
        <v>1.95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0.87863408</v>
      </c>
      <c r="BT24" s="27">
        <f t="shared" si="10"/>
        <v>0.01567581</v>
      </c>
      <c r="BU24" s="27">
        <f>IF(VLOOKUP($Q24,武学奇术!$A:$ZZ,22,FALSE)=1,0,(1-$BN24))*(1-$BQ24)</f>
        <v>0.01279011</v>
      </c>
      <c r="BV24" s="27" cm="1">
        <f t="array" ref="BV24">SUM(_xlfn.XLOOKUP($R24:$AK24,增益!$A:$A,增益!$W:$W,0))+$I$5</f>
        <v>0.11</v>
      </c>
    </row>
    <row r="25" spans="1:74">
      <c r="K25" s="40">
        <f t="shared" si="0"/>
        <v>53672.2933914183</v>
      </c>
      <c r="L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55696.7222029803</v>
      </c>
      <c r="M25" s="40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42707.3303462475</v>
      </c>
      <c r="N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28416.6950015205</v>
      </c>
      <c r="O25" s="40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25198.3304873022</v>
      </c>
      <c r="P25" s="41">
        <v>1</v>
      </c>
      <c r="Q25" s="42" t="s">
        <v>157</v>
      </c>
      <c r="R25" s="42" t="s">
        <v>103</v>
      </c>
      <c r="S25" s="42" t="s">
        <v>77</v>
      </c>
      <c r="T25" s="42" t="s">
        <v>77</v>
      </c>
      <c r="U25" s="42" t="s">
        <v>121</v>
      </c>
      <c r="V25" s="42" t="s">
        <v>77</v>
      </c>
      <c r="W25" s="42" t="s">
        <v>77</v>
      </c>
      <c r="X25" s="42" t="s">
        <v>158</v>
      </c>
      <c r="Y25" s="42" t="s">
        <v>77</v>
      </c>
      <c r="Z25" s="42" t="s">
        <v>77</v>
      </c>
      <c r="AA25" s="42" t="s">
        <v>73</v>
      </c>
      <c r="AB25" s="42" t="s">
        <v>89</v>
      </c>
      <c r="AC25" s="42" t="s">
        <v>77</v>
      </c>
      <c r="AD25" s="42" t="s">
        <v>80</v>
      </c>
      <c r="AE25" s="42" t="s">
        <v>81</v>
      </c>
      <c r="AF25" s="42" t="s">
        <v>82</v>
      </c>
      <c r="AG25" s="42" t="s">
        <v>77</v>
      </c>
      <c r="AH25" s="42" t="s">
        <v>77</v>
      </c>
      <c r="AI25" s="42" t="s">
        <v>77</v>
      </c>
      <c r="AJ25" s="42" t="s">
        <v>77</v>
      </c>
      <c r="AK25" s="42" t="s">
        <v>90</v>
      </c>
      <c r="AL25" t="str">
        <f>VLOOKUP($Q25,武学奇术!$A:$ZZ,25,FALSE)</f>
        <v>陌刀</v>
      </c>
      <c r="AM25" s="27">
        <f>VLOOKUP($Q25,武学奇术!$A:$ZZ,26,FALSE)</f>
        <v>1.8948</v>
      </c>
      <c r="AN25" s="28">
        <f>VLOOKUP($Q25,武学奇术!$A:$ZZ,27,FALSE)*(1+IF(OR($AL25=$F$4,$AL25=$F$5),$B$22,0))</f>
        <v>787.5</v>
      </c>
      <c r="AO25" s="27">
        <f>VLOOKUP($Q25,武学奇术!$A:$ZZ,28,FALSE)</f>
        <v>2.8422</v>
      </c>
      <c r="AP25" s="28">
        <f>VLOOKUP($Q25,武学奇术!$A:$ZZ,29,FALSE)*(1+IF(OR($AL25=$F$4,$AL25=$F$5),$B$22,0))</f>
        <v>429</v>
      </c>
      <c r="AQ25" s="27" cm="1">
        <f t="array" ref="AQ25">$G$3+IFERROR(VLOOKUP($AL25,$F$4:$G$7,2,FALSE),0)+VLOOKUP($Q25,武学奇术!$A:$ZZ,2,FALSE)+SUM(_xlfn.XLOOKUP($R25:$AK25,增益!$A:$A,增益!$B:$B,0))</f>
        <v>0.6141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3636.7</v>
      </c>
      <c r="AT25" cm="1">
        <f t="array" ref="AT25">$E$10*(1+$AR25)+VLOOKUP($Q25,武学奇术!$A:$ZZ,4,FALSE)+SUM(_xlfn.XLOOKUP($R25:$AK25,增益!$A:$A,增益!$D:$D,0))-$I$2</f>
        <v>3636.7</v>
      </c>
      <c r="AU25" s="34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0.452</v>
      </c>
      <c r="AV25" s="34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4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4" cm="1">
        <f t="array" ref="BA25">$G$11+VLOOKUP($Q25,武学奇术!$A:$ZZ,10,FALSE)+SUM(_xlfn.XLOOKUP($R25:$AK25,增益!$A:$A,增益!$J:$J,0))</f>
        <v>0</v>
      </c>
      <c r="BB25">
        <f t="shared" si="3"/>
        <v>591.9</v>
      </c>
      <c r="BC25">
        <f t="shared" si="4"/>
        <v>1600.3</v>
      </c>
      <c r="BD25" s="34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0.09</v>
      </c>
      <c r="BE25" s="34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4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4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4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4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0.9859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7" cm="1">
        <f t="array" ref="BP25">1+$B$13+VLOOKUP($Q25,武学奇术!$A:$ZZ,18,FALSE)+SUM(_xlfn.XLOOKUP($R25:$AK25,增益!$A:$A,增益!$R:$R,0))</f>
        <v>1.96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0.87863408</v>
      </c>
      <c r="BT25" s="27">
        <f t="shared" si="10"/>
        <v>0.01567581</v>
      </c>
      <c r="BU25" s="27">
        <f>IF(VLOOKUP($Q25,武学奇术!$A:$ZZ,22,FALSE)=1,0,(1-$BN25))*(1-$BQ25)</f>
        <v>0.01279011</v>
      </c>
      <c r="BV25" s="27" cm="1">
        <f t="array" ref="BV25">SUM(_xlfn.XLOOKUP($R25:$AK25,增益!$A:$A,增益!$W:$W,0))+$I$5</f>
        <v>0.11</v>
      </c>
    </row>
    <row r="26" spans="1:74">
      <c r="K26" s="40">
        <f t="shared" si="0"/>
        <v>24866.9005010517</v>
      </c>
      <c r="L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25780.4310782681</v>
      </c>
      <c r="M26" s="40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20049.9378519864</v>
      </c>
      <c r="N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13153.2811623817</v>
      </c>
      <c r="O26" s="40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11454.7565084771</v>
      </c>
      <c r="P26" s="41">
        <v>1</v>
      </c>
      <c r="Q26" s="42" t="s">
        <v>159</v>
      </c>
      <c r="R26" s="42" t="s">
        <v>103</v>
      </c>
      <c r="S26" s="42" t="s">
        <v>77</v>
      </c>
      <c r="T26" s="42" t="s">
        <v>77</v>
      </c>
      <c r="U26" s="42" t="s">
        <v>121</v>
      </c>
      <c r="V26" s="42" t="s">
        <v>77</v>
      </c>
      <c r="W26" s="42" t="s">
        <v>77</v>
      </c>
      <c r="X26" s="42" t="s">
        <v>158</v>
      </c>
      <c r="Y26" s="42" t="s">
        <v>77</v>
      </c>
      <c r="Z26" s="42" t="s">
        <v>77</v>
      </c>
      <c r="AA26" s="42" t="s">
        <v>73</v>
      </c>
      <c r="AB26" s="42" t="s">
        <v>89</v>
      </c>
      <c r="AC26" s="42" t="s">
        <v>77</v>
      </c>
      <c r="AD26" s="42" t="s">
        <v>80</v>
      </c>
      <c r="AE26" s="42" t="s">
        <v>81</v>
      </c>
      <c r="AF26" s="42" t="s">
        <v>82</v>
      </c>
      <c r="AG26" s="42" t="s">
        <v>77</v>
      </c>
      <c r="AH26" s="42" t="s">
        <v>77</v>
      </c>
      <c r="AI26" s="42" t="s">
        <v>77</v>
      </c>
      <c r="AJ26" s="42" t="s">
        <v>77</v>
      </c>
      <c r="AK26" s="42" t="s">
        <v>90</v>
      </c>
      <c r="AL26" t="str">
        <f>VLOOKUP($Q26,武学奇术!$A:$ZZ,25,FALSE)</f>
        <v>陌刀</v>
      </c>
      <c r="AM26" s="27">
        <f>VLOOKUP($Q26,武学奇术!$A:$ZZ,26,FALSE)</f>
        <v>1</v>
      </c>
      <c r="AN26" s="28">
        <f>VLOOKUP($Q26,武学奇术!$A:$ZZ,27,FALSE)*(1+IF(OR($AL26=$F$4,$AL26=$F$5),$B$22,0))</f>
        <v>0</v>
      </c>
      <c r="AO26" s="27">
        <f>VLOOKUP($Q26,武学奇术!$A:$ZZ,28,FALSE)</f>
        <v>1.5</v>
      </c>
      <c r="AP26" s="28">
        <f>VLOOKUP($Q26,武学奇术!$A:$ZZ,29,FALSE)*(1+IF(OR($AL26=$F$4,$AL26=$F$5),$B$22,0))</f>
        <v>0</v>
      </c>
      <c r="AQ26" s="27" cm="1">
        <f t="array" ref="AQ26">$G$3+IFERROR(VLOOKUP($AL26,$F$4:$G$7,2,FALSE),0)+VLOOKUP($Q26,武学奇术!$A:$ZZ,2,FALSE)+SUM(_xlfn.XLOOKUP($R26:$AK26,增益!$A:$A,增益!$B:$B,0))</f>
        <v>0.6141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3636.7</v>
      </c>
      <c r="AT26" cm="1">
        <f t="array" ref="AT26">$E$10*(1+$AR26)+VLOOKUP($Q26,武学奇术!$A:$ZZ,4,FALSE)+SUM(_xlfn.XLOOKUP($R26:$AK26,增益!$A:$A,增益!$D:$D,0))-$I$2</f>
        <v>3636.7</v>
      </c>
      <c r="AU26" s="34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0.452</v>
      </c>
      <c r="AV26" s="34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4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4" cm="1">
        <f t="array" ref="BA26">$G$11+VLOOKUP($Q26,武学奇术!$A:$ZZ,10,FALSE)+SUM(_xlfn.XLOOKUP($R26:$AK26,增益!$A:$A,增益!$J:$J,0))</f>
        <v>0</v>
      </c>
      <c r="BB26">
        <f t="shared" si="3"/>
        <v>591.9</v>
      </c>
      <c r="BC26">
        <f t="shared" si="4"/>
        <v>1600.3</v>
      </c>
      <c r="BD26" s="34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0.09</v>
      </c>
      <c r="BE26" s="34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4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4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4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4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0.9859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7" cm="1">
        <f t="array" ref="BP26">1+$B$13+VLOOKUP($Q26,武学奇术!$A:$ZZ,18,FALSE)+SUM(_xlfn.XLOOKUP($R26:$AK26,增益!$A:$A,增益!$R:$R,0))</f>
        <v>1.96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0.87863408</v>
      </c>
      <c r="BT26" s="27">
        <f t="shared" si="10"/>
        <v>0.01567581</v>
      </c>
      <c r="BU26" s="27">
        <f>IF(VLOOKUP($Q26,武学奇术!$A:$ZZ,22,FALSE)=1,0,(1-$BN26))*(1-$BQ26)</f>
        <v>0.01279011</v>
      </c>
      <c r="BV26" s="27" cm="1">
        <f t="array" ref="BV26">SUM(_xlfn.XLOOKUP($R26:$AK26,增益!$A:$A,增益!$W:$W,0))+$I$5</f>
        <v>0.11</v>
      </c>
    </row>
    <row r="27" spans="1:74">
      <c r="A27" t="s">
        <v>160</v>
      </c>
      <c r="B27">
        <v>2</v>
      </c>
      <c r="C27" s="41" t="s">
        <v>161</v>
      </c>
      <c r="K27" s="40">
        <f t="shared" si="0"/>
        <v>30272.8373562651</v>
      </c>
      <c r="L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31339.6291328011</v>
      </c>
      <c r="M27" s="40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24690.6061044777</v>
      </c>
      <c r="N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16408.1827920425</v>
      </c>
      <c r="O27" s="40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14527.0277289163</v>
      </c>
      <c r="P27" s="41">
        <v>1</v>
      </c>
      <c r="Q27" s="42" t="s">
        <v>162</v>
      </c>
      <c r="R27" s="42" t="s">
        <v>103</v>
      </c>
      <c r="S27" s="42" t="s">
        <v>77</v>
      </c>
      <c r="T27" s="42" t="s">
        <v>77</v>
      </c>
      <c r="U27" s="42" t="s">
        <v>87</v>
      </c>
      <c r="V27" s="42" t="s">
        <v>77</v>
      </c>
      <c r="W27" s="42" t="s">
        <v>77</v>
      </c>
      <c r="X27" s="42" t="s">
        <v>158</v>
      </c>
      <c r="Y27" s="42" t="s">
        <v>77</v>
      </c>
      <c r="Z27" s="42" t="s">
        <v>77</v>
      </c>
      <c r="AA27" s="42" t="s">
        <v>77</v>
      </c>
      <c r="AB27" s="42" t="s">
        <v>89</v>
      </c>
      <c r="AC27" s="42" t="s">
        <v>77</v>
      </c>
      <c r="AD27" s="42" t="s">
        <v>80</v>
      </c>
      <c r="AE27" s="42" t="s">
        <v>81</v>
      </c>
      <c r="AF27" s="42" t="s">
        <v>82</v>
      </c>
      <c r="AG27" s="42" t="s">
        <v>77</v>
      </c>
      <c r="AH27" s="42" t="s">
        <v>77</v>
      </c>
      <c r="AI27" s="42" t="s">
        <v>77</v>
      </c>
      <c r="AJ27" s="42" t="s">
        <v>77</v>
      </c>
      <c r="AK27" s="42" t="s">
        <v>90</v>
      </c>
      <c r="AL27" t="str">
        <f>VLOOKUP($Q27,武学奇术!$A:$ZZ,25,FALSE)</f>
        <v>横刀</v>
      </c>
      <c r="AM27" s="27">
        <f>VLOOKUP($Q27,武学奇术!$A:$ZZ,26,FALSE)</f>
        <v>1.2338</v>
      </c>
      <c r="AN27" s="28">
        <f>VLOOKUP($Q27,武学奇术!$A:$ZZ,27,FALSE)*(1+IF(OR($AL27=$F$4,$AL27=$F$5),$B$22,0))</f>
        <v>513</v>
      </c>
      <c r="AO27" s="27">
        <f>VLOOKUP($Q27,武学奇术!$A:$ZZ,28,FALSE)</f>
        <v>1.8507</v>
      </c>
      <c r="AP27" s="28">
        <f>VLOOKUP($Q27,武学奇术!$A:$ZZ,29,FALSE)*(1+IF(OR($AL27=$F$4,$AL27=$F$5),$B$22,0))</f>
        <v>279</v>
      </c>
      <c r="AQ27" s="27" cm="1">
        <f t="array" ref="AQ27">$G$3+IFERROR(VLOOKUP($AL27,$F$4:$G$7,2,FALSE),0)+VLOOKUP($Q27,武学奇术!$A:$ZZ,2,FALSE)+SUM(_xlfn.XLOOKUP($R27:$AK27,增益!$A:$A,增益!$B:$B,0))</f>
        <v>0.4489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3636.7</v>
      </c>
      <c r="AT27" cm="1">
        <f t="array" ref="AT27">$E$10*(1+$AR27)+VLOOKUP($Q27,武学奇术!$A:$ZZ,4,FALSE)+SUM(_xlfn.XLOOKUP($R27:$AK27,增益!$A:$A,增益!$D:$D,0))-$I$2</f>
        <v>3636.7</v>
      </c>
      <c r="AU27" s="34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0.427</v>
      </c>
      <c r="AV27" s="34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4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4" cm="1">
        <f t="array" ref="BA27">$G$11+VLOOKUP($Q27,武学奇术!$A:$ZZ,10,FALSE)+SUM(_xlfn.XLOOKUP($R27:$AK27,增益!$A:$A,增益!$J:$J,0))</f>
        <v>0</v>
      </c>
      <c r="BB27">
        <f t="shared" si="3"/>
        <v>591.9</v>
      </c>
      <c r="BC27">
        <f t="shared" si="4"/>
        <v>1600.3</v>
      </c>
      <c r="BD27" s="34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0.09</v>
      </c>
      <c r="BE27" s="34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4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4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4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4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0.9859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7" cm="1">
        <f t="array" ref="BP27">1+$B$13+VLOOKUP($Q27,武学奇术!$A:$ZZ,18,FALSE)+SUM(_xlfn.XLOOKUP($R27:$AK27,增益!$A:$A,增益!$R:$R,0))</f>
        <v>1.91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0.87863408</v>
      </c>
      <c r="BT27" s="27">
        <f t="shared" si="10"/>
        <v>0.01567581</v>
      </c>
      <c r="BU27" s="27">
        <f>IF(VLOOKUP($Q27,武学奇术!$A:$ZZ,22,FALSE)=1,0,(1-$BN27))*(1-$BQ27)</f>
        <v>0.01279011</v>
      </c>
      <c r="BV27" s="27" cm="1">
        <f t="array" ref="BV27">SUM(_xlfn.XLOOKUP($R27:$AK27,增益!$A:$A,增益!$W:$W,0))+$I$5</f>
        <v>0.11</v>
      </c>
    </row>
    <row r="28" spans="1:74">
      <c r="A28" t="s">
        <v>163</v>
      </c>
      <c r="B28">
        <v>1.3</v>
      </c>
      <c r="C28" s="41"/>
      <c r="K28" s="40">
        <f t="shared" si="0"/>
        <v>93166.0628488686</v>
      </c>
      <c r="L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96494.4816696251</v>
      </c>
      <c r="M28" s="40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75627.5957578101</v>
      </c>
      <c r="N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50257.5425362631</v>
      </c>
      <c r="O28" s="40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44494.6437704446</v>
      </c>
      <c r="P28" s="41">
        <v>1</v>
      </c>
      <c r="Q28" s="42" t="s">
        <v>164</v>
      </c>
      <c r="R28" s="42" t="s">
        <v>103</v>
      </c>
      <c r="S28" s="42" t="s">
        <v>77</v>
      </c>
      <c r="T28" s="42" t="s">
        <v>77</v>
      </c>
      <c r="U28" s="42" t="s">
        <v>87</v>
      </c>
      <c r="V28" s="42" t="s">
        <v>77</v>
      </c>
      <c r="W28" s="42" t="s">
        <v>77</v>
      </c>
      <c r="X28" s="42" t="s">
        <v>165</v>
      </c>
      <c r="Y28" s="42" t="s">
        <v>77</v>
      </c>
      <c r="Z28" s="42" t="s">
        <v>77</v>
      </c>
      <c r="AA28" s="42" t="s">
        <v>77</v>
      </c>
      <c r="AB28" s="42" t="s">
        <v>89</v>
      </c>
      <c r="AC28" s="42" t="s">
        <v>77</v>
      </c>
      <c r="AD28" s="42" t="s">
        <v>80</v>
      </c>
      <c r="AE28" s="42" t="s">
        <v>81</v>
      </c>
      <c r="AF28" s="42" t="s">
        <v>82</v>
      </c>
      <c r="AG28" s="42" t="s">
        <v>77</v>
      </c>
      <c r="AH28" s="42" t="s">
        <v>77</v>
      </c>
      <c r="AI28" s="42" t="s">
        <v>77</v>
      </c>
      <c r="AJ28" s="42" t="s">
        <v>77</v>
      </c>
      <c r="AK28" s="42" t="s">
        <v>90</v>
      </c>
      <c r="AL28" t="str">
        <f>VLOOKUP($Q28,武学奇术!$A:$ZZ,25,FALSE)</f>
        <v>横刀</v>
      </c>
      <c r="AM28" s="27">
        <f>VLOOKUP($Q28,武学奇术!$A:$ZZ,26,FALSE)</f>
        <v>3.7797</v>
      </c>
      <c r="AN28" s="28">
        <f>VLOOKUP($Q28,武学奇术!$A:$ZZ,27,FALSE)*(1+IF(OR($AL28=$F$4,$AL28=$F$5),$B$22,0))</f>
        <v>1567.5</v>
      </c>
      <c r="AO28" s="27">
        <f>VLOOKUP($Q28,武学奇术!$A:$ZZ,28,FALSE)</f>
        <v>5.6696</v>
      </c>
      <c r="AP28" s="28">
        <f>VLOOKUP($Q28,武学奇术!$A:$ZZ,29,FALSE)*(1+IF(OR($AL28=$F$4,$AL28=$F$5),$B$22,0))</f>
        <v>855</v>
      </c>
      <c r="AQ28" s="27" cm="1">
        <f t="array" ref="AQ28">$G$3+IFERROR(VLOOKUP($AL28,$F$4:$G$7,2,FALSE),0)+VLOOKUP($Q28,武学奇术!$A:$ZZ,2,FALSE)+SUM(_xlfn.XLOOKUP($R28:$AK28,增益!$A:$A,增益!$B:$B,0))</f>
        <v>0.4489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3636.7</v>
      </c>
      <c r="AT28" cm="1">
        <f t="array" ref="AT28">$E$10*(1+$AR28)+VLOOKUP($Q28,武学奇术!$A:$ZZ,4,FALSE)+SUM(_xlfn.XLOOKUP($R28:$AK28,增益!$A:$A,增益!$D:$D,0))-$I$2</f>
        <v>3636.7</v>
      </c>
      <c r="AU28" s="34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0.427</v>
      </c>
      <c r="AV28" s="34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4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4" cm="1">
        <f t="array" ref="BA28">$G$11+VLOOKUP($Q28,武学奇术!$A:$ZZ,10,FALSE)+SUM(_xlfn.XLOOKUP($R28:$AK28,增益!$A:$A,增益!$J:$J,0))</f>
        <v>0</v>
      </c>
      <c r="BB28">
        <f t="shared" si="3"/>
        <v>591.9</v>
      </c>
      <c r="BC28">
        <f t="shared" si="4"/>
        <v>1600.3</v>
      </c>
      <c r="BD28" s="34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0.09</v>
      </c>
      <c r="BE28" s="34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4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4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4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4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0.9859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7" cm="1">
        <f t="array" ref="BP28">1+$B$13+VLOOKUP($Q28,武学奇术!$A:$ZZ,18,FALSE)+SUM(_xlfn.XLOOKUP($R28:$AK28,增益!$A:$A,增益!$R:$R,0))</f>
        <v>1.92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0.87863408</v>
      </c>
      <c r="BT28" s="27">
        <f t="shared" si="10"/>
        <v>0.01567581</v>
      </c>
      <c r="BU28" s="27">
        <f>IF(VLOOKUP($Q28,武学奇术!$A:$ZZ,22,FALSE)=1,0,(1-$BN28))*(1-$BQ28)</f>
        <v>0.01279011</v>
      </c>
      <c r="BV28" s="27" cm="1">
        <f t="array" ref="BV28">SUM(_xlfn.XLOOKUP($R28:$AK28,增益!$A:$A,增益!$W:$W,0))+$I$5</f>
        <v>0.11</v>
      </c>
    </row>
    <row r="29" spans="1:74">
      <c r="A29" t="s">
        <v>164</v>
      </c>
      <c r="B29">
        <v>2.3</v>
      </c>
      <c r="K29" s="40">
        <f t="shared" si="0"/>
        <v>57475.8225804987</v>
      </c>
      <c r="L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59670.4050975683</v>
      </c>
      <c r="M29" s="40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45522.4003081794</v>
      </c>
      <c r="N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30289.5457348063</v>
      </c>
      <c r="O29" s="40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26858.7949450352</v>
      </c>
      <c r="P29" s="41">
        <v>1</v>
      </c>
      <c r="Q29" s="42" t="s">
        <v>106</v>
      </c>
      <c r="R29" s="42" t="s">
        <v>103</v>
      </c>
      <c r="S29" s="42" t="s">
        <v>77</v>
      </c>
      <c r="T29" s="42" t="s">
        <v>77</v>
      </c>
      <c r="U29" s="42" t="s">
        <v>121</v>
      </c>
      <c r="V29" s="42" t="s">
        <v>77</v>
      </c>
      <c r="W29" s="42" t="s">
        <v>77</v>
      </c>
      <c r="X29" s="42" t="s">
        <v>165</v>
      </c>
      <c r="Y29" s="42" t="s">
        <v>77</v>
      </c>
      <c r="Z29" s="42" t="s">
        <v>77</v>
      </c>
      <c r="AA29" s="42" t="s">
        <v>73</v>
      </c>
      <c r="AB29" s="42" t="s">
        <v>89</v>
      </c>
      <c r="AC29" s="42" t="s">
        <v>77</v>
      </c>
      <c r="AD29" s="42" t="s">
        <v>80</v>
      </c>
      <c r="AE29" s="42" t="s">
        <v>81</v>
      </c>
      <c r="AF29" s="42" t="s">
        <v>82</v>
      </c>
      <c r="AG29" s="42" t="s">
        <v>77</v>
      </c>
      <c r="AH29" s="42" t="s">
        <v>77</v>
      </c>
      <c r="AI29" s="42" t="s">
        <v>77</v>
      </c>
      <c r="AJ29" s="42" t="s">
        <v>77</v>
      </c>
      <c r="AK29" s="42" t="s">
        <v>90</v>
      </c>
      <c r="AL29" t="str">
        <f>VLOOKUP($Q29,武学奇术!$A:$ZZ,25,FALSE)</f>
        <v>横刀</v>
      </c>
      <c r="AM29" s="27">
        <f>VLOOKUP($Q29,武学奇术!$A:$ZZ,26,FALSE)</f>
        <v>2.1324</v>
      </c>
      <c r="AN29" s="28">
        <f>VLOOKUP($Q29,武学奇术!$A:$ZZ,27,FALSE)*(1+IF(OR($AL29=$F$4,$AL29=$F$5),$B$22,0))</f>
        <v>885</v>
      </c>
      <c r="AO29" s="27">
        <f>VLOOKUP($Q29,武学奇术!$A:$ZZ,28,FALSE)</f>
        <v>3.1986</v>
      </c>
      <c r="AP29" s="28">
        <f>VLOOKUP($Q29,武学奇术!$A:$ZZ,29,FALSE)*(1+IF(OR($AL29=$F$4,$AL29=$F$5),$B$22,0))</f>
        <v>483</v>
      </c>
      <c r="AQ29" s="27" cm="1">
        <f t="array" ref="AQ29">$G$3+IFERROR(VLOOKUP($AL29,$F$4:$G$7,2,FALSE),0)+VLOOKUP($Q29,武学奇术!$A:$ZZ,2,FALSE)+SUM(_xlfn.XLOOKUP($R29:$AK29,增益!$A:$A,增益!$B:$B,0))</f>
        <v>0.5289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3636.7</v>
      </c>
      <c r="AT29" cm="1">
        <f t="array" ref="AT29">$E$10*(1+$AR29)+VLOOKUP($Q29,武学奇术!$A:$ZZ,4,FALSE)+SUM(_xlfn.XLOOKUP($R29:$AK29,增益!$A:$A,增益!$D:$D,0))-$I$2</f>
        <v>3636.7</v>
      </c>
      <c r="AU29" s="34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0.452</v>
      </c>
      <c r="AV29" s="34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4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4" cm="1">
        <f t="array" ref="BA29">$G$11+VLOOKUP($Q29,武学奇术!$A:$ZZ,10,FALSE)+SUM(_xlfn.XLOOKUP($R29:$AK29,增益!$A:$A,增益!$J:$J,0))</f>
        <v>0</v>
      </c>
      <c r="BB29">
        <f t="shared" si="3"/>
        <v>591.9</v>
      </c>
      <c r="BC29">
        <f t="shared" si="4"/>
        <v>1600.3</v>
      </c>
      <c r="BD29" s="34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0.09</v>
      </c>
      <c r="BE29" s="34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4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4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4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4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0.9859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7" cm="1">
        <f t="array" ref="BP29">1+$B$13+VLOOKUP($Q29,武学奇术!$A:$ZZ,18,FALSE)+SUM(_xlfn.XLOOKUP($R29:$AK29,增益!$A:$A,增益!$R:$R,0))</f>
        <v>1.97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0.87863408</v>
      </c>
      <c r="BT29" s="27">
        <f t="shared" si="10"/>
        <v>0.01567581</v>
      </c>
      <c r="BU29" s="27">
        <f>IF(VLOOKUP($Q29,武学奇术!$A:$ZZ,22,FALSE)=1,0,(1-$BN29))*(1-$BQ29)</f>
        <v>0.01279011</v>
      </c>
      <c r="BV29" s="27" cm="1">
        <f t="array" ref="BV29">SUM(_xlfn.XLOOKUP($R29:$AK29,增益!$A:$A,增益!$W:$W,0))+$I$5</f>
        <v>0.11</v>
      </c>
    </row>
    <row r="30" spans="1:74">
      <c r="A30" t="s">
        <v>166</v>
      </c>
      <c r="B30">
        <v>1</v>
      </c>
      <c r="C30" s="41" t="s">
        <v>163</v>
      </c>
      <c r="K30" s="40">
        <f t="shared" si="0"/>
        <v>35595.1807072246</v>
      </c>
      <c r="L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36904.9130033344</v>
      </c>
      <c r="M30" s="40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28724.8911677112</v>
      </c>
      <c r="N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18733.4583773271</v>
      </c>
      <c r="O30" s="40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16189.2195933866</v>
      </c>
      <c r="P30" s="41">
        <v>1</v>
      </c>
      <c r="Q30" s="42" t="s">
        <v>110</v>
      </c>
      <c r="R30" s="42" t="s">
        <v>103</v>
      </c>
      <c r="S30" s="42" t="s">
        <v>77</v>
      </c>
      <c r="T30" s="42" t="s">
        <v>86</v>
      </c>
      <c r="U30" s="42" t="s">
        <v>121</v>
      </c>
      <c r="V30" s="42" t="s">
        <v>77</v>
      </c>
      <c r="W30" s="42" t="s">
        <v>77</v>
      </c>
      <c r="X30" s="42" t="s">
        <v>165</v>
      </c>
      <c r="Y30" s="42" t="s">
        <v>77</v>
      </c>
      <c r="Z30" s="42" t="s">
        <v>77</v>
      </c>
      <c r="AA30" s="42" t="s">
        <v>73</v>
      </c>
      <c r="AB30" s="42" t="s">
        <v>89</v>
      </c>
      <c r="AC30" s="42" t="s">
        <v>77</v>
      </c>
      <c r="AD30" s="42" t="s">
        <v>80</v>
      </c>
      <c r="AE30" s="42" t="s">
        <v>81</v>
      </c>
      <c r="AF30" s="42" t="s">
        <v>82</v>
      </c>
      <c r="AG30" s="42" t="s">
        <v>77</v>
      </c>
      <c r="AH30" s="42" t="s">
        <v>77</v>
      </c>
      <c r="AI30" s="42" t="s">
        <v>77</v>
      </c>
      <c r="AJ30" s="42" t="s">
        <v>77</v>
      </c>
      <c r="AK30" s="42" t="s">
        <v>90</v>
      </c>
      <c r="AL30" t="str">
        <f>VLOOKUP($Q30,武学奇术!$A:$ZZ,25,FALSE)</f>
        <v>横刀</v>
      </c>
      <c r="AM30" s="27">
        <f>VLOOKUP($Q30,武学奇术!$A:$ZZ,26,FALSE)</f>
        <v>1.4</v>
      </c>
      <c r="AN30" s="28">
        <f>VLOOKUP($Q30,武学奇术!$A:$ZZ,27,FALSE)*(1+IF(OR($AL30=$F$4,$AL30=$F$5),$B$22,0))</f>
        <v>0</v>
      </c>
      <c r="AO30" s="27">
        <f>VLOOKUP($Q30,武学奇术!$A:$ZZ,28,FALSE)</f>
        <v>2.1</v>
      </c>
      <c r="AP30" s="28">
        <f>VLOOKUP($Q30,武学奇术!$A:$ZZ,29,FALSE)*(1+IF(OR($AL30=$F$4,$AL30=$F$5),$B$22,0))</f>
        <v>0</v>
      </c>
      <c r="AQ30" s="27" cm="1">
        <f t="array" ref="AQ30">$G$3+IFERROR(VLOOKUP($AL30,$F$4:$G$7,2,FALSE),0)+VLOOKUP($Q30,武学奇术!$A:$ZZ,2,FALSE)+SUM(_xlfn.XLOOKUP($R30:$AK30,增益!$A:$A,增益!$B:$B,0))</f>
        <v>0.6089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3636.7</v>
      </c>
      <c r="AT30" cm="1">
        <f t="array" ref="AT30">$E$10*(1+$AR30)+VLOOKUP($Q30,武学奇术!$A:$ZZ,4,FALSE)+SUM(_xlfn.XLOOKUP($R30:$AK30,增益!$A:$A,增益!$D:$D,0))-$I$2</f>
        <v>3636.7</v>
      </c>
      <c r="AU30" s="34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0.452</v>
      </c>
      <c r="AV30" s="34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4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4" cm="1">
        <f t="array" ref="BA30">$G$11+VLOOKUP($Q30,武学奇术!$A:$ZZ,10,FALSE)+SUM(_xlfn.XLOOKUP($R30:$AK30,增益!$A:$A,增益!$J:$J,0))</f>
        <v>0</v>
      </c>
      <c r="BB30">
        <f t="shared" si="3"/>
        <v>591.9</v>
      </c>
      <c r="BC30">
        <f t="shared" si="4"/>
        <v>1600.3</v>
      </c>
      <c r="BD30" s="34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0.17</v>
      </c>
      <c r="BE30" s="34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4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4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4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4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0.9859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7" cm="1">
        <f t="array" ref="BP30">1+$B$13+VLOOKUP($Q30,武学奇术!$A:$ZZ,18,FALSE)+SUM(_xlfn.XLOOKUP($R30:$AK30,增益!$A:$A,增益!$R:$R,0))</f>
        <v>1.97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0.87863408</v>
      </c>
      <c r="BT30" s="27">
        <f t="shared" si="10"/>
        <v>0.01567581</v>
      </c>
      <c r="BU30" s="27">
        <f>IF(VLOOKUP($Q30,武学奇术!$A:$ZZ,22,FALSE)=1,0,(1-$BN30))*(1-$BQ30)</f>
        <v>0.01279011</v>
      </c>
      <c r="BV30" s="27" cm="1">
        <f t="array" ref="BV30">SUM(_xlfn.XLOOKUP($R30:$AK30,增益!$A:$A,增益!$W:$W,0))+$I$5</f>
        <v>0.11</v>
      </c>
    </row>
    <row r="31" spans="1:74">
      <c r="A31" s="4" t="s">
        <v>167</v>
      </c>
      <c r="B31" s="4">
        <v>0.1</v>
      </c>
      <c r="C31" s="41"/>
      <c r="D31" s="41" t="s">
        <v>168</v>
      </c>
      <c r="K31" s="40">
        <f t="shared" si="0"/>
        <v>19008.2835046795</v>
      </c>
      <c r="L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19716.5634859351</v>
      </c>
      <c r="M31" s="40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15268.8547385737</v>
      </c>
      <c r="N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9957.86034643189</v>
      </c>
      <c r="O31" s="40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8605.45792354995</v>
      </c>
      <c r="P31" s="41">
        <v>1</v>
      </c>
      <c r="Q31" s="42" t="s">
        <v>112</v>
      </c>
      <c r="R31" s="42" t="s">
        <v>103</v>
      </c>
      <c r="S31" s="42" t="s">
        <v>169</v>
      </c>
      <c r="T31" s="42" t="s">
        <v>86</v>
      </c>
      <c r="U31" s="42" t="s">
        <v>121</v>
      </c>
      <c r="V31" s="42" t="s">
        <v>77</v>
      </c>
      <c r="W31" s="42" t="s">
        <v>77</v>
      </c>
      <c r="X31" s="42" t="s">
        <v>170</v>
      </c>
      <c r="Y31" s="42" t="s">
        <v>77</v>
      </c>
      <c r="Z31" s="42" t="s">
        <v>77</v>
      </c>
      <c r="AA31" s="42" t="s">
        <v>73</v>
      </c>
      <c r="AB31" s="42" t="s">
        <v>95</v>
      </c>
      <c r="AC31" s="42" t="s">
        <v>77</v>
      </c>
      <c r="AD31" s="42" t="s">
        <v>80</v>
      </c>
      <c r="AE31" s="42" t="s">
        <v>81</v>
      </c>
      <c r="AF31" s="42" t="s">
        <v>82</v>
      </c>
      <c r="AG31" s="42" t="s">
        <v>77</v>
      </c>
      <c r="AH31" s="42" t="s">
        <v>77</v>
      </c>
      <c r="AI31" s="42" t="s">
        <v>77</v>
      </c>
      <c r="AJ31" s="42" t="s">
        <v>77</v>
      </c>
      <c r="AK31" s="42" t="s">
        <v>90</v>
      </c>
      <c r="AL31" t="str">
        <f>VLOOKUP($Q31,武学奇术!$A:$ZZ,25,FALSE)</f>
        <v>陌刀</v>
      </c>
      <c r="AM31" s="27">
        <f>VLOOKUP($Q31,武学奇术!$A:$ZZ,26,FALSE)</f>
        <v>0.5</v>
      </c>
      <c r="AN31" s="28">
        <f>VLOOKUP($Q31,武学奇术!$A:$ZZ,27,FALSE)*(1+IF(OR($AL31=$F$4,$AL31=$F$5),$B$22,0))</f>
        <v>0</v>
      </c>
      <c r="AO31" s="27">
        <f>VLOOKUP($Q31,武学奇术!$A:$ZZ,28,FALSE)</f>
        <v>0.75</v>
      </c>
      <c r="AP31" s="28">
        <f>VLOOKUP($Q31,武学奇术!$A:$ZZ,29,FALSE)*(1+IF(OR($AL31=$F$4,$AL31=$F$5),$B$22,0))</f>
        <v>0</v>
      </c>
      <c r="AQ31" s="27" cm="1">
        <f t="array" ref="AQ31">$G$3+IFERROR(VLOOKUP($AL31,$F$4:$G$7,2,FALSE),0)+VLOOKUP($Q31,武学奇术!$A:$ZZ,2,FALSE)+SUM(_xlfn.XLOOKUP($R31:$AK31,增益!$A:$A,增益!$B:$B,0))</f>
        <v>0.8141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3636.7</v>
      </c>
      <c r="AT31" cm="1">
        <f t="array" ref="AT31">$E$10*(1+$AR31)+VLOOKUP($Q31,武学奇术!$A:$ZZ,4,FALSE)+SUM(_xlfn.XLOOKUP($R31:$AK31,增益!$A:$A,增益!$D:$D,0))-$I$2</f>
        <v>3636.7</v>
      </c>
      <c r="AU31" s="34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0.452</v>
      </c>
      <c r="AV31" s="34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4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4" cm="1">
        <f t="array" ref="BA31">$G$11+VLOOKUP($Q31,武学奇术!$A:$ZZ,10,FALSE)+SUM(_xlfn.XLOOKUP($R31:$AK31,增益!$A:$A,增益!$J:$J,0))</f>
        <v>0</v>
      </c>
      <c r="BB31">
        <f t="shared" si="3"/>
        <v>591.9</v>
      </c>
      <c r="BC31">
        <f t="shared" si="4"/>
        <v>1600.3</v>
      </c>
      <c r="BD31" s="34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0.17</v>
      </c>
      <c r="BE31" s="34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4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4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4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4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0.9859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7" cm="1">
        <f t="array" ref="BP31">1+$B$13+VLOOKUP($Q31,武学奇术!$A:$ZZ,18,FALSE)+SUM(_xlfn.XLOOKUP($R31:$AK31,增益!$A:$A,增益!$R:$R,0))</f>
        <v>1.98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0.87863408</v>
      </c>
      <c r="BT31" s="27">
        <f t="shared" si="10"/>
        <v>0.01567581</v>
      </c>
      <c r="BU31" s="27">
        <f>IF(VLOOKUP($Q31,武学奇术!$A:$ZZ,22,FALSE)=1,0,(1-$BN31))*(1-$BQ31)</f>
        <v>0.01279011</v>
      </c>
      <c r="BV31" s="27" cm="1">
        <f t="array" ref="BV31">SUM(_xlfn.XLOOKUP($R31:$AK31,增益!$A:$A,增益!$W:$W,0))+$I$5</f>
        <v>0.11</v>
      </c>
    </row>
    <row r="32" spans="1:74">
      <c r="A32" s="4" t="s">
        <v>171</v>
      </c>
      <c r="B32" s="4">
        <v>2.3</v>
      </c>
      <c r="C32" s="41"/>
      <c r="D32" s="41"/>
      <c r="K32" s="40">
        <f t="shared" si="0"/>
        <v>37282.229137041</v>
      </c>
      <c r="L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37282.229137041</v>
      </c>
      <c r="M32" s="40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27483.9385294326</v>
      </c>
      <c r="N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17924.1486235774</v>
      </c>
      <c r="O32" s="40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15489.8242623899</v>
      </c>
      <c r="P32" s="41">
        <v>1</v>
      </c>
      <c r="Q32" s="42" t="s">
        <v>117</v>
      </c>
      <c r="R32" s="42" t="s">
        <v>103</v>
      </c>
      <c r="S32" s="42" t="s">
        <v>169</v>
      </c>
      <c r="T32" s="42" t="s">
        <v>86</v>
      </c>
      <c r="U32" s="42" t="s">
        <v>121</v>
      </c>
      <c r="V32" s="42" t="s">
        <v>118</v>
      </c>
      <c r="W32" s="42" t="s">
        <v>77</v>
      </c>
      <c r="X32" s="42" t="s">
        <v>170</v>
      </c>
      <c r="Y32" s="42" t="s">
        <v>77</v>
      </c>
      <c r="Z32" s="42" t="s">
        <v>77</v>
      </c>
      <c r="AA32" s="42" t="s">
        <v>73</v>
      </c>
      <c r="AB32" s="42" t="s">
        <v>95</v>
      </c>
      <c r="AC32" s="42" t="s">
        <v>77</v>
      </c>
      <c r="AD32" s="42" t="s">
        <v>80</v>
      </c>
      <c r="AE32" s="42" t="s">
        <v>81</v>
      </c>
      <c r="AF32" s="42" t="s">
        <v>82</v>
      </c>
      <c r="AG32" s="42" t="s">
        <v>77</v>
      </c>
      <c r="AH32" s="42" t="s">
        <v>77</v>
      </c>
      <c r="AI32" s="42" t="s">
        <v>77</v>
      </c>
      <c r="AJ32" s="42" t="s">
        <v>77</v>
      </c>
      <c r="AK32" s="42" t="s">
        <v>90</v>
      </c>
      <c r="AL32" t="str">
        <f>VLOOKUP($Q32,武学奇术!$A:$ZZ,25,FALSE)</f>
        <v>陌刀</v>
      </c>
      <c r="AM32" s="27">
        <f>VLOOKUP($Q32,武学奇术!$A:$ZZ,26,FALSE)</f>
        <v>0.9</v>
      </c>
      <c r="AN32" s="28">
        <f>VLOOKUP($Q32,武学奇术!$A:$ZZ,27,FALSE)*(1+IF(OR($AL32=$F$4,$AL32=$F$5),$B$22,0))</f>
        <v>0</v>
      </c>
      <c r="AO32" s="27">
        <f>VLOOKUP($Q32,武学奇术!$A:$ZZ,28,FALSE)</f>
        <v>1.35</v>
      </c>
      <c r="AP32" s="28">
        <f>VLOOKUP($Q32,武学奇术!$A:$ZZ,29,FALSE)*(1+IF(OR($AL32=$F$4,$AL32=$F$5),$B$22,0))</f>
        <v>0</v>
      </c>
      <c r="AQ32" s="27" cm="1">
        <f t="array" ref="AQ32">$G$3+IFERROR(VLOOKUP($AL32,$F$4:$G$7,2,FALSE),0)+VLOOKUP($Q32,武学奇术!$A:$ZZ,2,FALSE)+SUM(_xlfn.XLOOKUP($R32:$AK32,增益!$A:$A,增益!$B:$B,0))</f>
        <v>0.8141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3636.7</v>
      </c>
      <c r="AT32" cm="1">
        <f t="array" ref="AT32">$E$10*(1+$AR32)+VLOOKUP($Q32,武学奇术!$A:$ZZ,4,FALSE)+SUM(_xlfn.XLOOKUP($R32:$AK32,增益!$A:$A,增益!$D:$D,0))-$I$2</f>
        <v>3636.7</v>
      </c>
      <c r="AU32" s="34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0.452</v>
      </c>
      <c r="AV32" s="34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4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4" cm="1">
        <f t="array" ref="BA32">$G$11+VLOOKUP($Q32,武学奇术!$A:$ZZ,10,FALSE)+SUM(_xlfn.XLOOKUP($R32:$AK32,增益!$A:$A,增益!$J:$J,0))</f>
        <v>0</v>
      </c>
      <c r="BB32">
        <f t="shared" si="3"/>
        <v>591.9</v>
      </c>
      <c r="BC32">
        <f t="shared" si="4"/>
        <v>1600.3</v>
      </c>
      <c r="BD32" s="34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0.17</v>
      </c>
      <c r="BE32" s="34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4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4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4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4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1</v>
      </c>
      <c r="BP32" s="27" cm="1">
        <f t="array" ref="BP32">1+$B$13+VLOOKUP($Q32,武学奇术!$A:$ZZ,18,FALSE)+SUM(_xlfn.XLOOKUP($R32:$AK32,增益!$A:$A,增益!$R:$R,0))</f>
        <v>2.08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1</v>
      </c>
      <c r="BT32" s="27">
        <f t="shared" si="10"/>
        <v>0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0.11</v>
      </c>
    </row>
    <row r="33" spans="1:74">
      <c r="A33" s="4" t="s">
        <v>171</v>
      </c>
      <c r="B33" s="4">
        <v>2.3</v>
      </c>
      <c r="C33" s="41"/>
      <c r="D33" s="41"/>
      <c r="E33" s="41" t="s">
        <v>172</v>
      </c>
      <c r="K33" s="40">
        <f t="shared" si="0"/>
        <v>359481.499767566</v>
      </c>
      <c r="L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359481.499767566</v>
      </c>
      <c r="M33" s="40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259833.471438096</v>
      </c>
      <c r="N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172000.717592137</v>
      </c>
      <c r="O33" s="40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151532.19708198</v>
      </c>
      <c r="P33" s="41">
        <v>1</v>
      </c>
      <c r="Q33" s="42" t="s">
        <v>120</v>
      </c>
      <c r="R33" s="42" t="s">
        <v>103</v>
      </c>
      <c r="S33" s="42" t="s">
        <v>169</v>
      </c>
      <c r="T33" s="42" t="s">
        <v>86</v>
      </c>
      <c r="U33" s="42" t="s">
        <v>121</v>
      </c>
      <c r="V33" s="42" t="s">
        <v>118</v>
      </c>
      <c r="W33" s="42" t="s">
        <v>77</v>
      </c>
      <c r="X33" s="42" t="s">
        <v>173</v>
      </c>
      <c r="Y33" s="42" t="s">
        <v>77</v>
      </c>
      <c r="Z33" s="42" t="s">
        <v>77</v>
      </c>
      <c r="AA33" s="42" t="s">
        <v>73</v>
      </c>
      <c r="AB33" s="42" t="s">
        <v>95</v>
      </c>
      <c r="AC33" s="42" t="s">
        <v>77</v>
      </c>
      <c r="AD33" s="42" t="s">
        <v>80</v>
      </c>
      <c r="AE33" s="42" t="s">
        <v>81</v>
      </c>
      <c r="AF33" s="42" t="s">
        <v>82</v>
      </c>
      <c r="AG33" s="42" t="s">
        <v>77</v>
      </c>
      <c r="AH33" s="42" t="s">
        <v>77</v>
      </c>
      <c r="AI33" s="42" t="s">
        <v>77</v>
      </c>
      <c r="AJ33" s="42" t="s">
        <v>77</v>
      </c>
      <c r="AK33" s="42" t="s">
        <v>90</v>
      </c>
      <c r="AL33" t="str">
        <f>VLOOKUP($Q33,武学奇术!$A:$ZZ,25,FALSE)</f>
        <v>陌刀</v>
      </c>
      <c r="AM33" s="27">
        <f>VLOOKUP($Q33,武学奇术!$A:$ZZ,26,FALSE)</f>
        <v>7.5674</v>
      </c>
      <c r="AN33" s="28">
        <f>VLOOKUP($Q33,武学奇术!$A:$ZZ,27,FALSE)*(1+IF(OR($AL33=$F$4,$AL33=$F$5),$B$22,0))</f>
        <v>3139.5</v>
      </c>
      <c r="AO33" s="27">
        <f>VLOOKUP($Q33,武学奇术!$A:$ZZ,28,FALSE)</f>
        <v>11.3512</v>
      </c>
      <c r="AP33" s="28">
        <f>VLOOKUP($Q33,武学奇术!$A:$ZZ,29,FALSE)*(1+IF(OR($AL33=$F$4,$AL33=$F$5),$B$22,0))</f>
        <v>1710</v>
      </c>
      <c r="AQ33" s="27" cm="1">
        <f t="array" ref="AQ33">$G$3+IFERROR(VLOOKUP($AL33,$F$4:$G$7,2,FALSE),0)+VLOOKUP($Q33,武学奇术!$A:$ZZ,2,FALSE)+SUM(_xlfn.XLOOKUP($R33:$AK33,增益!$A:$A,增益!$B:$B,0))</f>
        <v>0.8141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3636.7</v>
      </c>
      <c r="AT33" cm="1">
        <f t="array" ref="AT33">$E$10*(1+$AR33)+VLOOKUP($Q33,武学奇术!$A:$ZZ,4,FALSE)+SUM(_xlfn.XLOOKUP($R33:$AK33,增益!$A:$A,增益!$D:$D,0))-$I$2</f>
        <v>3636.7</v>
      </c>
      <c r="AU33" s="34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0.452</v>
      </c>
      <c r="AV33" s="34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4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4" cm="1">
        <f t="array" ref="BA33">$G$11+VLOOKUP($Q33,武学奇术!$A:$ZZ,10,FALSE)+SUM(_xlfn.XLOOKUP($R33:$AK33,增益!$A:$A,增益!$J:$J,0))</f>
        <v>0</v>
      </c>
      <c r="BB33">
        <f t="shared" si="3"/>
        <v>591.9</v>
      </c>
      <c r="BC33">
        <f t="shared" si="4"/>
        <v>1600.3</v>
      </c>
      <c r="BD33" s="34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0.17</v>
      </c>
      <c r="BE33" s="34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4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4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4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4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1</v>
      </c>
      <c r="BP33" s="27" cm="1">
        <f t="array" ref="BP33">1+$B$13+VLOOKUP($Q33,武学奇术!$A:$ZZ,18,FALSE)+SUM(_xlfn.XLOOKUP($R33:$AK33,增益!$A:$A,增益!$R:$R,0))</f>
        <v>2.09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1</v>
      </c>
      <c r="BT33" s="27">
        <f t="shared" si="10"/>
        <v>0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0.11</v>
      </c>
    </row>
    <row r="34" spans="1:74">
      <c r="A34" s="4" t="s">
        <v>171</v>
      </c>
      <c r="B34" s="4">
        <v>2.3</v>
      </c>
      <c r="C34" s="41"/>
      <c r="D34" s="41"/>
      <c r="E34" s="41"/>
      <c r="K34" s="40">
        <f t="shared" si="0"/>
        <v>20811.9281240427</v>
      </c>
      <c r="L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20811.9281240427</v>
      </c>
      <c r="M34" s="40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15268.8547385737</v>
      </c>
      <c r="N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9957.86034643189</v>
      </c>
      <c r="O34" s="40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8605.45792354995</v>
      </c>
      <c r="P34" s="41">
        <v>1</v>
      </c>
      <c r="Q34" s="42" t="s">
        <v>125</v>
      </c>
      <c r="R34" s="42" t="s">
        <v>103</v>
      </c>
      <c r="S34" s="42" t="s">
        <v>169</v>
      </c>
      <c r="T34" s="42" t="s">
        <v>86</v>
      </c>
      <c r="U34" s="42" t="s">
        <v>121</v>
      </c>
      <c r="V34" s="42" t="s">
        <v>118</v>
      </c>
      <c r="W34" s="42" t="s">
        <v>77</v>
      </c>
      <c r="X34" s="42" t="s">
        <v>173</v>
      </c>
      <c r="Y34" s="42" t="s">
        <v>77</v>
      </c>
      <c r="Z34" s="42" t="s">
        <v>77</v>
      </c>
      <c r="AA34" s="42" t="s">
        <v>73</v>
      </c>
      <c r="AB34" s="42" t="s">
        <v>95</v>
      </c>
      <c r="AC34" s="42" t="s">
        <v>77</v>
      </c>
      <c r="AD34" s="42" t="s">
        <v>80</v>
      </c>
      <c r="AE34" s="42" t="s">
        <v>81</v>
      </c>
      <c r="AF34" s="42" t="s">
        <v>82</v>
      </c>
      <c r="AG34" s="42" t="s">
        <v>77</v>
      </c>
      <c r="AH34" s="42" t="s">
        <v>77</v>
      </c>
      <c r="AI34" s="42" t="s">
        <v>77</v>
      </c>
      <c r="AJ34" s="42" t="s">
        <v>77</v>
      </c>
      <c r="AK34" s="42" t="s">
        <v>90</v>
      </c>
      <c r="AL34" t="str">
        <f>VLOOKUP($Q34,武学奇术!$A:$ZZ,25,FALSE)</f>
        <v>陌刀</v>
      </c>
      <c r="AM34" s="27">
        <f>VLOOKUP($Q34,武学奇术!$A:$ZZ,26,FALSE)</f>
        <v>0.5</v>
      </c>
      <c r="AN34" s="28">
        <f>VLOOKUP($Q34,武学奇术!$A:$ZZ,27,FALSE)*(1+IF(OR($AL34=$F$4,$AL34=$F$5),$B$22,0))</f>
        <v>0</v>
      </c>
      <c r="AO34" s="27">
        <f>VLOOKUP($Q34,武学奇术!$A:$ZZ,28,FALSE)</f>
        <v>0.75</v>
      </c>
      <c r="AP34" s="28">
        <f>VLOOKUP($Q34,武学奇术!$A:$ZZ,29,FALSE)*(1+IF(OR($AL34=$F$4,$AL34=$F$5),$B$22,0))</f>
        <v>0</v>
      </c>
      <c r="AQ34" s="27" cm="1">
        <f t="array" ref="AQ34">$G$3+IFERROR(VLOOKUP($AL34,$F$4:$G$7,2,FALSE),0)+VLOOKUP($Q34,武学奇术!$A:$ZZ,2,FALSE)+SUM(_xlfn.XLOOKUP($R34:$AK34,增益!$A:$A,增益!$B:$B,0))</f>
        <v>0.8141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3636.7</v>
      </c>
      <c r="AT34" cm="1">
        <f t="array" ref="AT34">$E$10*(1+$AR34)+VLOOKUP($Q34,武学奇术!$A:$ZZ,4,FALSE)+SUM(_xlfn.XLOOKUP($R34:$AK34,增益!$A:$A,增益!$D:$D,0))-$I$2</f>
        <v>3636.7</v>
      </c>
      <c r="AU34" s="34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0.452</v>
      </c>
      <c r="AV34" s="34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4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4" cm="1">
        <f t="array" ref="BA34">$G$11+VLOOKUP($Q34,武学奇术!$A:$ZZ,10,FALSE)+SUM(_xlfn.XLOOKUP($R34:$AK34,增益!$A:$A,增益!$J:$J,0))</f>
        <v>0</v>
      </c>
      <c r="BB34">
        <f t="shared" si="3"/>
        <v>591.9</v>
      </c>
      <c r="BC34">
        <f t="shared" si="4"/>
        <v>1600.3</v>
      </c>
      <c r="BD34" s="34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0.17</v>
      </c>
      <c r="BE34" s="34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4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4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4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4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1</v>
      </c>
      <c r="BP34" s="27" cm="1">
        <f t="array" ref="BP34">1+$B$13+VLOOKUP($Q34,武学奇术!$A:$ZZ,18,FALSE)+SUM(_xlfn.XLOOKUP($R34:$AK34,增益!$A:$A,增益!$R:$R,0))</f>
        <v>2.09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1</v>
      </c>
      <c r="BT34" s="27">
        <f t="shared" si="10"/>
        <v>0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0.11</v>
      </c>
    </row>
    <row r="35" spans="1:74">
      <c r="A35" s="4" t="s">
        <v>171</v>
      </c>
      <c r="B35" s="4">
        <v>2.3</v>
      </c>
      <c r="C35" s="41"/>
      <c r="D35" s="41"/>
      <c r="E35" s="41"/>
      <c r="K35" s="40">
        <f t="shared" ref="K35:K60" si="11">($L35*$BS35+$M35*$BQ35+$N35*$BT35+$O35*$BU35)</f>
        <v>37461.4706232768</v>
      </c>
      <c r="L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37461.4706232768</v>
      </c>
      <c r="M35" s="40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27483.9385294326</v>
      </c>
      <c r="N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17924.1486235774</v>
      </c>
      <c r="O35" s="40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15489.8242623899</v>
      </c>
      <c r="P35" s="41">
        <v>1</v>
      </c>
      <c r="Q35" s="42" t="s">
        <v>117</v>
      </c>
      <c r="R35" s="42" t="s">
        <v>103</v>
      </c>
      <c r="S35" s="42" t="s">
        <v>169</v>
      </c>
      <c r="T35" s="42" t="s">
        <v>86</v>
      </c>
      <c r="U35" s="42" t="s">
        <v>121</v>
      </c>
      <c r="V35" s="42" t="s">
        <v>118</v>
      </c>
      <c r="W35" s="42" t="s">
        <v>77</v>
      </c>
      <c r="X35" s="42" t="s">
        <v>173</v>
      </c>
      <c r="Y35" s="42" t="s">
        <v>77</v>
      </c>
      <c r="Z35" s="42" t="s">
        <v>77</v>
      </c>
      <c r="AA35" s="42" t="s">
        <v>73</v>
      </c>
      <c r="AB35" s="42" t="s">
        <v>95</v>
      </c>
      <c r="AC35" s="42" t="s">
        <v>77</v>
      </c>
      <c r="AD35" s="42" t="s">
        <v>80</v>
      </c>
      <c r="AE35" s="42" t="s">
        <v>81</v>
      </c>
      <c r="AF35" s="42" t="s">
        <v>82</v>
      </c>
      <c r="AG35" s="42" t="s">
        <v>77</v>
      </c>
      <c r="AH35" s="42" t="s">
        <v>77</v>
      </c>
      <c r="AI35" s="42" t="s">
        <v>77</v>
      </c>
      <c r="AJ35" s="42" t="s">
        <v>77</v>
      </c>
      <c r="AK35" s="42" t="s">
        <v>90</v>
      </c>
      <c r="AL35" t="str">
        <f>VLOOKUP($Q35,武学奇术!$A:$ZZ,25,FALSE)</f>
        <v>陌刀</v>
      </c>
      <c r="AM35" s="27">
        <f>VLOOKUP($Q35,武学奇术!$A:$ZZ,26,FALSE)</f>
        <v>0.9</v>
      </c>
      <c r="AN35" s="28">
        <f>VLOOKUP($Q35,武学奇术!$A:$ZZ,27,FALSE)*(1+IF(OR($AL35=$F$4,$AL35=$F$5),$B$22,0))</f>
        <v>0</v>
      </c>
      <c r="AO35" s="27">
        <f>VLOOKUP($Q35,武学奇术!$A:$ZZ,28,FALSE)</f>
        <v>1.35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0.8141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3636.7</v>
      </c>
      <c r="AT35" cm="1">
        <f t="array" ref="AT35">$E$10*(1+$AR35)+VLOOKUP($Q35,武学奇术!$A:$ZZ,4,FALSE)+SUM(_xlfn.XLOOKUP($R35:$AK35,增益!$A:$A,增益!$D:$D,0))-$I$2</f>
        <v>3636.7</v>
      </c>
      <c r="AU35" s="34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0.452</v>
      </c>
      <c r="AV35" s="34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4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4" cm="1">
        <f t="array" ref="BA35">$G$11+VLOOKUP($Q35,武学奇术!$A:$ZZ,10,FALSE)+SUM(_xlfn.XLOOKUP($R35:$AK35,增益!$A:$A,增益!$J:$J,0))</f>
        <v>0</v>
      </c>
      <c r="BB35">
        <f t="shared" ref="BB35:BB66" si="14">$D$12*(1+$AW35)</f>
        <v>591.9</v>
      </c>
      <c r="BC35">
        <f t="shared" ref="BC35:BC66" si="15">$E$12*(1+$AW35)</f>
        <v>1600.3</v>
      </c>
      <c r="BD35" s="34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0.17</v>
      </c>
      <c r="BE35" s="34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4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4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4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4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1</v>
      </c>
      <c r="BP35" s="27" cm="1">
        <f t="array" ref="BP35">1+$B$13+VLOOKUP($Q35,武学奇术!$A:$ZZ,18,FALSE)+SUM(_xlfn.XLOOKUP($R35:$AK35,增益!$A:$A,增益!$R:$R,0))</f>
        <v>2.09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</v>
      </c>
      <c r="BR35" s="27" cm="1">
        <f t="array" ref="BR35">1+$B$14+VLOOKUP($Q35,武学奇术!$A:$ZZ,20,FALSE)+SUM(_xlfn.XLOOKUP($R35:$AK35,增益!$A:$A,增益!$T:$T,0))</f>
        <v>1.35</v>
      </c>
      <c r="BS35" s="27">
        <f t="shared" ref="BS35:BS66" si="20">MIN((1-BQ35)*BN35,BN35*BO35)</f>
        <v>1</v>
      </c>
      <c r="BT35" s="27">
        <f t="shared" ref="BT35:BT66" si="21">1-BQ35-BS35-BU35</f>
        <v>0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0.11</v>
      </c>
    </row>
    <row r="36" spans="1:74">
      <c r="A36" s="4" t="s">
        <v>174</v>
      </c>
      <c r="B36" s="4">
        <v>2</v>
      </c>
      <c r="C36" s="41"/>
      <c r="D36" s="41"/>
      <c r="K36" s="40">
        <f t="shared" si="11"/>
        <v>359481.499767566</v>
      </c>
      <c r="L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359481.499767566</v>
      </c>
      <c r="M36" s="40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259833.471438096</v>
      </c>
      <c r="N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172000.717592137</v>
      </c>
      <c r="O36" s="40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151532.19708198</v>
      </c>
      <c r="P36" s="41">
        <v>1</v>
      </c>
      <c r="Q36" s="42" t="s">
        <v>120</v>
      </c>
      <c r="R36" s="42" t="s">
        <v>103</v>
      </c>
      <c r="S36" s="42" t="s">
        <v>169</v>
      </c>
      <c r="T36" s="42" t="s">
        <v>86</v>
      </c>
      <c r="U36" s="42" t="s">
        <v>121</v>
      </c>
      <c r="V36" s="42" t="s">
        <v>118</v>
      </c>
      <c r="W36" s="42" t="s">
        <v>77</v>
      </c>
      <c r="X36" s="42" t="s">
        <v>173</v>
      </c>
      <c r="Y36" s="42" t="s">
        <v>77</v>
      </c>
      <c r="Z36" s="42" t="s">
        <v>77</v>
      </c>
      <c r="AA36" s="42" t="s">
        <v>73</v>
      </c>
      <c r="AB36" s="42" t="s">
        <v>95</v>
      </c>
      <c r="AC36" s="42" t="s">
        <v>77</v>
      </c>
      <c r="AD36" s="42" t="s">
        <v>80</v>
      </c>
      <c r="AE36" s="42" t="s">
        <v>81</v>
      </c>
      <c r="AF36" s="42" t="s">
        <v>82</v>
      </c>
      <c r="AG36" s="42" t="s">
        <v>77</v>
      </c>
      <c r="AH36" s="42" t="s">
        <v>77</v>
      </c>
      <c r="AI36" s="42" t="s">
        <v>77</v>
      </c>
      <c r="AJ36" s="42" t="s">
        <v>77</v>
      </c>
      <c r="AK36" s="42" t="s">
        <v>90</v>
      </c>
      <c r="AL36" t="str">
        <f>VLOOKUP($Q36,武学奇术!$A:$ZZ,25,FALSE)</f>
        <v>陌刀</v>
      </c>
      <c r="AM36" s="27">
        <f>VLOOKUP($Q36,武学奇术!$A:$ZZ,26,FALSE)</f>
        <v>7.5674</v>
      </c>
      <c r="AN36" s="28">
        <f>VLOOKUP($Q36,武学奇术!$A:$ZZ,27,FALSE)*(1+IF(OR($AL36=$F$4,$AL36=$F$5),$B$22,0))</f>
        <v>3139.5</v>
      </c>
      <c r="AO36" s="27">
        <f>VLOOKUP($Q36,武学奇术!$A:$ZZ,28,FALSE)</f>
        <v>11.3512</v>
      </c>
      <c r="AP36" s="28">
        <f>VLOOKUP($Q36,武学奇术!$A:$ZZ,29,FALSE)*(1+IF(OR($AL36=$F$4,$AL36=$F$5),$B$22,0))</f>
        <v>1710</v>
      </c>
      <c r="AQ36" s="27" cm="1">
        <f t="array" ref="AQ36">$G$3+IFERROR(VLOOKUP($AL36,$F$4:$G$7,2,FALSE),0)+VLOOKUP($Q36,武学奇术!$A:$ZZ,2,FALSE)+SUM(_xlfn.XLOOKUP($R36:$AK36,增益!$A:$A,增益!$B:$B,0))</f>
        <v>0.8141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3636.7</v>
      </c>
      <c r="AT36" cm="1">
        <f t="array" ref="AT36">$E$10*(1+$AR36)+VLOOKUP($Q36,武学奇术!$A:$ZZ,4,FALSE)+SUM(_xlfn.XLOOKUP($R36:$AK36,增益!$A:$A,增益!$D:$D,0))-$I$2</f>
        <v>3636.7</v>
      </c>
      <c r="AU36" s="34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0.452</v>
      </c>
      <c r="AV36" s="34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4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4" cm="1">
        <f t="array" ref="BA36">$G$11+VLOOKUP($Q36,武学奇术!$A:$ZZ,10,FALSE)+SUM(_xlfn.XLOOKUP($R36:$AK36,增益!$A:$A,增益!$J:$J,0))</f>
        <v>0</v>
      </c>
      <c r="BB36">
        <f t="shared" si="14"/>
        <v>591.9</v>
      </c>
      <c r="BC36">
        <f t="shared" si="15"/>
        <v>1600.3</v>
      </c>
      <c r="BD36" s="34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0.17</v>
      </c>
      <c r="BE36" s="34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4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4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4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4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1</v>
      </c>
      <c r="BP36" s="27" cm="1">
        <f t="array" ref="BP36">1+$B$13+VLOOKUP($Q36,武学奇术!$A:$ZZ,18,FALSE)+SUM(_xlfn.XLOOKUP($R36:$AK36,增益!$A:$A,增益!$R:$R,0))</f>
        <v>2.09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</v>
      </c>
      <c r="BR36" s="27" cm="1">
        <f t="array" ref="BR36">1+$B$14+VLOOKUP($Q36,武学奇术!$A:$ZZ,20,FALSE)+SUM(_xlfn.XLOOKUP($R36:$AK36,增益!$A:$A,增益!$T:$T,0))</f>
        <v>1.35</v>
      </c>
      <c r="BS36" s="27">
        <f t="shared" si="20"/>
        <v>1</v>
      </c>
      <c r="BT36" s="27">
        <f t="shared" si="21"/>
        <v>0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0.11</v>
      </c>
    </row>
    <row r="37" spans="1:74">
      <c r="A37" s="4" t="s">
        <v>175</v>
      </c>
      <c r="B37" s="4">
        <v>3.3</v>
      </c>
      <c r="D37" s="41"/>
      <c r="K37" s="40">
        <f t="shared" si="11"/>
        <v>20911.506727507</v>
      </c>
      <c r="L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20911.506727507</v>
      </c>
      <c r="M37" s="40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15268.8547385737</v>
      </c>
      <c r="N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9957.86034643189</v>
      </c>
      <c r="O37" s="40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8605.45792354995</v>
      </c>
      <c r="P37" s="41">
        <v>1</v>
      </c>
      <c r="Q37" s="42" t="s">
        <v>125</v>
      </c>
      <c r="R37" s="42" t="s">
        <v>103</v>
      </c>
      <c r="S37" s="42" t="s">
        <v>169</v>
      </c>
      <c r="T37" s="42" t="s">
        <v>86</v>
      </c>
      <c r="U37" s="42" t="s">
        <v>121</v>
      </c>
      <c r="V37" s="42" t="s">
        <v>118</v>
      </c>
      <c r="W37" s="42" t="s">
        <v>77</v>
      </c>
      <c r="X37" s="42" t="s">
        <v>176</v>
      </c>
      <c r="Y37" s="42" t="s">
        <v>77</v>
      </c>
      <c r="Z37" s="42" t="s">
        <v>77</v>
      </c>
      <c r="AA37" s="42" t="s">
        <v>73</v>
      </c>
      <c r="AB37" s="42" t="s">
        <v>95</v>
      </c>
      <c r="AC37" s="42" t="s">
        <v>77</v>
      </c>
      <c r="AD37" s="42" t="s">
        <v>80</v>
      </c>
      <c r="AE37" s="42" t="s">
        <v>81</v>
      </c>
      <c r="AF37" s="42" t="s">
        <v>82</v>
      </c>
      <c r="AG37" s="42" t="s">
        <v>77</v>
      </c>
      <c r="AH37" s="42" t="s">
        <v>77</v>
      </c>
      <c r="AI37" s="42" t="s">
        <v>77</v>
      </c>
      <c r="AJ37" s="42" t="s">
        <v>77</v>
      </c>
      <c r="AK37" s="42" t="s">
        <v>90</v>
      </c>
      <c r="AL37" t="str">
        <f>VLOOKUP($Q37,武学奇术!$A:$ZZ,25,FALSE)</f>
        <v>陌刀</v>
      </c>
      <c r="AM37" s="27">
        <f>VLOOKUP($Q37,武学奇术!$A:$ZZ,26,FALSE)</f>
        <v>0.5</v>
      </c>
      <c r="AN37" s="28">
        <f>VLOOKUP($Q37,武学奇术!$A:$ZZ,27,FALSE)*(1+IF(OR($AL37=$F$4,$AL37=$F$5),$B$22,0))</f>
        <v>0</v>
      </c>
      <c r="AO37" s="27">
        <f>VLOOKUP($Q37,武学奇术!$A:$ZZ,28,FALSE)</f>
        <v>0.75</v>
      </c>
      <c r="AP37" s="28">
        <f>VLOOKUP($Q37,武学奇术!$A:$ZZ,29,FALSE)*(1+IF(OR($AL37=$F$4,$AL37=$F$5),$B$22,0))</f>
        <v>0</v>
      </c>
      <c r="AQ37" s="27" cm="1">
        <f t="array" ref="AQ37">$G$3+IFERROR(VLOOKUP($AL37,$F$4:$G$7,2,FALSE),0)+VLOOKUP($Q37,武学奇术!$A:$ZZ,2,FALSE)+SUM(_xlfn.XLOOKUP($R37:$AK37,增益!$A:$A,增益!$B:$B,0))</f>
        <v>0.8141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3636.7</v>
      </c>
      <c r="AT37" cm="1">
        <f t="array" ref="AT37">$E$10*(1+$AR37)+VLOOKUP($Q37,武学奇术!$A:$ZZ,4,FALSE)+SUM(_xlfn.XLOOKUP($R37:$AK37,增益!$A:$A,增益!$D:$D,0))-$I$2</f>
        <v>3636.7</v>
      </c>
      <c r="AU37" s="34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0.452</v>
      </c>
      <c r="AV37" s="34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4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4" cm="1">
        <f t="array" ref="BA37">$G$11+VLOOKUP($Q37,武学奇术!$A:$ZZ,10,FALSE)+SUM(_xlfn.XLOOKUP($R37:$AK37,增益!$A:$A,增益!$J:$J,0))</f>
        <v>0</v>
      </c>
      <c r="BB37">
        <f t="shared" si="14"/>
        <v>591.9</v>
      </c>
      <c r="BC37">
        <f t="shared" si="15"/>
        <v>1600.3</v>
      </c>
      <c r="BD37" s="34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0.17</v>
      </c>
      <c r="BE37" s="34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4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4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4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4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1</v>
      </c>
      <c r="BP37" s="27" cm="1">
        <f t="array" ref="BP37">1+$B$13+VLOOKUP($Q37,武学奇术!$A:$ZZ,18,FALSE)+SUM(_xlfn.XLOOKUP($R37:$AK37,增益!$A:$A,增益!$R:$R,0))</f>
        <v>2.1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</v>
      </c>
      <c r="BR37" s="27" cm="1">
        <f t="array" ref="BR37">1+$B$14+VLOOKUP($Q37,武学奇术!$A:$ZZ,20,FALSE)+SUM(_xlfn.XLOOKUP($R37:$AK37,增益!$A:$A,增益!$T:$T,0))</f>
        <v>1.35</v>
      </c>
      <c r="BS37" s="27">
        <f t="shared" si="20"/>
        <v>1</v>
      </c>
      <c r="BT37" s="27">
        <f t="shared" si="21"/>
        <v>0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:74">
      <c r="A38" s="4" t="s">
        <v>177</v>
      </c>
      <c r="B38" s="4">
        <v>1</v>
      </c>
      <c r="K38" s="40">
        <f t="shared" si="11"/>
        <v>37640.7121095126</v>
      </c>
      <c r="L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37640.7121095126</v>
      </c>
      <c r="M38" s="40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27483.9385294326</v>
      </c>
      <c r="N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17924.1486235774</v>
      </c>
      <c r="O38" s="40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15489.8242623899</v>
      </c>
      <c r="P38" s="41">
        <v>1</v>
      </c>
      <c r="Q38" s="42" t="s">
        <v>117</v>
      </c>
      <c r="R38" s="42" t="s">
        <v>103</v>
      </c>
      <c r="S38" s="42" t="s">
        <v>169</v>
      </c>
      <c r="T38" s="42" t="s">
        <v>86</v>
      </c>
      <c r="U38" s="42" t="s">
        <v>121</v>
      </c>
      <c r="V38" s="42" t="s">
        <v>118</v>
      </c>
      <c r="W38" s="42" t="s">
        <v>77</v>
      </c>
      <c r="X38" s="42" t="s">
        <v>176</v>
      </c>
      <c r="Y38" s="42" t="s">
        <v>77</v>
      </c>
      <c r="Z38" s="42" t="s">
        <v>77</v>
      </c>
      <c r="AA38" s="42" t="s">
        <v>73</v>
      </c>
      <c r="AB38" s="42" t="s">
        <v>95</v>
      </c>
      <c r="AC38" s="42" t="s">
        <v>77</v>
      </c>
      <c r="AD38" s="42" t="s">
        <v>80</v>
      </c>
      <c r="AE38" s="42" t="s">
        <v>81</v>
      </c>
      <c r="AF38" s="42" t="s">
        <v>82</v>
      </c>
      <c r="AG38" s="42" t="s">
        <v>77</v>
      </c>
      <c r="AH38" s="42" t="s">
        <v>77</v>
      </c>
      <c r="AI38" s="42" t="s">
        <v>77</v>
      </c>
      <c r="AJ38" s="42" t="s">
        <v>77</v>
      </c>
      <c r="AK38" s="42" t="s">
        <v>90</v>
      </c>
      <c r="AL38" t="str">
        <f>VLOOKUP($Q38,武学奇术!$A:$ZZ,25,FALSE)</f>
        <v>陌刀</v>
      </c>
      <c r="AM38" s="27">
        <f>VLOOKUP($Q38,武学奇术!$A:$ZZ,26,FALSE)</f>
        <v>0.9</v>
      </c>
      <c r="AN38" s="28">
        <f>VLOOKUP($Q38,武学奇术!$A:$ZZ,27,FALSE)*(1+IF(OR($AL38=$F$4,$AL38=$F$5),$B$22,0))</f>
        <v>0</v>
      </c>
      <c r="AO38" s="27">
        <f>VLOOKUP($Q38,武学奇术!$A:$ZZ,28,FALSE)</f>
        <v>1.35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0.8141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3636.7</v>
      </c>
      <c r="AT38" cm="1">
        <f t="array" ref="AT38">$E$10*(1+$AR38)+VLOOKUP($Q38,武学奇术!$A:$ZZ,4,FALSE)+SUM(_xlfn.XLOOKUP($R38:$AK38,增益!$A:$A,增益!$D:$D,0))-$I$2</f>
        <v>3636.7</v>
      </c>
      <c r="AU38" s="34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0.452</v>
      </c>
      <c r="AV38" s="34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4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34" cm="1">
        <f t="array" ref="BA38">$G$11+VLOOKUP($Q38,武学奇术!$A:$ZZ,10,FALSE)+SUM(_xlfn.XLOOKUP($R38:$AK38,增益!$A:$A,增益!$J:$J,0))</f>
        <v>0</v>
      </c>
      <c r="BB38">
        <f t="shared" si="14"/>
        <v>591.9</v>
      </c>
      <c r="BC38">
        <f t="shared" si="15"/>
        <v>1600.3</v>
      </c>
      <c r="BD38" s="34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0.17</v>
      </c>
      <c r="BE38" s="34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4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-0.14</v>
      </c>
      <c r="BI38" s="34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4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34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1</v>
      </c>
      <c r="BP38" s="27" cm="1">
        <f t="array" ref="BP38">1+$B$13+VLOOKUP($Q38,武学奇术!$A:$ZZ,18,FALSE)+SUM(_xlfn.XLOOKUP($R38:$AK38,增益!$A:$A,增益!$R:$R,0))</f>
        <v>2.1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</v>
      </c>
      <c r="BR38" s="27" cm="1">
        <f t="array" ref="BR38">1+$B$14+VLOOKUP($Q38,武学奇术!$A:$ZZ,20,FALSE)+SUM(_xlfn.XLOOKUP($R38:$AK38,增益!$A:$A,增益!$T:$T,0))</f>
        <v>1.35</v>
      </c>
      <c r="BS38" s="27">
        <f t="shared" si="20"/>
        <v>1</v>
      </c>
      <c r="BT38" s="27">
        <f t="shared" si="21"/>
        <v>0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:74">
      <c r="A39" s="4" t="s">
        <v>167</v>
      </c>
      <c r="B39" s="4">
        <v>0.1</v>
      </c>
      <c r="C39" s="4"/>
      <c r="K39" s="40">
        <f t="shared" si="11"/>
        <v>361201.506943487</v>
      </c>
      <c r="L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361201.506943487</v>
      </c>
      <c r="M39" s="40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259833.471438096</v>
      </c>
      <c r="N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172000.717592137</v>
      </c>
      <c r="O39" s="40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151532.19708198</v>
      </c>
      <c r="P39" s="41">
        <v>1</v>
      </c>
      <c r="Q39" s="42" t="s">
        <v>120</v>
      </c>
      <c r="R39" s="42" t="s">
        <v>103</v>
      </c>
      <c r="S39" s="42" t="s">
        <v>169</v>
      </c>
      <c r="T39" s="42" t="s">
        <v>86</v>
      </c>
      <c r="U39" s="42" t="s">
        <v>121</v>
      </c>
      <c r="V39" s="42" t="s">
        <v>118</v>
      </c>
      <c r="W39" s="42" t="s">
        <v>77</v>
      </c>
      <c r="X39" s="42" t="s">
        <v>176</v>
      </c>
      <c r="Y39" s="42" t="s">
        <v>77</v>
      </c>
      <c r="Z39" s="42" t="s">
        <v>77</v>
      </c>
      <c r="AA39" s="42" t="s">
        <v>73</v>
      </c>
      <c r="AB39" s="42" t="s">
        <v>95</v>
      </c>
      <c r="AC39" s="42" t="s">
        <v>77</v>
      </c>
      <c r="AD39" s="42" t="s">
        <v>80</v>
      </c>
      <c r="AE39" s="42" t="s">
        <v>81</v>
      </c>
      <c r="AF39" s="42" t="s">
        <v>82</v>
      </c>
      <c r="AG39" s="42" t="s">
        <v>77</v>
      </c>
      <c r="AH39" s="42" t="s">
        <v>77</v>
      </c>
      <c r="AI39" s="42" t="s">
        <v>77</v>
      </c>
      <c r="AJ39" s="42" t="s">
        <v>77</v>
      </c>
      <c r="AK39" s="42" t="s">
        <v>90</v>
      </c>
      <c r="AL39" t="str">
        <f>VLOOKUP($Q39,武学奇术!$A:$ZZ,25,FALSE)</f>
        <v>陌刀</v>
      </c>
      <c r="AM39" s="27">
        <f>VLOOKUP($Q39,武学奇术!$A:$ZZ,26,FALSE)</f>
        <v>7.5674</v>
      </c>
      <c r="AN39" s="28">
        <f>VLOOKUP($Q39,武学奇术!$A:$ZZ,27,FALSE)*(1+IF(OR($AL39=$F$4,$AL39=$F$5),$B$22,0))</f>
        <v>3139.5</v>
      </c>
      <c r="AO39" s="27">
        <f>VLOOKUP($Q39,武学奇术!$A:$ZZ,28,FALSE)</f>
        <v>11.3512</v>
      </c>
      <c r="AP39" s="28">
        <f>VLOOKUP($Q39,武学奇术!$A:$ZZ,29,FALSE)*(1+IF(OR($AL39=$F$4,$AL39=$F$5),$B$22,0))</f>
        <v>1710</v>
      </c>
      <c r="AQ39" s="27" cm="1">
        <f t="array" ref="AQ39">$G$3+IFERROR(VLOOKUP($AL39,$F$4:$G$7,2,FALSE),0)+VLOOKUP($Q39,武学奇术!$A:$ZZ,2,FALSE)+SUM(_xlfn.XLOOKUP($R39:$AK39,增益!$A:$A,增益!$B:$B,0))</f>
        <v>0.8141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3636.7</v>
      </c>
      <c r="AT39" cm="1">
        <f t="array" ref="AT39">$E$10*(1+$AR39)+VLOOKUP($Q39,武学奇术!$A:$ZZ,4,FALSE)+SUM(_xlfn.XLOOKUP($R39:$AK39,增益!$A:$A,增益!$D:$D,0))-$I$2</f>
        <v>3636.7</v>
      </c>
      <c r="AU39" s="34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0.452</v>
      </c>
      <c r="AV39" s="34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4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34" cm="1">
        <f t="array" ref="BA39">$G$11+VLOOKUP($Q39,武学奇术!$A:$ZZ,10,FALSE)+SUM(_xlfn.XLOOKUP($R39:$AK39,增益!$A:$A,增益!$J:$J,0))</f>
        <v>0</v>
      </c>
      <c r="BB39">
        <f t="shared" si="14"/>
        <v>591.9</v>
      </c>
      <c r="BC39">
        <f t="shared" si="15"/>
        <v>1600.3</v>
      </c>
      <c r="BD39" s="34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0.17</v>
      </c>
      <c r="BE39" s="34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4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34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4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34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1</v>
      </c>
      <c r="BP39" s="27" cm="1">
        <f t="array" ref="BP39">1+$B$13+VLOOKUP($Q39,武学奇术!$A:$ZZ,18,FALSE)+SUM(_xlfn.XLOOKUP($R39:$AK39,增益!$A:$A,增益!$R:$R,0))</f>
        <v>2.1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</v>
      </c>
      <c r="BR39" s="27" cm="1">
        <f t="array" ref="BR39">1+$B$14+VLOOKUP($Q39,武学奇术!$A:$ZZ,20,FALSE)+SUM(_xlfn.XLOOKUP($R39:$AK39,增益!$A:$A,增益!$T:$T,0))</f>
        <v>1.35</v>
      </c>
      <c r="BS39" s="27">
        <f t="shared" si="20"/>
        <v>1</v>
      </c>
      <c r="BT39" s="27">
        <f t="shared" si="21"/>
        <v>0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:74">
      <c r="A40" t="s">
        <v>178</v>
      </c>
      <c r="B40">
        <v>1</v>
      </c>
      <c r="K40" s="40">
        <f t="shared" si="11"/>
        <v>160790.772150553</v>
      </c>
      <c r="L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164803.485840974</v>
      </c>
      <c r="M40" s="40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144814.388740222</v>
      </c>
      <c r="N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94714.6470350425</v>
      </c>
      <c r="O40" s="40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82159.3764847352</v>
      </c>
      <c r="P40" s="41">
        <v>1</v>
      </c>
      <c r="Q40" s="42" t="s">
        <v>149</v>
      </c>
      <c r="R40" s="42" t="s">
        <v>103</v>
      </c>
      <c r="S40" s="42" t="s">
        <v>169</v>
      </c>
      <c r="T40" s="42" t="s">
        <v>86</v>
      </c>
      <c r="U40" s="42" t="s">
        <v>87</v>
      </c>
      <c r="V40" s="42" t="s">
        <v>77</v>
      </c>
      <c r="W40" s="42" t="s">
        <v>77</v>
      </c>
      <c r="X40" s="42" t="s">
        <v>176</v>
      </c>
      <c r="Y40" s="42" t="s">
        <v>77</v>
      </c>
      <c r="Z40" s="42" t="s">
        <v>77</v>
      </c>
      <c r="AA40" s="42" t="s">
        <v>77</v>
      </c>
      <c r="AB40" s="42" t="s">
        <v>89</v>
      </c>
      <c r="AC40" s="42" t="s">
        <v>77</v>
      </c>
      <c r="AD40" s="42" t="s">
        <v>80</v>
      </c>
      <c r="AE40" s="42" t="s">
        <v>81</v>
      </c>
      <c r="AF40" s="42" t="s">
        <v>82</v>
      </c>
      <c r="AG40" s="42" t="s">
        <v>77</v>
      </c>
      <c r="AH40" s="42" t="s">
        <v>77</v>
      </c>
      <c r="AI40" s="42" t="s">
        <v>77</v>
      </c>
      <c r="AJ40" s="42" t="s">
        <v>77</v>
      </c>
      <c r="AK40" s="42" t="s">
        <v>90</v>
      </c>
      <c r="AL40" t="str">
        <f>VLOOKUP($Q40,武学奇术!$A:$ZZ,25,FALSE)</f>
        <v>单体奇术</v>
      </c>
      <c r="AM40" s="27">
        <f>VLOOKUP($Q40,武学奇术!$A:$ZZ,26,FALSE)</f>
        <v>7.1084</v>
      </c>
      <c r="AN40" s="28">
        <f>VLOOKUP($Q40,武学奇术!$A:$ZZ,27,FALSE)*(1+IF(OR($AL40=$F$4,$AL40=$F$5),$B$22,0))</f>
        <v>1369</v>
      </c>
      <c r="AO40" s="27">
        <f>VLOOKUP($Q40,武学奇术!$A:$ZZ,28,FALSE)</f>
        <v>10.6626</v>
      </c>
      <c r="AP40" s="28">
        <f>VLOOKUP($Q40,武学奇术!$A:$ZZ,29,FALSE)*(1+IF(OR($AL40=$F$4,$AL40=$F$5),$B$22,0))</f>
        <v>0</v>
      </c>
      <c r="AQ40" s="27" cm="1">
        <f t="array" ref="AQ40">$G$3+IFERROR(VLOOKUP($AL40,$F$4:$G$7,2,FALSE),0)+VLOOKUP($Q40,武学奇术!$A:$ZZ,2,FALSE)+SUM(_xlfn.XLOOKUP($R40:$AK40,增益!$A:$A,增益!$B:$B,0))</f>
        <v>0.5637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3636.7</v>
      </c>
      <c r="AT40" cm="1">
        <f t="array" ref="AT40">$E$10*(1+$AR40)+VLOOKUP($Q40,武学奇术!$A:$ZZ,4,FALSE)+SUM(_xlfn.XLOOKUP($R40:$AK40,增益!$A:$A,增益!$D:$D,0))-$I$2</f>
        <v>3636.7</v>
      </c>
      <c r="AU40" s="34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0.427</v>
      </c>
      <c r="AV40" s="34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4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4" cm="1">
        <f t="array" ref="BA40">$G$11+VLOOKUP($Q40,武学奇术!$A:$ZZ,10,FALSE)+SUM(_xlfn.XLOOKUP($R40:$AK40,增益!$A:$A,增益!$J:$J,0))</f>
        <v>0</v>
      </c>
      <c r="BB40">
        <f t="shared" si="14"/>
        <v>591.9</v>
      </c>
      <c r="BC40">
        <f t="shared" si="15"/>
        <v>1600.3</v>
      </c>
      <c r="BD40" s="34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0.17</v>
      </c>
      <c r="BE40" s="34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4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4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4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4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0.9859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7" cm="1">
        <f t="array" ref="BP40">1+$B$13+VLOOKUP($Q40,武学奇术!$A:$ZZ,18,FALSE)+SUM(_xlfn.XLOOKUP($R40:$AK40,增益!$A:$A,增益!$R:$R,0))</f>
        <v>1.74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7" cm="1">
        <f t="array" ref="BR40">1+$B$14+VLOOKUP($Q40,武学奇术!$A:$ZZ,20,FALSE)+SUM(_xlfn.XLOOKUP($R40:$AK40,增益!$A:$A,增益!$T:$T,0))</f>
        <v>1.35</v>
      </c>
      <c r="BS40" s="27">
        <f t="shared" si="20"/>
        <v>0.87863408</v>
      </c>
      <c r="BT40" s="27">
        <f t="shared" si="21"/>
        <v>0.01567581</v>
      </c>
      <c r="BU40" s="27">
        <f>IF(VLOOKUP($Q40,武学奇术!$A:$ZZ,22,FALSE)=1,0,(1-$BN40))*(1-$BQ40)</f>
        <v>0.01279011</v>
      </c>
      <c r="BV40" s="27" cm="1">
        <f t="array" ref="BV40">SUM(_xlfn.XLOOKUP($R40:$AK40,增益!$A:$A,增益!$W:$W,0))+$I$5</f>
        <v>0.11</v>
      </c>
    </row>
    <row r="41" spans="1:74">
      <c r="A41" t="s">
        <v>164</v>
      </c>
      <c r="B41">
        <v>2.3</v>
      </c>
      <c r="K41" s="40">
        <f t="shared" si="11"/>
        <v>18873.5555183601</v>
      </c>
      <c r="L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19568.2256486973</v>
      </c>
      <c r="M41" s="40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15178.0523273787</v>
      </c>
      <c r="N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10034.9875121525</v>
      </c>
      <c r="O41" s="40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8826.97330032075</v>
      </c>
      <c r="P41" s="41">
        <v>1</v>
      </c>
      <c r="Q41" s="42" t="s">
        <v>179</v>
      </c>
      <c r="R41" s="42" t="s">
        <v>103</v>
      </c>
      <c r="S41" s="42" t="s">
        <v>169</v>
      </c>
      <c r="T41" s="42" t="s">
        <v>86</v>
      </c>
      <c r="U41" s="42" t="s">
        <v>87</v>
      </c>
      <c r="V41" s="42" t="s">
        <v>77</v>
      </c>
      <c r="W41" s="42" t="s">
        <v>77</v>
      </c>
      <c r="X41" s="42" t="s">
        <v>176</v>
      </c>
      <c r="Y41" s="42" t="s">
        <v>77</v>
      </c>
      <c r="Z41" s="42" t="s">
        <v>77</v>
      </c>
      <c r="AA41" s="42" t="s">
        <v>77</v>
      </c>
      <c r="AB41" s="42" t="s">
        <v>89</v>
      </c>
      <c r="AC41" s="42" t="s">
        <v>77</v>
      </c>
      <c r="AD41" s="42" t="s">
        <v>80</v>
      </c>
      <c r="AE41" s="42" t="s">
        <v>81</v>
      </c>
      <c r="AF41" s="42" t="s">
        <v>82</v>
      </c>
      <c r="AG41" s="42" t="s">
        <v>77</v>
      </c>
      <c r="AH41" s="42" t="s">
        <v>77</v>
      </c>
      <c r="AI41" s="42" t="s">
        <v>77</v>
      </c>
      <c r="AJ41" s="42" t="s">
        <v>77</v>
      </c>
      <c r="AK41" s="42" t="s">
        <v>90</v>
      </c>
      <c r="AL41" t="str">
        <f>VLOOKUP($Q41,武学奇术!$A:$ZZ,25,FALSE)</f>
        <v>横刀</v>
      </c>
      <c r="AM41" s="27">
        <f>VLOOKUP($Q41,武学奇术!$A:$ZZ,26,FALSE)</f>
        <v>0.6486</v>
      </c>
      <c r="AN41" s="28">
        <f>VLOOKUP($Q41,武学奇术!$A:$ZZ,27,FALSE)*(1+IF(OR($AL41=$F$4,$AL41=$F$5),$B$22,0))</f>
        <v>270</v>
      </c>
      <c r="AO41" s="27">
        <f>VLOOKUP($Q41,武学奇术!$A:$ZZ,28,FALSE)</f>
        <v>0.9729</v>
      </c>
      <c r="AP41" s="28">
        <f>VLOOKUP($Q41,武学奇术!$A:$ZZ,29,FALSE)*(1+IF(OR($AL41=$F$4,$AL41=$F$5),$B$22,0))</f>
        <v>147</v>
      </c>
      <c r="AQ41" s="27" cm="1">
        <f t="array" ref="AQ41">$G$3+IFERROR(VLOOKUP($AL41,$F$4:$G$7,2,FALSE),0)+VLOOKUP($Q41,武学奇术!$A:$ZZ,2,FALSE)+SUM(_xlfn.XLOOKUP($R41:$AK41,增益!$A:$A,增益!$B:$B,0))</f>
        <v>0.6489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3636.7</v>
      </c>
      <c r="AT41" cm="1">
        <f t="array" ref="AT41">$E$10*(1+$AR41)+VLOOKUP($Q41,武学奇术!$A:$ZZ,4,FALSE)+SUM(_xlfn.XLOOKUP($R41:$AK41,增益!$A:$A,增益!$D:$D,0))-$I$2</f>
        <v>3636.7</v>
      </c>
      <c r="AU41" s="34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0.427</v>
      </c>
      <c r="AV41" s="34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4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4" cm="1">
        <f t="array" ref="BA41">$G$11+VLOOKUP($Q41,武学奇术!$A:$ZZ,10,FALSE)+SUM(_xlfn.XLOOKUP($R41:$AK41,增益!$A:$A,增益!$J:$J,0))</f>
        <v>0</v>
      </c>
      <c r="BB41">
        <f t="shared" si="14"/>
        <v>591.9</v>
      </c>
      <c r="BC41">
        <f t="shared" si="15"/>
        <v>1600.3</v>
      </c>
      <c r="BD41" s="34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0.17</v>
      </c>
      <c r="BE41" s="34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4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4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4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4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0.9859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7" cm="1">
        <f t="array" ref="BP41">1+$B$13+VLOOKUP($Q41,武学奇术!$A:$ZZ,18,FALSE)+SUM(_xlfn.XLOOKUP($R41:$AK41,增益!$A:$A,增益!$R:$R,0))</f>
        <v>1.95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7" cm="1">
        <f t="array" ref="BR41">1+$B$14+VLOOKUP($Q41,武学奇术!$A:$ZZ,20,FALSE)+SUM(_xlfn.XLOOKUP($R41:$AK41,增益!$A:$A,增益!$T:$T,0))</f>
        <v>1.35</v>
      </c>
      <c r="BS41" s="27">
        <f t="shared" si="20"/>
        <v>0.87863408</v>
      </c>
      <c r="BT41" s="27">
        <f t="shared" si="21"/>
        <v>0.01567581</v>
      </c>
      <c r="BU41" s="27">
        <f>IF(VLOOKUP($Q41,武学奇术!$A:$ZZ,22,FALSE)=1,0,(1-$BN41))*(1-$BQ41)</f>
        <v>0.01279011</v>
      </c>
      <c r="BV41" s="27" cm="1">
        <f t="array" ref="BV41">SUM(_xlfn.XLOOKUP($R41:$AK41,增益!$A:$A,增益!$W:$W,0))+$I$5</f>
        <v>0.11</v>
      </c>
    </row>
    <row r="42" spans="1:74">
      <c r="A42" t="s">
        <v>166</v>
      </c>
      <c r="B42">
        <v>1</v>
      </c>
      <c r="K42" s="40">
        <f t="shared" si="11"/>
        <v>82225.9152579836</v>
      </c>
      <c r="L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85478.038738655</v>
      </c>
      <c r="M42" s="40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64233.7527543757</v>
      </c>
      <c r="N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42739.0193693275</v>
      </c>
      <c r="O42" s="40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37897.4811428212</v>
      </c>
      <c r="P42" s="41">
        <v>1</v>
      </c>
      <c r="Q42" s="42" t="s">
        <v>180</v>
      </c>
      <c r="R42" s="42" t="s">
        <v>103</v>
      </c>
      <c r="S42" s="42" t="s">
        <v>77</v>
      </c>
      <c r="T42" s="42" t="s">
        <v>77</v>
      </c>
      <c r="U42" s="42" t="s">
        <v>121</v>
      </c>
      <c r="V42" s="42" t="s">
        <v>77</v>
      </c>
      <c r="W42" s="42" t="s">
        <v>77</v>
      </c>
      <c r="X42" s="42" t="s">
        <v>176</v>
      </c>
      <c r="Y42" s="42" t="s">
        <v>77</v>
      </c>
      <c r="Z42" s="42" t="s">
        <v>77</v>
      </c>
      <c r="AA42" s="42" t="s">
        <v>73</v>
      </c>
      <c r="AB42" s="42" t="s">
        <v>89</v>
      </c>
      <c r="AC42" s="42" t="s">
        <v>77</v>
      </c>
      <c r="AD42" s="42" t="s">
        <v>80</v>
      </c>
      <c r="AE42" s="42" t="s">
        <v>81</v>
      </c>
      <c r="AF42" s="42" t="s">
        <v>82</v>
      </c>
      <c r="AG42" s="42" t="s">
        <v>77</v>
      </c>
      <c r="AH42" s="42" t="s">
        <v>77</v>
      </c>
      <c r="AI42" s="42" t="s">
        <v>77</v>
      </c>
      <c r="AJ42" s="42" t="s">
        <v>77</v>
      </c>
      <c r="AK42" s="42" t="s">
        <v>90</v>
      </c>
      <c r="AL42" t="str">
        <f>VLOOKUP($Q42,武学奇术!$A:$ZZ,25,FALSE)</f>
        <v>横刀</v>
      </c>
      <c r="AM42" s="27">
        <f>VLOOKUP($Q42,武学奇术!$A:$ZZ,26,FALSE)</f>
        <v>2.8245</v>
      </c>
      <c r="AN42" s="28">
        <f>VLOOKUP($Q42,武学奇术!$A:$ZZ,27,FALSE)*(1+IF(OR($AL42=$F$4,$AL42=$F$5),$B$22,0))</f>
        <v>1173</v>
      </c>
      <c r="AO42" s="27">
        <f>VLOOKUP($Q42,武学奇术!$A:$ZZ,28,FALSE)</f>
        <v>4.236808</v>
      </c>
      <c r="AP42" s="28">
        <f>VLOOKUP($Q42,武学奇术!$A:$ZZ,29,FALSE)*(1+IF(OR($AL42=$F$4,$AL42=$F$5),$B$22,0))</f>
        <v>637.5</v>
      </c>
      <c r="AQ42" s="27" cm="1">
        <f t="array" ref="AQ42">$G$3+IFERROR(VLOOKUP($AL42,$F$4:$G$7,2,FALSE),0)+VLOOKUP($Q42,武学奇术!$A:$ZZ,2,FALSE)+SUM(_xlfn.XLOOKUP($R42:$AK42,增益!$A:$A,增益!$B:$B,0))</f>
        <v>0.6289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3636.7</v>
      </c>
      <c r="AT42" cm="1">
        <f t="array" ref="AT42">$E$10*(1+$AR42)+VLOOKUP($Q42,武学奇术!$A:$ZZ,4,FALSE)+SUM(_xlfn.XLOOKUP($R42:$AK42,增益!$A:$A,增益!$D:$D,0))-$I$2</f>
        <v>3636.7</v>
      </c>
      <c r="AU42" s="34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0.452</v>
      </c>
      <c r="AV42" s="34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4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4" cm="1">
        <f t="array" ref="BA42">$G$11+VLOOKUP($Q42,武学奇术!$A:$ZZ,10,FALSE)+SUM(_xlfn.XLOOKUP($R42:$AK42,增益!$A:$A,增益!$J:$J,0))</f>
        <v>0</v>
      </c>
      <c r="BB42">
        <f t="shared" si="14"/>
        <v>591.9</v>
      </c>
      <c r="BC42">
        <f t="shared" si="15"/>
        <v>1600.3</v>
      </c>
      <c r="BD42" s="34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0.09</v>
      </c>
      <c r="BE42" s="34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4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4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4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4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0.9859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7" cm="1">
        <f t="array" ref="BP42">1+$B$13+VLOOKUP($Q42,武学奇术!$A:$ZZ,18,FALSE)+SUM(_xlfn.XLOOKUP($R42:$AK42,增益!$A:$A,增益!$R:$R,0))</f>
        <v>2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7" cm="1">
        <f t="array" ref="BR42">1+$B$14+VLOOKUP($Q42,武学奇术!$A:$ZZ,20,FALSE)+SUM(_xlfn.XLOOKUP($R42:$AK42,增益!$A:$A,增益!$T:$T,0))</f>
        <v>1.35</v>
      </c>
      <c r="BS42" s="27">
        <f t="shared" si="20"/>
        <v>0.87863408</v>
      </c>
      <c r="BT42" s="27">
        <f t="shared" si="21"/>
        <v>0.01567581</v>
      </c>
      <c r="BU42" s="27">
        <f>IF(VLOOKUP($Q42,武学奇术!$A:$ZZ,22,FALSE)=1,0,(1-$BN42))*(1-$BQ42)</f>
        <v>0.01279011</v>
      </c>
      <c r="BV42" s="27" cm="1">
        <f t="array" ref="BV42">SUM(_xlfn.XLOOKUP($R42:$AK42,增益!$A:$A,增益!$W:$W,0))+$I$5</f>
        <v>0.11</v>
      </c>
    </row>
    <row r="43" spans="1:74">
      <c r="A43" s="4" t="s">
        <v>167</v>
      </c>
      <c r="B43" s="4">
        <v>0.1</v>
      </c>
      <c r="D43" s="41" t="s">
        <v>168</v>
      </c>
      <c r="K43" s="40">
        <f t="shared" si="11"/>
        <v>33589.0533048745</v>
      </c>
      <c r="L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34885.16473184</v>
      </c>
      <c r="M43" s="40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26588.2473047908</v>
      </c>
      <c r="N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17442.58236592</v>
      </c>
      <c r="O43" s="40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15190.1667282913</v>
      </c>
      <c r="P43" s="41">
        <v>1</v>
      </c>
      <c r="Q43" s="42" t="s">
        <v>110</v>
      </c>
      <c r="R43" s="42" t="s">
        <v>103</v>
      </c>
      <c r="S43" s="42" t="s">
        <v>77</v>
      </c>
      <c r="T43" s="42" t="s">
        <v>77</v>
      </c>
      <c r="U43" s="42" t="s">
        <v>121</v>
      </c>
      <c r="V43" s="42" t="s">
        <v>77</v>
      </c>
      <c r="W43" s="42" t="s">
        <v>77</v>
      </c>
      <c r="X43" s="42" t="s">
        <v>176</v>
      </c>
      <c r="Y43" s="42" t="s">
        <v>77</v>
      </c>
      <c r="Z43" s="42" t="s">
        <v>77</v>
      </c>
      <c r="AA43" s="42" t="s">
        <v>73</v>
      </c>
      <c r="AB43" s="42" t="s">
        <v>89</v>
      </c>
      <c r="AC43" s="42" t="s">
        <v>77</v>
      </c>
      <c r="AD43" s="42" t="s">
        <v>80</v>
      </c>
      <c r="AE43" s="42" t="s">
        <v>81</v>
      </c>
      <c r="AF43" s="42" t="s">
        <v>82</v>
      </c>
      <c r="AG43" s="42" t="s">
        <v>77</v>
      </c>
      <c r="AH43" s="42" t="s">
        <v>77</v>
      </c>
      <c r="AI43" s="42" t="s">
        <v>77</v>
      </c>
      <c r="AJ43" s="42" t="s">
        <v>77</v>
      </c>
      <c r="AK43" s="42" t="s">
        <v>90</v>
      </c>
      <c r="AL43" t="str">
        <f>VLOOKUP($Q43,武学奇术!$A:$ZZ,25,FALSE)</f>
        <v>横刀</v>
      </c>
      <c r="AM43" s="27">
        <f>VLOOKUP($Q43,武学奇术!$A:$ZZ,26,FALSE)</f>
        <v>1.4</v>
      </c>
      <c r="AN43" s="28">
        <f>VLOOKUP($Q43,武学奇术!$A:$ZZ,27,FALSE)*(1+IF(OR($AL43=$F$4,$AL43=$F$5),$B$22,0))</f>
        <v>0</v>
      </c>
      <c r="AO43" s="27">
        <f>VLOOKUP($Q43,武学奇术!$A:$ZZ,28,FALSE)</f>
        <v>2.1</v>
      </c>
      <c r="AP43" s="28">
        <f>VLOOKUP($Q43,武学奇术!$A:$ZZ,29,FALSE)*(1+IF(OR($AL43=$F$4,$AL43=$F$5),$B$22,0))</f>
        <v>0</v>
      </c>
      <c r="AQ43" s="27" cm="1">
        <f t="array" ref="AQ43">$G$3+IFERROR(VLOOKUP($AL43,$F$4:$G$7,2,FALSE),0)+VLOOKUP($Q43,武学奇术!$A:$ZZ,2,FALSE)+SUM(_xlfn.XLOOKUP($R43:$AK43,增益!$A:$A,增益!$B:$B,0))</f>
        <v>0.5289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3636.7</v>
      </c>
      <c r="AT43" cm="1">
        <f t="array" ref="AT43">$E$10*(1+$AR43)+VLOOKUP($Q43,武学奇术!$A:$ZZ,4,FALSE)+SUM(_xlfn.XLOOKUP($R43:$AK43,增益!$A:$A,增益!$D:$D,0))-$I$2</f>
        <v>3636.7</v>
      </c>
      <c r="AU43" s="34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0.452</v>
      </c>
      <c r="AV43" s="34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4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4" cm="1">
        <f t="array" ref="BA43">$G$11+VLOOKUP($Q43,武学奇术!$A:$ZZ,10,FALSE)+SUM(_xlfn.XLOOKUP($R43:$AK43,增益!$A:$A,增益!$J:$J,0))</f>
        <v>0</v>
      </c>
      <c r="BB43">
        <f t="shared" si="14"/>
        <v>591.9</v>
      </c>
      <c r="BC43">
        <f t="shared" si="15"/>
        <v>1600.3</v>
      </c>
      <c r="BD43" s="34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0.09</v>
      </c>
      <c r="BE43" s="34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4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4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4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4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0.9859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7" cm="1">
        <f t="array" ref="BP43">1+$B$13+VLOOKUP($Q43,武学奇术!$A:$ZZ,18,FALSE)+SUM(_xlfn.XLOOKUP($R43:$AK43,增益!$A:$A,增益!$R:$R,0))</f>
        <v>2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7" cm="1">
        <f t="array" ref="BR43">1+$B$14+VLOOKUP($Q43,武学奇术!$A:$ZZ,20,FALSE)+SUM(_xlfn.XLOOKUP($R43:$AK43,增益!$A:$A,增益!$T:$T,0))</f>
        <v>1.35</v>
      </c>
      <c r="BS43" s="27">
        <f t="shared" si="20"/>
        <v>0.87863408</v>
      </c>
      <c r="BT43" s="27">
        <f t="shared" si="21"/>
        <v>0.01567581</v>
      </c>
      <c r="BU43" s="27">
        <f>IF(VLOOKUP($Q43,武学奇术!$A:$ZZ,22,FALSE)=1,0,(1-$BN43))*(1-$BQ43)</f>
        <v>0.01279011</v>
      </c>
      <c r="BV43" s="27" cm="1">
        <f t="array" ref="BV43">SUM(_xlfn.XLOOKUP($R43:$AK43,增益!$A:$A,增益!$W:$W,0))+$I$5</f>
        <v>0.11</v>
      </c>
    </row>
    <row r="44" spans="1:74">
      <c r="A44" s="4" t="s">
        <v>181</v>
      </c>
      <c r="B44" s="4">
        <v>1.8</v>
      </c>
      <c r="D44" s="41"/>
      <c r="K44" s="40">
        <f t="shared" si="11"/>
        <v>61223.1503677575</v>
      </c>
      <c r="L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63498.1878937857</v>
      </c>
      <c r="M44" s="40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49002.2155552562</v>
      </c>
      <c r="N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32563.1732788644</v>
      </c>
      <c r="O44" s="40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28828.409109391</v>
      </c>
      <c r="P44" s="41">
        <v>1</v>
      </c>
      <c r="Q44" s="42" t="s">
        <v>182</v>
      </c>
      <c r="R44" s="42" t="s">
        <v>103</v>
      </c>
      <c r="S44" s="42" t="s">
        <v>77</v>
      </c>
      <c r="T44" s="42" t="s">
        <v>77</v>
      </c>
      <c r="U44" s="42" t="s">
        <v>87</v>
      </c>
      <c r="V44" s="42" t="s">
        <v>77</v>
      </c>
      <c r="W44" s="42" t="s">
        <v>77</v>
      </c>
      <c r="X44" s="42" t="s">
        <v>176</v>
      </c>
      <c r="Y44" s="42" t="s">
        <v>77</v>
      </c>
      <c r="Z44" s="42" t="s">
        <v>77</v>
      </c>
      <c r="AA44" s="42" t="s">
        <v>77</v>
      </c>
      <c r="AB44" s="42" t="s">
        <v>89</v>
      </c>
      <c r="AC44" s="42" t="s">
        <v>77</v>
      </c>
      <c r="AD44" s="42" t="s">
        <v>80</v>
      </c>
      <c r="AE44" s="42" t="s">
        <v>81</v>
      </c>
      <c r="AF44" s="42" t="s">
        <v>82</v>
      </c>
      <c r="AG44" s="42" t="s">
        <v>77</v>
      </c>
      <c r="AH44" s="42" t="s">
        <v>77</v>
      </c>
      <c r="AI44" s="42" t="s">
        <v>77</v>
      </c>
      <c r="AJ44" s="42" t="s">
        <v>77</v>
      </c>
      <c r="AK44" s="42" t="s">
        <v>90</v>
      </c>
      <c r="AL44" t="str">
        <f>VLOOKUP($Q44,武学奇术!$A:$ZZ,25,FALSE)</f>
        <v>横刀</v>
      </c>
      <c r="AM44" s="27">
        <f>VLOOKUP($Q44,武学奇术!$A:$ZZ,26,FALSE)</f>
        <v>2.4495</v>
      </c>
      <c r="AN44" s="28">
        <f>VLOOKUP($Q44,武学奇术!$A:$ZZ,27,FALSE)*(1+IF(OR($AL44=$F$4,$AL44=$F$5),$B$22,0))</f>
        <v>1015.5</v>
      </c>
      <c r="AO44" s="27">
        <f>VLOOKUP($Q44,武学奇术!$A:$ZZ,28,FALSE)</f>
        <v>3.6743</v>
      </c>
      <c r="AP44" s="28">
        <f>VLOOKUP($Q44,武学奇术!$A:$ZZ,29,FALSE)*(1+IF(OR($AL44=$F$4,$AL44=$F$5),$B$22,0))</f>
        <v>552</v>
      </c>
      <c r="AQ44" s="27" cm="1">
        <f t="array" ref="AQ44">$G$3+IFERROR(VLOOKUP($AL44,$F$4:$G$7,2,FALSE),0)+VLOOKUP($Q44,武学奇术!$A:$ZZ,2,FALSE)+SUM(_xlfn.XLOOKUP($R44:$AK44,增益!$A:$A,增益!$B:$B,0))</f>
        <v>0.4489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3636.7</v>
      </c>
      <c r="AT44" cm="1">
        <f t="array" ref="AT44">$E$10*(1+$AR44)+VLOOKUP($Q44,武学奇术!$A:$ZZ,4,FALSE)+SUM(_xlfn.XLOOKUP($R44:$AK44,增益!$A:$A,增益!$D:$D,0))-$I$2</f>
        <v>3636.7</v>
      </c>
      <c r="AU44" s="34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0.427</v>
      </c>
      <c r="AV44" s="34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4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4" cm="1">
        <f t="array" ref="BA44">$G$11+VLOOKUP($Q44,武学奇术!$A:$ZZ,10,FALSE)+SUM(_xlfn.XLOOKUP($R44:$AK44,增益!$A:$A,增益!$J:$J,0))</f>
        <v>0</v>
      </c>
      <c r="BB44">
        <f t="shared" si="14"/>
        <v>591.9</v>
      </c>
      <c r="BC44">
        <f t="shared" si="15"/>
        <v>1600.3</v>
      </c>
      <c r="BD44" s="34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0.09</v>
      </c>
      <c r="BE44" s="34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4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4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4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4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0.9859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7" cm="1">
        <f t="array" ref="BP44">1+$B$13+VLOOKUP($Q44,武学奇术!$A:$ZZ,18,FALSE)+SUM(_xlfn.XLOOKUP($R44:$AK44,增益!$A:$A,增益!$R:$R,0))</f>
        <v>1.95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7" cm="1">
        <f t="array" ref="BR44">1+$B$14+VLOOKUP($Q44,武学奇术!$A:$ZZ,20,FALSE)+SUM(_xlfn.XLOOKUP($R44:$AK44,增益!$A:$A,增益!$T:$T,0))</f>
        <v>1.35</v>
      </c>
      <c r="BS44" s="27">
        <f t="shared" si="20"/>
        <v>0.87863408</v>
      </c>
      <c r="BT44" s="27">
        <f t="shared" si="21"/>
        <v>0.01567581</v>
      </c>
      <c r="BU44" s="27">
        <f>IF(VLOOKUP($Q44,武学奇术!$A:$ZZ,22,FALSE)=1,0,(1-$BN44))*(1-$BQ44)</f>
        <v>0.01279011</v>
      </c>
      <c r="BV44" s="27" cm="1">
        <f t="array" ref="BV44">SUM(_xlfn.XLOOKUP($R44:$AK44,增益!$A:$A,增益!$W:$W,0))+$I$5</f>
        <v>0.11</v>
      </c>
    </row>
    <row r="45" spans="1:74">
      <c r="A45" s="4" t="s">
        <v>171</v>
      </c>
      <c r="B45" s="4">
        <v>2.3</v>
      </c>
      <c r="D45" s="41"/>
      <c r="E45" s="41" t="s">
        <v>172</v>
      </c>
      <c r="K45" s="40">
        <f t="shared" si="11"/>
        <v>82225.9152579836</v>
      </c>
      <c r="L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85478.038738655</v>
      </c>
      <c r="M45" s="40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64233.7527543757</v>
      </c>
      <c r="N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42739.0193693275</v>
      </c>
      <c r="O45" s="40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37897.4811428212</v>
      </c>
      <c r="P45" s="41">
        <v>1</v>
      </c>
      <c r="Q45" s="42" t="s">
        <v>180</v>
      </c>
      <c r="R45" s="42" t="s">
        <v>103</v>
      </c>
      <c r="S45" s="42" t="s">
        <v>77</v>
      </c>
      <c r="T45" s="42" t="s">
        <v>77</v>
      </c>
      <c r="U45" s="42" t="s">
        <v>121</v>
      </c>
      <c r="V45" s="42" t="s">
        <v>77</v>
      </c>
      <c r="W45" s="42" t="s">
        <v>77</v>
      </c>
      <c r="X45" s="42" t="s">
        <v>176</v>
      </c>
      <c r="Y45" s="42" t="s">
        <v>77</v>
      </c>
      <c r="Z45" s="42" t="s">
        <v>77</v>
      </c>
      <c r="AA45" s="42" t="s">
        <v>73</v>
      </c>
      <c r="AB45" s="42" t="s">
        <v>89</v>
      </c>
      <c r="AC45" s="42" t="s">
        <v>77</v>
      </c>
      <c r="AD45" s="42" t="s">
        <v>80</v>
      </c>
      <c r="AE45" s="42" t="s">
        <v>81</v>
      </c>
      <c r="AF45" s="42" t="s">
        <v>82</v>
      </c>
      <c r="AG45" s="42" t="s">
        <v>77</v>
      </c>
      <c r="AH45" s="42" t="s">
        <v>77</v>
      </c>
      <c r="AI45" s="42" t="s">
        <v>77</v>
      </c>
      <c r="AJ45" s="42" t="s">
        <v>77</v>
      </c>
      <c r="AK45" s="42" t="s">
        <v>90</v>
      </c>
      <c r="AL45" t="str">
        <f>VLOOKUP($Q45,武学奇术!$A:$ZZ,25,FALSE)</f>
        <v>横刀</v>
      </c>
      <c r="AM45" s="27">
        <f>VLOOKUP($Q45,武学奇术!$A:$ZZ,26,FALSE)</f>
        <v>2.8245</v>
      </c>
      <c r="AN45" s="28">
        <f>VLOOKUP($Q45,武学奇术!$A:$ZZ,27,FALSE)*(1+IF(OR($AL45=$F$4,$AL45=$F$5),$B$22,0))</f>
        <v>1173</v>
      </c>
      <c r="AO45" s="27">
        <f>VLOOKUP($Q45,武学奇术!$A:$ZZ,28,FALSE)</f>
        <v>4.236808</v>
      </c>
      <c r="AP45" s="28">
        <f>VLOOKUP($Q45,武学奇术!$A:$ZZ,29,FALSE)*(1+IF(OR($AL45=$F$4,$AL45=$F$5),$B$22,0))</f>
        <v>637.5</v>
      </c>
      <c r="AQ45" s="27" cm="1">
        <f t="array" ref="AQ45">$G$3+IFERROR(VLOOKUP($AL45,$F$4:$G$7,2,FALSE),0)+VLOOKUP($Q45,武学奇术!$A:$ZZ,2,FALSE)+SUM(_xlfn.XLOOKUP($R45:$AK45,增益!$A:$A,增益!$B:$B,0))</f>
        <v>0.6289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3636.7</v>
      </c>
      <c r="AT45" cm="1">
        <f t="array" ref="AT45">$E$10*(1+$AR45)+VLOOKUP($Q45,武学奇术!$A:$ZZ,4,FALSE)+SUM(_xlfn.XLOOKUP($R45:$AK45,增益!$A:$A,增益!$D:$D,0))-$I$2</f>
        <v>3636.7</v>
      </c>
      <c r="AU45" s="34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0.452</v>
      </c>
      <c r="AV45" s="34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4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4" cm="1">
        <f t="array" ref="BA45">$G$11+VLOOKUP($Q45,武学奇术!$A:$ZZ,10,FALSE)+SUM(_xlfn.XLOOKUP($R45:$AK45,增益!$A:$A,增益!$J:$J,0))</f>
        <v>0</v>
      </c>
      <c r="BB45">
        <f t="shared" si="14"/>
        <v>591.9</v>
      </c>
      <c r="BC45">
        <f t="shared" si="15"/>
        <v>1600.3</v>
      </c>
      <c r="BD45" s="34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0.09</v>
      </c>
      <c r="BE45" s="34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4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4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4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4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0.9859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7" cm="1">
        <f t="array" ref="BP45">1+$B$13+VLOOKUP($Q45,武学奇术!$A:$ZZ,18,FALSE)+SUM(_xlfn.XLOOKUP($R45:$AK45,增益!$A:$A,增益!$R:$R,0))</f>
        <v>2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7" cm="1">
        <f t="array" ref="BR45">1+$B$14+VLOOKUP($Q45,武学奇术!$A:$ZZ,20,FALSE)+SUM(_xlfn.XLOOKUP($R45:$AK45,增益!$A:$A,增益!$T:$T,0))</f>
        <v>1.35</v>
      </c>
      <c r="BS45" s="27">
        <f t="shared" si="20"/>
        <v>0.87863408</v>
      </c>
      <c r="BT45" s="27">
        <f t="shared" si="21"/>
        <v>0.01567581</v>
      </c>
      <c r="BU45" s="27">
        <f>IF(VLOOKUP($Q45,武学奇术!$A:$ZZ,22,FALSE)=1,0,(1-$BN45))*(1-$BQ45)</f>
        <v>0.01279011</v>
      </c>
      <c r="BV45" s="27" cm="1">
        <f t="array" ref="BV45">SUM(_xlfn.XLOOKUP($R45:$AK45,增益!$A:$A,增益!$W:$W,0))+$I$5</f>
        <v>0.11</v>
      </c>
    </row>
    <row r="46" spans="1:74">
      <c r="A46" s="4" t="s">
        <v>171</v>
      </c>
      <c r="B46" s="4">
        <v>2.3</v>
      </c>
      <c r="D46" s="41"/>
      <c r="E46" s="41"/>
      <c r="K46" s="40">
        <f t="shared" si="11"/>
        <v>33589.0533048745</v>
      </c>
      <c r="L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34885.16473184</v>
      </c>
      <c r="M46" s="40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26588.2473047908</v>
      </c>
      <c r="N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17442.58236592</v>
      </c>
      <c r="O46" s="40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15190.1667282913</v>
      </c>
      <c r="P46" s="41">
        <v>1</v>
      </c>
      <c r="Q46" s="42" t="s">
        <v>110</v>
      </c>
      <c r="R46" s="42" t="s">
        <v>103</v>
      </c>
      <c r="S46" s="42" t="s">
        <v>77</v>
      </c>
      <c r="T46" s="42" t="s">
        <v>77</v>
      </c>
      <c r="U46" s="42" t="s">
        <v>121</v>
      </c>
      <c r="V46" s="42" t="s">
        <v>77</v>
      </c>
      <c r="W46" s="42" t="s">
        <v>77</v>
      </c>
      <c r="X46" s="42" t="s">
        <v>176</v>
      </c>
      <c r="Y46" s="42" t="s">
        <v>77</v>
      </c>
      <c r="Z46" s="42" t="s">
        <v>77</v>
      </c>
      <c r="AA46" s="42" t="s">
        <v>73</v>
      </c>
      <c r="AB46" s="42" t="s">
        <v>89</v>
      </c>
      <c r="AC46" s="42" t="s">
        <v>77</v>
      </c>
      <c r="AD46" s="42" t="s">
        <v>80</v>
      </c>
      <c r="AE46" s="42" t="s">
        <v>81</v>
      </c>
      <c r="AF46" s="42" t="s">
        <v>82</v>
      </c>
      <c r="AG46" s="42" t="s">
        <v>77</v>
      </c>
      <c r="AH46" s="42" t="s">
        <v>77</v>
      </c>
      <c r="AI46" s="42" t="s">
        <v>77</v>
      </c>
      <c r="AJ46" s="42" t="s">
        <v>77</v>
      </c>
      <c r="AK46" s="42" t="s">
        <v>90</v>
      </c>
      <c r="AL46" t="str">
        <f>VLOOKUP($Q46,武学奇术!$A:$ZZ,25,FALSE)</f>
        <v>横刀</v>
      </c>
      <c r="AM46" s="27">
        <f>VLOOKUP($Q46,武学奇术!$A:$ZZ,26,FALSE)</f>
        <v>1.4</v>
      </c>
      <c r="AN46" s="28">
        <f>VLOOKUP($Q46,武学奇术!$A:$ZZ,27,FALSE)*(1+IF(OR($AL46=$F$4,$AL46=$F$5),$B$22,0))</f>
        <v>0</v>
      </c>
      <c r="AO46" s="27">
        <f>VLOOKUP($Q46,武学奇术!$A:$ZZ,28,FALSE)</f>
        <v>2.1</v>
      </c>
      <c r="AP46" s="28">
        <f>VLOOKUP($Q46,武学奇术!$A:$ZZ,29,FALSE)*(1+IF(OR($AL46=$F$4,$AL46=$F$5),$B$22,0))</f>
        <v>0</v>
      </c>
      <c r="AQ46" s="27" cm="1">
        <f t="array" ref="AQ46">$G$3+IFERROR(VLOOKUP($AL46,$F$4:$G$7,2,FALSE),0)+VLOOKUP($Q46,武学奇术!$A:$ZZ,2,FALSE)+SUM(_xlfn.XLOOKUP($R46:$AK46,增益!$A:$A,增益!$B:$B,0))</f>
        <v>0.5289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3636.7</v>
      </c>
      <c r="AT46" cm="1">
        <f t="array" ref="AT46">$E$10*(1+$AR46)+VLOOKUP($Q46,武学奇术!$A:$ZZ,4,FALSE)+SUM(_xlfn.XLOOKUP($R46:$AK46,增益!$A:$A,增益!$D:$D,0))-$I$2</f>
        <v>3636.7</v>
      </c>
      <c r="AU46" s="34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0.452</v>
      </c>
      <c r="AV46" s="34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4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4" cm="1">
        <f t="array" ref="BA46">$G$11+VLOOKUP($Q46,武学奇术!$A:$ZZ,10,FALSE)+SUM(_xlfn.XLOOKUP($R46:$AK46,增益!$A:$A,增益!$J:$J,0))</f>
        <v>0</v>
      </c>
      <c r="BB46">
        <f t="shared" si="14"/>
        <v>591.9</v>
      </c>
      <c r="BC46">
        <f t="shared" si="15"/>
        <v>1600.3</v>
      </c>
      <c r="BD46" s="34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0.09</v>
      </c>
      <c r="BE46" s="34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4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4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4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4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0.9859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7" cm="1">
        <f t="array" ref="BP46">1+$B$13+VLOOKUP($Q46,武学奇术!$A:$ZZ,18,FALSE)+SUM(_xlfn.XLOOKUP($R46:$AK46,增益!$A:$A,增益!$R:$R,0))</f>
        <v>2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7" cm="1">
        <f t="array" ref="BR46">1+$B$14+VLOOKUP($Q46,武学奇术!$A:$ZZ,20,FALSE)+SUM(_xlfn.XLOOKUP($R46:$AK46,增益!$A:$A,增益!$T:$T,0))</f>
        <v>1.35</v>
      </c>
      <c r="BS46" s="27">
        <f t="shared" si="20"/>
        <v>0.87863408</v>
      </c>
      <c r="BT46" s="27">
        <f t="shared" si="21"/>
        <v>0.01567581</v>
      </c>
      <c r="BU46" s="27">
        <f>IF(VLOOKUP($Q46,武学奇术!$A:$ZZ,22,FALSE)=1,0,(1-$BN46))*(1-$BQ46)</f>
        <v>0.01279011</v>
      </c>
      <c r="BV46" s="27" cm="1">
        <f t="array" ref="BV46">SUM(_xlfn.XLOOKUP($R46:$AK46,增益!$A:$A,增益!$W:$W,0))+$I$5</f>
        <v>0.11</v>
      </c>
    </row>
    <row r="47" spans="1:74">
      <c r="A47" s="4" t="s">
        <v>171</v>
      </c>
      <c r="B47" s="4">
        <v>2.3</v>
      </c>
      <c r="D47" s="41"/>
      <c r="E47" s="41"/>
      <c r="K47" s="40">
        <f t="shared" si="11"/>
        <v>30849.5088999434</v>
      </c>
      <c r="L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31995.9564444828</v>
      </c>
      <c r="M47" s="40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24690.6061044777</v>
      </c>
      <c r="N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16408.1827920425</v>
      </c>
      <c r="O47" s="40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14527.0277289163</v>
      </c>
      <c r="P47" s="41">
        <v>1</v>
      </c>
      <c r="Q47" s="42" t="s">
        <v>162</v>
      </c>
      <c r="R47" s="42" t="s">
        <v>103</v>
      </c>
      <c r="S47" s="42" t="s">
        <v>77</v>
      </c>
      <c r="T47" s="42" t="s">
        <v>77</v>
      </c>
      <c r="U47" s="42" t="s">
        <v>87</v>
      </c>
      <c r="V47" s="42" t="s">
        <v>77</v>
      </c>
      <c r="W47" s="42" t="s">
        <v>77</v>
      </c>
      <c r="X47" s="42" t="s">
        <v>176</v>
      </c>
      <c r="Y47" s="42" t="s">
        <v>77</v>
      </c>
      <c r="Z47" s="42" t="s">
        <v>77</v>
      </c>
      <c r="AA47" s="42" t="s">
        <v>77</v>
      </c>
      <c r="AB47" s="42" t="s">
        <v>89</v>
      </c>
      <c r="AC47" s="42" t="s">
        <v>77</v>
      </c>
      <c r="AD47" s="42" t="s">
        <v>80</v>
      </c>
      <c r="AE47" s="42" t="s">
        <v>81</v>
      </c>
      <c r="AF47" s="42" t="s">
        <v>82</v>
      </c>
      <c r="AG47" s="42" t="s">
        <v>77</v>
      </c>
      <c r="AH47" s="42" t="s">
        <v>77</v>
      </c>
      <c r="AI47" s="42" t="s">
        <v>77</v>
      </c>
      <c r="AJ47" s="42" t="s">
        <v>77</v>
      </c>
      <c r="AK47" s="42" t="s">
        <v>90</v>
      </c>
      <c r="AL47" t="str">
        <f>VLOOKUP($Q47,武学奇术!$A:$ZZ,25,FALSE)</f>
        <v>横刀</v>
      </c>
      <c r="AM47" s="27">
        <f>VLOOKUP($Q47,武学奇术!$A:$ZZ,26,FALSE)</f>
        <v>1.2338</v>
      </c>
      <c r="AN47" s="28">
        <f>VLOOKUP($Q47,武学奇术!$A:$ZZ,27,FALSE)*(1+IF(OR($AL47=$F$4,$AL47=$F$5),$B$22,0))</f>
        <v>513</v>
      </c>
      <c r="AO47" s="27">
        <f>VLOOKUP($Q47,武学奇术!$A:$ZZ,28,FALSE)</f>
        <v>1.8507</v>
      </c>
      <c r="AP47" s="28">
        <f>VLOOKUP($Q47,武学奇术!$A:$ZZ,29,FALSE)*(1+IF(OR($AL47=$F$4,$AL47=$F$5),$B$22,0))</f>
        <v>279</v>
      </c>
      <c r="AQ47" s="27" cm="1">
        <f t="array" ref="AQ47">$G$3+IFERROR(VLOOKUP($AL47,$F$4:$G$7,2,FALSE),0)+VLOOKUP($Q47,武学奇术!$A:$ZZ,2,FALSE)+SUM(_xlfn.XLOOKUP($R47:$AK47,增益!$A:$A,增益!$B:$B,0))</f>
        <v>0.4489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3636.7</v>
      </c>
      <c r="AT47" cm="1">
        <f t="array" ref="AT47">$E$10*(1+$AR47)+VLOOKUP($Q47,武学奇术!$A:$ZZ,4,FALSE)+SUM(_xlfn.XLOOKUP($R47:$AK47,增益!$A:$A,增益!$D:$D,0))-$I$2</f>
        <v>3636.7</v>
      </c>
      <c r="AU47" s="34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0.427</v>
      </c>
      <c r="AV47" s="34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4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4" cm="1">
        <f t="array" ref="BA47">$G$11+VLOOKUP($Q47,武学奇术!$A:$ZZ,10,FALSE)+SUM(_xlfn.XLOOKUP($R47:$AK47,增益!$A:$A,增益!$J:$J,0))</f>
        <v>0</v>
      </c>
      <c r="BB47">
        <f t="shared" si="14"/>
        <v>591.9</v>
      </c>
      <c r="BC47">
        <f t="shared" si="15"/>
        <v>1600.3</v>
      </c>
      <c r="BD47" s="34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0.09</v>
      </c>
      <c r="BE47" s="34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4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4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4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4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0.9859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7" cm="1">
        <f t="array" ref="BP47">1+$B$13+VLOOKUP($Q47,武学奇术!$A:$ZZ,18,FALSE)+SUM(_xlfn.XLOOKUP($R47:$AK47,增益!$A:$A,增益!$R:$R,0))</f>
        <v>1.95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7" cm="1">
        <f t="array" ref="BR47">1+$B$14+VLOOKUP($Q47,武学奇术!$A:$ZZ,20,FALSE)+SUM(_xlfn.XLOOKUP($R47:$AK47,增益!$A:$A,增益!$T:$T,0))</f>
        <v>1.35</v>
      </c>
      <c r="BS47" s="27">
        <f t="shared" si="20"/>
        <v>0.87863408</v>
      </c>
      <c r="BT47" s="27">
        <f t="shared" si="21"/>
        <v>0.01567581</v>
      </c>
      <c r="BU47" s="27">
        <f>IF(VLOOKUP($Q47,武学奇术!$A:$ZZ,22,FALSE)=1,0,(1-$BN47))*(1-$BQ47)</f>
        <v>0.01279011</v>
      </c>
      <c r="BV47" s="27" cm="1">
        <f t="array" ref="BV47">SUM(_xlfn.XLOOKUP($R47:$AK47,增益!$A:$A,增益!$W:$W,0))+$I$5</f>
        <v>0.11</v>
      </c>
    </row>
    <row r="48" spans="1:74">
      <c r="A48" s="4" t="s">
        <v>174</v>
      </c>
      <c r="B48" s="4">
        <v>2</v>
      </c>
      <c r="D48" s="41"/>
      <c r="K48" s="40">
        <f t="shared" si="11"/>
        <v>94490.8025383509</v>
      </c>
      <c r="L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98002.207945713</v>
      </c>
      <c r="M48" s="40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75627.5957578101</v>
      </c>
      <c r="N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50257.5425362631</v>
      </c>
      <c r="O48" s="40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44494.6437704446</v>
      </c>
      <c r="P48" s="41">
        <v>1</v>
      </c>
      <c r="Q48" s="42" t="s">
        <v>164</v>
      </c>
      <c r="R48" s="42" t="s">
        <v>103</v>
      </c>
      <c r="S48" s="42" t="s">
        <v>77</v>
      </c>
      <c r="T48" s="42" t="s">
        <v>77</v>
      </c>
      <c r="U48" s="42" t="s">
        <v>87</v>
      </c>
      <c r="V48" s="42" t="s">
        <v>77</v>
      </c>
      <c r="W48" s="42" t="s">
        <v>77</v>
      </c>
      <c r="X48" s="42" t="s">
        <v>176</v>
      </c>
      <c r="Y48" s="42" t="s">
        <v>77</v>
      </c>
      <c r="Z48" s="42" t="s">
        <v>77</v>
      </c>
      <c r="AA48" s="42" t="s">
        <v>77</v>
      </c>
      <c r="AB48" s="42" t="s">
        <v>89</v>
      </c>
      <c r="AC48" s="42" t="s">
        <v>77</v>
      </c>
      <c r="AD48" s="42" t="s">
        <v>80</v>
      </c>
      <c r="AE48" s="42" t="s">
        <v>81</v>
      </c>
      <c r="AF48" s="42" t="s">
        <v>82</v>
      </c>
      <c r="AG48" s="42" t="s">
        <v>77</v>
      </c>
      <c r="AH48" s="42" t="s">
        <v>77</v>
      </c>
      <c r="AI48" s="42" t="s">
        <v>77</v>
      </c>
      <c r="AJ48" s="42" t="s">
        <v>77</v>
      </c>
      <c r="AK48" s="42" t="s">
        <v>90</v>
      </c>
      <c r="AL48" t="str">
        <f>VLOOKUP($Q48,武学奇术!$A:$ZZ,25,FALSE)</f>
        <v>横刀</v>
      </c>
      <c r="AM48" s="27">
        <f>VLOOKUP($Q48,武学奇术!$A:$ZZ,26,FALSE)</f>
        <v>3.7797</v>
      </c>
      <c r="AN48" s="28">
        <f>VLOOKUP($Q48,武学奇术!$A:$ZZ,27,FALSE)*(1+IF(OR($AL48=$F$4,$AL48=$F$5),$B$22,0))</f>
        <v>1567.5</v>
      </c>
      <c r="AO48" s="27">
        <f>VLOOKUP($Q48,武学奇术!$A:$ZZ,28,FALSE)</f>
        <v>5.6696</v>
      </c>
      <c r="AP48" s="28">
        <f>VLOOKUP($Q48,武学奇术!$A:$ZZ,29,FALSE)*(1+IF(OR($AL48=$F$4,$AL48=$F$5),$B$22,0))</f>
        <v>855</v>
      </c>
      <c r="AQ48" s="27" cm="1">
        <f t="array" ref="AQ48">$G$3+IFERROR(VLOOKUP($AL48,$F$4:$G$7,2,FALSE),0)+VLOOKUP($Q48,武学奇术!$A:$ZZ,2,FALSE)+SUM(_xlfn.XLOOKUP($R48:$AK48,增益!$A:$A,增益!$B:$B,0))</f>
        <v>0.4489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3636.7</v>
      </c>
      <c r="AT48" cm="1">
        <f t="array" ref="AT48">$E$10*(1+$AR48)+VLOOKUP($Q48,武学奇术!$A:$ZZ,4,FALSE)+SUM(_xlfn.XLOOKUP($R48:$AK48,增益!$A:$A,增益!$D:$D,0))-$I$2</f>
        <v>3636.7</v>
      </c>
      <c r="AU48" s="34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0.427</v>
      </c>
      <c r="AV48" s="34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4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4" cm="1">
        <f t="array" ref="BA48">$G$11+VLOOKUP($Q48,武学奇术!$A:$ZZ,10,FALSE)+SUM(_xlfn.XLOOKUP($R48:$AK48,增益!$A:$A,增益!$J:$J,0))</f>
        <v>0</v>
      </c>
      <c r="BB48">
        <f t="shared" si="14"/>
        <v>591.9</v>
      </c>
      <c r="BC48">
        <f t="shared" si="15"/>
        <v>1600.3</v>
      </c>
      <c r="BD48" s="34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0.09</v>
      </c>
      <c r="BE48" s="34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4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4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4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4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0.9859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7" cm="1">
        <f t="array" ref="BP48">1+$B$13+VLOOKUP($Q48,武学奇术!$A:$ZZ,18,FALSE)+SUM(_xlfn.XLOOKUP($R48:$AK48,增益!$A:$A,增益!$R:$R,0))</f>
        <v>1.95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7" cm="1">
        <f t="array" ref="BR48">1+$B$14+VLOOKUP($Q48,武学奇术!$A:$ZZ,20,FALSE)+SUM(_xlfn.XLOOKUP($R48:$AK48,增益!$A:$A,增益!$T:$T,0))</f>
        <v>1.35</v>
      </c>
      <c r="BS48" s="27">
        <f t="shared" si="20"/>
        <v>0.87863408</v>
      </c>
      <c r="BT48" s="27">
        <f t="shared" si="21"/>
        <v>0.01567581</v>
      </c>
      <c r="BU48" s="27">
        <f>IF(VLOOKUP($Q48,武学奇术!$A:$ZZ,22,FALSE)=1,0,(1-$BN48))*(1-$BQ48)</f>
        <v>0.01279011</v>
      </c>
      <c r="BV48" s="27" cm="1">
        <f t="array" ref="BV48">SUM(_xlfn.XLOOKUP($R48:$AK48,增益!$A:$A,增益!$W:$W,0))+$I$5</f>
        <v>0.11</v>
      </c>
    </row>
    <row r="49" spans="1:74">
      <c r="A49" s="4" t="s">
        <v>183</v>
      </c>
      <c r="B49" s="4">
        <v>1.6</v>
      </c>
      <c r="D49" s="41"/>
      <c r="K49" s="40">
        <f t="shared" si="11"/>
        <v>62848.0412413037</v>
      </c>
      <c r="L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65333.8111872877</v>
      </c>
      <c r="M49" s="40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49095.3534359062</v>
      </c>
      <c r="N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32666.9055936438</v>
      </c>
      <c r="O49" s="40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28966.882716246</v>
      </c>
      <c r="P49" s="41">
        <v>1</v>
      </c>
      <c r="Q49" s="42" t="s">
        <v>106</v>
      </c>
      <c r="R49" s="42" t="s">
        <v>103</v>
      </c>
      <c r="S49" s="42" t="s">
        <v>169</v>
      </c>
      <c r="T49" s="42" t="s">
        <v>77</v>
      </c>
      <c r="U49" s="42" t="s">
        <v>121</v>
      </c>
      <c r="V49" s="42" t="s">
        <v>77</v>
      </c>
      <c r="W49" s="42" t="s">
        <v>77</v>
      </c>
      <c r="X49" s="42" t="s">
        <v>176</v>
      </c>
      <c r="Y49" s="42" t="s">
        <v>77</v>
      </c>
      <c r="Z49" s="42" t="s">
        <v>77</v>
      </c>
      <c r="AA49" s="42" t="s">
        <v>73</v>
      </c>
      <c r="AB49" s="42" t="s">
        <v>89</v>
      </c>
      <c r="AC49" s="42" t="s">
        <v>77</v>
      </c>
      <c r="AD49" s="42" t="s">
        <v>80</v>
      </c>
      <c r="AE49" s="42" t="s">
        <v>81</v>
      </c>
      <c r="AF49" s="42" t="s">
        <v>82</v>
      </c>
      <c r="AG49" s="42" t="s">
        <v>77</v>
      </c>
      <c r="AH49" s="42" t="s">
        <v>77</v>
      </c>
      <c r="AI49" s="42" t="s">
        <v>77</v>
      </c>
      <c r="AJ49" s="42" t="s">
        <v>77</v>
      </c>
      <c r="AK49" s="42" t="s">
        <v>90</v>
      </c>
      <c r="AL49" t="str">
        <f>VLOOKUP($Q49,武学奇术!$A:$ZZ,25,FALSE)</f>
        <v>横刀</v>
      </c>
      <c r="AM49" s="27">
        <f>VLOOKUP($Q49,武学奇术!$A:$ZZ,26,FALSE)</f>
        <v>2.1324</v>
      </c>
      <c r="AN49" s="28">
        <f>VLOOKUP($Q49,武学奇术!$A:$ZZ,27,FALSE)*(1+IF(OR($AL49=$F$4,$AL49=$F$5),$B$22,0))</f>
        <v>885</v>
      </c>
      <c r="AO49" s="27">
        <f>VLOOKUP($Q49,武学奇术!$A:$ZZ,28,FALSE)</f>
        <v>3.1986</v>
      </c>
      <c r="AP49" s="28">
        <f>VLOOKUP($Q49,武学奇术!$A:$ZZ,29,FALSE)*(1+IF(OR($AL49=$F$4,$AL49=$F$5),$B$22,0))</f>
        <v>483</v>
      </c>
      <c r="AQ49" s="27" cm="1">
        <f t="array" ref="AQ49">$G$3+IFERROR(VLOOKUP($AL49,$F$4:$G$7,2,FALSE),0)+VLOOKUP($Q49,武学奇术!$A:$ZZ,2,FALSE)+SUM(_xlfn.XLOOKUP($R49:$AK49,增益!$A:$A,增益!$B:$B,0))</f>
        <v>0.6489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3636.7</v>
      </c>
      <c r="AT49" cm="1">
        <f t="array" ref="AT49">$E$10*(1+$AR49)+VLOOKUP($Q49,武学奇术!$A:$ZZ,4,FALSE)+SUM(_xlfn.XLOOKUP($R49:$AK49,增益!$A:$A,增益!$D:$D,0))-$I$2</f>
        <v>3636.7</v>
      </c>
      <c r="AU49" s="34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0.452</v>
      </c>
      <c r="AV49" s="34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4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4" cm="1">
        <f t="array" ref="BA49">$G$11+VLOOKUP($Q49,武学奇术!$A:$ZZ,10,FALSE)+SUM(_xlfn.XLOOKUP($R49:$AK49,增益!$A:$A,增益!$J:$J,0))</f>
        <v>0</v>
      </c>
      <c r="BB49">
        <f t="shared" si="14"/>
        <v>591.9</v>
      </c>
      <c r="BC49">
        <f t="shared" si="15"/>
        <v>1600.3</v>
      </c>
      <c r="BD49" s="34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0.09</v>
      </c>
      <c r="BE49" s="34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4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4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4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4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0.9859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7" cm="1">
        <f t="array" ref="BP49">1+$B$13+VLOOKUP($Q49,武学奇术!$A:$ZZ,18,FALSE)+SUM(_xlfn.XLOOKUP($R49:$AK49,增益!$A:$A,增益!$R:$R,0))</f>
        <v>2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7" cm="1">
        <f t="array" ref="BR49">1+$B$14+VLOOKUP($Q49,武学奇术!$A:$ZZ,20,FALSE)+SUM(_xlfn.XLOOKUP($R49:$AK49,增益!$A:$A,增益!$T:$T,0))</f>
        <v>1.35</v>
      </c>
      <c r="BS49" s="27">
        <f t="shared" si="20"/>
        <v>0.87863408</v>
      </c>
      <c r="BT49" s="27">
        <f t="shared" si="21"/>
        <v>0.01567581</v>
      </c>
      <c r="BU49" s="27">
        <f>IF(VLOOKUP($Q49,武学奇术!$A:$ZZ,22,FALSE)=1,0,(1-$BN49))*(1-$BQ49)</f>
        <v>0.01279011</v>
      </c>
      <c r="BV49" s="27" cm="1">
        <f t="array" ref="BV49">SUM(_xlfn.XLOOKUP($R49:$AK49,增益!$A:$A,增益!$W:$W,0))+$I$5</f>
        <v>0.11</v>
      </c>
    </row>
    <row r="50" spans="1:74">
      <c r="A50" s="4" t="s">
        <v>184</v>
      </c>
      <c r="B50" s="4">
        <v>1.1</v>
      </c>
      <c r="D50" s="41"/>
      <c r="K50" s="40">
        <f t="shared" si="11"/>
        <v>38780.6769981181</v>
      </c>
      <c r="L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40261.3912468902</v>
      </c>
      <c r="M50" s="40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30867.3406301547</v>
      </c>
      <c r="N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20130.6956234451</v>
      </c>
      <c r="O50" s="40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17396.6944838126</v>
      </c>
      <c r="P50" s="41">
        <v>1</v>
      </c>
      <c r="Q50" s="42" t="s">
        <v>110</v>
      </c>
      <c r="R50" s="42" t="s">
        <v>103</v>
      </c>
      <c r="S50" s="42" t="s">
        <v>169</v>
      </c>
      <c r="T50" s="42" t="s">
        <v>86</v>
      </c>
      <c r="U50" s="42" t="s">
        <v>121</v>
      </c>
      <c r="V50" s="42" t="s">
        <v>77</v>
      </c>
      <c r="W50" s="42" t="s">
        <v>77</v>
      </c>
      <c r="X50" s="42" t="s">
        <v>176</v>
      </c>
      <c r="Y50" s="42" t="s">
        <v>77</v>
      </c>
      <c r="Z50" s="42" t="s">
        <v>77</v>
      </c>
      <c r="AA50" s="42" t="s">
        <v>73</v>
      </c>
      <c r="AB50" s="42" t="s">
        <v>89</v>
      </c>
      <c r="AC50" s="42" t="s">
        <v>77</v>
      </c>
      <c r="AD50" s="42" t="s">
        <v>80</v>
      </c>
      <c r="AE50" s="42" t="s">
        <v>81</v>
      </c>
      <c r="AF50" s="42" t="s">
        <v>82</v>
      </c>
      <c r="AG50" s="42" t="s">
        <v>77</v>
      </c>
      <c r="AH50" s="42" t="s">
        <v>77</v>
      </c>
      <c r="AI50" s="42" t="s">
        <v>77</v>
      </c>
      <c r="AJ50" s="42" t="s">
        <v>77</v>
      </c>
      <c r="AK50" s="42" t="s">
        <v>90</v>
      </c>
      <c r="AL50" t="str">
        <f>VLOOKUP($Q50,武学奇术!$A:$ZZ,25,FALSE)</f>
        <v>横刀</v>
      </c>
      <c r="AM50" s="27">
        <f>VLOOKUP($Q50,武学奇术!$A:$ZZ,26,FALSE)</f>
        <v>1.4</v>
      </c>
      <c r="AN50" s="28">
        <f>VLOOKUP($Q50,武学奇术!$A:$ZZ,27,FALSE)*(1+IF(OR($AL50=$F$4,$AL50=$F$5),$B$22,0))</f>
        <v>0</v>
      </c>
      <c r="AO50" s="27">
        <f>VLOOKUP($Q50,武学奇术!$A:$ZZ,28,FALSE)</f>
        <v>2.1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0.7289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3636.7</v>
      </c>
      <c r="AT50" cm="1">
        <f t="array" ref="AT50">$E$10*(1+$AR50)+VLOOKUP($Q50,武学奇术!$A:$ZZ,4,FALSE)+SUM(_xlfn.XLOOKUP($R50:$AK50,增益!$A:$A,增益!$D:$D,0))-$I$2</f>
        <v>3636.7</v>
      </c>
      <c r="AU50" s="34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0.452</v>
      </c>
      <c r="AV50" s="34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4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4" cm="1">
        <f t="array" ref="BA50">$G$11+VLOOKUP($Q50,武学奇术!$A:$ZZ,10,FALSE)+SUM(_xlfn.XLOOKUP($R50:$AK50,增益!$A:$A,增益!$J:$J,0))</f>
        <v>0</v>
      </c>
      <c r="BB50">
        <f t="shared" si="14"/>
        <v>591.9</v>
      </c>
      <c r="BC50">
        <f t="shared" si="15"/>
        <v>1600.3</v>
      </c>
      <c r="BD50" s="34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0.17</v>
      </c>
      <c r="BE50" s="34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4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4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4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4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0.9859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7" cm="1">
        <f t="array" ref="BP50">1+$B$13+VLOOKUP($Q50,武学奇术!$A:$ZZ,18,FALSE)+SUM(_xlfn.XLOOKUP($R50:$AK50,增益!$A:$A,增益!$R:$R,0))</f>
        <v>2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7" cm="1">
        <f t="array" ref="BR50">1+$B$14+VLOOKUP($Q50,武学奇术!$A:$ZZ,20,FALSE)+SUM(_xlfn.XLOOKUP($R50:$AK50,增益!$A:$A,增益!$T:$T,0))</f>
        <v>1.35</v>
      </c>
      <c r="BS50" s="27">
        <f t="shared" si="20"/>
        <v>0.87863408</v>
      </c>
      <c r="BT50" s="27">
        <f t="shared" si="21"/>
        <v>0.01567581</v>
      </c>
      <c r="BU50" s="27">
        <f>IF(VLOOKUP($Q50,武学奇术!$A:$ZZ,22,FALSE)=1,0,(1-$BN50))*(1-$BQ50)</f>
        <v>0.01279011</v>
      </c>
      <c r="BV50" s="27" cm="1">
        <f t="array" ref="BV50">SUM(_xlfn.XLOOKUP($R50:$AK50,增益!$A:$A,增益!$W:$W,0))+$I$5</f>
        <v>0.11</v>
      </c>
    </row>
    <row r="51" spans="1:74">
      <c r="A51" s="4" t="s">
        <v>185</v>
      </c>
      <c r="B51" s="4">
        <v>1.17</v>
      </c>
      <c r="D51" s="41"/>
      <c r="K51" s="40">
        <f t="shared" si="11"/>
        <v>22639.7148254898</v>
      </c>
      <c r="L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23504.1388357221</v>
      </c>
      <c r="M51" s="40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18019.9997365149</v>
      </c>
      <c r="N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11752.0694178611</v>
      </c>
      <c r="O51" s="40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10155.9908827481</v>
      </c>
      <c r="P51" s="41">
        <v>1</v>
      </c>
      <c r="Q51" s="42" t="s">
        <v>112</v>
      </c>
      <c r="R51" s="42" t="s">
        <v>103</v>
      </c>
      <c r="S51" s="42" t="s">
        <v>169</v>
      </c>
      <c r="T51" s="42" t="s">
        <v>86</v>
      </c>
      <c r="U51" s="42" t="s">
        <v>121</v>
      </c>
      <c r="V51" s="42" t="s">
        <v>77</v>
      </c>
      <c r="W51" s="42" t="s">
        <v>77</v>
      </c>
      <c r="X51" s="42" t="s">
        <v>176</v>
      </c>
      <c r="Y51" s="42" t="s">
        <v>186</v>
      </c>
      <c r="Z51" s="42" t="s">
        <v>187</v>
      </c>
      <c r="AA51" s="42" t="s">
        <v>73</v>
      </c>
      <c r="AB51" s="42" t="s">
        <v>89</v>
      </c>
      <c r="AC51" s="42" t="s">
        <v>77</v>
      </c>
      <c r="AD51" s="42" t="s">
        <v>80</v>
      </c>
      <c r="AE51" s="42" t="s">
        <v>81</v>
      </c>
      <c r="AF51" s="42" t="s">
        <v>82</v>
      </c>
      <c r="AG51" s="42" t="s">
        <v>77</v>
      </c>
      <c r="AH51" s="42" t="s">
        <v>77</v>
      </c>
      <c r="AI51" s="42" t="s">
        <v>77</v>
      </c>
      <c r="AJ51" s="42" t="s">
        <v>77</v>
      </c>
      <c r="AK51" s="42" t="s">
        <v>90</v>
      </c>
      <c r="AL51" t="str">
        <f>VLOOKUP($Q51,武学奇术!$A:$ZZ,25,FALSE)</f>
        <v>陌刀</v>
      </c>
      <c r="AM51" s="27">
        <f>VLOOKUP($Q51,武学奇术!$A:$ZZ,26,FALSE)</f>
        <v>0.5</v>
      </c>
      <c r="AN51" s="28">
        <f>VLOOKUP($Q51,武学奇术!$A:$ZZ,27,FALSE)*(1+IF(OR($AL51=$F$4,$AL51=$F$5),$B$22,0))</f>
        <v>0</v>
      </c>
      <c r="AO51" s="27">
        <f>VLOOKUP($Q51,武学奇术!$A:$ZZ,28,FALSE)</f>
        <v>0.75</v>
      </c>
      <c r="AP51" s="28">
        <f>VLOOKUP($Q51,武学奇术!$A:$ZZ,29,FALSE)*(1+IF(OR($AL51=$F$4,$AL51=$F$5),$B$22,0))</f>
        <v>0</v>
      </c>
      <c r="AQ51" s="27" cm="1">
        <f t="array" ref="AQ51">$G$3+IFERROR(VLOOKUP($AL51,$F$4:$G$7,2,FALSE),0)+VLOOKUP($Q51,武学奇术!$A:$ZZ,2,FALSE)+SUM(_xlfn.XLOOKUP($R51:$AK51,增益!$A:$A,增益!$B:$B,0))</f>
        <v>0.8141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3636.7</v>
      </c>
      <c r="AT51" cm="1">
        <f t="array" ref="AT51">$E$10*(1+$AR51)+VLOOKUP($Q51,武学奇术!$A:$ZZ,4,FALSE)+SUM(_xlfn.XLOOKUP($R51:$AK51,增益!$A:$A,增益!$D:$D,0))-$I$2</f>
        <v>3636.7</v>
      </c>
      <c r="AU51" s="34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0.452</v>
      </c>
      <c r="AV51" s="34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4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4" cm="1">
        <f t="array" ref="BA51">$G$11+VLOOKUP($Q51,武学奇术!$A:$ZZ,10,FALSE)+SUM(_xlfn.XLOOKUP($R51:$AK51,增益!$A:$A,增益!$J:$J,0))</f>
        <v>0.1</v>
      </c>
      <c r="BB51">
        <f t="shared" si="14"/>
        <v>591.9</v>
      </c>
      <c r="BC51">
        <f t="shared" si="15"/>
        <v>1600.3</v>
      </c>
      <c r="BD51" s="34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0.17</v>
      </c>
      <c r="BE51" s="34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4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4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4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4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0.9859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7" cm="1">
        <f t="array" ref="BP51">1+$B$13+VLOOKUP($Q51,武学奇术!$A:$ZZ,18,FALSE)+SUM(_xlfn.XLOOKUP($R51:$AK51,增益!$A:$A,增益!$R:$R,0))</f>
        <v>2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7" cm="1">
        <f t="array" ref="BR51">1+$B$14+VLOOKUP($Q51,武学奇术!$A:$ZZ,20,FALSE)+SUM(_xlfn.XLOOKUP($R51:$AK51,增益!$A:$A,增益!$T:$T,0))</f>
        <v>1.35</v>
      </c>
      <c r="BS51" s="27">
        <f t="shared" si="20"/>
        <v>0.87863408</v>
      </c>
      <c r="BT51" s="27">
        <f t="shared" si="21"/>
        <v>0.01567581</v>
      </c>
      <c r="BU51" s="27">
        <f>IF(VLOOKUP($Q51,武学奇术!$A:$ZZ,22,FALSE)=1,0,(1-$BN51))*(1-$BQ51)</f>
        <v>0.01279011</v>
      </c>
      <c r="BV51" s="27" cm="1">
        <f t="array" ref="BV51">SUM(_xlfn.XLOOKUP($R51:$AK51,增益!$A:$A,增益!$W:$W,0))+$I$5</f>
        <v>0.31</v>
      </c>
    </row>
    <row r="52" spans="1:74">
      <c r="A52" s="4" t="s">
        <v>188</v>
      </c>
      <c r="B52" s="4">
        <v>0.9</v>
      </c>
      <c r="K52" s="40">
        <f t="shared" si="11"/>
        <v>44422.8223995148</v>
      </c>
      <c r="L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44422.8223995148</v>
      </c>
      <c r="M52" s="40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32435.9995257268</v>
      </c>
      <c r="N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21153.7249521499</v>
      </c>
      <c r="O52" s="40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18280.7835889467</v>
      </c>
      <c r="P52" s="41">
        <v>1</v>
      </c>
      <c r="Q52" s="42" t="s">
        <v>117</v>
      </c>
      <c r="R52" s="42" t="s">
        <v>103</v>
      </c>
      <c r="S52" s="42" t="s">
        <v>169</v>
      </c>
      <c r="T52" s="42" t="s">
        <v>86</v>
      </c>
      <c r="U52" s="42" t="s">
        <v>121</v>
      </c>
      <c r="V52" s="42" t="s">
        <v>118</v>
      </c>
      <c r="W52" s="42" t="s">
        <v>77</v>
      </c>
      <c r="X52" s="42" t="s">
        <v>176</v>
      </c>
      <c r="Y52" s="42" t="s">
        <v>186</v>
      </c>
      <c r="Z52" s="42" t="s">
        <v>187</v>
      </c>
      <c r="AA52" s="42" t="s">
        <v>73</v>
      </c>
      <c r="AB52" s="42" t="s">
        <v>89</v>
      </c>
      <c r="AC52" s="42" t="s">
        <v>77</v>
      </c>
      <c r="AD52" s="42" t="s">
        <v>80</v>
      </c>
      <c r="AE52" s="42" t="s">
        <v>81</v>
      </c>
      <c r="AF52" s="42" t="s">
        <v>82</v>
      </c>
      <c r="AG52" s="42" t="s">
        <v>77</v>
      </c>
      <c r="AH52" s="42" t="s">
        <v>77</v>
      </c>
      <c r="AI52" s="42" t="s">
        <v>77</v>
      </c>
      <c r="AJ52" s="42" t="s">
        <v>77</v>
      </c>
      <c r="AK52" s="42" t="s">
        <v>90</v>
      </c>
      <c r="AL52" t="str">
        <f>VLOOKUP($Q52,武学奇术!$A:$ZZ,25,FALSE)</f>
        <v>陌刀</v>
      </c>
      <c r="AM52" s="27">
        <f>VLOOKUP($Q52,武学奇术!$A:$ZZ,26,FALSE)</f>
        <v>0.9</v>
      </c>
      <c r="AN52" s="28">
        <f>VLOOKUP($Q52,武学奇术!$A:$ZZ,27,FALSE)*(1+IF(OR($AL52=$F$4,$AL52=$F$5),$B$22,0))</f>
        <v>0</v>
      </c>
      <c r="AO52" s="27">
        <f>VLOOKUP($Q52,武学奇术!$A:$ZZ,28,FALSE)</f>
        <v>1.35</v>
      </c>
      <c r="AP52" s="28">
        <f>VLOOKUP($Q52,武学奇术!$A:$ZZ,29,FALSE)*(1+IF(OR($AL52=$F$4,$AL52=$F$5),$B$22,0))</f>
        <v>0</v>
      </c>
      <c r="AQ52" s="27" cm="1">
        <f t="array" ref="AQ52">$G$3+IFERROR(VLOOKUP($AL52,$F$4:$G$7,2,FALSE),0)+VLOOKUP($Q52,武学奇术!$A:$ZZ,2,FALSE)+SUM(_xlfn.XLOOKUP($R52:$AK52,增益!$A:$A,增益!$B:$B,0))</f>
        <v>0.8141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3636.7</v>
      </c>
      <c r="AT52" cm="1">
        <f t="array" ref="AT52">$E$10*(1+$AR52)+VLOOKUP($Q52,武学奇术!$A:$ZZ,4,FALSE)+SUM(_xlfn.XLOOKUP($R52:$AK52,增益!$A:$A,增益!$D:$D,0))-$I$2</f>
        <v>3636.7</v>
      </c>
      <c r="AU52" s="34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0.452</v>
      </c>
      <c r="AV52" s="34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4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4" cm="1">
        <f t="array" ref="BA52">$G$11+VLOOKUP($Q52,武学奇术!$A:$ZZ,10,FALSE)+SUM(_xlfn.XLOOKUP($R52:$AK52,增益!$A:$A,增益!$J:$J,0))</f>
        <v>0.1</v>
      </c>
      <c r="BB52">
        <f t="shared" si="14"/>
        <v>591.9</v>
      </c>
      <c r="BC52">
        <f t="shared" si="15"/>
        <v>1600.3</v>
      </c>
      <c r="BD52" s="34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0.17</v>
      </c>
      <c r="BE52" s="34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4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4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4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4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1</v>
      </c>
      <c r="BP52" s="27" cm="1">
        <f t="array" ref="BP52">1+$B$13+VLOOKUP($Q52,武学奇术!$A:$ZZ,18,FALSE)+SUM(_xlfn.XLOOKUP($R52:$AK52,增益!$A:$A,增益!$R:$R,0))</f>
        <v>2.1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</v>
      </c>
      <c r="BR52" s="27" cm="1">
        <f t="array" ref="BR52">1+$B$14+VLOOKUP($Q52,武学奇术!$A:$ZZ,20,FALSE)+SUM(_xlfn.XLOOKUP($R52:$AK52,增益!$A:$A,增益!$T:$T,0))</f>
        <v>1.35</v>
      </c>
      <c r="BS52" s="27">
        <f t="shared" si="20"/>
        <v>1</v>
      </c>
      <c r="BT52" s="27">
        <f t="shared" si="21"/>
        <v>0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0.31</v>
      </c>
    </row>
    <row r="53" spans="1:74">
      <c r="A53" s="4" t="s">
        <v>189</v>
      </c>
      <c r="B53" s="4">
        <v>0.13</v>
      </c>
      <c r="K53" s="40">
        <f t="shared" si="11"/>
        <v>426282.859545917</v>
      </c>
      <c r="L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426282.859545917</v>
      </c>
      <c r="M53" s="40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306650.313138654</v>
      </c>
      <c r="N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202991.837879008</v>
      </c>
      <c r="O53" s="40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178835.29565531</v>
      </c>
      <c r="P53" s="41">
        <v>1</v>
      </c>
      <c r="Q53" s="42" t="s">
        <v>120</v>
      </c>
      <c r="R53" s="42" t="s">
        <v>103</v>
      </c>
      <c r="S53" s="42" t="s">
        <v>169</v>
      </c>
      <c r="T53" s="42" t="s">
        <v>86</v>
      </c>
      <c r="U53" s="42" t="s">
        <v>121</v>
      </c>
      <c r="V53" s="42" t="s">
        <v>118</v>
      </c>
      <c r="W53" s="42" t="s">
        <v>77</v>
      </c>
      <c r="X53" s="42" t="s">
        <v>176</v>
      </c>
      <c r="Y53" s="42" t="s">
        <v>186</v>
      </c>
      <c r="Z53" s="42" t="s">
        <v>187</v>
      </c>
      <c r="AA53" s="42" t="s">
        <v>73</v>
      </c>
      <c r="AB53" s="42" t="s">
        <v>89</v>
      </c>
      <c r="AC53" s="42" t="s">
        <v>77</v>
      </c>
      <c r="AD53" s="42" t="s">
        <v>80</v>
      </c>
      <c r="AE53" s="42" t="s">
        <v>81</v>
      </c>
      <c r="AF53" s="42" t="s">
        <v>82</v>
      </c>
      <c r="AG53" s="42" t="s">
        <v>77</v>
      </c>
      <c r="AH53" s="42" t="s">
        <v>77</v>
      </c>
      <c r="AI53" s="42" t="s">
        <v>77</v>
      </c>
      <c r="AJ53" s="42" t="s">
        <v>77</v>
      </c>
      <c r="AK53" s="42" t="s">
        <v>90</v>
      </c>
      <c r="AL53" t="str">
        <f>VLOOKUP($Q53,武学奇术!$A:$ZZ,25,FALSE)</f>
        <v>陌刀</v>
      </c>
      <c r="AM53" s="27">
        <f>VLOOKUP($Q53,武学奇术!$A:$ZZ,26,FALSE)</f>
        <v>7.5674</v>
      </c>
      <c r="AN53" s="28">
        <f>VLOOKUP($Q53,武学奇术!$A:$ZZ,27,FALSE)*(1+IF(OR($AL53=$F$4,$AL53=$F$5),$B$22,0))</f>
        <v>3139.5</v>
      </c>
      <c r="AO53" s="27">
        <f>VLOOKUP($Q53,武学奇术!$A:$ZZ,28,FALSE)</f>
        <v>11.3512</v>
      </c>
      <c r="AP53" s="28">
        <f>VLOOKUP($Q53,武学奇术!$A:$ZZ,29,FALSE)*(1+IF(OR($AL53=$F$4,$AL53=$F$5),$B$22,0))</f>
        <v>1710</v>
      </c>
      <c r="AQ53" s="27" cm="1">
        <f t="array" ref="AQ53">$G$3+IFERROR(VLOOKUP($AL53,$F$4:$G$7,2,FALSE),0)+VLOOKUP($Q53,武学奇术!$A:$ZZ,2,FALSE)+SUM(_xlfn.XLOOKUP($R53:$AK53,增益!$A:$A,增益!$B:$B,0))</f>
        <v>0.8141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3636.7</v>
      </c>
      <c r="AT53" cm="1">
        <f t="array" ref="AT53">$E$10*(1+$AR53)+VLOOKUP($Q53,武学奇术!$A:$ZZ,4,FALSE)+SUM(_xlfn.XLOOKUP($R53:$AK53,增益!$A:$A,增益!$D:$D,0))-$I$2</f>
        <v>3636.7</v>
      </c>
      <c r="AU53" s="34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0.452</v>
      </c>
      <c r="AV53" s="34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4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4" cm="1">
        <f t="array" ref="BA53">$G$11+VLOOKUP($Q53,武学奇术!$A:$ZZ,10,FALSE)+SUM(_xlfn.XLOOKUP($R53:$AK53,增益!$A:$A,增益!$J:$J,0))</f>
        <v>0.1</v>
      </c>
      <c r="BB53">
        <f t="shared" si="14"/>
        <v>591.9</v>
      </c>
      <c r="BC53">
        <f t="shared" si="15"/>
        <v>1600.3</v>
      </c>
      <c r="BD53" s="34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0.17</v>
      </c>
      <c r="BE53" s="34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4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4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4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4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1</v>
      </c>
      <c r="BP53" s="27" cm="1">
        <f t="array" ref="BP53">1+$B$13+VLOOKUP($Q53,武学奇术!$A:$ZZ,18,FALSE)+SUM(_xlfn.XLOOKUP($R53:$AK53,增益!$A:$A,增益!$R:$R,0))</f>
        <v>2.1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</v>
      </c>
      <c r="BR53" s="27" cm="1">
        <f t="array" ref="BR53">1+$B$14+VLOOKUP($Q53,武学奇术!$A:$ZZ,20,FALSE)+SUM(_xlfn.XLOOKUP($R53:$AK53,增益!$A:$A,增益!$T:$T,0))</f>
        <v>1.35</v>
      </c>
      <c r="BS53" s="27">
        <f t="shared" si="20"/>
        <v>1</v>
      </c>
      <c r="BT53" s="27">
        <f t="shared" si="21"/>
        <v>0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0.31</v>
      </c>
    </row>
    <row r="54" spans="1:74">
      <c r="A54" t="s">
        <v>178</v>
      </c>
      <c r="B54">
        <v>1</v>
      </c>
      <c r="K54" s="40">
        <f t="shared" si="11"/>
        <v>74038.0373325247</v>
      </c>
      <c r="L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74038.0373325247</v>
      </c>
      <c r="M54" s="40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54059.9992095446</v>
      </c>
      <c r="N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35256.2082535832</v>
      </c>
      <c r="O54" s="40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30467.9726482444</v>
      </c>
      <c r="P54" s="41">
        <v>3</v>
      </c>
      <c r="Q54" s="42" t="s">
        <v>125</v>
      </c>
      <c r="R54" s="42" t="s">
        <v>103</v>
      </c>
      <c r="S54" s="42" t="s">
        <v>169</v>
      </c>
      <c r="T54" s="42" t="s">
        <v>86</v>
      </c>
      <c r="U54" s="42" t="s">
        <v>121</v>
      </c>
      <c r="V54" s="42" t="s">
        <v>118</v>
      </c>
      <c r="W54" s="42" t="s">
        <v>77</v>
      </c>
      <c r="X54" s="42" t="s">
        <v>176</v>
      </c>
      <c r="Y54" s="42" t="s">
        <v>186</v>
      </c>
      <c r="Z54" s="42" t="s">
        <v>187</v>
      </c>
      <c r="AA54" s="42" t="s">
        <v>73</v>
      </c>
      <c r="AB54" s="42" t="s">
        <v>95</v>
      </c>
      <c r="AC54" s="42" t="s">
        <v>77</v>
      </c>
      <c r="AD54" s="42" t="s">
        <v>80</v>
      </c>
      <c r="AE54" s="42" t="s">
        <v>81</v>
      </c>
      <c r="AF54" s="42" t="s">
        <v>82</v>
      </c>
      <c r="AG54" s="42" t="s">
        <v>77</v>
      </c>
      <c r="AH54" s="42" t="s">
        <v>77</v>
      </c>
      <c r="AI54" s="42" t="s">
        <v>77</v>
      </c>
      <c r="AJ54" s="42" t="s">
        <v>77</v>
      </c>
      <c r="AK54" s="42" t="s">
        <v>90</v>
      </c>
      <c r="AL54" t="str">
        <f>VLOOKUP($Q54,武学奇术!$A:$ZZ,25,FALSE)</f>
        <v>陌刀</v>
      </c>
      <c r="AM54" s="27">
        <f>VLOOKUP($Q54,武学奇术!$A:$ZZ,26,FALSE)</f>
        <v>0.5</v>
      </c>
      <c r="AN54" s="28">
        <f>VLOOKUP($Q54,武学奇术!$A:$ZZ,27,FALSE)*(1+IF(OR($AL54=$F$4,$AL54=$F$5),$B$22,0))</f>
        <v>0</v>
      </c>
      <c r="AO54" s="27">
        <f>VLOOKUP($Q54,武学奇术!$A:$ZZ,28,FALSE)</f>
        <v>0.75</v>
      </c>
      <c r="AP54" s="28">
        <f>VLOOKUP($Q54,武学奇术!$A:$ZZ,29,FALSE)*(1+IF(OR($AL54=$F$4,$AL54=$F$5),$B$22,0))</f>
        <v>0</v>
      </c>
      <c r="AQ54" s="27" cm="1">
        <f t="array" ref="AQ54">$G$3+IFERROR(VLOOKUP($AL54,$F$4:$G$7,2,FALSE),0)+VLOOKUP($Q54,武学奇术!$A:$ZZ,2,FALSE)+SUM(_xlfn.XLOOKUP($R54:$AK54,增益!$A:$A,增益!$B:$B,0))</f>
        <v>0.8141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3636.7</v>
      </c>
      <c r="AT54" cm="1">
        <f t="array" ref="AT54">$E$10*(1+$AR54)+VLOOKUP($Q54,武学奇术!$A:$ZZ,4,FALSE)+SUM(_xlfn.XLOOKUP($R54:$AK54,增益!$A:$A,增益!$D:$D,0))-$I$2</f>
        <v>3636.7</v>
      </c>
      <c r="AU54" s="34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0.452</v>
      </c>
      <c r="AV54" s="34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4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4" cm="1">
        <f t="array" ref="BA54">$G$11+VLOOKUP($Q54,武学奇术!$A:$ZZ,10,FALSE)+SUM(_xlfn.XLOOKUP($R54:$AK54,增益!$A:$A,增益!$J:$J,0))</f>
        <v>0.1</v>
      </c>
      <c r="BB54">
        <f t="shared" si="14"/>
        <v>591.9</v>
      </c>
      <c r="BC54">
        <f t="shared" si="15"/>
        <v>1600.3</v>
      </c>
      <c r="BD54" s="34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0.17</v>
      </c>
      <c r="BE54" s="34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4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4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4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4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1</v>
      </c>
      <c r="BP54" s="27" cm="1">
        <f t="array" ref="BP54">1+$B$13+VLOOKUP($Q54,武学奇术!$A:$ZZ,18,FALSE)+SUM(_xlfn.XLOOKUP($R54:$AK54,增益!$A:$A,增益!$R:$R,0))</f>
        <v>2.1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</v>
      </c>
      <c r="BR54" s="27" cm="1">
        <f t="array" ref="BR54">1+$B$14+VLOOKUP($Q54,武学奇术!$A:$ZZ,20,FALSE)+SUM(_xlfn.XLOOKUP($R54:$AK54,增益!$A:$A,增益!$T:$T,0))</f>
        <v>1.35</v>
      </c>
      <c r="BS54" s="27">
        <f t="shared" si="20"/>
        <v>1</v>
      </c>
      <c r="BT54" s="27">
        <f t="shared" si="21"/>
        <v>0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0.31</v>
      </c>
    </row>
    <row r="55" spans="1:74">
      <c r="A55" t="s">
        <v>164</v>
      </c>
      <c r="B55">
        <v>2.3</v>
      </c>
      <c r="D55" s="41" t="s">
        <v>168</v>
      </c>
      <c r="K55" s="40">
        <f t="shared" si="11"/>
        <v>133268.467198544</v>
      </c>
      <c r="L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133268.467198544</v>
      </c>
      <c r="M55" s="40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97307.9985771803</v>
      </c>
      <c r="N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63461.1748564498</v>
      </c>
      <c r="O55" s="40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54842.35076684</v>
      </c>
      <c r="P55" s="41">
        <v>3</v>
      </c>
      <c r="Q55" s="42" t="s">
        <v>117</v>
      </c>
      <c r="R55" s="42" t="s">
        <v>103</v>
      </c>
      <c r="S55" s="42" t="s">
        <v>169</v>
      </c>
      <c r="T55" s="42" t="s">
        <v>86</v>
      </c>
      <c r="U55" s="42" t="s">
        <v>121</v>
      </c>
      <c r="V55" s="42" t="s">
        <v>118</v>
      </c>
      <c r="W55" s="42" t="s">
        <v>77</v>
      </c>
      <c r="X55" s="42" t="s">
        <v>176</v>
      </c>
      <c r="Y55" s="42" t="s">
        <v>186</v>
      </c>
      <c r="Z55" s="42" t="s">
        <v>187</v>
      </c>
      <c r="AA55" s="42" t="s">
        <v>73</v>
      </c>
      <c r="AB55" s="42" t="s">
        <v>95</v>
      </c>
      <c r="AC55" s="42" t="s">
        <v>77</v>
      </c>
      <c r="AD55" s="42" t="s">
        <v>80</v>
      </c>
      <c r="AE55" s="42" t="s">
        <v>81</v>
      </c>
      <c r="AF55" s="42" t="s">
        <v>82</v>
      </c>
      <c r="AG55" s="42" t="s">
        <v>77</v>
      </c>
      <c r="AH55" s="42" t="s">
        <v>77</v>
      </c>
      <c r="AI55" s="42" t="s">
        <v>77</v>
      </c>
      <c r="AJ55" s="42" t="s">
        <v>77</v>
      </c>
      <c r="AK55" s="42" t="s">
        <v>90</v>
      </c>
      <c r="AL55" t="str">
        <f>VLOOKUP($Q55,武学奇术!$A:$ZZ,25,FALSE)</f>
        <v>陌刀</v>
      </c>
      <c r="AM55" s="27">
        <f>VLOOKUP($Q55,武学奇术!$A:$ZZ,26,FALSE)</f>
        <v>0.9</v>
      </c>
      <c r="AN55" s="28">
        <f>VLOOKUP($Q55,武学奇术!$A:$ZZ,27,FALSE)*(1+IF(OR($AL55=$F$4,$AL55=$F$5),$B$22,0))</f>
        <v>0</v>
      </c>
      <c r="AO55" s="27">
        <f>VLOOKUP($Q55,武学奇术!$A:$ZZ,28,FALSE)</f>
        <v>1.35</v>
      </c>
      <c r="AP55" s="28">
        <f>VLOOKUP($Q55,武学奇术!$A:$ZZ,29,FALSE)*(1+IF(OR($AL55=$F$4,$AL55=$F$5),$B$22,0))</f>
        <v>0</v>
      </c>
      <c r="AQ55" s="27" cm="1">
        <f t="array" ref="AQ55">$G$3+IFERROR(VLOOKUP($AL55,$F$4:$G$7,2,FALSE),0)+VLOOKUP($Q55,武学奇术!$A:$ZZ,2,FALSE)+SUM(_xlfn.XLOOKUP($R55:$AK55,增益!$A:$A,增益!$B:$B,0))</f>
        <v>0.8141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3636.7</v>
      </c>
      <c r="AT55" cm="1">
        <f t="array" ref="AT55">$E$10*(1+$AR55)+VLOOKUP($Q55,武学奇术!$A:$ZZ,4,FALSE)+SUM(_xlfn.XLOOKUP($R55:$AK55,增益!$A:$A,增益!$D:$D,0))-$I$2</f>
        <v>3636.7</v>
      </c>
      <c r="AU55" s="34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0.452</v>
      </c>
      <c r="AV55" s="34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4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4" cm="1">
        <f t="array" ref="BA55">$G$11+VLOOKUP($Q55,武学奇术!$A:$ZZ,10,FALSE)+SUM(_xlfn.XLOOKUP($R55:$AK55,增益!$A:$A,增益!$J:$J,0))</f>
        <v>0.1</v>
      </c>
      <c r="BB55">
        <f t="shared" si="14"/>
        <v>591.9</v>
      </c>
      <c r="BC55">
        <f t="shared" si="15"/>
        <v>1600.3</v>
      </c>
      <c r="BD55" s="34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0.17</v>
      </c>
      <c r="BE55" s="34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4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4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4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4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1</v>
      </c>
      <c r="BP55" s="27" cm="1">
        <f t="array" ref="BP55">1+$B$13+VLOOKUP($Q55,武学奇术!$A:$ZZ,18,FALSE)+SUM(_xlfn.XLOOKUP($R55:$AK55,增益!$A:$A,增益!$R:$R,0))</f>
        <v>2.1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</v>
      </c>
      <c r="BR55" s="27" cm="1">
        <f t="array" ref="BR55">1+$B$14+VLOOKUP($Q55,武学奇术!$A:$ZZ,20,FALSE)+SUM(_xlfn.XLOOKUP($R55:$AK55,增益!$A:$A,增益!$T:$T,0))</f>
        <v>1.35</v>
      </c>
      <c r="BS55" s="27">
        <f t="shared" si="20"/>
        <v>1</v>
      </c>
      <c r="BT55" s="27">
        <f t="shared" si="21"/>
        <v>0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0.31</v>
      </c>
    </row>
    <row r="56" spans="1:74">
      <c r="A56" t="s">
        <v>166</v>
      </c>
      <c r="B56">
        <v>1</v>
      </c>
      <c r="D56" s="41"/>
      <c r="K56" s="40">
        <f t="shared" si="11"/>
        <v>1278848.57863775</v>
      </c>
      <c r="L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1278848.57863775</v>
      </c>
      <c r="M56" s="40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919950.939415961</v>
      </c>
      <c r="N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608975.513637025</v>
      </c>
      <c r="O56" s="40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536505.88696593</v>
      </c>
      <c r="P56" s="41">
        <v>3</v>
      </c>
      <c r="Q56" s="42" t="s">
        <v>120</v>
      </c>
      <c r="R56" s="42" t="s">
        <v>103</v>
      </c>
      <c r="S56" s="42" t="s">
        <v>169</v>
      </c>
      <c r="T56" s="42" t="s">
        <v>86</v>
      </c>
      <c r="U56" s="42" t="s">
        <v>121</v>
      </c>
      <c r="V56" s="42" t="s">
        <v>118</v>
      </c>
      <c r="W56" s="42" t="s">
        <v>77</v>
      </c>
      <c r="X56" s="42" t="s">
        <v>176</v>
      </c>
      <c r="Y56" s="42" t="s">
        <v>186</v>
      </c>
      <c r="Z56" s="42" t="s">
        <v>187</v>
      </c>
      <c r="AA56" s="42" t="s">
        <v>73</v>
      </c>
      <c r="AB56" s="42" t="s">
        <v>95</v>
      </c>
      <c r="AC56" s="42" t="s">
        <v>77</v>
      </c>
      <c r="AD56" s="42" t="s">
        <v>80</v>
      </c>
      <c r="AE56" s="42" t="s">
        <v>81</v>
      </c>
      <c r="AF56" s="42" t="s">
        <v>82</v>
      </c>
      <c r="AG56" s="42" t="s">
        <v>77</v>
      </c>
      <c r="AH56" s="42" t="s">
        <v>77</v>
      </c>
      <c r="AI56" s="42" t="s">
        <v>77</v>
      </c>
      <c r="AJ56" s="42" t="s">
        <v>77</v>
      </c>
      <c r="AK56" s="42" t="s">
        <v>90</v>
      </c>
      <c r="AL56" t="str">
        <f>VLOOKUP($Q56,武学奇术!$A:$ZZ,25,FALSE)</f>
        <v>陌刀</v>
      </c>
      <c r="AM56" s="27">
        <f>VLOOKUP($Q56,武学奇术!$A:$ZZ,26,FALSE)</f>
        <v>7.5674</v>
      </c>
      <c r="AN56" s="28">
        <f>VLOOKUP($Q56,武学奇术!$A:$ZZ,27,FALSE)*(1+IF(OR($AL56=$F$4,$AL56=$F$5),$B$22,0))</f>
        <v>3139.5</v>
      </c>
      <c r="AO56" s="27">
        <f>VLOOKUP($Q56,武学奇术!$A:$ZZ,28,FALSE)</f>
        <v>11.3512</v>
      </c>
      <c r="AP56" s="28">
        <f>VLOOKUP($Q56,武学奇术!$A:$ZZ,29,FALSE)*(1+IF(OR($AL56=$F$4,$AL56=$F$5),$B$22,0))</f>
        <v>1710</v>
      </c>
      <c r="AQ56" s="27" cm="1">
        <f t="array" ref="AQ56">$G$3+IFERROR(VLOOKUP($AL56,$F$4:$G$7,2,FALSE),0)+VLOOKUP($Q56,武学奇术!$A:$ZZ,2,FALSE)+SUM(_xlfn.XLOOKUP($R56:$AK56,增益!$A:$A,增益!$B:$B,0))</f>
        <v>0.8141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3636.7</v>
      </c>
      <c r="AT56" cm="1">
        <f t="array" ref="AT56">$E$10*(1+$AR56)+VLOOKUP($Q56,武学奇术!$A:$ZZ,4,FALSE)+SUM(_xlfn.XLOOKUP($R56:$AK56,增益!$A:$A,增益!$D:$D,0))-$I$2</f>
        <v>3636.7</v>
      </c>
      <c r="AU56" s="34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0.452</v>
      </c>
      <c r="AV56" s="34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4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4" cm="1">
        <f t="array" ref="BA56">$G$11+VLOOKUP($Q56,武学奇术!$A:$ZZ,10,FALSE)+SUM(_xlfn.XLOOKUP($R56:$AK56,增益!$A:$A,增益!$J:$J,0))</f>
        <v>0.1</v>
      </c>
      <c r="BB56">
        <f t="shared" si="14"/>
        <v>591.9</v>
      </c>
      <c r="BC56">
        <f t="shared" si="15"/>
        <v>1600.3</v>
      </c>
      <c r="BD56" s="34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0.17</v>
      </c>
      <c r="BE56" s="34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4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4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4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4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1</v>
      </c>
      <c r="BP56" s="27" cm="1">
        <f t="array" ref="BP56">1+$B$13+VLOOKUP($Q56,武学奇术!$A:$ZZ,18,FALSE)+SUM(_xlfn.XLOOKUP($R56:$AK56,增益!$A:$A,增益!$R:$R,0))</f>
        <v>2.1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</v>
      </c>
      <c r="BR56" s="27" cm="1">
        <f t="array" ref="BR56">1+$B$14+VLOOKUP($Q56,武学奇术!$A:$ZZ,20,FALSE)+SUM(_xlfn.XLOOKUP($R56:$AK56,增益!$A:$A,增益!$T:$T,0))</f>
        <v>1.35</v>
      </c>
      <c r="BS56" s="27">
        <f t="shared" si="20"/>
        <v>1</v>
      </c>
      <c r="BT56" s="27">
        <f t="shared" si="21"/>
        <v>0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0.31</v>
      </c>
    </row>
    <row r="57" spans="1:74">
      <c r="A57" s="4" t="s">
        <v>167</v>
      </c>
      <c r="B57" s="4">
        <v>0.1</v>
      </c>
      <c r="D57" s="41"/>
      <c r="K57" s="40">
        <f t="shared" si="11"/>
        <v>74122.2882469284</v>
      </c>
      <c r="L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77028.2335945176</v>
      </c>
      <c r="M57" s="40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58180.0227842511</v>
      </c>
      <c r="N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38514.1167972588</v>
      </c>
      <c r="O57" s="40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33931.9204209982</v>
      </c>
      <c r="P57" s="41">
        <v>1</v>
      </c>
      <c r="Q57" s="42" t="s">
        <v>157</v>
      </c>
      <c r="R57" s="42" t="s">
        <v>103</v>
      </c>
      <c r="S57" s="42" t="s">
        <v>169</v>
      </c>
      <c r="T57" s="42" t="s">
        <v>86</v>
      </c>
      <c r="U57" s="42" t="s">
        <v>121</v>
      </c>
      <c r="V57" s="42" t="s">
        <v>77</v>
      </c>
      <c r="W57" s="42" t="s">
        <v>77</v>
      </c>
      <c r="X57" s="42" t="s">
        <v>176</v>
      </c>
      <c r="Y57" s="42" t="s">
        <v>186</v>
      </c>
      <c r="Z57" s="42" t="s">
        <v>187</v>
      </c>
      <c r="AA57" s="42" t="s">
        <v>73</v>
      </c>
      <c r="AB57" s="42" t="s">
        <v>89</v>
      </c>
      <c r="AC57" s="42" t="s">
        <v>77</v>
      </c>
      <c r="AD57" s="42" t="s">
        <v>80</v>
      </c>
      <c r="AE57" s="42" t="s">
        <v>81</v>
      </c>
      <c r="AF57" s="42" t="s">
        <v>82</v>
      </c>
      <c r="AG57" s="42" t="s">
        <v>77</v>
      </c>
      <c r="AH57" s="42" t="s">
        <v>77</v>
      </c>
      <c r="AI57" s="42" t="s">
        <v>77</v>
      </c>
      <c r="AJ57" s="42" t="s">
        <v>77</v>
      </c>
      <c r="AK57" s="42" t="s">
        <v>90</v>
      </c>
      <c r="AL57" t="str">
        <f>VLOOKUP($Q57,武学奇术!$A:$ZZ,25,FALSE)</f>
        <v>陌刀</v>
      </c>
      <c r="AM57" s="27">
        <f>VLOOKUP($Q57,武学奇术!$A:$ZZ,26,FALSE)</f>
        <v>1.8948</v>
      </c>
      <c r="AN57" s="28">
        <f>VLOOKUP($Q57,武学奇术!$A:$ZZ,27,FALSE)*(1+IF(OR($AL57=$F$4,$AL57=$F$5),$B$22,0))</f>
        <v>787.5</v>
      </c>
      <c r="AO57" s="27">
        <f>VLOOKUP($Q57,武学奇术!$A:$ZZ,28,FALSE)</f>
        <v>2.8422</v>
      </c>
      <c r="AP57" s="28">
        <f>VLOOKUP($Q57,武学奇术!$A:$ZZ,29,FALSE)*(1+IF(OR($AL57=$F$4,$AL57=$F$5),$B$22,0))</f>
        <v>429</v>
      </c>
      <c r="AQ57" s="27" cm="1">
        <f t="array" ref="AQ57">$G$3+IFERROR(VLOOKUP($AL57,$F$4:$G$7,2,FALSE),0)+VLOOKUP($Q57,武学奇术!$A:$ZZ,2,FALSE)+SUM(_xlfn.XLOOKUP($R57:$AK57,增益!$A:$A,增益!$B:$B,0))</f>
        <v>0.8141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3636.7</v>
      </c>
      <c r="AT57" cm="1">
        <f t="array" ref="AT57">$E$10*(1+$AR57)+VLOOKUP($Q57,武学奇术!$A:$ZZ,4,FALSE)+SUM(_xlfn.XLOOKUP($R57:$AK57,增益!$A:$A,增益!$D:$D,0))-$I$2</f>
        <v>3636.7</v>
      </c>
      <c r="AU57" s="34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0.452</v>
      </c>
      <c r="AV57" s="34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4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4" cm="1">
        <f t="array" ref="BA57">$G$11+VLOOKUP($Q57,武学奇术!$A:$ZZ,10,FALSE)+SUM(_xlfn.XLOOKUP($R57:$AK57,增益!$A:$A,增益!$J:$J,0))</f>
        <v>0.1</v>
      </c>
      <c r="BB57">
        <f t="shared" si="14"/>
        <v>591.9</v>
      </c>
      <c r="BC57">
        <f t="shared" si="15"/>
        <v>1600.3</v>
      </c>
      <c r="BD57" s="34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0.17</v>
      </c>
      <c r="BE57" s="34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4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4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4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4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0.9859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7" cm="1">
        <f t="array" ref="BP57">1+$B$13+VLOOKUP($Q57,武学奇术!$A:$ZZ,18,FALSE)+SUM(_xlfn.XLOOKUP($R57:$AK57,增益!$A:$A,增益!$R:$R,0))</f>
        <v>2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7" cm="1">
        <f t="array" ref="BR57">1+$B$14+VLOOKUP($Q57,武学奇术!$A:$ZZ,20,FALSE)+SUM(_xlfn.XLOOKUP($R57:$AK57,增益!$A:$A,增益!$T:$T,0))</f>
        <v>1.35</v>
      </c>
      <c r="BS57" s="27">
        <f t="shared" si="20"/>
        <v>0.87863408</v>
      </c>
      <c r="BT57" s="27">
        <f t="shared" si="21"/>
        <v>0.01567581</v>
      </c>
      <c r="BU57" s="27">
        <f>IF(VLOOKUP($Q57,武学奇术!$A:$ZZ,22,FALSE)=1,0,(1-$BN57))*(1-$BQ57)</f>
        <v>0.01279011</v>
      </c>
      <c r="BV57" s="27" cm="1">
        <f t="array" ref="BV57">SUM(_xlfn.XLOOKUP($R57:$AK57,增益!$A:$A,增益!$W:$W,0))+$I$5</f>
        <v>0.31</v>
      </c>
    </row>
    <row r="58" spans="1:74">
      <c r="A58" s="4" t="s">
        <v>171</v>
      </c>
      <c r="B58" s="4">
        <v>2.3</v>
      </c>
      <c r="C58" s="41" t="s">
        <v>186</v>
      </c>
      <c r="D58" s="41"/>
      <c r="H58" s="4"/>
      <c r="I58" s="4"/>
      <c r="K58" s="40">
        <f t="shared" si="11"/>
        <v>30391.2141824094</v>
      </c>
      <c r="L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31684.1011022833</v>
      </c>
      <c r="M58" s="40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23134.6283917783</v>
      </c>
      <c r="N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15087.6671915635</v>
      </c>
      <c r="O58" s="40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13038.5726114393</v>
      </c>
      <c r="P58" s="41">
        <v>1</v>
      </c>
      <c r="Q58" s="42" t="s">
        <v>159</v>
      </c>
      <c r="R58" s="42" t="s">
        <v>103</v>
      </c>
      <c r="S58" s="42" t="s">
        <v>169</v>
      </c>
      <c r="T58" s="42" t="s">
        <v>86</v>
      </c>
      <c r="U58" s="42" t="s">
        <v>121</v>
      </c>
      <c r="V58" s="42" t="s">
        <v>118</v>
      </c>
      <c r="W58" s="42" t="s">
        <v>77</v>
      </c>
      <c r="X58" s="42" t="s">
        <v>176</v>
      </c>
      <c r="Y58" s="42" t="s">
        <v>77</v>
      </c>
      <c r="Z58" s="42" t="s">
        <v>77</v>
      </c>
      <c r="AA58" s="42" t="s">
        <v>73</v>
      </c>
      <c r="AB58" s="42" t="s">
        <v>89</v>
      </c>
      <c r="AC58" s="42" t="s">
        <v>77</v>
      </c>
      <c r="AD58" s="42" t="s">
        <v>80</v>
      </c>
      <c r="AE58" s="42" t="s">
        <v>81</v>
      </c>
      <c r="AF58" s="42" t="s">
        <v>82</v>
      </c>
      <c r="AG58" s="42" t="s">
        <v>77</v>
      </c>
      <c r="AH58" s="42" t="s">
        <v>77</v>
      </c>
      <c r="AI58" s="42" t="s">
        <v>77</v>
      </c>
      <c r="AJ58" s="42" t="s">
        <v>77</v>
      </c>
      <c r="AK58" s="42" t="s">
        <v>90</v>
      </c>
      <c r="AL58" t="str">
        <f>VLOOKUP($Q58,武学奇术!$A:$ZZ,25,FALSE)</f>
        <v>陌刀</v>
      </c>
      <c r="AM58" s="27">
        <f>VLOOKUP($Q58,武学奇术!$A:$ZZ,26,FALSE)</f>
        <v>1</v>
      </c>
      <c r="AN58" s="28">
        <f>VLOOKUP($Q58,武学奇术!$A:$ZZ,27,FALSE)*(1+IF(OR($AL58=$F$4,$AL58=$F$5),$B$22,0))</f>
        <v>0</v>
      </c>
      <c r="AO58" s="27">
        <f>VLOOKUP($Q58,武学奇术!$A:$ZZ,28,FALSE)</f>
        <v>1.5</v>
      </c>
      <c r="AP58" s="28">
        <f>VLOOKUP($Q58,武学奇术!$A:$ZZ,29,FALSE)*(1+IF(OR($AL58=$F$4,$AL58=$F$5),$B$22,0))</f>
        <v>0</v>
      </c>
      <c r="AQ58" s="27" cm="1">
        <f t="array" ref="AQ58">$G$3+IFERROR(VLOOKUP($AL58,$F$4:$G$7,2,FALSE),0)+VLOOKUP($Q58,武学奇术!$A:$ZZ,2,FALSE)+SUM(_xlfn.XLOOKUP($R58:$AK58,增益!$A:$A,增益!$B:$B,0))</f>
        <v>0.8141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3636.7</v>
      </c>
      <c r="AT58" cm="1">
        <f t="array" ref="AT58">$E$10*(1+$AR58)+VLOOKUP($Q58,武学奇术!$A:$ZZ,4,FALSE)+SUM(_xlfn.XLOOKUP($R58:$AK58,增益!$A:$A,增益!$D:$D,0))-$I$2</f>
        <v>3636.7</v>
      </c>
      <c r="AU58" s="34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0.452</v>
      </c>
      <c r="AV58" s="34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4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34" cm="1">
        <f t="array" ref="BA58">$G$11+VLOOKUP($Q58,武学奇术!$A:$ZZ,10,FALSE)+SUM(_xlfn.XLOOKUP($R58:$AK58,增益!$A:$A,增益!$J:$J,0))</f>
        <v>0</v>
      </c>
      <c r="BB58">
        <f t="shared" si="14"/>
        <v>591.9</v>
      </c>
      <c r="BC58">
        <f t="shared" si="15"/>
        <v>1600.3</v>
      </c>
      <c r="BD58" s="34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0.17</v>
      </c>
      <c r="BE58" s="34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4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-0.14</v>
      </c>
      <c r="BI58" s="34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4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34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0.9859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7" cm="1">
        <f t="array" ref="BP58">1+$B$13+VLOOKUP($Q58,武学奇术!$A:$ZZ,18,FALSE)+SUM(_xlfn.XLOOKUP($R58:$AK58,增益!$A:$A,增益!$R:$R,0))</f>
        <v>2.1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7" cm="1">
        <f t="array" ref="BR58">1+$B$14+VLOOKUP($Q58,武学奇术!$A:$ZZ,20,FALSE)+SUM(_xlfn.XLOOKUP($R58:$AK58,增益!$A:$A,增益!$T:$T,0))</f>
        <v>1.35</v>
      </c>
      <c r="BS58" s="27">
        <f t="shared" si="20"/>
        <v>0.87863408</v>
      </c>
      <c r="BT58" s="27">
        <f t="shared" si="21"/>
        <v>0.01567581</v>
      </c>
      <c r="BU58" s="27">
        <f>IF(VLOOKUP($Q58,武学奇术!$A:$ZZ,22,FALSE)=1,0,(1-$BN58))*(1-$BQ58)</f>
        <v>0.01279011</v>
      </c>
      <c r="BV58" s="27" cm="1">
        <f t="array" ref="BV58">SUM(_xlfn.XLOOKUP($R58:$AK58,增益!$A:$A,增益!$W:$W,0))+$I$5</f>
        <v>0.11</v>
      </c>
    </row>
    <row r="59" spans="1:74">
      <c r="A59" s="4" t="s">
        <v>171</v>
      </c>
      <c r="B59" s="4">
        <v>2.3</v>
      </c>
      <c r="C59" s="41"/>
      <c r="D59" s="41"/>
      <c r="E59" s="41" t="s">
        <v>172</v>
      </c>
      <c r="K59" s="40">
        <f t="shared" si="11"/>
        <v>0</v>
      </c>
      <c r="L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0</v>
      </c>
      <c r="M59" s="40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0</v>
      </c>
      <c r="N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0</v>
      </c>
      <c r="O59" s="40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0</v>
      </c>
      <c r="P59" s="41">
        <v>1</v>
      </c>
      <c r="Q59" s="42" t="s">
        <v>77</v>
      </c>
      <c r="R59" s="42" t="s">
        <v>77</v>
      </c>
      <c r="S59" s="42" t="s">
        <v>77</v>
      </c>
      <c r="T59" s="42" t="s">
        <v>77</v>
      </c>
      <c r="U59" s="42" t="s">
        <v>77</v>
      </c>
      <c r="V59" s="42" t="s">
        <v>77</v>
      </c>
      <c r="W59" s="42" t="s">
        <v>77</v>
      </c>
      <c r="X59" s="42" t="s">
        <v>77</v>
      </c>
      <c r="Y59" s="42" t="s">
        <v>77</v>
      </c>
      <c r="Z59" s="42" t="s">
        <v>77</v>
      </c>
      <c r="AA59" s="42" t="s">
        <v>77</v>
      </c>
      <c r="AB59" s="42" t="s">
        <v>77</v>
      </c>
      <c r="AC59" s="42" t="s">
        <v>77</v>
      </c>
      <c r="AD59" s="42" t="s">
        <v>80</v>
      </c>
      <c r="AE59" s="42" t="s">
        <v>81</v>
      </c>
      <c r="AF59" s="42" t="s">
        <v>82</v>
      </c>
      <c r="AG59" s="42" t="s">
        <v>77</v>
      </c>
      <c r="AH59" s="42" t="s">
        <v>77</v>
      </c>
      <c r="AI59" s="42" t="s">
        <v>77</v>
      </c>
      <c r="AJ59" s="42" t="s">
        <v>77</v>
      </c>
      <c r="AK59" s="42" t="s">
        <v>90</v>
      </c>
      <c r="AL59" t="str">
        <f>VLOOKUP($Q59,武学奇术!$A:$ZZ,25,FALSE)</f>
        <v>心法</v>
      </c>
      <c r="AM59" s="27">
        <f>VLOOKUP($Q59,武学奇术!$A:$ZZ,26,FALSE)</f>
        <v>0</v>
      </c>
      <c r="AN59" s="28">
        <f>VLOOKUP($Q59,武学奇术!$A:$ZZ,27,FALSE)*(1+IF(OR($AL59=$F$4,$AL59=$F$5),$B$22,0))</f>
        <v>0</v>
      </c>
      <c r="AO59" s="27">
        <f>VLOOKUP($Q59,武学奇术!$A:$ZZ,28,FALSE)</f>
        <v>0</v>
      </c>
      <c r="AP59" s="28">
        <f>VLOOKUP($Q59,武学奇术!$A:$ZZ,29,FALSE)*(1+IF(OR($AL59=$F$4,$AL59=$F$5),$B$22,0))</f>
        <v>0</v>
      </c>
      <c r="AQ59" s="27" cm="1">
        <f t="array" ref="AQ59">$G$3+IFERROR(VLOOKUP($AL59,$F$4:$G$7,2,FALSE),0)+VLOOKUP($Q59,武学奇术!$A:$ZZ,2,FALSE)+SUM(_xlfn.XLOOKUP($R59:$AK59,增益!$A:$A,增益!$B:$B,0))</f>
        <v>0.3137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3636.7</v>
      </c>
      <c r="AT59" cm="1">
        <f t="array" ref="AT59">$E$10*(1+$AR59)+VLOOKUP($Q59,武学奇术!$A:$ZZ,4,FALSE)+SUM(_xlfn.XLOOKUP($R59:$AK59,增益!$A:$A,增益!$D:$D,0))-$I$2</f>
        <v>3636.7</v>
      </c>
      <c r="AU59" s="34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0.327</v>
      </c>
      <c r="AV59" s="34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4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4" cm="1">
        <f t="array" ref="BA59">$G$11+VLOOKUP($Q59,武学奇术!$A:$ZZ,10,FALSE)+SUM(_xlfn.XLOOKUP($R59:$AK59,增益!$A:$A,增益!$J:$J,0))</f>
        <v>0</v>
      </c>
      <c r="BB59">
        <f t="shared" si="14"/>
        <v>591.9</v>
      </c>
      <c r="BC59">
        <f t="shared" si="15"/>
        <v>1600.3</v>
      </c>
      <c r="BD59" s="34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0.09</v>
      </c>
      <c r="BE59" s="34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4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4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4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4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0.9859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7" cm="1">
        <f t="array" ref="BP59">1+$B$13+VLOOKUP($Q59,武学奇术!$A:$ZZ,18,FALSE)+SUM(_xlfn.XLOOKUP($R59:$AK59,增益!$A:$A,增益!$R:$R,0))</f>
        <v>1.54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7" cm="1">
        <f t="array" ref="BR59">1+$B$14+VLOOKUP($Q59,武学奇术!$A:$ZZ,20,FALSE)+SUM(_xlfn.XLOOKUP($R59:$AK59,增益!$A:$A,增益!$T:$T,0))</f>
        <v>1.35</v>
      </c>
      <c r="BS59" s="27">
        <f t="shared" si="20"/>
        <v>0.87863408</v>
      </c>
      <c r="BT59" s="27">
        <f t="shared" si="21"/>
        <v>0.01567581</v>
      </c>
      <c r="BU59" s="27">
        <f>IF(VLOOKUP($Q59,武学奇术!$A:$ZZ,22,FALSE)=1,0,(1-$BN59))*(1-$BQ59)</f>
        <v>0.01279011</v>
      </c>
      <c r="BV59" s="27" cm="1">
        <f t="array" ref="BV59">SUM(_xlfn.XLOOKUP($R59:$AK59,增益!$A:$A,增益!$W:$W,0))+$I$5</f>
        <v>0.11</v>
      </c>
    </row>
    <row r="60" spans="1:74">
      <c r="A60" s="4" t="s">
        <v>171</v>
      </c>
      <c r="B60" s="4">
        <v>2.3</v>
      </c>
      <c r="C60" s="41"/>
      <c r="D60" s="41"/>
      <c r="E60" s="41"/>
      <c r="K60" s="40">
        <f t="shared" si="11"/>
        <v>62848.0412413037</v>
      </c>
      <c r="L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65333.8111872877</v>
      </c>
      <c r="M60" s="40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49095.3534359062</v>
      </c>
      <c r="N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32666.9055936438</v>
      </c>
      <c r="O60" s="40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28966.882716246</v>
      </c>
      <c r="P60" s="41">
        <v>1</v>
      </c>
      <c r="Q60" s="42" t="s">
        <v>106</v>
      </c>
      <c r="R60" s="42" t="s">
        <v>103</v>
      </c>
      <c r="S60" s="42" t="s">
        <v>169</v>
      </c>
      <c r="T60" s="42" t="s">
        <v>77</v>
      </c>
      <c r="U60" s="42" t="s">
        <v>121</v>
      </c>
      <c r="V60" s="42" t="s">
        <v>77</v>
      </c>
      <c r="W60" s="42" t="s">
        <v>77</v>
      </c>
      <c r="X60" s="42" t="s">
        <v>176</v>
      </c>
      <c r="Y60" s="42" t="s">
        <v>77</v>
      </c>
      <c r="Z60" s="42" t="s">
        <v>77</v>
      </c>
      <c r="AA60" s="42" t="s">
        <v>73</v>
      </c>
      <c r="AB60" s="42" t="s">
        <v>89</v>
      </c>
      <c r="AC60" s="42" t="s">
        <v>77</v>
      </c>
      <c r="AD60" s="42" t="s">
        <v>80</v>
      </c>
      <c r="AE60" s="42" t="s">
        <v>81</v>
      </c>
      <c r="AF60" s="42" t="s">
        <v>82</v>
      </c>
      <c r="AG60" s="42" t="s">
        <v>77</v>
      </c>
      <c r="AH60" s="42" t="s">
        <v>77</v>
      </c>
      <c r="AI60" s="42" t="s">
        <v>77</v>
      </c>
      <c r="AJ60" s="42" t="s">
        <v>77</v>
      </c>
      <c r="AK60" s="42" t="s">
        <v>90</v>
      </c>
      <c r="AL60" t="str">
        <f>VLOOKUP($Q60,武学奇术!$A:$ZZ,25,FALSE)</f>
        <v>横刀</v>
      </c>
      <c r="AM60" s="27">
        <f>VLOOKUP($Q60,武学奇术!$A:$ZZ,26,FALSE)</f>
        <v>2.1324</v>
      </c>
      <c r="AN60" s="28">
        <f>VLOOKUP($Q60,武学奇术!$A:$ZZ,27,FALSE)*(1+IF(OR($AL60=$F$4,$AL60=$F$5),$B$22,0))</f>
        <v>885</v>
      </c>
      <c r="AO60" s="27">
        <f>VLOOKUP($Q60,武学奇术!$A:$ZZ,28,FALSE)</f>
        <v>3.1986</v>
      </c>
      <c r="AP60" s="28">
        <f>VLOOKUP($Q60,武学奇术!$A:$ZZ,29,FALSE)*(1+IF(OR($AL60=$F$4,$AL60=$F$5),$B$22,0))</f>
        <v>483</v>
      </c>
      <c r="AQ60" s="27" cm="1">
        <f t="array" ref="AQ60">$G$3+IFERROR(VLOOKUP($AL60,$F$4:$G$7,2,FALSE),0)+VLOOKUP($Q60,武学奇术!$A:$ZZ,2,FALSE)+SUM(_xlfn.XLOOKUP($R60:$AK60,增益!$A:$A,增益!$B:$B,0))</f>
        <v>0.6489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3636.7</v>
      </c>
      <c r="AT60" cm="1">
        <f t="array" ref="AT60">$E$10*(1+$AR60)+VLOOKUP($Q60,武学奇术!$A:$ZZ,4,FALSE)+SUM(_xlfn.XLOOKUP($R60:$AK60,增益!$A:$A,增益!$D:$D,0))-$I$2</f>
        <v>3636.7</v>
      </c>
      <c r="AU60" s="34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0.452</v>
      </c>
      <c r="AV60" s="34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4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4" cm="1">
        <f t="array" ref="BA60">$G$11+VLOOKUP($Q60,武学奇术!$A:$ZZ,10,FALSE)+SUM(_xlfn.XLOOKUP($R60:$AK60,增益!$A:$A,增益!$J:$J,0))</f>
        <v>0</v>
      </c>
      <c r="BB60">
        <f t="shared" si="14"/>
        <v>591.9</v>
      </c>
      <c r="BC60">
        <f t="shared" si="15"/>
        <v>1600.3</v>
      </c>
      <c r="BD60" s="34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0.09</v>
      </c>
      <c r="BE60" s="34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4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4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4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4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0.9859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7" cm="1">
        <f t="array" ref="BP60">1+$B$13+VLOOKUP($Q60,武学奇术!$A:$ZZ,18,FALSE)+SUM(_xlfn.XLOOKUP($R60:$AK60,增益!$A:$A,增益!$R:$R,0))</f>
        <v>2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7" cm="1">
        <f t="array" ref="BR60">1+$B$14+VLOOKUP($Q60,武学奇术!$A:$ZZ,20,FALSE)+SUM(_xlfn.XLOOKUP($R60:$AK60,增益!$A:$A,增益!$T:$T,0))</f>
        <v>1.35</v>
      </c>
      <c r="BS60" s="27">
        <f t="shared" si="20"/>
        <v>0.87863408</v>
      </c>
      <c r="BT60" s="27">
        <f t="shared" si="21"/>
        <v>0.01567581</v>
      </c>
      <c r="BU60" s="27">
        <f>IF(VLOOKUP($Q60,武学奇术!$A:$ZZ,22,FALSE)=1,0,(1-$BN60))*(1-$BQ60)</f>
        <v>0.01279011</v>
      </c>
      <c r="BV60" s="27" cm="1">
        <f t="array" ref="BV60">SUM(_xlfn.XLOOKUP($R60:$AK60,增益!$A:$A,增益!$W:$W,0))+$I$5</f>
        <v>0.11</v>
      </c>
    </row>
    <row r="61" spans="1:74">
      <c r="A61" s="4" t="s">
        <v>171</v>
      </c>
      <c r="B61" s="4">
        <v>2.3</v>
      </c>
      <c r="C61" s="41"/>
      <c r="D61" s="41"/>
      <c r="E61" s="41"/>
      <c r="K61" s="40">
        <f t="shared" ref="K61:K73" si="22">($L61*$BS61+$M61*$BQ61+$N61*$BT61+$O61*$BU61)</f>
        <v>38780.6769981181</v>
      </c>
      <c r="L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40261.3912468902</v>
      </c>
      <c r="M61" s="40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30867.3406301547</v>
      </c>
      <c r="N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20130.6956234451</v>
      </c>
      <c r="O61" s="40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17396.6944838126</v>
      </c>
      <c r="P61" s="41">
        <v>1</v>
      </c>
      <c r="Q61" s="42" t="s">
        <v>110</v>
      </c>
      <c r="R61" s="42" t="s">
        <v>103</v>
      </c>
      <c r="S61" s="42" t="s">
        <v>169</v>
      </c>
      <c r="T61" s="42" t="s">
        <v>86</v>
      </c>
      <c r="U61" s="42" t="s">
        <v>121</v>
      </c>
      <c r="V61" s="42" t="s">
        <v>77</v>
      </c>
      <c r="W61" s="42" t="s">
        <v>77</v>
      </c>
      <c r="X61" s="42" t="s">
        <v>176</v>
      </c>
      <c r="Y61" s="42" t="s">
        <v>77</v>
      </c>
      <c r="Z61" s="42" t="s">
        <v>77</v>
      </c>
      <c r="AA61" s="42" t="s">
        <v>73</v>
      </c>
      <c r="AB61" s="42" t="s">
        <v>89</v>
      </c>
      <c r="AC61" s="42" t="s">
        <v>77</v>
      </c>
      <c r="AD61" s="42" t="s">
        <v>80</v>
      </c>
      <c r="AE61" s="42" t="s">
        <v>81</v>
      </c>
      <c r="AF61" s="42" t="s">
        <v>82</v>
      </c>
      <c r="AG61" s="42" t="s">
        <v>77</v>
      </c>
      <c r="AH61" s="42" t="s">
        <v>77</v>
      </c>
      <c r="AI61" s="42" t="s">
        <v>77</v>
      </c>
      <c r="AJ61" s="42" t="s">
        <v>77</v>
      </c>
      <c r="AK61" s="42" t="s">
        <v>90</v>
      </c>
      <c r="AL61" t="str">
        <f>VLOOKUP($Q61,武学奇术!$A:$ZZ,25,FALSE)</f>
        <v>横刀</v>
      </c>
      <c r="AM61" s="27">
        <f>VLOOKUP($Q61,武学奇术!$A:$ZZ,26,FALSE)</f>
        <v>1.4</v>
      </c>
      <c r="AN61" s="28">
        <f>VLOOKUP($Q61,武学奇术!$A:$ZZ,27,FALSE)*(1+IF(OR($AL61=$F$4,$AL61=$F$5),$B$22,0))</f>
        <v>0</v>
      </c>
      <c r="AO61" s="27">
        <f>VLOOKUP($Q61,武学奇术!$A:$ZZ,28,FALSE)</f>
        <v>2.1</v>
      </c>
      <c r="AP61" s="28">
        <f>VLOOKUP($Q61,武学奇术!$A:$ZZ,29,FALSE)*(1+IF(OR($AL61=$F$4,$AL61=$F$5),$B$22,0))</f>
        <v>0</v>
      </c>
      <c r="AQ61" s="27" cm="1">
        <f t="array" ref="AQ61">$G$3+IFERROR(VLOOKUP($AL61,$F$4:$G$7,2,FALSE),0)+VLOOKUP($Q61,武学奇术!$A:$ZZ,2,FALSE)+SUM(_xlfn.XLOOKUP($R61:$AK61,增益!$A:$A,增益!$B:$B,0))</f>
        <v>0.7289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3636.7</v>
      </c>
      <c r="AT61" cm="1">
        <f t="array" ref="AT61">$E$10*(1+$AR61)+VLOOKUP($Q61,武学奇术!$A:$ZZ,4,FALSE)+SUM(_xlfn.XLOOKUP($R61:$AK61,增益!$A:$A,增益!$D:$D,0))-$I$2</f>
        <v>3636.7</v>
      </c>
      <c r="AU61" s="34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0.452</v>
      </c>
      <c r="AV61" s="34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4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4" cm="1">
        <f t="array" ref="BA61">$G$11+VLOOKUP($Q61,武学奇术!$A:$ZZ,10,FALSE)+SUM(_xlfn.XLOOKUP($R61:$AK61,增益!$A:$A,增益!$J:$J,0))</f>
        <v>0</v>
      </c>
      <c r="BB61">
        <f t="shared" si="14"/>
        <v>591.9</v>
      </c>
      <c r="BC61">
        <f t="shared" si="15"/>
        <v>1600.3</v>
      </c>
      <c r="BD61" s="34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0.17</v>
      </c>
      <c r="BE61" s="34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4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4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4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4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0.9859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7" cm="1">
        <f t="array" ref="BP61">1+$B$13+VLOOKUP($Q61,武学奇术!$A:$ZZ,18,FALSE)+SUM(_xlfn.XLOOKUP($R61:$AK61,增益!$A:$A,增益!$R:$R,0))</f>
        <v>2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7" cm="1">
        <f t="array" ref="BR61">1+$B$14+VLOOKUP($Q61,武学奇术!$A:$ZZ,20,FALSE)+SUM(_xlfn.XLOOKUP($R61:$AK61,增益!$A:$A,增益!$T:$T,0))</f>
        <v>1.35</v>
      </c>
      <c r="BS61" s="27">
        <f t="shared" si="20"/>
        <v>0.87863408</v>
      </c>
      <c r="BT61" s="27">
        <f t="shared" si="21"/>
        <v>0.01567581</v>
      </c>
      <c r="BU61" s="27">
        <f>IF(VLOOKUP($Q61,武学奇术!$A:$ZZ,22,FALSE)=1,0,(1-$BN61))*(1-$BQ61)</f>
        <v>0.01279011</v>
      </c>
      <c r="BV61" s="27" cm="1">
        <f t="array" ref="BV61">SUM(_xlfn.XLOOKUP($R61:$AK61,增益!$A:$A,增益!$W:$W,0))+$I$5</f>
        <v>0.11</v>
      </c>
    </row>
    <row r="62" spans="1:74">
      <c r="A62" s="4" t="s">
        <v>177</v>
      </c>
      <c r="B62" s="4">
        <v>1</v>
      </c>
      <c r="C62" s="41"/>
      <c r="D62" s="41"/>
      <c r="K62" s="40">
        <f t="shared" si="22"/>
        <v>19183.2698139646</v>
      </c>
      <c r="L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19915.7206928638</v>
      </c>
      <c r="M62" s="40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15268.8547385737</v>
      </c>
      <c r="N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9957.86034643189</v>
      </c>
      <c r="O62" s="40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8605.45792354995</v>
      </c>
      <c r="P62" s="41">
        <v>1</v>
      </c>
      <c r="Q62" s="42" t="s">
        <v>112</v>
      </c>
      <c r="R62" s="42" t="s">
        <v>103</v>
      </c>
      <c r="S62" s="42" t="s">
        <v>169</v>
      </c>
      <c r="T62" s="42" t="s">
        <v>86</v>
      </c>
      <c r="U62" s="42" t="s">
        <v>121</v>
      </c>
      <c r="V62" s="42" t="s">
        <v>77</v>
      </c>
      <c r="W62" s="42" t="s">
        <v>77</v>
      </c>
      <c r="X62" s="42" t="s">
        <v>176</v>
      </c>
      <c r="Y62" s="42" t="s">
        <v>77</v>
      </c>
      <c r="Z62" s="42" t="s">
        <v>77</v>
      </c>
      <c r="AA62" s="42" t="s">
        <v>73</v>
      </c>
      <c r="AB62" s="42" t="s">
        <v>95</v>
      </c>
      <c r="AC62" s="42" t="s">
        <v>77</v>
      </c>
      <c r="AD62" s="42" t="s">
        <v>80</v>
      </c>
      <c r="AE62" s="42" t="s">
        <v>81</v>
      </c>
      <c r="AF62" s="42" t="s">
        <v>82</v>
      </c>
      <c r="AG62" s="42" t="s">
        <v>77</v>
      </c>
      <c r="AH62" s="42" t="s">
        <v>77</v>
      </c>
      <c r="AI62" s="42" t="s">
        <v>77</v>
      </c>
      <c r="AJ62" s="42" t="s">
        <v>77</v>
      </c>
      <c r="AK62" s="42" t="s">
        <v>90</v>
      </c>
      <c r="AL62" t="str">
        <f>VLOOKUP($Q62,武学奇术!$A:$ZZ,25,FALSE)</f>
        <v>陌刀</v>
      </c>
      <c r="AM62" s="27">
        <f>VLOOKUP($Q62,武学奇术!$A:$ZZ,26,FALSE)</f>
        <v>0.5</v>
      </c>
      <c r="AN62" s="28">
        <f>VLOOKUP($Q62,武学奇术!$A:$ZZ,27,FALSE)*(1+IF(OR($AL62=$F$4,$AL62=$F$5),$B$22,0))</f>
        <v>0</v>
      </c>
      <c r="AO62" s="27">
        <f>VLOOKUP($Q62,武学奇术!$A:$ZZ,28,FALSE)</f>
        <v>0.75</v>
      </c>
      <c r="AP62" s="28">
        <f>VLOOKUP($Q62,武学奇术!$A:$ZZ,29,FALSE)*(1+IF(OR($AL62=$F$4,$AL62=$F$5),$B$22,0))</f>
        <v>0</v>
      </c>
      <c r="AQ62" s="27" cm="1">
        <f t="array" ref="AQ62">$G$3+IFERROR(VLOOKUP($AL62,$F$4:$G$7,2,FALSE),0)+VLOOKUP($Q62,武学奇术!$A:$ZZ,2,FALSE)+SUM(_xlfn.XLOOKUP($R62:$AK62,增益!$A:$A,增益!$B:$B,0))</f>
        <v>0.8141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3636.7</v>
      </c>
      <c r="AT62" cm="1">
        <f t="array" ref="AT62">$E$10*(1+$AR62)+VLOOKUP($Q62,武学奇术!$A:$ZZ,4,FALSE)+SUM(_xlfn.XLOOKUP($R62:$AK62,增益!$A:$A,增益!$D:$D,0))-$I$2</f>
        <v>3636.7</v>
      </c>
      <c r="AU62" s="34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0.452</v>
      </c>
      <c r="AV62" s="34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4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4" cm="1">
        <f t="array" ref="BA62">$G$11+VLOOKUP($Q62,武学奇术!$A:$ZZ,10,FALSE)+SUM(_xlfn.XLOOKUP($R62:$AK62,增益!$A:$A,增益!$J:$J,0))</f>
        <v>0</v>
      </c>
      <c r="BB62">
        <f t="shared" si="14"/>
        <v>591.9</v>
      </c>
      <c r="BC62">
        <f t="shared" si="15"/>
        <v>1600.3</v>
      </c>
      <c r="BD62" s="34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0.17</v>
      </c>
      <c r="BE62" s="34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4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4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4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4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0.9859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7" cm="1">
        <f t="array" ref="BP62">1+$B$13+VLOOKUP($Q62,武学奇术!$A:$ZZ,18,FALSE)+SUM(_xlfn.XLOOKUP($R62:$AK62,增益!$A:$A,增益!$R:$R,0))</f>
        <v>2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7" cm="1">
        <f t="array" ref="BR62">1+$B$14+VLOOKUP($Q62,武学奇术!$A:$ZZ,20,FALSE)+SUM(_xlfn.XLOOKUP($R62:$AK62,增益!$A:$A,增益!$T:$T,0))</f>
        <v>1.35</v>
      </c>
      <c r="BS62" s="27">
        <f t="shared" si="20"/>
        <v>0.87863408</v>
      </c>
      <c r="BT62" s="27">
        <f t="shared" si="21"/>
        <v>0.01567581</v>
      </c>
      <c r="BU62" s="27">
        <f>IF(VLOOKUP($Q62,武学奇术!$A:$ZZ,22,FALSE)=1,0,(1-$BN62))*(1-$BQ62)</f>
        <v>0.01279011</v>
      </c>
      <c r="BV62" s="27" cm="1">
        <f t="array" ref="BV62">SUM(_xlfn.XLOOKUP($R62:$AK62,增益!$A:$A,增益!$W:$W,0))+$I$5</f>
        <v>0.11</v>
      </c>
    </row>
    <row r="63" spans="1:74">
      <c r="A63" s="4" t="s">
        <v>190</v>
      </c>
      <c r="B63" s="4">
        <v>20.3</v>
      </c>
      <c r="K63" s="40">
        <f t="shared" si="22"/>
        <v>37640.7121095126</v>
      </c>
      <c r="L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37640.7121095126</v>
      </c>
      <c r="M63" s="40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27483.9385294326</v>
      </c>
      <c r="N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17924.1486235774</v>
      </c>
      <c r="O63" s="40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15489.8242623899</v>
      </c>
      <c r="P63" s="41">
        <v>1</v>
      </c>
      <c r="Q63" s="42" t="s">
        <v>117</v>
      </c>
      <c r="R63" s="42" t="s">
        <v>103</v>
      </c>
      <c r="S63" s="42" t="s">
        <v>169</v>
      </c>
      <c r="T63" s="42" t="s">
        <v>86</v>
      </c>
      <c r="U63" s="42" t="s">
        <v>121</v>
      </c>
      <c r="V63" s="42" t="s">
        <v>118</v>
      </c>
      <c r="W63" s="42" t="s">
        <v>77</v>
      </c>
      <c r="X63" s="42" t="s">
        <v>176</v>
      </c>
      <c r="Y63" s="42" t="s">
        <v>77</v>
      </c>
      <c r="Z63" s="42" t="s">
        <v>77</v>
      </c>
      <c r="AA63" s="42" t="s">
        <v>73</v>
      </c>
      <c r="AB63" s="42" t="s">
        <v>95</v>
      </c>
      <c r="AC63" s="42" t="s">
        <v>77</v>
      </c>
      <c r="AD63" s="42" t="s">
        <v>80</v>
      </c>
      <c r="AE63" s="42" t="s">
        <v>81</v>
      </c>
      <c r="AF63" s="42" t="s">
        <v>82</v>
      </c>
      <c r="AG63" s="42" t="s">
        <v>77</v>
      </c>
      <c r="AH63" s="42" t="s">
        <v>77</v>
      </c>
      <c r="AI63" s="42" t="s">
        <v>77</v>
      </c>
      <c r="AJ63" s="42" t="s">
        <v>77</v>
      </c>
      <c r="AK63" s="42" t="s">
        <v>90</v>
      </c>
      <c r="AL63" t="str">
        <f>VLOOKUP($Q63,武学奇术!$A:$ZZ,25,FALSE)</f>
        <v>陌刀</v>
      </c>
      <c r="AM63" s="27">
        <f>VLOOKUP($Q63,武学奇术!$A:$ZZ,26,FALSE)</f>
        <v>0.9</v>
      </c>
      <c r="AN63" s="28">
        <f>VLOOKUP($Q63,武学奇术!$A:$ZZ,27,FALSE)*(1+IF(OR($AL63=$F$4,$AL63=$F$5),$B$22,0))</f>
        <v>0</v>
      </c>
      <c r="AO63" s="27">
        <f>VLOOKUP($Q63,武学奇术!$A:$ZZ,28,FALSE)</f>
        <v>1.35</v>
      </c>
      <c r="AP63" s="28">
        <f>VLOOKUP($Q63,武学奇术!$A:$ZZ,29,FALSE)*(1+IF(OR($AL63=$F$4,$AL63=$F$5),$B$22,0))</f>
        <v>0</v>
      </c>
      <c r="AQ63" s="27" cm="1">
        <f t="array" ref="AQ63">$G$3+IFERROR(VLOOKUP($AL63,$F$4:$G$7,2,FALSE),0)+VLOOKUP($Q63,武学奇术!$A:$ZZ,2,FALSE)+SUM(_xlfn.XLOOKUP($R63:$AK63,增益!$A:$A,增益!$B:$B,0))</f>
        <v>0.8141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3636.7</v>
      </c>
      <c r="AT63" cm="1">
        <f t="array" ref="AT63">$E$10*(1+$AR63)+VLOOKUP($Q63,武学奇术!$A:$ZZ,4,FALSE)+SUM(_xlfn.XLOOKUP($R63:$AK63,增益!$A:$A,增益!$D:$D,0))-$I$2</f>
        <v>3636.7</v>
      </c>
      <c r="AU63" s="34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0.452</v>
      </c>
      <c r="AV63" s="34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4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4" cm="1">
        <f t="array" ref="BA63">$G$11+VLOOKUP($Q63,武学奇术!$A:$ZZ,10,FALSE)+SUM(_xlfn.XLOOKUP($R63:$AK63,增益!$A:$A,增益!$J:$J,0))</f>
        <v>0</v>
      </c>
      <c r="BB63">
        <f t="shared" si="14"/>
        <v>591.9</v>
      </c>
      <c r="BC63">
        <f t="shared" si="15"/>
        <v>1600.3</v>
      </c>
      <c r="BD63" s="34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0.17</v>
      </c>
      <c r="BE63" s="34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4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4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4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4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1</v>
      </c>
      <c r="BP63" s="27" cm="1">
        <f t="array" ref="BP63">1+$B$13+VLOOKUP($Q63,武学奇术!$A:$ZZ,18,FALSE)+SUM(_xlfn.XLOOKUP($R63:$AK63,增益!$A:$A,增益!$R:$R,0))</f>
        <v>2.1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</v>
      </c>
      <c r="BR63" s="27" cm="1">
        <f t="array" ref="BR63">1+$B$14+VLOOKUP($Q63,武学奇术!$A:$ZZ,20,FALSE)+SUM(_xlfn.XLOOKUP($R63:$AK63,增益!$A:$A,增益!$T:$T,0))</f>
        <v>1.35</v>
      </c>
      <c r="BS63" s="27">
        <f t="shared" si="20"/>
        <v>1</v>
      </c>
      <c r="BT63" s="27">
        <f t="shared" si="21"/>
        <v>0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0.11</v>
      </c>
    </row>
    <row r="64" spans="1:74">
      <c r="A64" t="s">
        <v>166</v>
      </c>
      <c r="B64">
        <v>1</v>
      </c>
      <c r="K64" s="40">
        <f t="shared" si="22"/>
        <v>361201.506943487</v>
      </c>
      <c r="L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361201.506943487</v>
      </c>
      <c r="M64" s="40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259833.471438096</v>
      </c>
      <c r="N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172000.717592137</v>
      </c>
      <c r="O64" s="40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151532.19708198</v>
      </c>
      <c r="P64" s="41">
        <v>1</v>
      </c>
      <c r="Q64" s="42" t="s">
        <v>120</v>
      </c>
      <c r="R64" s="42" t="s">
        <v>103</v>
      </c>
      <c r="S64" s="42" t="s">
        <v>169</v>
      </c>
      <c r="T64" s="42" t="s">
        <v>86</v>
      </c>
      <c r="U64" s="42" t="s">
        <v>121</v>
      </c>
      <c r="V64" s="42" t="s">
        <v>118</v>
      </c>
      <c r="W64" s="42" t="s">
        <v>77</v>
      </c>
      <c r="X64" s="42" t="s">
        <v>176</v>
      </c>
      <c r="Y64" s="42" t="s">
        <v>77</v>
      </c>
      <c r="Z64" s="42" t="s">
        <v>77</v>
      </c>
      <c r="AA64" s="42" t="s">
        <v>73</v>
      </c>
      <c r="AB64" s="42" t="s">
        <v>95</v>
      </c>
      <c r="AC64" s="42" t="s">
        <v>77</v>
      </c>
      <c r="AD64" s="42" t="s">
        <v>80</v>
      </c>
      <c r="AE64" s="42" t="s">
        <v>81</v>
      </c>
      <c r="AF64" s="42" t="s">
        <v>82</v>
      </c>
      <c r="AG64" s="42" t="s">
        <v>77</v>
      </c>
      <c r="AH64" s="42" t="s">
        <v>77</v>
      </c>
      <c r="AI64" s="42" t="s">
        <v>77</v>
      </c>
      <c r="AJ64" s="42" t="s">
        <v>77</v>
      </c>
      <c r="AK64" s="42" t="s">
        <v>90</v>
      </c>
      <c r="AL64" t="str">
        <f>VLOOKUP($Q64,武学奇术!$A:$ZZ,25,FALSE)</f>
        <v>陌刀</v>
      </c>
      <c r="AM64" s="27">
        <f>VLOOKUP($Q64,武学奇术!$A:$ZZ,26,FALSE)</f>
        <v>7.5674</v>
      </c>
      <c r="AN64" s="28">
        <f>VLOOKUP($Q64,武学奇术!$A:$ZZ,27,FALSE)*(1+IF(OR($AL64=$F$4,$AL64=$F$5),$B$22,0))</f>
        <v>3139.5</v>
      </c>
      <c r="AO64" s="27">
        <f>VLOOKUP($Q64,武学奇术!$A:$ZZ,28,FALSE)</f>
        <v>11.3512</v>
      </c>
      <c r="AP64" s="28">
        <f>VLOOKUP($Q64,武学奇术!$A:$ZZ,29,FALSE)*(1+IF(OR($AL64=$F$4,$AL64=$F$5),$B$22,0))</f>
        <v>1710</v>
      </c>
      <c r="AQ64" s="27" cm="1">
        <f t="array" ref="AQ64">$G$3+IFERROR(VLOOKUP($AL64,$F$4:$G$7,2,FALSE),0)+VLOOKUP($Q64,武学奇术!$A:$ZZ,2,FALSE)+SUM(_xlfn.XLOOKUP($R64:$AK64,增益!$A:$A,增益!$B:$B,0))</f>
        <v>0.8141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3636.7</v>
      </c>
      <c r="AT64" cm="1">
        <f t="array" ref="AT64">$E$10*(1+$AR64)+VLOOKUP($Q64,武学奇术!$A:$ZZ,4,FALSE)+SUM(_xlfn.XLOOKUP($R64:$AK64,增益!$A:$A,增益!$D:$D,0))-$I$2</f>
        <v>3636.7</v>
      </c>
      <c r="AU64" s="34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0.452</v>
      </c>
      <c r="AV64" s="34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4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4" cm="1">
        <f t="array" ref="BA64">$G$11+VLOOKUP($Q64,武学奇术!$A:$ZZ,10,FALSE)+SUM(_xlfn.XLOOKUP($R64:$AK64,增益!$A:$A,增益!$J:$J,0))</f>
        <v>0</v>
      </c>
      <c r="BB64">
        <f t="shared" si="14"/>
        <v>591.9</v>
      </c>
      <c r="BC64">
        <f t="shared" si="15"/>
        <v>1600.3</v>
      </c>
      <c r="BD64" s="34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0.17</v>
      </c>
      <c r="BE64" s="34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4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4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4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4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1</v>
      </c>
      <c r="BP64" s="27" cm="1">
        <f t="array" ref="BP64">1+$B$13+VLOOKUP($Q64,武学奇术!$A:$ZZ,18,FALSE)+SUM(_xlfn.XLOOKUP($R64:$AK64,增益!$A:$A,增益!$R:$R,0))</f>
        <v>2.1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</v>
      </c>
      <c r="BR64" s="27" cm="1">
        <f t="array" ref="BR64">1+$B$14+VLOOKUP($Q64,武学奇术!$A:$ZZ,20,FALSE)+SUM(_xlfn.XLOOKUP($R64:$AK64,增益!$A:$A,增益!$T:$T,0))</f>
        <v>1.35</v>
      </c>
      <c r="BS64" s="27">
        <f t="shared" si="20"/>
        <v>1</v>
      </c>
      <c r="BT64" s="27">
        <f t="shared" si="21"/>
        <v>0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0.11</v>
      </c>
    </row>
    <row r="65" spans="1:74">
      <c r="A65" s="4" t="s">
        <v>167</v>
      </c>
      <c r="B65" s="4">
        <v>0.1</v>
      </c>
      <c r="D65" s="41" t="s">
        <v>168</v>
      </c>
      <c r="K65" s="40">
        <f t="shared" si="22"/>
        <v>41823.013455014</v>
      </c>
      <c r="L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41823.013455014</v>
      </c>
      <c r="M65" s="40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30537.7094771474</v>
      </c>
      <c r="N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19915.7206928638</v>
      </c>
      <c r="O65" s="40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17210.9158470999</v>
      </c>
      <c r="P65" s="41">
        <v>2</v>
      </c>
      <c r="Q65" s="42" t="s">
        <v>125</v>
      </c>
      <c r="R65" s="42" t="s">
        <v>103</v>
      </c>
      <c r="S65" s="42" t="s">
        <v>169</v>
      </c>
      <c r="T65" s="42" t="s">
        <v>86</v>
      </c>
      <c r="U65" s="42" t="s">
        <v>121</v>
      </c>
      <c r="V65" s="42" t="s">
        <v>118</v>
      </c>
      <c r="W65" s="42" t="s">
        <v>77</v>
      </c>
      <c r="X65" s="42" t="s">
        <v>176</v>
      </c>
      <c r="Y65" s="42" t="s">
        <v>77</v>
      </c>
      <c r="Z65" s="42" t="s">
        <v>77</v>
      </c>
      <c r="AA65" s="42" t="s">
        <v>73</v>
      </c>
      <c r="AB65" s="42" t="s">
        <v>95</v>
      </c>
      <c r="AC65" s="42" t="s">
        <v>77</v>
      </c>
      <c r="AD65" s="42" t="s">
        <v>80</v>
      </c>
      <c r="AE65" s="42" t="s">
        <v>81</v>
      </c>
      <c r="AF65" s="42" t="s">
        <v>82</v>
      </c>
      <c r="AG65" s="42" t="s">
        <v>77</v>
      </c>
      <c r="AH65" s="42" t="s">
        <v>77</v>
      </c>
      <c r="AI65" s="42" t="s">
        <v>77</v>
      </c>
      <c r="AJ65" s="42" t="s">
        <v>77</v>
      </c>
      <c r="AK65" s="42" t="s">
        <v>90</v>
      </c>
      <c r="AL65" t="str">
        <f>VLOOKUP($Q65,武学奇术!$A:$ZZ,25,FALSE)</f>
        <v>陌刀</v>
      </c>
      <c r="AM65" s="27">
        <f>VLOOKUP($Q65,武学奇术!$A:$ZZ,26,FALSE)</f>
        <v>0.5</v>
      </c>
      <c r="AN65" s="28">
        <f>VLOOKUP($Q65,武学奇术!$A:$ZZ,27,FALSE)*(1+IF(OR($AL65=$F$4,$AL65=$F$5),$B$22,0))</f>
        <v>0</v>
      </c>
      <c r="AO65" s="27">
        <f>VLOOKUP($Q65,武学奇术!$A:$ZZ,28,FALSE)</f>
        <v>0.75</v>
      </c>
      <c r="AP65" s="28">
        <f>VLOOKUP($Q65,武学奇术!$A:$ZZ,29,FALSE)*(1+IF(OR($AL65=$F$4,$AL65=$F$5),$B$22,0))</f>
        <v>0</v>
      </c>
      <c r="AQ65" s="27" cm="1">
        <f t="array" ref="AQ65">$G$3+IFERROR(VLOOKUP($AL65,$F$4:$G$7,2,FALSE),0)+VLOOKUP($Q65,武学奇术!$A:$ZZ,2,FALSE)+SUM(_xlfn.XLOOKUP($R65:$AK65,增益!$A:$A,增益!$B:$B,0))</f>
        <v>0.8141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3636.7</v>
      </c>
      <c r="AT65" cm="1">
        <f t="array" ref="AT65">$E$10*(1+$AR65)+VLOOKUP($Q65,武学奇术!$A:$ZZ,4,FALSE)+SUM(_xlfn.XLOOKUP($R65:$AK65,增益!$A:$A,增益!$D:$D,0))-$I$2</f>
        <v>3636.7</v>
      </c>
      <c r="AU65" s="34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0.452</v>
      </c>
      <c r="AV65" s="34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4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4" cm="1">
        <f t="array" ref="BA65">$G$11+VLOOKUP($Q65,武学奇术!$A:$ZZ,10,FALSE)+SUM(_xlfn.XLOOKUP($R65:$AK65,增益!$A:$A,增益!$J:$J,0))</f>
        <v>0</v>
      </c>
      <c r="BB65">
        <f t="shared" si="14"/>
        <v>591.9</v>
      </c>
      <c r="BC65">
        <f t="shared" si="15"/>
        <v>1600.3</v>
      </c>
      <c r="BD65" s="34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0.17</v>
      </c>
      <c r="BE65" s="34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4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4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4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4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1</v>
      </c>
      <c r="BP65" s="27" cm="1">
        <f t="array" ref="BP65">1+$B$13+VLOOKUP($Q65,武学奇术!$A:$ZZ,18,FALSE)+SUM(_xlfn.XLOOKUP($R65:$AK65,增益!$A:$A,增益!$R:$R,0))</f>
        <v>2.1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</v>
      </c>
      <c r="BR65" s="27" cm="1">
        <f t="array" ref="BR65">1+$B$14+VLOOKUP($Q65,武学奇术!$A:$ZZ,20,FALSE)+SUM(_xlfn.XLOOKUP($R65:$AK65,增益!$A:$A,增益!$T:$T,0))</f>
        <v>1.35</v>
      </c>
      <c r="BS65" s="27">
        <f t="shared" si="20"/>
        <v>1</v>
      </c>
      <c r="BT65" s="27">
        <f t="shared" si="21"/>
        <v>0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0.11</v>
      </c>
    </row>
    <row r="66" spans="1:74">
      <c r="A66" s="4" t="s">
        <v>171</v>
      </c>
      <c r="B66" s="4">
        <v>2.3</v>
      </c>
      <c r="D66" s="41"/>
      <c r="E66" s="41" t="s">
        <v>172</v>
      </c>
      <c r="K66" s="40">
        <f t="shared" si="22"/>
        <v>75281.4242190251</v>
      </c>
      <c r="L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75281.4242190251</v>
      </c>
      <c r="M66" s="40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54967.8770588652</v>
      </c>
      <c r="N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35848.2972471548</v>
      </c>
      <c r="O66" s="40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30979.6485247798</v>
      </c>
      <c r="P66" s="41">
        <v>2</v>
      </c>
      <c r="Q66" s="42" t="s">
        <v>117</v>
      </c>
      <c r="R66" s="42" t="s">
        <v>103</v>
      </c>
      <c r="S66" s="42" t="s">
        <v>169</v>
      </c>
      <c r="T66" s="42" t="s">
        <v>86</v>
      </c>
      <c r="U66" s="42" t="s">
        <v>121</v>
      </c>
      <c r="V66" s="42" t="s">
        <v>118</v>
      </c>
      <c r="W66" s="42" t="s">
        <v>77</v>
      </c>
      <c r="X66" s="42" t="s">
        <v>176</v>
      </c>
      <c r="Y66" s="42" t="s">
        <v>77</v>
      </c>
      <c r="Z66" s="42" t="s">
        <v>77</v>
      </c>
      <c r="AA66" s="42" t="s">
        <v>73</v>
      </c>
      <c r="AB66" s="42" t="s">
        <v>95</v>
      </c>
      <c r="AC66" s="42" t="s">
        <v>77</v>
      </c>
      <c r="AD66" s="42" t="s">
        <v>80</v>
      </c>
      <c r="AE66" s="42" t="s">
        <v>81</v>
      </c>
      <c r="AF66" s="42" t="s">
        <v>82</v>
      </c>
      <c r="AG66" s="42" t="s">
        <v>77</v>
      </c>
      <c r="AH66" s="42" t="s">
        <v>77</v>
      </c>
      <c r="AI66" s="42" t="s">
        <v>77</v>
      </c>
      <c r="AJ66" s="42" t="s">
        <v>77</v>
      </c>
      <c r="AK66" s="42" t="s">
        <v>90</v>
      </c>
      <c r="AL66" t="str">
        <f>VLOOKUP($Q66,武学奇术!$A:$ZZ,25,FALSE)</f>
        <v>陌刀</v>
      </c>
      <c r="AM66" s="27">
        <f>VLOOKUP($Q66,武学奇术!$A:$ZZ,26,FALSE)</f>
        <v>0.9</v>
      </c>
      <c r="AN66" s="28">
        <f>VLOOKUP($Q66,武学奇术!$A:$ZZ,27,FALSE)*(1+IF(OR($AL66=$F$4,$AL66=$F$5),$B$22,0))</f>
        <v>0</v>
      </c>
      <c r="AO66" s="27">
        <f>VLOOKUP($Q66,武学奇术!$A:$ZZ,28,FALSE)</f>
        <v>1.35</v>
      </c>
      <c r="AP66" s="28">
        <f>VLOOKUP($Q66,武学奇术!$A:$ZZ,29,FALSE)*(1+IF(OR($AL66=$F$4,$AL66=$F$5),$B$22,0))</f>
        <v>0</v>
      </c>
      <c r="AQ66" s="27" cm="1">
        <f t="array" ref="AQ66">$G$3+IFERROR(VLOOKUP($AL66,$F$4:$G$7,2,FALSE),0)+VLOOKUP($Q66,武学奇术!$A:$ZZ,2,FALSE)+SUM(_xlfn.XLOOKUP($R66:$AK66,增益!$A:$A,增益!$B:$B,0))</f>
        <v>0.8141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3636.7</v>
      </c>
      <c r="AT66" cm="1">
        <f t="array" ref="AT66">$E$10*(1+$AR66)+VLOOKUP($Q66,武学奇术!$A:$ZZ,4,FALSE)+SUM(_xlfn.XLOOKUP($R66:$AK66,增益!$A:$A,增益!$D:$D,0))-$I$2</f>
        <v>3636.7</v>
      </c>
      <c r="AU66" s="34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0.452</v>
      </c>
      <c r="AV66" s="34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4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4" cm="1">
        <f t="array" ref="BA66">$G$11+VLOOKUP($Q66,武学奇术!$A:$ZZ,10,FALSE)+SUM(_xlfn.XLOOKUP($R66:$AK66,增益!$A:$A,增益!$J:$J,0))</f>
        <v>0</v>
      </c>
      <c r="BB66">
        <f t="shared" si="14"/>
        <v>591.9</v>
      </c>
      <c r="BC66">
        <f t="shared" si="15"/>
        <v>1600.3</v>
      </c>
      <c r="BD66" s="34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0.17</v>
      </c>
      <c r="BE66" s="34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4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4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4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4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1</v>
      </c>
      <c r="BP66" s="27" cm="1">
        <f t="array" ref="BP66">1+$B$13+VLOOKUP($Q66,武学奇术!$A:$ZZ,18,FALSE)+SUM(_xlfn.XLOOKUP($R66:$AK66,增益!$A:$A,增益!$R:$R,0))</f>
        <v>2.1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</v>
      </c>
      <c r="BR66" s="27" cm="1">
        <f t="array" ref="BR66">1+$B$14+VLOOKUP($Q66,武学奇术!$A:$ZZ,20,FALSE)+SUM(_xlfn.XLOOKUP($R66:$AK66,增益!$A:$A,增益!$T:$T,0))</f>
        <v>1.35</v>
      </c>
      <c r="BS66" s="27">
        <f t="shared" si="20"/>
        <v>1</v>
      </c>
      <c r="BT66" s="27">
        <f t="shared" si="21"/>
        <v>0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0.11</v>
      </c>
    </row>
    <row r="67" spans="1:74">
      <c r="A67" s="4" t="s">
        <v>171</v>
      </c>
      <c r="B67" s="4">
        <v>2.3</v>
      </c>
      <c r="D67" s="41"/>
      <c r="E67" s="41"/>
      <c r="H67" s="4"/>
      <c r="K67" s="40">
        <f t="shared" si="22"/>
        <v>722403.013886974</v>
      </c>
      <c r="L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722403.013886974</v>
      </c>
      <c r="M67" s="40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519666.942876192</v>
      </c>
      <c r="N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344001.435184273</v>
      </c>
      <c r="O67" s="40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303064.39416396</v>
      </c>
      <c r="P67" s="41">
        <v>2</v>
      </c>
      <c r="Q67" s="42" t="s">
        <v>120</v>
      </c>
      <c r="R67" s="42" t="s">
        <v>103</v>
      </c>
      <c r="S67" s="42" t="s">
        <v>169</v>
      </c>
      <c r="T67" s="42" t="s">
        <v>86</v>
      </c>
      <c r="U67" s="42" t="s">
        <v>121</v>
      </c>
      <c r="V67" s="42" t="s">
        <v>118</v>
      </c>
      <c r="W67" s="42" t="s">
        <v>77</v>
      </c>
      <c r="X67" s="42" t="s">
        <v>176</v>
      </c>
      <c r="Y67" s="42" t="s">
        <v>77</v>
      </c>
      <c r="Z67" s="42" t="s">
        <v>77</v>
      </c>
      <c r="AA67" s="42" t="s">
        <v>73</v>
      </c>
      <c r="AB67" s="42" t="s">
        <v>95</v>
      </c>
      <c r="AC67" s="42" t="s">
        <v>77</v>
      </c>
      <c r="AD67" s="42" t="s">
        <v>80</v>
      </c>
      <c r="AE67" s="42" t="s">
        <v>81</v>
      </c>
      <c r="AF67" s="42" t="s">
        <v>82</v>
      </c>
      <c r="AG67" s="42" t="s">
        <v>77</v>
      </c>
      <c r="AH67" s="42" t="s">
        <v>77</v>
      </c>
      <c r="AI67" s="42" t="s">
        <v>77</v>
      </c>
      <c r="AJ67" s="42" t="s">
        <v>77</v>
      </c>
      <c r="AK67" s="42" t="s">
        <v>90</v>
      </c>
      <c r="AL67" t="str">
        <f>VLOOKUP($Q67,武学奇术!$A:$ZZ,25,FALSE)</f>
        <v>陌刀</v>
      </c>
      <c r="AM67" s="27">
        <f>VLOOKUP($Q67,武学奇术!$A:$ZZ,26,FALSE)</f>
        <v>7.5674</v>
      </c>
      <c r="AN67" s="28">
        <f>VLOOKUP($Q67,武学奇术!$A:$ZZ,27,FALSE)*(1+IF(OR($AL67=$F$4,$AL67=$F$5),$B$22,0))</f>
        <v>3139.5</v>
      </c>
      <c r="AO67" s="27">
        <f>VLOOKUP($Q67,武学奇术!$A:$ZZ,28,FALSE)</f>
        <v>11.3512</v>
      </c>
      <c r="AP67" s="28">
        <f>VLOOKUP($Q67,武学奇术!$A:$ZZ,29,FALSE)*(1+IF(OR($AL67=$F$4,$AL67=$F$5),$B$22,0))</f>
        <v>1710</v>
      </c>
      <c r="AQ67" s="27" cm="1">
        <f t="array" ref="AQ67">$G$3+IFERROR(VLOOKUP($AL67,$F$4:$G$7,2,FALSE),0)+VLOOKUP($Q67,武学奇术!$A:$ZZ,2,FALSE)+SUM(_xlfn.XLOOKUP($R67:$AK67,增益!$A:$A,增益!$B:$B,0))</f>
        <v>0.8141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3636.7</v>
      </c>
      <c r="AT67" cm="1">
        <f t="array" ref="AT67">$E$10*(1+$AR67)+VLOOKUP($Q67,武学奇术!$A:$ZZ,4,FALSE)+SUM(_xlfn.XLOOKUP($R67:$AK67,增益!$A:$A,增益!$D:$D,0))-$I$2</f>
        <v>3636.7</v>
      </c>
      <c r="AU67" s="34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0.452</v>
      </c>
      <c r="AV67" s="34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ref="AX67:AX98" si="23">$D$11*(1+$AW67)</f>
        <v>0</v>
      </c>
      <c r="AY67">
        <f t="shared" ref="AY67:AY98" si="24">$E$11*(1+$AW67)</f>
        <v>0</v>
      </c>
      <c r="AZ67" s="34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34" cm="1">
        <f t="array" ref="BA67">$G$11+VLOOKUP($Q67,武学奇术!$A:$ZZ,10,FALSE)+SUM(_xlfn.XLOOKUP($R67:$AK67,增益!$A:$A,增益!$J:$J,0))</f>
        <v>0</v>
      </c>
      <c r="BB67">
        <f t="shared" ref="BB67:BB98" si="25">$D$12*(1+$AW67)</f>
        <v>591.9</v>
      </c>
      <c r="BC67">
        <f t="shared" ref="BC67:BC98" si="26">$E$12*(1+$AW67)</f>
        <v>1600.3</v>
      </c>
      <c r="BD67" s="34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0.17</v>
      </c>
      <c r="BE67" s="34" cm="1">
        <f t="array" ref="BE67">$G$12+VLOOKUP($Q67,武学奇术!$A:$ZZ,12,FALSE)+SUM(_xlfn.XLOOKUP($R67:$AK67,增益!$A:$A,增益!$L:$L,0))</f>
        <v>0.15</v>
      </c>
      <c r="BF67">
        <f t="shared" ref="BF67:BF98" si="27">$D$13*(1+$AW67)</f>
        <v>0</v>
      </c>
      <c r="BG67">
        <f t="shared" ref="BG67:BG98" si="28">$E$13*(1+$AW67)</f>
        <v>0</v>
      </c>
      <c r="BH67" s="34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-0.14</v>
      </c>
      <c r="BI67" s="34" cm="1">
        <f t="array" ref="BI67">$G$13+VLOOKUP($Q67,武学奇术!$A:$ZZ,14,FALSE)+SUM(_xlfn.XLOOKUP($R67:$AK67,增益!$A:$A,增益!$N:$N,0))</f>
        <v>0</v>
      </c>
      <c r="BJ67">
        <f t="shared" ref="BJ67:BJ98" si="29">$D$14*(1+$AW67)</f>
        <v>0</v>
      </c>
      <c r="BK67">
        <f t="shared" ref="BK67:BK98" si="30">$E$14*(1+$AW67)</f>
        <v>0</v>
      </c>
      <c r="BL67" s="34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34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1</v>
      </c>
      <c r="BP67" s="27" cm="1">
        <f t="array" ref="BP67">1+$B$13+VLOOKUP($Q67,武学奇术!$A:$ZZ,18,FALSE)+SUM(_xlfn.XLOOKUP($R67:$AK67,增益!$A:$A,增益!$R:$R,0))</f>
        <v>2.1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</v>
      </c>
      <c r="BR67" s="27" cm="1">
        <f t="array" ref="BR67">1+$B$14+VLOOKUP($Q67,武学奇术!$A:$ZZ,20,FALSE)+SUM(_xlfn.XLOOKUP($R67:$AK67,增益!$A:$A,增益!$T:$T,0))</f>
        <v>1.35</v>
      </c>
      <c r="BS67" s="27">
        <f t="shared" ref="BS67:BS98" si="31">MIN((1-BQ67)*BN67,BN67*BO67)</f>
        <v>1</v>
      </c>
      <c r="BT67" s="27">
        <f t="shared" ref="BT67:BT98" si="32">1-BQ67-BS67-BU67</f>
        <v>0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A68" s="4" t="s">
        <v>171</v>
      </c>
      <c r="B68" s="4">
        <v>2.3</v>
      </c>
      <c r="D68" s="41"/>
      <c r="E68" s="41"/>
      <c r="H68" s="4"/>
      <c r="K68" s="40">
        <f t="shared" si="22"/>
        <v>20911.506727507</v>
      </c>
      <c r="L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20911.506727507</v>
      </c>
      <c r="M68" s="40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15268.8547385737</v>
      </c>
      <c r="N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9957.86034643189</v>
      </c>
      <c r="O68" s="40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8605.45792354995</v>
      </c>
      <c r="P68" s="41">
        <v>1</v>
      </c>
      <c r="Q68" s="42" t="s">
        <v>125</v>
      </c>
      <c r="R68" s="42" t="s">
        <v>103</v>
      </c>
      <c r="S68" s="42" t="s">
        <v>169</v>
      </c>
      <c r="T68" s="42" t="s">
        <v>86</v>
      </c>
      <c r="U68" s="42" t="s">
        <v>121</v>
      </c>
      <c r="V68" s="42" t="s">
        <v>118</v>
      </c>
      <c r="W68" s="42" t="s">
        <v>77</v>
      </c>
      <c r="X68" s="42" t="s">
        <v>176</v>
      </c>
      <c r="Y68" s="42" t="s">
        <v>77</v>
      </c>
      <c r="Z68" s="42" t="s">
        <v>77</v>
      </c>
      <c r="AA68" s="42" t="s">
        <v>73</v>
      </c>
      <c r="AB68" s="42" t="s">
        <v>89</v>
      </c>
      <c r="AC68" s="42" t="s">
        <v>77</v>
      </c>
      <c r="AD68" s="42" t="s">
        <v>80</v>
      </c>
      <c r="AE68" s="42" t="s">
        <v>81</v>
      </c>
      <c r="AF68" s="42" t="s">
        <v>82</v>
      </c>
      <c r="AG68" s="42" t="s">
        <v>77</v>
      </c>
      <c r="AH68" s="42" t="s">
        <v>77</v>
      </c>
      <c r="AI68" s="42" t="s">
        <v>77</v>
      </c>
      <c r="AJ68" s="42" t="s">
        <v>77</v>
      </c>
      <c r="AK68" s="42" t="s">
        <v>90</v>
      </c>
      <c r="AL68" t="str">
        <f>VLOOKUP($Q68,武学奇术!$A:$ZZ,25,FALSE)</f>
        <v>陌刀</v>
      </c>
      <c r="AM68" s="27">
        <f>VLOOKUP($Q68,武学奇术!$A:$ZZ,26,FALSE)</f>
        <v>0.5</v>
      </c>
      <c r="AN68" s="28">
        <f>VLOOKUP($Q68,武学奇术!$A:$ZZ,27,FALSE)*(1+IF(OR($AL68=$F$4,$AL68=$F$5),$B$22,0))</f>
        <v>0</v>
      </c>
      <c r="AO68" s="27">
        <f>VLOOKUP($Q68,武学奇术!$A:$ZZ,28,FALSE)</f>
        <v>0.75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0.8141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3636.7</v>
      </c>
      <c r="AT68" cm="1">
        <f t="array" ref="AT68">$E$10*(1+$AR68)+VLOOKUP($Q68,武学奇术!$A:$ZZ,4,FALSE)+SUM(_xlfn.XLOOKUP($R68:$AK68,增益!$A:$A,增益!$D:$D,0))-$I$2</f>
        <v>3636.7</v>
      </c>
      <c r="AU68" s="34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0.452</v>
      </c>
      <c r="AV68" s="34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4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34" cm="1">
        <f t="array" ref="BA68">$G$11+VLOOKUP($Q68,武学奇术!$A:$ZZ,10,FALSE)+SUM(_xlfn.XLOOKUP($R68:$AK68,增益!$A:$A,增益!$J:$J,0))</f>
        <v>0</v>
      </c>
      <c r="BB68">
        <f t="shared" si="25"/>
        <v>591.9</v>
      </c>
      <c r="BC68">
        <f t="shared" si="26"/>
        <v>1600.3</v>
      </c>
      <c r="BD68" s="34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0.17</v>
      </c>
      <c r="BE68" s="34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4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-0.14</v>
      </c>
      <c r="BI68" s="34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4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34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1</v>
      </c>
      <c r="BP68" s="27" cm="1">
        <f t="array" ref="BP68">1+$B$13+VLOOKUP($Q68,武学奇术!$A:$ZZ,18,FALSE)+SUM(_xlfn.XLOOKUP($R68:$AK68,增益!$A:$A,增益!$R:$R,0))</f>
        <v>2.1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</v>
      </c>
      <c r="BR68" s="27" cm="1">
        <f t="array" ref="BR68">1+$B$14+VLOOKUP($Q68,武学奇术!$A:$ZZ,20,FALSE)+SUM(_xlfn.XLOOKUP($R68:$AK68,增益!$A:$A,增益!$T:$T,0))</f>
        <v>1.35</v>
      </c>
      <c r="BS68" s="27">
        <f t="shared" si="31"/>
        <v>1</v>
      </c>
      <c r="BT68" s="27">
        <f t="shared" si="32"/>
        <v>0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A69" s="4" t="s">
        <v>171</v>
      </c>
      <c r="B69" s="4">
        <v>2.3</v>
      </c>
      <c r="D69" s="41"/>
      <c r="K69" s="40">
        <f t="shared" si="22"/>
        <v>37640.7121095126</v>
      </c>
      <c r="L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37640.7121095126</v>
      </c>
      <c r="M69" s="40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27483.9385294326</v>
      </c>
      <c r="N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17924.1486235774</v>
      </c>
      <c r="O69" s="40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15489.8242623899</v>
      </c>
      <c r="P69" s="41">
        <v>1</v>
      </c>
      <c r="Q69" s="42" t="s">
        <v>117</v>
      </c>
      <c r="R69" s="42" t="s">
        <v>103</v>
      </c>
      <c r="S69" s="42" t="s">
        <v>169</v>
      </c>
      <c r="T69" s="42" t="s">
        <v>86</v>
      </c>
      <c r="U69" s="42" t="s">
        <v>121</v>
      </c>
      <c r="V69" s="42" t="s">
        <v>118</v>
      </c>
      <c r="W69" s="42" t="s">
        <v>77</v>
      </c>
      <c r="X69" s="42" t="s">
        <v>176</v>
      </c>
      <c r="Y69" s="42" t="s">
        <v>77</v>
      </c>
      <c r="Z69" s="42" t="s">
        <v>77</v>
      </c>
      <c r="AA69" s="42" t="s">
        <v>73</v>
      </c>
      <c r="AB69" s="42" t="s">
        <v>89</v>
      </c>
      <c r="AC69" s="42" t="s">
        <v>77</v>
      </c>
      <c r="AD69" s="42" t="s">
        <v>80</v>
      </c>
      <c r="AE69" s="42" t="s">
        <v>81</v>
      </c>
      <c r="AF69" s="42" t="s">
        <v>82</v>
      </c>
      <c r="AG69" s="42" t="s">
        <v>77</v>
      </c>
      <c r="AH69" s="42" t="s">
        <v>77</v>
      </c>
      <c r="AI69" s="42" t="s">
        <v>77</v>
      </c>
      <c r="AJ69" s="42" t="s">
        <v>77</v>
      </c>
      <c r="AK69" s="42" t="s">
        <v>90</v>
      </c>
      <c r="AL69" t="str">
        <f>VLOOKUP($Q69,武学奇术!$A:$ZZ,25,FALSE)</f>
        <v>陌刀</v>
      </c>
      <c r="AM69" s="27">
        <f>VLOOKUP($Q69,武学奇术!$A:$ZZ,26,FALSE)</f>
        <v>0.9</v>
      </c>
      <c r="AN69" s="28">
        <f>VLOOKUP($Q69,武学奇术!$A:$ZZ,27,FALSE)*(1+IF(OR($AL69=$F$4,$AL69=$F$5),$B$22,0))</f>
        <v>0</v>
      </c>
      <c r="AO69" s="27">
        <f>VLOOKUP($Q69,武学奇术!$A:$ZZ,28,FALSE)</f>
        <v>1.35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0.8141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3636.7</v>
      </c>
      <c r="AT69" cm="1">
        <f t="array" ref="AT69">$E$10*(1+$AR69)+VLOOKUP($Q69,武学奇术!$A:$ZZ,4,FALSE)+SUM(_xlfn.XLOOKUP($R69:$AK69,增益!$A:$A,增益!$D:$D,0))-$I$2</f>
        <v>3636.7</v>
      </c>
      <c r="AU69" s="34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0.452</v>
      </c>
      <c r="AV69" s="34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4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34" cm="1">
        <f t="array" ref="BA69">$G$11+VLOOKUP($Q69,武学奇术!$A:$ZZ,10,FALSE)+SUM(_xlfn.XLOOKUP($R69:$AK69,增益!$A:$A,增益!$J:$J,0))</f>
        <v>0</v>
      </c>
      <c r="BB69">
        <f t="shared" si="25"/>
        <v>591.9</v>
      </c>
      <c r="BC69">
        <f t="shared" si="26"/>
        <v>1600.3</v>
      </c>
      <c r="BD69" s="34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0.17</v>
      </c>
      <c r="BE69" s="34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4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-0.14</v>
      </c>
      <c r="BI69" s="34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4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34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1</v>
      </c>
      <c r="BP69" s="27" cm="1">
        <f t="array" ref="BP69">1+$B$13+VLOOKUP($Q69,武学奇术!$A:$ZZ,18,FALSE)+SUM(_xlfn.XLOOKUP($R69:$AK69,增益!$A:$A,增益!$R:$R,0))</f>
        <v>2.1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</v>
      </c>
      <c r="BR69" s="27" cm="1">
        <f t="array" ref="BR69">1+$B$14+VLOOKUP($Q69,武学奇术!$A:$ZZ,20,FALSE)+SUM(_xlfn.XLOOKUP($R69:$AK69,增益!$A:$A,增益!$T:$T,0))</f>
        <v>1.35</v>
      </c>
      <c r="BS69" s="27">
        <f t="shared" si="31"/>
        <v>1</v>
      </c>
      <c r="BT69" s="27">
        <f t="shared" si="32"/>
        <v>0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A70" s="4" t="s">
        <v>174</v>
      </c>
      <c r="B70" s="4">
        <v>2</v>
      </c>
      <c r="D70" s="41"/>
      <c r="K70" s="40">
        <f t="shared" si="22"/>
        <v>361201.506943487</v>
      </c>
      <c r="L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361201.506943487</v>
      </c>
      <c r="M70" s="40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259833.471438096</v>
      </c>
      <c r="N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172000.717592137</v>
      </c>
      <c r="O70" s="40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151532.19708198</v>
      </c>
      <c r="P70" s="41">
        <v>1</v>
      </c>
      <c r="Q70" s="42" t="s">
        <v>120</v>
      </c>
      <c r="R70" s="42" t="s">
        <v>103</v>
      </c>
      <c r="S70" s="42" t="s">
        <v>169</v>
      </c>
      <c r="T70" s="42" t="s">
        <v>86</v>
      </c>
      <c r="U70" s="42" t="s">
        <v>121</v>
      </c>
      <c r="V70" s="42" t="s">
        <v>118</v>
      </c>
      <c r="W70" s="42" t="s">
        <v>77</v>
      </c>
      <c r="X70" s="42" t="s">
        <v>176</v>
      </c>
      <c r="Y70" s="42" t="s">
        <v>77</v>
      </c>
      <c r="Z70" s="42" t="s">
        <v>77</v>
      </c>
      <c r="AA70" s="42" t="s">
        <v>73</v>
      </c>
      <c r="AB70" s="42" t="s">
        <v>89</v>
      </c>
      <c r="AC70" s="42" t="s">
        <v>77</v>
      </c>
      <c r="AD70" s="42" t="s">
        <v>80</v>
      </c>
      <c r="AE70" s="42" t="s">
        <v>81</v>
      </c>
      <c r="AF70" s="42" t="s">
        <v>82</v>
      </c>
      <c r="AG70" s="42" t="s">
        <v>77</v>
      </c>
      <c r="AH70" s="42" t="s">
        <v>77</v>
      </c>
      <c r="AI70" s="42" t="s">
        <v>77</v>
      </c>
      <c r="AJ70" s="42" t="s">
        <v>77</v>
      </c>
      <c r="AK70" s="42" t="s">
        <v>90</v>
      </c>
      <c r="AL70" t="str">
        <f>VLOOKUP($Q70,武学奇术!$A:$ZZ,25,FALSE)</f>
        <v>陌刀</v>
      </c>
      <c r="AM70" s="27">
        <f>VLOOKUP($Q70,武学奇术!$A:$ZZ,26,FALSE)</f>
        <v>7.5674</v>
      </c>
      <c r="AN70" s="28">
        <f>VLOOKUP($Q70,武学奇术!$A:$ZZ,27,FALSE)*(1+IF(OR($AL70=$F$4,$AL70=$F$5),$B$22,0))</f>
        <v>3139.5</v>
      </c>
      <c r="AO70" s="27">
        <f>VLOOKUP($Q70,武学奇术!$A:$ZZ,28,FALSE)</f>
        <v>11.3512</v>
      </c>
      <c r="AP70" s="28">
        <f>VLOOKUP($Q70,武学奇术!$A:$ZZ,29,FALSE)*(1+IF(OR($AL70=$F$4,$AL70=$F$5),$B$22,0))</f>
        <v>1710</v>
      </c>
      <c r="AQ70" s="27" cm="1">
        <f t="array" ref="AQ70">$G$3+IFERROR(VLOOKUP($AL70,$F$4:$G$7,2,FALSE),0)+VLOOKUP($Q70,武学奇术!$A:$ZZ,2,FALSE)+SUM(_xlfn.XLOOKUP($R70:$AK70,增益!$A:$A,增益!$B:$B,0))</f>
        <v>0.8141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3636.7</v>
      </c>
      <c r="AT70" cm="1">
        <f t="array" ref="AT70">$E$10*(1+$AR70)+VLOOKUP($Q70,武学奇术!$A:$ZZ,4,FALSE)+SUM(_xlfn.XLOOKUP($R70:$AK70,增益!$A:$A,增益!$D:$D,0))-$I$2</f>
        <v>3636.7</v>
      </c>
      <c r="AU70" s="34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0.452</v>
      </c>
      <c r="AV70" s="34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4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34" cm="1">
        <f t="array" ref="BA70">$G$11+VLOOKUP($Q70,武学奇术!$A:$ZZ,10,FALSE)+SUM(_xlfn.XLOOKUP($R70:$AK70,增益!$A:$A,增益!$J:$J,0))</f>
        <v>0</v>
      </c>
      <c r="BB70">
        <f t="shared" si="25"/>
        <v>591.9</v>
      </c>
      <c r="BC70">
        <f t="shared" si="26"/>
        <v>1600.3</v>
      </c>
      <c r="BD70" s="34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0.17</v>
      </c>
      <c r="BE70" s="34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4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-0.14</v>
      </c>
      <c r="BI70" s="34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4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34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1</v>
      </c>
      <c r="BP70" s="27" cm="1">
        <f t="array" ref="BP70">1+$B$13+VLOOKUP($Q70,武学奇术!$A:$ZZ,18,FALSE)+SUM(_xlfn.XLOOKUP($R70:$AK70,增益!$A:$A,增益!$R:$R,0))</f>
        <v>2.1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</v>
      </c>
      <c r="BR70" s="27" cm="1">
        <f t="array" ref="BR70">1+$B$14+VLOOKUP($Q70,武学奇术!$A:$ZZ,20,FALSE)+SUM(_xlfn.XLOOKUP($R70:$AK70,增益!$A:$A,增益!$T:$T,0))</f>
        <v>1.35</v>
      </c>
      <c r="BS70" s="27">
        <f t="shared" si="31"/>
        <v>1</v>
      </c>
      <c r="BT70" s="27">
        <f t="shared" si="32"/>
        <v>0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A71" s="4" t="s">
        <v>177</v>
      </c>
      <c r="B71" s="4">
        <v>1</v>
      </c>
      <c r="D71" s="41"/>
      <c r="K71" s="40">
        <f t="shared" si="22"/>
        <v>160790.772150553</v>
      </c>
      <c r="L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164803.485840974</v>
      </c>
      <c r="M71" s="40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144814.388740222</v>
      </c>
      <c r="N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94714.6470350425</v>
      </c>
      <c r="O71" s="40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82159.3764847352</v>
      </c>
      <c r="P71" s="41">
        <v>1</v>
      </c>
      <c r="Q71" s="42" t="s">
        <v>149</v>
      </c>
      <c r="R71" s="42" t="s">
        <v>103</v>
      </c>
      <c r="S71" s="42" t="s">
        <v>169</v>
      </c>
      <c r="T71" s="42" t="s">
        <v>86</v>
      </c>
      <c r="U71" s="42" t="s">
        <v>87</v>
      </c>
      <c r="V71" s="42" t="s">
        <v>77</v>
      </c>
      <c r="W71" s="42" t="s">
        <v>77</v>
      </c>
      <c r="X71" s="42" t="s">
        <v>176</v>
      </c>
      <c r="Y71" s="42" t="s">
        <v>77</v>
      </c>
      <c r="Z71" s="42" t="s">
        <v>77</v>
      </c>
      <c r="AA71" s="42" t="s">
        <v>77</v>
      </c>
      <c r="AB71" s="42" t="s">
        <v>89</v>
      </c>
      <c r="AC71" s="42" t="s">
        <v>77</v>
      </c>
      <c r="AD71" s="42" t="s">
        <v>80</v>
      </c>
      <c r="AE71" s="42" t="s">
        <v>81</v>
      </c>
      <c r="AF71" s="42" t="s">
        <v>82</v>
      </c>
      <c r="AG71" s="42" t="s">
        <v>77</v>
      </c>
      <c r="AH71" s="42" t="s">
        <v>77</v>
      </c>
      <c r="AI71" s="42" t="s">
        <v>77</v>
      </c>
      <c r="AJ71" s="42" t="s">
        <v>77</v>
      </c>
      <c r="AK71" s="42" t="s">
        <v>90</v>
      </c>
      <c r="AL71" t="str">
        <f>VLOOKUP($Q71,武学奇术!$A:$ZZ,25,FALSE)</f>
        <v>单体奇术</v>
      </c>
      <c r="AM71" s="27">
        <f>VLOOKUP($Q71,武学奇术!$A:$ZZ,26,FALSE)</f>
        <v>7.1084</v>
      </c>
      <c r="AN71" s="28">
        <f>VLOOKUP($Q71,武学奇术!$A:$ZZ,27,FALSE)*(1+IF(OR($AL71=$F$4,$AL71=$F$5),$B$22,0))</f>
        <v>1369</v>
      </c>
      <c r="AO71" s="27">
        <f>VLOOKUP($Q71,武学奇术!$A:$ZZ,28,FALSE)</f>
        <v>10.6626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0.5637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3636.7</v>
      </c>
      <c r="AT71" cm="1">
        <f t="array" ref="AT71">$E$10*(1+$AR71)+VLOOKUP($Q71,武学奇术!$A:$ZZ,4,FALSE)+SUM(_xlfn.XLOOKUP($R71:$AK71,增益!$A:$A,增益!$D:$D,0))-$I$2</f>
        <v>3636.7</v>
      </c>
      <c r="AU71" s="34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0.427</v>
      </c>
      <c r="AV71" s="34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4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34" cm="1">
        <f t="array" ref="BA71">$G$11+VLOOKUP($Q71,武学奇术!$A:$ZZ,10,FALSE)+SUM(_xlfn.XLOOKUP($R71:$AK71,增益!$A:$A,增益!$J:$J,0))</f>
        <v>0</v>
      </c>
      <c r="BB71">
        <f t="shared" si="25"/>
        <v>591.9</v>
      </c>
      <c r="BC71">
        <f t="shared" si="26"/>
        <v>1600.3</v>
      </c>
      <c r="BD71" s="34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0.17</v>
      </c>
      <c r="BE71" s="34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4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-0.14</v>
      </c>
      <c r="BI71" s="34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4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34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0.9859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7" cm="1">
        <f t="array" ref="BP71">1+$B$13+VLOOKUP($Q71,武学奇术!$A:$ZZ,18,FALSE)+SUM(_xlfn.XLOOKUP($R71:$AK71,增益!$A:$A,增益!$R:$R,0))</f>
        <v>1.74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7" cm="1">
        <f t="array" ref="BR71">1+$B$14+VLOOKUP($Q71,武学奇术!$A:$ZZ,20,FALSE)+SUM(_xlfn.XLOOKUP($R71:$AK71,增益!$A:$A,增益!$T:$T,0))</f>
        <v>1.35</v>
      </c>
      <c r="BS71" s="27">
        <f t="shared" si="31"/>
        <v>0.87863408</v>
      </c>
      <c r="BT71" s="27">
        <f t="shared" si="32"/>
        <v>0.01567581</v>
      </c>
      <c r="BU71" s="27">
        <f>IF(VLOOKUP($Q71,武学奇术!$A:$ZZ,22,FALSE)=1,0,(1-$BN71))*(1-$BQ71)</f>
        <v>0.01279011</v>
      </c>
      <c r="BV71" s="27" cm="1">
        <f t="array" ref="BV71">SUM(_xlfn.XLOOKUP($R71:$AK71,增益!$A:$A,增益!$W:$W,0))+$I$5</f>
        <v>0.11</v>
      </c>
    </row>
    <row r="72" spans="1:74">
      <c r="A72" s="4" t="s">
        <v>191</v>
      </c>
      <c r="B72" s="4">
        <v>1.7</v>
      </c>
      <c r="D72" s="41"/>
      <c r="K72" s="40">
        <f t="shared" si="22"/>
        <v>58651.391519705</v>
      </c>
      <c r="L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60950.8043191119</v>
      </c>
      <c r="M72" s="40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46036.6156476001</v>
      </c>
      <c r="N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30475.4021595559</v>
      </c>
      <c r="O72" s="40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26849.6075431119</v>
      </c>
      <c r="P72" s="41">
        <v>1</v>
      </c>
      <c r="Q72" s="42" t="s">
        <v>157</v>
      </c>
      <c r="R72" s="42" t="s">
        <v>103</v>
      </c>
      <c r="S72" s="42" t="s">
        <v>77</v>
      </c>
      <c r="T72" s="42" t="s">
        <v>86</v>
      </c>
      <c r="U72" s="42" t="s">
        <v>121</v>
      </c>
      <c r="V72" s="42" t="s">
        <v>77</v>
      </c>
      <c r="W72" s="42" t="s">
        <v>77</v>
      </c>
      <c r="X72" s="42" t="s">
        <v>176</v>
      </c>
      <c r="Y72" s="42" t="s">
        <v>77</v>
      </c>
      <c r="Z72" s="42" t="s">
        <v>77</v>
      </c>
      <c r="AA72" s="42" t="s">
        <v>73</v>
      </c>
      <c r="AB72" s="42" t="s">
        <v>89</v>
      </c>
      <c r="AC72" s="42" t="s">
        <v>77</v>
      </c>
      <c r="AD72" s="42" t="s">
        <v>80</v>
      </c>
      <c r="AE72" s="42" t="s">
        <v>81</v>
      </c>
      <c r="AF72" s="42" t="s">
        <v>82</v>
      </c>
      <c r="AG72" s="42" t="s">
        <v>77</v>
      </c>
      <c r="AH72" s="42" t="s">
        <v>77</v>
      </c>
      <c r="AI72" s="42" t="s">
        <v>77</v>
      </c>
      <c r="AJ72" s="42" t="s">
        <v>77</v>
      </c>
      <c r="AK72" s="42" t="s">
        <v>90</v>
      </c>
      <c r="AL72" t="str">
        <f>VLOOKUP($Q72,武学奇术!$A:$ZZ,25,FALSE)</f>
        <v>陌刀</v>
      </c>
      <c r="AM72" s="27">
        <f>VLOOKUP($Q72,武学奇术!$A:$ZZ,26,FALSE)</f>
        <v>1.8948</v>
      </c>
      <c r="AN72" s="28">
        <f>VLOOKUP($Q72,武学奇术!$A:$ZZ,27,FALSE)*(1+IF(OR($AL72=$F$4,$AL72=$F$5),$B$22,0))</f>
        <v>787.5</v>
      </c>
      <c r="AO72" s="27">
        <f>VLOOKUP($Q72,武学奇术!$A:$ZZ,28,FALSE)</f>
        <v>2.8422</v>
      </c>
      <c r="AP72" s="28">
        <f>VLOOKUP($Q72,武学奇术!$A:$ZZ,29,FALSE)*(1+IF(OR($AL72=$F$4,$AL72=$F$5),$B$22,0))</f>
        <v>429</v>
      </c>
      <c r="AQ72" s="27" cm="1">
        <f t="array" ref="AQ72">$G$3+IFERROR(VLOOKUP($AL72,$F$4:$G$7,2,FALSE),0)+VLOOKUP($Q72,武学奇术!$A:$ZZ,2,FALSE)+SUM(_xlfn.XLOOKUP($R72:$AK72,增益!$A:$A,增益!$B:$B,0))</f>
        <v>0.6941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3636.7</v>
      </c>
      <c r="AT72" cm="1">
        <f t="array" ref="AT72">$E$10*(1+$AR72)+VLOOKUP($Q72,武学奇术!$A:$ZZ,4,FALSE)+SUM(_xlfn.XLOOKUP($R72:$AK72,增益!$A:$A,增益!$D:$D,0))-$I$2</f>
        <v>3636.7</v>
      </c>
      <c r="AU72" s="34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0.452</v>
      </c>
      <c r="AV72" s="34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4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34" cm="1">
        <f t="array" ref="BA72">$G$11+VLOOKUP($Q72,武学奇术!$A:$ZZ,10,FALSE)+SUM(_xlfn.XLOOKUP($R72:$AK72,增益!$A:$A,增益!$J:$J,0))</f>
        <v>0</v>
      </c>
      <c r="BB72">
        <f t="shared" si="25"/>
        <v>591.9</v>
      </c>
      <c r="BC72">
        <f t="shared" si="26"/>
        <v>1600.3</v>
      </c>
      <c r="BD72" s="34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0.17</v>
      </c>
      <c r="BE72" s="34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4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-0.14</v>
      </c>
      <c r="BI72" s="34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4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34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0.9859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7" cm="1">
        <f t="array" ref="BP72">1+$B$13+VLOOKUP($Q72,武学奇术!$A:$ZZ,18,FALSE)+SUM(_xlfn.XLOOKUP($R72:$AK72,增益!$A:$A,增益!$R:$R,0))</f>
        <v>2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7" cm="1">
        <f t="array" ref="BR72">1+$B$14+VLOOKUP($Q72,武学奇术!$A:$ZZ,20,FALSE)+SUM(_xlfn.XLOOKUP($R72:$AK72,增益!$A:$A,增益!$T:$T,0))</f>
        <v>1.35</v>
      </c>
      <c r="BS72" s="27">
        <f t="shared" si="31"/>
        <v>0.87863408</v>
      </c>
      <c r="BT72" s="27">
        <f t="shared" si="32"/>
        <v>0.01567581</v>
      </c>
      <c r="BU72" s="27">
        <f>IF(VLOOKUP($Q72,武学奇术!$A:$ZZ,22,FALSE)=1,0,(1-$BN72))*(1-$BQ72)</f>
        <v>0.01279011</v>
      </c>
      <c r="BV72" s="27" cm="1">
        <f t="array" ref="BV72">SUM(_xlfn.XLOOKUP($R72:$AK72,增益!$A:$A,增益!$W:$W,0))+$I$5</f>
        <v>0.11</v>
      </c>
    </row>
    <row r="73" spans="1:74">
      <c r="A73" s="4" t="s">
        <v>192</v>
      </c>
      <c r="B73" s="4">
        <v>0.7</v>
      </c>
      <c r="D73" s="41"/>
      <c r="K73" s="40">
        <f t="shared" si="22"/>
        <v>27142.9170085487</v>
      </c>
      <c r="L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28179.2811743869</v>
      </c>
      <c r="M73" s="40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21604.3073471758</v>
      </c>
      <c r="N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14089.6405871935</v>
      </c>
      <c r="O73" s="40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12176.0905468493</v>
      </c>
      <c r="P73" s="41">
        <v>1</v>
      </c>
      <c r="Q73" s="42" t="s">
        <v>159</v>
      </c>
      <c r="R73" s="42" t="s">
        <v>103</v>
      </c>
      <c r="S73" s="42" t="s">
        <v>77</v>
      </c>
      <c r="T73" s="42" t="s">
        <v>86</v>
      </c>
      <c r="U73" s="42" t="s">
        <v>121</v>
      </c>
      <c r="V73" s="42" t="s">
        <v>77</v>
      </c>
      <c r="W73" s="42" t="s">
        <v>77</v>
      </c>
      <c r="X73" s="42" t="s">
        <v>176</v>
      </c>
      <c r="Y73" s="42" t="s">
        <v>77</v>
      </c>
      <c r="Z73" s="42" t="s">
        <v>77</v>
      </c>
      <c r="AA73" s="42" t="s">
        <v>73</v>
      </c>
      <c r="AB73" s="42" t="s">
        <v>89</v>
      </c>
      <c r="AC73" s="42" t="s">
        <v>77</v>
      </c>
      <c r="AD73" s="42" t="s">
        <v>80</v>
      </c>
      <c r="AE73" s="42" t="s">
        <v>81</v>
      </c>
      <c r="AF73" s="42" t="s">
        <v>82</v>
      </c>
      <c r="AG73" s="42" t="s">
        <v>77</v>
      </c>
      <c r="AH73" s="42" t="s">
        <v>77</v>
      </c>
      <c r="AI73" s="42" t="s">
        <v>77</v>
      </c>
      <c r="AJ73" s="42" t="s">
        <v>77</v>
      </c>
      <c r="AK73" s="42" t="s">
        <v>90</v>
      </c>
      <c r="AL73" t="str">
        <f>VLOOKUP($Q73,武学奇术!$A:$ZZ,25,FALSE)</f>
        <v>陌刀</v>
      </c>
      <c r="AM73" s="27">
        <f>VLOOKUP($Q73,武学奇术!$A:$ZZ,26,FALSE)</f>
        <v>1</v>
      </c>
      <c r="AN73" s="28">
        <f>VLOOKUP($Q73,武学奇术!$A:$ZZ,27,FALSE)*(1+IF(OR($AL73=$F$4,$AL73=$F$5),$B$22,0))</f>
        <v>0</v>
      </c>
      <c r="AO73" s="27">
        <f>VLOOKUP($Q73,武学奇术!$A:$ZZ,28,FALSE)</f>
        <v>1.5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0.6941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3636.7</v>
      </c>
      <c r="AT73" cm="1">
        <f t="array" ref="AT73">$E$10*(1+$AR73)+VLOOKUP($Q73,武学奇术!$A:$ZZ,4,FALSE)+SUM(_xlfn.XLOOKUP($R73:$AK73,增益!$A:$A,增益!$D:$D,0))-$I$2</f>
        <v>3636.7</v>
      </c>
      <c r="AU73" s="34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0.452</v>
      </c>
      <c r="AV73" s="34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4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34" cm="1">
        <f t="array" ref="BA73">$G$11+VLOOKUP($Q73,武学奇术!$A:$ZZ,10,FALSE)+SUM(_xlfn.XLOOKUP($R73:$AK73,增益!$A:$A,增益!$J:$J,0))</f>
        <v>0</v>
      </c>
      <c r="BB73">
        <f t="shared" si="25"/>
        <v>591.9</v>
      </c>
      <c r="BC73">
        <f t="shared" si="26"/>
        <v>1600.3</v>
      </c>
      <c r="BD73" s="34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0.17</v>
      </c>
      <c r="BE73" s="34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4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-0.14</v>
      </c>
      <c r="BI73" s="34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4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34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0.9859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7" cm="1">
        <f t="array" ref="BP73">1+$B$13+VLOOKUP($Q73,武学奇术!$A:$ZZ,18,FALSE)+SUM(_xlfn.XLOOKUP($R73:$AK73,增益!$A:$A,增益!$R:$R,0))</f>
        <v>2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7" cm="1">
        <f t="array" ref="BR73">1+$B$14+VLOOKUP($Q73,武学奇术!$A:$ZZ,20,FALSE)+SUM(_xlfn.XLOOKUP($R73:$AK73,增益!$A:$A,增益!$T:$T,0))</f>
        <v>1.35</v>
      </c>
      <c r="BS73" s="27">
        <f t="shared" si="31"/>
        <v>0.87863408</v>
      </c>
      <c r="BT73" s="27">
        <f t="shared" si="32"/>
        <v>0.01567581</v>
      </c>
      <c r="BU73" s="27">
        <f>IF(VLOOKUP($Q73,武学奇术!$A:$ZZ,22,FALSE)=1,0,(1-$BN73))*(1-$BQ73)</f>
        <v>0.01279011</v>
      </c>
      <c r="BV73" s="27" cm="1">
        <f t="array" ref="BV73">SUM(_xlfn.XLOOKUP($R73:$AK73,增益!$A:$A,增益!$W:$W,0))+$I$5</f>
        <v>0.11</v>
      </c>
    </row>
    <row r="74" spans="1:74">
      <c r="A74" s="4" t="s">
        <v>188</v>
      </c>
      <c r="B74" s="4">
        <v>0.9</v>
      </c>
      <c r="K74" s="40">
        <f t="shared" ref="K74:K92" si="33">($L74*$BS74+$M74*$BQ74+$N74*$BT74+$O74*$BU74)</f>
        <v>215456.477593891</v>
      </c>
      <c r="L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220833.641554187</v>
      </c>
      <c r="M74" s="40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194046.205027032</v>
      </c>
      <c r="N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126915.885950682</v>
      </c>
      <c r="O74" s="40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110093.842251711</v>
      </c>
      <c r="P74" s="41">
        <v>1</v>
      </c>
      <c r="Q74" s="42" t="s">
        <v>193</v>
      </c>
      <c r="R74" s="42" t="s">
        <v>103</v>
      </c>
      <c r="S74" s="42" t="s">
        <v>77</v>
      </c>
      <c r="T74" s="42" t="s">
        <v>86</v>
      </c>
      <c r="U74" s="42" t="s">
        <v>87</v>
      </c>
      <c r="V74" s="42" t="s">
        <v>77</v>
      </c>
      <c r="W74" s="42" t="s">
        <v>77</v>
      </c>
      <c r="X74" s="42" t="s">
        <v>176</v>
      </c>
      <c r="Y74" s="42" t="s">
        <v>77</v>
      </c>
      <c r="Z74" s="42" t="s">
        <v>77</v>
      </c>
      <c r="AA74" s="42" t="s">
        <v>77</v>
      </c>
      <c r="AB74" s="42" t="s">
        <v>89</v>
      </c>
      <c r="AC74" s="42" t="s">
        <v>77</v>
      </c>
      <c r="AD74" s="42" t="s">
        <v>80</v>
      </c>
      <c r="AE74" s="42" t="s">
        <v>81</v>
      </c>
      <c r="AF74" s="42" t="s">
        <v>82</v>
      </c>
      <c r="AG74" s="42" t="s">
        <v>77</v>
      </c>
      <c r="AH74" s="42" t="s">
        <v>77</v>
      </c>
      <c r="AI74" s="42" t="s">
        <v>77</v>
      </c>
      <c r="AJ74" s="42" t="s">
        <v>77</v>
      </c>
      <c r="AK74" s="42" t="s">
        <v>90</v>
      </c>
      <c r="AL74" t="str">
        <f>VLOOKUP($Q74,武学奇术!$A:$ZZ,25,FALSE)</f>
        <v>群体奇术</v>
      </c>
      <c r="AM74" s="27">
        <f>VLOOKUP($Q74,武学奇术!$A:$ZZ,26,FALSE)</f>
        <v>10.315755</v>
      </c>
      <c r="AN74" s="28">
        <f>VLOOKUP($Q74,武学奇术!$A:$ZZ,27,FALSE)*(1+IF(OR($AL74=$F$4,$AL74=$F$5),$B$22,0))</f>
        <v>1992.6</v>
      </c>
      <c r="AO74" s="27">
        <f>VLOOKUP($Q74,武学奇术!$A:$ZZ,28,FALSE)</f>
        <v>15.4736325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0.4437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3636.7</v>
      </c>
      <c r="AT74" cm="1">
        <f t="array" ref="AT74">$E$10*(1+$AR74)+VLOOKUP($Q74,武学奇术!$A:$ZZ,4,FALSE)+SUM(_xlfn.XLOOKUP($R74:$AK74,增益!$A:$A,增益!$D:$D,0))-$I$2</f>
        <v>3636.7</v>
      </c>
      <c r="AU74" s="34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0.427</v>
      </c>
      <c r="AV74" s="34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4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-0.14</v>
      </c>
      <c r="BA74" s="34" cm="1">
        <f t="array" ref="BA74">$G$11+VLOOKUP($Q74,武学奇术!$A:$ZZ,10,FALSE)+SUM(_xlfn.XLOOKUP($R74:$AK74,增益!$A:$A,增益!$J:$J,0))</f>
        <v>0</v>
      </c>
      <c r="BB74">
        <f t="shared" si="25"/>
        <v>591.9</v>
      </c>
      <c r="BC74">
        <f t="shared" si="26"/>
        <v>1600.3</v>
      </c>
      <c r="BD74" s="34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0.17</v>
      </c>
      <c r="BE74" s="34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4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-0.14</v>
      </c>
      <c r="BI74" s="34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4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-0.14</v>
      </c>
      <c r="BM74" s="34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0.9859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7" cm="1">
        <f t="array" ref="BP74">1+$B$13+VLOOKUP($Q74,武学奇术!$A:$ZZ,18,FALSE)+SUM(_xlfn.XLOOKUP($R74:$AK74,增益!$A:$A,增益!$R:$R,0))</f>
        <v>1.74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7" cm="1">
        <f t="array" ref="BR74">1+$B$14+VLOOKUP($Q74,武学奇术!$A:$ZZ,20,FALSE)+SUM(_xlfn.XLOOKUP($R74:$AK74,增益!$A:$A,增益!$T:$T,0))</f>
        <v>1.35</v>
      </c>
      <c r="BS74" s="27">
        <f t="shared" si="31"/>
        <v>0.87863408</v>
      </c>
      <c r="BT74" s="27">
        <f t="shared" si="32"/>
        <v>0.01567581</v>
      </c>
      <c r="BU74" s="27">
        <f>IF(VLOOKUP($Q74,武学奇术!$A:$ZZ,22,FALSE)=1,0,(1-$BN74))*(1-$BQ74)</f>
        <v>0.01279011</v>
      </c>
      <c r="BV74" s="27" cm="1">
        <f t="array" ref="BV74">SUM(_xlfn.XLOOKUP($R74:$AK74,增益!$A:$A,增益!$W:$W,0))+$I$5</f>
        <v>0.11</v>
      </c>
    </row>
    <row r="75" spans="1:74">
      <c r="A75" s="4" t="s">
        <v>190</v>
      </c>
      <c r="B75" s="4">
        <v>29.9</v>
      </c>
      <c r="K75" s="40">
        <f t="shared" si="33"/>
        <v>16220.6121267776</v>
      </c>
      <c r="L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16823.4352797909</v>
      </c>
      <c r="M75" s="40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12982.0221726851</v>
      </c>
      <c r="N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8627.40270758509</v>
      </c>
      <c r="O75" s="40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7638.4926946627</v>
      </c>
      <c r="P75" s="41">
        <v>1</v>
      </c>
      <c r="Q75" s="42" t="s">
        <v>179</v>
      </c>
      <c r="R75" s="42" t="s">
        <v>103</v>
      </c>
      <c r="S75" s="42" t="s">
        <v>77</v>
      </c>
      <c r="T75" s="42" t="s">
        <v>77</v>
      </c>
      <c r="U75" s="42" t="s">
        <v>87</v>
      </c>
      <c r="V75" s="42" t="s">
        <v>77</v>
      </c>
      <c r="W75" s="42" t="s">
        <v>77</v>
      </c>
      <c r="X75" s="42" t="s">
        <v>176</v>
      </c>
      <c r="Y75" s="42" t="s">
        <v>77</v>
      </c>
      <c r="Z75" s="42" t="s">
        <v>77</v>
      </c>
      <c r="AA75" s="42" t="s">
        <v>77</v>
      </c>
      <c r="AB75" s="42" t="s">
        <v>89</v>
      </c>
      <c r="AC75" s="42" t="s">
        <v>77</v>
      </c>
      <c r="AD75" s="42" t="s">
        <v>80</v>
      </c>
      <c r="AE75" s="42" t="s">
        <v>81</v>
      </c>
      <c r="AF75" s="42" t="s">
        <v>82</v>
      </c>
      <c r="AG75" s="42" t="s">
        <v>77</v>
      </c>
      <c r="AH75" s="42" t="s">
        <v>77</v>
      </c>
      <c r="AI75" s="42" t="s">
        <v>77</v>
      </c>
      <c r="AJ75" s="42" t="s">
        <v>77</v>
      </c>
      <c r="AK75" s="42" t="s">
        <v>90</v>
      </c>
      <c r="AL75" t="str">
        <f>VLOOKUP($Q75,武学奇术!$A:$ZZ,25,FALSE)</f>
        <v>横刀</v>
      </c>
      <c r="AM75" s="27">
        <f>VLOOKUP($Q75,武学奇术!$A:$ZZ,26,FALSE)</f>
        <v>0.6486</v>
      </c>
      <c r="AN75" s="28">
        <f>VLOOKUP($Q75,武学奇术!$A:$ZZ,27,FALSE)*(1+IF(OR($AL75=$F$4,$AL75=$F$5),$B$22,0))</f>
        <v>270</v>
      </c>
      <c r="AO75" s="27">
        <f>VLOOKUP($Q75,武学奇术!$A:$ZZ,28,FALSE)</f>
        <v>0.9729</v>
      </c>
      <c r="AP75" s="28">
        <f>VLOOKUP($Q75,武学奇术!$A:$ZZ,29,FALSE)*(1+IF(OR($AL75=$F$4,$AL75=$F$5),$B$22,0))</f>
        <v>147</v>
      </c>
      <c r="AQ75" s="27" cm="1">
        <f t="array" ref="AQ75">$G$3+IFERROR(VLOOKUP($AL75,$F$4:$G$7,2,FALSE),0)+VLOOKUP($Q75,武学奇术!$A:$ZZ,2,FALSE)+SUM(_xlfn.XLOOKUP($R75:$AK75,增益!$A:$A,增益!$B:$B,0))</f>
        <v>0.4489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3636.7</v>
      </c>
      <c r="AT75" cm="1">
        <f t="array" ref="AT75">$E$10*(1+$AR75)+VLOOKUP($Q75,武学奇术!$A:$ZZ,4,FALSE)+SUM(_xlfn.XLOOKUP($R75:$AK75,增益!$A:$A,增益!$D:$D,0))-$I$2</f>
        <v>3636.7</v>
      </c>
      <c r="AU75" s="34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0.427</v>
      </c>
      <c r="AV75" s="34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4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4" cm="1">
        <f t="array" ref="BA75">$G$11+VLOOKUP($Q75,武学奇术!$A:$ZZ,10,FALSE)+SUM(_xlfn.XLOOKUP($R75:$AK75,增益!$A:$A,增益!$J:$J,0))</f>
        <v>0</v>
      </c>
      <c r="BB75">
        <f t="shared" si="25"/>
        <v>591.9</v>
      </c>
      <c r="BC75">
        <f t="shared" si="26"/>
        <v>1600.3</v>
      </c>
      <c r="BD75" s="34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0.09</v>
      </c>
      <c r="BE75" s="34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4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4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4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4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0.9859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7" cm="1">
        <f t="array" ref="BP75">1+$B$13+VLOOKUP($Q75,武学奇术!$A:$ZZ,18,FALSE)+SUM(_xlfn.XLOOKUP($R75:$AK75,增益!$A:$A,增益!$R:$R,0))</f>
        <v>1.95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7" cm="1">
        <f t="array" ref="BR75">1+$B$14+VLOOKUP($Q75,武学奇术!$A:$ZZ,20,FALSE)+SUM(_xlfn.XLOOKUP($R75:$AK75,增益!$A:$A,增益!$T:$T,0))</f>
        <v>1.35</v>
      </c>
      <c r="BS75" s="27">
        <f t="shared" si="31"/>
        <v>0.87863408</v>
      </c>
      <c r="BT75" s="27">
        <f t="shared" si="32"/>
        <v>0.01567581</v>
      </c>
      <c r="BU75" s="27">
        <f>IF(VLOOKUP($Q75,武学奇术!$A:$ZZ,22,FALSE)=1,0,(1-$BN75))*(1-$BQ75)</f>
        <v>0.01279011</v>
      </c>
      <c r="BV75" s="27" cm="1">
        <f t="array" ref="BV75">SUM(_xlfn.XLOOKUP($R75:$AK75,增益!$A:$A,增益!$W:$W,0))+$I$5</f>
        <v>0.11</v>
      </c>
    </row>
    <row r="76" spans="1:74">
      <c r="K76" s="40">
        <f t="shared" si="33"/>
        <v>82225.9152579836</v>
      </c>
      <c r="L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85478.038738655</v>
      </c>
      <c r="M76" s="40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64233.7527543757</v>
      </c>
      <c r="N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42739.0193693275</v>
      </c>
      <c r="O76" s="40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37897.4811428212</v>
      </c>
      <c r="P76" s="41">
        <v>1</v>
      </c>
      <c r="Q76" s="42" t="s">
        <v>180</v>
      </c>
      <c r="R76" s="42" t="s">
        <v>103</v>
      </c>
      <c r="S76" s="42" t="s">
        <v>77</v>
      </c>
      <c r="T76" s="42" t="s">
        <v>77</v>
      </c>
      <c r="U76" s="42" t="s">
        <v>121</v>
      </c>
      <c r="V76" s="42" t="s">
        <v>77</v>
      </c>
      <c r="W76" s="42" t="s">
        <v>77</v>
      </c>
      <c r="X76" s="42" t="s">
        <v>176</v>
      </c>
      <c r="Y76" s="42" t="s">
        <v>77</v>
      </c>
      <c r="Z76" s="42" t="s">
        <v>77</v>
      </c>
      <c r="AA76" s="42" t="s">
        <v>73</v>
      </c>
      <c r="AB76" s="42" t="s">
        <v>89</v>
      </c>
      <c r="AC76" s="42" t="s">
        <v>77</v>
      </c>
      <c r="AD76" s="42" t="s">
        <v>80</v>
      </c>
      <c r="AE76" s="42" t="s">
        <v>81</v>
      </c>
      <c r="AF76" s="42" t="s">
        <v>82</v>
      </c>
      <c r="AG76" s="42" t="s">
        <v>77</v>
      </c>
      <c r="AH76" s="42" t="s">
        <v>77</v>
      </c>
      <c r="AI76" s="42" t="s">
        <v>77</v>
      </c>
      <c r="AJ76" s="42" t="s">
        <v>77</v>
      </c>
      <c r="AK76" s="42" t="s">
        <v>90</v>
      </c>
      <c r="AL76" t="str">
        <f>VLOOKUP($Q76,武学奇术!$A:$ZZ,25,FALSE)</f>
        <v>横刀</v>
      </c>
      <c r="AM76" s="27">
        <f>VLOOKUP($Q76,武学奇术!$A:$ZZ,26,FALSE)</f>
        <v>2.8245</v>
      </c>
      <c r="AN76" s="28">
        <f>VLOOKUP($Q76,武学奇术!$A:$ZZ,27,FALSE)*(1+IF(OR($AL76=$F$4,$AL76=$F$5),$B$22,0))</f>
        <v>1173</v>
      </c>
      <c r="AO76" s="27">
        <f>VLOOKUP($Q76,武学奇术!$A:$ZZ,28,FALSE)</f>
        <v>4.236808</v>
      </c>
      <c r="AP76" s="28">
        <f>VLOOKUP($Q76,武学奇术!$A:$ZZ,29,FALSE)*(1+IF(OR($AL76=$F$4,$AL76=$F$5),$B$22,0))</f>
        <v>637.5</v>
      </c>
      <c r="AQ76" s="27" cm="1">
        <f t="array" ref="AQ76">$G$3+IFERROR(VLOOKUP($AL76,$F$4:$G$7,2,FALSE),0)+VLOOKUP($Q76,武学奇术!$A:$ZZ,2,FALSE)+SUM(_xlfn.XLOOKUP($R76:$AK76,增益!$A:$A,增益!$B:$B,0))</f>
        <v>0.6289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3636.7</v>
      </c>
      <c r="AT76" cm="1">
        <f t="array" ref="AT76">$E$10*(1+$AR76)+VLOOKUP($Q76,武学奇术!$A:$ZZ,4,FALSE)+SUM(_xlfn.XLOOKUP($R76:$AK76,增益!$A:$A,增益!$D:$D,0))-$I$2</f>
        <v>3636.7</v>
      </c>
      <c r="AU76" s="34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0.452</v>
      </c>
      <c r="AV76" s="34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4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4" cm="1">
        <f t="array" ref="BA76">$G$11+VLOOKUP($Q76,武学奇术!$A:$ZZ,10,FALSE)+SUM(_xlfn.XLOOKUP($R76:$AK76,增益!$A:$A,增益!$J:$J,0))</f>
        <v>0</v>
      </c>
      <c r="BB76">
        <f t="shared" si="25"/>
        <v>591.9</v>
      </c>
      <c r="BC76">
        <f t="shared" si="26"/>
        <v>1600.3</v>
      </c>
      <c r="BD76" s="34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0.09</v>
      </c>
      <c r="BE76" s="34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4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4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4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4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0.9859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7" cm="1">
        <f t="array" ref="BP76">1+$B$13+VLOOKUP($Q76,武学奇术!$A:$ZZ,18,FALSE)+SUM(_xlfn.XLOOKUP($R76:$AK76,增益!$A:$A,增益!$R:$R,0))</f>
        <v>2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7" cm="1">
        <f t="array" ref="BR76">1+$B$14+VLOOKUP($Q76,武学奇术!$A:$ZZ,20,FALSE)+SUM(_xlfn.XLOOKUP($R76:$AK76,增益!$A:$A,增益!$T:$T,0))</f>
        <v>1.35</v>
      </c>
      <c r="BS76" s="27">
        <f t="shared" si="31"/>
        <v>0.87863408</v>
      </c>
      <c r="BT76" s="27">
        <f t="shared" si="32"/>
        <v>0.01567581</v>
      </c>
      <c r="BU76" s="27">
        <f>IF(VLOOKUP($Q76,武学奇术!$A:$ZZ,22,FALSE)=1,0,(1-$BN76))*(1-$BQ76)</f>
        <v>0.01279011</v>
      </c>
      <c r="BV76" s="27" cm="1">
        <f t="array" ref="BV76">SUM(_xlfn.XLOOKUP($R76:$AK76,增益!$A:$A,增益!$W:$W,0))+$I$5</f>
        <v>0.11</v>
      </c>
    </row>
    <row r="77" spans="1:74">
      <c r="A77" t="s">
        <v>164</v>
      </c>
      <c r="B77">
        <v>2.3</v>
      </c>
      <c r="K77" s="40">
        <f t="shared" si="33"/>
        <v>33589.0533048745</v>
      </c>
      <c r="L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34885.16473184</v>
      </c>
      <c r="M77" s="40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26588.2473047908</v>
      </c>
      <c r="N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17442.58236592</v>
      </c>
      <c r="O77" s="40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15190.1667282913</v>
      </c>
      <c r="P77" s="41">
        <v>1</v>
      </c>
      <c r="Q77" s="42" t="s">
        <v>110</v>
      </c>
      <c r="R77" s="42" t="s">
        <v>103</v>
      </c>
      <c r="S77" s="42" t="s">
        <v>77</v>
      </c>
      <c r="T77" s="42" t="s">
        <v>77</v>
      </c>
      <c r="U77" s="42" t="s">
        <v>121</v>
      </c>
      <c r="V77" s="42" t="s">
        <v>77</v>
      </c>
      <c r="W77" s="42" t="s">
        <v>77</v>
      </c>
      <c r="X77" s="42" t="s">
        <v>176</v>
      </c>
      <c r="Y77" s="42" t="s">
        <v>77</v>
      </c>
      <c r="Z77" s="42" t="s">
        <v>77</v>
      </c>
      <c r="AA77" s="42" t="s">
        <v>73</v>
      </c>
      <c r="AB77" s="42" t="s">
        <v>89</v>
      </c>
      <c r="AC77" s="42" t="s">
        <v>77</v>
      </c>
      <c r="AD77" s="42" t="s">
        <v>80</v>
      </c>
      <c r="AE77" s="42" t="s">
        <v>81</v>
      </c>
      <c r="AF77" s="42" t="s">
        <v>82</v>
      </c>
      <c r="AG77" s="42" t="s">
        <v>77</v>
      </c>
      <c r="AH77" s="42" t="s">
        <v>77</v>
      </c>
      <c r="AI77" s="42" t="s">
        <v>77</v>
      </c>
      <c r="AJ77" s="42" t="s">
        <v>77</v>
      </c>
      <c r="AK77" s="42" t="s">
        <v>90</v>
      </c>
      <c r="AL77" t="str">
        <f>VLOOKUP($Q77,武学奇术!$A:$ZZ,25,FALSE)</f>
        <v>横刀</v>
      </c>
      <c r="AM77" s="27">
        <f>VLOOKUP($Q77,武学奇术!$A:$ZZ,26,FALSE)</f>
        <v>1.4</v>
      </c>
      <c r="AN77" s="28">
        <f>VLOOKUP($Q77,武学奇术!$A:$ZZ,27,FALSE)*(1+IF(OR($AL77=$F$4,$AL77=$F$5),$B$22,0))</f>
        <v>0</v>
      </c>
      <c r="AO77" s="27">
        <f>VLOOKUP($Q77,武学奇术!$A:$ZZ,28,FALSE)</f>
        <v>2.1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0.5289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3636.7</v>
      </c>
      <c r="AT77" cm="1">
        <f t="array" ref="AT77">$E$10*(1+$AR77)+VLOOKUP($Q77,武学奇术!$A:$ZZ,4,FALSE)+SUM(_xlfn.XLOOKUP($R77:$AK77,增益!$A:$A,增益!$D:$D,0))-$I$2</f>
        <v>3636.7</v>
      </c>
      <c r="AU77" s="34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0.452</v>
      </c>
      <c r="AV77" s="34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4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4" cm="1">
        <f t="array" ref="BA77">$G$11+VLOOKUP($Q77,武学奇术!$A:$ZZ,10,FALSE)+SUM(_xlfn.XLOOKUP($R77:$AK77,增益!$A:$A,增益!$J:$J,0))</f>
        <v>0</v>
      </c>
      <c r="BB77">
        <f t="shared" si="25"/>
        <v>591.9</v>
      </c>
      <c r="BC77">
        <f t="shared" si="26"/>
        <v>1600.3</v>
      </c>
      <c r="BD77" s="34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0.09</v>
      </c>
      <c r="BE77" s="34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4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4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4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4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0.9859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7" cm="1">
        <f t="array" ref="BP77">1+$B$13+VLOOKUP($Q77,武学奇术!$A:$ZZ,18,FALSE)+SUM(_xlfn.XLOOKUP($R77:$AK77,增益!$A:$A,增益!$R:$R,0))</f>
        <v>2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7" cm="1">
        <f t="array" ref="BR77">1+$B$14+VLOOKUP($Q77,武学奇术!$A:$ZZ,20,FALSE)+SUM(_xlfn.XLOOKUP($R77:$AK77,增益!$A:$A,增益!$T:$T,0))</f>
        <v>1.35</v>
      </c>
      <c r="BS77" s="27">
        <f t="shared" si="31"/>
        <v>0.87863408</v>
      </c>
      <c r="BT77" s="27">
        <f t="shared" si="32"/>
        <v>0.01567581</v>
      </c>
      <c r="BU77" s="27">
        <f>IF(VLOOKUP($Q77,武学奇术!$A:$ZZ,22,FALSE)=1,0,(1-$BN77))*(1-$BQ77)</f>
        <v>0.01279011</v>
      </c>
      <c r="BV77" s="27" cm="1">
        <f t="array" ref="BV77">SUM(_xlfn.XLOOKUP($R77:$AK77,增益!$A:$A,增益!$W:$W,0))+$I$5</f>
        <v>0.11</v>
      </c>
    </row>
    <row r="78" spans="1:74">
      <c r="A78" t="s">
        <v>166</v>
      </c>
      <c r="B78">
        <v>1</v>
      </c>
      <c r="E78" s="41" t="s">
        <v>172</v>
      </c>
      <c r="K78" s="40">
        <f t="shared" si="33"/>
        <v>0</v>
      </c>
      <c r="L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0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0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1">
        <v>1</v>
      </c>
      <c r="Q78" s="42" t="s">
        <v>77</v>
      </c>
      <c r="R78" s="42" t="s">
        <v>77</v>
      </c>
      <c r="S78" s="42" t="s">
        <v>77</v>
      </c>
      <c r="T78" s="42" t="s">
        <v>77</v>
      </c>
      <c r="U78" s="42" t="s">
        <v>77</v>
      </c>
      <c r="V78" s="42" t="s">
        <v>77</v>
      </c>
      <c r="W78" s="42" t="s">
        <v>77</v>
      </c>
      <c r="X78" s="42" t="s">
        <v>77</v>
      </c>
      <c r="Y78" s="42" t="s">
        <v>77</v>
      </c>
      <c r="Z78" s="42" t="s">
        <v>77</v>
      </c>
      <c r="AA78" s="42" t="s">
        <v>77</v>
      </c>
      <c r="AB78" s="42" t="s">
        <v>77</v>
      </c>
      <c r="AC78" s="42" t="s">
        <v>77</v>
      </c>
      <c r="AD78" s="42" t="s">
        <v>80</v>
      </c>
      <c r="AE78" s="42" t="s">
        <v>81</v>
      </c>
      <c r="AF78" s="42" t="s">
        <v>82</v>
      </c>
      <c r="AG78" s="42" t="s">
        <v>77</v>
      </c>
      <c r="AH78" s="42" t="s">
        <v>77</v>
      </c>
      <c r="AI78" s="42" t="s">
        <v>77</v>
      </c>
      <c r="AJ78" s="42" t="s">
        <v>77</v>
      </c>
      <c r="AK78" s="42" t="s">
        <v>90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0.3137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3636.7</v>
      </c>
      <c r="AT78" cm="1">
        <f t="array" ref="AT78">$E$10*(1+$AR78)+VLOOKUP($Q78,武学奇术!$A:$ZZ,4,FALSE)+SUM(_xlfn.XLOOKUP($R78:$AK78,增益!$A:$A,增益!$D:$D,0))-$I$2</f>
        <v>3636.7</v>
      </c>
      <c r="AU78" s="34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0.327</v>
      </c>
      <c r="AV78" s="34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4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4" cm="1">
        <f t="array" ref="BA78">$G$11+VLOOKUP($Q78,武学奇术!$A:$ZZ,10,FALSE)+SUM(_xlfn.XLOOKUP($R78:$AK78,增益!$A:$A,增益!$J:$J,0))</f>
        <v>0</v>
      </c>
      <c r="BB78">
        <f t="shared" si="25"/>
        <v>591.9</v>
      </c>
      <c r="BC78">
        <f t="shared" si="26"/>
        <v>1600.3</v>
      </c>
      <c r="BD78" s="34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0.09</v>
      </c>
      <c r="BE78" s="34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4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4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4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4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0.9859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7" cm="1">
        <f t="array" ref="BP78">1+$B$13+VLOOKUP($Q78,武学奇术!$A:$ZZ,18,FALSE)+SUM(_xlfn.XLOOKUP($R78:$AK78,增益!$A:$A,增益!$R:$R,0))</f>
        <v>1.54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7" cm="1">
        <f t="array" ref="BR78">1+$B$14+VLOOKUP($Q78,武学奇术!$A:$ZZ,20,FALSE)+SUM(_xlfn.XLOOKUP($R78:$AK78,增益!$A:$A,增益!$T:$T,0))</f>
        <v>1.35</v>
      </c>
      <c r="BS78" s="27">
        <f t="shared" si="31"/>
        <v>0.87863408</v>
      </c>
      <c r="BT78" s="27">
        <f t="shared" si="32"/>
        <v>0.01567581</v>
      </c>
      <c r="BU78" s="27">
        <f>IF(VLOOKUP($Q78,武学奇术!$A:$ZZ,22,FALSE)=1,0,(1-$BN78))*(1-$BQ78)</f>
        <v>0.01279011</v>
      </c>
      <c r="BV78" s="27" cm="1">
        <f t="array" ref="BV78">SUM(_xlfn.XLOOKUP($R78:$AK78,增益!$A:$A,增益!$W:$W,0))+$I$5</f>
        <v>0.11</v>
      </c>
    </row>
    <row r="79" spans="1:74">
      <c r="A79" s="4" t="s">
        <v>167</v>
      </c>
      <c r="B79" s="4">
        <v>0.1</v>
      </c>
      <c r="D79" s="41" t="s">
        <v>168</v>
      </c>
      <c r="E79" s="41"/>
      <c r="K79" s="40">
        <f t="shared" si="33"/>
        <v>90093.5440846354</v>
      </c>
      <c r="L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93428.7108276042</v>
      </c>
      <c r="M79" s="40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72246.5472858417</v>
      </c>
      <c r="N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47912.1593987714</v>
      </c>
      <c r="O79" s="40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42308.3578450674</v>
      </c>
      <c r="P79" s="41">
        <v>1</v>
      </c>
      <c r="Q79" s="42" t="s">
        <v>164</v>
      </c>
      <c r="R79" s="42" t="s">
        <v>76</v>
      </c>
      <c r="S79" s="42" t="s">
        <v>77</v>
      </c>
      <c r="T79" s="42" t="s">
        <v>77</v>
      </c>
      <c r="U79" s="42" t="s">
        <v>87</v>
      </c>
      <c r="V79" s="42" t="s">
        <v>77</v>
      </c>
      <c r="W79" s="42" t="s">
        <v>77</v>
      </c>
      <c r="X79" s="42" t="s">
        <v>176</v>
      </c>
      <c r="Y79" s="42" t="s">
        <v>77</v>
      </c>
      <c r="Z79" s="42" t="s">
        <v>77</v>
      </c>
      <c r="AA79" s="42" t="s">
        <v>77</v>
      </c>
      <c r="AB79" s="42" t="s">
        <v>77</v>
      </c>
      <c r="AC79" s="42" t="s">
        <v>77</v>
      </c>
      <c r="AD79" s="42" t="s">
        <v>80</v>
      </c>
      <c r="AE79" s="42" t="s">
        <v>81</v>
      </c>
      <c r="AF79" s="42" t="s">
        <v>82</v>
      </c>
      <c r="AG79" s="42" t="s">
        <v>77</v>
      </c>
      <c r="AH79" s="42" t="s">
        <v>77</v>
      </c>
      <c r="AI79" s="42" t="s">
        <v>77</v>
      </c>
      <c r="AJ79" s="42" t="s">
        <v>77</v>
      </c>
      <c r="AK79" s="42" t="s">
        <v>90</v>
      </c>
      <c r="AL79" t="str">
        <f>VLOOKUP($Q79,武学奇术!$A:$ZZ,25,FALSE)</f>
        <v>横刀</v>
      </c>
      <c r="AM79" s="27">
        <f>VLOOKUP($Q79,武学奇术!$A:$ZZ,26,FALSE)</f>
        <v>3.7797</v>
      </c>
      <c r="AN79" s="28">
        <f>VLOOKUP($Q79,武学奇术!$A:$ZZ,27,FALSE)*(1+IF(OR($AL79=$F$4,$AL79=$F$5),$B$22,0))</f>
        <v>1567.5</v>
      </c>
      <c r="AO79" s="27">
        <f>VLOOKUP($Q79,武学奇术!$A:$ZZ,28,FALSE)</f>
        <v>5.6696</v>
      </c>
      <c r="AP79" s="28">
        <f>VLOOKUP($Q79,武学奇术!$A:$ZZ,29,FALSE)*(1+IF(OR($AL79=$F$4,$AL79=$F$5),$B$22,0))</f>
        <v>855</v>
      </c>
      <c r="AQ79" s="27" cm="1">
        <f t="array" ref="AQ79">$G$3+IFERROR(VLOOKUP($AL79,$F$4:$G$7,2,FALSE),0)+VLOOKUP($Q79,武学奇术!$A:$ZZ,2,FALSE)+SUM(_xlfn.XLOOKUP($R79:$AK79,增益!$A:$A,增益!$B:$B,0))</f>
        <v>0.4089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3636.7</v>
      </c>
      <c r="AT79" cm="1">
        <f t="array" ref="AT79">$E$10*(1+$AR79)+VLOOKUP($Q79,武学奇术!$A:$ZZ,4,FALSE)+SUM(_xlfn.XLOOKUP($R79:$AK79,增益!$A:$A,增益!$D:$D,0))-$I$2</f>
        <v>3636.7</v>
      </c>
      <c r="AU79" s="34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0.387</v>
      </c>
      <c r="AV79" s="34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4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4" cm="1">
        <f t="array" ref="BA79">$G$11+VLOOKUP($Q79,武学奇术!$A:$ZZ,10,FALSE)+SUM(_xlfn.XLOOKUP($R79:$AK79,增益!$A:$A,增益!$J:$J,0))</f>
        <v>0</v>
      </c>
      <c r="BB79">
        <f t="shared" si="25"/>
        <v>591.9</v>
      </c>
      <c r="BC79">
        <f t="shared" si="26"/>
        <v>1600.3</v>
      </c>
      <c r="BD79" s="34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0.09</v>
      </c>
      <c r="BE79" s="34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4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4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4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4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0.9859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7" cm="1">
        <f t="array" ref="BP79">1+$B$13+VLOOKUP($Q79,武学奇术!$A:$ZZ,18,FALSE)+SUM(_xlfn.XLOOKUP($R79:$AK79,增益!$A:$A,增益!$R:$R,0))</f>
        <v>1.95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7" cm="1">
        <f t="array" ref="BR79">1+$B$14+VLOOKUP($Q79,武学奇术!$A:$ZZ,20,FALSE)+SUM(_xlfn.XLOOKUP($R79:$AK79,增益!$A:$A,增益!$T:$T,0))</f>
        <v>1.35</v>
      </c>
      <c r="BS79" s="27">
        <f t="shared" si="31"/>
        <v>0.87863408</v>
      </c>
      <c r="BT79" s="27">
        <f t="shared" si="32"/>
        <v>0.01567581</v>
      </c>
      <c r="BU79" s="27">
        <f>IF(VLOOKUP($Q79,武学奇术!$A:$ZZ,22,FALSE)=1,0,(1-$BN79))*(1-$BQ79)</f>
        <v>0.01279011</v>
      </c>
      <c r="BV79" s="27" cm="1">
        <f t="array" ref="BV79">SUM(_xlfn.XLOOKUP($R79:$AK79,增益!$A:$A,增益!$W:$W,0))+$I$5</f>
        <v>0.11</v>
      </c>
    </row>
    <row r="80" spans="1:74">
      <c r="A80" s="4" t="s">
        <v>171</v>
      </c>
      <c r="B80" s="4">
        <v>2.3</v>
      </c>
      <c r="D80" s="41"/>
      <c r="E80" s="41"/>
      <c r="K80" s="40">
        <f t="shared" si="33"/>
        <v>60814.4284749271</v>
      </c>
      <c r="L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63213.5882253361</v>
      </c>
      <c r="M80" s="40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47573.3236070149</v>
      </c>
      <c r="N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31606.7941126681</v>
      </c>
      <c r="O80" s="40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27974.0892571769</v>
      </c>
      <c r="P80" s="41">
        <v>1</v>
      </c>
      <c r="Q80" s="42" t="s">
        <v>106</v>
      </c>
      <c r="R80" s="42" t="s">
        <v>85</v>
      </c>
      <c r="S80" s="42" t="s">
        <v>169</v>
      </c>
      <c r="T80" s="42" t="s">
        <v>77</v>
      </c>
      <c r="U80" s="42" t="s">
        <v>121</v>
      </c>
      <c r="V80" s="42" t="s">
        <v>77</v>
      </c>
      <c r="W80" s="42" t="s">
        <v>77</v>
      </c>
      <c r="X80" s="42" t="s">
        <v>176</v>
      </c>
      <c r="Y80" s="42" t="s">
        <v>77</v>
      </c>
      <c r="Z80" s="42" t="s">
        <v>77</v>
      </c>
      <c r="AA80" s="42" t="s">
        <v>73</v>
      </c>
      <c r="AB80" s="42" t="s">
        <v>95</v>
      </c>
      <c r="AC80" s="42" t="s">
        <v>77</v>
      </c>
      <c r="AD80" s="42" t="s">
        <v>80</v>
      </c>
      <c r="AE80" s="42" t="s">
        <v>81</v>
      </c>
      <c r="AF80" s="42" t="s">
        <v>82</v>
      </c>
      <c r="AG80" s="42" t="s">
        <v>77</v>
      </c>
      <c r="AH80" s="42" t="s">
        <v>77</v>
      </c>
      <c r="AI80" s="42" t="s">
        <v>77</v>
      </c>
      <c r="AJ80" s="42" t="s">
        <v>77</v>
      </c>
      <c r="AK80" s="42" t="s">
        <v>90</v>
      </c>
      <c r="AL80" t="str">
        <f>VLOOKUP($Q80,武学奇术!$A:$ZZ,25,FALSE)</f>
        <v>横刀</v>
      </c>
      <c r="AM80" s="27">
        <f>VLOOKUP($Q80,武学奇术!$A:$ZZ,26,FALSE)</f>
        <v>2.1324</v>
      </c>
      <c r="AN80" s="28">
        <f>VLOOKUP($Q80,武学奇术!$A:$ZZ,27,FALSE)*(1+IF(OR($AL80=$F$4,$AL80=$F$5),$B$22,0))</f>
        <v>885</v>
      </c>
      <c r="AO80" s="27">
        <f>VLOOKUP($Q80,武学奇术!$A:$ZZ,28,FALSE)</f>
        <v>3.1986</v>
      </c>
      <c r="AP80" s="28">
        <f>VLOOKUP($Q80,武学奇术!$A:$ZZ,29,FALSE)*(1+IF(OR($AL80=$F$4,$AL80=$F$5),$B$22,0))</f>
        <v>483</v>
      </c>
      <c r="AQ80" s="27" cm="1">
        <f t="array" ref="AQ80">$G$3+IFERROR(VLOOKUP($AL80,$F$4:$G$7,2,FALSE),0)+VLOOKUP($Q80,武学奇术!$A:$ZZ,2,FALSE)+SUM(_xlfn.XLOOKUP($R80:$AK80,增益!$A:$A,增益!$B:$B,0))</f>
        <v>0.6189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3636.7</v>
      </c>
      <c r="AT80" cm="1">
        <f t="array" ref="AT80">$E$10*(1+$AR80)+VLOOKUP($Q80,武学奇术!$A:$ZZ,4,FALSE)+SUM(_xlfn.XLOOKUP($R80:$AK80,增益!$A:$A,增益!$D:$D,0))-$I$2</f>
        <v>3636.7</v>
      </c>
      <c r="AU80" s="34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0.422</v>
      </c>
      <c r="AV80" s="34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4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4" cm="1">
        <f t="array" ref="BA80">$G$11+VLOOKUP($Q80,武学奇术!$A:$ZZ,10,FALSE)+SUM(_xlfn.XLOOKUP($R80:$AK80,增益!$A:$A,增益!$J:$J,0))</f>
        <v>0</v>
      </c>
      <c r="BB80">
        <f t="shared" si="25"/>
        <v>591.9</v>
      </c>
      <c r="BC80">
        <f t="shared" si="26"/>
        <v>1600.3</v>
      </c>
      <c r="BD80" s="34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0.09</v>
      </c>
      <c r="BE80" s="34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4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4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4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4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0.9859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7" cm="1">
        <f t="array" ref="BP80">1+$B$13+VLOOKUP($Q80,武学奇术!$A:$ZZ,18,FALSE)+SUM(_xlfn.XLOOKUP($R80:$AK80,增益!$A:$A,增益!$R:$R,0))</f>
        <v>2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7" cm="1">
        <f t="array" ref="BR80">1+$B$14+VLOOKUP($Q80,武学奇术!$A:$ZZ,20,FALSE)+SUM(_xlfn.XLOOKUP($R80:$AK80,增益!$A:$A,增益!$T:$T,0))</f>
        <v>1.35</v>
      </c>
      <c r="BS80" s="27">
        <f t="shared" si="31"/>
        <v>0.87863408</v>
      </c>
      <c r="BT80" s="27">
        <f t="shared" si="32"/>
        <v>0.01567581</v>
      </c>
      <c r="BU80" s="27">
        <f>IF(VLOOKUP($Q80,武学奇术!$A:$ZZ,22,FALSE)=1,0,(1-$BN80))*(1-$BQ80)</f>
        <v>0.01279011</v>
      </c>
      <c r="BV80" s="27" cm="1">
        <f t="array" ref="BV80">SUM(_xlfn.XLOOKUP($R80:$AK80,增益!$A:$A,增益!$W:$W,0))+$I$5</f>
        <v>0.11</v>
      </c>
    </row>
    <row r="81" spans="1:74">
      <c r="A81" s="4" t="s">
        <v>171</v>
      </c>
      <c r="B81" s="4">
        <v>2.3</v>
      </c>
      <c r="D81" s="41"/>
      <c r="E81" s="41"/>
      <c r="K81" s="40">
        <f t="shared" si="33"/>
        <v>37557.2710987428</v>
      </c>
      <c r="L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38986.69957473</v>
      </c>
      <c r="M81" s="40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29942.8789564005</v>
      </c>
      <c r="N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19493.349787365</v>
      </c>
      <c r="O81" s="40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16806.7892366555</v>
      </c>
      <c r="P81" s="41">
        <v>1</v>
      </c>
      <c r="Q81" s="42" t="s">
        <v>110</v>
      </c>
      <c r="R81" s="42" t="s">
        <v>85</v>
      </c>
      <c r="S81" s="42" t="s">
        <v>169</v>
      </c>
      <c r="T81" s="42" t="s">
        <v>86</v>
      </c>
      <c r="U81" s="42" t="s">
        <v>121</v>
      </c>
      <c r="V81" s="42" t="s">
        <v>77</v>
      </c>
      <c r="W81" s="42" t="s">
        <v>77</v>
      </c>
      <c r="X81" s="42" t="s">
        <v>176</v>
      </c>
      <c r="Y81" s="42" t="s">
        <v>77</v>
      </c>
      <c r="Z81" s="42" t="s">
        <v>77</v>
      </c>
      <c r="AA81" s="42" t="s">
        <v>73</v>
      </c>
      <c r="AB81" s="42" t="s">
        <v>95</v>
      </c>
      <c r="AC81" s="42" t="s">
        <v>77</v>
      </c>
      <c r="AD81" s="42" t="s">
        <v>80</v>
      </c>
      <c r="AE81" s="42" t="s">
        <v>81</v>
      </c>
      <c r="AF81" s="42" t="s">
        <v>82</v>
      </c>
      <c r="AG81" s="42" t="s">
        <v>77</v>
      </c>
      <c r="AH81" s="42" t="s">
        <v>77</v>
      </c>
      <c r="AI81" s="42" t="s">
        <v>77</v>
      </c>
      <c r="AJ81" s="42" t="s">
        <v>77</v>
      </c>
      <c r="AK81" s="42" t="s">
        <v>90</v>
      </c>
      <c r="AL81" t="str">
        <f>VLOOKUP($Q81,武学奇术!$A:$ZZ,25,FALSE)</f>
        <v>横刀</v>
      </c>
      <c r="AM81" s="27">
        <f>VLOOKUP($Q81,武学奇术!$A:$ZZ,26,FALSE)</f>
        <v>1.4</v>
      </c>
      <c r="AN81" s="28">
        <f>VLOOKUP($Q81,武学奇术!$A:$ZZ,27,FALSE)*(1+IF(OR($AL81=$F$4,$AL81=$F$5),$B$22,0))</f>
        <v>0</v>
      </c>
      <c r="AO81" s="27">
        <f>VLOOKUP($Q81,武学奇术!$A:$ZZ,28,FALSE)</f>
        <v>2.1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0.6989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3636.7</v>
      </c>
      <c r="AT81" cm="1">
        <f t="array" ref="AT81">$E$10*(1+$AR81)+VLOOKUP($Q81,武学奇术!$A:$ZZ,4,FALSE)+SUM(_xlfn.XLOOKUP($R81:$AK81,增益!$A:$A,增益!$D:$D,0))-$I$2</f>
        <v>3636.7</v>
      </c>
      <c r="AU81" s="34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0.422</v>
      </c>
      <c r="AV81" s="34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4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-0.14</v>
      </c>
      <c r="BA81" s="34" cm="1">
        <f t="array" ref="BA81">$G$11+VLOOKUP($Q81,武学奇术!$A:$ZZ,10,FALSE)+SUM(_xlfn.XLOOKUP($R81:$AK81,增益!$A:$A,增益!$J:$J,0))</f>
        <v>0</v>
      </c>
      <c r="BB81">
        <f t="shared" si="25"/>
        <v>591.9</v>
      </c>
      <c r="BC81">
        <f t="shared" si="26"/>
        <v>1600.3</v>
      </c>
      <c r="BD81" s="34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0.17</v>
      </c>
      <c r="BE81" s="34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4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-0.14</v>
      </c>
      <c r="BI81" s="34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4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-0.14</v>
      </c>
      <c r="BM81" s="34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0.9859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7" cm="1">
        <f t="array" ref="BP81">1+$B$13+VLOOKUP($Q81,武学奇术!$A:$ZZ,18,FALSE)+SUM(_xlfn.XLOOKUP($R81:$AK81,增益!$A:$A,增益!$R:$R,0))</f>
        <v>2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7" cm="1">
        <f t="array" ref="BR81">1+$B$14+VLOOKUP($Q81,武学奇术!$A:$ZZ,20,FALSE)+SUM(_xlfn.XLOOKUP($R81:$AK81,增益!$A:$A,增益!$T:$T,0))</f>
        <v>1.35</v>
      </c>
      <c r="BS81" s="27">
        <f t="shared" si="31"/>
        <v>0.87863408</v>
      </c>
      <c r="BT81" s="27">
        <f t="shared" si="32"/>
        <v>0.01567581</v>
      </c>
      <c r="BU81" s="27">
        <f>IF(VLOOKUP($Q81,武学奇术!$A:$ZZ,22,FALSE)=1,0,(1-$BN81))*(1-$BQ81)</f>
        <v>0.01279011</v>
      </c>
      <c r="BV81" s="27" cm="1">
        <f t="array" ref="BV81">SUM(_xlfn.XLOOKUP($R81:$AK81,增益!$A:$A,增益!$W:$W,0))+$I$5</f>
        <v>0.11</v>
      </c>
    </row>
    <row r="82" spans="1:74">
      <c r="A82" s="4" t="s">
        <v>171</v>
      </c>
      <c r="B82" s="4">
        <v>2.3</v>
      </c>
      <c r="D82" s="41"/>
      <c r="K82" s="40">
        <f t="shared" si="33"/>
        <v>18789.0760829502</v>
      </c>
      <c r="L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19504.9578598175</v>
      </c>
      <c r="M82" s="40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14971.4614621101</v>
      </c>
      <c r="N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9752.47892990875</v>
      </c>
      <c r="O82" s="40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8414.98640640262</v>
      </c>
      <c r="P82" s="41">
        <v>1</v>
      </c>
      <c r="Q82" s="42" t="s">
        <v>112</v>
      </c>
      <c r="R82" s="42" t="s">
        <v>93</v>
      </c>
      <c r="S82" s="42" t="s">
        <v>169</v>
      </c>
      <c r="T82" s="42" t="s">
        <v>86</v>
      </c>
      <c r="U82" s="42" t="s">
        <v>121</v>
      </c>
      <c r="V82" s="42" t="s">
        <v>77</v>
      </c>
      <c r="W82" s="42" t="s">
        <v>77</v>
      </c>
      <c r="X82" s="42" t="s">
        <v>176</v>
      </c>
      <c r="Y82" s="42" t="s">
        <v>77</v>
      </c>
      <c r="Z82" s="42" t="s">
        <v>77</v>
      </c>
      <c r="AA82" s="42" t="s">
        <v>73</v>
      </c>
      <c r="AB82" s="42" t="s">
        <v>95</v>
      </c>
      <c r="AC82" s="42" t="s">
        <v>77</v>
      </c>
      <c r="AD82" s="42" t="s">
        <v>80</v>
      </c>
      <c r="AE82" s="42" t="s">
        <v>81</v>
      </c>
      <c r="AF82" s="42" t="s">
        <v>82</v>
      </c>
      <c r="AG82" s="42" t="s">
        <v>77</v>
      </c>
      <c r="AH82" s="42" t="s">
        <v>77</v>
      </c>
      <c r="AI82" s="42" t="s">
        <v>77</v>
      </c>
      <c r="AJ82" s="42" t="s">
        <v>77</v>
      </c>
      <c r="AK82" s="42" t="s">
        <v>90</v>
      </c>
      <c r="AL82" t="str">
        <f>VLOOKUP($Q82,武学奇术!$A:$ZZ,25,FALSE)</f>
        <v>陌刀</v>
      </c>
      <c r="AM82" s="27">
        <f>VLOOKUP($Q82,武学奇术!$A:$ZZ,26,FALSE)</f>
        <v>0.5</v>
      </c>
      <c r="AN82" s="28">
        <f>VLOOKUP($Q82,武学奇术!$A:$ZZ,27,FALSE)*(1+IF(OR($AL82=$F$4,$AL82=$F$5),$B$22,0))</f>
        <v>0</v>
      </c>
      <c r="AO82" s="27">
        <f>VLOOKUP($Q82,武学奇术!$A:$ZZ,28,FALSE)</f>
        <v>0.75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0.7941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3636.7</v>
      </c>
      <c r="AT82" cm="1">
        <f t="array" ref="AT82">$E$10*(1+$AR82)+VLOOKUP($Q82,武学奇术!$A:$ZZ,4,FALSE)+SUM(_xlfn.XLOOKUP($R82:$AK82,增益!$A:$A,增益!$D:$D,0))-$I$2</f>
        <v>3636.7</v>
      </c>
      <c r="AU82" s="34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0.432</v>
      </c>
      <c r="AV82" s="34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4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-0.14</v>
      </c>
      <c r="BA82" s="34" cm="1">
        <f t="array" ref="BA82">$G$11+VLOOKUP($Q82,武学奇术!$A:$ZZ,10,FALSE)+SUM(_xlfn.XLOOKUP($R82:$AK82,增益!$A:$A,增益!$J:$J,0))</f>
        <v>0</v>
      </c>
      <c r="BB82">
        <f t="shared" si="25"/>
        <v>591.9</v>
      </c>
      <c r="BC82">
        <f t="shared" si="26"/>
        <v>1600.3</v>
      </c>
      <c r="BD82" s="34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0.17</v>
      </c>
      <c r="BE82" s="34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4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-0.14</v>
      </c>
      <c r="BI82" s="34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4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-0.14</v>
      </c>
      <c r="BM82" s="34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0.9859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7" cm="1">
        <f t="array" ref="BP82">1+$B$13+VLOOKUP($Q82,武学奇术!$A:$ZZ,18,FALSE)+SUM(_xlfn.XLOOKUP($R82:$AK82,增益!$A:$A,增益!$R:$R,0))</f>
        <v>2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7" cm="1">
        <f t="array" ref="BR82">1+$B$14+VLOOKUP($Q82,武学奇术!$A:$ZZ,20,FALSE)+SUM(_xlfn.XLOOKUP($R82:$AK82,增益!$A:$A,增益!$T:$T,0))</f>
        <v>1.35</v>
      </c>
      <c r="BS82" s="27">
        <f t="shared" si="31"/>
        <v>0.87863408</v>
      </c>
      <c r="BT82" s="27">
        <f t="shared" si="32"/>
        <v>0.01567581</v>
      </c>
      <c r="BU82" s="27">
        <f>IF(VLOOKUP($Q82,武学奇术!$A:$ZZ,22,FALSE)=1,0,(1-$BN82))*(1-$BQ82)</f>
        <v>0.01279011</v>
      </c>
      <c r="BV82" s="27" cm="1">
        <f t="array" ref="BV82">SUM(_xlfn.XLOOKUP($R82:$AK82,增益!$A:$A,增益!$W:$W,0))+$I$5</f>
        <v>0.11</v>
      </c>
    </row>
    <row r="83" spans="1:74">
      <c r="A83" s="4" t="s">
        <v>171</v>
      </c>
      <c r="B83" s="4">
        <v>2.3</v>
      </c>
      <c r="D83" s="41"/>
      <c r="K83" s="40">
        <f t="shared" si="33"/>
        <v>36864.3703550551</v>
      </c>
      <c r="L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36864.3703550551</v>
      </c>
      <c r="M83" s="40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26948.6306317982</v>
      </c>
      <c r="N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17554.4620738358</v>
      </c>
      <c r="O83" s="40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15146.9755315247</v>
      </c>
      <c r="P83" s="41">
        <v>1</v>
      </c>
      <c r="Q83" s="42" t="s">
        <v>117</v>
      </c>
      <c r="R83" s="42" t="s">
        <v>93</v>
      </c>
      <c r="S83" s="42" t="s">
        <v>169</v>
      </c>
      <c r="T83" s="42" t="s">
        <v>86</v>
      </c>
      <c r="U83" s="42" t="s">
        <v>121</v>
      </c>
      <c r="V83" s="42" t="s">
        <v>118</v>
      </c>
      <c r="W83" s="42" t="s">
        <v>77</v>
      </c>
      <c r="X83" s="42" t="s">
        <v>176</v>
      </c>
      <c r="Y83" s="42" t="s">
        <v>77</v>
      </c>
      <c r="Z83" s="42" t="s">
        <v>77</v>
      </c>
      <c r="AA83" s="42" t="s">
        <v>73</v>
      </c>
      <c r="AB83" s="42" t="s">
        <v>95</v>
      </c>
      <c r="AC83" s="42" t="s">
        <v>77</v>
      </c>
      <c r="AD83" s="42" t="s">
        <v>80</v>
      </c>
      <c r="AE83" s="42" t="s">
        <v>81</v>
      </c>
      <c r="AF83" s="42" t="s">
        <v>82</v>
      </c>
      <c r="AG83" s="42" t="s">
        <v>77</v>
      </c>
      <c r="AH83" s="42" t="s">
        <v>77</v>
      </c>
      <c r="AI83" s="42" t="s">
        <v>77</v>
      </c>
      <c r="AJ83" s="42" t="s">
        <v>77</v>
      </c>
      <c r="AK83" s="42" t="s">
        <v>90</v>
      </c>
      <c r="AL83" t="str">
        <f>VLOOKUP($Q83,武学奇术!$A:$ZZ,25,FALSE)</f>
        <v>陌刀</v>
      </c>
      <c r="AM83" s="27">
        <f>VLOOKUP($Q83,武学奇术!$A:$ZZ,26,FALSE)</f>
        <v>0.9</v>
      </c>
      <c r="AN83" s="28">
        <f>VLOOKUP($Q83,武学奇术!$A:$ZZ,27,FALSE)*(1+IF(OR($AL83=$F$4,$AL83=$F$5),$B$22,0))</f>
        <v>0</v>
      </c>
      <c r="AO83" s="27">
        <f>VLOOKUP($Q83,武学奇术!$A:$ZZ,28,FALSE)</f>
        <v>1.35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0.7941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3636.7</v>
      </c>
      <c r="AT83" cm="1">
        <f t="array" ref="AT83">$E$10*(1+$AR83)+VLOOKUP($Q83,武学奇术!$A:$ZZ,4,FALSE)+SUM(_xlfn.XLOOKUP($R83:$AK83,增益!$A:$A,增益!$D:$D,0))-$I$2</f>
        <v>3636.7</v>
      </c>
      <c r="AU83" s="34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0.432</v>
      </c>
      <c r="AV83" s="34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4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-0.14</v>
      </c>
      <c r="BA83" s="34" cm="1">
        <f t="array" ref="BA83">$G$11+VLOOKUP($Q83,武学奇术!$A:$ZZ,10,FALSE)+SUM(_xlfn.XLOOKUP($R83:$AK83,增益!$A:$A,增益!$J:$J,0))</f>
        <v>0</v>
      </c>
      <c r="BB83">
        <f t="shared" si="25"/>
        <v>591.9</v>
      </c>
      <c r="BC83">
        <f t="shared" si="26"/>
        <v>1600.3</v>
      </c>
      <c r="BD83" s="34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0.17</v>
      </c>
      <c r="BE83" s="34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4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-0.14</v>
      </c>
      <c r="BI83" s="34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4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-0.14</v>
      </c>
      <c r="BM83" s="34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1</v>
      </c>
      <c r="BP83" s="27" cm="1">
        <f t="array" ref="BP83">1+$B$13+VLOOKUP($Q83,武学奇术!$A:$ZZ,18,FALSE)+SUM(_xlfn.XLOOKUP($R83:$AK83,增益!$A:$A,增益!$R:$R,0))</f>
        <v>2.1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</v>
      </c>
      <c r="BR83" s="27" cm="1">
        <f t="array" ref="BR83">1+$B$14+VLOOKUP($Q83,武学奇术!$A:$ZZ,20,FALSE)+SUM(_xlfn.XLOOKUP($R83:$AK83,增益!$A:$A,增益!$T:$T,0))</f>
        <v>1.35</v>
      </c>
      <c r="BS83" s="27">
        <f t="shared" si="31"/>
        <v>1</v>
      </c>
      <c r="BT83" s="27">
        <f t="shared" si="32"/>
        <v>0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 t="s">
        <v>174</v>
      </c>
      <c r="B84" s="4">
        <v>2</v>
      </c>
      <c r="D84" s="41"/>
      <c r="K84" s="40">
        <f t="shared" si="33"/>
        <v>353834.316195449</v>
      </c>
      <c r="L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353834.316195449</v>
      </c>
      <c r="M84" s="40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254792.778793298</v>
      </c>
      <c r="N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168492.531521642</v>
      </c>
      <c r="O84" s="40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148249.671344545</v>
      </c>
      <c r="P84" s="41">
        <v>1</v>
      </c>
      <c r="Q84" s="42" t="s">
        <v>120</v>
      </c>
      <c r="R84" s="42" t="s">
        <v>93</v>
      </c>
      <c r="S84" s="42" t="s">
        <v>169</v>
      </c>
      <c r="T84" s="42" t="s">
        <v>86</v>
      </c>
      <c r="U84" s="42" t="s">
        <v>121</v>
      </c>
      <c r="V84" s="42" t="s">
        <v>118</v>
      </c>
      <c r="W84" s="42" t="s">
        <v>77</v>
      </c>
      <c r="X84" s="42" t="s">
        <v>176</v>
      </c>
      <c r="Y84" s="42" t="s">
        <v>77</v>
      </c>
      <c r="Z84" s="42" t="s">
        <v>77</v>
      </c>
      <c r="AA84" s="42" t="s">
        <v>73</v>
      </c>
      <c r="AB84" s="42" t="s">
        <v>95</v>
      </c>
      <c r="AC84" s="42" t="s">
        <v>77</v>
      </c>
      <c r="AD84" s="42" t="s">
        <v>80</v>
      </c>
      <c r="AE84" s="42" t="s">
        <v>81</v>
      </c>
      <c r="AF84" s="42" t="s">
        <v>82</v>
      </c>
      <c r="AG84" s="42" t="s">
        <v>77</v>
      </c>
      <c r="AH84" s="42" t="s">
        <v>77</v>
      </c>
      <c r="AI84" s="42" t="s">
        <v>77</v>
      </c>
      <c r="AJ84" s="42" t="s">
        <v>77</v>
      </c>
      <c r="AK84" s="42" t="s">
        <v>90</v>
      </c>
      <c r="AL84" t="str">
        <f>VLOOKUP($Q84,武学奇术!$A:$ZZ,25,FALSE)</f>
        <v>陌刀</v>
      </c>
      <c r="AM84" s="27">
        <f>VLOOKUP($Q84,武学奇术!$A:$ZZ,26,FALSE)</f>
        <v>7.5674</v>
      </c>
      <c r="AN84" s="28">
        <f>VLOOKUP($Q84,武学奇术!$A:$ZZ,27,FALSE)*(1+IF(OR($AL84=$F$4,$AL84=$F$5),$B$22,0))</f>
        <v>3139.5</v>
      </c>
      <c r="AO84" s="27">
        <f>VLOOKUP($Q84,武学奇术!$A:$ZZ,28,FALSE)</f>
        <v>11.3512</v>
      </c>
      <c r="AP84" s="28">
        <f>VLOOKUP($Q84,武学奇术!$A:$ZZ,29,FALSE)*(1+IF(OR($AL84=$F$4,$AL84=$F$5),$B$22,0))</f>
        <v>1710</v>
      </c>
      <c r="AQ84" s="27" cm="1">
        <f t="array" ref="AQ84">$G$3+IFERROR(VLOOKUP($AL84,$F$4:$G$7,2,FALSE),0)+VLOOKUP($Q84,武学奇术!$A:$ZZ,2,FALSE)+SUM(_xlfn.XLOOKUP($R84:$AK84,增益!$A:$A,增益!$B:$B,0))</f>
        <v>0.7941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3636.7</v>
      </c>
      <c r="AT84" cm="1">
        <f t="array" ref="AT84">$E$10*(1+$AR84)+VLOOKUP($Q84,武学奇术!$A:$ZZ,4,FALSE)+SUM(_xlfn.XLOOKUP($R84:$AK84,增益!$A:$A,增益!$D:$D,0))-$I$2</f>
        <v>3636.7</v>
      </c>
      <c r="AU84" s="34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0.432</v>
      </c>
      <c r="AV84" s="34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4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-0.14</v>
      </c>
      <c r="BA84" s="34" cm="1">
        <f t="array" ref="BA84">$G$11+VLOOKUP($Q84,武学奇术!$A:$ZZ,10,FALSE)+SUM(_xlfn.XLOOKUP($R84:$AK84,增益!$A:$A,增益!$J:$J,0))</f>
        <v>0</v>
      </c>
      <c r="BB84">
        <f t="shared" si="25"/>
        <v>591.9</v>
      </c>
      <c r="BC84">
        <f t="shared" si="26"/>
        <v>1600.3</v>
      </c>
      <c r="BD84" s="34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0.17</v>
      </c>
      <c r="BE84" s="34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4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-0.14</v>
      </c>
      <c r="BI84" s="34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4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-0.14</v>
      </c>
      <c r="BM84" s="34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1</v>
      </c>
      <c r="BP84" s="27" cm="1">
        <f t="array" ref="BP84">1+$B$13+VLOOKUP($Q84,武学奇术!$A:$ZZ,18,FALSE)+SUM(_xlfn.XLOOKUP($R84:$AK84,增益!$A:$A,增益!$R:$R,0))</f>
        <v>2.1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</v>
      </c>
      <c r="BR84" s="27" cm="1">
        <f t="array" ref="BR84">1+$B$14+VLOOKUP($Q84,武学奇术!$A:$ZZ,20,FALSE)+SUM(_xlfn.XLOOKUP($R84:$AK84,增益!$A:$A,增益!$T:$T,0))</f>
        <v>1.35</v>
      </c>
      <c r="BS84" s="27">
        <f t="shared" si="31"/>
        <v>1</v>
      </c>
      <c r="BT84" s="27">
        <f t="shared" si="32"/>
        <v>0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 t="s">
        <v>184</v>
      </c>
      <c r="B85" s="4">
        <v>1.1</v>
      </c>
      <c r="D85" s="41"/>
      <c r="K85" s="40">
        <f t="shared" si="33"/>
        <v>20695.2967484095</v>
      </c>
      <c r="L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20695.2967484095</v>
      </c>
      <c r="M85" s="40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15119.7984270752</v>
      </c>
      <c r="N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9854.90321352833</v>
      </c>
      <c r="O85" s="40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8509.95574033429</v>
      </c>
      <c r="P85" s="41">
        <v>1</v>
      </c>
      <c r="Q85" s="42" t="s">
        <v>125</v>
      </c>
      <c r="R85" s="42" t="s">
        <v>99</v>
      </c>
      <c r="S85" s="42" t="s">
        <v>169</v>
      </c>
      <c r="T85" s="42" t="s">
        <v>86</v>
      </c>
      <c r="U85" s="42" t="s">
        <v>121</v>
      </c>
      <c r="V85" s="42" t="s">
        <v>118</v>
      </c>
      <c r="W85" s="42" t="s">
        <v>77</v>
      </c>
      <c r="X85" s="42" t="s">
        <v>176</v>
      </c>
      <c r="Y85" s="42" t="s">
        <v>77</v>
      </c>
      <c r="Z85" s="42" t="s">
        <v>77</v>
      </c>
      <c r="AA85" s="42" t="s">
        <v>73</v>
      </c>
      <c r="AB85" s="42" t="s">
        <v>95</v>
      </c>
      <c r="AC85" s="42" t="s">
        <v>77</v>
      </c>
      <c r="AD85" s="42" t="s">
        <v>80</v>
      </c>
      <c r="AE85" s="42" t="s">
        <v>81</v>
      </c>
      <c r="AF85" s="42" t="s">
        <v>82</v>
      </c>
      <c r="AG85" s="42" t="s">
        <v>77</v>
      </c>
      <c r="AH85" s="42" t="s">
        <v>77</v>
      </c>
      <c r="AI85" s="42" t="s">
        <v>77</v>
      </c>
      <c r="AJ85" s="42" t="s">
        <v>77</v>
      </c>
      <c r="AK85" s="42" t="s">
        <v>90</v>
      </c>
      <c r="AL85" t="str">
        <f>VLOOKUP($Q85,武学奇术!$A:$ZZ,25,FALSE)</f>
        <v>陌刀</v>
      </c>
      <c r="AM85" s="27">
        <f>VLOOKUP($Q85,武学奇术!$A:$ZZ,26,FALSE)</f>
        <v>0.5</v>
      </c>
      <c r="AN85" s="28">
        <f>VLOOKUP($Q85,武学奇术!$A:$ZZ,27,FALSE)*(1+IF(OR($AL85=$F$4,$AL85=$F$5),$B$22,0))</f>
        <v>0</v>
      </c>
      <c r="AO85" s="27">
        <f>VLOOKUP($Q85,武学奇术!$A:$ZZ,28,FALSE)</f>
        <v>0.75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0.8041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3636.7</v>
      </c>
      <c r="AT85" cm="1">
        <f t="array" ref="AT85">$E$10*(1+$AR85)+VLOOKUP($Q85,武学奇术!$A:$ZZ,4,FALSE)+SUM(_xlfn.XLOOKUP($R85:$AK85,增益!$A:$A,增益!$D:$D,0))-$I$2</f>
        <v>3636.7</v>
      </c>
      <c r="AU85" s="34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0.442</v>
      </c>
      <c r="AV85" s="34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4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-0.14</v>
      </c>
      <c r="BA85" s="34" cm="1">
        <f t="array" ref="BA85">$G$11+VLOOKUP($Q85,武学奇术!$A:$ZZ,10,FALSE)+SUM(_xlfn.XLOOKUP($R85:$AK85,增益!$A:$A,增益!$J:$J,0))</f>
        <v>0</v>
      </c>
      <c r="BB85">
        <f t="shared" si="25"/>
        <v>591.9</v>
      </c>
      <c r="BC85">
        <f t="shared" si="26"/>
        <v>1600.3</v>
      </c>
      <c r="BD85" s="34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0.17</v>
      </c>
      <c r="BE85" s="34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4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-0.14</v>
      </c>
      <c r="BI85" s="34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4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-0.14</v>
      </c>
      <c r="BM85" s="34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1</v>
      </c>
      <c r="BP85" s="27" cm="1">
        <f t="array" ref="BP85">1+$B$13+VLOOKUP($Q85,武学奇术!$A:$ZZ,18,FALSE)+SUM(_xlfn.XLOOKUP($R85:$AK85,增益!$A:$A,增益!$R:$R,0))</f>
        <v>2.1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</v>
      </c>
      <c r="BR85" s="27" cm="1">
        <f t="array" ref="BR85">1+$B$14+VLOOKUP($Q85,武学奇术!$A:$ZZ,20,FALSE)+SUM(_xlfn.XLOOKUP($R85:$AK85,增益!$A:$A,增益!$T:$T,0))</f>
        <v>1.35</v>
      </c>
      <c r="BS85" s="27">
        <f t="shared" si="31"/>
        <v>1</v>
      </c>
      <c r="BT85" s="27">
        <f t="shared" si="32"/>
        <v>0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 t="s">
        <v>177</v>
      </c>
      <c r="B86" s="4">
        <v>1</v>
      </c>
      <c r="D86" s="41"/>
      <c r="K86" s="40">
        <f t="shared" si="33"/>
        <v>37251.5341471371</v>
      </c>
      <c r="L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37251.5341471371</v>
      </c>
      <c r="M86" s="40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27215.6371687353</v>
      </c>
      <c r="N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17738.825784351</v>
      </c>
      <c r="O86" s="40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15317.9203326017</v>
      </c>
      <c r="P86" s="41">
        <v>1</v>
      </c>
      <c r="Q86" s="42" t="s">
        <v>117</v>
      </c>
      <c r="R86" s="42" t="s">
        <v>99</v>
      </c>
      <c r="S86" s="42" t="s">
        <v>169</v>
      </c>
      <c r="T86" s="42" t="s">
        <v>86</v>
      </c>
      <c r="U86" s="42" t="s">
        <v>121</v>
      </c>
      <c r="V86" s="42" t="s">
        <v>118</v>
      </c>
      <c r="W86" s="42" t="s">
        <v>77</v>
      </c>
      <c r="X86" s="42" t="s">
        <v>176</v>
      </c>
      <c r="Y86" s="42" t="s">
        <v>77</v>
      </c>
      <c r="Z86" s="42" t="s">
        <v>77</v>
      </c>
      <c r="AA86" s="42" t="s">
        <v>73</v>
      </c>
      <c r="AB86" s="42" t="s">
        <v>95</v>
      </c>
      <c r="AC86" s="42" t="s">
        <v>77</v>
      </c>
      <c r="AD86" s="42" t="s">
        <v>80</v>
      </c>
      <c r="AE86" s="42" t="s">
        <v>81</v>
      </c>
      <c r="AF86" s="42" t="s">
        <v>82</v>
      </c>
      <c r="AG86" s="42" t="s">
        <v>77</v>
      </c>
      <c r="AH86" s="42" t="s">
        <v>77</v>
      </c>
      <c r="AI86" s="42" t="s">
        <v>77</v>
      </c>
      <c r="AJ86" s="42" t="s">
        <v>77</v>
      </c>
      <c r="AK86" s="42" t="s">
        <v>90</v>
      </c>
      <c r="AL86" t="str">
        <f>VLOOKUP($Q86,武学奇术!$A:$ZZ,25,FALSE)</f>
        <v>陌刀</v>
      </c>
      <c r="AM86" s="27">
        <f>VLOOKUP($Q86,武学奇术!$A:$ZZ,26,FALSE)</f>
        <v>0.9</v>
      </c>
      <c r="AN86" s="28">
        <f>VLOOKUP($Q86,武学奇术!$A:$ZZ,27,FALSE)*(1+IF(OR($AL86=$F$4,$AL86=$F$5),$B$22,0))</f>
        <v>0</v>
      </c>
      <c r="AO86" s="27">
        <f>VLOOKUP($Q86,武学奇术!$A:$ZZ,28,FALSE)</f>
        <v>1.35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0.8041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3636.7</v>
      </c>
      <c r="AT86" cm="1">
        <f t="array" ref="AT86">$E$10*(1+$AR86)+VLOOKUP($Q86,武学奇术!$A:$ZZ,4,FALSE)+SUM(_xlfn.XLOOKUP($R86:$AK86,增益!$A:$A,增益!$D:$D,0))-$I$2</f>
        <v>3636.7</v>
      </c>
      <c r="AU86" s="34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0.442</v>
      </c>
      <c r="AV86" s="34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4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-0.14</v>
      </c>
      <c r="BA86" s="34" cm="1">
        <f t="array" ref="BA86">$G$11+VLOOKUP($Q86,武学奇术!$A:$ZZ,10,FALSE)+SUM(_xlfn.XLOOKUP($R86:$AK86,增益!$A:$A,增益!$J:$J,0))</f>
        <v>0</v>
      </c>
      <c r="BB86">
        <f t="shared" si="25"/>
        <v>591.9</v>
      </c>
      <c r="BC86">
        <f t="shared" si="26"/>
        <v>1600.3</v>
      </c>
      <c r="BD86" s="34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0.17</v>
      </c>
      <c r="BE86" s="34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4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-0.14</v>
      </c>
      <c r="BI86" s="34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4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-0.14</v>
      </c>
      <c r="BM86" s="34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1</v>
      </c>
      <c r="BP86" s="27" cm="1">
        <f t="array" ref="BP86">1+$B$13+VLOOKUP($Q86,武学奇术!$A:$ZZ,18,FALSE)+SUM(_xlfn.XLOOKUP($R86:$AK86,增益!$A:$A,增益!$R:$R,0))</f>
        <v>2.1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</v>
      </c>
      <c r="BR86" s="27" cm="1">
        <f t="array" ref="BR86">1+$B$14+VLOOKUP($Q86,武学奇术!$A:$ZZ,20,FALSE)+SUM(_xlfn.XLOOKUP($R86:$AK86,增益!$A:$A,增益!$T:$T,0))</f>
        <v>1.35</v>
      </c>
      <c r="BS86" s="27">
        <f t="shared" si="31"/>
        <v>1</v>
      </c>
      <c r="BT86" s="27">
        <f t="shared" si="32"/>
        <v>0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A87" s="4" t="s">
        <v>192</v>
      </c>
      <c r="B87" s="4">
        <v>0.7</v>
      </c>
      <c r="D87" s="41"/>
      <c r="K87" s="40">
        <f t="shared" si="33"/>
        <v>357508.477774723</v>
      </c>
      <c r="L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357508.477774723</v>
      </c>
      <c r="M87" s="40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257307.060533361</v>
      </c>
      <c r="N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170242.132273678</v>
      </c>
      <c r="O87" s="40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149886.441930051</v>
      </c>
      <c r="P87" s="41">
        <v>1</v>
      </c>
      <c r="Q87" s="42" t="s">
        <v>120</v>
      </c>
      <c r="R87" s="42" t="s">
        <v>99</v>
      </c>
      <c r="S87" s="42" t="s">
        <v>169</v>
      </c>
      <c r="T87" s="42" t="s">
        <v>86</v>
      </c>
      <c r="U87" s="42" t="s">
        <v>121</v>
      </c>
      <c r="V87" s="42" t="s">
        <v>118</v>
      </c>
      <c r="W87" s="42" t="s">
        <v>77</v>
      </c>
      <c r="X87" s="42" t="s">
        <v>176</v>
      </c>
      <c r="Y87" s="42" t="s">
        <v>77</v>
      </c>
      <c r="Z87" s="42" t="s">
        <v>77</v>
      </c>
      <c r="AA87" s="42" t="s">
        <v>73</v>
      </c>
      <c r="AB87" s="42" t="s">
        <v>95</v>
      </c>
      <c r="AC87" s="42" t="s">
        <v>77</v>
      </c>
      <c r="AD87" s="42" t="s">
        <v>80</v>
      </c>
      <c r="AE87" s="42" t="s">
        <v>81</v>
      </c>
      <c r="AF87" s="42" t="s">
        <v>82</v>
      </c>
      <c r="AG87" s="42" t="s">
        <v>77</v>
      </c>
      <c r="AH87" s="42" t="s">
        <v>77</v>
      </c>
      <c r="AI87" s="42" t="s">
        <v>77</v>
      </c>
      <c r="AJ87" s="42" t="s">
        <v>77</v>
      </c>
      <c r="AK87" s="42" t="s">
        <v>90</v>
      </c>
      <c r="AL87" t="str">
        <f>VLOOKUP($Q87,武学奇术!$A:$ZZ,25,FALSE)</f>
        <v>陌刀</v>
      </c>
      <c r="AM87" s="27">
        <f>VLOOKUP($Q87,武学奇术!$A:$ZZ,26,FALSE)</f>
        <v>7.5674</v>
      </c>
      <c r="AN87" s="28">
        <f>VLOOKUP($Q87,武学奇术!$A:$ZZ,27,FALSE)*(1+IF(OR($AL87=$F$4,$AL87=$F$5),$B$22,0))</f>
        <v>3139.5</v>
      </c>
      <c r="AO87" s="27">
        <f>VLOOKUP($Q87,武学奇术!$A:$ZZ,28,FALSE)</f>
        <v>11.3512</v>
      </c>
      <c r="AP87" s="28">
        <f>VLOOKUP($Q87,武学奇术!$A:$ZZ,29,FALSE)*(1+IF(OR($AL87=$F$4,$AL87=$F$5),$B$22,0))</f>
        <v>1710</v>
      </c>
      <c r="AQ87" s="27" cm="1">
        <f t="array" ref="AQ87">$G$3+IFERROR(VLOOKUP($AL87,$F$4:$G$7,2,FALSE),0)+VLOOKUP($Q87,武学奇术!$A:$ZZ,2,FALSE)+SUM(_xlfn.XLOOKUP($R87:$AK87,增益!$A:$A,增益!$B:$B,0))</f>
        <v>0.8041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3636.7</v>
      </c>
      <c r="AT87" cm="1">
        <f t="array" ref="AT87">$E$10*(1+$AR87)+VLOOKUP($Q87,武学奇术!$A:$ZZ,4,FALSE)+SUM(_xlfn.XLOOKUP($R87:$AK87,增益!$A:$A,增益!$D:$D,0))-$I$2</f>
        <v>3636.7</v>
      </c>
      <c r="AU87" s="34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0.442</v>
      </c>
      <c r="AV87" s="34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4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-0.14</v>
      </c>
      <c r="BA87" s="34" cm="1">
        <f t="array" ref="BA87">$G$11+VLOOKUP($Q87,武学奇术!$A:$ZZ,10,FALSE)+SUM(_xlfn.XLOOKUP($R87:$AK87,增益!$A:$A,增益!$J:$J,0))</f>
        <v>0</v>
      </c>
      <c r="BB87">
        <f t="shared" si="25"/>
        <v>591.9</v>
      </c>
      <c r="BC87">
        <f t="shared" si="26"/>
        <v>1600.3</v>
      </c>
      <c r="BD87" s="34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0.17</v>
      </c>
      <c r="BE87" s="34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4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-0.14</v>
      </c>
      <c r="BI87" s="34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4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-0.14</v>
      </c>
      <c r="BM87" s="34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1</v>
      </c>
      <c r="BP87" s="27" cm="1">
        <f t="array" ref="BP87">1+$B$13+VLOOKUP($Q87,武学奇术!$A:$ZZ,18,FALSE)+SUM(_xlfn.XLOOKUP($R87:$AK87,增益!$A:$A,增益!$R:$R,0))</f>
        <v>2.1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</v>
      </c>
      <c r="BR87" s="27" cm="1">
        <f t="array" ref="BR87">1+$B$14+VLOOKUP($Q87,武学奇术!$A:$ZZ,20,FALSE)+SUM(_xlfn.XLOOKUP($R87:$AK87,增益!$A:$A,增益!$T:$T,0))</f>
        <v>1.35</v>
      </c>
      <c r="BS87" s="27">
        <f t="shared" si="31"/>
        <v>1</v>
      </c>
      <c r="BT87" s="27">
        <f t="shared" si="32"/>
        <v>0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A88" s="4" t="s">
        <v>163</v>
      </c>
      <c r="B88" s="4">
        <v>1.3</v>
      </c>
      <c r="K88" s="40">
        <f t="shared" si="33"/>
        <v>41823.013455014</v>
      </c>
      <c r="L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41823.013455014</v>
      </c>
      <c r="M88" s="40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30537.7094771474</v>
      </c>
      <c r="N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19915.7206928638</v>
      </c>
      <c r="O88" s="40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17210.9158470999</v>
      </c>
      <c r="P88" s="41">
        <v>2</v>
      </c>
      <c r="Q88" s="42" t="s">
        <v>125</v>
      </c>
      <c r="R88" s="42" t="s">
        <v>103</v>
      </c>
      <c r="S88" s="42" t="s">
        <v>169</v>
      </c>
      <c r="T88" s="42" t="s">
        <v>86</v>
      </c>
      <c r="U88" s="42" t="s">
        <v>121</v>
      </c>
      <c r="V88" s="42" t="s">
        <v>118</v>
      </c>
      <c r="W88" s="42" t="s">
        <v>77</v>
      </c>
      <c r="X88" s="42" t="s">
        <v>176</v>
      </c>
      <c r="Y88" s="42" t="s">
        <v>77</v>
      </c>
      <c r="Z88" s="42" t="s">
        <v>77</v>
      </c>
      <c r="AA88" s="42" t="s">
        <v>73</v>
      </c>
      <c r="AB88" s="42" t="s">
        <v>89</v>
      </c>
      <c r="AC88" s="42" t="s">
        <v>77</v>
      </c>
      <c r="AD88" s="42" t="s">
        <v>80</v>
      </c>
      <c r="AE88" s="42" t="s">
        <v>81</v>
      </c>
      <c r="AF88" s="42" t="s">
        <v>82</v>
      </c>
      <c r="AG88" s="42" t="s">
        <v>77</v>
      </c>
      <c r="AH88" s="42" t="s">
        <v>77</v>
      </c>
      <c r="AI88" s="42" t="s">
        <v>77</v>
      </c>
      <c r="AJ88" s="42" t="s">
        <v>77</v>
      </c>
      <c r="AK88" s="42" t="s">
        <v>90</v>
      </c>
      <c r="AL88" t="str">
        <f>VLOOKUP($Q88,武学奇术!$A:$ZZ,25,FALSE)</f>
        <v>陌刀</v>
      </c>
      <c r="AM88" s="27">
        <f>VLOOKUP($Q88,武学奇术!$A:$ZZ,26,FALSE)</f>
        <v>0.5</v>
      </c>
      <c r="AN88" s="28">
        <f>VLOOKUP($Q88,武学奇术!$A:$ZZ,27,FALSE)*(1+IF(OR($AL88=$F$4,$AL88=$F$5),$B$22,0))</f>
        <v>0</v>
      </c>
      <c r="AO88" s="27">
        <f>VLOOKUP($Q88,武学奇术!$A:$ZZ,28,FALSE)</f>
        <v>0.75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0.8141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3636.7</v>
      </c>
      <c r="AT88" cm="1">
        <f t="array" ref="AT88">$E$10*(1+$AR88)+VLOOKUP($Q88,武学奇术!$A:$ZZ,4,FALSE)+SUM(_xlfn.XLOOKUP($R88:$AK88,增益!$A:$A,增益!$D:$D,0))-$I$2</f>
        <v>3636.7</v>
      </c>
      <c r="AU88" s="34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0.452</v>
      </c>
      <c r="AV88" s="34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4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-0.14</v>
      </c>
      <c r="BA88" s="34" cm="1">
        <f t="array" ref="BA88">$G$11+VLOOKUP($Q88,武学奇术!$A:$ZZ,10,FALSE)+SUM(_xlfn.XLOOKUP($R88:$AK88,增益!$A:$A,增益!$J:$J,0))</f>
        <v>0</v>
      </c>
      <c r="BB88">
        <f t="shared" si="25"/>
        <v>591.9</v>
      </c>
      <c r="BC88">
        <f t="shared" si="26"/>
        <v>1600.3</v>
      </c>
      <c r="BD88" s="34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0.17</v>
      </c>
      <c r="BE88" s="34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4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-0.14</v>
      </c>
      <c r="BI88" s="34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4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-0.14</v>
      </c>
      <c r="BM88" s="34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1</v>
      </c>
      <c r="BP88" s="27" cm="1">
        <f t="array" ref="BP88">1+$B$13+VLOOKUP($Q88,武学奇术!$A:$ZZ,18,FALSE)+SUM(_xlfn.XLOOKUP($R88:$AK88,增益!$A:$A,增益!$R:$R,0))</f>
        <v>2.1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</v>
      </c>
      <c r="BR88" s="27" cm="1">
        <f t="array" ref="BR88">1+$B$14+VLOOKUP($Q88,武学奇术!$A:$ZZ,20,FALSE)+SUM(_xlfn.XLOOKUP($R88:$AK88,增益!$A:$A,增益!$T:$T,0))</f>
        <v>1.35</v>
      </c>
      <c r="BS88" s="27">
        <f t="shared" si="31"/>
        <v>1</v>
      </c>
      <c r="BT88" s="27">
        <f t="shared" si="32"/>
        <v>0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A89" s="4" t="s">
        <v>188</v>
      </c>
      <c r="B89" s="4">
        <v>0.9</v>
      </c>
      <c r="K89" s="40">
        <f t="shared" si="33"/>
        <v>75281.4242190251</v>
      </c>
      <c r="L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75281.4242190251</v>
      </c>
      <c r="M89" s="40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54967.8770588652</v>
      </c>
      <c r="N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35848.2972471548</v>
      </c>
      <c r="O89" s="40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30979.6485247798</v>
      </c>
      <c r="P89" s="41">
        <v>2</v>
      </c>
      <c r="Q89" s="42" t="s">
        <v>117</v>
      </c>
      <c r="R89" s="42" t="s">
        <v>103</v>
      </c>
      <c r="S89" s="42" t="s">
        <v>169</v>
      </c>
      <c r="T89" s="42" t="s">
        <v>86</v>
      </c>
      <c r="U89" s="42" t="s">
        <v>121</v>
      </c>
      <c r="V89" s="42" t="s">
        <v>118</v>
      </c>
      <c r="W89" s="42" t="s">
        <v>77</v>
      </c>
      <c r="X89" s="42" t="s">
        <v>176</v>
      </c>
      <c r="Y89" s="42" t="s">
        <v>77</v>
      </c>
      <c r="Z89" s="42" t="s">
        <v>77</v>
      </c>
      <c r="AA89" s="42" t="s">
        <v>73</v>
      </c>
      <c r="AB89" s="42" t="s">
        <v>89</v>
      </c>
      <c r="AC89" s="42" t="s">
        <v>77</v>
      </c>
      <c r="AD89" s="42" t="s">
        <v>80</v>
      </c>
      <c r="AE89" s="42" t="s">
        <v>81</v>
      </c>
      <c r="AF89" s="42" t="s">
        <v>82</v>
      </c>
      <c r="AG89" s="42" t="s">
        <v>77</v>
      </c>
      <c r="AH89" s="42" t="s">
        <v>77</v>
      </c>
      <c r="AI89" s="42" t="s">
        <v>77</v>
      </c>
      <c r="AJ89" s="42" t="s">
        <v>77</v>
      </c>
      <c r="AK89" s="42" t="s">
        <v>90</v>
      </c>
      <c r="AL89" t="str">
        <f>VLOOKUP($Q89,武学奇术!$A:$ZZ,25,FALSE)</f>
        <v>陌刀</v>
      </c>
      <c r="AM89" s="27">
        <f>VLOOKUP($Q89,武学奇术!$A:$ZZ,26,FALSE)</f>
        <v>0.9</v>
      </c>
      <c r="AN89" s="28">
        <f>VLOOKUP($Q89,武学奇术!$A:$ZZ,27,FALSE)*(1+IF(OR($AL89=$F$4,$AL89=$F$5),$B$22,0))</f>
        <v>0</v>
      </c>
      <c r="AO89" s="27">
        <f>VLOOKUP($Q89,武学奇术!$A:$ZZ,28,FALSE)</f>
        <v>1.35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0.8141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3636.7</v>
      </c>
      <c r="AT89" cm="1">
        <f t="array" ref="AT89">$E$10*(1+$AR89)+VLOOKUP($Q89,武学奇术!$A:$ZZ,4,FALSE)+SUM(_xlfn.XLOOKUP($R89:$AK89,增益!$A:$A,增益!$D:$D,0))-$I$2</f>
        <v>3636.7</v>
      </c>
      <c r="AU89" s="34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0.452</v>
      </c>
      <c r="AV89" s="34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4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-0.14</v>
      </c>
      <c r="BA89" s="34" cm="1">
        <f t="array" ref="BA89">$G$11+VLOOKUP($Q89,武学奇术!$A:$ZZ,10,FALSE)+SUM(_xlfn.XLOOKUP($R89:$AK89,增益!$A:$A,增益!$J:$J,0))</f>
        <v>0</v>
      </c>
      <c r="BB89">
        <f t="shared" si="25"/>
        <v>591.9</v>
      </c>
      <c r="BC89">
        <f t="shared" si="26"/>
        <v>1600.3</v>
      </c>
      <c r="BD89" s="34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0.17</v>
      </c>
      <c r="BE89" s="34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4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-0.14</v>
      </c>
      <c r="BI89" s="34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4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-0.14</v>
      </c>
      <c r="BM89" s="34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1</v>
      </c>
      <c r="BP89" s="27" cm="1">
        <f t="array" ref="BP89">1+$B$13+VLOOKUP($Q89,武学奇术!$A:$ZZ,18,FALSE)+SUM(_xlfn.XLOOKUP($R89:$AK89,增益!$A:$A,增益!$R:$R,0))</f>
        <v>2.1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</v>
      </c>
      <c r="BR89" s="27" cm="1">
        <f t="array" ref="BR89">1+$B$14+VLOOKUP($Q89,武学奇术!$A:$ZZ,20,FALSE)+SUM(_xlfn.XLOOKUP($R89:$AK89,增益!$A:$A,增益!$T:$T,0))</f>
        <v>1.35</v>
      </c>
      <c r="BS89" s="27">
        <f t="shared" si="31"/>
        <v>1</v>
      </c>
      <c r="BT89" s="27">
        <f t="shared" si="32"/>
        <v>0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A90" t="s">
        <v>189</v>
      </c>
      <c r="B90">
        <v>0.4</v>
      </c>
      <c r="K90" s="40">
        <f t="shared" si="33"/>
        <v>722403.013886974</v>
      </c>
      <c r="L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722403.013886974</v>
      </c>
      <c r="M90" s="40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519666.942876192</v>
      </c>
      <c r="N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344001.435184273</v>
      </c>
      <c r="O90" s="40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303064.39416396</v>
      </c>
      <c r="P90" s="41">
        <v>2</v>
      </c>
      <c r="Q90" s="42" t="s">
        <v>120</v>
      </c>
      <c r="R90" s="42" t="s">
        <v>103</v>
      </c>
      <c r="S90" s="42" t="s">
        <v>169</v>
      </c>
      <c r="T90" s="42" t="s">
        <v>86</v>
      </c>
      <c r="U90" s="42" t="s">
        <v>121</v>
      </c>
      <c r="V90" s="42" t="s">
        <v>118</v>
      </c>
      <c r="W90" s="42" t="s">
        <v>77</v>
      </c>
      <c r="X90" s="42" t="s">
        <v>176</v>
      </c>
      <c r="Y90" s="42" t="s">
        <v>77</v>
      </c>
      <c r="Z90" s="42" t="s">
        <v>77</v>
      </c>
      <c r="AA90" s="42" t="s">
        <v>73</v>
      </c>
      <c r="AB90" s="42" t="s">
        <v>89</v>
      </c>
      <c r="AC90" s="42" t="s">
        <v>77</v>
      </c>
      <c r="AD90" s="42" t="s">
        <v>80</v>
      </c>
      <c r="AE90" s="42" t="s">
        <v>81</v>
      </c>
      <c r="AF90" s="42" t="s">
        <v>82</v>
      </c>
      <c r="AG90" s="42" t="s">
        <v>77</v>
      </c>
      <c r="AH90" s="42" t="s">
        <v>77</v>
      </c>
      <c r="AI90" s="42" t="s">
        <v>77</v>
      </c>
      <c r="AJ90" s="42" t="s">
        <v>77</v>
      </c>
      <c r="AK90" s="42" t="s">
        <v>90</v>
      </c>
      <c r="AL90" t="str">
        <f>VLOOKUP($Q90,武学奇术!$A:$ZZ,25,FALSE)</f>
        <v>陌刀</v>
      </c>
      <c r="AM90" s="27">
        <f>VLOOKUP($Q90,武学奇术!$A:$ZZ,26,FALSE)</f>
        <v>7.5674</v>
      </c>
      <c r="AN90" s="28">
        <f>VLOOKUP($Q90,武学奇术!$A:$ZZ,27,FALSE)*(1+IF(OR($AL90=$F$4,$AL90=$F$5),$B$22,0))</f>
        <v>3139.5</v>
      </c>
      <c r="AO90" s="27">
        <f>VLOOKUP($Q90,武学奇术!$A:$ZZ,28,FALSE)</f>
        <v>11.3512</v>
      </c>
      <c r="AP90" s="28">
        <f>VLOOKUP($Q90,武学奇术!$A:$ZZ,29,FALSE)*(1+IF(OR($AL90=$F$4,$AL90=$F$5),$B$22,0))</f>
        <v>1710</v>
      </c>
      <c r="AQ90" s="27" cm="1">
        <f t="array" ref="AQ90">$G$3+IFERROR(VLOOKUP($AL90,$F$4:$G$7,2,FALSE),0)+VLOOKUP($Q90,武学奇术!$A:$ZZ,2,FALSE)+SUM(_xlfn.XLOOKUP($R90:$AK90,增益!$A:$A,增益!$B:$B,0))</f>
        <v>0.8141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3636.7</v>
      </c>
      <c r="AT90" cm="1">
        <f t="array" ref="AT90">$E$10*(1+$AR90)+VLOOKUP($Q90,武学奇术!$A:$ZZ,4,FALSE)+SUM(_xlfn.XLOOKUP($R90:$AK90,增益!$A:$A,增益!$D:$D,0))-$I$2</f>
        <v>3636.7</v>
      </c>
      <c r="AU90" s="34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0.452</v>
      </c>
      <c r="AV90" s="34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4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-0.14</v>
      </c>
      <c r="BA90" s="34" cm="1">
        <f t="array" ref="BA90">$G$11+VLOOKUP($Q90,武学奇术!$A:$ZZ,10,FALSE)+SUM(_xlfn.XLOOKUP($R90:$AK90,增益!$A:$A,增益!$J:$J,0))</f>
        <v>0</v>
      </c>
      <c r="BB90">
        <f t="shared" si="25"/>
        <v>591.9</v>
      </c>
      <c r="BC90">
        <f t="shared" si="26"/>
        <v>1600.3</v>
      </c>
      <c r="BD90" s="34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0.17</v>
      </c>
      <c r="BE90" s="34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4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-0.14</v>
      </c>
      <c r="BI90" s="34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4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-0.14</v>
      </c>
      <c r="BM90" s="34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1</v>
      </c>
      <c r="BP90" s="27" cm="1">
        <f t="array" ref="BP90">1+$B$13+VLOOKUP($Q90,武学奇术!$A:$ZZ,18,FALSE)+SUM(_xlfn.XLOOKUP($R90:$AK90,增益!$A:$A,增益!$R:$R,0))</f>
        <v>2.1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</v>
      </c>
      <c r="BR90" s="27" cm="1">
        <f t="array" ref="BR90">1+$B$14+VLOOKUP($Q90,武学奇术!$A:$ZZ,20,FALSE)+SUM(_xlfn.XLOOKUP($R90:$AK90,增益!$A:$A,增益!$T:$T,0))</f>
        <v>1.35</v>
      </c>
      <c r="BS90" s="27">
        <f t="shared" si="31"/>
        <v>1</v>
      </c>
      <c r="BT90" s="27">
        <f t="shared" si="32"/>
        <v>0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A91" t="s">
        <v>178</v>
      </c>
      <c r="B91">
        <v>1</v>
      </c>
      <c r="K91" s="40">
        <f t="shared" si="33"/>
        <v>160790.772150553</v>
      </c>
      <c r="L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164803.485840974</v>
      </c>
      <c r="M91" s="40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144814.388740222</v>
      </c>
      <c r="N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94714.6470350425</v>
      </c>
      <c r="O91" s="40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82159.3764847352</v>
      </c>
      <c r="P91" s="41">
        <v>1</v>
      </c>
      <c r="Q91" s="42" t="s">
        <v>149</v>
      </c>
      <c r="R91" s="42" t="s">
        <v>103</v>
      </c>
      <c r="S91" s="42" t="s">
        <v>169</v>
      </c>
      <c r="T91" s="42" t="s">
        <v>86</v>
      </c>
      <c r="U91" s="42" t="s">
        <v>87</v>
      </c>
      <c r="V91" s="42" t="s">
        <v>77</v>
      </c>
      <c r="W91" s="42" t="s">
        <v>77</v>
      </c>
      <c r="X91" s="42" t="s">
        <v>176</v>
      </c>
      <c r="Y91" s="42" t="s">
        <v>77</v>
      </c>
      <c r="Z91" s="42" t="s">
        <v>77</v>
      </c>
      <c r="AA91" s="42" t="s">
        <v>77</v>
      </c>
      <c r="AB91" s="42" t="s">
        <v>89</v>
      </c>
      <c r="AC91" s="42" t="s">
        <v>77</v>
      </c>
      <c r="AD91" s="42" t="s">
        <v>80</v>
      </c>
      <c r="AE91" s="42" t="s">
        <v>81</v>
      </c>
      <c r="AF91" s="42" t="s">
        <v>82</v>
      </c>
      <c r="AG91" s="42" t="s">
        <v>77</v>
      </c>
      <c r="AH91" s="42" t="s">
        <v>77</v>
      </c>
      <c r="AI91" s="42" t="s">
        <v>77</v>
      </c>
      <c r="AJ91" s="42" t="s">
        <v>77</v>
      </c>
      <c r="AK91" s="42" t="s">
        <v>90</v>
      </c>
      <c r="AL91" t="str">
        <f>VLOOKUP($Q91,武学奇术!$A:$ZZ,25,FALSE)</f>
        <v>单体奇术</v>
      </c>
      <c r="AM91" s="27">
        <f>VLOOKUP($Q91,武学奇术!$A:$ZZ,26,FALSE)</f>
        <v>7.1084</v>
      </c>
      <c r="AN91" s="28">
        <f>VLOOKUP($Q91,武学奇术!$A:$ZZ,27,FALSE)*(1+IF(OR($AL91=$F$4,$AL91=$F$5),$B$22,0))</f>
        <v>1369</v>
      </c>
      <c r="AO91" s="27">
        <f>VLOOKUP($Q91,武学奇术!$A:$ZZ,28,FALSE)</f>
        <v>10.6626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0.5637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3636.7</v>
      </c>
      <c r="AT91" cm="1">
        <f t="array" ref="AT91">$E$10*(1+$AR91)+VLOOKUP($Q91,武学奇术!$A:$ZZ,4,FALSE)+SUM(_xlfn.XLOOKUP($R91:$AK91,增益!$A:$A,增益!$D:$D,0))-$I$2</f>
        <v>3636.7</v>
      </c>
      <c r="AU91" s="34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0.427</v>
      </c>
      <c r="AV91" s="34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4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-0.14</v>
      </c>
      <c r="BA91" s="34" cm="1">
        <f t="array" ref="BA91">$G$11+VLOOKUP($Q91,武学奇术!$A:$ZZ,10,FALSE)+SUM(_xlfn.XLOOKUP($R91:$AK91,增益!$A:$A,增益!$J:$J,0))</f>
        <v>0</v>
      </c>
      <c r="BB91">
        <f t="shared" si="25"/>
        <v>591.9</v>
      </c>
      <c r="BC91">
        <f t="shared" si="26"/>
        <v>1600.3</v>
      </c>
      <c r="BD91" s="34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0.17</v>
      </c>
      <c r="BE91" s="34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4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-0.14</v>
      </c>
      <c r="BI91" s="34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4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-0.14</v>
      </c>
      <c r="BM91" s="34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0.9859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7" cm="1">
        <f t="array" ref="BP91">1+$B$13+VLOOKUP($Q91,武学奇术!$A:$ZZ,18,FALSE)+SUM(_xlfn.XLOOKUP($R91:$AK91,增益!$A:$A,增益!$R:$R,0))</f>
        <v>1.74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7" cm="1">
        <f t="array" ref="BR91">1+$B$14+VLOOKUP($Q91,武学奇术!$A:$ZZ,20,FALSE)+SUM(_xlfn.XLOOKUP($R91:$AK91,增益!$A:$A,增益!$T:$T,0))</f>
        <v>1.35</v>
      </c>
      <c r="BS91" s="27">
        <f t="shared" si="31"/>
        <v>0.87863408</v>
      </c>
      <c r="BT91" s="27">
        <f t="shared" si="32"/>
        <v>0.01567581</v>
      </c>
      <c r="BU91" s="27">
        <f>IF(VLOOKUP($Q91,武学奇术!$A:$ZZ,22,FALSE)=1,0,(1-$BN91))*(1-$BQ91)</f>
        <v>0.01279011</v>
      </c>
      <c r="BV91" s="27" cm="1">
        <f t="array" ref="BV91">SUM(_xlfn.XLOOKUP($R91:$AK91,增益!$A:$A,增益!$W:$W,0))+$I$5</f>
        <v>0.11</v>
      </c>
    </row>
    <row r="92" spans="1:74">
      <c r="A92" t="s">
        <v>164</v>
      </c>
      <c r="B92">
        <v>2.3</v>
      </c>
      <c r="D92" s="41" t="s">
        <v>168</v>
      </c>
      <c r="E92" s="41" t="s">
        <v>163</v>
      </c>
      <c r="F92" s="41" t="s">
        <v>172</v>
      </c>
      <c r="K92" s="40">
        <f t="shared" si="33"/>
        <v>62805.9083619012</v>
      </c>
      <c r="L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65268.1979312325</v>
      </c>
      <c r="M92" s="40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49297.5765576479</v>
      </c>
      <c r="N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32634.0989656162</v>
      </c>
      <c r="O92" s="40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28751.474555197</v>
      </c>
      <c r="P92" s="41">
        <v>1</v>
      </c>
      <c r="Q92" s="42" t="s">
        <v>157</v>
      </c>
      <c r="R92" s="42" t="s">
        <v>103</v>
      </c>
      <c r="S92" s="42" t="s">
        <v>169</v>
      </c>
      <c r="T92" s="42" t="s">
        <v>86</v>
      </c>
      <c r="U92" s="42" t="s">
        <v>121</v>
      </c>
      <c r="V92" s="42" t="s">
        <v>77</v>
      </c>
      <c r="W92" s="42" t="s">
        <v>77</v>
      </c>
      <c r="X92" s="42" t="s">
        <v>176</v>
      </c>
      <c r="Y92" s="42" t="s">
        <v>77</v>
      </c>
      <c r="Z92" s="42" t="s">
        <v>77</v>
      </c>
      <c r="AA92" s="42" t="s">
        <v>73</v>
      </c>
      <c r="AB92" s="42" t="s">
        <v>89</v>
      </c>
      <c r="AC92" s="42" t="s">
        <v>77</v>
      </c>
      <c r="AD92" s="42" t="s">
        <v>80</v>
      </c>
      <c r="AE92" s="42" t="s">
        <v>81</v>
      </c>
      <c r="AF92" s="42" t="s">
        <v>82</v>
      </c>
      <c r="AG92" s="42" t="s">
        <v>77</v>
      </c>
      <c r="AH92" s="42" t="s">
        <v>77</v>
      </c>
      <c r="AI92" s="42" t="s">
        <v>77</v>
      </c>
      <c r="AJ92" s="42" t="s">
        <v>77</v>
      </c>
      <c r="AK92" s="42" t="s">
        <v>90</v>
      </c>
      <c r="AL92" t="str">
        <f>VLOOKUP($Q92,武学奇术!$A:$ZZ,25,FALSE)</f>
        <v>陌刀</v>
      </c>
      <c r="AM92" s="27">
        <f>VLOOKUP($Q92,武学奇术!$A:$ZZ,26,FALSE)</f>
        <v>1.8948</v>
      </c>
      <c r="AN92" s="28">
        <f>VLOOKUP($Q92,武学奇术!$A:$ZZ,27,FALSE)*(1+IF(OR($AL92=$F$4,$AL92=$F$5),$B$22,0))</f>
        <v>787.5</v>
      </c>
      <c r="AO92" s="27">
        <f>VLOOKUP($Q92,武学奇术!$A:$ZZ,28,FALSE)</f>
        <v>2.8422</v>
      </c>
      <c r="AP92" s="28">
        <f>VLOOKUP($Q92,武学奇术!$A:$ZZ,29,FALSE)*(1+IF(OR($AL92=$F$4,$AL92=$F$5),$B$22,0))</f>
        <v>429</v>
      </c>
      <c r="AQ92" s="27" cm="1">
        <f t="array" ref="AQ92">$G$3+IFERROR(VLOOKUP($AL92,$F$4:$G$7,2,FALSE),0)+VLOOKUP($Q92,武学奇术!$A:$ZZ,2,FALSE)+SUM(_xlfn.XLOOKUP($R92:$AK92,增益!$A:$A,增益!$B:$B,0))</f>
        <v>0.8141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3636.7</v>
      </c>
      <c r="AT92" cm="1">
        <f t="array" ref="AT92">$E$10*(1+$AR92)+VLOOKUP($Q92,武学奇术!$A:$ZZ,4,FALSE)+SUM(_xlfn.XLOOKUP($R92:$AK92,增益!$A:$A,增益!$D:$D,0))-$I$2</f>
        <v>3636.7</v>
      </c>
      <c r="AU92" s="34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0.452</v>
      </c>
      <c r="AV92" s="34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4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4" cm="1">
        <f t="array" ref="BA92">$G$11+VLOOKUP($Q92,武学奇术!$A:$ZZ,10,FALSE)+SUM(_xlfn.XLOOKUP($R92:$AK92,增益!$A:$A,增益!$J:$J,0))</f>
        <v>0</v>
      </c>
      <c r="BB92">
        <f t="shared" si="25"/>
        <v>591.9</v>
      </c>
      <c r="BC92">
        <f t="shared" si="26"/>
        <v>1600.3</v>
      </c>
      <c r="BD92" s="34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0.17</v>
      </c>
      <c r="BE92" s="34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4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4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4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4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0.9859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7" cm="1">
        <f t="array" ref="BP92">1+$B$13+VLOOKUP($Q92,武学奇术!$A:$ZZ,18,FALSE)+SUM(_xlfn.XLOOKUP($R92:$AK92,增益!$A:$A,增益!$R:$R,0))</f>
        <v>2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7" cm="1">
        <f t="array" ref="BR92">1+$B$14+VLOOKUP($Q92,武学奇术!$A:$ZZ,20,FALSE)+SUM(_xlfn.XLOOKUP($R92:$AK92,增益!$A:$A,增益!$T:$T,0))</f>
        <v>1.35</v>
      </c>
      <c r="BS92" s="27">
        <f t="shared" si="31"/>
        <v>0.87863408</v>
      </c>
      <c r="BT92" s="27">
        <f t="shared" si="32"/>
        <v>0.01567581</v>
      </c>
      <c r="BU92" s="27">
        <f>IF(VLOOKUP($Q92,武学奇术!$A:$ZZ,22,FALSE)=1,0,(1-$BN92))*(1-$BQ92)</f>
        <v>0.01279011</v>
      </c>
      <c r="BV92" s="27" cm="1">
        <f t="array" ref="BV92">SUM(_xlfn.XLOOKUP($R92:$AK92,增益!$A:$A,增益!$W:$W,0))+$I$5</f>
        <v>0.11</v>
      </c>
    </row>
    <row r="93" spans="1:74">
      <c r="A93" t="s">
        <v>166</v>
      </c>
      <c r="B93">
        <v>1</v>
      </c>
      <c r="D93" s="41"/>
      <c r="E93" s="41"/>
      <c r="F93" s="41"/>
      <c r="K93" s="40">
        <f t="shared" ref="K93:K102" si="34">($L93*$BS93+$M93*$BQ93+$N93*$BT93+$O93*$BU93)</f>
        <v>29065.5603241888</v>
      </c>
      <c r="L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30175.3343831269</v>
      </c>
      <c r="M93" s="40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23134.6283917783</v>
      </c>
      <c r="N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15087.6671915635</v>
      </c>
      <c r="O93" s="40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13038.5726114393</v>
      </c>
      <c r="P93" s="41">
        <v>1</v>
      </c>
      <c r="Q93" s="42" t="s">
        <v>159</v>
      </c>
      <c r="R93" s="42" t="s">
        <v>103</v>
      </c>
      <c r="S93" s="42" t="s">
        <v>169</v>
      </c>
      <c r="T93" s="42" t="s">
        <v>86</v>
      </c>
      <c r="U93" s="42" t="s">
        <v>121</v>
      </c>
      <c r="V93" s="42" t="s">
        <v>77</v>
      </c>
      <c r="W93" s="42" t="s">
        <v>77</v>
      </c>
      <c r="X93" s="42" t="s">
        <v>176</v>
      </c>
      <c r="Y93" s="42" t="s">
        <v>77</v>
      </c>
      <c r="Z93" s="42" t="s">
        <v>77</v>
      </c>
      <c r="AA93" s="42" t="s">
        <v>73</v>
      </c>
      <c r="AB93" s="42" t="s">
        <v>89</v>
      </c>
      <c r="AC93" s="42" t="s">
        <v>77</v>
      </c>
      <c r="AD93" s="42" t="s">
        <v>80</v>
      </c>
      <c r="AE93" s="42" t="s">
        <v>81</v>
      </c>
      <c r="AF93" s="42" t="s">
        <v>82</v>
      </c>
      <c r="AG93" s="42" t="s">
        <v>77</v>
      </c>
      <c r="AH93" s="42" t="s">
        <v>77</v>
      </c>
      <c r="AI93" s="42" t="s">
        <v>77</v>
      </c>
      <c r="AJ93" s="42" t="s">
        <v>77</v>
      </c>
      <c r="AK93" s="42" t="s">
        <v>90</v>
      </c>
      <c r="AL93" t="str">
        <f>VLOOKUP($Q93,武学奇术!$A:$ZZ,25,FALSE)</f>
        <v>陌刀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1.5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0.8141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3636.7</v>
      </c>
      <c r="AT93" cm="1">
        <f t="array" ref="AT93">$E$10*(1+$AR93)+VLOOKUP($Q93,武学奇术!$A:$ZZ,4,FALSE)+SUM(_xlfn.XLOOKUP($R93:$AK93,增益!$A:$A,增益!$D:$D,0))-$I$2</f>
        <v>3636.7</v>
      </c>
      <c r="AU93" s="34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0.452</v>
      </c>
      <c r="AV93" s="34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4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-0.14</v>
      </c>
      <c r="BA93" s="34" cm="1">
        <f t="array" ref="BA93">$G$11+VLOOKUP($Q93,武学奇术!$A:$ZZ,10,FALSE)+SUM(_xlfn.XLOOKUP($R93:$AK93,增益!$A:$A,增益!$J:$J,0))</f>
        <v>0</v>
      </c>
      <c r="BB93">
        <f t="shared" si="25"/>
        <v>591.9</v>
      </c>
      <c r="BC93">
        <f t="shared" si="26"/>
        <v>1600.3</v>
      </c>
      <c r="BD93" s="34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0.17</v>
      </c>
      <c r="BE93" s="34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4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-0.14</v>
      </c>
      <c r="BI93" s="34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4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-0.14</v>
      </c>
      <c r="BM93" s="34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0.9859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7" cm="1">
        <f t="array" ref="BP93">1+$B$13+VLOOKUP($Q93,武学奇术!$A:$ZZ,18,FALSE)+SUM(_xlfn.XLOOKUP($R93:$AK93,增益!$A:$A,增益!$R:$R,0))</f>
        <v>2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7" cm="1">
        <f t="array" ref="BR93">1+$B$14+VLOOKUP($Q93,武学奇术!$A:$ZZ,20,FALSE)+SUM(_xlfn.XLOOKUP($R93:$AK93,增益!$A:$A,增益!$T:$T,0))</f>
        <v>1.35</v>
      </c>
      <c r="BS93" s="27">
        <f t="shared" si="31"/>
        <v>0.87863408</v>
      </c>
      <c r="BT93" s="27">
        <f t="shared" si="32"/>
        <v>0.01567581</v>
      </c>
      <c r="BU93" s="27">
        <f>IF(VLOOKUP($Q93,武学奇术!$A:$ZZ,22,FALSE)=1,0,(1-$BN93))*(1-$BQ93)</f>
        <v>0.01279011</v>
      </c>
      <c r="BV93" s="27" cm="1">
        <f t="array" ref="BV93">SUM(_xlfn.XLOOKUP($R93:$AK93,增益!$A:$A,增益!$W:$W,0))+$I$5</f>
        <v>0.11</v>
      </c>
    </row>
    <row r="94" spans="1:74">
      <c r="A94" s="4" t="s">
        <v>167</v>
      </c>
      <c r="B94" s="4">
        <v>0.1</v>
      </c>
      <c r="D94" s="41"/>
      <c r="E94" s="41"/>
      <c r="F94" s="41"/>
      <c r="K94" s="40">
        <f t="shared" si="34"/>
        <v>17500.017606902</v>
      </c>
      <c r="L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18144.1325697697</v>
      </c>
      <c r="M94" s="40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14073.4575797982</v>
      </c>
      <c r="N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9304.68336911269</v>
      </c>
      <c r="O94" s="40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8184.58334578227</v>
      </c>
      <c r="P94" s="41">
        <v>1</v>
      </c>
      <c r="Q94" s="42" t="s">
        <v>179</v>
      </c>
      <c r="R94" s="42" t="s">
        <v>103</v>
      </c>
      <c r="S94" s="42" t="s">
        <v>77</v>
      </c>
      <c r="T94" s="42" t="s">
        <v>86</v>
      </c>
      <c r="U94" s="42" t="s">
        <v>87</v>
      </c>
      <c r="V94" s="42" t="s">
        <v>77</v>
      </c>
      <c r="W94" s="42" t="s">
        <v>77</v>
      </c>
      <c r="X94" s="42" t="s">
        <v>176</v>
      </c>
      <c r="Y94" s="42" t="s">
        <v>77</v>
      </c>
      <c r="Z94" s="42" t="s">
        <v>77</v>
      </c>
      <c r="AA94" s="42" t="s">
        <v>77</v>
      </c>
      <c r="AB94" s="42" t="s">
        <v>89</v>
      </c>
      <c r="AC94" s="42" t="s">
        <v>77</v>
      </c>
      <c r="AD94" s="42" t="s">
        <v>80</v>
      </c>
      <c r="AE94" s="42" t="s">
        <v>81</v>
      </c>
      <c r="AF94" s="42" t="s">
        <v>82</v>
      </c>
      <c r="AG94" s="42" t="s">
        <v>77</v>
      </c>
      <c r="AH94" s="42" t="s">
        <v>77</v>
      </c>
      <c r="AI94" s="42" t="s">
        <v>77</v>
      </c>
      <c r="AJ94" s="42" t="s">
        <v>77</v>
      </c>
      <c r="AK94" s="42" t="s">
        <v>90</v>
      </c>
      <c r="AL94" t="str">
        <f>VLOOKUP($Q94,武学奇术!$A:$ZZ,25,FALSE)</f>
        <v>横刀</v>
      </c>
      <c r="AM94" s="27">
        <f>VLOOKUP($Q94,武学奇术!$A:$ZZ,26,FALSE)</f>
        <v>0.6486</v>
      </c>
      <c r="AN94" s="28">
        <f>VLOOKUP($Q94,武学奇术!$A:$ZZ,27,FALSE)*(1+IF(OR($AL94=$F$4,$AL94=$F$5),$B$22,0))</f>
        <v>270</v>
      </c>
      <c r="AO94" s="27">
        <f>VLOOKUP($Q94,武学奇术!$A:$ZZ,28,FALSE)</f>
        <v>0.9729</v>
      </c>
      <c r="AP94" s="28">
        <f>VLOOKUP($Q94,武学奇术!$A:$ZZ,29,FALSE)*(1+IF(OR($AL94=$F$4,$AL94=$F$5),$B$22,0))</f>
        <v>147</v>
      </c>
      <c r="AQ94" s="27" cm="1">
        <f t="array" ref="AQ94">$G$3+IFERROR(VLOOKUP($AL94,$F$4:$G$7,2,FALSE),0)+VLOOKUP($Q94,武学奇术!$A:$ZZ,2,FALSE)+SUM(_xlfn.XLOOKUP($R94:$AK94,增益!$A:$A,增益!$B:$B,0))</f>
        <v>0.5289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3636.7</v>
      </c>
      <c r="AT94" cm="1">
        <f t="array" ref="AT94">$E$10*(1+$AR94)+VLOOKUP($Q94,武学奇术!$A:$ZZ,4,FALSE)+SUM(_xlfn.XLOOKUP($R94:$AK94,增益!$A:$A,增益!$D:$D,0))-$I$2</f>
        <v>3636.7</v>
      </c>
      <c r="AU94" s="34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0.427</v>
      </c>
      <c r="AV94" s="34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4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4" cm="1">
        <f t="array" ref="BA94">$G$11+VLOOKUP($Q94,武学奇术!$A:$ZZ,10,FALSE)+SUM(_xlfn.XLOOKUP($R94:$AK94,增益!$A:$A,增益!$J:$J,0))</f>
        <v>0</v>
      </c>
      <c r="BB94">
        <f t="shared" si="25"/>
        <v>591.9</v>
      </c>
      <c r="BC94">
        <f t="shared" si="26"/>
        <v>1600.3</v>
      </c>
      <c r="BD94" s="34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0.17</v>
      </c>
      <c r="BE94" s="34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4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4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4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4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0.9859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7" cm="1">
        <f t="array" ref="BP94">1+$B$13+VLOOKUP($Q94,武学奇术!$A:$ZZ,18,FALSE)+SUM(_xlfn.XLOOKUP($R94:$AK94,增益!$A:$A,增益!$R:$R,0))</f>
        <v>1.95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7" cm="1">
        <f t="array" ref="BR94">1+$B$14+VLOOKUP($Q94,武学奇术!$A:$ZZ,20,FALSE)+SUM(_xlfn.XLOOKUP($R94:$AK94,增益!$A:$A,增益!$T:$T,0))</f>
        <v>1.35</v>
      </c>
      <c r="BS94" s="27">
        <f t="shared" si="31"/>
        <v>0.87863408</v>
      </c>
      <c r="BT94" s="27">
        <f t="shared" si="32"/>
        <v>0.01567581</v>
      </c>
      <c r="BU94" s="27">
        <f>IF(VLOOKUP($Q94,武学奇术!$A:$ZZ,22,FALSE)=1,0,(1-$BN94))*(1-$BQ94)</f>
        <v>0.01279011</v>
      </c>
      <c r="BV94" s="27" cm="1">
        <f t="array" ref="BV94">SUM(_xlfn.XLOOKUP($R94:$AK94,增益!$A:$A,增益!$W:$W,0))+$I$5</f>
        <v>0.11</v>
      </c>
    </row>
    <row r="95" spans="1:74">
      <c r="A95" s="4" t="s">
        <v>171</v>
      </c>
      <c r="B95" s="4">
        <v>2.3</v>
      </c>
      <c r="D95" s="41"/>
      <c r="E95" s="41"/>
      <c r="F95" s="41"/>
      <c r="K95" s="40">
        <f t="shared" si="34"/>
        <v>82225.9152579836</v>
      </c>
      <c r="L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85478.038738655</v>
      </c>
      <c r="M95" s="40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64233.7527543757</v>
      </c>
      <c r="N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42739.0193693275</v>
      </c>
      <c r="O95" s="40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37897.4811428212</v>
      </c>
      <c r="P95" s="41">
        <v>1</v>
      </c>
      <c r="Q95" s="42" t="s">
        <v>180</v>
      </c>
      <c r="R95" s="42" t="s">
        <v>103</v>
      </c>
      <c r="S95" s="42" t="s">
        <v>77</v>
      </c>
      <c r="T95" s="42" t="s">
        <v>77</v>
      </c>
      <c r="U95" s="42" t="s">
        <v>121</v>
      </c>
      <c r="V95" s="42" t="s">
        <v>77</v>
      </c>
      <c r="W95" s="42" t="s">
        <v>77</v>
      </c>
      <c r="X95" s="42" t="s">
        <v>176</v>
      </c>
      <c r="Y95" s="42" t="s">
        <v>77</v>
      </c>
      <c r="Z95" s="42" t="s">
        <v>77</v>
      </c>
      <c r="AA95" s="42" t="s">
        <v>73</v>
      </c>
      <c r="AB95" s="42" t="s">
        <v>89</v>
      </c>
      <c r="AC95" s="42" t="s">
        <v>77</v>
      </c>
      <c r="AD95" s="42" t="s">
        <v>80</v>
      </c>
      <c r="AE95" s="42" t="s">
        <v>81</v>
      </c>
      <c r="AF95" s="42" t="s">
        <v>82</v>
      </c>
      <c r="AG95" s="42" t="s">
        <v>77</v>
      </c>
      <c r="AH95" s="42" t="s">
        <v>77</v>
      </c>
      <c r="AI95" s="42" t="s">
        <v>77</v>
      </c>
      <c r="AJ95" s="42" t="s">
        <v>77</v>
      </c>
      <c r="AK95" s="42" t="s">
        <v>90</v>
      </c>
      <c r="AL95" t="str">
        <f>VLOOKUP($Q95,武学奇术!$A:$ZZ,25,FALSE)</f>
        <v>横刀</v>
      </c>
      <c r="AM95" s="27">
        <f>VLOOKUP($Q95,武学奇术!$A:$ZZ,26,FALSE)</f>
        <v>2.8245</v>
      </c>
      <c r="AN95" s="28">
        <f>VLOOKUP($Q95,武学奇术!$A:$ZZ,27,FALSE)*(1+IF(OR($AL95=$F$4,$AL95=$F$5),$B$22,0))</f>
        <v>1173</v>
      </c>
      <c r="AO95" s="27">
        <f>VLOOKUP($Q95,武学奇术!$A:$ZZ,28,FALSE)</f>
        <v>4.236808</v>
      </c>
      <c r="AP95" s="28">
        <f>VLOOKUP($Q95,武学奇术!$A:$ZZ,29,FALSE)*(1+IF(OR($AL95=$F$4,$AL95=$F$5),$B$22,0))</f>
        <v>637.5</v>
      </c>
      <c r="AQ95" s="27" cm="1">
        <f t="array" ref="AQ95">$G$3+IFERROR(VLOOKUP($AL95,$F$4:$G$7,2,FALSE),0)+VLOOKUP($Q95,武学奇术!$A:$ZZ,2,FALSE)+SUM(_xlfn.XLOOKUP($R95:$AK95,增益!$A:$A,增益!$B:$B,0))</f>
        <v>0.6289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3636.7</v>
      </c>
      <c r="AT95" cm="1">
        <f t="array" ref="AT95">$E$10*(1+$AR95)+VLOOKUP($Q95,武学奇术!$A:$ZZ,4,FALSE)+SUM(_xlfn.XLOOKUP($R95:$AK95,增益!$A:$A,增益!$D:$D,0))-$I$2</f>
        <v>3636.7</v>
      </c>
      <c r="AU95" s="34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0.452</v>
      </c>
      <c r="AV95" s="34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4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4" cm="1">
        <f t="array" ref="BA95">$G$11+VLOOKUP($Q95,武学奇术!$A:$ZZ,10,FALSE)+SUM(_xlfn.XLOOKUP($R95:$AK95,增益!$A:$A,增益!$J:$J,0))</f>
        <v>0</v>
      </c>
      <c r="BB95">
        <f t="shared" si="25"/>
        <v>591.9</v>
      </c>
      <c r="BC95">
        <f t="shared" si="26"/>
        <v>1600.3</v>
      </c>
      <c r="BD95" s="34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0.09</v>
      </c>
      <c r="BE95" s="34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4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4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4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4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0.9859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7" cm="1">
        <f t="array" ref="BP95">1+$B$13+VLOOKUP($Q95,武学奇术!$A:$ZZ,18,FALSE)+SUM(_xlfn.XLOOKUP($R95:$AK95,增益!$A:$A,增益!$R:$R,0))</f>
        <v>2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7" cm="1">
        <f t="array" ref="BR95">1+$B$14+VLOOKUP($Q95,武学奇术!$A:$ZZ,20,FALSE)+SUM(_xlfn.XLOOKUP($R95:$AK95,增益!$A:$A,增益!$T:$T,0))</f>
        <v>1.35</v>
      </c>
      <c r="BS95" s="27">
        <f t="shared" si="31"/>
        <v>0.87863408</v>
      </c>
      <c r="BT95" s="27">
        <f t="shared" si="32"/>
        <v>0.01567581</v>
      </c>
      <c r="BU95" s="27">
        <f>IF(VLOOKUP($Q95,武学奇术!$A:$ZZ,22,FALSE)=1,0,(1-$BN95))*(1-$BQ95)</f>
        <v>0.01279011</v>
      </c>
      <c r="BV95" s="27" cm="1">
        <f t="array" ref="BV95">SUM(_xlfn.XLOOKUP($R95:$AK95,增益!$A:$A,增益!$W:$W,0))+$I$5</f>
        <v>0.11</v>
      </c>
    </row>
    <row r="96" spans="1:74">
      <c r="A96" s="4" t="s">
        <v>171</v>
      </c>
      <c r="B96" s="4">
        <v>2.3</v>
      </c>
      <c r="C96" s="41" t="s">
        <v>186</v>
      </c>
      <c r="D96" s="41"/>
      <c r="E96" s="41"/>
      <c r="K96" s="40">
        <f t="shared" si="34"/>
        <v>33589.0533048745</v>
      </c>
      <c r="L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34885.16473184</v>
      </c>
      <c r="M96" s="40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26588.2473047908</v>
      </c>
      <c r="N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17442.58236592</v>
      </c>
      <c r="O96" s="40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15190.1667282913</v>
      </c>
      <c r="P96" s="41">
        <v>1</v>
      </c>
      <c r="Q96" s="42" t="s">
        <v>110</v>
      </c>
      <c r="R96" s="42" t="s">
        <v>103</v>
      </c>
      <c r="S96" s="42" t="s">
        <v>77</v>
      </c>
      <c r="T96" s="42" t="s">
        <v>77</v>
      </c>
      <c r="U96" s="42" t="s">
        <v>121</v>
      </c>
      <c r="V96" s="42" t="s">
        <v>77</v>
      </c>
      <c r="W96" s="42" t="s">
        <v>77</v>
      </c>
      <c r="X96" s="42" t="s">
        <v>176</v>
      </c>
      <c r="Y96" s="42" t="s">
        <v>77</v>
      </c>
      <c r="Z96" s="42" t="s">
        <v>77</v>
      </c>
      <c r="AA96" s="42" t="s">
        <v>73</v>
      </c>
      <c r="AB96" s="42" t="s">
        <v>89</v>
      </c>
      <c r="AC96" s="42" t="s">
        <v>77</v>
      </c>
      <c r="AD96" s="42" t="s">
        <v>80</v>
      </c>
      <c r="AE96" s="42" t="s">
        <v>81</v>
      </c>
      <c r="AF96" s="42" t="s">
        <v>82</v>
      </c>
      <c r="AG96" s="42" t="s">
        <v>77</v>
      </c>
      <c r="AH96" s="42" t="s">
        <v>77</v>
      </c>
      <c r="AI96" s="42" t="s">
        <v>77</v>
      </c>
      <c r="AJ96" s="42" t="s">
        <v>77</v>
      </c>
      <c r="AK96" s="42" t="s">
        <v>90</v>
      </c>
      <c r="AL96" t="str">
        <f>VLOOKUP($Q96,武学奇术!$A:$ZZ,25,FALSE)</f>
        <v>横刀</v>
      </c>
      <c r="AM96" s="27">
        <f>VLOOKUP($Q96,武学奇术!$A:$ZZ,26,FALSE)</f>
        <v>1.4</v>
      </c>
      <c r="AN96" s="28">
        <f>VLOOKUP($Q96,武学奇术!$A:$ZZ,27,FALSE)*(1+IF(OR($AL96=$F$4,$AL96=$F$5),$B$22,0))</f>
        <v>0</v>
      </c>
      <c r="AO96" s="27">
        <f>VLOOKUP($Q96,武学奇术!$A:$ZZ,28,FALSE)</f>
        <v>2.1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0.5289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3636.7</v>
      </c>
      <c r="AT96" cm="1">
        <f t="array" ref="AT96">$E$10*(1+$AR96)+VLOOKUP($Q96,武学奇术!$A:$ZZ,4,FALSE)+SUM(_xlfn.XLOOKUP($R96:$AK96,增益!$A:$A,增益!$D:$D,0))-$I$2</f>
        <v>3636.7</v>
      </c>
      <c r="AU96" s="34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0.452</v>
      </c>
      <c r="AV96" s="34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4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4" cm="1">
        <f t="array" ref="BA96">$G$11+VLOOKUP($Q96,武学奇术!$A:$ZZ,10,FALSE)+SUM(_xlfn.XLOOKUP($R96:$AK96,增益!$A:$A,增益!$J:$J,0))</f>
        <v>0</v>
      </c>
      <c r="BB96">
        <f t="shared" si="25"/>
        <v>591.9</v>
      </c>
      <c r="BC96">
        <f t="shared" si="26"/>
        <v>1600.3</v>
      </c>
      <c r="BD96" s="34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0.09</v>
      </c>
      <c r="BE96" s="34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4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4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4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4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0.9859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7" cm="1">
        <f t="array" ref="BP96">1+$B$13+VLOOKUP($Q96,武学奇术!$A:$ZZ,18,FALSE)+SUM(_xlfn.XLOOKUP($R96:$AK96,增益!$A:$A,增益!$R:$R,0))</f>
        <v>2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7" cm="1">
        <f t="array" ref="BR96">1+$B$14+VLOOKUP($Q96,武学奇术!$A:$ZZ,20,FALSE)+SUM(_xlfn.XLOOKUP($R96:$AK96,增益!$A:$A,增益!$T:$T,0))</f>
        <v>1.35</v>
      </c>
      <c r="BS96" s="27">
        <f t="shared" si="31"/>
        <v>0.87863408</v>
      </c>
      <c r="BT96" s="27">
        <f t="shared" si="32"/>
        <v>0.01567581</v>
      </c>
      <c r="BU96" s="27">
        <f>IF(VLOOKUP($Q96,武学奇术!$A:$ZZ,22,FALSE)=1,0,(1-$BN96))*(1-$BQ96)</f>
        <v>0.01279011</v>
      </c>
      <c r="BV96" s="27" cm="1">
        <f t="array" ref="BV96">SUM(_xlfn.XLOOKUP($R96:$AK96,增益!$A:$A,增益!$W:$W,0))+$I$5</f>
        <v>0.11</v>
      </c>
    </row>
    <row r="97" spans="1:74">
      <c r="A97" s="4" t="s">
        <v>171</v>
      </c>
      <c r="B97" s="4">
        <v>2.3</v>
      </c>
      <c r="C97" s="41"/>
      <c r="D97" s="41"/>
      <c r="E97" s="41"/>
      <c r="F97" s="41" t="s">
        <v>172</v>
      </c>
      <c r="K97" s="40">
        <f t="shared" si="34"/>
        <v>30849.5088999434</v>
      </c>
      <c r="L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31995.9564444828</v>
      </c>
      <c r="M97" s="40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24690.6061044777</v>
      </c>
      <c r="N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16408.1827920425</v>
      </c>
      <c r="O97" s="40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14527.0277289163</v>
      </c>
      <c r="P97" s="41">
        <v>1</v>
      </c>
      <c r="Q97" s="42" t="s">
        <v>162</v>
      </c>
      <c r="R97" s="42" t="s">
        <v>103</v>
      </c>
      <c r="S97" s="42" t="s">
        <v>77</v>
      </c>
      <c r="T97" s="42" t="s">
        <v>77</v>
      </c>
      <c r="U97" s="42" t="s">
        <v>87</v>
      </c>
      <c r="V97" s="42" t="s">
        <v>77</v>
      </c>
      <c r="W97" s="42" t="s">
        <v>77</v>
      </c>
      <c r="X97" s="42" t="s">
        <v>176</v>
      </c>
      <c r="Y97" s="42" t="s">
        <v>77</v>
      </c>
      <c r="Z97" s="42" t="s">
        <v>77</v>
      </c>
      <c r="AA97" s="42" t="s">
        <v>77</v>
      </c>
      <c r="AB97" s="42" t="s">
        <v>89</v>
      </c>
      <c r="AC97" s="42" t="s">
        <v>77</v>
      </c>
      <c r="AD97" s="42" t="s">
        <v>80</v>
      </c>
      <c r="AE97" s="42" t="s">
        <v>81</v>
      </c>
      <c r="AF97" s="42" t="s">
        <v>82</v>
      </c>
      <c r="AG97" s="42" t="s">
        <v>77</v>
      </c>
      <c r="AH97" s="42" t="s">
        <v>77</v>
      </c>
      <c r="AI97" s="42" t="s">
        <v>77</v>
      </c>
      <c r="AJ97" s="42" t="s">
        <v>77</v>
      </c>
      <c r="AK97" s="42" t="s">
        <v>90</v>
      </c>
      <c r="AL97" t="str">
        <f>VLOOKUP($Q97,武学奇术!$A:$ZZ,25,FALSE)</f>
        <v>横刀</v>
      </c>
      <c r="AM97" s="27">
        <f>VLOOKUP($Q97,武学奇术!$A:$ZZ,26,FALSE)</f>
        <v>1.2338</v>
      </c>
      <c r="AN97" s="28">
        <f>VLOOKUP($Q97,武学奇术!$A:$ZZ,27,FALSE)*(1+IF(OR($AL97=$F$4,$AL97=$F$5),$B$22,0))</f>
        <v>513</v>
      </c>
      <c r="AO97" s="27">
        <f>VLOOKUP($Q97,武学奇术!$A:$ZZ,28,FALSE)</f>
        <v>1.8507</v>
      </c>
      <c r="AP97" s="28">
        <f>VLOOKUP($Q97,武学奇术!$A:$ZZ,29,FALSE)*(1+IF(OR($AL97=$F$4,$AL97=$F$5),$B$22,0))</f>
        <v>279</v>
      </c>
      <c r="AQ97" s="27" cm="1">
        <f t="array" ref="AQ97">$G$3+IFERROR(VLOOKUP($AL97,$F$4:$G$7,2,FALSE),0)+VLOOKUP($Q97,武学奇术!$A:$ZZ,2,FALSE)+SUM(_xlfn.XLOOKUP($R97:$AK97,增益!$A:$A,增益!$B:$B,0))</f>
        <v>0.4489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3636.7</v>
      </c>
      <c r="AT97" cm="1">
        <f t="array" ref="AT97">$E$10*(1+$AR97)+VLOOKUP($Q97,武学奇术!$A:$ZZ,4,FALSE)+SUM(_xlfn.XLOOKUP($R97:$AK97,增益!$A:$A,增益!$D:$D,0))-$I$2</f>
        <v>3636.7</v>
      </c>
      <c r="AU97" s="34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0.427</v>
      </c>
      <c r="AV97" s="34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4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4" cm="1">
        <f t="array" ref="BA97">$G$11+VLOOKUP($Q97,武学奇术!$A:$ZZ,10,FALSE)+SUM(_xlfn.XLOOKUP($R97:$AK97,增益!$A:$A,增益!$J:$J,0))</f>
        <v>0</v>
      </c>
      <c r="BB97">
        <f t="shared" si="25"/>
        <v>591.9</v>
      </c>
      <c r="BC97">
        <f t="shared" si="26"/>
        <v>1600.3</v>
      </c>
      <c r="BD97" s="34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0.09</v>
      </c>
      <c r="BE97" s="34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4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4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4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4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0.9859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7" cm="1">
        <f t="array" ref="BP97">1+$B$13+VLOOKUP($Q97,武学奇术!$A:$ZZ,18,FALSE)+SUM(_xlfn.XLOOKUP($R97:$AK97,增益!$A:$A,增益!$R:$R,0))</f>
        <v>1.95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7" cm="1">
        <f t="array" ref="BR97">1+$B$14+VLOOKUP($Q97,武学奇术!$A:$ZZ,20,FALSE)+SUM(_xlfn.XLOOKUP($R97:$AK97,增益!$A:$A,增益!$T:$T,0))</f>
        <v>1.35</v>
      </c>
      <c r="BS97" s="27">
        <f t="shared" si="31"/>
        <v>0.87863408</v>
      </c>
      <c r="BT97" s="27">
        <f t="shared" si="32"/>
        <v>0.01567581</v>
      </c>
      <c r="BU97" s="27">
        <f>IF(VLOOKUP($Q97,武学奇术!$A:$ZZ,22,FALSE)=1,0,(1-$BN97))*(1-$BQ97)</f>
        <v>0.01279011</v>
      </c>
      <c r="BV97" s="27" cm="1">
        <f t="array" ref="BV97">SUM(_xlfn.XLOOKUP($R97:$AK97,增益!$A:$A,增益!$W:$W,0))+$I$5</f>
        <v>0.11</v>
      </c>
    </row>
    <row r="98" spans="1:74">
      <c r="A98" s="4" t="s">
        <v>171</v>
      </c>
      <c r="B98" s="4">
        <v>2.3</v>
      </c>
      <c r="C98" s="41"/>
      <c r="D98" s="41"/>
      <c r="E98" s="41"/>
      <c r="F98" s="41"/>
      <c r="K98" s="40">
        <f t="shared" si="34"/>
        <v>95795.1134299011</v>
      </c>
      <c r="L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99354.9887856014</v>
      </c>
      <c r="M98" s="40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76671.5269574486</v>
      </c>
      <c r="N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50951.2763003084</v>
      </c>
      <c r="O98" s="40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45108.8289284326</v>
      </c>
      <c r="P98" s="41">
        <v>1</v>
      </c>
      <c r="Q98" s="42" t="s">
        <v>164</v>
      </c>
      <c r="R98" s="42" t="s">
        <v>103</v>
      </c>
      <c r="S98" s="42" t="s">
        <v>77</v>
      </c>
      <c r="T98" s="42" t="s">
        <v>77</v>
      </c>
      <c r="U98" s="42" t="s">
        <v>87</v>
      </c>
      <c r="V98" s="42" t="s">
        <v>77</v>
      </c>
      <c r="W98" s="42" t="s">
        <v>78</v>
      </c>
      <c r="X98" s="42" t="s">
        <v>176</v>
      </c>
      <c r="Y98" s="42" t="s">
        <v>77</v>
      </c>
      <c r="Z98" s="42" t="s">
        <v>77</v>
      </c>
      <c r="AA98" s="42" t="s">
        <v>77</v>
      </c>
      <c r="AB98" s="42" t="s">
        <v>95</v>
      </c>
      <c r="AC98" s="42" t="s">
        <v>77</v>
      </c>
      <c r="AD98" s="42" t="s">
        <v>80</v>
      </c>
      <c r="AE98" s="42" t="s">
        <v>81</v>
      </c>
      <c r="AF98" s="42" t="s">
        <v>82</v>
      </c>
      <c r="AG98" s="42" t="s">
        <v>77</v>
      </c>
      <c r="AH98" s="42" t="s">
        <v>77</v>
      </c>
      <c r="AI98" s="42" t="s">
        <v>77</v>
      </c>
      <c r="AJ98" s="42" t="s">
        <v>77</v>
      </c>
      <c r="AK98" s="42" t="s">
        <v>90</v>
      </c>
      <c r="AL98" t="str">
        <f>VLOOKUP($Q98,武学奇术!$A:$ZZ,25,FALSE)</f>
        <v>横刀</v>
      </c>
      <c r="AM98" s="27">
        <f>VLOOKUP($Q98,武学奇术!$A:$ZZ,26,FALSE)</f>
        <v>3.7797</v>
      </c>
      <c r="AN98" s="28">
        <f>VLOOKUP($Q98,武学奇术!$A:$ZZ,27,FALSE)*(1+IF(OR($AL98=$F$4,$AL98=$F$5),$B$22,0))</f>
        <v>1567.5</v>
      </c>
      <c r="AO98" s="27">
        <f>VLOOKUP($Q98,武学奇术!$A:$ZZ,28,FALSE)</f>
        <v>5.6696</v>
      </c>
      <c r="AP98" s="28">
        <f>VLOOKUP($Q98,武学奇术!$A:$ZZ,29,FALSE)*(1+IF(OR($AL98=$F$4,$AL98=$F$5),$B$22,0))</f>
        <v>855</v>
      </c>
      <c r="AQ98" s="27" cm="1">
        <f t="array" ref="AQ98">$G$3+IFERROR(VLOOKUP($AL98,$F$4:$G$7,2,FALSE),0)+VLOOKUP($Q98,武学奇术!$A:$ZZ,2,FALSE)+SUM(_xlfn.XLOOKUP($R98:$AK98,增益!$A:$A,增益!$B:$B,0))</f>
        <v>0.4689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3636.7</v>
      </c>
      <c r="AT98" cm="1">
        <f t="array" ref="AT98">$E$10*(1+$AR98)+VLOOKUP($Q98,武学奇术!$A:$ZZ,4,FALSE)+SUM(_xlfn.XLOOKUP($R98:$AK98,增益!$A:$A,增益!$D:$D,0))-$I$2</f>
        <v>3636.7</v>
      </c>
      <c r="AU98" s="34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0.427</v>
      </c>
      <c r="AV98" s="34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4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4" cm="1">
        <f t="array" ref="BA98">$G$11+VLOOKUP($Q98,武学奇术!$A:$ZZ,10,FALSE)+SUM(_xlfn.XLOOKUP($R98:$AK98,增益!$A:$A,增益!$J:$J,0))</f>
        <v>0</v>
      </c>
      <c r="BB98">
        <f t="shared" si="25"/>
        <v>591.9</v>
      </c>
      <c r="BC98">
        <f t="shared" si="26"/>
        <v>1600.3</v>
      </c>
      <c r="BD98" s="34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0.09</v>
      </c>
      <c r="BE98" s="34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4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4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4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4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0.9859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7" cm="1">
        <f t="array" ref="BP98">1+$B$13+VLOOKUP($Q98,武学奇术!$A:$ZZ,18,FALSE)+SUM(_xlfn.XLOOKUP($R98:$AK98,增益!$A:$A,增益!$R:$R,0))</f>
        <v>1.95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7" cm="1">
        <f t="array" ref="BR98">1+$B$14+VLOOKUP($Q98,武学奇术!$A:$ZZ,20,FALSE)+SUM(_xlfn.XLOOKUP($R98:$AK98,增益!$A:$A,增益!$T:$T,0))</f>
        <v>1.35</v>
      </c>
      <c r="BS98" s="27">
        <f t="shared" si="31"/>
        <v>0.87863408</v>
      </c>
      <c r="BT98" s="27">
        <f t="shared" si="32"/>
        <v>0.01567581</v>
      </c>
      <c r="BU98" s="27">
        <f>IF(VLOOKUP($Q98,武学奇术!$A:$ZZ,22,FALSE)=1,0,(1-$BN98))*(1-$BQ98)</f>
        <v>0.01279011</v>
      </c>
      <c r="BV98" s="27" cm="1">
        <f t="array" ref="BV98">SUM(_xlfn.XLOOKUP($R98:$AK98,增益!$A:$A,增益!$W:$W,0))+$I$5</f>
        <v>0.11</v>
      </c>
    </row>
    <row r="99" spans="1:74">
      <c r="A99" s="4"/>
      <c r="B99" s="4"/>
      <c r="K99" s="40">
        <f t="shared" si="34"/>
        <v>63610.3438823529</v>
      </c>
      <c r="L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66126.2644735668</v>
      </c>
      <c r="M99" s="40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49690.8456238607</v>
      </c>
      <c r="N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33063.1322367834</v>
      </c>
      <c r="O99" s="40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29318.2306781145</v>
      </c>
      <c r="P99" s="41">
        <v>1</v>
      </c>
      <c r="Q99" s="42" t="s">
        <v>106</v>
      </c>
      <c r="R99" s="42" t="s">
        <v>103</v>
      </c>
      <c r="S99" s="42" t="s">
        <v>169</v>
      </c>
      <c r="T99" s="42" t="s">
        <v>77</v>
      </c>
      <c r="U99" s="42" t="s">
        <v>121</v>
      </c>
      <c r="V99" s="42" t="s">
        <v>77</v>
      </c>
      <c r="W99" s="42" t="s">
        <v>78</v>
      </c>
      <c r="X99" s="42" t="s">
        <v>176</v>
      </c>
      <c r="Y99" s="42" t="s">
        <v>77</v>
      </c>
      <c r="Z99" s="42" t="s">
        <v>77</v>
      </c>
      <c r="AA99" s="42" t="s">
        <v>73</v>
      </c>
      <c r="AB99" s="42" t="s">
        <v>95</v>
      </c>
      <c r="AC99" s="42" t="s">
        <v>77</v>
      </c>
      <c r="AD99" s="42" t="s">
        <v>80</v>
      </c>
      <c r="AE99" s="42" t="s">
        <v>81</v>
      </c>
      <c r="AF99" s="42" t="s">
        <v>82</v>
      </c>
      <c r="AG99" s="42" t="s">
        <v>77</v>
      </c>
      <c r="AH99" s="42" t="s">
        <v>77</v>
      </c>
      <c r="AI99" s="42" t="s">
        <v>77</v>
      </c>
      <c r="AJ99" s="42" t="s">
        <v>77</v>
      </c>
      <c r="AK99" s="42" t="s">
        <v>90</v>
      </c>
      <c r="AL99" t="str">
        <f>VLOOKUP($Q99,武学奇术!$A:$ZZ,25,FALSE)</f>
        <v>横刀</v>
      </c>
      <c r="AM99" s="27">
        <f>VLOOKUP($Q99,武学奇术!$A:$ZZ,26,FALSE)</f>
        <v>2.1324</v>
      </c>
      <c r="AN99" s="28">
        <f>VLOOKUP($Q99,武学奇术!$A:$ZZ,27,FALSE)*(1+IF(OR($AL99=$F$4,$AL99=$F$5),$B$22,0))</f>
        <v>885</v>
      </c>
      <c r="AO99" s="27">
        <f>VLOOKUP($Q99,武学奇术!$A:$ZZ,28,FALSE)</f>
        <v>3.1986</v>
      </c>
      <c r="AP99" s="28">
        <f>VLOOKUP($Q99,武学奇术!$A:$ZZ,29,FALSE)*(1+IF(OR($AL99=$F$4,$AL99=$F$5),$B$22,0))</f>
        <v>483</v>
      </c>
      <c r="AQ99" s="27" cm="1">
        <f t="array" ref="AQ99">$G$3+IFERROR(VLOOKUP($AL99,$F$4:$G$7,2,FALSE),0)+VLOOKUP($Q99,武学奇术!$A:$ZZ,2,FALSE)+SUM(_xlfn.XLOOKUP($R99:$AK99,增益!$A:$A,增益!$B:$B,0))</f>
        <v>0.6689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3636.7</v>
      </c>
      <c r="AT99" cm="1">
        <f t="array" ref="AT99">$E$10*(1+$AR99)+VLOOKUP($Q99,武学奇术!$A:$ZZ,4,FALSE)+SUM(_xlfn.XLOOKUP($R99:$AK99,增益!$A:$A,增益!$D:$D,0))-$I$2</f>
        <v>3636.7</v>
      </c>
      <c r="AU99" s="34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0.452</v>
      </c>
      <c r="AV99" s="34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ref="AX99:AX127" si="35">$D$11*(1+$AW99)</f>
        <v>0</v>
      </c>
      <c r="AY99">
        <f t="shared" ref="AY99:AY127" si="36">$E$11*(1+$AW99)</f>
        <v>0</v>
      </c>
      <c r="AZ99" s="34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4" cm="1">
        <f t="array" ref="BA99">$G$11+VLOOKUP($Q99,武学奇术!$A:$ZZ,10,FALSE)+SUM(_xlfn.XLOOKUP($R99:$AK99,增益!$A:$A,增益!$J:$J,0))</f>
        <v>0</v>
      </c>
      <c r="BB99">
        <f t="shared" ref="BB99:BB127" si="37">$D$12*(1+$AW99)</f>
        <v>591.9</v>
      </c>
      <c r="BC99">
        <f t="shared" ref="BC99:BC127" si="38">$E$12*(1+$AW99)</f>
        <v>1600.3</v>
      </c>
      <c r="BD99" s="34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0.09</v>
      </c>
      <c r="BE99" s="34" cm="1">
        <f t="array" ref="BE99">$G$12+VLOOKUP($Q99,武学奇术!$A:$ZZ,12,FALSE)+SUM(_xlfn.XLOOKUP($R99:$AK99,增益!$A:$A,增益!$L:$L,0))</f>
        <v>0.15</v>
      </c>
      <c r="BF99">
        <f t="shared" ref="BF99:BF127" si="39">$D$13*(1+$AW99)</f>
        <v>0</v>
      </c>
      <c r="BG99">
        <f t="shared" ref="BG99:BG127" si="40">$E$13*(1+$AW99)</f>
        <v>0</v>
      </c>
      <c r="BH99" s="34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4" cm="1">
        <f t="array" ref="BI99">$G$13+VLOOKUP($Q99,武学奇术!$A:$ZZ,14,FALSE)+SUM(_xlfn.XLOOKUP($R99:$AK99,增益!$A:$A,增益!$N:$N,0))</f>
        <v>0</v>
      </c>
      <c r="BJ99">
        <f t="shared" ref="BJ99:BJ127" si="41">$D$14*(1+$AW99)</f>
        <v>0</v>
      </c>
      <c r="BK99">
        <f t="shared" ref="BK99:BK127" si="42">$E$14*(1+$AW99)</f>
        <v>0</v>
      </c>
      <c r="BL99" s="34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4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0.9859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7" cm="1">
        <f t="array" ref="BP99">1+$B$13+VLOOKUP($Q99,武学奇术!$A:$ZZ,18,FALSE)+SUM(_xlfn.XLOOKUP($R99:$AK99,增益!$A:$A,增益!$R:$R,0))</f>
        <v>2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7" cm="1">
        <f t="array" ref="BR99">1+$B$14+VLOOKUP($Q99,武学奇术!$A:$ZZ,20,FALSE)+SUM(_xlfn.XLOOKUP($R99:$AK99,增益!$A:$A,增益!$T:$T,0))</f>
        <v>1.35</v>
      </c>
      <c r="BS99" s="27">
        <f t="shared" ref="BS99:BS127" si="43">MIN((1-BQ99)*BN99,BN99*BO99)</f>
        <v>0.87863408</v>
      </c>
      <c r="BT99" s="27">
        <f t="shared" ref="BT99:BT127" si="44">1-BQ99-BS99-BU99</f>
        <v>0.01567581</v>
      </c>
      <c r="BU99" s="27">
        <f>IF(VLOOKUP($Q99,武学奇术!$A:$ZZ,22,FALSE)=1,0,(1-$BN99))*(1-$BQ99)</f>
        <v>0.01279011</v>
      </c>
      <c r="BV99" s="27" cm="1">
        <f t="array" ref="BV99">SUM(_xlfn.XLOOKUP($R99:$AK99,增益!$A:$A,增益!$W:$W,0))+$I$5</f>
        <v>0.11</v>
      </c>
    </row>
    <row r="100" spans="1:74">
      <c r="K100" s="40">
        <f t="shared" si="34"/>
        <v>39229.2937717674</v>
      </c>
      <c r="L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40727.1369955962</v>
      </c>
      <c r="M100" s="40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31224.415540562</v>
      </c>
      <c r="N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20363.5684977981</v>
      </c>
      <c r="O100" s="40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17597.9402988836</v>
      </c>
      <c r="P100" s="41">
        <v>1</v>
      </c>
      <c r="Q100" s="42" t="s">
        <v>110</v>
      </c>
      <c r="R100" s="42" t="s">
        <v>103</v>
      </c>
      <c r="S100" s="42" t="s">
        <v>169</v>
      </c>
      <c r="T100" s="42" t="s">
        <v>86</v>
      </c>
      <c r="U100" s="42" t="s">
        <v>121</v>
      </c>
      <c r="V100" s="42" t="s">
        <v>77</v>
      </c>
      <c r="W100" s="42" t="s">
        <v>78</v>
      </c>
      <c r="X100" s="42" t="s">
        <v>176</v>
      </c>
      <c r="Y100" s="42" t="s">
        <v>77</v>
      </c>
      <c r="Z100" s="42" t="s">
        <v>77</v>
      </c>
      <c r="AA100" s="42" t="s">
        <v>73</v>
      </c>
      <c r="AB100" s="42" t="s">
        <v>95</v>
      </c>
      <c r="AC100" s="42" t="s">
        <v>77</v>
      </c>
      <c r="AD100" s="42" t="s">
        <v>80</v>
      </c>
      <c r="AE100" s="42" t="s">
        <v>81</v>
      </c>
      <c r="AF100" s="42" t="s">
        <v>82</v>
      </c>
      <c r="AG100" s="42" t="s">
        <v>77</v>
      </c>
      <c r="AH100" s="42" t="s">
        <v>77</v>
      </c>
      <c r="AI100" s="42" t="s">
        <v>77</v>
      </c>
      <c r="AJ100" s="42" t="s">
        <v>77</v>
      </c>
      <c r="AK100" s="42" t="s">
        <v>90</v>
      </c>
      <c r="AL100" t="str">
        <f>VLOOKUP($Q100,武学奇术!$A:$ZZ,25,FALSE)</f>
        <v>横刀</v>
      </c>
      <c r="AM100" s="27">
        <f>VLOOKUP($Q100,武学奇术!$A:$ZZ,26,FALSE)</f>
        <v>1.4</v>
      </c>
      <c r="AN100" s="28">
        <f>VLOOKUP($Q100,武学奇术!$A:$ZZ,27,FALSE)*(1+IF(OR($AL100=$F$4,$AL100=$F$5),$B$22,0))</f>
        <v>0</v>
      </c>
      <c r="AO100" s="27">
        <f>VLOOKUP($Q100,武学奇术!$A:$ZZ,28,FALSE)</f>
        <v>2.1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0.7489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3636.7</v>
      </c>
      <c r="AT100" cm="1">
        <f t="array" ref="AT100">$E$10*(1+$AR100)+VLOOKUP($Q100,武学奇术!$A:$ZZ,4,FALSE)+SUM(_xlfn.XLOOKUP($R100:$AK100,增益!$A:$A,增益!$D:$D,0))-$I$2</f>
        <v>3636.7</v>
      </c>
      <c r="AU100" s="34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0.452</v>
      </c>
      <c r="AV100" s="34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4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34" cm="1">
        <f t="array" ref="BA100">$G$11+VLOOKUP($Q100,武学奇术!$A:$ZZ,10,FALSE)+SUM(_xlfn.XLOOKUP($R100:$AK100,增益!$A:$A,增益!$J:$J,0))</f>
        <v>0</v>
      </c>
      <c r="BB100">
        <f t="shared" si="37"/>
        <v>591.9</v>
      </c>
      <c r="BC100">
        <f t="shared" si="38"/>
        <v>1600.3</v>
      </c>
      <c r="BD100" s="34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0.17</v>
      </c>
      <c r="BE100" s="34" cm="1">
        <f t="array" ref="BE100">$G$12+VLOOKUP($Q100,武学奇术!$A:$ZZ,12,FALSE)+SUM(_xlfn.XLOOKUP($R100:$AK100,增益!$A:$A,增益!$L:$L,0))</f>
        <v>0.15</v>
      </c>
      <c r="BF100">
        <f t="shared" si="39"/>
        <v>0</v>
      </c>
      <c r="BG100">
        <f t="shared" si="40"/>
        <v>0</v>
      </c>
      <c r="BH100" s="34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34" cm="1">
        <f t="array" ref="BI100">$G$13+VLOOKUP($Q100,武学奇术!$A:$ZZ,14,FALSE)+SUM(_xlfn.XLOOKUP($R100:$AK100,增益!$A:$A,增益!$N:$N,0))</f>
        <v>0</v>
      </c>
      <c r="BJ100">
        <f t="shared" si="41"/>
        <v>0</v>
      </c>
      <c r="BK100">
        <f t="shared" si="42"/>
        <v>0</v>
      </c>
      <c r="BL100" s="34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34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0.9859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7" cm="1">
        <f t="array" ref="BP100">1+$B$13+VLOOKUP($Q100,武学奇术!$A:$ZZ,18,FALSE)+SUM(_xlfn.XLOOKUP($R100:$AK100,增益!$A:$A,增益!$R:$R,0))</f>
        <v>2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43"/>
        <v>0.87863408</v>
      </c>
      <c r="BT100" s="27">
        <f t="shared" si="44"/>
        <v>0.01567581</v>
      </c>
      <c r="BU100" s="27">
        <f>IF(VLOOKUP($Q100,武学奇术!$A:$ZZ,22,FALSE)=1,0,(1-$BN100))*(1-$BQ100)</f>
        <v>0.01279011</v>
      </c>
      <c r="BV100" s="27" cm="1">
        <f t="array" ref="BV100">SUM(_xlfn.XLOOKUP($R100:$AK100,增益!$A:$A,增益!$W:$W,0))+$I$5</f>
        <v>0.11</v>
      </c>
    </row>
    <row r="101" spans="1:74">
      <c r="K101" s="40">
        <f t="shared" si="34"/>
        <v>19711.9967257656</v>
      </c>
      <c r="L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20464.6353252673</v>
      </c>
      <c r="M101" s="40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15689.6930258394</v>
      </c>
      <c r="N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10232.3176626336</v>
      </c>
      <c r="O101" s="40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8842.6404913122</v>
      </c>
      <c r="P101" s="41">
        <v>1</v>
      </c>
      <c r="Q101" s="42" t="s">
        <v>112</v>
      </c>
      <c r="R101" s="42" t="s">
        <v>103</v>
      </c>
      <c r="S101" s="42" t="s">
        <v>169</v>
      </c>
      <c r="T101" s="42" t="s">
        <v>86</v>
      </c>
      <c r="U101" s="42" t="s">
        <v>121</v>
      </c>
      <c r="V101" s="42" t="s">
        <v>77</v>
      </c>
      <c r="W101" s="42" t="s">
        <v>114</v>
      </c>
      <c r="X101" s="42" t="s">
        <v>176</v>
      </c>
      <c r="Y101" s="42" t="s">
        <v>77</v>
      </c>
      <c r="Z101" s="42" t="s">
        <v>77</v>
      </c>
      <c r="AA101" s="42" t="s">
        <v>73</v>
      </c>
      <c r="AB101" s="42" t="s">
        <v>95</v>
      </c>
      <c r="AC101" s="42" t="s">
        <v>77</v>
      </c>
      <c r="AD101" s="42" t="s">
        <v>80</v>
      </c>
      <c r="AE101" s="42" t="s">
        <v>81</v>
      </c>
      <c r="AF101" s="42" t="s">
        <v>82</v>
      </c>
      <c r="AG101" s="42" t="s">
        <v>77</v>
      </c>
      <c r="AH101" s="42" t="s">
        <v>77</v>
      </c>
      <c r="AI101" s="42" t="s">
        <v>77</v>
      </c>
      <c r="AJ101" s="42" t="s">
        <v>77</v>
      </c>
      <c r="AK101" s="42" t="s">
        <v>90</v>
      </c>
      <c r="AL101" t="str">
        <f>VLOOKUP($Q101,武学奇术!$A:$ZZ,25,FALSE)</f>
        <v>陌刀</v>
      </c>
      <c r="AM101" s="27">
        <f>VLOOKUP($Q101,武学奇术!$A:$ZZ,26,FALSE)</f>
        <v>0.5</v>
      </c>
      <c r="AN101" s="28">
        <f>VLOOKUP($Q101,武学奇术!$A:$ZZ,27,FALSE)*(1+IF(OR($AL101=$F$4,$AL101=$F$5),$B$22,0))</f>
        <v>0</v>
      </c>
      <c r="AO101" s="27">
        <f>VLOOKUP($Q101,武学奇术!$A:$ZZ,28,FALSE)</f>
        <v>0.75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0.8641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3636.7</v>
      </c>
      <c r="AT101" cm="1">
        <f t="array" ref="AT101">$E$10*(1+$AR101)+VLOOKUP($Q101,武学奇术!$A:$ZZ,4,FALSE)+SUM(_xlfn.XLOOKUP($R101:$AK101,增益!$A:$A,增益!$D:$D,0))-$I$2</f>
        <v>3636.7</v>
      </c>
      <c r="AU101" s="34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0.452</v>
      </c>
      <c r="AV101" s="34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4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4" cm="1">
        <f t="array" ref="BA101">$G$11+VLOOKUP($Q101,武学奇术!$A:$ZZ,10,FALSE)+SUM(_xlfn.XLOOKUP($R101:$AK101,增益!$A:$A,增益!$J:$J,0))</f>
        <v>0</v>
      </c>
      <c r="BB101">
        <f t="shared" si="37"/>
        <v>591.9</v>
      </c>
      <c r="BC101">
        <f t="shared" si="38"/>
        <v>1600.3</v>
      </c>
      <c r="BD101" s="34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0.17</v>
      </c>
      <c r="BE101" s="34" cm="1">
        <f t="array" ref="BE101">$G$12+VLOOKUP($Q101,武学奇术!$A:$ZZ,12,FALSE)+SUM(_xlfn.XLOOKUP($R101:$AK101,增益!$A:$A,增益!$L:$L,0))</f>
        <v>0.15</v>
      </c>
      <c r="BF101">
        <f t="shared" si="39"/>
        <v>0</v>
      </c>
      <c r="BG101">
        <f t="shared" si="40"/>
        <v>0</v>
      </c>
      <c r="BH101" s="34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4" cm="1">
        <f t="array" ref="BI101">$G$13+VLOOKUP($Q101,武学奇术!$A:$ZZ,14,FALSE)+SUM(_xlfn.XLOOKUP($R101:$AK101,增益!$A:$A,增益!$N:$N,0))</f>
        <v>0</v>
      </c>
      <c r="BJ101">
        <f t="shared" si="41"/>
        <v>0</v>
      </c>
      <c r="BK101">
        <f t="shared" si="42"/>
        <v>0</v>
      </c>
      <c r="BL101" s="34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4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0.9859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7" cm="1">
        <f t="array" ref="BP101">1+$B$13+VLOOKUP($Q101,武学奇术!$A:$ZZ,18,FALSE)+SUM(_xlfn.XLOOKUP($R101:$AK101,增益!$A:$A,增益!$R:$R,0))</f>
        <v>2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43"/>
        <v>0.87863408</v>
      </c>
      <c r="BT101" s="27">
        <f t="shared" si="44"/>
        <v>0.01567581</v>
      </c>
      <c r="BU101" s="27">
        <f>IF(VLOOKUP($Q101,武学奇术!$A:$ZZ,22,FALSE)=1,0,(1-$BN101))*(1-$BQ101)</f>
        <v>0.01279011</v>
      </c>
      <c r="BV101" s="27" cm="1">
        <f t="array" ref="BV101">SUM(_xlfn.XLOOKUP($R101:$AK101,增益!$A:$A,增益!$W:$W,0))+$I$5</f>
        <v>0.11</v>
      </c>
    </row>
    <row r="102" spans="1:74">
      <c r="K102" s="40">
        <f t="shared" si="34"/>
        <v>38678.1607647552</v>
      </c>
      <c r="L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38678.1607647552</v>
      </c>
      <c r="M102" s="40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28241.4474465109</v>
      </c>
      <c r="N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18418.1717927406</v>
      </c>
      <c r="O102" s="40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15916.752884362</v>
      </c>
      <c r="P102" s="41">
        <v>1</v>
      </c>
      <c r="Q102" s="42" t="s">
        <v>117</v>
      </c>
      <c r="R102" s="42" t="s">
        <v>103</v>
      </c>
      <c r="S102" s="42" t="s">
        <v>169</v>
      </c>
      <c r="T102" s="42" t="s">
        <v>86</v>
      </c>
      <c r="U102" s="42" t="s">
        <v>121</v>
      </c>
      <c r="V102" s="42" t="s">
        <v>118</v>
      </c>
      <c r="W102" s="42" t="s">
        <v>114</v>
      </c>
      <c r="X102" s="42" t="s">
        <v>176</v>
      </c>
      <c r="Y102" s="42" t="s">
        <v>77</v>
      </c>
      <c r="Z102" s="42" t="s">
        <v>77</v>
      </c>
      <c r="AA102" s="42" t="s">
        <v>73</v>
      </c>
      <c r="AB102" s="42" t="s">
        <v>95</v>
      </c>
      <c r="AC102" s="42" t="s">
        <v>77</v>
      </c>
      <c r="AD102" s="42" t="s">
        <v>80</v>
      </c>
      <c r="AE102" s="42" t="s">
        <v>81</v>
      </c>
      <c r="AF102" s="42" t="s">
        <v>82</v>
      </c>
      <c r="AG102" s="42" t="s">
        <v>77</v>
      </c>
      <c r="AH102" s="42" t="s">
        <v>77</v>
      </c>
      <c r="AI102" s="42" t="s">
        <v>77</v>
      </c>
      <c r="AJ102" s="42" t="s">
        <v>77</v>
      </c>
      <c r="AK102" s="42" t="s">
        <v>90</v>
      </c>
      <c r="AL102" t="str">
        <f>VLOOKUP($Q102,武学奇术!$A:$ZZ,25,FALSE)</f>
        <v>陌刀</v>
      </c>
      <c r="AM102" s="27">
        <f>VLOOKUP($Q102,武学奇术!$A:$ZZ,26,FALSE)</f>
        <v>0.9</v>
      </c>
      <c r="AN102" s="28">
        <f>VLOOKUP($Q102,武学奇术!$A:$ZZ,27,FALSE)*(1+IF(OR($AL102=$F$4,$AL102=$F$5),$B$22,0))</f>
        <v>0</v>
      </c>
      <c r="AO102" s="27">
        <f>VLOOKUP($Q102,武学奇术!$A:$ZZ,28,FALSE)</f>
        <v>1.35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0.8641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3636.7</v>
      </c>
      <c r="AT102" cm="1">
        <f t="array" ref="AT102">$E$10*(1+$AR102)+VLOOKUP($Q102,武学奇术!$A:$ZZ,4,FALSE)+SUM(_xlfn.XLOOKUP($R102:$AK102,增益!$A:$A,增益!$D:$D,0))-$I$2</f>
        <v>3636.7</v>
      </c>
      <c r="AU102" s="34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0.452</v>
      </c>
      <c r="AV102" s="34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4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-0.14</v>
      </c>
      <c r="BA102" s="34" cm="1">
        <f t="array" ref="BA102">$G$11+VLOOKUP($Q102,武学奇术!$A:$ZZ,10,FALSE)+SUM(_xlfn.XLOOKUP($R102:$AK102,增益!$A:$A,增益!$J:$J,0))</f>
        <v>0</v>
      </c>
      <c r="BB102">
        <f t="shared" si="37"/>
        <v>591.9</v>
      </c>
      <c r="BC102">
        <f t="shared" si="38"/>
        <v>1600.3</v>
      </c>
      <c r="BD102" s="34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0.17</v>
      </c>
      <c r="BE102" s="34" cm="1">
        <f t="array" ref="BE102">$G$12+VLOOKUP($Q102,武学奇术!$A:$ZZ,12,FALSE)+SUM(_xlfn.XLOOKUP($R102:$AK102,增益!$A:$A,增益!$L:$L,0))</f>
        <v>0.15</v>
      </c>
      <c r="BF102">
        <f t="shared" si="39"/>
        <v>0</v>
      </c>
      <c r="BG102">
        <f t="shared" si="40"/>
        <v>0</v>
      </c>
      <c r="BH102" s="34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-0.14</v>
      </c>
      <c r="BI102" s="34" cm="1">
        <f t="array" ref="BI102">$G$13+VLOOKUP($Q102,武学奇术!$A:$ZZ,14,FALSE)+SUM(_xlfn.XLOOKUP($R102:$AK102,增益!$A:$A,增益!$N:$N,0))</f>
        <v>0</v>
      </c>
      <c r="BJ102">
        <f t="shared" si="41"/>
        <v>0</v>
      </c>
      <c r="BK102">
        <f t="shared" si="42"/>
        <v>0</v>
      </c>
      <c r="BL102" s="34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-0.14</v>
      </c>
      <c r="BM102" s="34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1</v>
      </c>
      <c r="BP102" s="27" cm="1">
        <f t="array" ref="BP102">1+$B$13+VLOOKUP($Q102,武学奇术!$A:$ZZ,18,FALSE)+SUM(_xlfn.XLOOKUP($R102:$AK102,增益!$A:$A,增益!$R:$R,0))</f>
        <v>2.1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43"/>
        <v>1</v>
      </c>
      <c r="BT102" s="27">
        <f t="shared" si="44"/>
        <v>0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:74">
      <c r="K103" s="40">
        <f t="shared" ref="K103:K127" si="45">($L103*$BS103+$M103*$BQ103+$N103*$BT103+$O103*$BU103)</f>
        <v>367174.741720128</v>
      </c>
      <c r="L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蓄力技",$B$21,0))*(1+$BV103)</f>
        <v>367174.741720128</v>
      </c>
      <c r="M103" s="40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蓄力技",$B$21,0))*(1+$BV103)</f>
        <v>264130.370254668</v>
      </c>
      <c r="N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蓄力技",$B$21,0))*(1+$BV103)</f>
        <v>174845.115104823</v>
      </c>
      <c r="O103" s="40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蓄力技",$B$21,0))*(1+$BV103)</f>
        <v>154038.104095077</v>
      </c>
      <c r="P103" s="41">
        <v>1</v>
      </c>
      <c r="Q103" s="42" t="s">
        <v>120</v>
      </c>
      <c r="R103" s="42" t="s">
        <v>103</v>
      </c>
      <c r="S103" s="42" t="s">
        <v>169</v>
      </c>
      <c r="T103" s="42" t="s">
        <v>86</v>
      </c>
      <c r="U103" s="42" t="s">
        <v>121</v>
      </c>
      <c r="V103" s="42" t="s">
        <v>118</v>
      </c>
      <c r="W103" s="42" t="s">
        <v>122</v>
      </c>
      <c r="X103" s="42" t="s">
        <v>176</v>
      </c>
      <c r="Y103" s="42" t="s">
        <v>77</v>
      </c>
      <c r="Z103" s="42" t="s">
        <v>77</v>
      </c>
      <c r="AA103" s="42" t="s">
        <v>73</v>
      </c>
      <c r="AB103" s="42" t="s">
        <v>95</v>
      </c>
      <c r="AC103" s="42" t="s">
        <v>77</v>
      </c>
      <c r="AD103" s="42" t="s">
        <v>80</v>
      </c>
      <c r="AE103" s="42" t="s">
        <v>81</v>
      </c>
      <c r="AF103" s="42" t="s">
        <v>82</v>
      </c>
      <c r="AG103" s="42" t="s">
        <v>77</v>
      </c>
      <c r="AH103" s="42" t="s">
        <v>77</v>
      </c>
      <c r="AI103" s="42" t="s">
        <v>77</v>
      </c>
      <c r="AJ103" s="42" t="s">
        <v>77</v>
      </c>
      <c r="AK103" s="42" t="s">
        <v>90</v>
      </c>
      <c r="AL103" t="str">
        <f>VLOOKUP($Q103,武学奇术!$A:$ZZ,25,FALSE)</f>
        <v>陌刀</v>
      </c>
      <c r="AM103" s="27">
        <f>VLOOKUP($Q103,武学奇术!$A:$ZZ,26,FALSE)</f>
        <v>7.5674</v>
      </c>
      <c r="AN103" s="28">
        <f>VLOOKUP($Q103,武学奇术!$A:$ZZ,27,FALSE)*(1+IF(OR($AL103=$F$4,$AL103=$F$5),$B$22,0))</f>
        <v>3139.5</v>
      </c>
      <c r="AO103" s="27">
        <f>VLOOKUP($Q103,武学奇术!$A:$ZZ,28,FALSE)</f>
        <v>11.3512</v>
      </c>
      <c r="AP103" s="28">
        <f>VLOOKUP($Q103,武学奇术!$A:$ZZ,29,FALSE)*(1+IF(OR($AL103=$F$4,$AL103=$F$5),$B$22,0))</f>
        <v>1710</v>
      </c>
      <c r="AQ103" s="27" cm="1">
        <f t="array" ref="AQ103">$G$3+IFERROR(VLOOKUP($AL103,$F$4:$G$7,2,FALSE),0)+VLOOKUP($Q103,武学奇术!$A:$ZZ,2,FALSE)+SUM(_xlfn.XLOOKUP($R103:$AK103,增益!$A:$A,增益!$B:$B,0))</f>
        <v>0.8441</v>
      </c>
      <c r="AR103" s="27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3636.7</v>
      </c>
      <c r="AT103" cm="1">
        <f t="array" ref="AT103">$E$10*(1+$AR103)+VLOOKUP($Q103,武学奇术!$A:$ZZ,4,FALSE)+SUM(_xlfn.XLOOKUP($R103:$AK103,增益!$A:$A,增益!$D:$D,0))-$I$2</f>
        <v>3636.7</v>
      </c>
      <c r="AU103" s="34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0.452</v>
      </c>
      <c r="AV103" s="34" cm="1">
        <f t="array" ref="AV103">$G$10+VLOOKUP($Q103,武学奇术!$A:$ZZ,7,FALSE)+SUM(_xlfn.XLOOKUP($R103:$AK103,增益!$A:$A,增益!$G:$G,0))</f>
        <v>0</v>
      </c>
      <c r="AW103" s="27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4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-0.14</v>
      </c>
      <c r="BA103" s="34" cm="1">
        <f t="array" ref="BA103">$G$11+VLOOKUP($Q103,武学奇术!$A:$ZZ,10,FALSE)+SUM(_xlfn.XLOOKUP($R103:$AK103,增益!$A:$A,增益!$J:$J,0))</f>
        <v>0</v>
      </c>
      <c r="BB103">
        <f t="shared" si="37"/>
        <v>591.9</v>
      </c>
      <c r="BC103">
        <f t="shared" si="38"/>
        <v>1600.3</v>
      </c>
      <c r="BD103" s="34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0.17</v>
      </c>
      <c r="BE103" s="34" cm="1">
        <f t="array" ref="BE103">$G$12+VLOOKUP($Q103,武学奇术!$A:$ZZ,12,FALSE)+SUM(_xlfn.XLOOKUP($R103:$AK103,增益!$A:$A,增益!$L:$L,0))</f>
        <v>0.15</v>
      </c>
      <c r="BF103">
        <f t="shared" si="39"/>
        <v>0</v>
      </c>
      <c r="BG103">
        <f t="shared" si="40"/>
        <v>0</v>
      </c>
      <c r="BH103" s="34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-0.14</v>
      </c>
      <c r="BI103" s="34" cm="1">
        <f t="array" ref="BI103">$G$13+VLOOKUP($Q103,武学奇术!$A:$ZZ,14,FALSE)+SUM(_xlfn.XLOOKUP($R103:$AK103,增益!$A:$A,增益!$N:$N,0))</f>
        <v>0</v>
      </c>
      <c r="BJ103">
        <f t="shared" si="41"/>
        <v>0</v>
      </c>
      <c r="BK103">
        <f t="shared" si="42"/>
        <v>0</v>
      </c>
      <c r="BL103" s="34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-0.14</v>
      </c>
      <c r="BM103" s="34" cm="1">
        <f t="array" ref="BM103">$G$14+VLOOKUP($Q103,武学奇术!$A:$ZZ,16,FALSE)+SUM(_xlfn.XLOOKUP($R103:$AK103,增益!$A:$A,增益!$P:$P,0))</f>
        <v>0</v>
      </c>
      <c r="BN103" s="27">
        <f>MIN(IF(VLOOKUP($Q103,武学奇术!$A:$ZZ,23,FALSE)=1,100%,$B$8),100%)</f>
        <v>1</v>
      </c>
      <c r="BO103" s="27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1</v>
      </c>
      <c r="BP103" s="27" cm="1">
        <f t="array" ref="BP103">1+$B$13+VLOOKUP($Q103,武学奇术!$A:$ZZ,18,FALSE)+SUM(_xlfn.XLOOKUP($R103:$AK103,增益!$A:$A,增益!$R:$R,0))</f>
        <v>2.1</v>
      </c>
      <c r="BQ103" s="27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</v>
      </c>
      <c r="BR103" s="27" cm="1">
        <f t="array" ref="BR103">1+$B$14+VLOOKUP($Q103,武学奇术!$A:$ZZ,20,FALSE)+SUM(_xlfn.XLOOKUP($R103:$AK103,增益!$A:$A,增益!$T:$T,0))</f>
        <v>1.35</v>
      </c>
      <c r="BS103" s="27">
        <f t="shared" si="43"/>
        <v>1</v>
      </c>
      <c r="BT103" s="27">
        <f t="shared" si="44"/>
        <v>0</v>
      </c>
      <c r="BU103" s="27">
        <f>IF(VLOOKUP($Q103,武学奇术!$A:$ZZ,22,FALSE)=1,0,(1-$BN103))*(1-$BQ103)</f>
        <v>0</v>
      </c>
      <c r="BV103" s="27" cm="1">
        <f t="array" ref="BV103">SUM(_xlfn.XLOOKUP($R103:$AK103,增益!$A:$A,增益!$W:$W,0))+$I$5</f>
        <v>0.11</v>
      </c>
    </row>
    <row r="104" spans="1:74">
      <c r="K104" s="40">
        <f t="shared" si="45"/>
        <v>25359.5548557704</v>
      </c>
      <c r="L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蓄力技",$B$21,0))*(1+$BV104)</f>
        <v>25359.5548557704</v>
      </c>
      <c r="M104" s="40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蓄力技",$B$21,0))*(1+$BV104)</f>
        <v>18516.6647422068</v>
      </c>
      <c r="N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蓄力技",$B$21,0))*(1+$BV104)</f>
        <v>12075.9785027478</v>
      </c>
      <c r="O104" s="40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蓄力技",$B$21,0))*(1+$BV104)</f>
        <v>10435.9090483054</v>
      </c>
      <c r="P104" s="41">
        <v>1</v>
      </c>
      <c r="Q104" s="42" t="s">
        <v>125</v>
      </c>
      <c r="R104" s="42" t="s">
        <v>103</v>
      </c>
      <c r="S104" s="42" t="s">
        <v>169</v>
      </c>
      <c r="T104" s="42" t="s">
        <v>86</v>
      </c>
      <c r="U104" s="42" t="s">
        <v>121</v>
      </c>
      <c r="V104" s="42" t="s">
        <v>118</v>
      </c>
      <c r="W104" s="42" t="s">
        <v>114</v>
      </c>
      <c r="X104" s="42" t="s">
        <v>176</v>
      </c>
      <c r="Y104" s="42" t="s">
        <v>186</v>
      </c>
      <c r="Z104" s="42" t="s">
        <v>187</v>
      </c>
      <c r="AA104" s="42" t="s">
        <v>73</v>
      </c>
      <c r="AB104" s="42" t="s">
        <v>89</v>
      </c>
      <c r="AC104" s="42" t="s">
        <v>77</v>
      </c>
      <c r="AD104" s="42" t="s">
        <v>80</v>
      </c>
      <c r="AE104" s="42" t="s">
        <v>81</v>
      </c>
      <c r="AF104" s="42" t="s">
        <v>82</v>
      </c>
      <c r="AG104" s="42" t="s">
        <v>77</v>
      </c>
      <c r="AH104" s="42" t="s">
        <v>77</v>
      </c>
      <c r="AI104" s="42" t="s">
        <v>77</v>
      </c>
      <c r="AJ104" s="42" t="s">
        <v>77</v>
      </c>
      <c r="AK104" s="42" t="s">
        <v>90</v>
      </c>
      <c r="AL104" t="str">
        <f>VLOOKUP($Q104,武学奇术!$A:$ZZ,25,FALSE)</f>
        <v>陌刀</v>
      </c>
      <c r="AM104" s="27">
        <f>VLOOKUP($Q104,武学奇术!$A:$ZZ,26,FALSE)</f>
        <v>0.5</v>
      </c>
      <c r="AN104" s="28">
        <f>VLOOKUP($Q104,武学奇术!$A:$ZZ,27,FALSE)*(1+IF(OR($AL104=$F$4,$AL104=$F$5),$B$22,0))</f>
        <v>0</v>
      </c>
      <c r="AO104" s="27">
        <f>VLOOKUP($Q104,武学奇术!$A:$ZZ,28,FALSE)</f>
        <v>0.75</v>
      </c>
      <c r="AP104" s="28">
        <f>VLOOKUP($Q104,武学奇术!$A:$ZZ,29,FALSE)*(1+IF(OR($AL104=$F$4,$AL104=$F$5),$B$22,0))</f>
        <v>0</v>
      </c>
      <c r="AQ104" s="27" cm="1">
        <f t="array" ref="AQ104">$G$3+IFERROR(VLOOKUP($AL104,$F$4:$G$7,2,FALSE),0)+VLOOKUP($Q104,武学奇术!$A:$ZZ,2,FALSE)+SUM(_xlfn.XLOOKUP($R104:$AK104,增益!$A:$A,增益!$B:$B,0))</f>
        <v>0.8641</v>
      </c>
      <c r="AR104" s="27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3636.7</v>
      </c>
      <c r="AT104" cm="1">
        <f t="array" ref="AT104">$E$10*(1+$AR104)+VLOOKUP($Q104,武学奇术!$A:$ZZ,4,FALSE)+SUM(_xlfn.XLOOKUP($R104:$AK104,增益!$A:$A,增益!$D:$D,0))-$I$2</f>
        <v>3636.7</v>
      </c>
      <c r="AU104" s="34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0.452</v>
      </c>
      <c r="AV104" s="34" cm="1">
        <f t="array" ref="AV104">$G$10+VLOOKUP($Q104,武学奇术!$A:$ZZ,7,FALSE)+SUM(_xlfn.XLOOKUP($R104:$AK104,增益!$A:$A,增益!$G:$G,0))</f>
        <v>0</v>
      </c>
      <c r="AW104" s="27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4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-0.14</v>
      </c>
      <c r="BA104" s="34" cm="1">
        <f t="array" ref="BA104">$G$11+VLOOKUP($Q104,武学奇术!$A:$ZZ,10,FALSE)+SUM(_xlfn.XLOOKUP($R104:$AK104,增益!$A:$A,增益!$J:$J,0))</f>
        <v>0.1</v>
      </c>
      <c r="BB104">
        <f t="shared" si="37"/>
        <v>591.9</v>
      </c>
      <c r="BC104">
        <f t="shared" si="38"/>
        <v>1600.3</v>
      </c>
      <c r="BD104" s="34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0.17</v>
      </c>
      <c r="BE104" s="34" cm="1">
        <f t="array" ref="BE104">$G$12+VLOOKUP($Q104,武学奇术!$A:$ZZ,12,FALSE)+SUM(_xlfn.XLOOKUP($R104:$AK104,增益!$A:$A,增益!$L:$L,0))</f>
        <v>0.15</v>
      </c>
      <c r="BF104">
        <f t="shared" si="39"/>
        <v>0</v>
      </c>
      <c r="BG104">
        <f t="shared" si="40"/>
        <v>0</v>
      </c>
      <c r="BH104" s="34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-0.14</v>
      </c>
      <c r="BI104" s="34" cm="1">
        <f t="array" ref="BI104">$G$13+VLOOKUP($Q104,武学奇术!$A:$ZZ,14,FALSE)+SUM(_xlfn.XLOOKUP($R104:$AK104,增益!$A:$A,增益!$N:$N,0))</f>
        <v>0</v>
      </c>
      <c r="BJ104">
        <f t="shared" si="41"/>
        <v>0</v>
      </c>
      <c r="BK104">
        <f t="shared" si="42"/>
        <v>0</v>
      </c>
      <c r="BL104" s="34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-0.14</v>
      </c>
      <c r="BM104" s="34" cm="1">
        <f t="array" ref="BM104">$G$14+VLOOKUP($Q104,武学奇术!$A:$ZZ,16,FALSE)+SUM(_xlfn.XLOOKUP($R104:$AK104,增益!$A:$A,增益!$P:$P,0))</f>
        <v>0</v>
      </c>
      <c r="BN104" s="27">
        <f>MIN(IF(VLOOKUP($Q104,武学奇术!$A:$ZZ,23,FALSE)=1,100%,$B$8),100%)</f>
        <v>1</v>
      </c>
      <c r="BO104" s="27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1</v>
      </c>
      <c r="BP104" s="27" cm="1">
        <f t="array" ref="BP104">1+$B$13+VLOOKUP($Q104,武学奇术!$A:$ZZ,18,FALSE)+SUM(_xlfn.XLOOKUP($R104:$AK104,增益!$A:$A,增益!$R:$R,0))</f>
        <v>2.1</v>
      </c>
      <c r="BQ104" s="27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</v>
      </c>
      <c r="BR104" s="27" cm="1">
        <f t="array" ref="BR104">1+$B$14+VLOOKUP($Q104,武学奇术!$A:$ZZ,20,FALSE)+SUM(_xlfn.XLOOKUP($R104:$AK104,增益!$A:$A,增益!$T:$T,0))</f>
        <v>1.35</v>
      </c>
      <c r="BS104" s="27">
        <f t="shared" si="43"/>
        <v>1</v>
      </c>
      <c r="BT104" s="27">
        <f t="shared" si="44"/>
        <v>0</v>
      </c>
      <c r="BU104" s="27">
        <f>IF(VLOOKUP($Q104,武学奇术!$A:$ZZ,22,FALSE)=1,0,(1-$BN104))*(1-$BQ104)</f>
        <v>0</v>
      </c>
      <c r="BV104" s="27" cm="1">
        <f t="array" ref="BV104">SUM(_xlfn.XLOOKUP($R104:$AK104,增益!$A:$A,增益!$W:$W,0))+$I$5</f>
        <v>0.31</v>
      </c>
    </row>
    <row r="105" spans="1:74">
      <c r="K105" s="40">
        <f t="shared" si="45"/>
        <v>45647.1987403867</v>
      </c>
      <c r="L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蓄力技",$B$21,0))*(1+$BV105)</f>
        <v>45647.1987403867</v>
      </c>
      <c r="M105" s="40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蓄力技",$B$21,0))*(1+$BV105)</f>
        <v>33329.9965359723</v>
      </c>
      <c r="N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蓄力技",$B$21,0))*(1+$BV105)</f>
        <v>21736.7613049461</v>
      </c>
      <c r="O105" s="40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蓄力技",$B$21,0))*(1+$BV105)</f>
        <v>18784.6362869497</v>
      </c>
      <c r="P105" s="41">
        <v>1</v>
      </c>
      <c r="Q105" s="42" t="s">
        <v>117</v>
      </c>
      <c r="R105" s="42" t="s">
        <v>103</v>
      </c>
      <c r="S105" s="42" t="s">
        <v>169</v>
      </c>
      <c r="T105" s="42" t="s">
        <v>86</v>
      </c>
      <c r="U105" s="42" t="s">
        <v>121</v>
      </c>
      <c r="V105" s="42" t="s">
        <v>118</v>
      </c>
      <c r="W105" s="42" t="s">
        <v>114</v>
      </c>
      <c r="X105" s="42" t="s">
        <v>176</v>
      </c>
      <c r="Y105" s="42" t="s">
        <v>186</v>
      </c>
      <c r="Z105" s="42" t="s">
        <v>187</v>
      </c>
      <c r="AA105" s="42" t="s">
        <v>73</v>
      </c>
      <c r="AB105" s="42" t="s">
        <v>89</v>
      </c>
      <c r="AC105" s="42" t="s">
        <v>77</v>
      </c>
      <c r="AD105" s="42" t="s">
        <v>80</v>
      </c>
      <c r="AE105" s="42" t="s">
        <v>81</v>
      </c>
      <c r="AF105" s="42" t="s">
        <v>82</v>
      </c>
      <c r="AG105" s="42" t="s">
        <v>77</v>
      </c>
      <c r="AH105" s="42" t="s">
        <v>77</v>
      </c>
      <c r="AI105" s="42" t="s">
        <v>77</v>
      </c>
      <c r="AJ105" s="42" t="s">
        <v>77</v>
      </c>
      <c r="AK105" s="42" t="s">
        <v>90</v>
      </c>
      <c r="AL105" t="str">
        <f>VLOOKUP($Q105,武学奇术!$A:$ZZ,25,FALSE)</f>
        <v>陌刀</v>
      </c>
      <c r="AM105" s="27">
        <f>VLOOKUP($Q105,武学奇术!$A:$ZZ,26,FALSE)</f>
        <v>0.9</v>
      </c>
      <c r="AN105" s="28">
        <f>VLOOKUP($Q105,武学奇术!$A:$ZZ,27,FALSE)*(1+IF(OR($AL105=$F$4,$AL105=$F$5),$B$22,0))</f>
        <v>0</v>
      </c>
      <c r="AO105" s="27">
        <f>VLOOKUP($Q105,武学奇术!$A:$ZZ,28,FALSE)</f>
        <v>1.35</v>
      </c>
      <c r="AP105" s="28">
        <f>VLOOKUP($Q105,武学奇术!$A:$ZZ,29,FALSE)*(1+IF(OR($AL105=$F$4,$AL105=$F$5),$B$22,0))</f>
        <v>0</v>
      </c>
      <c r="AQ105" s="27" cm="1">
        <f t="array" ref="AQ105">$G$3+IFERROR(VLOOKUP($AL105,$F$4:$G$7,2,FALSE),0)+VLOOKUP($Q105,武学奇术!$A:$ZZ,2,FALSE)+SUM(_xlfn.XLOOKUP($R105:$AK105,增益!$A:$A,增益!$B:$B,0))</f>
        <v>0.8641</v>
      </c>
      <c r="AR105" s="27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3636.7</v>
      </c>
      <c r="AT105" cm="1">
        <f t="array" ref="AT105">$E$10*(1+$AR105)+VLOOKUP($Q105,武学奇术!$A:$ZZ,4,FALSE)+SUM(_xlfn.XLOOKUP($R105:$AK105,增益!$A:$A,增益!$D:$D,0))-$I$2</f>
        <v>3636.7</v>
      </c>
      <c r="AU105" s="34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0.452</v>
      </c>
      <c r="AV105" s="34" cm="1">
        <f t="array" ref="AV105">$G$10+VLOOKUP($Q105,武学奇术!$A:$ZZ,7,FALSE)+SUM(_xlfn.XLOOKUP($R105:$AK105,增益!$A:$A,增益!$G:$G,0))</f>
        <v>0</v>
      </c>
      <c r="AW105" s="27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4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-0.14</v>
      </c>
      <c r="BA105" s="34" cm="1">
        <f t="array" ref="BA105">$G$11+VLOOKUP($Q105,武学奇术!$A:$ZZ,10,FALSE)+SUM(_xlfn.XLOOKUP($R105:$AK105,增益!$A:$A,增益!$J:$J,0))</f>
        <v>0.1</v>
      </c>
      <c r="BB105">
        <f t="shared" si="37"/>
        <v>591.9</v>
      </c>
      <c r="BC105">
        <f t="shared" si="38"/>
        <v>1600.3</v>
      </c>
      <c r="BD105" s="34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0.17</v>
      </c>
      <c r="BE105" s="34" cm="1">
        <f t="array" ref="BE105">$G$12+VLOOKUP($Q105,武学奇术!$A:$ZZ,12,FALSE)+SUM(_xlfn.XLOOKUP($R105:$AK105,增益!$A:$A,增益!$L:$L,0))</f>
        <v>0.15</v>
      </c>
      <c r="BF105">
        <f t="shared" si="39"/>
        <v>0</v>
      </c>
      <c r="BG105">
        <f t="shared" si="40"/>
        <v>0</v>
      </c>
      <c r="BH105" s="34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-0.14</v>
      </c>
      <c r="BI105" s="34" cm="1">
        <f t="array" ref="BI105">$G$13+VLOOKUP($Q105,武学奇术!$A:$ZZ,14,FALSE)+SUM(_xlfn.XLOOKUP($R105:$AK105,增益!$A:$A,增益!$N:$N,0))</f>
        <v>0</v>
      </c>
      <c r="BJ105">
        <f t="shared" si="41"/>
        <v>0</v>
      </c>
      <c r="BK105">
        <f t="shared" si="42"/>
        <v>0</v>
      </c>
      <c r="BL105" s="34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-0.14</v>
      </c>
      <c r="BM105" s="34" cm="1">
        <f t="array" ref="BM105">$G$14+VLOOKUP($Q105,武学奇术!$A:$ZZ,16,FALSE)+SUM(_xlfn.XLOOKUP($R105:$AK105,增益!$A:$A,增益!$P:$P,0))</f>
        <v>0</v>
      </c>
      <c r="BN105" s="27">
        <f>MIN(IF(VLOOKUP($Q105,武学奇术!$A:$ZZ,23,FALSE)=1,100%,$B$8),100%)</f>
        <v>1</v>
      </c>
      <c r="BO105" s="27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1</v>
      </c>
      <c r="BP105" s="27" cm="1">
        <f t="array" ref="BP105">1+$B$13+VLOOKUP($Q105,武学奇术!$A:$ZZ,18,FALSE)+SUM(_xlfn.XLOOKUP($R105:$AK105,增益!$A:$A,增益!$R:$R,0))</f>
        <v>2.1</v>
      </c>
      <c r="BQ105" s="27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</v>
      </c>
      <c r="BR105" s="27" cm="1">
        <f t="array" ref="BR105">1+$B$14+VLOOKUP($Q105,武学奇术!$A:$ZZ,20,FALSE)+SUM(_xlfn.XLOOKUP($R105:$AK105,增益!$A:$A,增益!$T:$T,0))</f>
        <v>1.35</v>
      </c>
      <c r="BS105" s="27">
        <f t="shared" si="43"/>
        <v>1</v>
      </c>
      <c r="BT105" s="27">
        <f t="shared" si="44"/>
        <v>0</v>
      </c>
      <c r="BU105" s="27">
        <f>IF(VLOOKUP($Q105,武学奇术!$A:$ZZ,22,FALSE)=1,0,(1-$BN105))*(1-$BQ105)</f>
        <v>0</v>
      </c>
      <c r="BV105" s="27" cm="1">
        <f t="array" ref="BV105">SUM(_xlfn.XLOOKUP($R105:$AK105,增益!$A:$A,增益!$W:$W,0))+$I$5</f>
        <v>0.31</v>
      </c>
    </row>
    <row r="106" spans="1:74">
      <c r="K106" s="40">
        <f t="shared" si="45"/>
        <v>433332.352840872</v>
      </c>
      <c r="L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蓄力技",$B$21,0))*(1+$BV106)</f>
        <v>433332.352840872</v>
      </c>
      <c r="M106" s="40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蓄力技",$B$21,0))*(1+$BV106)</f>
        <v>311721.427958212</v>
      </c>
      <c r="N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蓄力技",$B$21,0))*(1+$BV106)</f>
        <v>206348.739448034</v>
      </c>
      <c r="O106" s="40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蓄力技",$B$21,0))*(1+$BV106)</f>
        <v>181792.717445542</v>
      </c>
      <c r="P106" s="41">
        <v>1</v>
      </c>
      <c r="Q106" s="42" t="s">
        <v>120</v>
      </c>
      <c r="R106" s="42" t="s">
        <v>103</v>
      </c>
      <c r="S106" s="42" t="s">
        <v>169</v>
      </c>
      <c r="T106" s="42" t="s">
        <v>86</v>
      </c>
      <c r="U106" s="42" t="s">
        <v>121</v>
      </c>
      <c r="V106" s="42" t="s">
        <v>118</v>
      </c>
      <c r="W106" s="42" t="s">
        <v>122</v>
      </c>
      <c r="X106" s="42" t="s">
        <v>176</v>
      </c>
      <c r="Y106" s="42" t="s">
        <v>186</v>
      </c>
      <c r="Z106" s="42" t="s">
        <v>187</v>
      </c>
      <c r="AA106" s="42" t="s">
        <v>73</v>
      </c>
      <c r="AB106" s="42" t="s">
        <v>89</v>
      </c>
      <c r="AC106" s="42" t="s">
        <v>77</v>
      </c>
      <c r="AD106" s="42" t="s">
        <v>80</v>
      </c>
      <c r="AE106" s="42" t="s">
        <v>81</v>
      </c>
      <c r="AF106" s="42" t="s">
        <v>82</v>
      </c>
      <c r="AG106" s="42" t="s">
        <v>77</v>
      </c>
      <c r="AH106" s="42" t="s">
        <v>77</v>
      </c>
      <c r="AI106" s="42" t="s">
        <v>77</v>
      </c>
      <c r="AJ106" s="42" t="s">
        <v>77</v>
      </c>
      <c r="AK106" s="42" t="s">
        <v>90</v>
      </c>
      <c r="AL106" t="str">
        <f>VLOOKUP($Q106,武学奇术!$A:$ZZ,25,FALSE)</f>
        <v>陌刀</v>
      </c>
      <c r="AM106" s="27">
        <f>VLOOKUP($Q106,武学奇术!$A:$ZZ,26,FALSE)</f>
        <v>7.5674</v>
      </c>
      <c r="AN106" s="28">
        <f>VLOOKUP($Q106,武学奇术!$A:$ZZ,27,FALSE)*(1+IF(OR($AL106=$F$4,$AL106=$F$5),$B$22,0))</f>
        <v>3139.5</v>
      </c>
      <c r="AO106" s="27">
        <f>VLOOKUP($Q106,武学奇术!$A:$ZZ,28,FALSE)</f>
        <v>11.3512</v>
      </c>
      <c r="AP106" s="28">
        <f>VLOOKUP($Q106,武学奇术!$A:$ZZ,29,FALSE)*(1+IF(OR($AL106=$F$4,$AL106=$F$5),$B$22,0))</f>
        <v>1710</v>
      </c>
      <c r="AQ106" s="27" cm="1">
        <f t="array" ref="AQ106">$G$3+IFERROR(VLOOKUP($AL106,$F$4:$G$7,2,FALSE),0)+VLOOKUP($Q106,武学奇术!$A:$ZZ,2,FALSE)+SUM(_xlfn.XLOOKUP($R106:$AK106,增益!$A:$A,增益!$B:$B,0))</f>
        <v>0.8441</v>
      </c>
      <c r="AR106" s="27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3636.7</v>
      </c>
      <c r="AT106" cm="1">
        <f t="array" ref="AT106">$E$10*(1+$AR106)+VLOOKUP($Q106,武学奇术!$A:$ZZ,4,FALSE)+SUM(_xlfn.XLOOKUP($R106:$AK106,增益!$A:$A,增益!$D:$D,0))-$I$2</f>
        <v>3636.7</v>
      </c>
      <c r="AU106" s="34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0.452</v>
      </c>
      <c r="AV106" s="34" cm="1">
        <f t="array" ref="AV106">$G$10+VLOOKUP($Q106,武学奇术!$A:$ZZ,7,FALSE)+SUM(_xlfn.XLOOKUP($R106:$AK106,增益!$A:$A,增益!$G:$G,0))</f>
        <v>0</v>
      </c>
      <c r="AW106" s="27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4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-0.14</v>
      </c>
      <c r="BA106" s="34" cm="1">
        <f t="array" ref="BA106">$G$11+VLOOKUP($Q106,武学奇术!$A:$ZZ,10,FALSE)+SUM(_xlfn.XLOOKUP($R106:$AK106,增益!$A:$A,增益!$J:$J,0))</f>
        <v>0.1</v>
      </c>
      <c r="BB106">
        <f t="shared" si="37"/>
        <v>591.9</v>
      </c>
      <c r="BC106">
        <f t="shared" si="38"/>
        <v>1600.3</v>
      </c>
      <c r="BD106" s="34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0.17</v>
      </c>
      <c r="BE106" s="34" cm="1">
        <f t="array" ref="BE106">$G$12+VLOOKUP($Q106,武学奇术!$A:$ZZ,12,FALSE)+SUM(_xlfn.XLOOKUP($R106:$AK106,增益!$A:$A,增益!$L:$L,0))</f>
        <v>0.15</v>
      </c>
      <c r="BF106">
        <f t="shared" si="39"/>
        <v>0</v>
      </c>
      <c r="BG106">
        <f t="shared" si="40"/>
        <v>0</v>
      </c>
      <c r="BH106" s="34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-0.14</v>
      </c>
      <c r="BI106" s="34" cm="1">
        <f t="array" ref="BI106">$G$13+VLOOKUP($Q106,武学奇术!$A:$ZZ,14,FALSE)+SUM(_xlfn.XLOOKUP($R106:$AK106,增益!$A:$A,增益!$N:$N,0))</f>
        <v>0</v>
      </c>
      <c r="BJ106">
        <f t="shared" si="41"/>
        <v>0</v>
      </c>
      <c r="BK106">
        <f t="shared" si="42"/>
        <v>0</v>
      </c>
      <c r="BL106" s="34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-0.14</v>
      </c>
      <c r="BM106" s="34" cm="1">
        <f t="array" ref="BM106">$G$14+VLOOKUP($Q106,武学奇术!$A:$ZZ,16,FALSE)+SUM(_xlfn.XLOOKUP($R106:$AK106,增益!$A:$A,增益!$P:$P,0))</f>
        <v>0</v>
      </c>
      <c r="BN106" s="27">
        <f>MIN(IF(VLOOKUP($Q106,武学奇术!$A:$ZZ,23,FALSE)=1,100%,$B$8),100%)</f>
        <v>1</v>
      </c>
      <c r="BO106" s="27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1</v>
      </c>
      <c r="BP106" s="27" cm="1">
        <f t="array" ref="BP106">1+$B$13+VLOOKUP($Q106,武学奇术!$A:$ZZ,18,FALSE)+SUM(_xlfn.XLOOKUP($R106:$AK106,增益!$A:$A,增益!$R:$R,0))</f>
        <v>2.1</v>
      </c>
      <c r="BQ106" s="27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</v>
      </c>
      <c r="BR106" s="27" cm="1">
        <f t="array" ref="BR106">1+$B$14+VLOOKUP($Q106,武学奇术!$A:$ZZ,20,FALSE)+SUM(_xlfn.XLOOKUP($R106:$AK106,增益!$A:$A,增益!$T:$T,0))</f>
        <v>1.35</v>
      </c>
      <c r="BS106" s="27">
        <f t="shared" si="43"/>
        <v>1</v>
      </c>
      <c r="BT106" s="27">
        <f t="shared" si="44"/>
        <v>0</v>
      </c>
      <c r="BU106" s="27">
        <f>IF(VLOOKUP($Q106,武学奇术!$A:$ZZ,22,FALSE)=1,0,(1-$BN106))*(1-$BQ106)</f>
        <v>0</v>
      </c>
      <c r="BV106" s="27" cm="1">
        <f t="array" ref="BV106">SUM(_xlfn.XLOOKUP($R106:$AK106,增益!$A:$A,增益!$W:$W,0))+$I$5</f>
        <v>0.31</v>
      </c>
    </row>
    <row r="107" spans="1:74">
      <c r="K107" s="40">
        <f t="shared" si="45"/>
        <v>50719.1097115408</v>
      </c>
      <c r="L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蓄力技",$B$21,0))*(1+$BV107)</f>
        <v>50719.1097115408</v>
      </c>
      <c r="M107" s="40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蓄力技",$B$21,0))*(1+$BV107)</f>
        <v>37033.3294844136</v>
      </c>
      <c r="N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蓄力技",$B$21,0))*(1+$BV107)</f>
        <v>24151.9570054956</v>
      </c>
      <c r="O107" s="40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蓄力技",$B$21,0))*(1+$BV107)</f>
        <v>20871.8180966108</v>
      </c>
      <c r="P107" s="41">
        <v>2</v>
      </c>
      <c r="Q107" s="42" t="s">
        <v>125</v>
      </c>
      <c r="R107" s="42" t="s">
        <v>103</v>
      </c>
      <c r="S107" s="42" t="s">
        <v>169</v>
      </c>
      <c r="T107" s="42" t="s">
        <v>86</v>
      </c>
      <c r="U107" s="42" t="s">
        <v>121</v>
      </c>
      <c r="V107" s="42" t="s">
        <v>118</v>
      </c>
      <c r="W107" s="42" t="s">
        <v>114</v>
      </c>
      <c r="X107" s="42" t="s">
        <v>176</v>
      </c>
      <c r="Y107" s="42" t="s">
        <v>186</v>
      </c>
      <c r="Z107" s="42" t="s">
        <v>187</v>
      </c>
      <c r="AA107" s="42" t="s">
        <v>73</v>
      </c>
      <c r="AB107" s="42" t="s">
        <v>95</v>
      </c>
      <c r="AC107" s="42" t="s">
        <v>77</v>
      </c>
      <c r="AD107" s="42" t="s">
        <v>80</v>
      </c>
      <c r="AE107" s="42" t="s">
        <v>81</v>
      </c>
      <c r="AF107" s="42" t="s">
        <v>82</v>
      </c>
      <c r="AG107" s="42" t="s">
        <v>77</v>
      </c>
      <c r="AH107" s="42" t="s">
        <v>77</v>
      </c>
      <c r="AI107" s="42" t="s">
        <v>77</v>
      </c>
      <c r="AJ107" s="42" t="s">
        <v>77</v>
      </c>
      <c r="AK107" s="42" t="s">
        <v>90</v>
      </c>
      <c r="AL107" t="str">
        <f>VLOOKUP($Q107,武学奇术!$A:$ZZ,25,FALSE)</f>
        <v>陌刀</v>
      </c>
      <c r="AM107" s="27">
        <f>VLOOKUP($Q107,武学奇术!$A:$ZZ,26,FALSE)</f>
        <v>0.5</v>
      </c>
      <c r="AN107" s="28">
        <f>VLOOKUP($Q107,武学奇术!$A:$ZZ,27,FALSE)*(1+IF(OR($AL107=$F$4,$AL107=$F$5),$B$22,0))</f>
        <v>0</v>
      </c>
      <c r="AO107" s="27">
        <f>VLOOKUP($Q107,武学奇术!$A:$ZZ,28,FALSE)</f>
        <v>0.75</v>
      </c>
      <c r="AP107" s="28">
        <f>VLOOKUP($Q107,武学奇术!$A:$ZZ,29,FALSE)*(1+IF(OR($AL107=$F$4,$AL107=$F$5),$B$22,0))</f>
        <v>0</v>
      </c>
      <c r="AQ107" s="27" cm="1">
        <f t="array" ref="AQ107">$G$3+IFERROR(VLOOKUP($AL107,$F$4:$G$7,2,FALSE),0)+VLOOKUP($Q107,武学奇术!$A:$ZZ,2,FALSE)+SUM(_xlfn.XLOOKUP($R107:$AK107,增益!$A:$A,增益!$B:$B,0))</f>
        <v>0.8641</v>
      </c>
      <c r="AR107" s="27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3636.7</v>
      </c>
      <c r="AT107" cm="1">
        <f t="array" ref="AT107">$E$10*(1+$AR107)+VLOOKUP($Q107,武学奇术!$A:$ZZ,4,FALSE)+SUM(_xlfn.XLOOKUP($R107:$AK107,增益!$A:$A,增益!$D:$D,0))-$I$2</f>
        <v>3636.7</v>
      </c>
      <c r="AU107" s="34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0.452</v>
      </c>
      <c r="AV107" s="34" cm="1">
        <f t="array" ref="AV107">$G$10+VLOOKUP($Q107,武学奇术!$A:$ZZ,7,FALSE)+SUM(_xlfn.XLOOKUP($R107:$AK107,增益!$A:$A,增益!$G:$G,0))</f>
        <v>0</v>
      </c>
      <c r="AW107" s="27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4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-0.14</v>
      </c>
      <c r="BA107" s="34" cm="1">
        <f t="array" ref="BA107">$G$11+VLOOKUP($Q107,武学奇术!$A:$ZZ,10,FALSE)+SUM(_xlfn.XLOOKUP($R107:$AK107,增益!$A:$A,增益!$J:$J,0))</f>
        <v>0.1</v>
      </c>
      <c r="BB107">
        <f t="shared" si="37"/>
        <v>591.9</v>
      </c>
      <c r="BC107">
        <f t="shared" si="38"/>
        <v>1600.3</v>
      </c>
      <c r="BD107" s="34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0.17</v>
      </c>
      <c r="BE107" s="34" cm="1">
        <f t="array" ref="BE107">$G$12+VLOOKUP($Q107,武学奇术!$A:$ZZ,12,FALSE)+SUM(_xlfn.XLOOKUP($R107:$AK107,增益!$A:$A,增益!$L:$L,0))</f>
        <v>0.15</v>
      </c>
      <c r="BF107">
        <f t="shared" si="39"/>
        <v>0</v>
      </c>
      <c r="BG107">
        <f t="shared" si="40"/>
        <v>0</v>
      </c>
      <c r="BH107" s="34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-0.14</v>
      </c>
      <c r="BI107" s="34" cm="1">
        <f t="array" ref="BI107">$G$13+VLOOKUP($Q107,武学奇术!$A:$ZZ,14,FALSE)+SUM(_xlfn.XLOOKUP($R107:$AK107,增益!$A:$A,增益!$N:$N,0))</f>
        <v>0</v>
      </c>
      <c r="BJ107">
        <f t="shared" si="41"/>
        <v>0</v>
      </c>
      <c r="BK107">
        <f t="shared" si="42"/>
        <v>0</v>
      </c>
      <c r="BL107" s="34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-0.14</v>
      </c>
      <c r="BM107" s="34" cm="1">
        <f t="array" ref="BM107">$G$14+VLOOKUP($Q107,武学奇术!$A:$ZZ,16,FALSE)+SUM(_xlfn.XLOOKUP($R107:$AK107,增益!$A:$A,增益!$P:$P,0))</f>
        <v>0</v>
      </c>
      <c r="BN107" s="27">
        <f>MIN(IF(VLOOKUP($Q107,武学奇术!$A:$ZZ,23,FALSE)=1,100%,$B$8),100%)</f>
        <v>1</v>
      </c>
      <c r="BO107" s="27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1</v>
      </c>
      <c r="BP107" s="27" cm="1">
        <f t="array" ref="BP107">1+$B$13+VLOOKUP($Q107,武学奇术!$A:$ZZ,18,FALSE)+SUM(_xlfn.XLOOKUP($R107:$AK107,增益!$A:$A,增益!$R:$R,0))</f>
        <v>2.1</v>
      </c>
      <c r="BQ107" s="27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</v>
      </c>
      <c r="BR107" s="27" cm="1">
        <f t="array" ref="BR107">1+$B$14+VLOOKUP($Q107,武学奇术!$A:$ZZ,20,FALSE)+SUM(_xlfn.XLOOKUP($R107:$AK107,增益!$A:$A,增益!$T:$T,0))</f>
        <v>1.35</v>
      </c>
      <c r="BS107" s="27">
        <f t="shared" si="43"/>
        <v>1</v>
      </c>
      <c r="BT107" s="27">
        <f t="shared" si="44"/>
        <v>0</v>
      </c>
      <c r="BU107" s="27">
        <f>IF(VLOOKUP($Q107,武学奇术!$A:$ZZ,22,FALSE)=1,0,(1-$BN107))*(1-$BQ107)</f>
        <v>0</v>
      </c>
      <c r="BV107" s="27" cm="1">
        <f t="array" ref="BV107">SUM(_xlfn.XLOOKUP($R107:$AK107,增益!$A:$A,增益!$W:$W,0))+$I$5</f>
        <v>0.31</v>
      </c>
    </row>
    <row r="108" spans="1:74">
      <c r="K108" s="40">
        <f t="shared" si="45"/>
        <v>91294.3974807735</v>
      </c>
      <c r="L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蓄力技",$B$21,0))*(1+$BV108)</f>
        <v>91294.3974807735</v>
      </c>
      <c r="M108" s="40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蓄力技",$B$21,0))*(1+$BV108)</f>
        <v>66659.9930719445</v>
      </c>
      <c r="N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蓄力技",$B$21,0))*(1+$BV108)</f>
        <v>43473.5226098921</v>
      </c>
      <c r="O108" s="40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蓄力技",$B$21,0))*(1+$BV108)</f>
        <v>37569.2725738994</v>
      </c>
      <c r="P108" s="41">
        <v>2</v>
      </c>
      <c r="Q108" s="42" t="s">
        <v>117</v>
      </c>
      <c r="R108" s="42" t="s">
        <v>103</v>
      </c>
      <c r="S108" s="42" t="s">
        <v>169</v>
      </c>
      <c r="T108" s="42" t="s">
        <v>86</v>
      </c>
      <c r="U108" s="42" t="s">
        <v>121</v>
      </c>
      <c r="V108" s="42" t="s">
        <v>118</v>
      </c>
      <c r="W108" s="42" t="s">
        <v>114</v>
      </c>
      <c r="X108" s="42" t="s">
        <v>176</v>
      </c>
      <c r="Y108" s="42" t="s">
        <v>186</v>
      </c>
      <c r="Z108" s="42" t="s">
        <v>187</v>
      </c>
      <c r="AA108" s="42" t="s">
        <v>73</v>
      </c>
      <c r="AB108" s="42" t="s">
        <v>95</v>
      </c>
      <c r="AC108" s="42" t="s">
        <v>77</v>
      </c>
      <c r="AD108" s="42" t="s">
        <v>80</v>
      </c>
      <c r="AE108" s="42" t="s">
        <v>81</v>
      </c>
      <c r="AF108" s="42" t="s">
        <v>82</v>
      </c>
      <c r="AG108" s="42" t="s">
        <v>77</v>
      </c>
      <c r="AH108" s="42" t="s">
        <v>77</v>
      </c>
      <c r="AI108" s="42" t="s">
        <v>77</v>
      </c>
      <c r="AJ108" s="42" t="s">
        <v>77</v>
      </c>
      <c r="AK108" s="42" t="s">
        <v>90</v>
      </c>
      <c r="AL108" t="str">
        <f>VLOOKUP($Q108,武学奇术!$A:$ZZ,25,FALSE)</f>
        <v>陌刀</v>
      </c>
      <c r="AM108" s="27">
        <f>VLOOKUP($Q108,武学奇术!$A:$ZZ,26,FALSE)</f>
        <v>0.9</v>
      </c>
      <c r="AN108" s="28">
        <f>VLOOKUP($Q108,武学奇术!$A:$ZZ,27,FALSE)*(1+IF(OR($AL108=$F$4,$AL108=$F$5),$B$22,0))</f>
        <v>0</v>
      </c>
      <c r="AO108" s="27">
        <f>VLOOKUP($Q108,武学奇术!$A:$ZZ,28,FALSE)</f>
        <v>1.35</v>
      </c>
      <c r="AP108" s="28">
        <f>VLOOKUP($Q108,武学奇术!$A:$ZZ,29,FALSE)*(1+IF(OR($AL108=$F$4,$AL108=$F$5),$B$22,0))</f>
        <v>0</v>
      </c>
      <c r="AQ108" s="27" cm="1">
        <f t="array" ref="AQ108">$G$3+IFERROR(VLOOKUP($AL108,$F$4:$G$7,2,FALSE),0)+VLOOKUP($Q108,武学奇术!$A:$ZZ,2,FALSE)+SUM(_xlfn.XLOOKUP($R108:$AK108,增益!$A:$A,增益!$B:$B,0))</f>
        <v>0.8641</v>
      </c>
      <c r="AR108" s="27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3636.7</v>
      </c>
      <c r="AT108" cm="1">
        <f t="array" ref="AT108">$E$10*(1+$AR108)+VLOOKUP($Q108,武学奇术!$A:$ZZ,4,FALSE)+SUM(_xlfn.XLOOKUP($R108:$AK108,增益!$A:$A,增益!$D:$D,0))-$I$2</f>
        <v>3636.7</v>
      </c>
      <c r="AU108" s="34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0.452</v>
      </c>
      <c r="AV108" s="34" cm="1">
        <f t="array" ref="AV108">$G$10+VLOOKUP($Q108,武学奇术!$A:$ZZ,7,FALSE)+SUM(_xlfn.XLOOKUP($R108:$AK108,增益!$A:$A,增益!$G:$G,0))</f>
        <v>0</v>
      </c>
      <c r="AW108" s="27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4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-0.14</v>
      </c>
      <c r="BA108" s="34" cm="1">
        <f t="array" ref="BA108">$G$11+VLOOKUP($Q108,武学奇术!$A:$ZZ,10,FALSE)+SUM(_xlfn.XLOOKUP($R108:$AK108,增益!$A:$A,增益!$J:$J,0))</f>
        <v>0.1</v>
      </c>
      <c r="BB108">
        <f t="shared" si="37"/>
        <v>591.9</v>
      </c>
      <c r="BC108">
        <f t="shared" si="38"/>
        <v>1600.3</v>
      </c>
      <c r="BD108" s="34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0.17</v>
      </c>
      <c r="BE108" s="34" cm="1">
        <f t="array" ref="BE108">$G$12+VLOOKUP($Q108,武学奇术!$A:$ZZ,12,FALSE)+SUM(_xlfn.XLOOKUP($R108:$AK108,增益!$A:$A,增益!$L:$L,0))</f>
        <v>0.15</v>
      </c>
      <c r="BF108">
        <f t="shared" si="39"/>
        <v>0</v>
      </c>
      <c r="BG108">
        <f t="shared" si="40"/>
        <v>0</v>
      </c>
      <c r="BH108" s="34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-0.14</v>
      </c>
      <c r="BI108" s="34" cm="1">
        <f t="array" ref="BI108">$G$13+VLOOKUP($Q108,武学奇术!$A:$ZZ,14,FALSE)+SUM(_xlfn.XLOOKUP($R108:$AK108,增益!$A:$A,增益!$N:$N,0))</f>
        <v>0</v>
      </c>
      <c r="BJ108">
        <f t="shared" si="41"/>
        <v>0</v>
      </c>
      <c r="BK108">
        <f t="shared" si="42"/>
        <v>0</v>
      </c>
      <c r="BL108" s="34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-0.14</v>
      </c>
      <c r="BM108" s="34" cm="1">
        <f t="array" ref="BM108">$G$14+VLOOKUP($Q108,武学奇术!$A:$ZZ,16,FALSE)+SUM(_xlfn.XLOOKUP($R108:$AK108,增益!$A:$A,增益!$P:$P,0))</f>
        <v>0</v>
      </c>
      <c r="BN108" s="27">
        <f>MIN(IF(VLOOKUP($Q108,武学奇术!$A:$ZZ,23,FALSE)=1,100%,$B$8),100%)</f>
        <v>1</v>
      </c>
      <c r="BO108" s="27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1</v>
      </c>
      <c r="BP108" s="27" cm="1">
        <f t="array" ref="BP108">1+$B$13+VLOOKUP($Q108,武学奇术!$A:$ZZ,18,FALSE)+SUM(_xlfn.XLOOKUP($R108:$AK108,增益!$A:$A,增益!$R:$R,0))</f>
        <v>2.1</v>
      </c>
      <c r="BQ108" s="27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</v>
      </c>
      <c r="BR108" s="27" cm="1">
        <f t="array" ref="BR108">1+$B$14+VLOOKUP($Q108,武学奇术!$A:$ZZ,20,FALSE)+SUM(_xlfn.XLOOKUP($R108:$AK108,增益!$A:$A,增益!$T:$T,0))</f>
        <v>1.35</v>
      </c>
      <c r="BS108" s="27">
        <f t="shared" si="43"/>
        <v>1</v>
      </c>
      <c r="BT108" s="27">
        <f t="shared" si="44"/>
        <v>0</v>
      </c>
      <c r="BU108" s="27">
        <f>IF(VLOOKUP($Q108,武学奇术!$A:$ZZ,22,FALSE)=1,0,(1-$BN108))*(1-$BQ108)</f>
        <v>0</v>
      </c>
      <c r="BV108" s="27" cm="1">
        <f t="array" ref="BV108">SUM(_xlfn.XLOOKUP($R108:$AK108,增益!$A:$A,增益!$W:$W,0))+$I$5</f>
        <v>0.31</v>
      </c>
    </row>
    <row r="109" spans="1:74">
      <c r="K109" s="40">
        <f t="shared" si="45"/>
        <v>866664.705681744</v>
      </c>
      <c r="L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蓄力技",$B$21,0))*(1+$BV109)</f>
        <v>866664.705681744</v>
      </c>
      <c r="M109" s="40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蓄力技",$B$21,0))*(1+$BV109)</f>
        <v>623442.855916423</v>
      </c>
      <c r="N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蓄力技",$B$21,0))*(1+$BV109)</f>
        <v>412697.478896069</v>
      </c>
      <c r="O109" s="40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蓄力技",$B$21,0))*(1+$BV109)</f>
        <v>363585.434891083</v>
      </c>
      <c r="P109" s="41">
        <v>2</v>
      </c>
      <c r="Q109" s="42" t="s">
        <v>120</v>
      </c>
      <c r="R109" s="42" t="s">
        <v>103</v>
      </c>
      <c r="S109" s="42" t="s">
        <v>169</v>
      </c>
      <c r="T109" s="42" t="s">
        <v>86</v>
      </c>
      <c r="U109" s="42" t="s">
        <v>121</v>
      </c>
      <c r="V109" s="42" t="s">
        <v>118</v>
      </c>
      <c r="W109" s="42" t="s">
        <v>122</v>
      </c>
      <c r="X109" s="42" t="s">
        <v>176</v>
      </c>
      <c r="Y109" s="42" t="s">
        <v>186</v>
      </c>
      <c r="Z109" s="42" t="s">
        <v>187</v>
      </c>
      <c r="AA109" s="42" t="s">
        <v>73</v>
      </c>
      <c r="AB109" s="42" t="s">
        <v>95</v>
      </c>
      <c r="AC109" s="42" t="s">
        <v>77</v>
      </c>
      <c r="AD109" s="42" t="s">
        <v>80</v>
      </c>
      <c r="AE109" s="42" t="s">
        <v>81</v>
      </c>
      <c r="AF109" s="42" t="s">
        <v>82</v>
      </c>
      <c r="AG109" s="42" t="s">
        <v>77</v>
      </c>
      <c r="AH109" s="42" t="s">
        <v>77</v>
      </c>
      <c r="AI109" s="42" t="s">
        <v>77</v>
      </c>
      <c r="AJ109" s="42" t="s">
        <v>77</v>
      </c>
      <c r="AK109" s="42" t="s">
        <v>90</v>
      </c>
      <c r="AL109" t="str">
        <f>VLOOKUP($Q109,武学奇术!$A:$ZZ,25,FALSE)</f>
        <v>陌刀</v>
      </c>
      <c r="AM109" s="27">
        <f>VLOOKUP($Q109,武学奇术!$A:$ZZ,26,FALSE)</f>
        <v>7.5674</v>
      </c>
      <c r="AN109" s="28">
        <f>VLOOKUP($Q109,武学奇术!$A:$ZZ,27,FALSE)*(1+IF(OR($AL109=$F$4,$AL109=$F$5),$B$22,0))</f>
        <v>3139.5</v>
      </c>
      <c r="AO109" s="27">
        <f>VLOOKUP($Q109,武学奇术!$A:$ZZ,28,FALSE)</f>
        <v>11.3512</v>
      </c>
      <c r="AP109" s="28">
        <f>VLOOKUP($Q109,武学奇术!$A:$ZZ,29,FALSE)*(1+IF(OR($AL109=$F$4,$AL109=$F$5),$B$22,0))</f>
        <v>1710</v>
      </c>
      <c r="AQ109" s="27" cm="1">
        <f t="array" ref="AQ109">$G$3+IFERROR(VLOOKUP($AL109,$F$4:$G$7,2,FALSE),0)+VLOOKUP($Q109,武学奇术!$A:$ZZ,2,FALSE)+SUM(_xlfn.XLOOKUP($R109:$AK109,增益!$A:$A,增益!$B:$B,0))</f>
        <v>0.8441</v>
      </c>
      <c r="AR109" s="27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3636.7</v>
      </c>
      <c r="AT109" cm="1">
        <f t="array" ref="AT109">$E$10*(1+$AR109)+VLOOKUP($Q109,武学奇术!$A:$ZZ,4,FALSE)+SUM(_xlfn.XLOOKUP($R109:$AK109,增益!$A:$A,增益!$D:$D,0))-$I$2</f>
        <v>3636.7</v>
      </c>
      <c r="AU109" s="34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0.452</v>
      </c>
      <c r="AV109" s="34" cm="1">
        <f t="array" ref="AV109">$G$10+VLOOKUP($Q109,武学奇术!$A:$ZZ,7,FALSE)+SUM(_xlfn.XLOOKUP($R109:$AK109,增益!$A:$A,增益!$G:$G,0))</f>
        <v>0</v>
      </c>
      <c r="AW109" s="27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4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-0.14</v>
      </c>
      <c r="BA109" s="34" cm="1">
        <f t="array" ref="BA109">$G$11+VLOOKUP($Q109,武学奇术!$A:$ZZ,10,FALSE)+SUM(_xlfn.XLOOKUP($R109:$AK109,增益!$A:$A,增益!$J:$J,0))</f>
        <v>0.1</v>
      </c>
      <c r="BB109">
        <f t="shared" si="37"/>
        <v>591.9</v>
      </c>
      <c r="BC109">
        <f t="shared" si="38"/>
        <v>1600.3</v>
      </c>
      <c r="BD109" s="34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0.17</v>
      </c>
      <c r="BE109" s="34" cm="1">
        <f t="array" ref="BE109">$G$12+VLOOKUP($Q109,武学奇术!$A:$ZZ,12,FALSE)+SUM(_xlfn.XLOOKUP($R109:$AK109,增益!$A:$A,增益!$L:$L,0))</f>
        <v>0.15</v>
      </c>
      <c r="BF109">
        <f t="shared" si="39"/>
        <v>0</v>
      </c>
      <c r="BG109">
        <f t="shared" si="40"/>
        <v>0</v>
      </c>
      <c r="BH109" s="34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-0.14</v>
      </c>
      <c r="BI109" s="34" cm="1">
        <f t="array" ref="BI109">$G$13+VLOOKUP($Q109,武学奇术!$A:$ZZ,14,FALSE)+SUM(_xlfn.XLOOKUP($R109:$AK109,增益!$A:$A,增益!$N:$N,0))</f>
        <v>0</v>
      </c>
      <c r="BJ109">
        <f t="shared" si="41"/>
        <v>0</v>
      </c>
      <c r="BK109">
        <f t="shared" si="42"/>
        <v>0</v>
      </c>
      <c r="BL109" s="34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-0.14</v>
      </c>
      <c r="BM109" s="34" cm="1">
        <f t="array" ref="BM109">$G$14+VLOOKUP($Q109,武学奇术!$A:$ZZ,16,FALSE)+SUM(_xlfn.XLOOKUP($R109:$AK109,增益!$A:$A,增益!$P:$P,0))</f>
        <v>0</v>
      </c>
      <c r="BN109" s="27">
        <f>MIN(IF(VLOOKUP($Q109,武学奇术!$A:$ZZ,23,FALSE)=1,100%,$B$8),100%)</f>
        <v>1</v>
      </c>
      <c r="BO109" s="27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1</v>
      </c>
      <c r="BP109" s="27" cm="1">
        <f t="array" ref="BP109">1+$B$13+VLOOKUP($Q109,武学奇术!$A:$ZZ,18,FALSE)+SUM(_xlfn.XLOOKUP($R109:$AK109,增益!$A:$A,增益!$R:$R,0))</f>
        <v>2.1</v>
      </c>
      <c r="BQ109" s="27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</v>
      </c>
      <c r="BR109" s="27" cm="1">
        <f t="array" ref="BR109">1+$B$14+VLOOKUP($Q109,武学奇术!$A:$ZZ,20,FALSE)+SUM(_xlfn.XLOOKUP($R109:$AK109,增益!$A:$A,增益!$T:$T,0))</f>
        <v>1.35</v>
      </c>
      <c r="BS109" s="27">
        <f t="shared" si="43"/>
        <v>1</v>
      </c>
      <c r="BT109" s="27">
        <f t="shared" si="44"/>
        <v>0</v>
      </c>
      <c r="BU109" s="27">
        <f>IF(VLOOKUP($Q109,武学奇术!$A:$ZZ,22,FALSE)=1,0,(1-$BN109))*(1-$BQ109)</f>
        <v>0</v>
      </c>
      <c r="BV109" s="27" cm="1">
        <f t="array" ref="BV109">SUM(_xlfn.XLOOKUP($R109:$AK109,增益!$A:$A,增益!$W:$W,0))+$I$5</f>
        <v>0.31</v>
      </c>
    </row>
    <row r="110" spans="1:74">
      <c r="K110" s="40">
        <f t="shared" si="45"/>
        <v>29566.7789667131</v>
      </c>
      <c r="L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蓄力技",$B$21,0))*(1+$BV110)</f>
        <v>30320.7895031424</v>
      </c>
      <c r="M110" s="40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蓄力技",$B$21,0))*(1+$BV110)</f>
        <v>26454.4290094558</v>
      </c>
      <c r="N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蓄力技",$B$21,0))*(1+$BV110)</f>
        <v>17425.74109376</v>
      </c>
      <c r="O110" s="40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蓄力技",$B$21,0))*(1+$BV110)</f>
        <v>15255.6088471824</v>
      </c>
      <c r="P110" s="41">
        <v>1</v>
      </c>
      <c r="Q110" s="42" t="s">
        <v>75</v>
      </c>
      <c r="R110" s="42" t="s">
        <v>103</v>
      </c>
      <c r="S110" s="42" t="s">
        <v>77</v>
      </c>
      <c r="T110" s="42" t="s">
        <v>77</v>
      </c>
      <c r="U110" s="42" t="s">
        <v>87</v>
      </c>
      <c r="V110" s="42" t="s">
        <v>77</v>
      </c>
      <c r="W110" s="42" t="s">
        <v>78</v>
      </c>
      <c r="X110" s="42" t="s">
        <v>176</v>
      </c>
      <c r="Y110" s="42" t="s">
        <v>77</v>
      </c>
      <c r="Z110" s="42" t="s">
        <v>77</v>
      </c>
      <c r="AA110" s="42" t="s">
        <v>77</v>
      </c>
      <c r="AB110" s="42" t="s">
        <v>89</v>
      </c>
      <c r="AC110" s="42" t="s">
        <v>77</v>
      </c>
      <c r="AD110" s="42" t="s">
        <v>80</v>
      </c>
      <c r="AE110" s="42" t="s">
        <v>81</v>
      </c>
      <c r="AF110" s="42" t="s">
        <v>82</v>
      </c>
      <c r="AG110" s="42" t="s">
        <v>77</v>
      </c>
      <c r="AH110" s="42" t="s">
        <v>77</v>
      </c>
      <c r="AI110" s="42" t="s">
        <v>77</v>
      </c>
      <c r="AJ110" s="42" t="s">
        <v>77</v>
      </c>
      <c r="AK110" s="42" t="s">
        <v>90</v>
      </c>
      <c r="AL110" t="str">
        <f>VLOOKUP($Q110,武学奇术!$A:$ZZ,25,FALSE)</f>
        <v>群体奇术</v>
      </c>
      <c r="AM110" s="27">
        <f>VLOOKUP($Q110,武学奇术!$A:$ZZ,26,FALSE)</f>
        <v>1.4904</v>
      </c>
      <c r="AN110" s="28">
        <f>VLOOKUP($Q110,武学奇术!$A:$ZZ,27,FALSE)*(1+IF(OR($AL110=$F$4,$AL110=$F$5),$B$22,0))</f>
        <v>378</v>
      </c>
      <c r="AO110" s="27">
        <f>VLOOKUP($Q110,武学奇术!$A:$ZZ,28,FALSE)</f>
        <v>2.2356</v>
      </c>
      <c r="AP110" s="28">
        <f>VLOOKUP($Q110,武学奇术!$A:$ZZ,29,FALSE)*(1+IF(OR($AL110=$F$4,$AL110=$F$5),$B$22,0))</f>
        <v>0</v>
      </c>
      <c r="AQ110" s="27" cm="1">
        <f t="array" ref="AQ110">$G$3+IFERROR(VLOOKUP($AL110,$F$4:$G$7,2,FALSE),0)+VLOOKUP($Q110,武学奇术!$A:$ZZ,2,FALSE)+SUM(_xlfn.XLOOKUP($R110:$AK110,增益!$A:$A,增益!$B:$B,0))</f>
        <v>0.3837</v>
      </c>
      <c r="AR110" s="27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3636.7</v>
      </c>
      <c r="AT110" cm="1">
        <f t="array" ref="AT110">$E$10*(1+$AR110)+VLOOKUP($Q110,武学奇术!$A:$ZZ,4,FALSE)+SUM(_xlfn.XLOOKUP($R110:$AK110,增益!$A:$A,增益!$D:$D,0))-$I$2</f>
        <v>3636.7</v>
      </c>
      <c r="AU110" s="34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0.427</v>
      </c>
      <c r="AV110" s="34" cm="1">
        <f t="array" ref="AV110">$G$10+VLOOKUP($Q110,武学奇术!$A:$ZZ,7,FALSE)+SUM(_xlfn.XLOOKUP($R110:$AK110,增益!$A:$A,增益!$G:$G,0))</f>
        <v>0</v>
      </c>
      <c r="AW110" s="27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4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4" cm="1">
        <f t="array" ref="BA110">$G$11+VLOOKUP($Q110,武学奇术!$A:$ZZ,10,FALSE)+SUM(_xlfn.XLOOKUP($R110:$AK110,增益!$A:$A,增益!$J:$J,0))</f>
        <v>0</v>
      </c>
      <c r="BB110">
        <f t="shared" si="37"/>
        <v>591.9</v>
      </c>
      <c r="BC110">
        <f t="shared" si="38"/>
        <v>1600.3</v>
      </c>
      <c r="BD110" s="34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0.09</v>
      </c>
      <c r="BE110" s="34" cm="1">
        <f t="array" ref="BE110">$G$12+VLOOKUP($Q110,武学奇术!$A:$ZZ,12,FALSE)+SUM(_xlfn.XLOOKUP($R110:$AK110,增益!$A:$A,增益!$L:$L,0))</f>
        <v>0.15</v>
      </c>
      <c r="BF110">
        <f t="shared" si="39"/>
        <v>0</v>
      </c>
      <c r="BG110">
        <f t="shared" si="40"/>
        <v>0</v>
      </c>
      <c r="BH110" s="34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-0.3</v>
      </c>
      <c r="BI110" s="34" cm="1">
        <f t="array" ref="BI110">$G$13+VLOOKUP($Q110,武学奇术!$A:$ZZ,14,FALSE)+SUM(_xlfn.XLOOKUP($R110:$AK110,增益!$A:$A,增益!$N:$N,0))</f>
        <v>0</v>
      </c>
      <c r="BJ110">
        <f t="shared" si="41"/>
        <v>0</v>
      </c>
      <c r="BK110">
        <f t="shared" si="42"/>
        <v>0</v>
      </c>
      <c r="BL110" s="34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4" cm="1">
        <f t="array" ref="BM110">$G$14+VLOOKUP($Q110,武学奇术!$A:$ZZ,16,FALSE)+SUM(_xlfn.XLOOKUP($R110:$AK110,增益!$A:$A,增益!$P:$P,0))</f>
        <v>0</v>
      </c>
      <c r="BN110" s="27">
        <f>MIN(IF(VLOOKUP($Q110,武学奇术!$A:$ZZ,23,FALSE)=1,100%,$B$8),100%)</f>
        <v>0.9859</v>
      </c>
      <c r="BO110" s="27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7" cm="1">
        <f t="array" ref="BP110">1+$B$13+VLOOKUP($Q110,武学奇术!$A:$ZZ,18,FALSE)+SUM(_xlfn.XLOOKUP($R110:$AK110,增益!$A:$A,增益!$R:$R,0))</f>
        <v>1.74</v>
      </c>
      <c r="BQ110" s="27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7" cm="1">
        <f t="array" ref="BR110">1+$B$14+VLOOKUP($Q110,武学奇术!$A:$ZZ,20,FALSE)+SUM(_xlfn.XLOOKUP($R110:$AK110,增益!$A:$A,增益!$T:$T,0))</f>
        <v>1.35</v>
      </c>
      <c r="BS110" s="27">
        <f t="shared" si="43"/>
        <v>0.87863408</v>
      </c>
      <c r="BT110" s="27">
        <f t="shared" si="44"/>
        <v>0.01567581</v>
      </c>
      <c r="BU110" s="27">
        <f>IF(VLOOKUP($Q110,武学奇术!$A:$ZZ,22,FALSE)=1,0,(1-$BN110))*(1-$BQ110)</f>
        <v>0.01279011</v>
      </c>
      <c r="BV110" s="27" cm="1">
        <f t="array" ref="BV110">SUM(_xlfn.XLOOKUP($R110:$AK110,增益!$A:$A,增益!$W:$W,0))+$I$5</f>
        <v>0.11</v>
      </c>
    </row>
    <row r="111" spans="1:74">
      <c r="K111" s="40">
        <f t="shared" si="45"/>
        <v>69055.5083805936</v>
      </c>
      <c r="L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蓄力技",$B$21,0))*(1+$BV111)</f>
        <v>70785.8494009722</v>
      </c>
      <c r="M111" s="40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蓄力技",$B$21,0))*(1+$BV111)</f>
        <v>62118.527310161</v>
      </c>
      <c r="N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蓄力技",$B$21,0))*(1+$BV111)</f>
        <v>40681.5226442369</v>
      </c>
      <c r="O111" s="40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蓄力技",$B$21,0))*(1+$BV111)</f>
        <v>35349.3213550212</v>
      </c>
      <c r="P111" s="41">
        <v>2</v>
      </c>
      <c r="Q111" s="42" t="s">
        <v>75</v>
      </c>
      <c r="R111" s="42" t="s">
        <v>103</v>
      </c>
      <c r="S111" s="42" t="s">
        <v>169</v>
      </c>
      <c r="T111" s="42" t="s">
        <v>86</v>
      </c>
      <c r="U111" s="42" t="s">
        <v>87</v>
      </c>
      <c r="V111" s="42" t="s">
        <v>77</v>
      </c>
      <c r="W111" s="42" t="s">
        <v>78</v>
      </c>
      <c r="X111" s="42" t="s">
        <v>176</v>
      </c>
      <c r="Y111" s="42" t="s">
        <v>77</v>
      </c>
      <c r="Z111" s="42" t="s">
        <v>77</v>
      </c>
      <c r="AA111" s="42" t="s">
        <v>77</v>
      </c>
      <c r="AB111" s="42" t="s">
        <v>95</v>
      </c>
      <c r="AC111" s="42" t="s">
        <v>77</v>
      </c>
      <c r="AD111" s="42" t="s">
        <v>80</v>
      </c>
      <c r="AE111" s="42" t="s">
        <v>81</v>
      </c>
      <c r="AF111" s="42" t="s">
        <v>82</v>
      </c>
      <c r="AG111" s="42" t="s">
        <v>77</v>
      </c>
      <c r="AH111" s="42" t="s">
        <v>77</v>
      </c>
      <c r="AI111" s="42" t="s">
        <v>77</v>
      </c>
      <c r="AJ111" s="42" t="s">
        <v>77</v>
      </c>
      <c r="AK111" s="42" t="s">
        <v>90</v>
      </c>
      <c r="AL111" t="str">
        <f>VLOOKUP($Q111,武学奇术!$A:$ZZ,25,FALSE)</f>
        <v>群体奇术</v>
      </c>
      <c r="AM111" s="27">
        <f>VLOOKUP($Q111,武学奇术!$A:$ZZ,26,FALSE)</f>
        <v>1.4904</v>
      </c>
      <c r="AN111" s="28">
        <f>VLOOKUP($Q111,武学奇术!$A:$ZZ,27,FALSE)*(1+IF(OR($AL111=$F$4,$AL111=$F$5),$B$22,0))</f>
        <v>378</v>
      </c>
      <c r="AO111" s="27">
        <f>VLOOKUP($Q111,武学奇术!$A:$ZZ,28,FALSE)</f>
        <v>2.2356</v>
      </c>
      <c r="AP111" s="28">
        <f>VLOOKUP($Q111,武学奇术!$A:$ZZ,29,FALSE)*(1+IF(OR($AL111=$F$4,$AL111=$F$5),$B$22,0))</f>
        <v>0</v>
      </c>
      <c r="AQ111" s="27" cm="1">
        <f t="array" ref="AQ111">$G$3+IFERROR(VLOOKUP($AL111,$F$4:$G$7,2,FALSE),0)+VLOOKUP($Q111,武学奇术!$A:$ZZ,2,FALSE)+SUM(_xlfn.XLOOKUP($R111:$AK111,增益!$A:$A,增益!$B:$B,0))</f>
        <v>0.5837</v>
      </c>
      <c r="AR111" s="27" cm="1">
        <f t="array" ref="AR111">VLOOKUP($Q111,武学奇术!$A:$ZZ,5,FALSE)+SUM(_xlfn.XLOOKUP($R111:$AK111,增益!$A:$A,增益!$E:$E,0))</f>
        <v>0</v>
      </c>
      <c r="AS111" cm="1">
        <f t="array" ref="AS111">$D$10*(1+$AR111)+VLOOKUP($Q111,武学奇术!$A:$ZZ,3,FALSE)+SUM(_xlfn.XLOOKUP($R111:$AK111,增益!$A:$A,增益!$C:$C,0))-$I$2</f>
        <v>3636.7</v>
      </c>
      <c r="AT111" cm="1">
        <f t="array" ref="AT111">$E$10*(1+$AR111)+VLOOKUP($Q111,武学奇术!$A:$ZZ,4,FALSE)+SUM(_xlfn.XLOOKUP($R111:$AK111,增益!$A:$A,增益!$D:$D,0))-$I$2</f>
        <v>3636.7</v>
      </c>
      <c r="AU111" s="34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0.427</v>
      </c>
      <c r="AV111" s="34" cm="1">
        <f t="array" ref="AV111">$G$10+VLOOKUP($Q111,武学奇术!$A:$ZZ,7,FALSE)+SUM(_xlfn.XLOOKUP($R111:$AK111,增益!$A:$A,增益!$G:$G,0))</f>
        <v>0</v>
      </c>
      <c r="AW111" s="27" cm="1">
        <f t="array" ref="AW111">VLOOKUP($Q111,武学奇术!$A:$ZZ,8,FALSE)+SUM(_xlfn.XLOOKUP($R111:$AK111,增益!$A:$A,增益!$H:$H,0))</f>
        <v>0</v>
      </c>
      <c r="AX111">
        <f t="shared" si="35"/>
        <v>0</v>
      </c>
      <c r="AY111">
        <f t="shared" si="36"/>
        <v>0</v>
      </c>
      <c r="AZ111" s="34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34" cm="1">
        <f t="array" ref="BA111">$G$11+VLOOKUP($Q111,武学奇术!$A:$ZZ,10,FALSE)+SUM(_xlfn.XLOOKUP($R111:$AK111,增益!$A:$A,增益!$J:$J,0))</f>
        <v>0</v>
      </c>
      <c r="BB111">
        <f t="shared" si="37"/>
        <v>591.9</v>
      </c>
      <c r="BC111">
        <f t="shared" si="38"/>
        <v>1600.3</v>
      </c>
      <c r="BD111" s="34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0.17</v>
      </c>
      <c r="BE111" s="34" cm="1">
        <f t="array" ref="BE111">$G$12+VLOOKUP($Q111,武学奇术!$A:$ZZ,12,FALSE)+SUM(_xlfn.XLOOKUP($R111:$AK111,增益!$A:$A,增益!$L:$L,0))</f>
        <v>0.15</v>
      </c>
      <c r="BF111">
        <f t="shared" si="39"/>
        <v>0</v>
      </c>
      <c r="BG111">
        <f t="shared" si="40"/>
        <v>0</v>
      </c>
      <c r="BH111" s="34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-0.14</v>
      </c>
      <c r="BI111" s="34" cm="1">
        <f t="array" ref="BI111">$G$13+VLOOKUP($Q111,武学奇术!$A:$ZZ,14,FALSE)+SUM(_xlfn.XLOOKUP($R111:$AK111,增益!$A:$A,增益!$N:$N,0))</f>
        <v>0</v>
      </c>
      <c r="BJ111">
        <f t="shared" si="41"/>
        <v>0</v>
      </c>
      <c r="BK111">
        <f t="shared" si="42"/>
        <v>0</v>
      </c>
      <c r="BL111" s="34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34" cm="1">
        <f t="array" ref="BM111">$G$14+VLOOKUP($Q111,武学奇术!$A:$ZZ,16,FALSE)+SUM(_xlfn.XLOOKUP($R111:$AK111,增益!$A:$A,增益!$P:$P,0))</f>
        <v>0</v>
      </c>
      <c r="BN111" s="27">
        <f>MIN(IF(VLOOKUP($Q111,武学奇术!$A:$ZZ,23,FALSE)=1,100%,$B$8),100%)</f>
        <v>0.9859</v>
      </c>
      <c r="BO111" s="27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7" cm="1">
        <f t="array" ref="BP111">1+$B$13+VLOOKUP($Q111,武学奇术!$A:$ZZ,18,FALSE)+SUM(_xlfn.XLOOKUP($R111:$AK111,增益!$A:$A,增益!$R:$R,0))</f>
        <v>1.74</v>
      </c>
      <c r="BQ111" s="27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7" cm="1">
        <f t="array" ref="BR111">1+$B$14+VLOOKUP($Q111,武学奇术!$A:$ZZ,20,FALSE)+SUM(_xlfn.XLOOKUP($R111:$AK111,增益!$A:$A,增益!$T:$T,0))</f>
        <v>1.35</v>
      </c>
      <c r="BS111" s="27">
        <f t="shared" si="43"/>
        <v>0.87863408</v>
      </c>
      <c r="BT111" s="27">
        <f t="shared" si="44"/>
        <v>0.01567581</v>
      </c>
      <c r="BU111" s="27">
        <f>IF(VLOOKUP($Q111,武学奇术!$A:$ZZ,22,FALSE)=1,0,(1-$BN111))*(1-$BQ111)</f>
        <v>0.01279011</v>
      </c>
      <c r="BV111" s="27" cm="1">
        <f t="array" ref="BV111">SUM(_xlfn.XLOOKUP($R111:$AK111,增益!$A:$A,增益!$W:$W,0))+$I$5</f>
        <v>0.11</v>
      </c>
    </row>
    <row r="112" spans="1:74">
      <c r="K112" s="40">
        <f t="shared" si="45"/>
        <v>81497.9423230428</v>
      </c>
      <c r="L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蓄力技",$B$21,0))*(1+$BV112)</f>
        <v>83540.0565002465</v>
      </c>
      <c r="M112" s="40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蓄力技",$B$21,0))*(1+$BV112)</f>
        <v>73311.0547534333</v>
      </c>
      <c r="N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蓄力技",$B$21,0))*(1+$BV112)</f>
        <v>48011.5267242796</v>
      </c>
      <c r="O112" s="40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蓄力技",$B$21,0))*(1+$BV112)</f>
        <v>41718.568446016</v>
      </c>
      <c r="P112" s="41">
        <v>2</v>
      </c>
      <c r="Q112" s="42" t="s">
        <v>75</v>
      </c>
      <c r="R112" s="42" t="s">
        <v>103</v>
      </c>
      <c r="S112" s="42" t="s">
        <v>169</v>
      </c>
      <c r="T112" s="42" t="s">
        <v>86</v>
      </c>
      <c r="U112" s="42" t="s">
        <v>87</v>
      </c>
      <c r="V112" s="42" t="s">
        <v>77</v>
      </c>
      <c r="W112" s="42" t="s">
        <v>78</v>
      </c>
      <c r="X112" s="42" t="s">
        <v>176</v>
      </c>
      <c r="Y112" s="42" t="s">
        <v>186</v>
      </c>
      <c r="Z112" s="42" t="s">
        <v>187</v>
      </c>
      <c r="AA112" s="42" t="s">
        <v>77</v>
      </c>
      <c r="AB112" s="42" t="s">
        <v>95</v>
      </c>
      <c r="AC112" s="42" t="s">
        <v>77</v>
      </c>
      <c r="AD112" s="42" t="s">
        <v>80</v>
      </c>
      <c r="AE112" s="42" t="s">
        <v>81</v>
      </c>
      <c r="AF112" s="42" t="s">
        <v>82</v>
      </c>
      <c r="AG112" s="42" t="s">
        <v>77</v>
      </c>
      <c r="AH112" s="42" t="s">
        <v>77</v>
      </c>
      <c r="AI112" s="42" t="s">
        <v>77</v>
      </c>
      <c r="AJ112" s="42" t="s">
        <v>77</v>
      </c>
      <c r="AK112" s="42" t="s">
        <v>90</v>
      </c>
      <c r="AL112" t="str">
        <f>VLOOKUP($Q112,武学奇术!$A:$ZZ,25,FALSE)</f>
        <v>群体奇术</v>
      </c>
      <c r="AM112" s="27">
        <f>VLOOKUP($Q112,武学奇术!$A:$ZZ,26,FALSE)</f>
        <v>1.4904</v>
      </c>
      <c r="AN112" s="28">
        <f>VLOOKUP($Q112,武学奇术!$A:$ZZ,27,FALSE)*(1+IF(OR($AL112=$F$4,$AL112=$F$5),$B$22,0))</f>
        <v>378</v>
      </c>
      <c r="AO112" s="27">
        <f>VLOOKUP($Q112,武学奇术!$A:$ZZ,28,FALSE)</f>
        <v>2.2356</v>
      </c>
      <c r="AP112" s="28">
        <f>VLOOKUP($Q112,武学奇术!$A:$ZZ,29,FALSE)*(1+IF(OR($AL112=$F$4,$AL112=$F$5),$B$22,0))</f>
        <v>0</v>
      </c>
      <c r="AQ112" s="27" cm="1">
        <f t="array" ref="AQ112">$G$3+IFERROR(VLOOKUP($AL112,$F$4:$G$7,2,FALSE),0)+VLOOKUP($Q112,武学奇术!$A:$ZZ,2,FALSE)+SUM(_xlfn.XLOOKUP($R112:$AK112,增益!$A:$A,增益!$B:$B,0))</f>
        <v>0.5837</v>
      </c>
      <c r="AR112" s="27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3636.7</v>
      </c>
      <c r="AT112" cm="1">
        <f t="array" ref="AT112">$E$10*(1+$AR112)+VLOOKUP($Q112,武学奇术!$A:$ZZ,4,FALSE)+SUM(_xlfn.XLOOKUP($R112:$AK112,增益!$A:$A,增益!$D:$D,0))-$I$2</f>
        <v>3636.7</v>
      </c>
      <c r="AU112" s="34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0.427</v>
      </c>
      <c r="AV112" s="34" cm="1">
        <f t="array" ref="AV112">$G$10+VLOOKUP($Q112,武学奇术!$A:$ZZ,7,FALSE)+SUM(_xlfn.XLOOKUP($R112:$AK112,增益!$A:$A,增益!$G:$G,0))</f>
        <v>0</v>
      </c>
      <c r="AW112" s="27" cm="1">
        <f t="array" ref="AW112">VLOOKUP($Q112,武学奇术!$A:$ZZ,8,FALSE)+SUM(_xlfn.XLOOKUP($R112:$AK112,增益!$A:$A,增益!$H:$H,0))</f>
        <v>0</v>
      </c>
      <c r="AX112">
        <f t="shared" si="35"/>
        <v>0</v>
      </c>
      <c r="AY112">
        <f t="shared" si="36"/>
        <v>0</v>
      </c>
      <c r="AZ112" s="34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-0.14</v>
      </c>
      <c r="BA112" s="34" cm="1">
        <f t="array" ref="BA112">$G$11+VLOOKUP($Q112,武学奇术!$A:$ZZ,10,FALSE)+SUM(_xlfn.XLOOKUP($R112:$AK112,增益!$A:$A,增益!$J:$J,0))</f>
        <v>0.1</v>
      </c>
      <c r="BB112">
        <f t="shared" si="37"/>
        <v>591.9</v>
      </c>
      <c r="BC112">
        <f t="shared" si="38"/>
        <v>1600.3</v>
      </c>
      <c r="BD112" s="34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0.17</v>
      </c>
      <c r="BE112" s="34" cm="1">
        <f t="array" ref="BE112">$G$12+VLOOKUP($Q112,武学奇术!$A:$ZZ,12,FALSE)+SUM(_xlfn.XLOOKUP($R112:$AK112,增益!$A:$A,增益!$L:$L,0))</f>
        <v>0.15</v>
      </c>
      <c r="BF112">
        <f t="shared" si="39"/>
        <v>0</v>
      </c>
      <c r="BG112">
        <f t="shared" si="40"/>
        <v>0</v>
      </c>
      <c r="BH112" s="34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-0.14</v>
      </c>
      <c r="BI112" s="34" cm="1">
        <f t="array" ref="BI112">$G$13+VLOOKUP($Q112,武学奇术!$A:$ZZ,14,FALSE)+SUM(_xlfn.XLOOKUP($R112:$AK112,增益!$A:$A,增益!$N:$N,0))</f>
        <v>0</v>
      </c>
      <c r="BJ112">
        <f t="shared" si="41"/>
        <v>0</v>
      </c>
      <c r="BK112">
        <f t="shared" si="42"/>
        <v>0</v>
      </c>
      <c r="BL112" s="34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-0.14</v>
      </c>
      <c r="BM112" s="34" cm="1">
        <f t="array" ref="BM112">$G$14+VLOOKUP($Q112,武学奇术!$A:$ZZ,16,FALSE)+SUM(_xlfn.XLOOKUP($R112:$AK112,增益!$A:$A,增益!$P:$P,0))</f>
        <v>0</v>
      </c>
      <c r="BN112" s="27">
        <f>MIN(IF(VLOOKUP($Q112,武学奇术!$A:$ZZ,23,FALSE)=1,100%,$B$8),100%)</f>
        <v>0.9859</v>
      </c>
      <c r="BO112" s="27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7" cm="1">
        <f t="array" ref="BP112">1+$B$13+VLOOKUP($Q112,武学奇术!$A:$ZZ,18,FALSE)+SUM(_xlfn.XLOOKUP($R112:$AK112,增益!$A:$A,增益!$R:$R,0))</f>
        <v>1.74</v>
      </c>
      <c r="BQ112" s="27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7" cm="1">
        <f t="array" ref="BR112">1+$B$14+VLOOKUP($Q112,武学奇术!$A:$ZZ,20,FALSE)+SUM(_xlfn.XLOOKUP($R112:$AK112,增益!$A:$A,增益!$T:$T,0))</f>
        <v>1.35</v>
      </c>
      <c r="BS112" s="27">
        <f t="shared" si="43"/>
        <v>0.87863408</v>
      </c>
      <c r="BT112" s="27">
        <f t="shared" si="44"/>
        <v>0.01567581</v>
      </c>
      <c r="BU112" s="27">
        <f>IF(VLOOKUP($Q112,武学奇术!$A:$ZZ,22,FALSE)=1,0,(1-$BN112))*(1-$BQ112)</f>
        <v>0.01279011</v>
      </c>
      <c r="BV112" s="27" cm="1">
        <f t="array" ref="BV112">SUM(_xlfn.XLOOKUP($R112:$AK112,增益!$A:$A,增益!$W:$W,0))+$I$5</f>
        <v>0.31</v>
      </c>
    </row>
    <row r="113" spans="11:74">
      <c r="K113" s="40">
        <f t="shared" si="45"/>
        <v>0</v>
      </c>
      <c r="L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蓄力技",$B$21,0))*(1+$BV113)</f>
        <v>0</v>
      </c>
      <c r="M113" s="40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蓄力技",$B$21,0))*(1+$BV113)</f>
        <v>0</v>
      </c>
      <c r="N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蓄力技",$B$21,0))*(1+$BV113)</f>
        <v>0</v>
      </c>
      <c r="O113" s="40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蓄力技",$B$21,0))*(1+$BV113)</f>
        <v>0</v>
      </c>
      <c r="P113" s="41">
        <v>1</v>
      </c>
      <c r="Q113" s="42" t="s">
        <v>77</v>
      </c>
      <c r="R113" s="42" t="s">
        <v>77</v>
      </c>
      <c r="S113" s="42" t="s">
        <v>77</v>
      </c>
      <c r="T113" s="42" t="s">
        <v>77</v>
      </c>
      <c r="U113" s="42" t="s">
        <v>77</v>
      </c>
      <c r="V113" s="42" t="s">
        <v>77</v>
      </c>
      <c r="W113" s="42" t="s">
        <v>77</v>
      </c>
      <c r="X113" s="42" t="s">
        <v>77</v>
      </c>
      <c r="Y113" s="42" t="s">
        <v>77</v>
      </c>
      <c r="Z113" s="42" t="s">
        <v>77</v>
      </c>
      <c r="AA113" s="42" t="s">
        <v>77</v>
      </c>
      <c r="AB113" s="42" t="s">
        <v>77</v>
      </c>
      <c r="AC113" s="42" t="s">
        <v>77</v>
      </c>
      <c r="AD113" s="42" t="s">
        <v>80</v>
      </c>
      <c r="AE113" s="42" t="s">
        <v>81</v>
      </c>
      <c r="AF113" s="42" t="s">
        <v>82</v>
      </c>
      <c r="AG113" s="42" t="s">
        <v>77</v>
      </c>
      <c r="AH113" s="42" t="s">
        <v>77</v>
      </c>
      <c r="AI113" s="42" t="s">
        <v>77</v>
      </c>
      <c r="AJ113" s="42" t="s">
        <v>77</v>
      </c>
      <c r="AK113" s="42" t="s">
        <v>90</v>
      </c>
      <c r="AL113" t="str">
        <f>VLOOKUP($Q113,武学奇术!$A:$ZZ,25,FALSE)</f>
        <v>心法</v>
      </c>
      <c r="AM113" s="27">
        <f>VLOOKUP($Q113,武学奇术!$A:$ZZ,26,FALSE)</f>
        <v>0</v>
      </c>
      <c r="AN113" s="28">
        <f>VLOOKUP($Q113,武学奇术!$A:$ZZ,27,FALSE)*(1+IF(OR($AL113=$F$4,$AL113=$F$5),$B$22,0))</f>
        <v>0</v>
      </c>
      <c r="AO113" s="27">
        <f>VLOOKUP($Q113,武学奇术!$A:$ZZ,28,FALSE)</f>
        <v>0</v>
      </c>
      <c r="AP113" s="28">
        <f>VLOOKUP($Q113,武学奇术!$A:$ZZ,29,FALSE)*(1+IF(OR($AL113=$F$4,$AL113=$F$5),$B$22,0))</f>
        <v>0</v>
      </c>
      <c r="AQ113" s="27" cm="1">
        <f t="array" ref="AQ113">$G$3+IFERROR(VLOOKUP($AL113,$F$4:$G$7,2,FALSE),0)+VLOOKUP($Q113,武学奇术!$A:$ZZ,2,FALSE)+SUM(_xlfn.XLOOKUP($R113:$AK113,增益!$A:$A,增益!$B:$B,0))</f>
        <v>0.3137</v>
      </c>
      <c r="AR113" s="27" cm="1">
        <f t="array" ref="AR113">VLOOKUP($Q113,武学奇术!$A:$ZZ,5,FALSE)+SUM(_xlfn.XLOOKUP($R113:$AK113,增益!$A:$A,增益!$E:$E,0))</f>
        <v>0</v>
      </c>
      <c r="AS113" cm="1">
        <f t="array" ref="AS113">$D$10*(1+$AR113)+VLOOKUP($Q113,武学奇术!$A:$ZZ,3,FALSE)+SUM(_xlfn.XLOOKUP($R113:$AK113,增益!$A:$A,增益!$C:$C,0))-$I$2</f>
        <v>3636.7</v>
      </c>
      <c r="AT113" cm="1">
        <f t="array" ref="AT113">$E$10*(1+$AR113)+VLOOKUP($Q113,武学奇术!$A:$ZZ,4,FALSE)+SUM(_xlfn.XLOOKUP($R113:$AK113,增益!$A:$A,增益!$D:$D,0))-$I$2</f>
        <v>3636.7</v>
      </c>
      <c r="AU113" s="34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0.327</v>
      </c>
      <c r="AV113" s="34" cm="1">
        <f t="array" ref="AV113">$G$10+VLOOKUP($Q113,武学奇术!$A:$ZZ,7,FALSE)+SUM(_xlfn.XLOOKUP($R113:$AK113,增益!$A:$A,增益!$G:$G,0))</f>
        <v>0</v>
      </c>
      <c r="AW113" s="27" cm="1">
        <f t="array" ref="AW113">VLOOKUP($Q113,武学奇术!$A:$ZZ,8,FALSE)+SUM(_xlfn.XLOOKUP($R113:$AK113,增益!$A:$A,增益!$H:$H,0))</f>
        <v>0</v>
      </c>
      <c r="AX113">
        <f t="shared" si="35"/>
        <v>0</v>
      </c>
      <c r="AY113">
        <f t="shared" si="36"/>
        <v>0</v>
      </c>
      <c r="AZ113" s="34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4" cm="1">
        <f t="array" ref="BA113">$G$11+VLOOKUP($Q113,武学奇术!$A:$ZZ,10,FALSE)+SUM(_xlfn.XLOOKUP($R113:$AK113,增益!$A:$A,增益!$J:$J,0))</f>
        <v>0</v>
      </c>
      <c r="BB113">
        <f t="shared" si="37"/>
        <v>591.9</v>
      </c>
      <c r="BC113">
        <f t="shared" si="38"/>
        <v>1600.3</v>
      </c>
      <c r="BD113" s="34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0.09</v>
      </c>
      <c r="BE113" s="34" cm="1">
        <f t="array" ref="BE113">$G$12+VLOOKUP($Q113,武学奇术!$A:$ZZ,12,FALSE)+SUM(_xlfn.XLOOKUP($R113:$AK113,增益!$A:$A,增益!$L:$L,0))</f>
        <v>0.15</v>
      </c>
      <c r="BF113">
        <f t="shared" si="39"/>
        <v>0</v>
      </c>
      <c r="BG113">
        <f t="shared" si="40"/>
        <v>0</v>
      </c>
      <c r="BH113" s="34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-0.3</v>
      </c>
      <c r="BI113" s="34" cm="1">
        <f t="array" ref="BI113">$G$13+VLOOKUP($Q113,武学奇术!$A:$ZZ,14,FALSE)+SUM(_xlfn.XLOOKUP($R113:$AK113,增益!$A:$A,增益!$N:$N,0))</f>
        <v>0</v>
      </c>
      <c r="BJ113">
        <f t="shared" si="41"/>
        <v>0</v>
      </c>
      <c r="BK113">
        <f t="shared" si="42"/>
        <v>0</v>
      </c>
      <c r="BL113" s="34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4" cm="1">
        <f t="array" ref="BM113">$G$14+VLOOKUP($Q113,武学奇术!$A:$ZZ,16,FALSE)+SUM(_xlfn.XLOOKUP($R113:$AK113,增益!$A:$A,增益!$P:$P,0))</f>
        <v>0</v>
      </c>
      <c r="BN113" s="27">
        <f>MIN(IF(VLOOKUP($Q113,武学奇术!$A:$ZZ,23,FALSE)=1,100%,$B$8),100%)</f>
        <v>0.9859</v>
      </c>
      <c r="BO113" s="27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7" cm="1">
        <f t="array" ref="BP113">1+$B$13+VLOOKUP($Q113,武学奇术!$A:$ZZ,18,FALSE)+SUM(_xlfn.XLOOKUP($R113:$AK113,增益!$A:$A,增益!$R:$R,0))</f>
        <v>1.54</v>
      </c>
      <c r="BQ113" s="27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7" cm="1">
        <f t="array" ref="BR113">1+$B$14+VLOOKUP($Q113,武学奇术!$A:$ZZ,20,FALSE)+SUM(_xlfn.XLOOKUP($R113:$AK113,增益!$A:$A,增益!$T:$T,0))</f>
        <v>1.35</v>
      </c>
      <c r="BS113" s="27">
        <f t="shared" si="43"/>
        <v>0.87863408</v>
      </c>
      <c r="BT113" s="27">
        <f t="shared" si="44"/>
        <v>0.01567581</v>
      </c>
      <c r="BU113" s="27">
        <f>IF(VLOOKUP($Q113,武学奇术!$A:$ZZ,22,FALSE)=1,0,(1-$BN113))*(1-$BQ113)</f>
        <v>0.01279011</v>
      </c>
      <c r="BV113" s="27" cm="1">
        <f t="array" ref="BV113">SUM(_xlfn.XLOOKUP($R113:$AK113,增益!$A:$A,增益!$W:$W,0))+$I$5</f>
        <v>0.11</v>
      </c>
    </row>
    <row r="114" spans="11:74">
      <c r="K114" s="40">
        <f t="shared" si="45"/>
        <v>0</v>
      </c>
      <c r="L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蓄力技",$B$21,0))*(1+$BV114)</f>
        <v>0</v>
      </c>
      <c r="M114" s="40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蓄力技",$B$21,0))*(1+$BV114)</f>
        <v>0</v>
      </c>
      <c r="N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蓄力技",$B$21,0))*(1+$BV114)</f>
        <v>0</v>
      </c>
      <c r="O114" s="40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蓄力技",$B$21,0))*(1+$BV114)</f>
        <v>0</v>
      </c>
      <c r="P114" s="41">
        <v>1</v>
      </c>
      <c r="Q114" s="42" t="s">
        <v>77</v>
      </c>
      <c r="R114" s="42" t="s">
        <v>77</v>
      </c>
      <c r="S114" s="42" t="s">
        <v>77</v>
      </c>
      <c r="T114" s="42" t="s">
        <v>77</v>
      </c>
      <c r="U114" s="42" t="s">
        <v>77</v>
      </c>
      <c r="V114" s="42" t="s">
        <v>77</v>
      </c>
      <c r="W114" s="42" t="s">
        <v>77</v>
      </c>
      <c r="X114" s="42" t="s">
        <v>77</v>
      </c>
      <c r="Y114" s="42" t="s">
        <v>77</v>
      </c>
      <c r="Z114" s="42" t="s">
        <v>77</v>
      </c>
      <c r="AA114" s="42" t="s">
        <v>77</v>
      </c>
      <c r="AB114" s="42" t="s">
        <v>77</v>
      </c>
      <c r="AC114" s="42" t="s">
        <v>77</v>
      </c>
      <c r="AD114" s="42" t="s">
        <v>80</v>
      </c>
      <c r="AE114" s="42" t="s">
        <v>81</v>
      </c>
      <c r="AF114" s="42" t="s">
        <v>82</v>
      </c>
      <c r="AG114" s="42" t="s">
        <v>77</v>
      </c>
      <c r="AH114" s="42" t="s">
        <v>77</v>
      </c>
      <c r="AI114" s="42" t="s">
        <v>77</v>
      </c>
      <c r="AJ114" s="42" t="s">
        <v>77</v>
      </c>
      <c r="AK114" s="42" t="s">
        <v>90</v>
      </c>
      <c r="AL114" t="str">
        <f>VLOOKUP($Q114,武学奇术!$A:$ZZ,25,FALSE)</f>
        <v>心法</v>
      </c>
      <c r="AM114" s="27">
        <f>VLOOKUP($Q114,武学奇术!$A:$ZZ,26,FALSE)</f>
        <v>0</v>
      </c>
      <c r="AN114" s="28">
        <f>VLOOKUP($Q114,武学奇术!$A:$ZZ,27,FALSE)*(1+IF(OR($AL114=$F$4,$AL114=$F$5),$B$22,0))</f>
        <v>0</v>
      </c>
      <c r="AO114" s="27">
        <f>VLOOKUP($Q114,武学奇术!$A:$ZZ,28,FALSE)</f>
        <v>0</v>
      </c>
      <c r="AP114" s="28">
        <f>VLOOKUP($Q114,武学奇术!$A:$ZZ,29,FALSE)*(1+IF(OR($AL114=$F$4,$AL114=$F$5),$B$22,0))</f>
        <v>0</v>
      </c>
      <c r="AQ114" s="27" cm="1">
        <f t="array" ref="AQ114">$G$3+IFERROR(VLOOKUP($AL114,$F$4:$G$7,2,FALSE),0)+VLOOKUP($Q114,武学奇术!$A:$ZZ,2,FALSE)+SUM(_xlfn.XLOOKUP($R114:$AK114,增益!$A:$A,增益!$B:$B,0))</f>
        <v>0.3137</v>
      </c>
      <c r="AR114" s="27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3636.7</v>
      </c>
      <c r="AT114" cm="1">
        <f t="array" ref="AT114">$E$10*(1+$AR114)+VLOOKUP($Q114,武学奇术!$A:$ZZ,4,FALSE)+SUM(_xlfn.XLOOKUP($R114:$AK114,增益!$A:$A,增益!$D:$D,0))-$I$2</f>
        <v>3636.7</v>
      </c>
      <c r="AU114" s="34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0.327</v>
      </c>
      <c r="AV114" s="34" cm="1">
        <f t="array" ref="AV114">$G$10+VLOOKUP($Q114,武学奇术!$A:$ZZ,7,FALSE)+SUM(_xlfn.XLOOKUP($R114:$AK114,增益!$A:$A,增益!$G:$G,0))</f>
        <v>0</v>
      </c>
      <c r="AW114" s="27" cm="1">
        <f t="array" ref="AW114">VLOOKUP($Q114,武学奇术!$A:$ZZ,8,FALSE)+SUM(_xlfn.XLOOKUP($R114:$AK114,增益!$A:$A,增益!$H:$H,0))</f>
        <v>0</v>
      </c>
      <c r="AX114">
        <f t="shared" si="35"/>
        <v>0</v>
      </c>
      <c r="AY114">
        <f t="shared" si="36"/>
        <v>0</v>
      </c>
      <c r="AZ114" s="34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4" cm="1">
        <f t="array" ref="BA114">$G$11+VLOOKUP($Q114,武学奇术!$A:$ZZ,10,FALSE)+SUM(_xlfn.XLOOKUP($R114:$AK114,增益!$A:$A,增益!$J:$J,0))</f>
        <v>0</v>
      </c>
      <c r="BB114">
        <f t="shared" si="37"/>
        <v>591.9</v>
      </c>
      <c r="BC114">
        <f t="shared" si="38"/>
        <v>1600.3</v>
      </c>
      <c r="BD114" s="34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0.09</v>
      </c>
      <c r="BE114" s="34" cm="1">
        <f t="array" ref="BE114">$G$12+VLOOKUP($Q114,武学奇术!$A:$ZZ,12,FALSE)+SUM(_xlfn.XLOOKUP($R114:$AK114,增益!$A:$A,增益!$L:$L,0))</f>
        <v>0.15</v>
      </c>
      <c r="BF114">
        <f t="shared" si="39"/>
        <v>0</v>
      </c>
      <c r="BG114">
        <f t="shared" si="40"/>
        <v>0</v>
      </c>
      <c r="BH114" s="34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-0.3</v>
      </c>
      <c r="BI114" s="34" cm="1">
        <f t="array" ref="BI114">$G$13+VLOOKUP($Q114,武学奇术!$A:$ZZ,14,FALSE)+SUM(_xlfn.XLOOKUP($R114:$AK114,增益!$A:$A,增益!$N:$N,0))</f>
        <v>0</v>
      </c>
      <c r="BJ114">
        <f t="shared" si="41"/>
        <v>0</v>
      </c>
      <c r="BK114">
        <f t="shared" si="42"/>
        <v>0</v>
      </c>
      <c r="BL114" s="34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4" cm="1">
        <f t="array" ref="BM114">$G$14+VLOOKUP($Q114,武学奇术!$A:$ZZ,16,FALSE)+SUM(_xlfn.XLOOKUP($R114:$AK114,增益!$A:$A,增益!$P:$P,0))</f>
        <v>0</v>
      </c>
      <c r="BN114" s="27">
        <f>MIN(IF(VLOOKUP($Q114,武学奇术!$A:$ZZ,23,FALSE)=1,100%,$B$8),100%)</f>
        <v>0.9859</v>
      </c>
      <c r="BO114" s="27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7" cm="1">
        <f t="array" ref="BP114">1+$B$13+VLOOKUP($Q114,武学奇术!$A:$ZZ,18,FALSE)+SUM(_xlfn.XLOOKUP($R114:$AK114,增益!$A:$A,增益!$R:$R,0))</f>
        <v>1.54</v>
      </c>
      <c r="BQ114" s="27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7" cm="1">
        <f t="array" ref="BR114">1+$B$14+VLOOKUP($Q114,武学奇术!$A:$ZZ,20,FALSE)+SUM(_xlfn.XLOOKUP($R114:$AK114,增益!$A:$A,增益!$T:$T,0))</f>
        <v>1.35</v>
      </c>
      <c r="BS114" s="27">
        <f t="shared" si="43"/>
        <v>0.87863408</v>
      </c>
      <c r="BT114" s="27">
        <f t="shared" si="44"/>
        <v>0.01567581</v>
      </c>
      <c r="BU114" s="27">
        <f>IF(VLOOKUP($Q114,武学奇术!$A:$ZZ,22,FALSE)=1,0,(1-$BN114))*(1-$BQ114)</f>
        <v>0.01279011</v>
      </c>
      <c r="BV114" s="27" cm="1">
        <f t="array" ref="BV114">SUM(_xlfn.XLOOKUP($R114:$AK114,增益!$A:$A,增益!$W:$W,0))+$I$5</f>
        <v>0.11</v>
      </c>
    </row>
    <row r="115" spans="11:74">
      <c r="K115" s="40">
        <f t="shared" si="45"/>
        <v>0</v>
      </c>
      <c r="L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蓄力技",$B$21,0))*(1+$BV115)</f>
        <v>0</v>
      </c>
      <c r="M115" s="40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蓄力技",$B$21,0))*(1+$BV115)</f>
        <v>0</v>
      </c>
      <c r="N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蓄力技",$B$21,0))*(1+$BV115)</f>
        <v>0</v>
      </c>
      <c r="O115" s="40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蓄力技",$B$21,0))*(1+$BV115)</f>
        <v>0</v>
      </c>
      <c r="P115" s="41">
        <v>1</v>
      </c>
      <c r="Q115" s="42" t="s">
        <v>77</v>
      </c>
      <c r="R115" s="42" t="s">
        <v>77</v>
      </c>
      <c r="S115" s="42" t="s">
        <v>77</v>
      </c>
      <c r="T115" s="42" t="s">
        <v>77</v>
      </c>
      <c r="U115" s="42" t="s">
        <v>77</v>
      </c>
      <c r="V115" s="42" t="s">
        <v>77</v>
      </c>
      <c r="W115" s="42" t="s">
        <v>77</v>
      </c>
      <c r="X115" s="42" t="s">
        <v>77</v>
      </c>
      <c r="Y115" s="42" t="s">
        <v>77</v>
      </c>
      <c r="Z115" s="42" t="s">
        <v>77</v>
      </c>
      <c r="AA115" s="42" t="s">
        <v>77</v>
      </c>
      <c r="AB115" s="42" t="s">
        <v>77</v>
      </c>
      <c r="AC115" s="42" t="s">
        <v>77</v>
      </c>
      <c r="AD115" s="42" t="s">
        <v>80</v>
      </c>
      <c r="AE115" s="42" t="s">
        <v>81</v>
      </c>
      <c r="AF115" s="42" t="s">
        <v>82</v>
      </c>
      <c r="AG115" s="42" t="s">
        <v>77</v>
      </c>
      <c r="AH115" s="42" t="s">
        <v>77</v>
      </c>
      <c r="AI115" s="42" t="s">
        <v>77</v>
      </c>
      <c r="AJ115" s="42" t="s">
        <v>77</v>
      </c>
      <c r="AK115" s="42" t="s">
        <v>90</v>
      </c>
      <c r="AL115" t="str">
        <f>VLOOKUP($Q115,武学奇术!$A:$ZZ,25,FALSE)</f>
        <v>心法</v>
      </c>
      <c r="AM115" s="27">
        <f>VLOOKUP($Q115,武学奇术!$A:$ZZ,26,FALSE)</f>
        <v>0</v>
      </c>
      <c r="AN115" s="28">
        <f>VLOOKUP($Q115,武学奇术!$A:$ZZ,27,FALSE)*(1+IF(OR($AL115=$F$4,$AL115=$F$5),$B$22,0))</f>
        <v>0</v>
      </c>
      <c r="AO115" s="27">
        <f>VLOOKUP($Q115,武学奇术!$A:$ZZ,28,FALSE)</f>
        <v>0</v>
      </c>
      <c r="AP115" s="28">
        <f>VLOOKUP($Q115,武学奇术!$A:$ZZ,29,FALSE)*(1+IF(OR($AL115=$F$4,$AL115=$F$5),$B$22,0))</f>
        <v>0</v>
      </c>
      <c r="AQ115" s="27" cm="1">
        <f t="array" ref="AQ115">$G$3+IFERROR(VLOOKUP($AL115,$F$4:$G$7,2,FALSE),0)+VLOOKUP($Q115,武学奇术!$A:$ZZ,2,FALSE)+SUM(_xlfn.XLOOKUP($R115:$AK115,增益!$A:$A,增益!$B:$B,0))</f>
        <v>0.3137</v>
      </c>
      <c r="AR115" s="27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3636.7</v>
      </c>
      <c r="AT115" cm="1">
        <f t="array" ref="AT115">$E$10*(1+$AR115)+VLOOKUP($Q115,武学奇术!$A:$ZZ,4,FALSE)+SUM(_xlfn.XLOOKUP($R115:$AK115,增益!$A:$A,增益!$D:$D,0))-$I$2</f>
        <v>3636.7</v>
      </c>
      <c r="AU115" s="34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0.327</v>
      </c>
      <c r="AV115" s="34" cm="1">
        <f t="array" ref="AV115">$G$10+VLOOKUP($Q115,武学奇术!$A:$ZZ,7,FALSE)+SUM(_xlfn.XLOOKUP($R115:$AK115,增益!$A:$A,增益!$G:$G,0))</f>
        <v>0</v>
      </c>
      <c r="AW115" s="27" cm="1">
        <f t="array" ref="AW115">VLOOKUP($Q115,武学奇术!$A:$ZZ,8,FALSE)+SUM(_xlfn.XLOOKUP($R115:$AK115,增益!$A:$A,增益!$H:$H,0))</f>
        <v>0</v>
      </c>
      <c r="AX115">
        <f t="shared" si="35"/>
        <v>0</v>
      </c>
      <c r="AY115">
        <f t="shared" si="36"/>
        <v>0</v>
      </c>
      <c r="AZ115" s="34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4" cm="1">
        <f t="array" ref="BA115">$G$11+VLOOKUP($Q115,武学奇术!$A:$ZZ,10,FALSE)+SUM(_xlfn.XLOOKUP($R115:$AK115,增益!$A:$A,增益!$J:$J,0))</f>
        <v>0</v>
      </c>
      <c r="BB115">
        <f t="shared" si="37"/>
        <v>591.9</v>
      </c>
      <c r="BC115">
        <f t="shared" si="38"/>
        <v>1600.3</v>
      </c>
      <c r="BD115" s="34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0.09</v>
      </c>
      <c r="BE115" s="34" cm="1">
        <f t="array" ref="BE115">$G$12+VLOOKUP($Q115,武学奇术!$A:$ZZ,12,FALSE)+SUM(_xlfn.XLOOKUP($R115:$AK115,增益!$A:$A,增益!$L:$L,0))</f>
        <v>0.15</v>
      </c>
      <c r="BF115">
        <f t="shared" si="39"/>
        <v>0</v>
      </c>
      <c r="BG115">
        <f t="shared" si="40"/>
        <v>0</v>
      </c>
      <c r="BH115" s="34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-0.3</v>
      </c>
      <c r="BI115" s="34" cm="1">
        <f t="array" ref="BI115">$G$13+VLOOKUP($Q115,武学奇术!$A:$ZZ,14,FALSE)+SUM(_xlfn.XLOOKUP($R115:$AK115,增益!$A:$A,增益!$N:$N,0))</f>
        <v>0</v>
      </c>
      <c r="BJ115">
        <f t="shared" si="41"/>
        <v>0</v>
      </c>
      <c r="BK115">
        <f t="shared" si="42"/>
        <v>0</v>
      </c>
      <c r="BL115" s="34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4" cm="1">
        <f t="array" ref="BM115">$G$14+VLOOKUP($Q115,武学奇术!$A:$ZZ,16,FALSE)+SUM(_xlfn.XLOOKUP($R115:$AK115,增益!$A:$A,增益!$P:$P,0))</f>
        <v>0</v>
      </c>
      <c r="BN115" s="27">
        <f>MIN(IF(VLOOKUP($Q115,武学奇术!$A:$ZZ,23,FALSE)=1,100%,$B$8),100%)</f>
        <v>0.9859</v>
      </c>
      <c r="BO115" s="27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7" cm="1">
        <f t="array" ref="BP115">1+$B$13+VLOOKUP($Q115,武学奇术!$A:$ZZ,18,FALSE)+SUM(_xlfn.XLOOKUP($R115:$AK115,增益!$A:$A,增益!$R:$R,0))</f>
        <v>1.54</v>
      </c>
      <c r="BQ115" s="27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7" cm="1">
        <f t="array" ref="BR115">1+$B$14+VLOOKUP($Q115,武学奇术!$A:$ZZ,20,FALSE)+SUM(_xlfn.XLOOKUP($R115:$AK115,增益!$A:$A,增益!$T:$T,0))</f>
        <v>1.35</v>
      </c>
      <c r="BS115" s="27">
        <f t="shared" si="43"/>
        <v>0.87863408</v>
      </c>
      <c r="BT115" s="27">
        <f t="shared" si="44"/>
        <v>0.01567581</v>
      </c>
      <c r="BU115" s="27">
        <f>IF(VLOOKUP($Q115,武学奇术!$A:$ZZ,22,FALSE)=1,0,(1-$BN115))*(1-$BQ115)</f>
        <v>0.01279011</v>
      </c>
      <c r="BV115" s="27" cm="1">
        <f t="array" ref="BV115">SUM(_xlfn.XLOOKUP($R115:$AK115,增益!$A:$A,增益!$W:$W,0))+$I$5</f>
        <v>0.11</v>
      </c>
    </row>
    <row r="116" spans="11:74">
      <c r="K116" s="40">
        <f t="shared" si="45"/>
        <v>0</v>
      </c>
      <c r="L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蓄力技",$B$21,0))*(1+$BV116)</f>
        <v>0</v>
      </c>
      <c r="M116" s="40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蓄力技",$B$21,0))*(1+$BV116)</f>
        <v>0</v>
      </c>
      <c r="N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蓄力技",$B$21,0))*(1+$BV116)</f>
        <v>0</v>
      </c>
      <c r="O116" s="40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蓄力技",$B$21,0))*(1+$BV116)</f>
        <v>0</v>
      </c>
      <c r="P116" s="41">
        <v>1</v>
      </c>
      <c r="Q116" s="42" t="s">
        <v>77</v>
      </c>
      <c r="R116" s="42" t="s">
        <v>77</v>
      </c>
      <c r="S116" s="42" t="s">
        <v>77</v>
      </c>
      <c r="T116" s="42" t="s">
        <v>77</v>
      </c>
      <c r="U116" s="42" t="s">
        <v>77</v>
      </c>
      <c r="V116" s="42" t="s">
        <v>77</v>
      </c>
      <c r="W116" s="42" t="s">
        <v>77</v>
      </c>
      <c r="X116" s="42" t="s">
        <v>77</v>
      </c>
      <c r="Y116" s="42" t="s">
        <v>77</v>
      </c>
      <c r="Z116" s="42" t="s">
        <v>77</v>
      </c>
      <c r="AA116" s="42" t="s">
        <v>77</v>
      </c>
      <c r="AB116" s="42" t="s">
        <v>77</v>
      </c>
      <c r="AC116" s="42" t="s">
        <v>77</v>
      </c>
      <c r="AD116" s="42" t="s">
        <v>80</v>
      </c>
      <c r="AE116" s="42" t="s">
        <v>81</v>
      </c>
      <c r="AF116" s="42" t="s">
        <v>82</v>
      </c>
      <c r="AG116" s="42" t="s">
        <v>77</v>
      </c>
      <c r="AH116" s="42" t="s">
        <v>77</v>
      </c>
      <c r="AI116" s="42" t="s">
        <v>77</v>
      </c>
      <c r="AJ116" s="42" t="s">
        <v>77</v>
      </c>
      <c r="AK116" s="42" t="s">
        <v>90</v>
      </c>
      <c r="AL116" t="str">
        <f>VLOOKUP($Q116,武学奇术!$A:$ZZ,25,FALSE)</f>
        <v>心法</v>
      </c>
      <c r="AM116" s="27">
        <f>VLOOKUP($Q116,武学奇术!$A:$ZZ,26,FALSE)</f>
        <v>0</v>
      </c>
      <c r="AN116" s="28">
        <f>VLOOKUP($Q116,武学奇术!$A:$ZZ,27,FALSE)*(1+IF(OR($AL116=$F$4,$AL116=$F$5),$B$22,0))</f>
        <v>0</v>
      </c>
      <c r="AO116" s="27">
        <f>VLOOKUP($Q116,武学奇术!$A:$ZZ,28,FALSE)</f>
        <v>0</v>
      </c>
      <c r="AP116" s="28">
        <f>VLOOKUP($Q116,武学奇术!$A:$ZZ,29,FALSE)*(1+IF(OR($AL116=$F$4,$AL116=$F$5),$B$22,0))</f>
        <v>0</v>
      </c>
      <c r="AQ116" s="27" cm="1">
        <f t="array" ref="AQ116">$G$3+IFERROR(VLOOKUP($AL116,$F$4:$G$7,2,FALSE),0)+VLOOKUP($Q116,武学奇术!$A:$ZZ,2,FALSE)+SUM(_xlfn.XLOOKUP($R116:$AK116,增益!$A:$A,增益!$B:$B,0))</f>
        <v>0.3137</v>
      </c>
      <c r="AR116" s="27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3636.7</v>
      </c>
      <c r="AT116" cm="1">
        <f t="array" ref="AT116">$E$10*(1+$AR116)+VLOOKUP($Q116,武学奇术!$A:$ZZ,4,FALSE)+SUM(_xlfn.XLOOKUP($R116:$AK116,增益!$A:$A,增益!$D:$D,0))-$I$2</f>
        <v>3636.7</v>
      </c>
      <c r="AU116" s="34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0.327</v>
      </c>
      <c r="AV116" s="34" cm="1">
        <f t="array" ref="AV116">$G$10+VLOOKUP($Q116,武学奇术!$A:$ZZ,7,FALSE)+SUM(_xlfn.XLOOKUP($R116:$AK116,增益!$A:$A,增益!$G:$G,0))</f>
        <v>0</v>
      </c>
      <c r="AW116" s="27" cm="1">
        <f t="array" ref="AW116">VLOOKUP($Q116,武学奇术!$A:$ZZ,8,FALSE)+SUM(_xlfn.XLOOKUP($R116:$AK116,增益!$A:$A,增益!$H:$H,0))</f>
        <v>0</v>
      </c>
      <c r="AX116">
        <f t="shared" si="35"/>
        <v>0</v>
      </c>
      <c r="AY116">
        <f t="shared" si="36"/>
        <v>0</v>
      </c>
      <c r="AZ116" s="34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4" cm="1">
        <f t="array" ref="BA116">$G$11+VLOOKUP($Q116,武学奇术!$A:$ZZ,10,FALSE)+SUM(_xlfn.XLOOKUP($R116:$AK116,增益!$A:$A,增益!$J:$J,0))</f>
        <v>0</v>
      </c>
      <c r="BB116">
        <f t="shared" si="37"/>
        <v>591.9</v>
      </c>
      <c r="BC116">
        <f t="shared" si="38"/>
        <v>1600.3</v>
      </c>
      <c r="BD116" s="34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0.09</v>
      </c>
      <c r="BE116" s="34" cm="1">
        <f t="array" ref="BE116">$G$12+VLOOKUP($Q116,武学奇术!$A:$ZZ,12,FALSE)+SUM(_xlfn.XLOOKUP($R116:$AK116,增益!$A:$A,增益!$L:$L,0))</f>
        <v>0.15</v>
      </c>
      <c r="BF116">
        <f t="shared" si="39"/>
        <v>0</v>
      </c>
      <c r="BG116">
        <f t="shared" si="40"/>
        <v>0</v>
      </c>
      <c r="BH116" s="34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-0.3</v>
      </c>
      <c r="BI116" s="34" cm="1">
        <f t="array" ref="BI116">$G$13+VLOOKUP($Q116,武学奇术!$A:$ZZ,14,FALSE)+SUM(_xlfn.XLOOKUP($R116:$AK116,增益!$A:$A,增益!$N:$N,0))</f>
        <v>0</v>
      </c>
      <c r="BJ116">
        <f t="shared" si="41"/>
        <v>0</v>
      </c>
      <c r="BK116">
        <f t="shared" si="42"/>
        <v>0</v>
      </c>
      <c r="BL116" s="34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4" cm="1">
        <f t="array" ref="BM116">$G$14+VLOOKUP($Q116,武学奇术!$A:$ZZ,16,FALSE)+SUM(_xlfn.XLOOKUP($R116:$AK116,增益!$A:$A,增益!$P:$P,0))</f>
        <v>0</v>
      </c>
      <c r="BN116" s="27">
        <f>MIN(IF(VLOOKUP($Q116,武学奇术!$A:$ZZ,23,FALSE)=1,100%,$B$8),100%)</f>
        <v>0.9859</v>
      </c>
      <c r="BO116" s="27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7" cm="1">
        <f t="array" ref="BP116">1+$B$13+VLOOKUP($Q116,武学奇术!$A:$ZZ,18,FALSE)+SUM(_xlfn.XLOOKUP($R116:$AK116,增益!$A:$A,增益!$R:$R,0))</f>
        <v>1.54</v>
      </c>
      <c r="BQ116" s="27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7" cm="1">
        <f t="array" ref="BR116">1+$B$14+VLOOKUP($Q116,武学奇术!$A:$ZZ,20,FALSE)+SUM(_xlfn.XLOOKUP($R116:$AK116,增益!$A:$A,增益!$T:$T,0))</f>
        <v>1.35</v>
      </c>
      <c r="BS116" s="27">
        <f t="shared" si="43"/>
        <v>0.87863408</v>
      </c>
      <c r="BT116" s="27">
        <f t="shared" si="44"/>
        <v>0.01567581</v>
      </c>
      <c r="BU116" s="27">
        <f>IF(VLOOKUP($Q116,武学奇术!$A:$ZZ,22,FALSE)=1,0,(1-$BN116))*(1-$BQ116)</f>
        <v>0.01279011</v>
      </c>
      <c r="BV116" s="27" cm="1">
        <f t="array" ref="BV116">SUM(_xlfn.XLOOKUP($R116:$AK116,增益!$A:$A,增益!$W:$W,0))+$I$5</f>
        <v>0.11</v>
      </c>
    </row>
    <row r="117" spans="11:74">
      <c r="K117" s="40">
        <f t="shared" si="45"/>
        <v>0</v>
      </c>
      <c r="L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蓄力技",$B$21,0))*(1+$BV117)</f>
        <v>0</v>
      </c>
      <c r="M117" s="40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蓄力技",$B$21,0))*(1+$BV117)</f>
        <v>0</v>
      </c>
      <c r="N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蓄力技",$B$21,0))*(1+$BV117)</f>
        <v>0</v>
      </c>
      <c r="O117" s="40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蓄力技",$B$21,0))*(1+$BV117)</f>
        <v>0</v>
      </c>
      <c r="P117" s="41">
        <v>1</v>
      </c>
      <c r="Q117" s="42" t="s">
        <v>77</v>
      </c>
      <c r="R117" s="42" t="s">
        <v>77</v>
      </c>
      <c r="S117" s="42" t="s">
        <v>77</v>
      </c>
      <c r="T117" s="42" t="s">
        <v>77</v>
      </c>
      <c r="U117" s="42" t="s">
        <v>77</v>
      </c>
      <c r="V117" s="42" t="s">
        <v>77</v>
      </c>
      <c r="W117" s="42" t="s">
        <v>77</v>
      </c>
      <c r="X117" s="42" t="s">
        <v>77</v>
      </c>
      <c r="Y117" s="42" t="s">
        <v>77</v>
      </c>
      <c r="Z117" s="42" t="s">
        <v>77</v>
      </c>
      <c r="AA117" s="42" t="s">
        <v>77</v>
      </c>
      <c r="AB117" s="42" t="s">
        <v>77</v>
      </c>
      <c r="AC117" s="42" t="s">
        <v>77</v>
      </c>
      <c r="AD117" s="42" t="s">
        <v>80</v>
      </c>
      <c r="AE117" s="42" t="s">
        <v>81</v>
      </c>
      <c r="AF117" s="42" t="s">
        <v>82</v>
      </c>
      <c r="AG117" s="42" t="s">
        <v>77</v>
      </c>
      <c r="AH117" s="42" t="s">
        <v>77</v>
      </c>
      <c r="AI117" s="42" t="s">
        <v>77</v>
      </c>
      <c r="AJ117" s="42" t="s">
        <v>77</v>
      </c>
      <c r="AK117" s="42" t="s">
        <v>90</v>
      </c>
      <c r="AL117" t="str">
        <f>VLOOKUP($Q117,武学奇术!$A:$ZZ,25,FALSE)</f>
        <v>心法</v>
      </c>
      <c r="AM117" s="27">
        <f>VLOOKUP($Q117,武学奇术!$A:$ZZ,26,FALSE)</f>
        <v>0</v>
      </c>
      <c r="AN117" s="28">
        <f>VLOOKUP($Q117,武学奇术!$A:$ZZ,27,FALSE)*(1+IF(OR($AL117=$F$4,$AL117=$F$5),$B$22,0))</f>
        <v>0</v>
      </c>
      <c r="AO117" s="27">
        <f>VLOOKUP($Q117,武学奇术!$A:$ZZ,28,FALSE)</f>
        <v>0</v>
      </c>
      <c r="AP117" s="28">
        <f>VLOOKUP($Q117,武学奇术!$A:$ZZ,29,FALSE)*(1+IF(OR($AL117=$F$4,$AL117=$F$5),$B$22,0))</f>
        <v>0</v>
      </c>
      <c r="AQ117" s="27" cm="1">
        <f t="array" ref="AQ117">$G$3+IFERROR(VLOOKUP($AL117,$F$4:$G$7,2,FALSE),0)+VLOOKUP($Q117,武学奇术!$A:$ZZ,2,FALSE)+SUM(_xlfn.XLOOKUP($R117:$AK117,增益!$A:$A,增益!$B:$B,0))</f>
        <v>0.3137</v>
      </c>
      <c r="AR117" s="27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3636.7</v>
      </c>
      <c r="AT117" cm="1">
        <f t="array" ref="AT117">$E$10*(1+$AR117)+VLOOKUP($Q117,武学奇术!$A:$ZZ,4,FALSE)+SUM(_xlfn.XLOOKUP($R117:$AK117,增益!$A:$A,增益!$D:$D,0))-$I$2</f>
        <v>3636.7</v>
      </c>
      <c r="AU117" s="34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0.327</v>
      </c>
      <c r="AV117" s="34" cm="1">
        <f t="array" ref="AV117">$G$10+VLOOKUP($Q117,武学奇术!$A:$ZZ,7,FALSE)+SUM(_xlfn.XLOOKUP($R117:$AK117,增益!$A:$A,增益!$G:$G,0))</f>
        <v>0</v>
      </c>
      <c r="AW117" s="27" cm="1">
        <f t="array" ref="AW117">VLOOKUP($Q117,武学奇术!$A:$ZZ,8,FALSE)+SUM(_xlfn.XLOOKUP($R117:$AK117,增益!$A:$A,增益!$H:$H,0))</f>
        <v>0</v>
      </c>
      <c r="AX117">
        <f t="shared" si="35"/>
        <v>0</v>
      </c>
      <c r="AY117">
        <f t="shared" si="36"/>
        <v>0</v>
      </c>
      <c r="AZ117" s="34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4" cm="1">
        <f t="array" ref="BA117">$G$11+VLOOKUP($Q117,武学奇术!$A:$ZZ,10,FALSE)+SUM(_xlfn.XLOOKUP($R117:$AK117,增益!$A:$A,增益!$J:$J,0))</f>
        <v>0</v>
      </c>
      <c r="BB117">
        <f t="shared" si="37"/>
        <v>591.9</v>
      </c>
      <c r="BC117">
        <f t="shared" si="38"/>
        <v>1600.3</v>
      </c>
      <c r="BD117" s="34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0.09</v>
      </c>
      <c r="BE117" s="34" cm="1">
        <f t="array" ref="BE117">$G$12+VLOOKUP($Q117,武学奇术!$A:$ZZ,12,FALSE)+SUM(_xlfn.XLOOKUP($R117:$AK117,增益!$A:$A,增益!$L:$L,0))</f>
        <v>0.15</v>
      </c>
      <c r="BF117">
        <f t="shared" si="39"/>
        <v>0</v>
      </c>
      <c r="BG117">
        <f t="shared" si="40"/>
        <v>0</v>
      </c>
      <c r="BH117" s="34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-0.3</v>
      </c>
      <c r="BI117" s="34" cm="1">
        <f t="array" ref="BI117">$G$13+VLOOKUP($Q117,武学奇术!$A:$ZZ,14,FALSE)+SUM(_xlfn.XLOOKUP($R117:$AK117,增益!$A:$A,增益!$N:$N,0))</f>
        <v>0</v>
      </c>
      <c r="BJ117">
        <f t="shared" si="41"/>
        <v>0</v>
      </c>
      <c r="BK117">
        <f t="shared" si="42"/>
        <v>0</v>
      </c>
      <c r="BL117" s="34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4" cm="1">
        <f t="array" ref="BM117">$G$14+VLOOKUP($Q117,武学奇术!$A:$ZZ,16,FALSE)+SUM(_xlfn.XLOOKUP($R117:$AK117,增益!$A:$A,增益!$P:$P,0))</f>
        <v>0</v>
      </c>
      <c r="BN117" s="27">
        <f>MIN(IF(VLOOKUP($Q117,武学奇术!$A:$ZZ,23,FALSE)=1,100%,$B$8),100%)</f>
        <v>0.9859</v>
      </c>
      <c r="BO117" s="27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7" cm="1">
        <f t="array" ref="BP117">1+$B$13+VLOOKUP($Q117,武学奇术!$A:$ZZ,18,FALSE)+SUM(_xlfn.XLOOKUP($R117:$AK117,增益!$A:$A,增益!$R:$R,0))</f>
        <v>1.54</v>
      </c>
      <c r="BQ117" s="27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7" cm="1">
        <f t="array" ref="BR117">1+$B$14+VLOOKUP($Q117,武学奇术!$A:$ZZ,20,FALSE)+SUM(_xlfn.XLOOKUP($R117:$AK117,增益!$A:$A,增益!$T:$T,0))</f>
        <v>1.35</v>
      </c>
      <c r="BS117" s="27">
        <f t="shared" si="43"/>
        <v>0.87863408</v>
      </c>
      <c r="BT117" s="27">
        <f t="shared" si="44"/>
        <v>0.01567581</v>
      </c>
      <c r="BU117" s="27">
        <f>IF(VLOOKUP($Q117,武学奇术!$A:$ZZ,22,FALSE)=1,0,(1-$BN117))*(1-$BQ117)</f>
        <v>0.01279011</v>
      </c>
      <c r="BV117" s="27" cm="1">
        <f t="array" ref="BV117">SUM(_xlfn.XLOOKUP($R117:$AK117,增益!$A:$A,增益!$W:$W,0))+$I$5</f>
        <v>0.11</v>
      </c>
    </row>
    <row r="118" spans="11:74">
      <c r="K118" s="40">
        <f t="shared" si="45"/>
        <v>17677.9266723675</v>
      </c>
      <c r="L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蓄力技",$B$21,0))*(1+$BV118)</f>
        <v>18082.1825053647</v>
      </c>
      <c r="M118" s="40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蓄力技",$B$21,0))*(1+$BV118)</f>
        <v>16105.3072345893</v>
      </c>
      <c r="N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蓄力技",$B$21,0))*(1+$BV118)</f>
        <v>10827.6541948292</v>
      </c>
      <c r="O118" s="40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蓄力技",$B$21,0))*(1+$BV118)</f>
        <v>9725.45117885145</v>
      </c>
      <c r="P118" s="41">
        <f t="shared" ref="P118:P127" si="46">IF($E$22="易水歌",1,0)</f>
        <v>1</v>
      </c>
      <c r="Q118" s="42" t="s">
        <v>194</v>
      </c>
      <c r="R118" s="42" t="s">
        <v>103</v>
      </c>
      <c r="S118" s="42" t="s">
        <v>77</v>
      </c>
      <c r="T118" s="42" t="s">
        <v>86</v>
      </c>
      <c r="U118" s="42" t="s">
        <v>87</v>
      </c>
      <c r="V118" s="42" t="s">
        <v>77</v>
      </c>
      <c r="W118" s="42" t="s">
        <v>78</v>
      </c>
      <c r="X118" s="42" t="s">
        <v>94</v>
      </c>
      <c r="Y118" s="42" t="s">
        <v>77</v>
      </c>
      <c r="Z118" s="42" t="s">
        <v>77</v>
      </c>
      <c r="AA118" s="42" t="s">
        <v>77</v>
      </c>
      <c r="AB118" s="42" t="s">
        <v>95</v>
      </c>
      <c r="AC118" s="42" t="s">
        <v>77</v>
      </c>
      <c r="AD118" s="42" t="s">
        <v>80</v>
      </c>
      <c r="AE118" s="42" t="s">
        <v>81</v>
      </c>
      <c r="AF118" s="42" t="s">
        <v>82</v>
      </c>
      <c r="AG118" s="42" t="s">
        <v>77</v>
      </c>
      <c r="AH118" s="42" t="s">
        <v>77</v>
      </c>
      <c r="AI118" s="42" t="s">
        <v>77</v>
      </c>
      <c r="AJ118" s="42" t="s">
        <v>77</v>
      </c>
      <c r="AK118" s="42" t="s">
        <v>90</v>
      </c>
      <c r="AL118" t="str">
        <f>VLOOKUP($Q118,武学奇术!$A:$ZZ,25,FALSE)</f>
        <v>心法</v>
      </c>
      <c r="AM118" s="27">
        <f>VLOOKUP($Q118,武学奇术!$A:$ZZ,26,FALSE)</f>
        <v>1</v>
      </c>
      <c r="AN118" s="28">
        <f>VLOOKUP($Q118,武学奇术!$A:$ZZ,27,FALSE)*(1+IF(OR($AL118=$F$4,$AL118=$F$5),$B$22,0))</f>
        <v>0</v>
      </c>
      <c r="AO118" s="27">
        <f>VLOOKUP($Q118,武学奇术!$A:$ZZ,28,FALSE)</f>
        <v>1</v>
      </c>
      <c r="AP118" s="28">
        <f>VLOOKUP($Q118,武学奇术!$A:$ZZ,29,FALSE)*(1+IF(OR($AL118=$F$4,$AL118=$F$5),$B$22,0))</f>
        <v>0</v>
      </c>
      <c r="AQ118" s="27" cm="1">
        <f t="array" ref="AQ118">$G$3+IFERROR(VLOOKUP($AL118,$F$4:$G$7,2,FALSE),0)+VLOOKUP($Q118,武学奇术!$A:$ZZ,2,FALSE)+SUM(_xlfn.XLOOKUP($R118:$AK118,增益!$A:$A,增益!$B:$B,0))</f>
        <v>0.4637</v>
      </c>
      <c r="AR118" s="27" cm="1">
        <f t="array" ref="AR118">VLOOKUP($Q118,武学奇术!$A:$ZZ,5,FALSE)+SUM(_xlfn.XLOOKUP($R118:$AK118,增益!$A:$A,增益!$E:$E,0))</f>
        <v>0</v>
      </c>
      <c r="AS118" cm="1">
        <f t="array" ref="AS118">$D$10*(1+$AR118)+VLOOKUP($Q118,武学奇术!$A:$ZZ,3,FALSE)+SUM(_xlfn.XLOOKUP($R118:$AK118,增益!$A:$A,增益!$C:$C,0))-$I$2</f>
        <v>3636.7</v>
      </c>
      <c r="AT118" cm="1">
        <f t="array" ref="AT118">$E$10*(1+$AR118)+VLOOKUP($Q118,武学奇术!$A:$ZZ,4,FALSE)+SUM(_xlfn.XLOOKUP($R118:$AK118,增益!$A:$A,增益!$D:$D,0))-$I$2</f>
        <v>3636.7</v>
      </c>
      <c r="AU118" s="34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0.427</v>
      </c>
      <c r="AV118" s="34" cm="1">
        <f t="array" ref="AV118">$G$10+VLOOKUP($Q118,武学奇术!$A:$ZZ,7,FALSE)+SUM(_xlfn.XLOOKUP($R118:$AK118,增益!$A:$A,增益!$G:$G,0))</f>
        <v>0</v>
      </c>
      <c r="AW118" s="27" cm="1">
        <f t="array" ref="AW118">VLOOKUP($Q118,武学奇术!$A:$ZZ,8,FALSE)+SUM(_xlfn.XLOOKUP($R118:$AK118,增益!$A:$A,增益!$H:$H,0))</f>
        <v>0</v>
      </c>
      <c r="AX118">
        <f t="shared" si="35"/>
        <v>0</v>
      </c>
      <c r="AY118">
        <f t="shared" si="36"/>
        <v>0</v>
      </c>
      <c r="AZ118" s="34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-0.14</v>
      </c>
      <c r="BA118" s="34" cm="1">
        <f t="array" ref="BA118">$G$11+VLOOKUP($Q118,武学奇术!$A:$ZZ,10,FALSE)+SUM(_xlfn.XLOOKUP($R118:$AK118,增益!$A:$A,增益!$J:$J,0))</f>
        <v>0</v>
      </c>
      <c r="BB118">
        <f t="shared" si="37"/>
        <v>591.9</v>
      </c>
      <c r="BC118">
        <f t="shared" si="38"/>
        <v>1600.3</v>
      </c>
      <c r="BD118" s="34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0.17</v>
      </c>
      <c r="BE118" s="34" cm="1">
        <f t="array" ref="BE118">$G$12+VLOOKUP($Q118,武学奇术!$A:$ZZ,12,FALSE)+SUM(_xlfn.XLOOKUP($R118:$AK118,增益!$A:$A,增益!$L:$L,0))</f>
        <v>0.15</v>
      </c>
      <c r="BF118">
        <f t="shared" si="39"/>
        <v>0</v>
      </c>
      <c r="BG118">
        <f t="shared" si="40"/>
        <v>0</v>
      </c>
      <c r="BH118" s="34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-0.14</v>
      </c>
      <c r="BI118" s="34" cm="1">
        <f t="array" ref="BI118">$G$13+VLOOKUP($Q118,武学奇术!$A:$ZZ,14,FALSE)+SUM(_xlfn.XLOOKUP($R118:$AK118,增益!$A:$A,增益!$N:$N,0))</f>
        <v>0</v>
      </c>
      <c r="BJ118">
        <f t="shared" si="41"/>
        <v>0</v>
      </c>
      <c r="BK118">
        <f t="shared" si="42"/>
        <v>0</v>
      </c>
      <c r="BL118" s="34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-0.14</v>
      </c>
      <c r="BM118" s="34" cm="1">
        <f t="array" ref="BM118">$G$14+VLOOKUP($Q118,武学奇术!$A:$ZZ,16,FALSE)+SUM(_xlfn.XLOOKUP($R118:$AK118,增益!$A:$A,增益!$P:$P,0))</f>
        <v>0</v>
      </c>
      <c r="BN118" s="27">
        <f>MIN(IF(VLOOKUP($Q118,武学奇术!$A:$ZZ,23,FALSE)=1,100%,$B$8),100%)</f>
        <v>0.9859</v>
      </c>
      <c r="BO118" s="27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7" cm="1">
        <f t="array" ref="BP118">1+$B$13+VLOOKUP($Q118,武学奇术!$A:$ZZ,18,FALSE)+SUM(_xlfn.XLOOKUP($R118:$AK118,增益!$A:$A,增益!$R:$R,0))</f>
        <v>1.67</v>
      </c>
      <c r="BQ118" s="27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7" cm="1">
        <f t="array" ref="BR118">1+$B$14+VLOOKUP($Q118,武学奇术!$A:$ZZ,20,FALSE)+SUM(_xlfn.XLOOKUP($R118:$AK118,增益!$A:$A,增益!$T:$T,0))</f>
        <v>1.35</v>
      </c>
      <c r="BS118" s="27">
        <f t="shared" si="43"/>
        <v>0.87863408</v>
      </c>
      <c r="BT118" s="27">
        <f t="shared" si="44"/>
        <v>0.01567581</v>
      </c>
      <c r="BU118" s="27">
        <f>IF(VLOOKUP($Q118,武学奇术!$A:$ZZ,22,FALSE)=1,0,(1-$BN118))*(1-$BQ118)</f>
        <v>0.01279011</v>
      </c>
      <c r="BV118" s="27" cm="1">
        <f t="array" ref="BV118">SUM(_xlfn.XLOOKUP($R118:$AK118,增益!$A:$A,增益!$W:$W,0))+$I$5</f>
        <v>0.11</v>
      </c>
    </row>
    <row r="119" spans="11:74">
      <c r="K119" s="40">
        <f t="shared" si="45"/>
        <v>16563.9745353057</v>
      </c>
      <c r="L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蓄力技",$B$21,0))*(1+$BV119)</f>
        <v>16989.3026567518</v>
      </c>
      <c r="M119" s="40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蓄力技",$B$21,0))*(1+$BV119)</f>
        <v>14704.1322125089</v>
      </c>
      <c r="N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蓄力技",$B$21,0))*(1+$BV119)</f>
        <v>9935.26471155075</v>
      </c>
      <c r="O119" s="40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蓄力技",$B$21,0))*(1+$BV119)</f>
        <v>8978.57963605785</v>
      </c>
      <c r="P119" s="41">
        <f t="shared" si="46"/>
        <v>1</v>
      </c>
      <c r="Q119" s="42" t="s">
        <v>194</v>
      </c>
      <c r="R119" s="42" t="s">
        <v>103</v>
      </c>
      <c r="S119" s="42" t="s">
        <v>77</v>
      </c>
      <c r="T119" s="42" t="s">
        <v>77</v>
      </c>
      <c r="U119" s="42" t="s">
        <v>87</v>
      </c>
      <c r="V119" s="42" t="s">
        <v>77</v>
      </c>
      <c r="W119" s="42" t="s">
        <v>77</v>
      </c>
      <c r="X119" s="42" t="s">
        <v>165</v>
      </c>
      <c r="Y119" s="42" t="s">
        <v>77</v>
      </c>
      <c r="Z119" s="42" t="s">
        <v>77</v>
      </c>
      <c r="AA119" s="42" t="s">
        <v>77</v>
      </c>
      <c r="AB119" s="42" t="s">
        <v>89</v>
      </c>
      <c r="AC119" s="42" t="s">
        <v>77</v>
      </c>
      <c r="AD119" s="42" t="s">
        <v>80</v>
      </c>
      <c r="AE119" s="42" t="s">
        <v>81</v>
      </c>
      <c r="AF119" s="42" t="s">
        <v>82</v>
      </c>
      <c r="AG119" s="42" t="s">
        <v>77</v>
      </c>
      <c r="AH119" s="42" t="s">
        <v>77</v>
      </c>
      <c r="AI119" s="42" t="s">
        <v>77</v>
      </c>
      <c r="AJ119" s="42" t="s">
        <v>77</v>
      </c>
      <c r="AK119" s="42" t="s">
        <v>90</v>
      </c>
      <c r="AL119" t="str">
        <f>VLOOKUP($Q119,武学奇术!$A:$ZZ,25,FALSE)</f>
        <v>心法</v>
      </c>
      <c r="AM119" s="27">
        <f>VLOOKUP($Q119,武学奇术!$A:$ZZ,26,FALSE)</f>
        <v>1</v>
      </c>
      <c r="AN119" s="28">
        <f>VLOOKUP($Q119,武学奇术!$A:$ZZ,27,FALSE)*(1+IF(OR($AL119=$F$4,$AL119=$F$5),$B$22,0))</f>
        <v>0</v>
      </c>
      <c r="AO119" s="27">
        <f>VLOOKUP($Q119,武学奇术!$A:$ZZ,28,FALSE)</f>
        <v>1</v>
      </c>
      <c r="AP119" s="28">
        <f>VLOOKUP($Q119,武学奇术!$A:$ZZ,29,FALSE)*(1+IF(OR($AL119=$F$4,$AL119=$F$5),$B$22,0))</f>
        <v>0</v>
      </c>
      <c r="AQ119" s="27" cm="1">
        <f t="array" ref="AQ119">$G$3+IFERROR(VLOOKUP($AL119,$F$4:$G$7,2,FALSE),0)+VLOOKUP($Q119,武学奇术!$A:$ZZ,2,FALSE)+SUM(_xlfn.XLOOKUP($R119:$AK119,增益!$A:$A,增益!$B:$B,0))</f>
        <v>0.3637</v>
      </c>
      <c r="AR119" s="27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3636.7</v>
      </c>
      <c r="AT119" cm="1">
        <f t="array" ref="AT119">$E$10*(1+$AR119)+VLOOKUP($Q119,武学奇术!$A:$ZZ,4,FALSE)+SUM(_xlfn.XLOOKUP($R119:$AK119,增益!$A:$A,增益!$D:$D,0))-$I$2</f>
        <v>3636.7</v>
      </c>
      <c r="AU119" s="34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0.427</v>
      </c>
      <c r="AV119" s="34" cm="1">
        <f t="array" ref="AV119">$G$10+VLOOKUP($Q119,武学奇术!$A:$ZZ,7,FALSE)+SUM(_xlfn.XLOOKUP($R119:$AK119,增益!$A:$A,增益!$G:$G,0))</f>
        <v>0</v>
      </c>
      <c r="AW119" s="27" cm="1">
        <f t="array" ref="AW119">VLOOKUP($Q119,武学奇术!$A:$ZZ,8,FALSE)+SUM(_xlfn.XLOOKUP($R119:$AK119,增益!$A:$A,增益!$H:$H,0))</f>
        <v>0</v>
      </c>
      <c r="AX119">
        <f t="shared" si="35"/>
        <v>0</v>
      </c>
      <c r="AY119">
        <f t="shared" si="36"/>
        <v>0</v>
      </c>
      <c r="AZ119" s="34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4" cm="1">
        <f t="array" ref="BA119">$G$11+VLOOKUP($Q119,武学奇术!$A:$ZZ,10,FALSE)+SUM(_xlfn.XLOOKUP($R119:$AK119,增益!$A:$A,增益!$J:$J,0))</f>
        <v>0</v>
      </c>
      <c r="BB119">
        <f t="shared" si="37"/>
        <v>591.9</v>
      </c>
      <c r="BC119">
        <f t="shared" si="38"/>
        <v>1600.3</v>
      </c>
      <c r="BD119" s="34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0.09</v>
      </c>
      <c r="BE119" s="34" cm="1">
        <f t="array" ref="BE119">$G$12+VLOOKUP($Q119,武学奇术!$A:$ZZ,12,FALSE)+SUM(_xlfn.XLOOKUP($R119:$AK119,增益!$A:$A,增益!$L:$L,0))</f>
        <v>0.15</v>
      </c>
      <c r="BF119">
        <f t="shared" si="39"/>
        <v>0</v>
      </c>
      <c r="BG119">
        <f t="shared" si="40"/>
        <v>0</v>
      </c>
      <c r="BH119" s="34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-0.3</v>
      </c>
      <c r="BI119" s="34" cm="1">
        <f t="array" ref="BI119">$G$13+VLOOKUP($Q119,武学奇术!$A:$ZZ,14,FALSE)+SUM(_xlfn.XLOOKUP($R119:$AK119,增益!$A:$A,增益!$N:$N,0))</f>
        <v>0</v>
      </c>
      <c r="BJ119">
        <f t="shared" si="41"/>
        <v>0</v>
      </c>
      <c r="BK119">
        <f t="shared" si="42"/>
        <v>0</v>
      </c>
      <c r="BL119" s="34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4" cm="1">
        <f t="array" ref="BM119">$G$14+VLOOKUP($Q119,武学奇术!$A:$ZZ,16,FALSE)+SUM(_xlfn.XLOOKUP($R119:$AK119,增益!$A:$A,增益!$P:$P,0))</f>
        <v>0</v>
      </c>
      <c r="BN119" s="27">
        <f>MIN(IF(VLOOKUP($Q119,武学奇术!$A:$ZZ,23,FALSE)=1,100%,$B$8),100%)</f>
        <v>0.9859</v>
      </c>
      <c r="BO119" s="27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7" cm="1">
        <f t="array" ref="BP119">1+$B$13+VLOOKUP($Q119,武学奇术!$A:$ZZ,18,FALSE)+SUM(_xlfn.XLOOKUP($R119:$AK119,增益!$A:$A,增益!$R:$R,0))</f>
        <v>1.71</v>
      </c>
      <c r="BQ119" s="27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7" cm="1">
        <f t="array" ref="BR119">1+$B$14+VLOOKUP($Q119,武学奇术!$A:$ZZ,20,FALSE)+SUM(_xlfn.XLOOKUP($R119:$AK119,增益!$A:$A,增益!$T:$T,0))</f>
        <v>1.35</v>
      </c>
      <c r="BS119" s="27">
        <f t="shared" si="43"/>
        <v>0.87863408</v>
      </c>
      <c r="BT119" s="27">
        <f t="shared" si="44"/>
        <v>0.01567581</v>
      </c>
      <c r="BU119" s="27">
        <f>IF(VLOOKUP($Q119,武学奇术!$A:$ZZ,22,FALSE)=1,0,(1-$BN119))*(1-$BQ119)</f>
        <v>0.01279011</v>
      </c>
      <c r="BV119" s="27" cm="1">
        <f t="array" ref="BV119">SUM(_xlfn.XLOOKUP($R119:$AK119,增益!$A:$A,增益!$W:$W,0))+$I$5</f>
        <v>0.11</v>
      </c>
    </row>
    <row r="120" spans="11:74">
      <c r="K120" s="40">
        <f t="shared" si="45"/>
        <v>19597.128624191</v>
      </c>
      <c r="L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蓄力技",$B$21,0))*(1+$BV120)</f>
        <v>20127.2753871357</v>
      </c>
      <c r="M120" s="40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蓄力技",$B$21,0))*(1+$BV120)</f>
        <v>17205.6220009068</v>
      </c>
      <c r="N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蓄力技",$B$21,0))*(1+$BV120)</f>
        <v>11567.3996477791</v>
      </c>
      <c r="O120" s="40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蓄力技",$B$21,0))*(1+$BV120)</f>
        <v>10389.8941097015</v>
      </c>
      <c r="P120" s="41">
        <f t="shared" si="46"/>
        <v>1</v>
      </c>
      <c r="Q120" s="42" t="s">
        <v>194</v>
      </c>
      <c r="R120" s="42" t="s">
        <v>103</v>
      </c>
      <c r="S120" s="42" t="s">
        <v>169</v>
      </c>
      <c r="T120" s="42" t="s">
        <v>86</v>
      </c>
      <c r="U120" s="42" t="s">
        <v>87</v>
      </c>
      <c r="V120" s="42" t="s">
        <v>77</v>
      </c>
      <c r="W120" s="42" t="s">
        <v>77</v>
      </c>
      <c r="X120" s="42" t="s">
        <v>176</v>
      </c>
      <c r="Y120" s="42" t="s">
        <v>77</v>
      </c>
      <c r="Z120" s="42" t="s">
        <v>77</v>
      </c>
      <c r="AA120" s="42" t="s">
        <v>77</v>
      </c>
      <c r="AB120" s="42" t="s">
        <v>95</v>
      </c>
      <c r="AC120" s="42" t="s">
        <v>77</v>
      </c>
      <c r="AD120" s="42" t="s">
        <v>80</v>
      </c>
      <c r="AE120" s="42" t="s">
        <v>81</v>
      </c>
      <c r="AF120" s="42" t="s">
        <v>82</v>
      </c>
      <c r="AG120" s="42" t="s">
        <v>77</v>
      </c>
      <c r="AH120" s="42" t="s">
        <v>77</v>
      </c>
      <c r="AI120" s="42" t="s">
        <v>77</v>
      </c>
      <c r="AJ120" s="42" t="s">
        <v>77</v>
      </c>
      <c r="AK120" s="42" t="s">
        <v>90</v>
      </c>
      <c r="AL120" t="str">
        <f>VLOOKUP($Q120,武学奇术!$A:$ZZ,25,FALSE)</f>
        <v>心法</v>
      </c>
      <c r="AM120" s="27">
        <f>VLOOKUP($Q120,武学奇术!$A:$ZZ,26,FALSE)</f>
        <v>1</v>
      </c>
      <c r="AN120" s="28">
        <f>VLOOKUP($Q120,武学奇术!$A:$ZZ,27,FALSE)*(1+IF(OR($AL120=$F$4,$AL120=$F$5),$B$22,0))</f>
        <v>0</v>
      </c>
      <c r="AO120" s="27">
        <f>VLOOKUP($Q120,武学奇术!$A:$ZZ,28,FALSE)</f>
        <v>1</v>
      </c>
      <c r="AP120" s="28">
        <f>VLOOKUP($Q120,武学奇术!$A:$ZZ,29,FALSE)*(1+IF(OR($AL120=$F$4,$AL120=$F$5),$B$22,0))</f>
        <v>0</v>
      </c>
      <c r="AQ120" s="27" cm="1">
        <f t="array" ref="AQ120">$G$3+IFERROR(VLOOKUP($AL120,$F$4:$G$7,2,FALSE),0)+VLOOKUP($Q120,武学奇术!$A:$ZZ,2,FALSE)+SUM(_xlfn.XLOOKUP($R120:$AK120,增益!$A:$A,增益!$B:$B,0))</f>
        <v>0.5637</v>
      </c>
      <c r="AR120" s="27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3636.7</v>
      </c>
      <c r="AT120" cm="1">
        <f t="array" ref="AT120">$E$10*(1+$AR120)+VLOOKUP($Q120,武学奇术!$A:$ZZ,4,FALSE)+SUM(_xlfn.XLOOKUP($R120:$AK120,增益!$A:$A,增益!$D:$D,0))-$I$2</f>
        <v>3636.7</v>
      </c>
      <c r="AU120" s="34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0.427</v>
      </c>
      <c r="AV120" s="34" cm="1">
        <f t="array" ref="AV120">$G$10+VLOOKUP($Q120,武学奇术!$A:$ZZ,7,FALSE)+SUM(_xlfn.XLOOKUP($R120:$AK120,增益!$A:$A,增益!$G:$G,0))</f>
        <v>0</v>
      </c>
      <c r="AW120" s="27" cm="1">
        <f t="array" ref="AW120">VLOOKUP($Q120,武学奇术!$A:$ZZ,8,FALSE)+SUM(_xlfn.XLOOKUP($R120:$AK120,增益!$A:$A,增益!$H:$H,0))</f>
        <v>0</v>
      </c>
      <c r="AX120">
        <f t="shared" si="35"/>
        <v>0</v>
      </c>
      <c r="AY120">
        <f t="shared" si="36"/>
        <v>0</v>
      </c>
      <c r="AZ120" s="34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-0.14</v>
      </c>
      <c r="BA120" s="34" cm="1">
        <f t="array" ref="BA120">$G$11+VLOOKUP($Q120,武学奇术!$A:$ZZ,10,FALSE)+SUM(_xlfn.XLOOKUP($R120:$AK120,增益!$A:$A,增益!$J:$J,0))</f>
        <v>0</v>
      </c>
      <c r="BB120">
        <f t="shared" si="37"/>
        <v>591.9</v>
      </c>
      <c r="BC120">
        <f t="shared" si="38"/>
        <v>1600.3</v>
      </c>
      <c r="BD120" s="34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0.17</v>
      </c>
      <c r="BE120" s="34" cm="1">
        <f t="array" ref="BE120">$G$12+VLOOKUP($Q120,武学奇术!$A:$ZZ,12,FALSE)+SUM(_xlfn.XLOOKUP($R120:$AK120,增益!$A:$A,增益!$L:$L,0))</f>
        <v>0.15</v>
      </c>
      <c r="BF120">
        <f t="shared" si="39"/>
        <v>0</v>
      </c>
      <c r="BG120">
        <f t="shared" si="40"/>
        <v>0</v>
      </c>
      <c r="BH120" s="34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-0.14</v>
      </c>
      <c r="BI120" s="34" cm="1">
        <f t="array" ref="BI120">$G$13+VLOOKUP($Q120,武学奇术!$A:$ZZ,14,FALSE)+SUM(_xlfn.XLOOKUP($R120:$AK120,增益!$A:$A,增益!$N:$N,0))</f>
        <v>0</v>
      </c>
      <c r="BJ120">
        <f t="shared" si="41"/>
        <v>0</v>
      </c>
      <c r="BK120">
        <f t="shared" si="42"/>
        <v>0</v>
      </c>
      <c r="BL120" s="34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-0.14</v>
      </c>
      <c r="BM120" s="34" cm="1">
        <f t="array" ref="BM120">$G$14+VLOOKUP($Q120,武学奇术!$A:$ZZ,16,FALSE)+SUM(_xlfn.XLOOKUP($R120:$AK120,增益!$A:$A,增益!$P:$P,0))</f>
        <v>0</v>
      </c>
      <c r="BN120" s="27">
        <f>MIN(IF(VLOOKUP($Q120,武学奇术!$A:$ZZ,23,FALSE)=1,100%,$B$8),100%)</f>
        <v>0.9859</v>
      </c>
      <c r="BO120" s="27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7" cm="1">
        <f t="array" ref="BP120">1+$B$13+VLOOKUP($Q120,武学奇术!$A:$ZZ,18,FALSE)+SUM(_xlfn.XLOOKUP($R120:$AK120,增益!$A:$A,增益!$R:$R,0))</f>
        <v>1.74</v>
      </c>
      <c r="BQ120" s="27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7" cm="1">
        <f t="array" ref="BR120">1+$B$14+VLOOKUP($Q120,武学奇术!$A:$ZZ,20,FALSE)+SUM(_xlfn.XLOOKUP($R120:$AK120,增益!$A:$A,增益!$T:$T,0))</f>
        <v>1.35</v>
      </c>
      <c r="BS120" s="27">
        <f t="shared" si="43"/>
        <v>0.87863408</v>
      </c>
      <c r="BT120" s="27">
        <f t="shared" si="44"/>
        <v>0.01567581</v>
      </c>
      <c r="BU120" s="27">
        <f>IF(VLOOKUP($Q120,武学奇术!$A:$ZZ,22,FALSE)=1,0,(1-$BN120))*(1-$BQ120)</f>
        <v>0.01279011</v>
      </c>
      <c r="BV120" s="27" cm="1">
        <f t="array" ref="BV120">SUM(_xlfn.XLOOKUP($R120:$AK120,增益!$A:$A,增益!$W:$W,0))+$I$5</f>
        <v>0.11</v>
      </c>
    </row>
    <row r="121" spans="11:74">
      <c r="K121" s="40">
        <f t="shared" si="45"/>
        <v>16825.8584003874</v>
      </c>
      <c r="L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蓄力技",$B$21,0))*(1+$BV121)</f>
        <v>17287.3605980983</v>
      </c>
      <c r="M121" s="40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蓄力技",$B$21,0))*(1+$BV121)</f>
        <v>14704.1322125089</v>
      </c>
      <c r="N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蓄力技",$B$21,0))*(1+$BV121)</f>
        <v>9935.26471155075</v>
      </c>
      <c r="O121" s="40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蓄力技",$B$21,0))*(1+$BV121)</f>
        <v>8978.57963605785</v>
      </c>
      <c r="P121" s="41">
        <f t="shared" si="46"/>
        <v>1</v>
      </c>
      <c r="Q121" s="42" t="s">
        <v>194</v>
      </c>
      <c r="R121" s="42" t="s">
        <v>103</v>
      </c>
      <c r="S121" s="42" t="s">
        <v>77</v>
      </c>
      <c r="T121" s="42" t="s">
        <v>77</v>
      </c>
      <c r="U121" s="42" t="s">
        <v>87</v>
      </c>
      <c r="V121" s="42" t="s">
        <v>77</v>
      </c>
      <c r="W121" s="42" t="s">
        <v>77</v>
      </c>
      <c r="X121" s="42" t="s">
        <v>176</v>
      </c>
      <c r="Y121" s="42" t="s">
        <v>77</v>
      </c>
      <c r="Z121" s="42" t="s">
        <v>77</v>
      </c>
      <c r="AA121" s="42" t="s">
        <v>77</v>
      </c>
      <c r="AB121" s="42" t="s">
        <v>89</v>
      </c>
      <c r="AC121" s="42" t="s">
        <v>77</v>
      </c>
      <c r="AD121" s="42" t="s">
        <v>80</v>
      </c>
      <c r="AE121" s="42" t="s">
        <v>81</v>
      </c>
      <c r="AF121" s="42" t="s">
        <v>82</v>
      </c>
      <c r="AG121" s="42" t="s">
        <v>77</v>
      </c>
      <c r="AH121" s="42" t="s">
        <v>77</v>
      </c>
      <c r="AI121" s="42" t="s">
        <v>77</v>
      </c>
      <c r="AJ121" s="42" t="s">
        <v>77</v>
      </c>
      <c r="AK121" s="42" t="s">
        <v>90</v>
      </c>
      <c r="AL121" t="str">
        <f>VLOOKUP($Q121,武学奇术!$A:$ZZ,25,FALSE)</f>
        <v>心法</v>
      </c>
      <c r="AM121" s="27">
        <f>VLOOKUP($Q121,武学奇术!$A:$ZZ,26,FALSE)</f>
        <v>1</v>
      </c>
      <c r="AN121" s="28">
        <f>VLOOKUP($Q121,武学奇术!$A:$ZZ,27,FALSE)*(1+IF(OR($AL121=$F$4,$AL121=$F$5),$B$22,0))</f>
        <v>0</v>
      </c>
      <c r="AO121" s="27">
        <f>VLOOKUP($Q121,武学奇术!$A:$ZZ,28,FALSE)</f>
        <v>1</v>
      </c>
      <c r="AP121" s="28">
        <f>VLOOKUP($Q121,武学奇术!$A:$ZZ,29,FALSE)*(1+IF(OR($AL121=$F$4,$AL121=$F$5),$B$22,0))</f>
        <v>0</v>
      </c>
      <c r="AQ121" s="27" cm="1">
        <f t="array" ref="AQ121">$G$3+IFERROR(VLOOKUP($AL121,$F$4:$G$7,2,FALSE),0)+VLOOKUP($Q121,武学奇术!$A:$ZZ,2,FALSE)+SUM(_xlfn.XLOOKUP($R121:$AK121,增益!$A:$A,增益!$B:$B,0))</f>
        <v>0.3637</v>
      </c>
      <c r="AR121" s="27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3636.7</v>
      </c>
      <c r="AT121" cm="1">
        <f t="array" ref="AT121">$E$10*(1+$AR121)+VLOOKUP($Q121,武学奇术!$A:$ZZ,4,FALSE)+SUM(_xlfn.XLOOKUP($R121:$AK121,增益!$A:$A,增益!$D:$D,0))-$I$2</f>
        <v>3636.7</v>
      </c>
      <c r="AU121" s="34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0.427</v>
      </c>
      <c r="AV121" s="34" cm="1">
        <f t="array" ref="AV121">$G$10+VLOOKUP($Q121,武学奇术!$A:$ZZ,7,FALSE)+SUM(_xlfn.XLOOKUP($R121:$AK121,增益!$A:$A,增益!$G:$G,0))</f>
        <v>0</v>
      </c>
      <c r="AW121" s="27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4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4" cm="1">
        <f t="array" ref="BA121">$G$11+VLOOKUP($Q121,武学奇术!$A:$ZZ,10,FALSE)+SUM(_xlfn.XLOOKUP($R121:$AK121,增益!$A:$A,增益!$J:$J,0))</f>
        <v>0</v>
      </c>
      <c r="BB121">
        <f t="shared" si="37"/>
        <v>591.9</v>
      </c>
      <c r="BC121">
        <f t="shared" si="38"/>
        <v>1600.3</v>
      </c>
      <c r="BD121" s="34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0.09</v>
      </c>
      <c r="BE121" s="34" cm="1">
        <f t="array" ref="BE121">$G$12+VLOOKUP($Q121,武学奇术!$A:$ZZ,12,FALSE)+SUM(_xlfn.XLOOKUP($R121:$AK121,增益!$A:$A,增益!$L:$L,0))</f>
        <v>0.15</v>
      </c>
      <c r="BF121">
        <f t="shared" si="39"/>
        <v>0</v>
      </c>
      <c r="BG121">
        <f t="shared" si="40"/>
        <v>0</v>
      </c>
      <c r="BH121" s="34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-0.3</v>
      </c>
      <c r="BI121" s="34" cm="1">
        <f t="array" ref="BI121">$G$13+VLOOKUP($Q121,武学奇术!$A:$ZZ,14,FALSE)+SUM(_xlfn.XLOOKUP($R121:$AK121,增益!$A:$A,增益!$N:$N,0))</f>
        <v>0</v>
      </c>
      <c r="BJ121">
        <f t="shared" si="41"/>
        <v>0</v>
      </c>
      <c r="BK121">
        <f t="shared" si="42"/>
        <v>0</v>
      </c>
      <c r="BL121" s="34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4" cm="1">
        <f t="array" ref="BM121">$G$14+VLOOKUP($Q121,武学奇术!$A:$ZZ,16,FALSE)+SUM(_xlfn.XLOOKUP($R121:$AK121,增益!$A:$A,增益!$P:$P,0))</f>
        <v>0</v>
      </c>
      <c r="BN121" s="27">
        <f>MIN(IF(VLOOKUP($Q121,武学奇术!$A:$ZZ,23,FALSE)=1,100%,$B$8),100%)</f>
        <v>0.9859</v>
      </c>
      <c r="BO121" s="27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7" cm="1">
        <f t="array" ref="BP121">1+$B$13+VLOOKUP($Q121,武学奇术!$A:$ZZ,18,FALSE)+SUM(_xlfn.XLOOKUP($R121:$AK121,增益!$A:$A,增益!$R:$R,0))</f>
        <v>1.74</v>
      </c>
      <c r="BQ121" s="27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7" cm="1">
        <f t="array" ref="BR121">1+$B$14+VLOOKUP($Q121,武学奇术!$A:$ZZ,20,FALSE)+SUM(_xlfn.XLOOKUP($R121:$AK121,增益!$A:$A,增益!$T:$T,0))</f>
        <v>1.35</v>
      </c>
      <c r="BS121" s="27">
        <f t="shared" si="43"/>
        <v>0.87863408</v>
      </c>
      <c r="BT121" s="27">
        <f t="shared" si="44"/>
        <v>0.01567581</v>
      </c>
      <c r="BU121" s="27">
        <f>IF(VLOOKUP($Q121,武学奇术!$A:$ZZ,22,FALSE)=1,0,(1-$BN121))*(1-$BQ121)</f>
        <v>0.01279011</v>
      </c>
      <c r="BV121" s="27" cm="1">
        <f t="array" ref="BV121">SUM(_xlfn.XLOOKUP($R121:$AK121,增益!$A:$A,增益!$W:$W,0))+$I$5</f>
        <v>0.11</v>
      </c>
    </row>
    <row r="122" spans="11:74">
      <c r="K122" s="40">
        <f t="shared" si="45"/>
        <v>23128.1427907118</v>
      </c>
      <c r="L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蓄力技",$B$21,0))*(1+$BV122)</f>
        <v>23753.8114929259</v>
      </c>
      <c r="M122" s="40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蓄力技",$B$21,0))*(1+$BV122)</f>
        <v>20305.7340731422</v>
      </c>
      <c r="N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蓄力技",$B$21,0))*(1+$BV122)</f>
        <v>13651.6158005321</v>
      </c>
      <c r="O122" s="40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蓄力技",$B$21,0))*(1+$BV122)</f>
        <v>12261.9471024405</v>
      </c>
      <c r="P122" s="41">
        <f t="shared" si="46"/>
        <v>1</v>
      </c>
      <c r="Q122" s="42" t="s">
        <v>194</v>
      </c>
      <c r="R122" s="42" t="s">
        <v>103</v>
      </c>
      <c r="S122" s="42" t="s">
        <v>169</v>
      </c>
      <c r="T122" s="42" t="s">
        <v>86</v>
      </c>
      <c r="U122" s="42" t="s">
        <v>87</v>
      </c>
      <c r="V122" s="42" t="s">
        <v>77</v>
      </c>
      <c r="W122" s="42" t="s">
        <v>77</v>
      </c>
      <c r="X122" s="42" t="s">
        <v>176</v>
      </c>
      <c r="Y122" s="42" t="s">
        <v>186</v>
      </c>
      <c r="Z122" s="42" t="s">
        <v>187</v>
      </c>
      <c r="AA122" s="42" t="s">
        <v>77</v>
      </c>
      <c r="AB122" s="42" t="s">
        <v>95</v>
      </c>
      <c r="AC122" s="42" t="s">
        <v>77</v>
      </c>
      <c r="AD122" s="42" t="s">
        <v>80</v>
      </c>
      <c r="AE122" s="42" t="s">
        <v>81</v>
      </c>
      <c r="AF122" s="42" t="s">
        <v>82</v>
      </c>
      <c r="AG122" s="42" t="s">
        <v>77</v>
      </c>
      <c r="AH122" s="42" t="s">
        <v>77</v>
      </c>
      <c r="AI122" s="42" t="s">
        <v>77</v>
      </c>
      <c r="AJ122" s="42" t="s">
        <v>77</v>
      </c>
      <c r="AK122" s="42" t="s">
        <v>90</v>
      </c>
      <c r="AL122" t="str">
        <f>VLOOKUP($Q122,武学奇术!$A:$ZZ,25,FALSE)</f>
        <v>心法</v>
      </c>
      <c r="AM122" s="27">
        <f>VLOOKUP($Q122,武学奇术!$A:$ZZ,26,FALSE)</f>
        <v>1</v>
      </c>
      <c r="AN122" s="28">
        <f>VLOOKUP($Q122,武学奇术!$A:$ZZ,27,FALSE)*(1+IF(OR($AL122=$F$4,$AL122=$F$5),$B$22,0))</f>
        <v>0</v>
      </c>
      <c r="AO122" s="27">
        <f>VLOOKUP($Q122,武学奇术!$A:$ZZ,28,FALSE)</f>
        <v>1</v>
      </c>
      <c r="AP122" s="28">
        <f>VLOOKUP($Q122,武学奇术!$A:$ZZ,29,FALSE)*(1+IF(OR($AL122=$F$4,$AL122=$F$5),$B$22,0))</f>
        <v>0</v>
      </c>
      <c r="AQ122" s="27" cm="1">
        <f t="array" ref="AQ122">$G$3+IFERROR(VLOOKUP($AL122,$F$4:$G$7,2,FALSE),0)+VLOOKUP($Q122,武学奇术!$A:$ZZ,2,FALSE)+SUM(_xlfn.XLOOKUP($R122:$AK122,增益!$A:$A,增益!$B:$B,0))</f>
        <v>0.5637</v>
      </c>
      <c r="AR122" s="27" cm="1">
        <f t="array" ref="AR122">VLOOKUP($Q122,武学奇术!$A:$ZZ,5,FALSE)+SUM(_xlfn.XLOOKUP($R122:$AK122,增益!$A:$A,增益!$E:$E,0))</f>
        <v>0</v>
      </c>
      <c r="AS122" cm="1">
        <f t="array" ref="AS122">$D$10*(1+$AR122)+VLOOKUP($Q122,武学奇术!$A:$ZZ,3,FALSE)+SUM(_xlfn.XLOOKUP($R122:$AK122,增益!$A:$A,增益!$C:$C,0))-$I$2</f>
        <v>3636.7</v>
      </c>
      <c r="AT122" cm="1">
        <f t="array" ref="AT122">$E$10*(1+$AR122)+VLOOKUP($Q122,武学奇术!$A:$ZZ,4,FALSE)+SUM(_xlfn.XLOOKUP($R122:$AK122,增益!$A:$A,增益!$D:$D,0))-$I$2</f>
        <v>3636.7</v>
      </c>
      <c r="AU122" s="34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0.427</v>
      </c>
      <c r="AV122" s="34" cm="1">
        <f t="array" ref="AV122">$G$10+VLOOKUP($Q122,武学奇术!$A:$ZZ,7,FALSE)+SUM(_xlfn.XLOOKUP($R122:$AK122,增益!$A:$A,增益!$G:$G,0))</f>
        <v>0</v>
      </c>
      <c r="AW122" s="27" cm="1">
        <f t="array" ref="AW122">VLOOKUP($Q122,武学奇术!$A:$ZZ,8,FALSE)+SUM(_xlfn.XLOOKUP($R122:$AK122,增益!$A:$A,增益!$H:$H,0))</f>
        <v>0</v>
      </c>
      <c r="AX122">
        <f t="shared" si="35"/>
        <v>0</v>
      </c>
      <c r="AY122">
        <f t="shared" si="36"/>
        <v>0</v>
      </c>
      <c r="AZ122" s="34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-0.14</v>
      </c>
      <c r="BA122" s="34" cm="1">
        <f t="array" ref="BA122">$G$11+VLOOKUP($Q122,武学奇术!$A:$ZZ,10,FALSE)+SUM(_xlfn.XLOOKUP($R122:$AK122,增益!$A:$A,增益!$J:$J,0))</f>
        <v>0.1</v>
      </c>
      <c r="BB122">
        <f t="shared" si="37"/>
        <v>591.9</v>
      </c>
      <c r="BC122">
        <f t="shared" si="38"/>
        <v>1600.3</v>
      </c>
      <c r="BD122" s="34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0.17</v>
      </c>
      <c r="BE122" s="34" cm="1">
        <f t="array" ref="BE122">$G$12+VLOOKUP($Q122,武学奇术!$A:$ZZ,12,FALSE)+SUM(_xlfn.XLOOKUP($R122:$AK122,增益!$A:$A,增益!$L:$L,0))</f>
        <v>0.15</v>
      </c>
      <c r="BF122">
        <f t="shared" si="39"/>
        <v>0</v>
      </c>
      <c r="BG122">
        <f t="shared" si="40"/>
        <v>0</v>
      </c>
      <c r="BH122" s="34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-0.14</v>
      </c>
      <c r="BI122" s="34" cm="1">
        <f t="array" ref="BI122">$G$13+VLOOKUP($Q122,武学奇术!$A:$ZZ,14,FALSE)+SUM(_xlfn.XLOOKUP($R122:$AK122,增益!$A:$A,增益!$N:$N,0))</f>
        <v>0</v>
      </c>
      <c r="BJ122">
        <f t="shared" si="41"/>
        <v>0</v>
      </c>
      <c r="BK122">
        <f t="shared" si="42"/>
        <v>0</v>
      </c>
      <c r="BL122" s="34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-0.14</v>
      </c>
      <c r="BM122" s="34" cm="1">
        <f t="array" ref="BM122">$G$14+VLOOKUP($Q122,武学奇术!$A:$ZZ,16,FALSE)+SUM(_xlfn.XLOOKUP($R122:$AK122,增益!$A:$A,增益!$P:$P,0))</f>
        <v>0</v>
      </c>
      <c r="BN122" s="27">
        <f>MIN(IF(VLOOKUP($Q122,武学奇术!$A:$ZZ,23,FALSE)=1,100%,$B$8),100%)</f>
        <v>0.9859</v>
      </c>
      <c r="BO122" s="27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0.8912</v>
      </c>
      <c r="BP122" s="27" cm="1">
        <f t="array" ref="BP122">1+$B$13+VLOOKUP($Q122,武学奇术!$A:$ZZ,18,FALSE)+SUM(_xlfn.XLOOKUP($R122:$AK122,增益!$A:$A,增益!$R:$R,0))</f>
        <v>1.74</v>
      </c>
      <c r="BQ122" s="27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7" cm="1">
        <f t="array" ref="BR122">1+$B$14+VLOOKUP($Q122,武学奇术!$A:$ZZ,20,FALSE)+SUM(_xlfn.XLOOKUP($R122:$AK122,增益!$A:$A,增益!$T:$T,0))</f>
        <v>1.35</v>
      </c>
      <c r="BS122" s="27">
        <f t="shared" si="43"/>
        <v>0.87863408</v>
      </c>
      <c r="BT122" s="27">
        <f t="shared" si="44"/>
        <v>0.01567581</v>
      </c>
      <c r="BU122" s="27">
        <f>IF(VLOOKUP($Q122,武学奇术!$A:$ZZ,22,FALSE)=1,0,(1-$BN122))*(1-$BQ122)</f>
        <v>0.01279011</v>
      </c>
      <c r="BV122" s="27" cm="1">
        <f t="array" ref="BV122">SUM(_xlfn.XLOOKUP($R122:$AK122,增益!$A:$A,增益!$W:$W,0))+$I$5</f>
        <v>0.31</v>
      </c>
    </row>
    <row r="123" spans="11:74">
      <c r="K123" s="40">
        <f t="shared" si="45"/>
        <v>19597.128624191</v>
      </c>
      <c r="L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蓄力技",$B$21,0))*(1+$BV123)</f>
        <v>20127.2753871357</v>
      </c>
      <c r="M123" s="40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蓄力技",$B$21,0))*(1+$BV123)</f>
        <v>17205.6220009068</v>
      </c>
      <c r="N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蓄力技",$B$21,0))*(1+$BV123)</f>
        <v>11567.3996477791</v>
      </c>
      <c r="O123" s="40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蓄力技",$B$21,0))*(1+$BV123)</f>
        <v>10389.8941097015</v>
      </c>
      <c r="P123" s="41">
        <f t="shared" si="46"/>
        <v>1</v>
      </c>
      <c r="Q123" s="42" t="s">
        <v>194</v>
      </c>
      <c r="R123" s="42" t="s">
        <v>103</v>
      </c>
      <c r="S123" s="42" t="s">
        <v>169</v>
      </c>
      <c r="T123" s="42" t="s">
        <v>86</v>
      </c>
      <c r="U123" s="42" t="s">
        <v>87</v>
      </c>
      <c r="V123" s="42" t="s">
        <v>77</v>
      </c>
      <c r="W123" s="42" t="s">
        <v>77</v>
      </c>
      <c r="X123" s="42" t="s">
        <v>176</v>
      </c>
      <c r="Y123" s="42" t="s">
        <v>77</v>
      </c>
      <c r="Z123" s="42" t="s">
        <v>77</v>
      </c>
      <c r="AA123" s="42" t="s">
        <v>77</v>
      </c>
      <c r="AB123" s="42" t="s">
        <v>89</v>
      </c>
      <c r="AC123" s="42" t="s">
        <v>77</v>
      </c>
      <c r="AD123" s="42" t="s">
        <v>80</v>
      </c>
      <c r="AE123" s="42" t="s">
        <v>81</v>
      </c>
      <c r="AF123" s="42" t="s">
        <v>82</v>
      </c>
      <c r="AG123" s="42" t="s">
        <v>77</v>
      </c>
      <c r="AH123" s="42" t="s">
        <v>77</v>
      </c>
      <c r="AI123" s="42" t="s">
        <v>77</v>
      </c>
      <c r="AJ123" s="42" t="s">
        <v>77</v>
      </c>
      <c r="AK123" s="42" t="s">
        <v>90</v>
      </c>
      <c r="AL123" t="str">
        <f>VLOOKUP($Q123,武学奇术!$A:$ZZ,25,FALSE)</f>
        <v>心法</v>
      </c>
      <c r="AM123" s="27">
        <f>VLOOKUP($Q123,武学奇术!$A:$ZZ,26,FALSE)</f>
        <v>1</v>
      </c>
      <c r="AN123" s="28">
        <f>VLOOKUP($Q123,武学奇术!$A:$ZZ,27,FALSE)*(1+IF(OR($AL123=$F$4,$AL123=$F$5),$B$22,0))</f>
        <v>0</v>
      </c>
      <c r="AO123" s="27">
        <f>VLOOKUP($Q123,武学奇术!$A:$ZZ,28,FALSE)</f>
        <v>1</v>
      </c>
      <c r="AP123" s="28">
        <f>VLOOKUP($Q123,武学奇术!$A:$ZZ,29,FALSE)*(1+IF(OR($AL123=$F$4,$AL123=$F$5),$B$22,0))</f>
        <v>0</v>
      </c>
      <c r="AQ123" s="27" cm="1">
        <f t="array" ref="AQ123">$G$3+IFERROR(VLOOKUP($AL123,$F$4:$G$7,2,FALSE),0)+VLOOKUP($Q123,武学奇术!$A:$ZZ,2,FALSE)+SUM(_xlfn.XLOOKUP($R123:$AK123,增益!$A:$A,增益!$B:$B,0))</f>
        <v>0.5637</v>
      </c>
      <c r="AR123" s="27" cm="1">
        <f t="array" ref="AR123">VLOOKUP($Q123,武学奇术!$A:$ZZ,5,FALSE)+SUM(_xlfn.XLOOKUP($R123:$AK123,增益!$A:$A,增益!$E:$E,0))</f>
        <v>0</v>
      </c>
      <c r="AS123" cm="1">
        <f t="array" ref="AS123">$D$10*(1+$AR123)+VLOOKUP($Q123,武学奇术!$A:$ZZ,3,FALSE)+SUM(_xlfn.XLOOKUP($R123:$AK123,增益!$A:$A,增益!$C:$C,0))-$I$2</f>
        <v>3636.7</v>
      </c>
      <c r="AT123" cm="1">
        <f t="array" ref="AT123">$E$10*(1+$AR123)+VLOOKUP($Q123,武学奇术!$A:$ZZ,4,FALSE)+SUM(_xlfn.XLOOKUP($R123:$AK123,增益!$A:$A,增益!$D:$D,0))-$I$2</f>
        <v>3636.7</v>
      </c>
      <c r="AU123" s="34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0.427</v>
      </c>
      <c r="AV123" s="34" cm="1">
        <f t="array" ref="AV123">$G$10+VLOOKUP($Q123,武学奇术!$A:$ZZ,7,FALSE)+SUM(_xlfn.XLOOKUP($R123:$AK123,增益!$A:$A,增益!$G:$G,0))</f>
        <v>0</v>
      </c>
      <c r="AW123" s="27" cm="1">
        <f t="array" ref="AW123">VLOOKUP($Q123,武学奇术!$A:$ZZ,8,FALSE)+SUM(_xlfn.XLOOKUP($R123:$AK123,增益!$A:$A,增益!$H:$H,0))</f>
        <v>0</v>
      </c>
      <c r="AX123">
        <f t="shared" si="35"/>
        <v>0</v>
      </c>
      <c r="AY123">
        <f t="shared" si="36"/>
        <v>0</v>
      </c>
      <c r="AZ123" s="34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-0.14</v>
      </c>
      <c r="BA123" s="34" cm="1">
        <f t="array" ref="BA123">$G$11+VLOOKUP($Q123,武学奇术!$A:$ZZ,10,FALSE)+SUM(_xlfn.XLOOKUP($R123:$AK123,增益!$A:$A,增益!$J:$J,0))</f>
        <v>0</v>
      </c>
      <c r="BB123">
        <f t="shared" si="37"/>
        <v>591.9</v>
      </c>
      <c r="BC123">
        <f t="shared" si="38"/>
        <v>1600.3</v>
      </c>
      <c r="BD123" s="34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0.17</v>
      </c>
      <c r="BE123" s="34" cm="1">
        <f t="array" ref="BE123">$G$12+VLOOKUP($Q123,武学奇术!$A:$ZZ,12,FALSE)+SUM(_xlfn.XLOOKUP($R123:$AK123,增益!$A:$A,增益!$L:$L,0))</f>
        <v>0.15</v>
      </c>
      <c r="BF123">
        <f t="shared" si="39"/>
        <v>0</v>
      </c>
      <c r="BG123">
        <f t="shared" si="40"/>
        <v>0</v>
      </c>
      <c r="BH123" s="34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-0.14</v>
      </c>
      <c r="BI123" s="34" cm="1">
        <f t="array" ref="BI123">$G$13+VLOOKUP($Q123,武学奇术!$A:$ZZ,14,FALSE)+SUM(_xlfn.XLOOKUP($R123:$AK123,增益!$A:$A,增益!$N:$N,0))</f>
        <v>0</v>
      </c>
      <c r="BJ123">
        <f t="shared" si="41"/>
        <v>0</v>
      </c>
      <c r="BK123">
        <f t="shared" si="42"/>
        <v>0</v>
      </c>
      <c r="BL123" s="34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-0.14</v>
      </c>
      <c r="BM123" s="34" cm="1">
        <f t="array" ref="BM123">$G$14+VLOOKUP($Q123,武学奇术!$A:$ZZ,16,FALSE)+SUM(_xlfn.XLOOKUP($R123:$AK123,增益!$A:$A,增益!$P:$P,0))</f>
        <v>0</v>
      </c>
      <c r="BN123" s="27">
        <f>MIN(IF(VLOOKUP($Q123,武学奇术!$A:$ZZ,23,FALSE)=1,100%,$B$8),100%)</f>
        <v>0.9859</v>
      </c>
      <c r="BO123" s="27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0.8912</v>
      </c>
      <c r="BP123" s="27" cm="1">
        <f t="array" ref="BP123">1+$B$13+VLOOKUP($Q123,武学奇术!$A:$ZZ,18,FALSE)+SUM(_xlfn.XLOOKUP($R123:$AK123,增益!$A:$A,增益!$R:$R,0))</f>
        <v>1.74</v>
      </c>
      <c r="BQ123" s="27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7" cm="1">
        <f t="array" ref="BR123">1+$B$14+VLOOKUP($Q123,武学奇术!$A:$ZZ,20,FALSE)+SUM(_xlfn.XLOOKUP($R123:$AK123,增益!$A:$A,增益!$T:$T,0))</f>
        <v>1.35</v>
      </c>
      <c r="BS123" s="27">
        <f t="shared" si="43"/>
        <v>0.87863408</v>
      </c>
      <c r="BT123" s="27">
        <f t="shared" si="44"/>
        <v>0.01567581</v>
      </c>
      <c r="BU123" s="27">
        <f>IF(VLOOKUP($Q123,武学奇术!$A:$ZZ,22,FALSE)=1,0,(1-$BN123))*(1-$BQ123)</f>
        <v>0.01279011</v>
      </c>
      <c r="BV123" s="27" cm="1">
        <f t="array" ref="BV123">SUM(_xlfn.XLOOKUP($R123:$AK123,增益!$A:$A,增益!$W:$W,0))+$I$5</f>
        <v>0.11</v>
      </c>
    </row>
    <row r="124" spans="11:74">
      <c r="K124" s="40">
        <f t="shared" si="45"/>
        <v>19597.128624191</v>
      </c>
      <c r="L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蓄力技",$B$21,0))*(1+$BV124)</f>
        <v>20127.2753871357</v>
      </c>
      <c r="M124" s="40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蓄力技",$B$21,0))*(1+$BV124)</f>
        <v>17205.6220009068</v>
      </c>
      <c r="N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蓄力技",$B$21,0))*(1+$BV124)</f>
        <v>11567.3996477791</v>
      </c>
      <c r="O124" s="40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蓄力技",$B$21,0))*(1+$BV124)</f>
        <v>10389.8941097015</v>
      </c>
      <c r="P124" s="41">
        <f t="shared" si="46"/>
        <v>1</v>
      </c>
      <c r="Q124" s="42" t="s">
        <v>194</v>
      </c>
      <c r="R124" s="42" t="s">
        <v>103</v>
      </c>
      <c r="S124" s="42" t="s">
        <v>169</v>
      </c>
      <c r="T124" s="42" t="s">
        <v>86</v>
      </c>
      <c r="U124" s="42" t="s">
        <v>87</v>
      </c>
      <c r="V124" s="42" t="s">
        <v>77</v>
      </c>
      <c r="W124" s="42" t="s">
        <v>77</v>
      </c>
      <c r="X124" s="42" t="s">
        <v>176</v>
      </c>
      <c r="Y124" s="42" t="s">
        <v>77</v>
      </c>
      <c r="Z124" s="42" t="s">
        <v>77</v>
      </c>
      <c r="AA124" s="42" t="s">
        <v>77</v>
      </c>
      <c r="AB124" s="42" t="s">
        <v>95</v>
      </c>
      <c r="AC124" s="42" t="s">
        <v>77</v>
      </c>
      <c r="AD124" s="42" t="s">
        <v>80</v>
      </c>
      <c r="AE124" s="42" t="s">
        <v>81</v>
      </c>
      <c r="AF124" s="42" t="s">
        <v>82</v>
      </c>
      <c r="AG124" s="42" t="s">
        <v>77</v>
      </c>
      <c r="AH124" s="42" t="s">
        <v>77</v>
      </c>
      <c r="AI124" s="42" t="s">
        <v>77</v>
      </c>
      <c r="AJ124" s="42" t="s">
        <v>77</v>
      </c>
      <c r="AK124" s="42" t="s">
        <v>90</v>
      </c>
      <c r="AL124" t="str">
        <f>VLOOKUP($Q124,武学奇术!$A:$ZZ,25,FALSE)</f>
        <v>心法</v>
      </c>
      <c r="AM124" s="27">
        <f>VLOOKUP($Q124,武学奇术!$A:$ZZ,26,FALSE)</f>
        <v>1</v>
      </c>
      <c r="AN124" s="28">
        <f>VLOOKUP($Q124,武学奇术!$A:$ZZ,27,FALSE)*(1+IF(OR($AL124=$F$4,$AL124=$F$5),$B$22,0))</f>
        <v>0</v>
      </c>
      <c r="AO124" s="27">
        <f>VLOOKUP($Q124,武学奇术!$A:$ZZ,28,FALSE)</f>
        <v>1</v>
      </c>
      <c r="AP124" s="28">
        <f>VLOOKUP($Q124,武学奇术!$A:$ZZ,29,FALSE)*(1+IF(OR($AL124=$F$4,$AL124=$F$5),$B$22,0))</f>
        <v>0</v>
      </c>
      <c r="AQ124" s="27" cm="1">
        <f t="array" ref="AQ124">$G$3+IFERROR(VLOOKUP($AL124,$F$4:$G$7,2,FALSE),0)+VLOOKUP($Q124,武学奇术!$A:$ZZ,2,FALSE)+SUM(_xlfn.XLOOKUP($R124:$AK124,增益!$A:$A,增益!$B:$B,0))</f>
        <v>0.5637</v>
      </c>
      <c r="AR124" s="27" cm="1">
        <f t="array" ref="AR124">VLOOKUP($Q124,武学奇术!$A:$ZZ,5,FALSE)+SUM(_xlfn.XLOOKUP($R124:$AK124,增益!$A:$A,增益!$E:$E,0))</f>
        <v>0</v>
      </c>
      <c r="AS124" cm="1">
        <f t="array" ref="AS124">$D$10*(1+$AR124)+VLOOKUP($Q124,武学奇术!$A:$ZZ,3,FALSE)+SUM(_xlfn.XLOOKUP($R124:$AK124,增益!$A:$A,增益!$C:$C,0))-$I$2</f>
        <v>3636.7</v>
      </c>
      <c r="AT124" cm="1">
        <f t="array" ref="AT124">$E$10*(1+$AR124)+VLOOKUP($Q124,武学奇术!$A:$ZZ,4,FALSE)+SUM(_xlfn.XLOOKUP($R124:$AK124,增益!$A:$A,增益!$D:$D,0))-$I$2</f>
        <v>3636.7</v>
      </c>
      <c r="AU124" s="34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0.427</v>
      </c>
      <c r="AV124" s="34" cm="1">
        <f t="array" ref="AV124">$G$10+VLOOKUP($Q124,武学奇术!$A:$ZZ,7,FALSE)+SUM(_xlfn.XLOOKUP($R124:$AK124,增益!$A:$A,增益!$G:$G,0))</f>
        <v>0</v>
      </c>
      <c r="AW124" s="27" cm="1">
        <f t="array" ref="AW124">VLOOKUP($Q124,武学奇术!$A:$ZZ,8,FALSE)+SUM(_xlfn.XLOOKUP($R124:$AK124,增益!$A:$A,增益!$H:$H,0))</f>
        <v>0</v>
      </c>
      <c r="AX124">
        <f t="shared" si="35"/>
        <v>0</v>
      </c>
      <c r="AY124">
        <f t="shared" si="36"/>
        <v>0</v>
      </c>
      <c r="AZ124" s="34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-0.14</v>
      </c>
      <c r="BA124" s="34" cm="1">
        <f t="array" ref="BA124">$G$11+VLOOKUP($Q124,武学奇术!$A:$ZZ,10,FALSE)+SUM(_xlfn.XLOOKUP($R124:$AK124,增益!$A:$A,增益!$J:$J,0))</f>
        <v>0</v>
      </c>
      <c r="BB124">
        <f t="shared" si="37"/>
        <v>591.9</v>
      </c>
      <c r="BC124">
        <f t="shared" si="38"/>
        <v>1600.3</v>
      </c>
      <c r="BD124" s="34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0.17</v>
      </c>
      <c r="BE124" s="34" cm="1">
        <f t="array" ref="BE124">$G$12+VLOOKUP($Q124,武学奇术!$A:$ZZ,12,FALSE)+SUM(_xlfn.XLOOKUP($R124:$AK124,增益!$A:$A,增益!$L:$L,0))</f>
        <v>0.15</v>
      </c>
      <c r="BF124">
        <f t="shared" si="39"/>
        <v>0</v>
      </c>
      <c r="BG124">
        <f t="shared" si="40"/>
        <v>0</v>
      </c>
      <c r="BH124" s="34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-0.14</v>
      </c>
      <c r="BI124" s="34" cm="1">
        <f t="array" ref="BI124">$G$13+VLOOKUP($Q124,武学奇术!$A:$ZZ,14,FALSE)+SUM(_xlfn.XLOOKUP($R124:$AK124,增益!$A:$A,增益!$N:$N,0))</f>
        <v>0</v>
      </c>
      <c r="BJ124">
        <f t="shared" si="41"/>
        <v>0</v>
      </c>
      <c r="BK124">
        <f t="shared" si="42"/>
        <v>0</v>
      </c>
      <c r="BL124" s="34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-0.14</v>
      </c>
      <c r="BM124" s="34" cm="1">
        <f t="array" ref="BM124">$G$14+VLOOKUP($Q124,武学奇术!$A:$ZZ,16,FALSE)+SUM(_xlfn.XLOOKUP($R124:$AK124,增益!$A:$A,增益!$P:$P,0))</f>
        <v>0</v>
      </c>
      <c r="BN124" s="27">
        <f>MIN(IF(VLOOKUP($Q124,武学奇术!$A:$ZZ,23,FALSE)=1,100%,$B$8),100%)</f>
        <v>0.9859</v>
      </c>
      <c r="BO124" s="27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0.8912</v>
      </c>
      <c r="BP124" s="27" cm="1">
        <f t="array" ref="BP124">1+$B$13+VLOOKUP($Q124,武学奇术!$A:$ZZ,18,FALSE)+SUM(_xlfn.XLOOKUP($R124:$AK124,增益!$A:$A,增益!$R:$R,0))</f>
        <v>1.74</v>
      </c>
      <c r="BQ124" s="27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7" cm="1">
        <f t="array" ref="BR124">1+$B$14+VLOOKUP($Q124,武学奇术!$A:$ZZ,20,FALSE)+SUM(_xlfn.XLOOKUP($R124:$AK124,增益!$A:$A,增益!$T:$T,0))</f>
        <v>1.35</v>
      </c>
      <c r="BS124" s="27">
        <f t="shared" si="43"/>
        <v>0.87863408</v>
      </c>
      <c r="BT124" s="27">
        <f t="shared" si="44"/>
        <v>0.01567581</v>
      </c>
      <c r="BU124" s="27">
        <f>IF(VLOOKUP($Q124,武学奇术!$A:$ZZ,22,FALSE)=1,0,(1-$BN124))*(1-$BQ124)</f>
        <v>0.01279011</v>
      </c>
      <c r="BV124" s="27" cm="1">
        <f t="array" ref="BV124">SUM(_xlfn.XLOOKUP($R124:$AK124,增益!$A:$A,增益!$W:$W,0))+$I$5</f>
        <v>0.11</v>
      </c>
    </row>
    <row r="125" spans="11:74">
      <c r="K125" s="40">
        <f t="shared" si="45"/>
        <v>19597.128624191</v>
      </c>
      <c r="L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蓄力技",$B$21,0))*(1+$BV125)</f>
        <v>20127.2753871357</v>
      </c>
      <c r="M125" s="40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蓄力技",$B$21,0))*(1+$BV125)</f>
        <v>17205.6220009068</v>
      </c>
      <c r="N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蓄力技",$B$21,0))*(1+$BV125)</f>
        <v>11567.3996477791</v>
      </c>
      <c r="O125" s="40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蓄力技",$B$21,0))*(1+$BV125)</f>
        <v>10389.8941097015</v>
      </c>
      <c r="P125" s="41">
        <f t="shared" si="46"/>
        <v>1</v>
      </c>
      <c r="Q125" s="42" t="s">
        <v>194</v>
      </c>
      <c r="R125" s="42" t="s">
        <v>103</v>
      </c>
      <c r="S125" s="42" t="s">
        <v>169</v>
      </c>
      <c r="T125" s="42" t="s">
        <v>86</v>
      </c>
      <c r="U125" s="42" t="s">
        <v>87</v>
      </c>
      <c r="V125" s="42" t="s">
        <v>77</v>
      </c>
      <c r="W125" s="42" t="s">
        <v>77</v>
      </c>
      <c r="X125" s="42" t="s">
        <v>176</v>
      </c>
      <c r="Y125" s="42" t="s">
        <v>77</v>
      </c>
      <c r="Z125" s="42" t="s">
        <v>77</v>
      </c>
      <c r="AA125" s="42" t="s">
        <v>77</v>
      </c>
      <c r="AB125" s="42" t="s">
        <v>95</v>
      </c>
      <c r="AC125" s="42" t="s">
        <v>77</v>
      </c>
      <c r="AD125" s="42" t="s">
        <v>80</v>
      </c>
      <c r="AE125" s="42" t="s">
        <v>81</v>
      </c>
      <c r="AF125" s="42" t="s">
        <v>82</v>
      </c>
      <c r="AG125" s="42" t="s">
        <v>77</v>
      </c>
      <c r="AH125" s="42" t="s">
        <v>77</v>
      </c>
      <c r="AI125" s="42" t="s">
        <v>77</v>
      </c>
      <c r="AJ125" s="42" t="s">
        <v>77</v>
      </c>
      <c r="AK125" s="42" t="s">
        <v>90</v>
      </c>
      <c r="AL125" t="str">
        <f>VLOOKUP($Q125,武学奇术!$A:$ZZ,25,FALSE)</f>
        <v>心法</v>
      </c>
      <c r="AM125" s="27">
        <f>VLOOKUP($Q125,武学奇术!$A:$ZZ,26,FALSE)</f>
        <v>1</v>
      </c>
      <c r="AN125" s="28">
        <f>VLOOKUP($Q125,武学奇术!$A:$ZZ,27,FALSE)*(1+IF(OR($AL125=$F$4,$AL125=$F$5),$B$22,0))</f>
        <v>0</v>
      </c>
      <c r="AO125" s="27">
        <f>VLOOKUP($Q125,武学奇术!$A:$ZZ,28,FALSE)</f>
        <v>1</v>
      </c>
      <c r="AP125" s="28">
        <f>VLOOKUP($Q125,武学奇术!$A:$ZZ,29,FALSE)*(1+IF(OR($AL125=$F$4,$AL125=$F$5),$B$22,0))</f>
        <v>0</v>
      </c>
      <c r="AQ125" s="27" cm="1">
        <f t="array" ref="AQ125">$G$3+IFERROR(VLOOKUP($AL125,$F$4:$G$7,2,FALSE),0)+VLOOKUP($Q125,武学奇术!$A:$ZZ,2,FALSE)+SUM(_xlfn.XLOOKUP($R125:$AK125,增益!$A:$A,增益!$B:$B,0))</f>
        <v>0.5637</v>
      </c>
      <c r="AR125" s="27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3636.7</v>
      </c>
      <c r="AT125" cm="1">
        <f t="array" ref="AT125">$E$10*(1+$AR125)+VLOOKUP($Q125,武学奇术!$A:$ZZ,4,FALSE)+SUM(_xlfn.XLOOKUP($R125:$AK125,增益!$A:$A,增益!$D:$D,0))-$I$2</f>
        <v>3636.7</v>
      </c>
      <c r="AU125" s="34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0.427</v>
      </c>
      <c r="AV125" s="34" cm="1">
        <f t="array" ref="AV125">$G$10+VLOOKUP($Q125,武学奇术!$A:$ZZ,7,FALSE)+SUM(_xlfn.XLOOKUP($R125:$AK125,增益!$A:$A,增益!$G:$G,0))</f>
        <v>0</v>
      </c>
      <c r="AW125" s="27" cm="1">
        <f t="array" ref="AW125">VLOOKUP($Q125,武学奇术!$A:$ZZ,8,FALSE)+SUM(_xlfn.XLOOKUP($R125:$AK125,增益!$A:$A,增益!$H:$H,0))</f>
        <v>0</v>
      </c>
      <c r="AX125">
        <f t="shared" si="35"/>
        <v>0</v>
      </c>
      <c r="AY125">
        <f t="shared" si="36"/>
        <v>0</v>
      </c>
      <c r="AZ125" s="34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-0.14</v>
      </c>
      <c r="BA125" s="34" cm="1">
        <f t="array" ref="BA125">$G$11+VLOOKUP($Q125,武学奇术!$A:$ZZ,10,FALSE)+SUM(_xlfn.XLOOKUP($R125:$AK125,增益!$A:$A,增益!$J:$J,0))</f>
        <v>0</v>
      </c>
      <c r="BB125">
        <f t="shared" si="37"/>
        <v>591.9</v>
      </c>
      <c r="BC125">
        <f t="shared" si="38"/>
        <v>1600.3</v>
      </c>
      <c r="BD125" s="34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0.17</v>
      </c>
      <c r="BE125" s="34" cm="1">
        <f t="array" ref="BE125">$G$12+VLOOKUP($Q125,武学奇术!$A:$ZZ,12,FALSE)+SUM(_xlfn.XLOOKUP($R125:$AK125,增益!$A:$A,增益!$L:$L,0))</f>
        <v>0.15</v>
      </c>
      <c r="BF125">
        <f t="shared" si="39"/>
        <v>0</v>
      </c>
      <c r="BG125">
        <f t="shared" si="40"/>
        <v>0</v>
      </c>
      <c r="BH125" s="34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-0.14</v>
      </c>
      <c r="BI125" s="34" cm="1">
        <f t="array" ref="BI125">$G$13+VLOOKUP($Q125,武学奇术!$A:$ZZ,14,FALSE)+SUM(_xlfn.XLOOKUP($R125:$AK125,增益!$A:$A,增益!$N:$N,0))</f>
        <v>0</v>
      </c>
      <c r="BJ125">
        <f t="shared" si="41"/>
        <v>0</v>
      </c>
      <c r="BK125">
        <f t="shared" si="42"/>
        <v>0</v>
      </c>
      <c r="BL125" s="34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-0.14</v>
      </c>
      <c r="BM125" s="34" cm="1">
        <f t="array" ref="BM125">$G$14+VLOOKUP($Q125,武学奇术!$A:$ZZ,16,FALSE)+SUM(_xlfn.XLOOKUP($R125:$AK125,增益!$A:$A,增益!$P:$P,0))</f>
        <v>0</v>
      </c>
      <c r="BN125" s="27">
        <f>MIN(IF(VLOOKUP($Q125,武学奇术!$A:$ZZ,23,FALSE)=1,100%,$B$8),100%)</f>
        <v>0.9859</v>
      </c>
      <c r="BO125" s="27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0.8912</v>
      </c>
      <c r="BP125" s="27" cm="1">
        <f t="array" ref="BP125">1+$B$13+VLOOKUP($Q125,武学奇术!$A:$ZZ,18,FALSE)+SUM(_xlfn.XLOOKUP($R125:$AK125,增益!$A:$A,增益!$R:$R,0))</f>
        <v>1.74</v>
      </c>
      <c r="BQ125" s="27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7" cm="1">
        <f t="array" ref="BR125">1+$B$14+VLOOKUP($Q125,武学奇术!$A:$ZZ,20,FALSE)+SUM(_xlfn.XLOOKUP($R125:$AK125,增益!$A:$A,增益!$T:$T,0))</f>
        <v>1.35</v>
      </c>
      <c r="BS125" s="27">
        <f t="shared" si="43"/>
        <v>0.87863408</v>
      </c>
      <c r="BT125" s="27">
        <f t="shared" si="44"/>
        <v>0.01567581</v>
      </c>
      <c r="BU125" s="27">
        <f>IF(VLOOKUP($Q125,武学奇术!$A:$ZZ,22,FALSE)=1,0,(1-$BN125))*(1-$BQ125)</f>
        <v>0.01279011</v>
      </c>
      <c r="BV125" s="27" cm="1">
        <f t="array" ref="BV125">SUM(_xlfn.XLOOKUP($R125:$AK125,增益!$A:$A,增益!$W:$W,0))+$I$5</f>
        <v>0.11</v>
      </c>
    </row>
    <row r="126" spans="11:74">
      <c r="K126" s="40">
        <f t="shared" si="45"/>
        <v>16825.8584003874</v>
      </c>
      <c r="L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蓄力技",$B$21,0))*(1+$BV126)</f>
        <v>17287.3605980983</v>
      </c>
      <c r="M126" s="40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蓄力技",$B$21,0))*(1+$BV126)</f>
        <v>14704.1322125089</v>
      </c>
      <c r="N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蓄力技",$B$21,0))*(1+$BV126)</f>
        <v>9935.26471155075</v>
      </c>
      <c r="O126" s="40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蓄力技",$B$21,0))*(1+$BV126)</f>
        <v>8978.57963605785</v>
      </c>
      <c r="P126" s="41">
        <f t="shared" si="46"/>
        <v>1</v>
      </c>
      <c r="Q126" s="42" t="s">
        <v>194</v>
      </c>
      <c r="R126" s="42" t="s">
        <v>103</v>
      </c>
      <c r="S126" s="42" t="s">
        <v>77</v>
      </c>
      <c r="T126" s="42" t="s">
        <v>77</v>
      </c>
      <c r="U126" s="42" t="s">
        <v>87</v>
      </c>
      <c r="V126" s="42" t="s">
        <v>77</v>
      </c>
      <c r="W126" s="42" t="s">
        <v>77</v>
      </c>
      <c r="X126" s="42" t="s">
        <v>176</v>
      </c>
      <c r="Y126" s="42" t="s">
        <v>77</v>
      </c>
      <c r="Z126" s="42" t="s">
        <v>77</v>
      </c>
      <c r="AA126" s="42" t="s">
        <v>77</v>
      </c>
      <c r="AB126" s="42" t="s">
        <v>89</v>
      </c>
      <c r="AC126" s="42" t="s">
        <v>77</v>
      </c>
      <c r="AD126" s="42" t="s">
        <v>80</v>
      </c>
      <c r="AE126" s="42" t="s">
        <v>81</v>
      </c>
      <c r="AF126" s="42" t="s">
        <v>82</v>
      </c>
      <c r="AG126" s="42" t="s">
        <v>77</v>
      </c>
      <c r="AH126" s="42" t="s">
        <v>77</v>
      </c>
      <c r="AI126" s="42" t="s">
        <v>77</v>
      </c>
      <c r="AJ126" s="42" t="s">
        <v>77</v>
      </c>
      <c r="AK126" s="42" t="s">
        <v>90</v>
      </c>
      <c r="AL126" t="str">
        <f>VLOOKUP($Q126,武学奇术!$A:$ZZ,25,FALSE)</f>
        <v>心法</v>
      </c>
      <c r="AM126" s="27">
        <f>VLOOKUP($Q126,武学奇术!$A:$ZZ,26,FALSE)</f>
        <v>1</v>
      </c>
      <c r="AN126" s="28">
        <f>VLOOKUP($Q126,武学奇术!$A:$ZZ,27,FALSE)*(1+IF(OR($AL126=$F$4,$AL126=$F$5),$B$22,0))</f>
        <v>0</v>
      </c>
      <c r="AO126" s="27">
        <f>VLOOKUP($Q126,武学奇术!$A:$ZZ,28,FALSE)</f>
        <v>1</v>
      </c>
      <c r="AP126" s="28">
        <f>VLOOKUP($Q126,武学奇术!$A:$ZZ,29,FALSE)*(1+IF(OR($AL126=$F$4,$AL126=$F$5),$B$22,0))</f>
        <v>0</v>
      </c>
      <c r="AQ126" s="27" cm="1">
        <f t="array" ref="AQ126">$G$3+IFERROR(VLOOKUP($AL126,$F$4:$G$7,2,FALSE),0)+VLOOKUP($Q126,武学奇术!$A:$ZZ,2,FALSE)+SUM(_xlfn.XLOOKUP($R126:$AK126,增益!$A:$A,增益!$B:$B,0))</f>
        <v>0.3637</v>
      </c>
      <c r="AR126" s="27" cm="1">
        <f t="array" ref="AR126">VLOOKUP($Q126,武学奇术!$A:$ZZ,5,FALSE)+SUM(_xlfn.XLOOKUP($R126:$AK126,增益!$A:$A,增益!$E:$E,0))</f>
        <v>0</v>
      </c>
      <c r="AS126" cm="1">
        <f t="array" ref="AS126">$D$10*(1+$AR126)+VLOOKUP($Q126,武学奇术!$A:$ZZ,3,FALSE)+SUM(_xlfn.XLOOKUP($R126:$AK126,增益!$A:$A,增益!$C:$C,0))-$I$2</f>
        <v>3636.7</v>
      </c>
      <c r="AT126" cm="1">
        <f t="array" ref="AT126">$E$10*(1+$AR126)+VLOOKUP($Q126,武学奇术!$A:$ZZ,4,FALSE)+SUM(_xlfn.XLOOKUP($R126:$AK126,增益!$A:$A,增益!$D:$D,0))-$I$2</f>
        <v>3636.7</v>
      </c>
      <c r="AU126" s="34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0.427</v>
      </c>
      <c r="AV126" s="34" cm="1">
        <f t="array" ref="AV126">$G$10+VLOOKUP($Q126,武学奇术!$A:$ZZ,7,FALSE)+SUM(_xlfn.XLOOKUP($R126:$AK126,增益!$A:$A,增益!$G:$G,0))</f>
        <v>0</v>
      </c>
      <c r="AW126" s="27" cm="1">
        <f t="array" ref="AW126">VLOOKUP($Q126,武学奇术!$A:$ZZ,8,FALSE)+SUM(_xlfn.XLOOKUP($R126:$AK126,增益!$A:$A,增益!$H:$H,0))</f>
        <v>0</v>
      </c>
      <c r="AX126">
        <f t="shared" si="35"/>
        <v>0</v>
      </c>
      <c r="AY126">
        <f t="shared" si="36"/>
        <v>0</v>
      </c>
      <c r="AZ126" s="34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4" cm="1">
        <f t="array" ref="BA126">$G$11+VLOOKUP($Q126,武学奇术!$A:$ZZ,10,FALSE)+SUM(_xlfn.XLOOKUP($R126:$AK126,增益!$A:$A,增益!$J:$J,0))</f>
        <v>0</v>
      </c>
      <c r="BB126">
        <f t="shared" si="37"/>
        <v>591.9</v>
      </c>
      <c r="BC126">
        <f t="shared" si="38"/>
        <v>1600.3</v>
      </c>
      <c r="BD126" s="34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0.09</v>
      </c>
      <c r="BE126" s="34" cm="1">
        <f t="array" ref="BE126">$G$12+VLOOKUP($Q126,武学奇术!$A:$ZZ,12,FALSE)+SUM(_xlfn.XLOOKUP($R126:$AK126,增益!$A:$A,增益!$L:$L,0))</f>
        <v>0.15</v>
      </c>
      <c r="BF126">
        <f t="shared" si="39"/>
        <v>0</v>
      </c>
      <c r="BG126">
        <f t="shared" si="40"/>
        <v>0</v>
      </c>
      <c r="BH126" s="34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-0.3</v>
      </c>
      <c r="BI126" s="34" cm="1">
        <f t="array" ref="BI126">$G$13+VLOOKUP($Q126,武学奇术!$A:$ZZ,14,FALSE)+SUM(_xlfn.XLOOKUP($R126:$AK126,增益!$A:$A,增益!$N:$N,0))</f>
        <v>0</v>
      </c>
      <c r="BJ126">
        <f t="shared" si="41"/>
        <v>0</v>
      </c>
      <c r="BK126">
        <f t="shared" si="42"/>
        <v>0</v>
      </c>
      <c r="BL126" s="34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4" cm="1">
        <f t="array" ref="BM126">$G$14+VLOOKUP($Q126,武学奇术!$A:$ZZ,16,FALSE)+SUM(_xlfn.XLOOKUP($R126:$AK126,增益!$A:$A,增益!$P:$P,0))</f>
        <v>0</v>
      </c>
      <c r="BN126" s="27">
        <f>MIN(IF(VLOOKUP($Q126,武学奇术!$A:$ZZ,23,FALSE)=1,100%,$B$8),100%)</f>
        <v>0.9859</v>
      </c>
      <c r="BO126" s="27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0.8912</v>
      </c>
      <c r="BP126" s="27" cm="1">
        <f t="array" ref="BP126">1+$B$13+VLOOKUP($Q126,武学奇术!$A:$ZZ,18,FALSE)+SUM(_xlfn.XLOOKUP($R126:$AK126,增益!$A:$A,增益!$R:$R,0))</f>
        <v>1.74</v>
      </c>
      <c r="BQ126" s="27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7" cm="1">
        <f t="array" ref="BR126">1+$B$14+VLOOKUP($Q126,武学奇术!$A:$ZZ,20,FALSE)+SUM(_xlfn.XLOOKUP($R126:$AK126,增益!$A:$A,增益!$T:$T,0))</f>
        <v>1.35</v>
      </c>
      <c r="BS126" s="27">
        <f t="shared" si="43"/>
        <v>0.87863408</v>
      </c>
      <c r="BT126" s="27">
        <f t="shared" si="44"/>
        <v>0.01567581</v>
      </c>
      <c r="BU126" s="27">
        <f>IF(VLOOKUP($Q126,武学奇术!$A:$ZZ,22,FALSE)=1,0,(1-$BN126))*(1-$BQ126)</f>
        <v>0.01279011</v>
      </c>
      <c r="BV126" s="27" cm="1">
        <f t="array" ref="BV126">SUM(_xlfn.XLOOKUP($R126:$AK126,增益!$A:$A,增益!$W:$W,0))+$I$5</f>
        <v>0.11</v>
      </c>
    </row>
    <row r="127" spans="11:74">
      <c r="K127" s="40">
        <f t="shared" si="45"/>
        <v>23128.1427907118</v>
      </c>
      <c r="L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蓄力技",$B$21,0))*(1+$BV127)</f>
        <v>23753.8114929259</v>
      </c>
      <c r="M127" s="40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蓄力技",$B$21,0))*(1+$BV127)</f>
        <v>20305.7340731422</v>
      </c>
      <c r="N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蓄力技",$B$21,0))*(1+$BV127)</f>
        <v>13651.6158005321</v>
      </c>
      <c r="O127" s="40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蓄力技",$B$21,0))*(1+$BV127)</f>
        <v>12261.9471024405</v>
      </c>
      <c r="P127" s="41">
        <f t="shared" si="46"/>
        <v>1</v>
      </c>
      <c r="Q127" s="42" t="s">
        <v>194</v>
      </c>
      <c r="R127" s="42" t="s">
        <v>103</v>
      </c>
      <c r="S127" s="42" t="s">
        <v>169</v>
      </c>
      <c r="T127" s="42" t="s">
        <v>86</v>
      </c>
      <c r="U127" s="42" t="s">
        <v>87</v>
      </c>
      <c r="V127" s="42" t="s">
        <v>77</v>
      </c>
      <c r="W127" s="42" t="s">
        <v>77</v>
      </c>
      <c r="X127" s="42" t="s">
        <v>176</v>
      </c>
      <c r="Y127" s="42" t="s">
        <v>186</v>
      </c>
      <c r="Z127" s="42" t="s">
        <v>187</v>
      </c>
      <c r="AA127" s="42" t="s">
        <v>77</v>
      </c>
      <c r="AB127" s="42" t="s">
        <v>95</v>
      </c>
      <c r="AC127" s="42" t="s">
        <v>77</v>
      </c>
      <c r="AD127" s="42" t="s">
        <v>80</v>
      </c>
      <c r="AE127" s="42" t="s">
        <v>81</v>
      </c>
      <c r="AF127" s="42" t="s">
        <v>82</v>
      </c>
      <c r="AG127" s="42" t="s">
        <v>77</v>
      </c>
      <c r="AH127" s="42" t="s">
        <v>77</v>
      </c>
      <c r="AI127" s="42" t="s">
        <v>77</v>
      </c>
      <c r="AJ127" s="42" t="s">
        <v>77</v>
      </c>
      <c r="AK127" s="42" t="s">
        <v>90</v>
      </c>
      <c r="AL127" t="str">
        <f>VLOOKUP($Q127,武学奇术!$A:$ZZ,25,FALSE)</f>
        <v>心法</v>
      </c>
      <c r="AM127" s="27">
        <f>VLOOKUP($Q127,武学奇术!$A:$ZZ,26,FALSE)</f>
        <v>1</v>
      </c>
      <c r="AN127" s="28">
        <f>VLOOKUP($Q127,武学奇术!$A:$ZZ,27,FALSE)*(1+IF(OR($AL127=$F$4,$AL127=$F$5),$B$22,0))</f>
        <v>0</v>
      </c>
      <c r="AO127" s="27">
        <f>VLOOKUP($Q127,武学奇术!$A:$ZZ,28,FALSE)</f>
        <v>1</v>
      </c>
      <c r="AP127" s="28">
        <f>VLOOKUP($Q127,武学奇术!$A:$ZZ,29,FALSE)*(1+IF(OR($AL127=$F$4,$AL127=$F$5),$B$22,0))</f>
        <v>0</v>
      </c>
      <c r="AQ127" s="27" cm="1">
        <f t="array" ref="AQ127">$G$3+IFERROR(VLOOKUP($AL127,$F$4:$G$7,2,FALSE),0)+VLOOKUP($Q127,武学奇术!$A:$ZZ,2,FALSE)+SUM(_xlfn.XLOOKUP($R127:$AK127,增益!$A:$A,增益!$B:$B,0))</f>
        <v>0.5637</v>
      </c>
      <c r="AR127" s="27" cm="1">
        <f t="array" ref="AR127">VLOOKUP($Q127,武学奇术!$A:$ZZ,5,FALSE)+SUM(_xlfn.XLOOKUP($R127:$AK127,增益!$A:$A,增益!$E:$E,0))</f>
        <v>0</v>
      </c>
      <c r="AS127" cm="1">
        <f t="array" ref="AS127">$D$10*(1+$AR127)+VLOOKUP($Q127,武学奇术!$A:$ZZ,3,FALSE)+SUM(_xlfn.XLOOKUP($R127:$AK127,增益!$A:$A,增益!$C:$C,0))-$I$2</f>
        <v>3636.7</v>
      </c>
      <c r="AT127" cm="1">
        <f t="array" ref="AT127">$E$10*(1+$AR127)+VLOOKUP($Q127,武学奇术!$A:$ZZ,4,FALSE)+SUM(_xlfn.XLOOKUP($R127:$AK127,增益!$A:$A,增益!$D:$D,0))-$I$2</f>
        <v>3636.7</v>
      </c>
      <c r="AU127" s="34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0.427</v>
      </c>
      <c r="AV127" s="34" cm="1">
        <f t="array" ref="AV127">$G$10+VLOOKUP($Q127,武学奇术!$A:$ZZ,7,FALSE)+SUM(_xlfn.XLOOKUP($R127:$AK127,增益!$A:$A,增益!$G:$G,0))</f>
        <v>0</v>
      </c>
      <c r="AW127" s="27" cm="1">
        <f t="array" ref="AW127">VLOOKUP($Q127,武学奇术!$A:$ZZ,8,FALSE)+SUM(_xlfn.XLOOKUP($R127:$AK127,增益!$A:$A,增益!$H:$H,0))</f>
        <v>0</v>
      </c>
      <c r="AX127">
        <f t="shared" si="35"/>
        <v>0</v>
      </c>
      <c r="AY127">
        <f t="shared" si="36"/>
        <v>0</v>
      </c>
      <c r="AZ127" s="34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-0.14</v>
      </c>
      <c r="BA127" s="34" cm="1">
        <f t="array" ref="BA127">$G$11+VLOOKUP($Q127,武学奇术!$A:$ZZ,10,FALSE)+SUM(_xlfn.XLOOKUP($R127:$AK127,增益!$A:$A,增益!$J:$J,0))</f>
        <v>0.1</v>
      </c>
      <c r="BB127">
        <f t="shared" si="37"/>
        <v>591.9</v>
      </c>
      <c r="BC127">
        <f t="shared" si="38"/>
        <v>1600.3</v>
      </c>
      <c r="BD127" s="34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0.17</v>
      </c>
      <c r="BE127" s="34" cm="1">
        <f t="array" ref="BE127">$G$12+VLOOKUP($Q127,武学奇术!$A:$ZZ,12,FALSE)+SUM(_xlfn.XLOOKUP($R127:$AK127,增益!$A:$A,增益!$L:$L,0))</f>
        <v>0.15</v>
      </c>
      <c r="BF127">
        <f t="shared" si="39"/>
        <v>0</v>
      </c>
      <c r="BG127">
        <f t="shared" si="40"/>
        <v>0</v>
      </c>
      <c r="BH127" s="34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-0.14</v>
      </c>
      <c r="BI127" s="34" cm="1">
        <f t="array" ref="BI127">$G$13+VLOOKUP($Q127,武学奇术!$A:$ZZ,14,FALSE)+SUM(_xlfn.XLOOKUP($R127:$AK127,增益!$A:$A,增益!$N:$N,0))</f>
        <v>0</v>
      </c>
      <c r="BJ127">
        <f t="shared" si="41"/>
        <v>0</v>
      </c>
      <c r="BK127">
        <f t="shared" si="42"/>
        <v>0</v>
      </c>
      <c r="BL127" s="34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-0.14</v>
      </c>
      <c r="BM127" s="34" cm="1">
        <f t="array" ref="BM127">$G$14+VLOOKUP($Q127,武学奇术!$A:$ZZ,16,FALSE)+SUM(_xlfn.XLOOKUP($R127:$AK127,增益!$A:$A,增益!$P:$P,0))</f>
        <v>0</v>
      </c>
      <c r="BN127" s="27">
        <f>MIN(IF(VLOOKUP($Q127,武学奇术!$A:$ZZ,23,FALSE)=1,100%,$B$8),100%)</f>
        <v>0.9859</v>
      </c>
      <c r="BO127" s="27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0.8912</v>
      </c>
      <c r="BP127" s="27" cm="1">
        <f t="array" ref="BP127">1+$B$13+VLOOKUP($Q127,武学奇术!$A:$ZZ,18,FALSE)+SUM(_xlfn.XLOOKUP($R127:$AK127,增益!$A:$A,增益!$R:$R,0))</f>
        <v>1.74</v>
      </c>
      <c r="BQ127" s="27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7" cm="1">
        <f t="array" ref="BR127">1+$B$14+VLOOKUP($Q127,武学奇术!$A:$ZZ,20,FALSE)+SUM(_xlfn.XLOOKUP($R127:$AK127,增益!$A:$A,增益!$T:$T,0))</f>
        <v>1.35</v>
      </c>
      <c r="BS127" s="27">
        <f t="shared" si="43"/>
        <v>0.87863408</v>
      </c>
      <c r="BT127" s="27">
        <f t="shared" si="44"/>
        <v>0.01567581</v>
      </c>
      <c r="BU127" s="27">
        <f>IF(VLOOKUP($Q127,武学奇术!$A:$ZZ,22,FALSE)=1,0,(1-$BN127))*(1-$BQ127)</f>
        <v>0.01279011</v>
      </c>
      <c r="BV127" s="27" cm="1">
        <f t="array" ref="BV127">SUM(_xlfn.XLOOKUP($R127:$AK127,增益!$A:$A,增益!$W:$W,0))+$I$5</f>
        <v>0.31</v>
      </c>
    </row>
  </sheetData>
  <mergeCells count="38">
    <mergeCell ref="H1:I1"/>
    <mergeCell ref="C8:G8"/>
    <mergeCell ref="C15:D15"/>
    <mergeCell ref="E21:F21"/>
    <mergeCell ref="E22:F22"/>
    <mergeCell ref="A23:A24"/>
    <mergeCell ref="C27:C28"/>
    <mergeCell ref="C30:C36"/>
    <mergeCell ref="C58:C62"/>
    <mergeCell ref="C96:C98"/>
    <mergeCell ref="D31:D37"/>
    <mergeCell ref="D43:D51"/>
    <mergeCell ref="D55:D62"/>
    <mergeCell ref="D65:D73"/>
    <mergeCell ref="D79:D87"/>
    <mergeCell ref="D92:D98"/>
    <mergeCell ref="E33:E35"/>
    <mergeCell ref="E45:E47"/>
    <mergeCell ref="E59:E61"/>
    <mergeCell ref="E66:E68"/>
    <mergeCell ref="E78:E81"/>
    <mergeCell ref="E92:E98"/>
    <mergeCell ref="F92:F95"/>
    <mergeCell ref="F97:F9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R2:AK2 R3:AJ3 AK3:AK127 R4:AJ127">
      <formula1>增益!$A:$A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Q2:Q127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7"/>
  <sheetViews>
    <sheetView workbookViewId="0">
      <selection activeCell="E36" sqref="E36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3" customWidth="1"/>
    <col min="18" max="37" width="9" style="33"/>
    <col min="39" max="39" width="9" style="27"/>
    <col min="40" max="40" width="9" style="28"/>
    <col min="41" max="41" width="9" style="27"/>
    <col min="42" max="42" width="9" style="28"/>
    <col min="43" max="44" width="9" style="27"/>
    <col min="47" max="49" width="9" style="34"/>
    <col min="52" max="53" width="9" style="34"/>
    <col min="66" max="70" width="9" style="27"/>
    <col min="71" max="72" width="9.00833333333333" style="27" customWidth="1"/>
    <col min="73" max="74" width="9" style="27"/>
  </cols>
  <sheetData>
    <row r="1" spans="1:74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s="42" t="s">
        <v>30</v>
      </c>
      <c r="AI1" s="42" t="s">
        <v>31</v>
      </c>
      <c r="AJ1" s="42" t="s">
        <v>32</v>
      </c>
      <c r="AK1" s="42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t="s">
        <v>58</v>
      </c>
      <c r="BK1" t="s">
        <v>59</v>
      </c>
      <c r="BL1" s="34" t="s">
        <v>60</v>
      </c>
      <c r="BM1" s="34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3" t="s">
        <v>71</v>
      </c>
      <c r="B2" s="33"/>
      <c r="C2" s="33"/>
      <c r="D2" s="33"/>
      <c r="E2" s="44"/>
      <c r="F2" s="45" t="s">
        <v>72</v>
      </c>
      <c r="G2" s="46" t="s">
        <v>73</v>
      </c>
      <c r="H2" s="47" t="s">
        <v>74</v>
      </c>
      <c r="I2" s="11">
        <f>620*(1-IF(F17="√",0.06,0)-IF(D20="√",0.04,0))</f>
        <v>620</v>
      </c>
      <c r="K2" s="40">
        <f t="shared" ref="K2:K65" si="0">($L2*$BS2+$M2*$BQ2+$N2*$BT2+$O2*$BU2)</f>
        <v>21760.5323013901</v>
      </c>
      <c r="L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22023.776823824</v>
      </c>
      <c r="M2" s="40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21857.6042583906</v>
      </c>
      <c r="N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14208.8882734348</v>
      </c>
      <c r="O2" s="40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12226.9585776914</v>
      </c>
      <c r="P2" s="41">
        <v>1</v>
      </c>
      <c r="Q2" s="42" t="s">
        <v>75</v>
      </c>
      <c r="R2" s="42" t="s">
        <v>76</v>
      </c>
      <c r="S2" s="42" t="s">
        <v>77</v>
      </c>
      <c r="T2" s="42" t="s">
        <v>77</v>
      </c>
      <c r="U2" s="42" t="s">
        <v>77</v>
      </c>
      <c r="V2" s="42" t="s">
        <v>77</v>
      </c>
      <c r="W2" s="42" t="s">
        <v>78</v>
      </c>
      <c r="X2" s="42" t="s">
        <v>79</v>
      </c>
      <c r="Y2" s="42" t="s">
        <v>77</v>
      </c>
      <c r="Z2" s="42" t="s">
        <v>77</v>
      </c>
      <c r="AA2" s="42" t="s">
        <v>77</v>
      </c>
      <c r="AB2" s="42" t="s">
        <v>77</v>
      </c>
      <c r="AC2" s="42" t="s">
        <v>77</v>
      </c>
      <c r="AD2" s="42" t="s">
        <v>77</v>
      </c>
      <c r="AE2" s="42" t="s">
        <v>81</v>
      </c>
      <c r="AF2" s="42" t="s">
        <v>82</v>
      </c>
      <c r="AG2" s="42" t="s">
        <v>77</v>
      </c>
      <c r="AH2" s="42" t="s">
        <v>77</v>
      </c>
      <c r="AI2" s="42" t="s">
        <v>77</v>
      </c>
      <c r="AJ2" s="42" t="s">
        <v>77</v>
      </c>
      <c r="AK2" s="42" t="s">
        <v>77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0.2637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3574.7</v>
      </c>
      <c r="AT2" cm="1">
        <f t="array" ref="AT2">$E$10*(1+$AR2)+VLOOKUP($Q2,武学奇术!$A:$ZZ,4,FALSE)+SUM(_xlfn.XLOOKUP($R2:$AK2,增益!$A:$A,增益!$D:$D,0))-$I$2</f>
        <v>3574.7</v>
      </c>
      <c r="AU2" s="34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0.237</v>
      </c>
      <c r="AV2" s="34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4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4" cm="1">
        <f t="array" ref="BA2">$G$11+VLOOKUP($Q2,武学奇术!$A:$ZZ,10,FALSE)+SUM(_xlfn.XLOOKUP($R2:$AK2,增益!$A:$A,增益!$J:$J,0))</f>
        <v>0</v>
      </c>
      <c r="BB2">
        <f t="shared" ref="BB2:BB65" si="3">$D$12*(1+$AW2)</f>
        <v>591.9</v>
      </c>
      <c r="BC2">
        <f t="shared" ref="BC2:BC65" si="4">$E$12*(1+$AW2)</f>
        <v>1600.3</v>
      </c>
      <c r="BD2" s="34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0.09</v>
      </c>
      <c r="BE2" s="34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4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4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4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4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0.9859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7" cm="1">
        <f t="array" ref="BP2">1+$B$13+VLOOKUP($Q2,武学奇术!$A:$ZZ,18,FALSE)+SUM(_xlfn.XLOOKUP($R2:$AK2,增益!$A:$A,增益!$R:$R,0))</f>
        <v>1.55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7" cm="1">
        <f t="array" ref="BR2">1+$B$14+VLOOKUP($Q2,武学奇术!$A:$ZZ,20,FALSE)+SUM(_xlfn.XLOOKUP($R2:$AK2,增益!$A:$A,增益!$T:$T,0))</f>
        <v>1.35</v>
      </c>
      <c r="BS2" s="27">
        <f t="shared" ref="BS2:BS65" si="9">MIN((1-BQ2)*BN2,BN2*BO2)</f>
        <v>0.87863408</v>
      </c>
      <c r="BT2" s="27">
        <f t="shared" ref="BT2:BT65" si="10">1-BQ2-BS2-BU2</f>
        <v>0.01567581</v>
      </c>
      <c r="BU2" s="27">
        <f>IF(VLOOKUP($Q2,武学奇术!$A:$ZZ,22,FALSE)=1,0,(1-$BN2))*(1-$BQ2)</f>
        <v>0.01279011</v>
      </c>
      <c r="BV2" s="27" cm="1">
        <f t="array" ref="BV2">SUM(_xlfn.XLOOKUP($R2:$AK2,增益!$A:$A,增益!$W:$W,0))+$I$5</f>
        <v>0.11</v>
      </c>
    </row>
    <row r="3" spans="1:74">
      <c r="A3" s="48" t="s">
        <v>83</v>
      </c>
      <c r="B3" s="49"/>
      <c r="C3" s="49"/>
      <c r="D3" s="49"/>
      <c r="E3" s="50"/>
      <c r="F3" s="47" t="s">
        <v>39</v>
      </c>
      <c r="G3" s="51">
        <f>B16+1.5%+IF(G2="断岳",5%,0)+IF($D$16="√",8%,0)+IF($E$22="征人归",8%,0)</f>
        <v>0.1537</v>
      </c>
      <c r="H3" s="47" t="s">
        <v>84</v>
      </c>
      <c r="I3" s="11">
        <f>25-IF(D17="√",10,0)-IF(F17="√",10,0)</f>
        <v>25</v>
      </c>
      <c r="K3" s="40">
        <f t="shared" si="0"/>
        <v>26174.5866525727</v>
      </c>
      <c r="L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26682.830574133</v>
      </c>
      <c r="M3" s="40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24776.4128859529</v>
      </c>
      <c r="N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16073.9943217668</v>
      </c>
      <c r="O3" s="40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13795.0902094945</v>
      </c>
      <c r="P3" s="41">
        <v>1</v>
      </c>
      <c r="Q3" s="42" t="s">
        <v>75</v>
      </c>
      <c r="R3" s="42" t="s">
        <v>85</v>
      </c>
      <c r="S3" s="42" t="s">
        <v>77</v>
      </c>
      <c r="T3" s="42" t="s">
        <v>86</v>
      </c>
      <c r="U3" s="42" t="s">
        <v>87</v>
      </c>
      <c r="V3" s="42" t="s">
        <v>77</v>
      </c>
      <c r="W3" s="42" t="s">
        <v>78</v>
      </c>
      <c r="X3" s="42" t="s">
        <v>88</v>
      </c>
      <c r="Y3" s="42" t="s">
        <v>77</v>
      </c>
      <c r="Z3" s="42" t="s">
        <v>77</v>
      </c>
      <c r="AA3" s="42" t="s">
        <v>77</v>
      </c>
      <c r="AB3" s="42" t="s">
        <v>77</v>
      </c>
      <c r="AC3" s="42" t="s">
        <v>77</v>
      </c>
      <c r="AD3" s="42" t="s">
        <v>77</v>
      </c>
      <c r="AE3" s="42" t="s">
        <v>81</v>
      </c>
      <c r="AF3" s="42" t="s">
        <v>82</v>
      </c>
      <c r="AG3" s="42" t="s">
        <v>77</v>
      </c>
      <c r="AH3" s="42" t="s">
        <v>77</v>
      </c>
      <c r="AI3" s="42" t="s">
        <v>77</v>
      </c>
      <c r="AJ3" s="42" t="s">
        <v>77</v>
      </c>
      <c r="AK3" s="42" t="s">
        <v>77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0.3537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3574.7</v>
      </c>
      <c r="AT3" cm="1">
        <f t="array" ref="AT3">$E$10*(1+$AR3)+VLOOKUP($Q3,武学奇术!$A:$ZZ,4,FALSE)+SUM(_xlfn.XLOOKUP($R3:$AK3,增益!$A:$A,增益!$D:$D,0))-$I$2</f>
        <v>3574.7</v>
      </c>
      <c r="AU3" s="34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0.297</v>
      </c>
      <c r="AV3" s="34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4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4" cm="1">
        <f t="array" ref="BA3">$G$11+VLOOKUP($Q3,武学奇术!$A:$ZZ,10,FALSE)+SUM(_xlfn.XLOOKUP($R3:$AK3,增益!$A:$A,增益!$J:$J,0))</f>
        <v>0</v>
      </c>
      <c r="BB3">
        <f t="shared" si="3"/>
        <v>591.9</v>
      </c>
      <c r="BC3">
        <f t="shared" si="4"/>
        <v>1600.3</v>
      </c>
      <c r="BD3" s="34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0.17</v>
      </c>
      <c r="BE3" s="34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4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4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4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4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0.9859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7" cm="1">
        <f t="array" ref="BP3">1+$B$13+VLOOKUP($Q3,武学奇术!$A:$ZZ,18,FALSE)+SUM(_xlfn.XLOOKUP($R3:$AK3,增益!$A:$A,增益!$R:$R,0))</f>
        <v>1.66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7" cm="1">
        <f t="array" ref="BR3">1+$B$14+VLOOKUP($Q3,武学奇术!$A:$ZZ,20,FALSE)+SUM(_xlfn.XLOOKUP($R3:$AK3,增益!$A:$A,增益!$T:$T,0))</f>
        <v>1.35</v>
      </c>
      <c r="BS3" s="27">
        <f t="shared" si="9"/>
        <v>0.87863408</v>
      </c>
      <c r="BT3" s="27">
        <f t="shared" si="10"/>
        <v>0.01567581</v>
      </c>
      <c r="BU3" s="27">
        <f>IF(VLOOKUP($Q3,武学奇术!$A:$ZZ,22,FALSE)=1,0,(1-$BN3))*(1-$BQ3)</f>
        <v>0.01279011</v>
      </c>
      <c r="BV3" s="27" cm="1">
        <f t="array" ref="BV3">SUM(_xlfn.XLOOKUP($R3:$AK3,增益!$A:$A,增益!$W:$W,0))+$I$5</f>
        <v>0.11</v>
      </c>
    </row>
    <row r="4" ht="14.25" spans="1:74">
      <c r="A4" s="52" t="s">
        <v>5</v>
      </c>
      <c r="B4" s="53"/>
      <c r="C4" s="53"/>
      <c r="D4" s="53"/>
      <c r="E4" s="54"/>
      <c r="F4" s="47" t="s">
        <v>91</v>
      </c>
      <c r="G4" s="51">
        <f>B15+B17</f>
        <v>0.1704</v>
      </c>
      <c r="H4" s="55" t="s">
        <v>92</v>
      </c>
      <c r="I4" s="14">
        <f>30</f>
        <v>30</v>
      </c>
      <c r="K4" s="40">
        <f t="shared" si="0"/>
        <v>26650.2373476124</v>
      </c>
      <c r="L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27186.1029879067</v>
      </c>
      <c r="M4" s="40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25076.0371450759</v>
      </c>
      <c r="N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16279.1035855729</v>
      </c>
      <c r="O4" s="40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13983.3648414599</v>
      </c>
      <c r="P4" s="41">
        <v>1</v>
      </c>
      <c r="Q4" s="42" t="s">
        <v>75</v>
      </c>
      <c r="R4" s="42" t="s">
        <v>93</v>
      </c>
      <c r="S4" s="42" t="s">
        <v>77</v>
      </c>
      <c r="T4" s="42" t="s">
        <v>86</v>
      </c>
      <c r="U4" s="42" t="s">
        <v>87</v>
      </c>
      <c r="V4" s="42" t="s">
        <v>77</v>
      </c>
      <c r="W4" s="42" t="s">
        <v>78</v>
      </c>
      <c r="X4" s="42" t="s">
        <v>94</v>
      </c>
      <c r="Y4" s="42" t="s">
        <v>77</v>
      </c>
      <c r="Z4" s="42" t="s">
        <v>77</v>
      </c>
      <c r="AA4" s="42" t="s">
        <v>77</v>
      </c>
      <c r="AB4" s="42" t="s">
        <v>77</v>
      </c>
      <c r="AC4" s="42" t="s">
        <v>77</v>
      </c>
      <c r="AD4" s="42" t="s">
        <v>77</v>
      </c>
      <c r="AE4" s="42" t="s">
        <v>81</v>
      </c>
      <c r="AF4" s="42" t="s">
        <v>82</v>
      </c>
      <c r="AG4" s="42" t="s">
        <v>77</v>
      </c>
      <c r="AH4" s="42" t="s">
        <v>77</v>
      </c>
      <c r="AI4" s="42" t="s">
        <v>77</v>
      </c>
      <c r="AJ4" s="42" t="s">
        <v>77</v>
      </c>
      <c r="AK4" s="42" t="s">
        <v>77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0.3637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3574.7</v>
      </c>
      <c r="AT4" cm="1">
        <f t="array" ref="AT4">$E$10*(1+$AR4)+VLOOKUP($Q4,武学奇术!$A:$ZZ,4,FALSE)+SUM(_xlfn.XLOOKUP($R4:$AK4,增益!$A:$A,增益!$D:$D,0))-$I$2</f>
        <v>3574.7</v>
      </c>
      <c r="AU4" s="34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0.307</v>
      </c>
      <c r="AV4" s="34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4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4" cm="1">
        <f t="array" ref="BA4">$G$11+VLOOKUP($Q4,武学奇术!$A:$ZZ,10,FALSE)+SUM(_xlfn.XLOOKUP($R4:$AK4,增益!$A:$A,增益!$J:$J,0))</f>
        <v>0</v>
      </c>
      <c r="BB4">
        <f t="shared" si="3"/>
        <v>591.9</v>
      </c>
      <c r="BC4">
        <f t="shared" si="4"/>
        <v>1600.3</v>
      </c>
      <c r="BD4" s="34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0.17</v>
      </c>
      <c r="BE4" s="34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4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4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4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4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0.9859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7" cm="1">
        <f t="array" ref="BP4">1+$B$13+VLOOKUP($Q4,武学奇术!$A:$ZZ,18,FALSE)+SUM(_xlfn.XLOOKUP($R4:$AK4,增益!$A:$A,增益!$R:$R,0))</f>
        <v>1.67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0.87863408</v>
      </c>
      <c r="BT4" s="27">
        <f t="shared" si="10"/>
        <v>0.01567581</v>
      </c>
      <c r="BU4" s="27">
        <f>IF(VLOOKUP($Q4,武学奇术!$A:$ZZ,22,FALSE)=1,0,(1-$BN4))*(1-$BQ4)</f>
        <v>0.01279011</v>
      </c>
      <c r="BV4" s="27" cm="1">
        <f t="array" ref="BV4">SUM(_xlfn.XLOOKUP($R4:$AK4,增益!$A:$A,增益!$W:$W,0))+$I$5</f>
        <v>0.11</v>
      </c>
    </row>
    <row r="5" spans="1:74">
      <c r="A5" s="56" t="s">
        <v>96</v>
      </c>
      <c r="B5" s="57"/>
      <c r="C5" s="57"/>
      <c r="D5" s="57"/>
      <c r="E5" s="58"/>
      <c r="F5" s="47" t="s">
        <v>97</v>
      </c>
      <c r="G5" s="51">
        <f>B15+B18</f>
        <v>0.0852</v>
      </c>
      <c r="H5" t="s">
        <v>98</v>
      </c>
      <c r="I5" s="29">
        <v>0.06</v>
      </c>
      <c r="K5" s="40">
        <f t="shared" si="0"/>
        <v>27131.5570214255</v>
      </c>
      <c r="L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27695.6055970914</v>
      </c>
      <c r="M5" s="40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25377.3714123431</v>
      </c>
      <c r="N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16485.4795220782</v>
      </c>
      <c r="O5" s="40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14172.9061461246</v>
      </c>
      <c r="P5" s="41">
        <v>1</v>
      </c>
      <c r="Q5" s="42" t="s">
        <v>75</v>
      </c>
      <c r="R5" s="42" t="s">
        <v>99</v>
      </c>
      <c r="S5" s="42" t="s">
        <v>77</v>
      </c>
      <c r="T5" s="42" t="s">
        <v>86</v>
      </c>
      <c r="U5" s="42" t="s">
        <v>87</v>
      </c>
      <c r="V5" s="42" t="s">
        <v>77</v>
      </c>
      <c r="W5" s="42" t="s">
        <v>78</v>
      </c>
      <c r="X5" s="42" t="s">
        <v>100</v>
      </c>
      <c r="Y5" s="42" t="s">
        <v>77</v>
      </c>
      <c r="Z5" s="42" t="s">
        <v>77</v>
      </c>
      <c r="AA5" s="42" t="s">
        <v>77</v>
      </c>
      <c r="AB5" s="42" t="s">
        <v>77</v>
      </c>
      <c r="AC5" s="42" t="s">
        <v>77</v>
      </c>
      <c r="AD5" s="42" t="s">
        <v>77</v>
      </c>
      <c r="AE5" s="42" t="s">
        <v>81</v>
      </c>
      <c r="AF5" s="42" t="s">
        <v>82</v>
      </c>
      <c r="AG5" s="42" t="s">
        <v>77</v>
      </c>
      <c r="AH5" s="42" t="s">
        <v>77</v>
      </c>
      <c r="AI5" s="42" t="s">
        <v>77</v>
      </c>
      <c r="AJ5" s="42" t="s">
        <v>77</v>
      </c>
      <c r="AK5" s="42" t="s">
        <v>77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0.3737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3574.7</v>
      </c>
      <c r="AT5" cm="1">
        <f t="array" ref="AT5">$E$10*(1+$AR5)+VLOOKUP($Q5,武学奇术!$A:$ZZ,4,FALSE)+SUM(_xlfn.XLOOKUP($R5:$AK5,增益!$A:$A,增益!$D:$D,0))-$I$2</f>
        <v>3574.7</v>
      </c>
      <c r="AU5" s="34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0.317</v>
      </c>
      <c r="AV5" s="34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4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4" cm="1">
        <f t="array" ref="BA5">$G$11+VLOOKUP($Q5,武学奇术!$A:$ZZ,10,FALSE)+SUM(_xlfn.XLOOKUP($R5:$AK5,增益!$A:$A,增益!$J:$J,0))</f>
        <v>0</v>
      </c>
      <c r="BB5">
        <f t="shared" si="3"/>
        <v>591.9</v>
      </c>
      <c r="BC5">
        <f t="shared" si="4"/>
        <v>1600.3</v>
      </c>
      <c r="BD5" s="34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0.17</v>
      </c>
      <c r="BE5" s="34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4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4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4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4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0.9859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7" cm="1">
        <f t="array" ref="BP5">1+$B$13+VLOOKUP($Q5,武学奇术!$A:$ZZ,18,FALSE)+SUM(_xlfn.XLOOKUP($R5:$AK5,增益!$A:$A,增益!$R:$R,0))</f>
        <v>1.68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0.87863408</v>
      </c>
      <c r="BT5" s="27">
        <f t="shared" si="10"/>
        <v>0.01567581</v>
      </c>
      <c r="BU5" s="27">
        <f>IF(VLOOKUP($Q5,武学奇术!$A:$ZZ,22,FALSE)=1,0,(1-$BN5))*(1-$BQ5)</f>
        <v>0.01279011</v>
      </c>
      <c r="BV5" s="27" cm="1">
        <f t="array" ref="BV5">SUM(_xlfn.XLOOKUP($R5:$AK5,增益!$A:$A,增益!$W:$W,0))+$I$5</f>
        <v>0.11</v>
      </c>
    </row>
    <row r="6" spans="1:74">
      <c r="A6" s="59" t="s">
        <v>101</v>
      </c>
      <c r="B6" s="60"/>
      <c r="C6" s="60"/>
      <c r="D6" s="60"/>
      <c r="E6" s="61"/>
      <c r="F6" s="47" t="s">
        <v>102</v>
      </c>
      <c r="G6" s="51">
        <f>B19</f>
        <v>0</v>
      </c>
      <c r="K6" s="40">
        <f t="shared" si="0"/>
        <v>27471.9076022049</v>
      </c>
      <c r="L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28044.4451805554</v>
      </c>
      <c r="M6" s="40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25680.4156877544</v>
      </c>
      <c r="N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16693.122131283</v>
      </c>
      <c r="O6" s="40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14363.7141234886</v>
      </c>
      <c r="P6" s="41">
        <v>1</v>
      </c>
      <c r="Q6" s="42" t="s">
        <v>75</v>
      </c>
      <c r="R6" s="42" t="s">
        <v>103</v>
      </c>
      <c r="S6" s="42" t="s">
        <v>77</v>
      </c>
      <c r="T6" s="42" t="s">
        <v>86</v>
      </c>
      <c r="U6" s="42" t="s">
        <v>87</v>
      </c>
      <c r="V6" s="42" t="s">
        <v>77</v>
      </c>
      <c r="W6" s="42" t="s">
        <v>78</v>
      </c>
      <c r="X6" s="42" t="s">
        <v>100</v>
      </c>
      <c r="Y6" s="42" t="s">
        <v>77</v>
      </c>
      <c r="Z6" s="42" t="s">
        <v>77</v>
      </c>
      <c r="AA6" s="42" t="s">
        <v>77</v>
      </c>
      <c r="AB6" s="42" t="s">
        <v>77</v>
      </c>
      <c r="AC6" s="42" t="s">
        <v>77</v>
      </c>
      <c r="AD6" s="42" t="s">
        <v>77</v>
      </c>
      <c r="AE6" s="42" t="s">
        <v>81</v>
      </c>
      <c r="AF6" s="42" t="s">
        <v>82</v>
      </c>
      <c r="AG6" s="42" t="s">
        <v>77</v>
      </c>
      <c r="AH6" s="42" t="s">
        <v>77</v>
      </c>
      <c r="AI6" s="42" t="s">
        <v>77</v>
      </c>
      <c r="AJ6" s="42" t="s">
        <v>77</v>
      </c>
      <c r="AK6" s="42" t="s">
        <v>77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0.3837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3574.7</v>
      </c>
      <c r="AT6" cm="1">
        <f t="array" ref="AT6">$E$10*(1+$AR6)+VLOOKUP($Q6,武学奇术!$A:$ZZ,4,FALSE)+SUM(_xlfn.XLOOKUP($R6:$AK6,增益!$A:$A,增益!$D:$D,0))-$I$2</f>
        <v>3574.7</v>
      </c>
      <c r="AU6" s="34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0.327</v>
      </c>
      <c r="AV6" s="34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4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4" cm="1">
        <f t="array" ref="BA6">$G$11+VLOOKUP($Q6,武学奇术!$A:$ZZ,10,FALSE)+SUM(_xlfn.XLOOKUP($R6:$AK6,增益!$A:$A,增益!$J:$J,0))</f>
        <v>0</v>
      </c>
      <c r="BB6">
        <f t="shared" si="3"/>
        <v>591.9</v>
      </c>
      <c r="BC6">
        <f t="shared" si="4"/>
        <v>1600.3</v>
      </c>
      <c r="BD6" s="34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0.17</v>
      </c>
      <c r="BE6" s="34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4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4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4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4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0.9859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7" cm="1">
        <f t="array" ref="BP6">1+$B$13+VLOOKUP($Q6,武学奇术!$A:$ZZ,18,FALSE)+SUM(_xlfn.XLOOKUP($R6:$AK6,增益!$A:$A,增益!$R:$R,0))</f>
        <v>1.68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0.87863408</v>
      </c>
      <c r="BT6" s="27">
        <f t="shared" si="10"/>
        <v>0.01567581</v>
      </c>
      <c r="BU6" s="27">
        <f>IF(VLOOKUP($Q6,武学奇术!$A:$ZZ,22,FALSE)=1,0,(1-$BN6))*(1-$BQ6)</f>
        <v>0.01279011</v>
      </c>
      <c r="BV6" s="27" cm="1">
        <f t="array" ref="BV6">SUM(_xlfn.XLOOKUP($R6:$AK6,增益!$A:$A,增益!$W:$W,0))+$I$5</f>
        <v>0.11</v>
      </c>
    </row>
    <row r="7" ht="14.25" spans="1:74">
      <c r="A7" s="43" t="s">
        <v>104</v>
      </c>
      <c r="B7" s="62"/>
      <c r="C7" s="62"/>
      <c r="D7" s="63"/>
      <c r="E7" s="64"/>
      <c r="F7" s="55" t="s">
        <v>105</v>
      </c>
      <c r="G7" s="65">
        <f>B20</f>
        <v>0</v>
      </c>
      <c r="K7" s="40">
        <f t="shared" si="0"/>
        <v>42513.6936896669</v>
      </c>
      <c r="L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43635.8249887838</v>
      </c>
      <c r="M7" s="40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37768.9505707404</v>
      </c>
      <c r="N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24793.0823799908</v>
      </c>
      <c r="O7" s="40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21609.1643372109</v>
      </c>
      <c r="P7" s="41">
        <v>1</v>
      </c>
      <c r="Q7" s="42" t="s">
        <v>106</v>
      </c>
      <c r="R7" s="42" t="s">
        <v>77</v>
      </c>
      <c r="S7" s="42" t="s">
        <v>77</v>
      </c>
      <c r="T7" s="42" t="s">
        <v>77</v>
      </c>
      <c r="U7" s="42" t="s">
        <v>77</v>
      </c>
      <c r="V7" s="42" t="s">
        <v>77</v>
      </c>
      <c r="W7" s="42" t="s">
        <v>78</v>
      </c>
      <c r="X7" s="42" t="s">
        <v>79</v>
      </c>
      <c r="Y7" s="42" t="s">
        <v>77</v>
      </c>
      <c r="Z7" s="42" t="s">
        <v>77</v>
      </c>
      <c r="AA7" s="42" t="s">
        <v>73</v>
      </c>
      <c r="AB7" s="42" t="s">
        <v>77</v>
      </c>
      <c r="AC7" s="42" t="s">
        <v>77</v>
      </c>
      <c r="AD7" s="42" t="s">
        <v>77</v>
      </c>
      <c r="AE7" s="42" t="s">
        <v>81</v>
      </c>
      <c r="AF7" s="42" t="s">
        <v>82</v>
      </c>
      <c r="AG7" s="42" t="s">
        <v>77</v>
      </c>
      <c r="AH7" s="42" t="s">
        <v>77</v>
      </c>
      <c r="AI7" s="42" t="s">
        <v>77</v>
      </c>
      <c r="AJ7" s="42" t="s">
        <v>77</v>
      </c>
      <c r="AK7" s="42" t="s">
        <v>77</v>
      </c>
      <c r="AL7" t="str">
        <f>VLOOKUP($Q7,武学奇术!$A:$ZZ,25,FALSE)</f>
        <v>横刀</v>
      </c>
      <c r="AM7" s="27">
        <f>VLOOKUP($Q7,武学奇术!$A:$ZZ,26,FALSE)</f>
        <v>2.1324</v>
      </c>
      <c r="AN7" s="28">
        <f>VLOOKUP($Q7,武学奇术!$A:$ZZ,27,FALSE)*(1+IF(OR($AL7=$F$4,$AL7=$F$5),$B$22,0))</f>
        <v>885</v>
      </c>
      <c r="AO7" s="27">
        <f>VLOOKUP($Q7,武学奇术!$A:$ZZ,28,FALSE)</f>
        <v>3.1986</v>
      </c>
      <c r="AP7" s="28">
        <f>VLOOKUP($Q7,武学奇术!$A:$ZZ,29,FALSE)*(1+IF(OR($AL7=$F$4,$AL7=$F$5),$B$22,0))</f>
        <v>483</v>
      </c>
      <c r="AQ7" s="27" cm="1">
        <f t="array" ref="AQ7">$G$3+IFERROR(VLOOKUP($AL7,$F$4:$G$7,2,FALSE),0)+VLOOKUP($Q7,武学奇术!$A:$ZZ,2,FALSE)+SUM(_xlfn.XLOOKUP($R7:$AK7,增益!$A:$A,增益!$B:$B,0))</f>
        <v>0.4189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3574.7</v>
      </c>
      <c r="AT7" cm="1">
        <f t="array" ref="AT7">$E$10*(1+$AR7)+VLOOKUP($Q7,武学奇术!$A:$ZZ,4,FALSE)+SUM(_xlfn.XLOOKUP($R7:$AK7,增益!$A:$A,增益!$D:$D,0))-$I$2</f>
        <v>3574.7</v>
      </c>
      <c r="AU7" s="34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0.227</v>
      </c>
      <c r="AV7" s="34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4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4" cm="1">
        <f t="array" ref="BA7">$G$11+VLOOKUP($Q7,武学奇术!$A:$ZZ,10,FALSE)+SUM(_xlfn.XLOOKUP($R7:$AK7,增益!$A:$A,增益!$J:$J,0))</f>
        <v>0</v>
      </c>
      <c r="BB7">
        <f t="shared" si="3"/>
        <v>591.9</v>
      </c>
      <c r="BC7">
        <f t="shared" si="4"/>
        <v>1600.3</v>
      </c>
      <c r="BD7" s="34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0.09</v>
      </c>
      <c r="BE7" s="34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4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4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4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4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0.9859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7" cm="1">
        <f t="array" ref="BP7">1+$B$13+VLOOKUP($Q7,武学奇术!$A:$ZZ,18,FALSE)+SUM(_xlfn.XLOOKUP($R7:$AK7,增益!$A:$A,增益!$R:$R,0))</f>
        <v>1.76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0.87863408</v>
      </c>
      <c r="BT7" s="27">
        <f t="shared" si="10"/>
        <v>0.01567581</v>
      </c>
      <c r="BU7" s="27">
        <f>IF(VLOOKUP($Q7,武学奇术!$A:$ZZ,22,FALSE)=1,0,(1-$BN7))*(1-$BQ7)</f>
        <v>0.01279011</v>
      </c>
      <c r="BV7" s="27" cm="1">
        <f t="array" ref="BV7">SUM(_xlfn.XLOOKUP($R7:$AK7,增益!$A:$A,增益!$W:$W,0))+$I$5</f>
        <v>0.11</v>
      </c>
    </row>
    <row r="8" spans="1:74">
      <c r="A8" s="66" t="s">
        <v>107</v>
      </c>
      <c r="B8" s="67">
        <f>期望!B8</f>
        <v>0.9859</v>
      </c>
      <c r="C8" s="68" t="s">
        <v>108</v>
      </c>
      <c r="D8" s="68"/>
      <c r="E8" s="68"/>
      <c r="F8" s="68"/>
      <c r="G8" s="39"/>
      <c r="H8" s="69" t="s">
        <v>109</v>
      </c>
      <c r="I8" s="18">
        <f>期望!I8</f>
        <v>101.7</v>
      </c>
      <c r="J8" s="70"/>
      <c r="K8" s="40">
        <f t="shared" si="0"/>
        <v>26718.0020279272</v>
      </c>
      <c r="L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27378.3114832064</v>
      </c>
      <c r="M8" s="40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24221.6490844893</v>
      </c>
      <c r="N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15555.8587972764</v>
      </c>
      <c r="O8" s="40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13169.7553097459</v>
      </c>
      <c r="P8" s="41">
        <v>1</v>
      </c>
      <c r="Q8" s="42" t="s">
        <v>110</v>
      </c>
      <c r="R8" s="42" t="s">
        <v>76</v>
      </c>
      <c r="S8" s="42" t="s">
        <v>77</v>
      </c>
      <c r="T8" s="42" t="s">
        <v>86</v>
      </c>
      <c r="U8" s="42" t="s">
        <v>77</v>
      </c>
      <c r="V8" s="42" t="s">
        <v>77</v>
      </c>
      <c r="W8" s="42" t="s">
        <v>78</v>
      </c>
      <c r="X8" s="42" t="s">
        <v>79</v>
      </c>
      <c r="Y8" s="42" t="s">
        <v>77</v>
      </c>
      <c r="Z8" s="42" t="s">
        <v>77</v>
      </c>
      <c r="AA8" s="42" t="s">
        <v>73</v>
      </c>
      <c r="AB8" s="42" t="s">
        <v>77</v>
      </c>
      <c r="AC8" s="42" t="s">
        <v>77</v>
      </c>
      <c r="AD8" s="42" t="s">
        <v>77</v>
      </c>
      <c r="AE8" s="42" t="s">
        <v>81</v>
      </c>
      <c r="AF8" s="42" t="s">
        <v>82</v>
      </c>
      <c r="AG8" s="42" t="s">
        <v>77</v>
      </c>
      <c r="AH8" s="42" t="s">
        <v>77</v>
      </c>
      <c r="AI8" s="42" t="s">
        <v>77</v>
      </c>
      <c r="AJ8" s="42" t="s">
        <v>77</v>
      </c>
      <c r="AK8" s="42" t="s">
        <v>77</v>
      </c>
      <c r="AL8" t="str">
        <f>VLOOKUP($Q8,武学奇术!$A:$ZZ,25,FALSE)</f>
        <v>横刀</v>
      </c>
      <c r="AM8" s="27">
        <f>VLOOKUP($Q8,武学奇术!$A:$ZZ,26,FALSE)</f>
        <v>1.4</v>
      </c>
      <c r="AN8" s="28">
        <f>VLOOKUP($Q8,武学奇术!$A:$ZZ,27,FALSE)*(1+IF(OR($AL8=$F$4,$AL8=$F$5),$B$22,0))</f>
        <v>0</v>
      </c>
      <c r="AO8" s="27">
        <f>VLOOKUP($Q8,武学奇术!$A:$ZZ,28,FALSE)</f>
        <v>2.1</v>
      </c>
      <c r="AP8" s="28">
        <f>VLOOKUP($Q8,武学奇术!$A:$ZZ,29,FALSE)*(1+IF(OR($AL8=$F$4,$AL8=$F$5),$B$22,0))</f>
        <v>0</v>
      </c>
      <c r="AQ8" s="27" cm="1">
        <f t="array" ref="AQ8">$G$3+IFERROR(VLOOKUP($AL8,$F$4:$G$7,2,FALSE),0)+VLOOKUP($Q8,武学奇术!$A:$ZZ,2,FALSE)+SUM(_xlfn.XLOOKUP($R8:$AK8,增益!$A:$A,增益!$B:$B,0))</f>
        <v>0.5089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3574.7</v>
      </c>
      <c r="AT8" cm="1">
        <f t="array" ref="AT8">$E$10*(1+$AR8)+VLOOKUP($Q8,武学奇术!$A:$ZZ,4,FALSE)+SUM(_xlfn.XLOOKUP($R8:$AK8,增益!$A:$A,增益!$D:$D,0))-$I$2</f>
        <v>3574.7</v>
      </c>
      <c r="AU8" s="34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0.237</v>
      </c>
      <c r="AV8" s="34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4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4" cm="1">
        <f t="array" ref="BA8">$G$11+VLOOKUP($Q8,武学奇术!$A:$ZZ,10,FALSE)+SUM(_xlfn.XLOOKUP($R8:$AK8,增益!$A:$A,增益!$J:$J,0))</f>
        <v>0</v>
      </c>
      <c r="BB8">
        <f t="shared" si="3"/>
        <v>591.9</v>
      </c>
      <c r="BC8">
        <f t="shared" si="4"/>
        <v>1600.3</v>
      </c>
      <c r="BD8" s="34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0.17</v>
      </c>
      <c r="BE8" s="34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4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4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4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4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0.9859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7" cm="1">
        <f t="array" ref="BP8">1+$B$13+VLOOKUP($Q8,武学奇术!$A:$ZZ,18,FALSE)+SUM(_xlfn.XLOOKUP($R8:$AK8,增益!$A:$A,增益!$R:$R,0))</f>
        <v>1.76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0.87863408</v>
      </c>
      <c r="BT8" s="27">
        <f t="shared" si="10"/>
        <v>0.01567581</v>
      </c>
      <c r="BU8" s="27">
        <f>IF(VLOOKUP($Q8,武学奇术!$A:$ZZ,22,FALSE)=1,0,(1-$BN8))*(1-$BQ8)</f>
        <v>0.01279011</v>
      </c>
      <c r="BV8" s="27" cm="1">
        <f t="array" ref="BV8">SUM(_xlfn.XLOOKUP($R8:$AK8,增益!$A:$A,增益!$W:$W,0))+$I$5</f>
        <v>0.11</v>
      </c>
    </row>
    <row r="9" ht="14.25" spans="1:74">
      <c r="A9" s="43" t="s">
        <v>111</v>
      </c>
      <c r="B9" s="71">
        <f>期望!B9</f>
        <v>0.7992</v>
      </c>
      <c r="C9" s="22"/>
      <c r="D9" t="s">
        <v>0</v>
      </c>
      <c r="E9" t="s">
        <v>1</v>
      </c>
      <c r="F9" s="41" t="s">
        <v>2</v>
      </c>
      <c r="G9" s="46" t="s">
        <v>3</v>
      </c>
      <c r="H9" s="72"/>
      <c r="I9" s="20"/>
      <c r="J9" s="73"/>
      <c r="K9" s="40">
        <f t="shared" si="0"/>
        <v>14850.3209170024</v>
      </c>
      <c r="L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15319.2914909938</v>
      </c>
      <c r="M9" s="40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12635.0788714181</v>
      </c>
      <c r="N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8148.55930372009</v>
      </c>
      <c r="O9" s="40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6937.80092490825</v>
      </c>
      <c r="P9" s="41">
        <v>1</v>
      </c>
      <c r="Q9" s="42" t="s">
        <v>112</v>
      </c>
      <c r="R9" s="42" t="s">
        <v>76</v>
      </c>
      <c r="S9" s="42" t="s">
        <v>77</v>
      </c>
      <c r="T9" s="42" t="s">
        <v>86</v>
      </c>
      <c r="U9" s="42" t="s">
        <v>113</v>
      </c>
      <c r="V9" s="42" t="s">
        <v>77</v>
      </c>
      <c r="W9" s="42" t="s">
        <v>114</v>
      </c>
      <c r="X9" s="42" t="s">
        <v>79</v>
      </c>
      <c r="Y9" s="42" t="s">
        <v>77</v>
      </c>
      <c r="Z9" s="42" t="s">
        <v>77</v>
      </c>
      <c r="AA9" s="42" t="s">
        <v>73</v>
      </c>
      <c r="AB9" s="42" t="s">
        <v>77</v>
      </c>
      <c r="AC9" s="42" t="s">
        <v>77</v>
      </c>
      <c r="AD9" s="42" t="s">
        <v>77</v>
      </c>
      <c r="AE9" s="42" t="s">
        <v>81</v>
      </c>
      <c r="AF9" s="42" t="s">
        <v>82</v>
      </c>
      <c r="AG9" s="42" t="s">
        <v>77</v>
      </c>
      <c r="AH9" s="42" t="s">
        <v>77</v>
      </c>
      <c r="AI9" s="42" t="s">
        <v>77</v>
      </c>
      <c r="AJ9" s="42" t="s">
        <v>77</v>
      </c>
      <c r="AK9" s="42" t="s">
        <v>77</v>
      </c>
      <c r="AL9" t="str">
        <f>VLOOKUP($Q9,武学奇术!$A:$ZZ,25,FALSE)</f>
        <v>陌刀</v>
      </c>
      <c r="AM9" s="27">
        <f>VLOOKUP($Q9,武学奇术!$A:$ZZ,26,FALSE)</f>
        <v>0.5</v>
      </c>
      <c r="AN9" s="28">
        <f>VLOOKUP($Q9,武学奇术!$A:$ZZ,27,FALSE)*(1+IF(OR($AL9=$F$4,$AL9=$F$5),$B$22,0))</f>
        <v>0</v>
      </c>
      <c r="AO9" s="27">
        <f>VLOOKUP($Q9,武学奇术!$A:$ZZ,28,FALSE)</f>
        <v>0.75</v>
      </c>
      <c r="AP9" s="28">
        <f>VLOOKUP($Q9,武学奇术!$A:$ZZ,29,FALSE)*(1+IF(OR($AL9=$F$4,$AL9=$F$5),$B$22,0))</f>
        <v>0</v>
      </c>
      <c r="AQ9" s="27" cm="1">
        <f t="array" ref="AQ9">$G$3+IFERROR(VLOOKUP($AL9,$F$4:$G$7,2,FALSE),0)+VLOOKUP($Q9,武学奇术!$A:$ZZ,2,FALSE)+SUM(_xlfn.XLOOKUP($R9:$AK9,增益!$A:$A,增益!$B:$B,0))</f>
        <v>0.6241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3574.7</v>
      </c>
      <c r="AT9" cm="1">
        <f t="array" ref="AT9">$E$10*(1+$AR9)+VLOOKUP($Q9,武学奇术!$A:$ZZ,4,FALSE)+SUM(_xlfn.XLOOKUP($R9:$AK9,增益!$A:$A,增益!$D:$D,0))-$I$2</f>
        <v>3574.7</v>
      </c>
      <c r="AU9" s="34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0.297</v>
      </c>
      <c r="AV9" s="34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4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4" cm="1">
        <f t="array" ref="BA9">$G$11+VLOOKUP($Q9,武学奇术!$A:$ZZ,10,FALSE)+SUM(_xlfn.XLOOKUP($R9:$AK9,增益!$A:$A,增益!$J:$J,0))</f>
        <v>0</v>
      </c>
      <c r="BB9">
        <f t="shared" si="3"/>
        <v>591.9</v>
      </c>
      <c r="BC9">
        <f t="shared" si="4"/>
        <v>1600.3</v>
      </c>
      <c r="BD9" s="34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0.17</v>
      </c>
      <c r="BE9" s="34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4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4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4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4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0.9859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7" cm="1">
        <f t="array" ref="BP9">1+$B$13+VLOOKUP($Q9,武学奇术!$A:$ZZ,18,FALSE)+SUM(_xlfn.XLOOKUP($R9:$AK9,增益!$A:$A,增益!$R:$R,0))</f>
        <v>1.88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0.87863408</v>
      </c>
      <c r="BT9" s="27">
        <f t="shared" si="10"/>
        <v>0.01567581</v>
      </c>
      <c r="BU9" s="27">
        <f>IF(VLOOKUP($Q9,武学奇术!$A:$ZZ,22,FALSE)=1,0,(1-$BN9))*(1-$BQ9)</f>
        <v>0.01279011</v>
      </c>
      <c r="BV9" s="27" cm="1">
        <f t="array" ref="BV9">SUM(_xlfn.XLOOKUP($R9:$AK9,增益!$A:$A,增益!$W:$W,0))+$I$5</f>
        <v>0.11</v>
      </c>
    </row>
    <row r="10" spans="1:74">
      <c r="A10" s="43" t="s">
        <v>115</v>
      </c>
      <c r="B10" s="71">
        <f>期望!B10</f>
        <v>0.0929</v>
      </c>
      <c r="C10" s="22" t="s">
        <v>71</v>
      </c>
      <c r="D10">
        <f>期望!D10</f>
        <v>4194.7</v>
      </c>
      <c r="E10">
        <f>期望!E10</f>
        <v>4194.7</v>
      </c>
      <c r="F10">
        <f>期望!F10</f>
        <v>58.4</v>
      </c>
      <c r="G10" s="51">
        <f>期望!G10</f>
        <v>0</v>
      </c>
      <c r="H10" s="69" t="s">
        <v>116</v>
      </c>
      <c r="I10" s="24">
        <f>SUM(K:K)</f>
        <v>12005052.7540998</v>
      </c>
      <c r="J10" s="74"/>
      <c r="K10" s="40">
        <f t="shared" si="0"/>
        <v>29041.4653584584</v>
      </c>
      <c r="L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29041.4653584584</v>
      </c>
      <c r="M10" s="40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22743.1419685526</v>
      </c>
      <c r="N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14667.4067466962</v>
      </c>
      <c r="O10" s="40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12488.0416648349</v>
      </c>
      <c r="P10" s="41">
        <v>1</v>
      </c>
      <c r="Q10" s="42" t="s">
        <v>117</v>
      </c>
      <c r="R10" s="42" t="s">
        <v>76</v>
      </c>
      <c r="S10" s="42" t="s">
        <v>77</v>
      </c>
      <c r="T10" s="42" t="s">
        <v>86</v>
      </c>
      <c r="U10" s="42" t="s">
        <v>113</v>
      </c>
      <c r="V10" s="42" t="s">
        <v>118</v>
      </c>
      <c r="W10" s="42" t="s">
        <v>114</v>
      </c>
      <c r="X10" s="42" t="s">
        <v>79</v>
      </c>
      <c r="Y10" s="42" t="s">
        <v>77</v>
      </c>
      <c r="Z10" s="42" t="s">
        <v>77</v>
      </c>
      <c r="AA10" s="42" t="s">
        <v>73</v>
      </c>
      <c r="AB10" s="42" t="s">
        <v>77</v>
      </c>
      <c r="AC10" s="42" t="s">
        <v>77</v>
      </c>
      <c r="AD10" s="42" t="s">
        <v>77</v>
      </c>
      <c r="AE10" s="42" t="s">
        <v>81</v>
      </c>
      <c r="AF10" s="42" t="s">
        <v>82</v>
      </c>
      <c r="AG10" s="42" t="s">
        <v>77</v>
      </c>
      <c r="AH10" s="42" t="s">
        <v>77</v>
      </c>
      <c r="AI10" s="42" t="s">
        <v>77</v>
      </c>
      <c r="AJ10" s="42" t="s">
        <v>77</v>
      </c>
      <c r="AK10" s="42" t="s">
        <v>77</v>
      </c>
      <c r="AL10" t="str">
        <f>VLOOKUP($Q10,武学奇术!$A:$ZZ,25,FALSE)</f>
        <v>陌刀</v>
      </c>
      <c r="AM10" s="27">
        <f>VLOOKUP($Q10,武学奇术!$A:$ZZ,26,FALSE)</f>
        <v>0.9</v>
      </c>
      <c r="AN10" s="28">
        <f>VLOOKUP($Q10,武学奇术!$A:$ZZ,27,FALSE)*(1+IF(OR($AL10=$F$4,$AL10=$F$5),$B$22,0))</f>
        <v>0</v>
      </c>
      <c r="AO10" s="27">
        <f>VLOOKUP($Q10,武学奇术!$A:$ZZ,28,FALSE)</f>
        <v>1.35</v>
      </c>
      <c r="AP10" s="28">
        <f>VLOOKUP($Q10,武学奇术!$A:$ZZ,29,FALSE)*(1+IF(OR($AL10=$F$4,$AL10=$F$5),$B$22,0))</f>
        <v>0</v>
      </c>
      <c r="AQ10" s="27" cm="1">
        <f t="array" ref="AQ10">$G$3+IFERROR(VLOOKUP($AL10,$F$4:$G$7,2,FALSE),0)+VLOOKUP($Q10,武学奇术!$A:$ZZ,2,FALSE)+SUM(_xlfn.XLOOKUP($R10:$AK10,增益!$A:$A,增益!$B:$B,0))</f>
        <v>0.6241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3574.7</v>
      </c>
      <c r="AT10" cm="1">
        <f t="array" ref="AT10">$E$10*(1+$AR10)+VLOOKUP($Q10,武学奇术!$A:$ZZ,4,FALSE)+SUM(_xlfn.XLOOKUP($R10:$AK10,增益!$A:$A,增益!$D:$D,0))-$I$2</f>
        <v>3574.7</v>
      </c>
      <c r="AU10" s="34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0.297</v>
      </c>
      <c r="AV10" s="34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4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4" cm="1">
        <f t="array" ref="BA10">$G$11+VLOOKUP($Q10,武学奇术!$A:$ZZ,10,FALSE)+SUM(_xlfn.XLOOKUP($R10:$AK10,增益!$A:$A,增益!$J:$J,0))</f>
        <v>0</v>
      </c>
      <c r="BB10">
        <f t="shared" si="3"/>
        <v>591.9</v>
      </c>
      <c r="BC10">
        <f t="shared" si="4"/>
        <v>1600.3</v>
      </c>
      <c r="BD10" s="34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0.17</v>
      </c>
      <c r="BE10" s="34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4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4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4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4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1</v>
      </c>
      <c r="BP10" s="27" cm="1">
        <f t="array" ref="BP10">1+$B$13+VLOOKUP($Q10,武学奇术!$A:$ZZ,18,FALSE)+SUM(_xlfn.XLOOKUP($R10:$AK10,增益!$A:$A,增益!$R:$R,0))</f>
        <v>1.98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1</v>
      </c>
      <c r="BT10" s="27">
        <f t="shared" si="10"/>
        <v>0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3" t="s">
        <v>119</v>
      </c>
      <c r="B11" s="71">
        <f>期望!B11</f>
        <v>0.092</v>
      </c>
      <c r="C11" s="22" t="s">
        <v>83</v>
      </c>
      <c r="D11">
        <f>期望!D11</f>
        <v>0</v>
      </c>
      <c r="E11">
        <f>期望!E11</f>
        <v>0</v>
      </c>
      <c r="F11">
        <f>期望!F11</f>
        <v>0</v>
      </c>
      <c r="G11" s="51">
        <f>期望!G11</f>
        <v>0</v>
      </c>
      <c r="H11" s="72"/>
      <c r="I11" s="25"/>
      <c r="J11" s="75"/>
      <c r="K11" s="40">
        <f t="shared" si="0"/>
        <v>285711.221079421</v>
      </c>
      <c r="L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285711.221079421</v>
      </c>
      <c r="M11" s="40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216481.684439781</v>
      </c>
      <c r="N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142144.886109165</v>
      </c>
      <c r="O11" s="40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123932.968929602</v>
      </c>
      <c r="P11" s="41">
        <v>1</v>
      </c>
      <c r="Q11" s="42" t="s">
        <v>120</v>
      </c>
      <c r="R11" s="42" t="s">
        <v>85</v>
      </c>
      <c r="S11" s="42" t="s">
        <v>77</v>
      </c>
      <c r="T11" s="42" t="s">
        <v>86</v>
      </c>
      <c r="U11" s="42" t="s">
        <v>121</v>
      </c>
      <c r="V11" s="42" t="s">
        <v>118</v>
      </c>
      <c r="W11" s="42" t="s">
        <v>122</v>
      </c>
      <c r="X11" s="42" t="s">
        <v>79</v>
      </c>
      <c r="Y11" s="42" t="s">
        <v>77</v>
      </c>
      <c r="Z11" s="42" t="s">
        <v>77</v>
      </c>
      <c r="AA11" s="42" t="s">
        <v>73</v>
      </c>
      <c r="AB11" s="42" t="s">
        <v>77</v>
      </c>
      <c r="AC11" s="42" t="s">
        <v>77</v>
      </c>
      <c r="AD11" s="42" t="s">
        <v>77</v>
      </c>
      <c r="AE11" s="42" t="s">
        <v>81</v>
      </c>
      <c r="AF11" s="42" t="s">
        <v>82</v>
      </c>
      <c r="AG11" s="42" t="s">
        <v>77</v>
      </c>
      <c r="AH11" s="42" t="s">
        <v>77</v>
      </c>
      <c r="AI11" s="42" t="s">
        <v>77</v>
      </c>
      <c r="AJ11" s="42" t="s">
        <v>77</v>
      </c>
      <c r="AK11" s="42" t="s">
        <v>77</v>
      </c>
      <c r="AL11" t="str">
        <f>VLOOKUP($Q11,武学奇术!$A:$ZZ,25,FALSE)</f>
        <v>陌刀</v>
      </c>
      <c r="AM11" s="27">
        <f>VLOOKUP($Q11,武学奇术!$A:$ZZ,26,FALSE)</f>
        <v>7.5674</v>
      </c>
      <c r="AN11" s="28">
        <f>VLOOKUP($Q11,武学奇术!$A:$ZZ,27,FALSE)*(1+IF(OR($AL11=$F$4,$AL11=$F$5),$B$22,0))</f>
        <v>3139.5</v>
      </c>
      <c r="AO11" s="27">
        <f>VLOOKUP($Q11,武学奇术!$A:$ZZ,28,FALSE)</f>
        <v>11.3512</v>
      </c>
      <c r="AP11" s="28">
        <f>VLOOKUP($Q11,武学奇术!$A:$ZZ,29,FALSE)*(1+IF(OR($AL11=$F$4,$AL11=$F$5),$B$22,0))</f>
        <v>1710</v>
      </c>
      <c r="AQ11" s="27" cm="1">
        <f t="array" ref="AQ11">$G$3+IFERROR(VLOOKUP($AL11,$F$4:$G$7,2,FALSE),0)+VLOOKUP($Q11,武学奇术!$A:$ZZ,2,FALSE)+SUM(_xlfn.XLOOKUP($R11:$AK11,增益!$A:$A,增益!$B:$B,0))</f>
        <v>0.6141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3574.7</v>
      </c>
      <c r="AT11" cm="1">
        <f t="array" ref="AT11">$E$10*(1+$AR11)+VLOOKUP($Q11,武学奇术!$A:$ZZ,4,FALSE)+SUM(_xlfn.XLOOKUP($R11:$AK11,增益!$A:$A,增益!$D:$D,0))-$I$2</f>
        <v>3574.7</v>
      </c>
      <c r="AU11" s="34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0.322</v>
      </c>
      <c r="AV11" s="34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4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4" cm="1">
        <f t="array" ref="BA11">$G$11+VLOOKUP($Q11,武学奇术!$A:$ZZ,10,FALSE)+SUM(_xlfn.XLOOKUP($R11:$AK11,增益!$A:$A,增益!$J:$J,0))</f>
        <v>0</v>
      </c>
      <c r="BB11">
        <f t="shared" si="3"/>
        <v>591.9</v>
      </c>
      <c r="BC11">
        <f t="shared" si="4"/>
        <v>1600.3</v>
      </c>
      <c r="BD11" s="34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0.17</v>
      </c>
      <c r="BE11" s="34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4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4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4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4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1</v>
      </c>
      <c r="BP11" s="27" cm="1">
        <f t="array" ref="BP11">1+$B$13+VLOOKUP($Q11,武学奇术!$A:$ZZ,18,FALSE)+SUM(_xlfn.XLOOKUP($R11:$AK11,增益!$A:$A,增益!$R:$R,0))</f>
        <v>2.01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1</v>
      </c>
      <c r="BT11" s="27">
        <f t="shared" si="10"/>
        <v>0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3" t="s">
        <v>123</v>
      </c>
      <c r="B12" s="71">
        <f>期望!B12</f>
        <v>0</v>
      </c>
      <c r="C12" s="22" t="s">
        <v>5</v>
      </c>
      <c r="D12">
        <f>期望!D12</f>
        <v>591.9</v>
      </c>
      <c r="E12">
        <f>期望!E12</f>
        <v>1600.3</v>
      </c>
      <c r="F12">
        <f>期望!F12</f>
        <v>36</v>
      </c>
      <c r="G12" s="51">
        <f>期望!G12</f>
        <v>0.15</v>
      </c>
      <c r="H12" s="69" t="s">
        <v>195</v>
      </c>
      <c r="I12" s="40">
        <f>I10/I8</f>
        <v>118043.783226154</v>
      </c>
      <c r="J12" s="76"/>
      <c r="K12" s="40">
        <f t="shared" si="0"/>
        <v>16777.5496112779</v>
      </c>
      <c r="L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16777.5496112779</v>
      </c>
      <c r="M12" s="40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12857.3067930911</v>
      </c>
      <c r="N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8305.71762934549</v>
      </c>
      <c r="O12" s="40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7087.50430084576</v>
      </c>
      <c r="P12" s="41">
        <v>1</v>
      </c>
      <c r="Q12" s="42" t="s">
        <v>125</v>
      </c>
      <c r="R12" s="42" t="s">
        <v>85</v>
      </c>
      <c r="S12" s="42" t="s">
        <v>77</v>
      </c>
      <c r="T12" s="42" t="s">
        <v>86</v>
      </c>
      <c r="U12" s="42" t="s">
        <v>121</v>
      </c>
      <c r="V12" s="42" t="s">
        <v>118</v>
      </c>
      <c r="W12" s="42" t="s">
        <v>114</v>
      </c>
      <c r="X12" s="42" t="s">
        <v>88</v>
      </c>
      <c r="Y12" s="42" t="s">
        <v>77</v>
      </c>
      <c r="Z12" s="42" t="s">
        <v>77</v>
      </c>
      <c r="AA12" s="42" t="s">
        <v>73</v>
      </c>
      <c r="AB12" s="42" t="s">
        <v>77</v>
      </c>
      <c r="AC12" s="42" t="s">
        <v>77</v>
      </c>
      <c r="AD12" s="42" t="s">
        <v>77</v>
      </c>
      <c r="AE12" s="42" t="s">
        <v>81</v>
      </c>
      <c r="AF12" s="42" t="s">
        <v>82</v>
      </c>
      <c r="AG12" s="42" t="s">
        <v>77</v>
      </c>
      <c r="AH12" s="42" t="s">
        <v>77</v>
      </c>
      <c r="AI12" s="42" t="s">
        <v>77</v>
      </c>
      <c r="AJ12" s="42" t="s">
        <v>77</v>
      </c>
      <c r="AK12" s="42" t="s">
        <v>77</v>
      </c>
      <c r="AL12" t="str">
        <f>VLOOKUP($Q12,武学奇术!$A:$ZZ,25,FALSE)</f>
        <v>陌刀</v>
      </c>
      <c r="AM12" s="27">
        <f>VLOOKUP($Q12,武学奇术!$A:$ZZ,26,FALSE)</f>
        <v>0.5</v>
      </c>
      <c r="AN12" s="28">
        <f>VLOOKUP($Q12,武学奇术!$A:$ZZ,27,FALSE)*(1+IF(OR($AL12=$F$4,$AL12=$F$5),$B$22,0))</f>
        <v>0</v>
      </c>
      <c r="AO12" s="27">
        <f>VLOOKUP($Q12,武学奇术!$A:$ZZ,28,FALSE)</f>
        <v>0.75</v>
      </c>
      <c r="AP12" s="28">
        <f>VLOOKUP($Q12,武学奇术!$A:$ZZ,29,FALSE)*(1+IF(OR($AL12=$F$4,$AL12=$F$5),$B$22,0))</f>
        <v>0</v>
      </c>
      <c r="AQ12" s="27" cm="1">
        <f t="array" ref="AQ12">$G$3+IFERROR(VLOOKUP($AL12,$F$4:$G$7,2,FALSE),0)+VLOOKUP($Q12,武学奇术!$A:$ZZ,2,FALSE)+SUM(_xlfn.XLOOKUP($R12:$AK12,增益!$A:$A,增益!$B:$B,0))</f>
        <v>0.6341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3574.7</v>
      </c>
      <c r="AT12" cm="1">
        <f t="array" ref="AT12">$E$10*(1+$AR12)+VLOOKUP($Q12,武学奇术!$A:$ZZ,4,FALSE)+SUM(_xlfn.XLOOKUP($R12:$AK12,增益!$A:$A,增益!$D:$D,0))-$I$2</f>
        <v>3574.7</v>
      </c>
      <c r="AU12" s="34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0.322</v>
      </c>
      <c r="AV12" s="34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4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4" cm="1">
        <f t="array" ref="BA12">$G$11+VLOOKUP($Q12,武学奇术!$A:$ZZ,10,FALSE)+SUM(_xlfn.XLOOKUP($R12:$AK12,增益!$A:$A,增益!$J:$J,0))</f>
        <v>0</v>
      </c>
      <c r="BB12">
        <f t="shared" si="3"/>
        <v>591.9</v>
      </c>
      <c r="BC12">
        <f t="shared" si="4"/>
        <v>1600.3</v>
      </c>
      <c r="BD12" s="34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0.17</v>
      </c>
      <c r="BE12" s="34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4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4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4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4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1</v>
      </c>
      <c r="BP12" s="27" cm="1">
        <f t="array" ref="BP12">1+$B$13+VLOOKUP($Q12,武学奇术!$A:$ZZ,18,FALSE)+SUM(_xlfn.XLOOKUP($R12:$AK12,增益!$A:$A,增益!$R:$R,0))</f>
        <v>2.02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1</v>
      </c>
      <c r="BT12" s="27">
        <f t="shared" si="10"/>
        <v>0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3" t="s">
        <v>126</v>
      </c>
      <c r="B13" s="71">
        <f>期望!B13</f>
        <v>0.54</v>
      </c>
      <c r="C13" s="22" t="s">
        <v>96</v>
      </c>
      <c r="D13">
        <f>期望!D13</f>
        <v>0</v>
      </c>
      <c r="E13">
        <f>期望!E13</f>
        <v>0</v>
      </c>
      <c r="F13">
        <f>期望!F13</f>
        <v>0</v>
      </c>
      <c r="G13" s="51">
        <f>期望!G13</f>
        <v>0</v>
      </c>
      <c r="H13" s="72"/>
      <c r="I13" s="77"/>
      <c r="J13" s="75"/>
      <c r="K13" s="40">
        <f t="shared" si="0"/>
        <v>30540.9499974434</v>
      </c>
      <c r="L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30540.9499974434</v>
      </c>
      <c r="M13" s="40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23389.4048548814</v>
      </c>
      <c r="N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15119.2821769522</v>
      </c>
      <c r="O13" s="40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12913.0792762144</v>
      </c>
      <c r="P13" s="41">
        <v>1</v>
      </c>
      <c r="Q13" s="42" t="s">
        <v>117</v>
      </c>
      <c r="R13" s="42" t="s">
        <v>93</v>
      </c>
      <c r="S13" s="42" t="s">
        <v>77</v>
      </c>
      <c r="T13" s="42" t="s">
        <v>86</v>
      </c>
      <c r="U13" s="42" t="s">
        <v>121</v>
      </c>
      <c r="V13" s="42" t="s">
        <v>118</v>
      </c>
      <c r="W13" s="42" t="s">
        <v>114</v>
      </c>
      <c r="X13" s="42" t="s">
        <v>88</v>
      </c>
      <c r="Y13" s="42" t="s">
        <v>77</v>
      </c>
      <c r="Z13" s="42" t="s">
        <v>77</v>
      </c>
      <c r="AA13" s="42" t="s">
        <v>73</v>
      </c>
      <c r="AB13" s="42" t="s">
        <v>77</v>
      </c>
      <c r="AC13" s="42" t="s">
        <v>77</v>
      </c>
      <c r="AD13" s="42" t="s">
        <v>77</v>
      </c>
      <c r="AE13" s="42" t="s">
        <v>81</v>
      </c>
      <c r="AF13" s="42" t="s">
        <v>82</v>
      </c>
      <c r="AG13" s="42" t="s">
        <v>77</v>
      </c>
      <c r="AH13" s="42" t="s">
        <v>77</v>
      </c>
      <c r="AI13" s="42" t="s">
        <v>77</v>
      </c>
      <c r="AJ13" s="42" t="s">
        <v>77</v>
      </c>
      <c r="AK13" s="42" t="s">
        <v>77</v>
      </c>
      <c r="AL13" t="str">
        <f>VLOOKUP($Q13,武学奇术!$A:$ZZ,25,FALSE)</f>
        <v>陌刀</v>
      </c>
      <c r="AM13" s="27">
        <f>VLOOKUP($Q13,武学奇术!$A:$ZZ,26,FALSE)</f>
        <v>0.9</v>
      </c>
      <c r="AN13" s="28">
        <f>VLOOKUP($Q13,武学奇术!$A:$ZZ,27,FALSE)*(1+IF(OR($AL13=$F$4,$AL13=$F$5),$B$22,0))</f>
        <v>0</v>
      </c>
      <c r="AO13" s="27">
        <f>VLOOKUP($Q13,武学奇术!$A:$ZZ,28,FALSE)</f>
        <v>1.35</v>
      </c>
      <c r="AP13" s="28">
        <f>VLOOKUP($Q13,武学奇术!$A:$ZZ,29,FALSE)*(1+IF(OR($AL13=$F$4,$AL13=$F$5),$B$22,0))</f>
        <v>0</v>
      </c>
      <c r="AQ13" s="27" cm="1">
        <f t="array" ref="AQ13">$G$3+IFERROR(VLOOKUP($AL13,$F$4:$G$7,2,FALSE),0)+VLOOKUP($Q13,武学奇术!$A:$ZZ,2,FALSE)+SUM(_xlfn.XLOOKUP($R13:$AK13,增益!$A:$A,增益!$B:$B,0))</f>
        <v>0.6441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3574.7</v>
      </c>
      <c r="AT13" cm="1">
        <f t="array" ref="AT13">$E$10*(1+$AR13)+VLOOKUP($Q13,武学奇术!$A:$ZZ,4,FALSE)+SUM(_xlfn.XLOOKUP($R13:$AK13,增益!$A:$A,增益!$D:$D,0))-$I$2</f>
        <v>3574.7</v>
      </c>
      <c r="AU13" s="34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0.332</v>
      </c>
      <c r="AV13" s="34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4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4" cm="1">
        <f t="array" ref="BA13">$G$11+VLOOKUP($Q13,武学奇术!$A:$ZZ,10,FALSE)+SUM(_xlfn.XLOOKUP($R13:$AK13,增益!$A:$A,增益!$J:$J,0))</f>
        <v>0</v>
      </c>
      <c r="BB13">
        <f t="shared" si="3"/>
        <v>591.9</v>
      </c>
      <c r="BC13">
        <f t="shared" si="4"/>
        <v>1600.3</v>
      </c>
      <c r="BD13" s="34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0.17</v>
      </c>
      <c r="BE13" s="34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4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4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4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4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1</v>
      </c>
      <c r="BP13" s="27" cm="1">
        <f t="array" ref="BP13">1+$B$13+VLOOKUP($Q13,武学奇术!$A:$ZZ,18,FALSE)+SUM(_xlfn.XLOOKUP($R13:$AK13,增益!$A:$A,增益!$R:$R,0))</f>
        <v>2.02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1</v>
      </c>
      <c r="BT13" s="27">
        <f t="shared" si="10"/>
        <v>0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3" t="s">
        <v>127</v>
      </c>
      <c r="B14" s="71">
        <f>期望!B14</f>
        <v>0.35</v>
      </c>
      <c r="C14" s="13" t="s">
        <v>101</v>
      </c>
      <c r="D14" s="13">
        <f>期望!D14</f>
        <v>0</v>
      </c>
      <c r="E14" s="13">
        <f>期望!E14</f>
        <v>0</v>
      </c>
      <c r="F14" s="13">
        <f>期望!F14</f>
        <v>0</v>
      </c>
      <c r="G14" s="65">
        <f>期望!G14</f>
        <v>0</v>
      </c>
      <c r="H14" s="38" t="s">
        <v>128</v>
      </c>
      <c r="I14" s="24">
        <f>I12+120000*8%</f>
        <v>127643.783226154</v>
      </c>
      <c r="J14" s="74"/>
      <c r="K14" s="40">
        <f t="shared" si="0"/>
        <v>290362.795069718</v>
      </c>
      <c r="L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290362.795069718</v>
      </c>
      <c r="M14" s="40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218792.752156887</v>
      </c>
      <c r="N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143743.957955306</v>
      </c>
      <c r="O14" s="40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125419.210609214</v>
      </c>
      <c r="P14" s="41">
        <v>1</v>
      </c>
      <c r="Q14" s="42" t="s">
        <v>120</v>
      </c>
      <c r="R14" s="42" t="s">
        <v>93</v>
      </c>
      <c r="S14" s="42" t="s">
        <v>77</v>
      </c>
      <c r="T14" s="42" t="s">
        <v>86</v>
      </c>
      <c r="U14" s="42" t="s">
        <v>121</v>
      </c>
      <c r="V14" s="42" t="s">
        <v>118</v>
      </c>
      <c r="W14" s="42" t="s">
        <v>122</v>
      </c>
      <c r="X14" s="42" t="s">
        <v>88</v>
      </c>
      <c r="Y14" s="42" t="s">
        <v>77</v>
      </c>
      <c r="Z14" s="42" t="s">
        <v>77</v>
      </c>
      <c r="AA14" s="42" t="s">
        <v>73</v>
      </c>
      <c r="AB14" s="42" t="s">
        <v>77</v>
      </c>
      <c r="AC14" s="42" t="s">
        <v>77</v>
      </c>
      <c r="AD14" s="42" t="s">
        <v>77</v>
      </c>
      <c r="AE14" s="42" t="s">
        <v>81</v>
      </c>
      <c r="AF14" s="42" t="s">
        <v>82</v>
      </c>
      <c r="AG14" s="42" t="s">
        <v>77</v>
      </c>
      <c r="AH14" s="42" t="s">
        <v>77</v>
      </c>
      <c r="AI14" s="42" t="s">
        <v>77</v>
      </c>
      <c r="AJ14" s="42" t="s">
        <v>77</v>
      </c>
      <c r="AK14" s="42" t="s">
        <v>77</v>
      </c>
      <c r="AL14" t="str">
        <f>VLOOKUP($Q14,武学奇术!$A:$ZZ,25,FALSE)</f>
        <v>陌刀</v>
      </c>
      <c r="AM14" s="27">
        <f>VLOOKUP($Q14,武学奇术!$A:$ZZ,26,FALSE)</f>
        <v>7.5674</v>
      </c>
      <c r="AN14" s="28">
        <f>VLOOKUP($Q14,武学奇术!$A:$ZZ,27,FALSE)*(1+IF(OR($AL14=$F$4,$AL14=$F$5),$B$22,0))</f>
        <v>3139.5</v>
      </c>
      <c r="AO14" s="27">
        <f>VLOOKUP($Q14,武学奇术!$A:$ZZ,28,FALSE)</f>
        <v>11.3512</v>
      </c>
      <c r="AP14" s="28">
        <f>VLOOKUP($Q14,武学奇术!$A:$ZZ,29,FALSE)*(1+IF(OR($AL14=$F$4,$AL14=$F$5),$B$22,0))</f>
        <v>1710</v>
      </c>
      <c r="AQ14" s="27" cm="1">
        <f t="array" ref="AQ14">$G$3+IFERROR(VLOOKUP($AL14,$F$4:$G$7,2,FALSE),0)+VLOOKUP($Q14,武学奇术!$A:$ZZ,2,FALSE)+SUM(_xlfn.XLOOKUP($R14:$AK14,增益!$A:$A,增益!$B:$B,0))</f>
        <v>0.6241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3574.7</v>
      </c>
      <c r="AT14" cm="1">
        <f t="array" ref="AT14">$E$10*(1+$AR14)+VLOOKUP($Q14,武学奇术!$A:$ZZ,4,FALSE)+SUM(_xlfn.XLOOKUP($R14:$AK14,增益!$A:$A,增益!$D:$D,0))-$I$2</f>
        <v>3574.7</v>
      </c>
      <c r="AU14" s="34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0.332</v>
      </c>
      <c r="AV14" s="34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4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4" cm="1">
        <f t="array" ref="BA14">$G$11+VLOOKUP($Q14,武学奇术!$A:$ZZ,10,FALSE)+SUM(_xlfn.XLOOKUP($R14:$AK14,增益!$A:$A,增益!$J:$J,0))</f>
        <v>0</v>
      </c>
      <c r="BB14">
        <f t="shared" si="3"/>
        <v>591.9</v>
      </c>
      <c r="BC14">
        <f t="shared" si="4"/>
        <v>1600.3</v>
      </c>
      <c r="BD14" s="34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0.17</v>
      </c>
      <c r="BE14" s="34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4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4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4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4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1</v>
      </c>
      <c r="BP14" s="27" cm="1">
        <f t="array" ref="BP14">1+$B$13+VLOOKUP($Q14,武学奇术!$A:$ZZ,18,FALSE)+SUM(_xlfn.XLOOKUP($R14:$AK14,增益!$A:$A,增益!$R:$R,0))</f>
        <v>2.02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1</v>
      </c>
      <c r="BT14" s="27">
        <f t="shared" si="10"/>
        <v>0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3" t="s">
        <v>129</v>
      </c>
      <c r="B15" s="71">
        <f>期望!B15</f>
        <v>0.0852</v>
      </c>
      <c r="C15" s="41" t="s">
        <v>130</v>
      </c>
      <c r="D15" s="41"/>
      <c r="F15" s="78"/>
      <c r="H15" s="79"/>
      <c r="I15" s="25"/>
      <c r="J15" s="75"/>
      <c r="K15" s="40">
        <f t="shared" si="0"/>
        <v>17242.8373657045</v>
      </c>
      <c r="L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17242.8373657045</v>
      </c>
      <c r="M15" s="40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13131.6279062532</v>
      </c>
      <c r="N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8494.00855453424</v>
      </c>
      <c r="O15" s="40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7260.8853266587</v>
      </c>
      <c r="P15" s="41">
        <v>1</v>
      </c>
      <c r="Q15" s="42" t="s">
        <v>125</v>
      </c>
      <c r="R15" s="42" t="s">
        <v>99</v>
      </c>
      <c r="S15" s="42" t="s">
        <v>77</v>
      </c>
      <c r="T15" s="42" t="s">
        <v>86</v>
      </c>
      <c r="U15" s="42" t="s">
        <v>121</v>
      </c>
      <c r="V15" s="42" t="s">
        <v>118</v>
      </c>
      <c r="W15" s="42" t="s">
        <v>114</v>
      </c>
      <c r="X15" s="42" t="s">
        <v>94</v>
      </c>
      <c r="Y15" s="42" t="s">
        <v>77</v>
      </c>
      <c r="Z15" s="42" t="s">
        <v>77</v>
      </c>
      <c r="AA15" s="42" t="s">
        <v>73</v>
      </c>
      <c r="AB15" s="42" t="s">
        <v>77</v>
      </c>
      <c r="AC15" s="42" t="s">
        <v>77</v>
      </c>
      <c r="AD15" s="42" t="s">
        <v>77</v>
      </c>
      <c r="AE15" s="42" t="s">
        <v>81</v>
      </c>
      <c r="AF15" s="42" t="s">
        <v>82</v>
      </c>
      <c r="AG15" s="42" t="s">
        <v>77</v>
      </c>
      <c r="AH15" s="42" t="s">
        <v>77</v>
      </c>
      <c r="AI15" s="42" t="s">
        <v>77</v>
      </c>
      <c r="AJ15" s="42" t="s">
        <v>77</v>
      </c>
      <c r="AK15" s="42" t="s">
        <v>77</v>
      </c>
      <c r="AL15" t="str">
        <f>VLOOKUP($Q15,武学奇术!$A:$ZZ,25,FALSE)</f>
        <v>陌刀</v>
      </c>
      <c r="AM15" s="27">
        <f>VLOOKUP($Q15,武学奇术!$A:$ZZ,26,FALSE)</f>
        <v>0.5</v>
      </c>
      <c r="AN15" s="28">
        <f>VLOOKUP($Q15,武学奇术!$A:$ZZ,27,FALSE)*(1+IF(OR($AL15=$F$4,$AL15=$F$5),$B$22,0))</f>
        <v>0</v>
      </c>
      <c r="AO15" s="27">
        <f>VLOOKUP($Q15,武学奇术!$A:$ZZ,28,FALSE)</f>
        <v>0.75</v>
      </c>
      <c r="AP15" s="28">
        <f>VLOOKUP($Q15,武学奇术!$A:$ZZ,29,FALSE)*(1+IF(OR($AL15=$F$4,$AL15=$F$5),$B$22,0))</f>
        <v>0</v>
      </c>
      <c r="AQ15" s="27" cm="1">
        <f t="array" ref="AQ15">$G$3+IFERROR(VLOOKUP($AL15,$F$4:$G$7,2,FALSE),0)+VLOOKUP($Q15,武学奇术!$A:$ZZ,2,FALSE)+SUM(_xlfn.XLOOKUP($R15:$AK15,增益!$A:$A,增益!$B:$B,0))</f>
        <v>0.6541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3574.7</v>
      </c>
      <c r="AT15" cm="1">
        <f t="array" ref="AT15">$E$10*(1+$AR15)+VLOOKUP($Q15,武学奇术!$A:$ZZ,4,FALSE)+SUM(_xlfn.XLOOKUP($R15:$AK15,增益!$A:$A,增益!$D:$D,0))-$I$2</f>
        <v>3574.7</v>
      </c>
      <c r="AU15" s="34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0.342</v>
      </c>
      <c r="AV15" s="34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4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4" cm="1">
        <f t="array" ref="BA15">$G$11+VLOOKUP($Q15,武学奇术!$A:$ZZ,10,FALSE)+SUM(_xlfn.XLOOKUP($R15:$AK15,增益!$A:$A,增益!$J:$J,0))</f>
        <v>0</v>
      </c>
      <c r="BB15">
        <f t="shared" si="3"/>
        <v>591.9</v>
      </c>
      <c r="BC15">
        <f t="shared" si="4"/>
        <v>1600.3</v>
      </c>
      <c r="BD15" s="34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0.17</v>
      </c>
      <c r="BE15" s="34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4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4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4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4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1</v>
      </c>
      <c r="BP15" s="27" cm="1">
        <f t="array" ref="BP15">1+$B$13+VLOOKUP($Q15,武学奇术!$A:$ZZ,18,FALSE)+SUM(_xlfn.XLOOKUP($R15:$AK15,增益!$A:$A,增益!$R:$R,0))</f>
        <v>2.03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1</v>
      </c>
      <c r="BT15" s="27">
        <f t="shared" si="10"/>
        <v>0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3" t="s">
        <v>131</v>
      </c>
      <c r="B16" s="71">
        <f>期望!B16</f>
        <v>0.0887</v>
      </c>
      <c r="C16" s="41" t="s">
        <v>132</v>
      </c>
      <c r="D16" s="78" t="s">
        <v>147</v>
      </c>
      <c r="E16" s="41" t="s">
        <v>134</v>
      </c>
      <c r="F16" s="78" t="s">
        <v>133</v>
      </c>
      <c r="H16" s="69" t="s">
        <v>135</v>
      </c>
      <c r="I16" s="80"/>
      <c r="J16" s="81"/>
      <c r="K16" s="40">
        <f t="shared" si="0"/>
        <v>31037.1072582681</v>
      </c>
      <c r="L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31037.1072582681</v>
      </c>
      <c r="M16" s="40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23636.9302312558</v>
      </c>
      <c r="N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15289.2153981616</v>
      </c>
      <c r="O16" s="40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13069.5935879857</v>
      </c>
      <c r="P16" s="41">
        <v>1</v>
      </c>
      <c r="Q16" s="42" t="s">
        <v>117</v>
      </c>
      <c r="R16" s="42" t="s">
        <v>99</v>
      </c>
      <c r="S16" s="42" t="s">
        <v>77</v>
      </c>
      <c r="T16" s="42" t="s">
        <v>86</v>
      </c>
      <c r="U16" s="42" t="s">
        <v>121</v>
      </c>
      <c r="V16" s="42" t="s">
        <v>118</v>
      </c>
      <c r="W16" s="42" t="s">
        <v>114</v>
      </c>
      <c r="X16" s="42" t="s">
        <v>94</v>
      </c>
      <c r="Y16" s="42" t="s">
        <v>77</v>
      </c>
      <c r="Z16" s="42" t="s">
        <v>77</v>
      </c>
      <c r="AA16" s="42" t="s">
        <v>73</v>
      </c>
      <c r="AB16" s="42" t="s">
        <v>77</v>
      </c>
      <c r="AC16" s="42" t="s">
        <v>77</v>
      </c>
      <c r="AD16" s="42" t="s">
        <v>77</v>
      </c>
      <c r="AE16" s="42" t="s">
        <v>81</v>
      </c>
      <c r="AF16" s="42" t="s">
        <v>82</v>
      </c>
      <c r="AG16" s="42" t="s">
        <v>77</v>
      </c>
      <c r="AH16" s="42" t="s">
        <v>77</v>
      </c>
      <c r="AI16" s="42" t="s">
        <v>77</v>
      </c>
      <c r="AJ16" s="42" t="s">
        <v>77</v>
      </c>
      <c r="AK16" s="42" t="s">
        <v>77</v>
      </c>
      <c r="AL16" t="str">
        <f>VLOOKUP($Q16,武学奇术!$A:$ZZ,25,FALSE)</f>
        <v>陌刀</v>
      </c>
      <c r="AM16" s="27">
        <f>VLOOKUP($Q16,武学奇术!$A:$ZZ,26,FALSE)</f>
        <v>0.9</v>
      </c>
      <c r="AN16" s="28">
        <f>VLOOKUP($Q16,武学奇术!$A:$ZZ,27,FALSE)*(1+IF(OR($AL16=$F$4,$AL16=$F$5),$B$22,0))</f>
        <v>0</v>
      </c>
      <c r="AO16" s="27">
        <f>VLOOKUP($Q16,武学奇术!$A:$ZZ,28,FALSE)</f>
        <v>1.35</v>
      </c>
      <c r="AP16" s="28">
        <f>VLOOKUP($Q16,武学奇术!$A:$ZZ,29,FALSE)*(1+IF(OR($AL16=$F$4,$AL16=$F$5),$B$22,0))</f>
        <v>0</v>
      </c>
      <c r="AQ16" s="27" cm="1">
        <f t="array" ref="AQ16">$G$3+IFERROR(VLOOKUP($AL16,$F$4:$G$7,2,FALSE),0)+VLOOKUP($Q16,武学奇术!$A:$ZZ,2,FALSE)+SUM(_xlfn.XLOOKUP($R16:$AK16,增益!$A:$A,增益!$B:$B,0))</f>
        <v>0.6541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3574.7</v>
      </c>
      <c r="AT16" cm="1">
        <f t="array" ref="AT16">$E$10*(1+$AR16)+VLOOKUP($Q16,武学奇术!$A:$ZZ,4,FALSE)+SUM(_xlfn.XLOOKUP($R16:$AK16,增益!$A:$A,增益!$D:$D,0))-$I$2</f>
        <v>3574.7</v>
      </c>
      <c r="AU16" s="34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0.342</v>
      </c>
      <c r="AV16" s="34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4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4" cm="1">
        <f t="array" ref="BA16">$G$11+VLOOKUP($Q16,武学奇术!$A:$ZZ,10,FALSE)+SUM(_xlfn.XLOOKUP($R16:$AK16,增益!$A:$A,增益!$J:$J,0))</f>
        <v>0</v>
      </c>
      <c r="BB16">
        <f t="shared" si="3"/>
        <v>591.9</v>
      </c>
      <c r="BC16">
        <f t="shared" si="4"/>
        <v>1600.3</v>
      </c>
      <c r="BD16" s="34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0.17</v>
      </c>
      <c r="BE16" s="34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4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34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4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4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1</v>
      </c>
      <c r="BP16" s="27" cm="1">
        <f t="array" ref="BP16">1+$B$13+VLOOKUP($Q16,武学奇术!$A:$ZZ,18,FALSE)+SUM(_xlfn.XLOOKUP($R16:$AK16,增益!$A:$A,增益!$R:$R,0))</f>
        <v>2.03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1</v>
      </c>
      <c r="BT16" s="27">
        <f t="shared" si="10"/>
        <v>0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3" t="s">
        <v>136</v>
      </c>
      <c r="B17" s="71">
        <f>期望!B17</f>
        <v>0.0852</v>
      </c>
      <c r="C17" s="41" t="s">
        <v>137</v>
      </c>
      <c r="D17" s="78" t="s">
        <v>147</v>
      </c>
      <c r="E17" s="41" t="s">
        <v>138</v>
      </c>
      <c r="F17" s="78" t="s">
        <v>147</v>
      </c>
      <c r="H17" s="72"/>
      <c r="I17" s="82"/>
      <c r="J17" s="83"/>
      <c r="K17" s="40">
        <f t="shared" si="0"/>
        <v>295064.310065822</v>
      </c>
      <c r="L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295064.310065822</v>
      </c>
      <c r="M17" s="40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221115.763429655</v>
      </c>
      <c r="N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145351.876879715</v>
      </c>
      <c r="O17" s="40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126914.299367094</v>
      </c>
      <c r="P17" s="41">
        <v>1</v>
      </c>
      <c r="Q17" s="42" t="s">
        <v>120</v>
      </c>
      <c r="R17" s="42" t="s">
        <v>99</v>
      </c>
      <c r="S17" s="42" t="s">
        <v>77</v>
      </c>
      <c r="T17" s="42" t="s">
        <v>86</v>
      </c>
      <c r="U17" s="42" t="s">
        <v>121</v>
      </c>
      <c r="V17" s="42" t="s">
        <v>118</v>
      </c>
      <c r="W17" s="42" t="s">
        <v>122</v>
      </c>
      <c r="X17" s="42" t="s">
        <v>94</v>
      </c>
      <c r="Y17" s="42" t="s">
        <v>77</v>
      </c>
      <c r="Z17" s="42" t="s">
        <v>77</v>
      </c>
      <c r="AA17" s="42" t="s">
        <v>73</v>
      </c>
      <c r="AB17" s="42" t="s">
        <v>77</v>
      </c>
      <c r="AC17" s="42" t="s">
        <v>77</v>
      </c>
      <c r="AD17" s="42" t="s">
        <v>77</v>
      </c>
      <c r="AE17" s="42" t="s">
        <v>81</v>
      </c>
      <c r="AF17" s="42" t="s">
        <v>82</v>
      </c>
      <c r="AG17" s="42" t="s">
        <v>77</v>
      </c>
      <c r="AH17" s="42" t="s">
        <v>77</v>
      </c>
      <c r="AI17" s="42" t="s">
        <v>77</v>
      </c>
      <c r="AJ17" s="42" t="s">
        <v>77</v>
      </c>
      <c r="AK17" s="42" t="s">
        <v>77</v>
      </c>
      <c r="AL17" t="str">
        <f>VLOOKUP($Q17,武学奇术!$A:$ZZ,25,FALSE)</f>
        <v>陌刀</v>
      </c>
      <c r="AM17" s="27">
        <f>VLOOKUP($Q17,武学奇术!$A:$ZZ,26,FALSE)</f>
        <v>7.5674</v>
      </c>
      <c r="AN17" s="28">
        <f>VLOOKUP($Q17,武学奇术!$A:$ZZ,27,FALSE)*(1+IF(OR($AL17=$F$4,$AL17=$F$5),$B$22,0))</f>
        <v>3139.5</v>
      </c>
      <c r="AO17" s="27">
        <f>VLOOKUP($Q17,武学奇术!$A:$ZZ,28,FALSE)</f>
        <v>11.3512</v>
      </c>
      <c r="AP17" s="28">
        <f>VLOOKUP($Q17,武学奇术!$A:$ZZ,29,FALSE)*(1+IF(OR($AL17=$F$4,$AL17=$F$5),$B$22,0))</f>
        <v>1710</v>
      </c>
      <c r="AQ17" s="27" cm="1">
        <f t="array" ref="AQ17">$G$3+IFERROR(VLOOKUP($AL17,$F$4:$G$7,2,FALSE),0)+VLOOKUP($Q17,武学奇术!$A:$ZZ,2,FALSE)+SUM(_xlfn.XLOOKUP($R17:$AK17,增益!$A:$A,增益!$B:$B,0))</f>
        <v>0.6341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3574.7</v>
      </c>
      <c r="AT17" cm="1">
        <f t="array" ref="AT17">$E$10*(1+$AR17)+VLOOKUP($Q17,武学奇术!$A:$ZZ,4,FALSE)+SUM(_xlfn.XLOOKUP($R17:$AK17,增益!$A:$A,增益!$D:$D,0))-$I$2</f>
        <v>3574.7</v>
      </c>
      <c r="AU17" s="34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0.342</v>
      </c>
      <c r="AV17" s="34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4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4" cm="1">
        <f t="array" ref="BA17">$G$11+VLOOKUP($Q17,武学奇术!$A:$ZZ,10,FALSE)+SUM(_xlfn.XLOOKUP($R17:$AK17,增益!$A:$A,增益!$J:$J,0))</f>
        <v>0</v>
      </c>
      <c r="BB17">
        <f t="shared" si="3"/>
        <v>591.9</v>
      </c>
      <c r="BC17">
        <f t="shared" si="4"/>
        <v>1600.3</v>
      </c>
      <c r="BD17" s="34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0.17</v>
      </c>
      <c r="BE17" s="34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4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34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4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4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1</v>
      </c>
      <c r="BP17" s="27" cm="1">
        <f t="array" ref="BP17">1+$B$13+VLOOKUP($Q17,武学奇术!$A:$ZZ,18,FALSE)+SUM(_xlfn.XLOOKUP($R17:$AK17,增益!$A:$A,增益!$R:$R,0))</f>
        <v>2.03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1</v>
      </c>
      <c r="BT17" s="27">
        <f t="shared" si="10"/>
        <v>0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ht="14.25" spans="1:74">
      <c r="A18" s="43" t="s">
        <v>139</v>
      </c>
      <c r="B18" s="71">
        <f>期望!B18</f>
        <v>0</v>
      </c>
      <c r="C18" s="41" t="s">
        <v>140</v>
      </c>
      <c r="D18" s="78" t="s">
        <v>147</v>
      </c>
      <c r="E18" s="41" t="s">
        <v>63</v>
      </c>
      <c r="F18" s="84">
        <f>$B$8*($B$9+$B$11)</f>
        <v>0.87863408</v>
      </c>
      <c r="K18" s="40">
        <f t="shared" si="0"/>
        <v>17521.436915977</v>
      </c>
      <c r="L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17521.436915977</v>
      </c>
      <c r="M18" s="40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13269.8490870484</v>
      </c>
      <c r="N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8588.9396646946</v>
      </c>
      <c r="O18" s="40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7348.36148713116</v>
      </c>
      <c r="P18" s="41">
        <v>1</v>
      </c>
      <c r="Q18" s="42" t="s">
        <v>125</v>
      </c>
      <c r="R18" s="42" t="s">
        <v>103</v>
      </c>
      <c r="S18" s="42" t="s">
        <v>77</v>
      </c>
      <c r="T18" s="42" t="s">
        <v>86</v>
      </c>
      <c r="U18" s="42" t="s">
        <v>121</v>
      </c>
      <c r="V18" s="42" t="s">
        <v>118</v>
      </c>
      <c r="W18" s="42" t="s">
        <v>114</v>
      </c>
      <c r="X18" s="42" t="s">
        <v>100</v>
      </c>
      <c r="Y18" s="42" t="s">
        <v>77</v>
      </c>
      <c r="Z18" s="42" t="s">
        <v>77</v>
      </c>
      <c r="AA18" s="42" t="s">
        <v>73</v>
      </c>
      <c r="AB18" s="42" t="s">
        <v>77</v>
      </c>
      <c r="AC18" s="42" t="s">
        <v>77</v>
      </c>
      <c r="AD18" s="42" t="s">
        <v>77</v>
      </c>
      <c r="AE18" s="42" t="s">
        <v>81</v>
      </c>
      <c r="AF18" s="42" t="s">
        <v>82</v>
      </c>
      <c r="AG18" s="42" t="s">
        <v>77</v>
      </c>
      <c r="AH18" s="42" t="s">
        <v>77</v>
      </c>
      <c r="AI18" s="42" t="s">
        <v>77</v>
      </c>
      <c r="AJ18" s="42" t="s">
        <v>77</v>
      </c>
      <c r="AK18" s="42" t="s">
        <v>77</v>
      </c>
      <c r="AL18" t="str">
        <f>VLOOKUP($Q18,武学奇术!$A:$ZZ,25,FALSE)</f>
        <v>陌刀</v>
      </c>
      <c r="AM18" s="27">
        <f>VLOOKUP($Q18,武学奇术!$A:$ZZ,26,FALSE)</f>
        <v>0.5</v>
      </c>
      <c r="AN18" s="28">
        <f>VLOOKUP($Q18,武学奇术!$A:$ZZ,27,FALSE)*(1+IF(OR($AL18=$F$4,$AL18=$F$5),$B$22,0))</f>
        <v>0</v>
      </c>
      <c r="AO18" s="27">
        <f>VLOOKUP($Q18,武学奇术!$A:$ZZ,28,FALSE)</f>
        <v>0.75</v>
      </c>
      <c r="AP18" s="28">
        <f>VLOOKUP($Q18,武学奇术!$A:$ZZ,29,FALSE)*(1+IF(OR($AL18=$F$4,$AL18=$F$5),$B$22,0))</f>
        <v>0</v>
      </c>
      <c r="AQ18" s="27" cm="1">
        <f t="array" ref="AQ18">$G$3+IFERROR(VLOOKUP($AL18,$F$4:$G$7,2,FALSE),0)+VLOOKUP($Q18,武学奇术!$A:$ZZ,2,FALSE)+SUM(_xlfn.XLOOKUP($R18:$AK18,增益!$A:$A,增益!$B:$B,0))</f>
        <v>0.6641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3574.7</v>
      </c>
      <c r="AT18" cm="1">
        <f t="array" ref="AT18">$E$10*(1+$AR18)+VLOOKUP($Q18,武学奇术!$A:$ZZ,4,FALSE)+SUM(_xlfn.XLOOKUP($R18:$AK18,增益!$A:$A,增益!$D:$D,0))-$I$2</f>
        <v>3574.7</v>
      </c>
      <c r="AU18" s="34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0.352</v>
      </c>
      <c r="AV18" s="34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4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4" cm="1">
        <f t="array" ref="BA18">$G$11+VLOOKUP($Q18,武学奇术!$A:$ZZ,10,FALSE)+SUM(_xlfn.XLOOKUP($R18:$AK18,增益!$A:$A,增益!$J:$J,0))</f>
        <v>0</v>
      </c>
      <c r="BB18">
        <f t="shared" si="3"/>
        <v>591.9</v>
      </c>
      <c r="BC18">
        <f t="shared" si="4"/>
        <v>1600.3</v>
      </c>
      <c r="BD18" s="34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0.17</v>
      </c>
      <c r="BE18" s="34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4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34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4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4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1</v>
      </c>
      <c r="BP18" s="27" cm="1">
        <f t="array" ref="BP18">1+$B$13+VLOOKUP($Q18,武学奇术!$A:$ZZ,18,FALSE)+SUM(_xlfn.XLOOKUP($R18:$AK18,增益!$A:$A,增益!$R:$R,0))</f>
        <v>2.04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1</v>
      </c>
      <c r="BT18" s="27">
        <f t="shared" si="10"/>
        <v>0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3" t="s">
        <v>142</v>
      </c>
      <c r="B19" s="71">
        <f>期望!B19</f>
        <v>0</v>
      </c>
      <c r="K19" s="40">
        <f t="shared" si="0"/>
        <v>31538.5864487586</v>
      </c>
      <c r="L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31538.5864487586</v>
      </c>
      <c r="M19" s="40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23885.728356687</v>
      </c>
      <c r="N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15460.0913964503</v>
      </c>
      <c r="O19" s="40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13227.0506768361</v>
      </c>
      <c r="P19" s="41">
        <v>1</v>
      </c>
      <c r="Q19" s="42" t="s">
        <v>117</v>
      </c>
      <c r="R19" s="42" t="s">
        <v>103</v>
      </c>
      <c r="S19" s="42" t="s">
        <v>77</v>
      </c>
      <c r="T19" s="42" t="s">
        <v>86</v>
      </c>
      <c r="U19" s="42" t="s">
        <v>121</v>
      </c>
      <c r="V19" s="42" t="s">
        <v>118</v>
      </c>
      <c r="W19" s="42" t="s">
        <v>114</v>
      </c>
      <c r="X19" s="42" t="s">
        <v>100</v>
      </c>
      <c r="Y19" s="42" t="s">
        <v>77</v>
      </c>
      <c r="Z19" s="42" t="s">
        <v>77</v>
      </c>
      <c r="AA19" s="42" t="s">
        <v>73</v>
      </c>
      <c r="AB19" s="42" t="s">
        <v>77</v>
      </c>
      <c r="AC19" s="42" t="s">
        <v>77</v>
      </c>
      <c r="AD19" s="42" t="s">
        <v>77</v>
      </c>
      <c r="AE19" s="42" t="s">
        <v>81</v>
      </c>
      <c r="AF19" s="42" t="s">
        <v>82</v>
      </c>
      <c r="AG19" s="42" t="s">
        <v>77</v>
      </c>
      <c r="AH19" s="42" t="s">
        <v>77</v>
      </c>
      <c r="AI19" s="42" t="s">
        <v>77</v>
      </c>
      <c r="AJ19" s="42" t="s">
        <v>77</v>
      </c>
      <c r="AK19" s="42" t="s">
        <v>77</v>
      </c>
      <c r="AL19" t="str">
        <f>VLOOKUP($Q19,武学奇术!$A:$ZZ,25,FALSE)</f>
        <v>陌刀</v>
      </c>
      <c r="AM19" s="27">
        <f>VLOOKUP($Q19,武学奇术!$A:$ZZ,26,FALSE)</f>
        <v>0.9</v>
      </c>
      <c r="AN19" s="28">
        <f>VLOOKUP($Q19,武学奇术!$A:$ZZ,27,FALSE)*(1+IF(OR($AL19=$F$4,$AL19=$F$5),$B$22,0))</f>
        <v>0</v>
      </c>
      <c r="AO19" s="27">
        <f>VLOOKUP($Q19,武学奇术!$A:$ZZ,28,FALSE)</f>
        <v>1.35</v>
      </c>
      <c r="AP19" s="28">
        <f>VLOOKUP($Q19,武学奇术!$A:$ZZ,29,FALSE)*(1+IF(OR($AL19=$F$4,$AL19=$F$5),$B$22,0))</f>
        <v>0</v>
      </c>
      <c r="AQ19" s="27" cm="1">
        <f t="array" ref="AQ19">$G$3+IFERROR(VLOOKUP($AL19,$F$4:$G$7,2,FALSE),0)+VLOOKUP($Q19,武学奇术!$A:$ZZ,2,FALSE)+SUM(_xlfn.XLOOKUP($R19:$AK19,增益!$A:$A,增益!$B:$B,0))</f>
        <v>0.6641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3574.7</v>
      </c>
      <c r="AT19" cm="1">
        <f t="array" ref="AT19">$E$10*(1+$AR19)+VLOOKUP($Q19,武学奇术!$A:$ZZ,4,FALSE)+SUM(_xlfn.XLOOKUP($R19:$AK19,增益!$A:$A,增益!$D:$D,0))-$I$2</f>
        <v>3574.7</v>
      </c>
      <c r="AU19" s="34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0.352</v>
      </c>
      <c r="AV19" s="34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4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4" cm="1">
        <f t="array" ref="BA19">$G$11+VLOOKUP($Q19,武学奇术!$A:$ZZ,10,FALSE)+SUM(_xlfn.XLOOKUP($R19:$AK19,增益!$A:$A,增益!$J:$J,0))</f>
        <v>0</v>
      </c>
      <c r="BB19">
        <f t="shared" si="3"/>
        <v>591.9</v>
      </c>
      <c r="BC19">
        <f t="shared" si="4"/>
        <v>1600.3</v>
      </c>
      <c r="BD19" s="34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0.17</v>
      </c>
      <c r="BE19" s="34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4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34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4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4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1</v>
      </c>
      <c r="BP19" s="27" cm="1">
        <f t="array" ref="BP19">1+$B$13+VLOOKUP($Q19,武学奇术!$A:$ZZ,18,FALSE)+SUM(_xlfn.XLOOKUP($R19:$AK19,增益!$A:$A,增益!$R:$R,0))</f>
        <v>2.04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1</v>
      </c>
      <c r="BT19" s="27">
        <f t="shared" si="10"/>
        <v>0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3" t="s">
        <v>143</v>
      </c>
      <c r="B20" s="71">
        <f>期望!B20</f>
        <v>0</v>
      </c>
      <c r="C20" s="41" t="s">
        <v>144</v>
      </c>
      <c r="D20" s="78" t="s">
        <v>147</v>
      </c>
      <c r="K20" s="40">
        <f t="shared" si="0"/>
        <v>299816.031480081</v>
      </c>
      <c r="L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299816.031480081</v>
      </c>
      <c r="M20" s="40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223450.718258085</v>
      </c>
      <c r="N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146968.642882393</v>
      </c>
      <c r="O20" s="40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128418.235203241</v>
      </c>
      <c r="P20" s="41">
        <v>1</v>
      </c>
      <c r="Q20" s="42" t="s">
        <v>120</v>
      </c>
      <c r="R20" s="42" t="s">
        <v>103</v>
      </c>
      <c r="S20" s="42" t="s">
        <v>77</v>
      </c>
      <c r="T20" s="42" t="s">
        <v>86</v>
      </c>
      <c r="U20" s="42" t="s">
        <v>121</v>
      </c>
      <c r="V20" s="42" t="s">
        <v>118</v>
      </c>
      <c r="W20" s="42" t="s">
        <v>122</v>
      </c>
      <c r="X20" s="42" t="s">
        <v>100</v>
      </c>
      <c r="Y20" s="42" t="s">
        <v>77</v>
      </c>
      <c r="Z20" s="42" t="s">
        <v>77</v>
      </c>
      <c r="AA20" s="42" t="s">
        <v>73</v>
      </c>
      <c r="AB20" s="42" t="s">
        <v>77</v>
      </c>
      <c r="AC20" s="42" t="s">
        <v>77</v>
      </c>
      <c r="AD20" s="42" t="s">
        <v>77</v>
      </c>
      <c r="AE20" s="42" t="s">
        <v>81</v>
      </c>
      <c r="AF20" s="42" t="s">
        <v>82</v>
      </c>
      <c r="AG20" s="42" t="s">
        <v>77</v>
      </c>
      <c r="AH20" s="42" t="s">
        <v>77</v>
      </c>
      <c r="AI20" s="42" t="s">
        <v>77</v>
      </c>
      <c r="AJ20" s="42" t="s">
        <v>77</v>
      </c>
      <c r="AK20" s="42" t="s">
        <v>77</v>
      </c>
      <c r="AL20" t="str">
        <f>VLOOKUP($Q20,武学奇术!$A:$ZZ,25,FALSE)</f>
        <v>陌刀</v>
      </c>
      <c r="AM20" s="27">
        <f>VLOOKUP($Q20,武学奇术!$A:$ZZ,26,FALSE)</f>
        <v>7.5674</v>
      </c>
      <c r="AN20" s="28">
        <f>VLOOKUP($Q20,武学奇术!$A:$ZZ,27,FALSE)*(1+IF(OR($AL20=$F$4,$AL20=$F$5),$B$22,0))</f>
        <v>3139.5</v>
      </c>
      <c r="AO20" s="27">
        <f>VLOOKUP($Q20,武学奇术!$A:$ZZ,28,FALSE)</f>
        <v>11.3512</v>
      </c>
      <c r="AP20" s="28">
        <f>VLOOKUP($Q20,武学奇术!$A:$ZZ,29,FALSE)*(1+IF(OR($AL20=$F$4,$AL20=$F$5),$B$22,0))</f>
        <v>1710</v>
      </c>
      <c r="AQ20" s="27" cm="1">
        <f t="array" ref="AQ20">$G$3+IFERROR(VLOOKUP($AL20,$F$4:$G$7,2,FALSE),0)+VLOOKUP($Q20,武学奇术!$A:$ZZ,2,FALSE)+SUM(_xlfn.XLOOKUP($R20:$AK20,增益!$A:$A,增益!$B:$B,0))</f>
        <v>0.6441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3574.7</v>
      </c>
      <c r="AT20" cm="1">
        <f t="array" ref="AT20">$E$10*(1+$AR20)+VLOOKUP($Q20,武学奇术!$A:$ZZ,4,FALSE)+SUM(_xlfn.XLOOKUP($R20:$AK20,增益!$A:$A,增益!$D:$D,0))-$I$2</f>
        <v>3574.7</v>
      </c>
      <c r="AU20" s="34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0.352</v>
      </c>
      <c r="AV20" s="34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4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4" cm="1">
        <f t="array" ref="BA20">$G$11+VLOOKUP($Q20,武学奇术!$A:$ZZ,10,FALSE)+SUM(_xlfn.XLOOKUP($R20:$AK20,增益!$A:$A,增益!$J:$J,0))</f>
        <v>0</v>
      </c>
      <c r="BB20">
        <f t="shared" si="3"/>
        <v>591.9</v>
      </c>
      <c r="BC20">
        <f t="shared" si="4"/>
        <v>1600.3</v>
      </c>
      <c r="BD20" s="34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0.17</v>
      </c>
      <c r="BE20" s="34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4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4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4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4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1</v>
      </c>
      <c r="BP20" s="27" cm="1">
        <f t="array" ref="BP20">1+$B$13+VLOOKUP($Q20,武学奇术!$A:$ZZ,18,FALSE)+SUM(_xlfn.XLOOKUP($R20:$AK20,增益!$A:$A,增益!$R:$R,0))</f>
        <v>2.04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1</v>
      </c>
      <c r="BT20" s="27">
        <f t="shared" si="10"/>
        <v>0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145</v>
      </c>
      <c r="B21" s="86">
        <f>期望!B21</f>
        <v>0.32</v>
      </c>
      <c r="C21" s="41" t="s">
        <v>146</v>
      </c>
      <c r="D21" s="78" t="s">
        <v>147</v>
      </c>
      <c r="E21" s="41" t="s">
        <v>148</v>
      </c>
      <c r="F21" s="41"/>
      <c r="K21" s="40">
        <f t="shared" si="0"/>
        <v>129584.772369389</v>
      </c>
      <c r="L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132271.240944065</v>
      </c>
      <c r="M21" s="40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121287.908053944</v>
      </c>
      <c r="N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78732.8815143246</v>
      </c>
      <c r="O21" s="40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67622.8681738755</v>
      </c>
      <c r="P21" s="41">
        <v>1</v>
      </c>
      <c r="Q21" s="42" t="s">
        <v>149</v>
      </c>
      <c r="R21" s="42" t="s">
        <v>103</v>
      </c>
      <c r="S21" s="42" t="s">
        <v>77</v>
      </c>
      <c r="T21" s="42" t="s">
        <v>86</v>
      </c>
      <c r="U21" s="42" t="s">
        <v>87</v>
      </c>
      <c r="V21" s="42" t="s">
        <v>77</v>
      </c>
      <c r="W21" s="42" t="s">
        <v>78</v>
      </c>
      <c r="X21" s="42" t="s">
        <v>100</v>
      </c>
      <c r="Y21" s="42" t="s">
        <v>77</v>
      </c>
      <c r="Z21" s="42" t="s">
        <v>77</v>
      </c>
      <c r="AA21" s="42" t="s">
        <v>77</v>
      </c>
      <c r="AB21" s="42" t="s">
        <v>77</v>
      </c>
      <c r="AC21" s="42" t="s">
        <v>77</v>
      </c>
      <c r="AD21" s="42" t="s">
        <v>77</v>
      </c>
      <c r="AE21" s="42" t="s">
        <v>81</v>
      </c>
      <c r="AF21" s="42" t="s">
        <v>82</v>
      </c>
      <c r="AG21" s="42" t="s">
        <v>77</v>
      </c>
      <c r="AH21" s="42" t="s">
        <v>77</v>
      </c>
      <c r="AI21" s="42" t="s">
        <v>77</v>
      </c>
      <c r="AJ21" s="42" t="s">
        <v>77</v>
      </c>
      <c r="AK21" s="42" t="s">
        <v>77</v>
      </c>
      <c r="AL21" t="str">
        <f>VLOOKUP($Q21,武学奇术!$A:$ZZ,25,FALSE)</f>
        <v>单体奇术</v>
      </c>
      <c r="AM21" s="27">
        <f>VLOOKUP($Q21,武学奇术!$A:$ZZ,26,FALSE)</f>
        <v>7.1084</v>
      </c>
      <c r="AN21" s="28">
        <f>VLOOKUP($Q21,武学奇术!$A:$ZZ,27,FALSE)*(1+IF(OR($AL21=$F$4,$AL21=$F$5),$B$22,0))</f>
        <v>1369</v>
      </c>
      <c r="AO21" s="27">
        <f>VLOOKUP($Q21,武学奇术!$A:$ZZ,28,FALSE)</f>
        <v>10.6626</v>
      </c>
      <c r="AP21" s="28">
        <f>VLOOKUP($Q21,武学奇术!$A:$ZZ,29,FALSE)*(1+IF(OR($AL21=$F$4,$AL21=$F$5),$B$22,0))</f>
        <v>0</v>
      </c>
      <c r="AQ21" s="27" cm="1">
        <f t="array" ref="AQ21">$G$3+IFERROR(VLOOKUP($AL21,$F$4:$G$7,2,FALSE),0)+VLOOKUP($Q21,武学奇术!$A:$ZZ,2,FALSE)+SUM(_xlfn.XLOOKUP($R21:$AK21,增益!$A:$A,增益!$B:$B,0))</f>
        <v>0.3837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3574.7</v>
      </c>
      <c r="AT21" cm="1">
        <f t="array" ref="AT21">$E$10*(1+$AR21)+VLOOKUP($Q21,武学奇术!$A:$ZZ,4,FALSE)+SUM(_xlfn.XLOOKUP($R21:$AK21,增益!$A:$A,增益!$D:$D,0))-$I$2</f>
        <v>3574.7</v>
      </c>
      <c r="AU21" s="34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0.327</v>
      </c>
      <c r="AV21" s="34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4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4" cm="1">
        <f t="array" ref="BA21">$G$11+VLOOKUP($Q21,武学奇术!$A:$ZZ,10,FALSE)+SUM(_xlfn.XLOOKUP($R21:$AK21,增益!$A:$A,增益!$J:$J,0))</f>
        <v>0</v>
      </c>
      <c r="BB21">
        <f t="shared" si="3"/>
        <v>591.9</v>
      </c>
      <c r="BC21">
        <f t="shared" si="4"/>
        <v>1600.3</v>
      </c>
      <c r="BD21" s="34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0.17</v>
      </c>
      <c r="BE21" s="34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4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4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4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4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0.9859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7" cm="1">
        <f t="array" ref="BP21">1+$B$13+VLOOKUP($Q21,武学奇术!$A:$ZZ,18,FALSE)+SUM(_xlfn.XLOOKUP($R21:$AK21,增益!$A:$A,增益!$R:$R,0))</f>
        <v>1.68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0.87863408</v>
      </c>
      <c r="BT21" s="27">
        <f t="shared" si="10"/>
        <v>0.01567581</v>
      </c>
      <c r="BU21" s="27">
        <f>IF(VLOOKUP($Q21,武学奇术!$A:$ZZ,22,FALSE)=1,0,(1-$BN21))*(1-$BQ21)</f>
        <v>0.01279011</v>
      </c>
      <c r="BV21" s="27" cm="1">
        <f t="array" ref="BV21">SUM(_xlfn.XLOOKUP($R21:$AK21,增益!$A:$A,增益!$W:$W,0))+$I$5</f>
        <v>0.11</v>
      </c>
    </row>
    <row r="22" spans="1:74">
      <c r="A22" t="s">
        <v>150</v>
      </c>
      <c r="B22" s="29">
        <f>期望!B22</f>
        <v>0.5</v>
      </c>
      <c r="C22" s="41" t="s">
        <v>151</v>
      </c>
      <c r="D22" s="78" t="s">
        <v>147</v>
      </c>
      <c r="E22" s="41" t="str">
        <f>期望!E22</f>
        <v>易水歌</v>
      </c>
      <c r="F22" s="41"/>
      <c r="K22" s="40">
        <f t="shared" si="0"/>
        <v>15691.0747067019</v>
      </c>
      <c r="L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16245.2044047401</v>
      </c>
      <c r="M22" s="40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12871.1396018297</v>
      </c>
      <c r="N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8330.87405371285</v>
      </c>
      <c r="O22" s="40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7127.57062458892</v>
      </c>
      <c r="P22" s="41">
        <v>1</v>
      </c>
      <c r="Q22" s="42" t="s">
        <v>112</v>
      </c>
      <c r="R22" s="42" t="s">
        <v>103</v>
      </c>
      <c r="S22" s="42" t="s">
        <v>77</v>
      </c>
      <c r="T22" s="42" t="s">
        <v>86</v>
      </c>
      <c r="U22" s="42" t="s">
        <v>121</v>
      </c>
      <c r="V22" s="42" t="s">
        <v>77</v>
      </c>
      <c r="W22" s="42" t="s">
        <v>77</v>
      </c>
      <c r="X22" s="42" t="s">
        <v>153</v>
      </c>
      <c r="Y22" s="42" t="s">
        <v>77</v>
      </c>
      <c r="Z22" s="42" t="s">
        <v>77</v>
      </c>
      <c r="AA22" s="42" t="s">
        <v>73</v>
      </c>
      <c r="AB22" s="42" t="s">
        <v>77</v>
      </c>
      <c r="AC22" s="42" t="s">
        <v>77</v>
      </c>
      <c r="AD22" s="42" t="s">
        <v>77</v>
      </c>
      <c r="AE22" s="42" t="s">
        <v>81</v>
      </c>
      <c r="AF22" s="42" t="s">
        <v>82</v>
      </c>
      <c r="AG22" s="42" t="s">
        <v>77</v>
      </c>
      <c r="AH22" s="42" t="s">
        <v>77</v>
      </c>
      <c r="AI22" s="42" t="s">
        <v>77</v>
      </c>
      <c r="AJ22" s="42" t="s">
        <v>77</v>
      </c>
      <c r="AK22" s="42" t="s">
        <v>77</v>
      </c>
      <c r="AL22" t="str">
        <f>VLOOKUP($Q22,武学奇术!$A:$ZZ,25,FALSE)</f>
        <v>陌刀</v>
      </c>
      <c r="AM22" s="27">
        <f>VLOOKUP($Q22,武学奇术!$A:$ZZ,26,FALSE)</f>
        <v>0.5</v>
      </c>
      <c r="AN22" s="28">
        <f>VLOOKUP($Q22,武学奇术!$A:$ZZ,27,FALSE)*(1+IF(OR($AL22=$F$4,$AL22=$F$5),$B$22,0))</f>
        <v>0</v>
      </c>
      <c r="AO22" s="27">
        <f>VLOOKUP($Q22,武学奇术!$A:$ZZ,28,FALSE)</f>
        <v>0.75</v>
      </c>
      <c r="AP22" s="28">
        <f>VLOOKUP($Q22,武学奇术!$A:$ZZ,29,FALSE)*(1+IF(OR($AL22=$F$4,$AL22=$F$5),$B$22,0))</f>
        <v>0</v>
      </c>
      <c r="AQ22" s="27" cm="1">
        <f t="array" ref="AQ22">$G$3+IFERROR(VLOOKUP($AL22,$F$4:$G$7,2,FALSE),0)+VLOOKUP($Q22,武学奇术!$A:$ZZ,2,FALSE)+SUM(_xlfn.XLOOKUP($R22:$AK22,增益!$A:$A,增益!$B:$B,0))</f>
        <v>0.6141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3574.7</v>
      </c>
      <c r="AT22" cm="1">
        <f t="array" ref="AT22">$E$10*(1+$AR22)+VLOOKUP($Q22,武学奇术!$A:$ZZ,4,FALSE)+SUM(_xlfn.XLOOKUP($R22:$AK22,增益!$A:$A,增益!$D:$D,0))-$I$2</f>
        <v>3574.7</v>
      </c>
      <c r="AU22" s="34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0.352</v>
      </c>
      <c r="AV22" s="34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4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4" cm="1">
        <f t="array" ref="BA22">$G$11+VLOOKUP($Q22,武学奇术!$A:$ZZ,10,FALSE)+SUM(_xlfn.XLOOKUP($R22:$AK22,增益!$A:$A,增益!$J:$J,0))</f>
        <v>0</v>
      </c>
      <c r="BB22">
        <f t="shared" si="3"/>
        <v>591.9</v>
      </c>
      <c r="BC22">
        <f t="shared" si="4"/>
        <v>1600.3</v>
      </c>
      <c r="BD22" s="34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0.17</v>
      </c>
      <c r="BE22" s="34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4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4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4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4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0.9859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7" cm="1">
        <f t="array" ref="BP22">1+$B$13+VLOOKUP($Q22,武学奇术!$A:$ZZ,18,FALSE)+SUM(_xlfn.XLOOKUP($R22:$AK22,增益!$A:$A,增益!$R:$R,0))</f>
        <v>1.95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0.87863408</v>
      </c>
      <c r="BT22" s="27">
        <f t="shared" si="10"/>
        <v>0.01567581</v>
      </c>
      <c r="BU22" s="27">
        <f>IF(VLOOKUP($Q22,武学奇术!$A:$ZZ,22,FALSE)=1,0,(1-$BN22))*(1-$BQ22)</f>
        <v>0.01279011</v>
      </c>
      <c r="BV22" s="27" cm="1">
        <f t="array" ref="BV22">SUM(_xlfn.XLOOKUP($R22:$AK22,增益!$A:$A,增益!$W:$W,0))+$I$5</f>
        <v>0.11</v>
      </c>
    </row>
    <row r="23" spans="1:74">
      <c r="A23" s="41" t="s">
        <v>154</v>
      </c>
      <c r="B23">
        <f>期望!B23</f>
        <v>200</v>
      </c>
      <c r="K23" s="40">
        <f t="shared" si="0"/>
        <v>28243.9344720634</v>
      </c>
      <c r="L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29241.3679285321</v>
      </c>
      <c r="M23" s="40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23168.0512832934</v>
      </c>
      <c r="N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14995.5732966831</v>
      </c>
      <c r="O23" s="40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12829.62712426</v>
      </c>
      <c r="P23" s="41">
        <v>1</v>
      </c>
      <c r="Q23" s="42" t="s">
        <v>155</v>
      </c>
      <c r="R23" s="42" t="s">
        <v>103</v>
      </c>
      <c r="S23" s="42" t="s">
        <v>77</v>
      </c>
      <c r="T23" s="42" t="s">
        <v>86</v>
      </c>
      <c r="U23" s="42" t="s">
        <v>121</v>
      </c>
      <c r="V23" s="42" t="s">
        <v>77</v>
      </c>
      <c r="W23" s="42" t="s">
        <v>77</v>
      </c>
      <c r="X23" s="42" t="s">
        <v>153</v>
      </c>
      <c r="Y23" s="42" t="s">
        <v>77</v>
      </c>
      <c r="Z23" s="42" t="s">
        <v>77</v>
      </c>
      <c r="AA23" s="42" t="s">
        <v>73</v>
      </c>
      <c r="AB23" s="42" t="s">
        <v>77</v>
      </c>
      <c r="AC23" s="42" t="s">
        <v>77</v>
      </c>
      <c r="AD23" s="42" t="s">
        <v>77</v>
      </c>
      <c r="AE23" s="42" t="s">
        <v>81</v>
      </c>
      <c r="AF23" s="42" t="s">
        <v>82</v>
      </c>
      <c r="AG23" s="42" t="s">
        <v>77</v>
      </c>
      <c r="AH23" s="42" t="s">
        <v>77</v>
      </c>
      <c r="AI23" s="42" t="s">
        <v>77</v>
      </c>
      <c r="AJ23" s="42" t="s">
        <v>77</v>
      </c>
      <c r="AK23" s="42" t="s">
        <v>77</v>
      </c>
      <c r="AL23" t="str">
        <f>VLOOKUP($Q23,武学奇术!$A:$ZZ,25,FALSE)</f>
        <v>陌刀</v>
      </c>
      <c r="AM23" s="27">
        <f>VLOOKUP($Q23,武学奇术!$A:$ZZ,26,FALSE)</f>
        <v>0.9</v>
      </c>
      <c r="AN23" s="28">
        <f>VLOOKUP($Q23,武学奇术!$A:$ZZ,27,FALSE)*(1+IF(OR($AL23=$F$4,$AL23=$F$5),$B$22,0))</f>
        <v>0</v>
      </c>
      <c r="AO23" s="27">
        <f>VLOOKUP($Q23,武学奇术!$A:$ZZ,28,FALSE)</f>
        <v>1.35</v>
      </c>
      <c r="AP23" s="28">
        <f>VLOOKUP($Q23,武学奇术!$A:$ZZ,29,FALSE)*(1+IF(OR($AL23=$F$4,$AL23=$F$5),$B$22,0))</f>
        <v>0</v>
      </c>
      <c r="AQ23" s="27" cm="1">
        <f t="array" ref="AQ23">$G$3+IFERROR(VLOOKUP($AL23,$F$4:$G$7,2,FALSE),0)+VLOOKUP($Q23,武学奇术!$A:$ZZ,2,FALSE)+SUM(_xlfn.XLOOKUP($R23:$AK23,增益!$A:$A,增益!$B:$B,0))</f>
        <v>0.6141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3574.7</v>
      </c>
      <c r="AT23" cm="1">
        <f t="array" ref="AT23">$E$10*(1+$AR23)+VLOOKUP($Q23,武学奇术!$A:$ZZ,4,FALSE)+SUM(_xlfn.XLOOKUP($R23:$AK23,增益!$A:$A,增益!$D:$D,0))-$I$2</f>
        <v>3574.7</v>
      </c>
      <c r="AU23" s="34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0.352</v>
      </c>
      <c r="AV23" s="34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4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4" cm="1">
        <f t="array" ref="BA23">$G$11+VLOOKUP($Q23,武学奇术!$A:$ZZ,10,FALSE)+SUM(_xlfn.XLOOKUP($R23:$AK23,增益!$A:$A,增益!$J:$J,0))</f>
        <v>0</v>
      </c>
      <c r="BB23">
        <f t="shared" si="3"/>
        <v>591.9</v>
      </c>
      <c r="BC23">
        <f t="shared" si="4"/>
        <v>1600.3</v>
      </c>
      <c r="BD23" s="34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0.17</v>
      </c>
      <c r="BE23" s="34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4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4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4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4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0.9859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7" cm="1">
        <f t="array" ref="BP23">1+$B$13+VLOOKUP($Q23,武学奇术!$A:$ZZ,18,FALSE)+SUM(_xlfn.XLOOKUP($R23:$AK23,增益!$A:$A,增益!$R:$R,0))</f>
        <v>1.95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0.87863408</v>
      </c>
      <c r="BT23" s="27">
        <f t="shared" si="10"/>
        <v>0.01567581</v>
      </c>
      <c r="BU23" s="27">
        <f>IF(VLOOKUP($Q23,武学奇术!$A:$ZZ,22,FALSE)=1,0,(1-$BN23))*(1-$BQ23)</f>
        <v>0.01279011</v>
      </c>
      <c r="BV23" s="27" cm="1">
        <f t="array" ref="BV23">SUM(_xlfn.XLOOKUP($R23:$AK23,增益!$A:$A,增益!$W:$W,0))+$I$5</f>
        <v>0.11</v>
      </c>
    </row>
    <row r="24" spans="1:74">
      <c r="A24" s="41"/>
      <c r="B24">
        <f>期望!B24</f>
        <v>400</v>
      </c>
      <c r="K24" s="40">
        <f t="shared" si="0"/>
        <v>205644.840586616</v>
      </c>
      <c r="L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213139.287168186</v>
      </c>
      <c r="M24" s="40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166183.805554649</v>
      </c>
      <c r="N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109302.198547788</v>
      </c>
      <c r="O24" s="40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95505.2818699099</v>
      </c>
      <c r="P24" s="41">
        <v>1</v>
      </c>
      <c r="Q24" s="42" t="s">
        <v>156</v>
      </c>
      <c r="R24" s="42" t="s">
        <v>103</v>
      </c>
      <c r="S24" s="42" t="s">
        <v>77</v>
      </c>
      <c r="T24" s="42" t="s">
        <v>86</v>
      </c>
      <c r="U24" s="42" t="s">
        <v>121</v>
      </c>
      <c r="V24" s="42" t="s">
        <v>77</v>
      </c>
      <c r="W24" s="42" t="s">
        <v>77</v>
      </c>
      <c r="X24" s="42" t="s">
        <v>153</v>
      </c>
      <c r="Y24" s="42" t="s">
        <v>77</v>
      </c>
      <c r="Z24" s="42" t="s">
        <v>77</v>
      </c>
      <c r="AA24" s="42" t="s">
        <v>73</v>
      </c>
      <c r="AB24" s="42" t="s">
        <v>77</v>
      </c>
      <c r="AC24" s="42" t="s">
        <v>77</v>
      </c>
      <c r="AD24" s="42" t="s">
        <v>77</v>
      </c>
      <c r="AE24" s="42" t="s">
        <v>81</v>
      </c>
      <c r="AF24" s="42" t="s">
        <v>82</v>
      </c>
      <c r="AG24" s="42" t="s">
        <v>77</v>
      </c>
      <c r="AH24" s="42" t="s">
        <v>77</v>
      </c>
      <c r="AI24" s="42" t="s">
        <v>77</v>
      </c>
      <c r="AJ24" s="42" t="s">
        <v>77</v>
      </c>
      <c r="AK24" s="42" t="s">
        <v>77</v>
      </c>
      <c r="AL24" t="str">
        <f>VLOOKUP($Q24,武学奇术!$A:$ZZ,25,FALSE)</f>
        <v>陌刀</v>
      </c>
      <c r="AM24" s="27">
        <f>VLOOKUP($Q24,武学奇术!$A:$ZZ,26,FALSE)</f>
        <v>5.733</v>
      </c>
      <c r="AN24" s="28">
        <f>VLOOKUP($Q24,武学奇术!$A:$ZZ,27,FALSE)*(1+IF(OR($AL24=$F$4,$AL24=$F$5),$B$22,0))</f>
        <v>2377.5</v>
      </c>
      <c r="AO24" s="27">
        <f>VLOOKUP($Q24,武学奇术!$A:$ZZ,28,FALSE)</f>
        <v>8.5994</v>
      </c>
      <c r="AP24" s="28">
        <f>VLOOKUP($Q24,武学奇术!$A:$ZZ,29,FALSE)*(1+IF(OR($AL24=$F$4,$AL24=$F$5),$B$22,0))</f>
        <v>1294.5</v>
      </c>
      <c r="AQ24" s="27" cm="1">
        <f t="array" ref="AQ24">$G$3+IFERROR(VLOOKUP($AL24,$F$4:$G$7,2,FALSE),0)+VLOOKUP($Q24,武学奇术!$A:$ZZ,2,FALSE)+SUM(_xlfn.XLOOKUP($R24:$AK24,增益!$A:$A,增益!$B:$B,0))</f>
        <v>0.6141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3574.7</v>
      </c>
      <c r="AT24" cm="1">
        <f t="array" ref="AT24">$E$10*(1+$AR24)+VLOOKUP($Q24,武学奇术!$A:$ZZ,4,FALSE)+SUM(_xlfn.XLOOKUP($R24:$AK24,增益!$A:$A,增益!$D:$D,0))-$I$2</f>
        <v>3574.7</v>
      </c>
      <c r="AU24" s="34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0.352</v>
      </c>
      <c r="AV24" s="34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4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4" cm="1">
        <f t="array" ref="BA24">$G$11+VLOOKUP($Q24,武学奇术!$A:$ZZ,10,FALSE)+SUM(_xlfn.XLOOKUP($R24:$AK24,增益!$A:$A,增益!$J:$J,0))</f>
        <v>0</v>
      </c>
      <c r="BB24">
        <f t="shared" si="3"/>
        <v>591.9</v>
      </c>
      <c r="BC24">
        <f t="shared" si="4"/>
        <v>1600.3</v>
      </c>
      <c r="BD24" s="34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0.17</v>
      </c>
      <c r="BE24" s="34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4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4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4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4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0.9859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7" cm="1">
        <f t="array" ref="BP24">1+$B$13+VLOOKUP($Q24,武学奇术!$A:$ZZ,18,FALSE)+SUM(_xlfn.XLOOKUP($R24:$AK24,增益!$A:$A,增益!$R:$R,0))</f>
        <v>1.95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0.87863408</v>
      </c>
      <c r="BT24" s="27">
        <f t="shared" si="10"/>
        <v>0.01567581</v>
      </c>
      <c r="BU24" s="27">
        <f>IF(VLOOKUP($Q24,武学奇术!$A:$ZZ,22,FALSE)=1,0,(1-$BN24))*(1-$BQ24)</f>
        <v>0.01279011</v>
      </c>
      <c r="BV24" s="27" cm="1">
        <f t="array" ref="BV24">SUM(_xlfn.XLOOKUP($R24:$AK24,增益!$A:$A,增益!$W:$W,0))+$I$5</f>
        <v>0.11</v>
      </c>
    </row>
    <row r="25" spans="1:74">
      <c r="K25" s="40">
        <f t="shared" si="0"/>
        <v>48051.850120053</v>
      </c>
      <c r="L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49843.398376195</v>
      </c>
      <c r="M25" s="40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38460.3623368846</v>
      </c>
      <c r="N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25430.305293977</v>
      </c>
      <c r="O25" s="40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22371.4533013729</v>
      </c>
      <c r="P25" s="41">
        <v>1</v>
      </c>
      <c r="Q25" s="42" t="s">
        <v>157</v>
      </c>
      <c r="R25" s="42" t="s">
        <v>103</v>
      </c>
      <c r="S25" s="42" t="s">
        <v>77</v>
      </c>
      <c r="T25" s="42" t="s">
        <v>77</v>
      </c>
      <c r="U25" s="42" t="s">
        <v>121</v>
      </c>
      <c r="V25" s="42" t="s">
        <v>77</v>
      </c>
      <c r="W25" s="42" t="s">
        <v>77</v>
      </c>
      <c r="X25" s="42" t="s">
        <v>158</v>
      </c>
      <c r="Y25" s="42" t="s">
        <v>77</v>
      </c>
      <c r="Z25" s="42" t="s">
        <v>77</v>
      </c>
      <c r="AA25" s="42" t="s">
        <v>73</v>
      </c>
      <c r="AB25" s="42" t="s">
        <v>77</v>
      </c>
      <c r="AC25" s="42" t="s">
        <v>77</v>
      </c>
      <c r="AD25" s="42" t="s">
        <v>77</v>
      </c>
      <c r="AE25" s="42" t="s">
        <v>81</v>
      </c>
      <c r="AF25" s="42" t="s">
        <v>82</v>
      </c>
      <c r="AG25" s="42" t="s">
        <v>77</v>
      </c>
      <c r="AH25" s="42" t="s">
        <v>77</v>
      </c>
      <c r="AI25" s="42" t="s">
        <v>77</v>
      </c>
      <c r="AJ25" s="42" t="s">
        <v>77</v>
      </c>
      <c r="AK25" s="42" t="s">
        <v>77</v>
      </c>
      <c r="AL25" t="str">
        <f>VLOOKUP($Q25,武学奇术!$A:$ZZ,25,FALSE)</f>
        <v>陌刀</v>
      </c>
      <c r="AM25" s="27">
        <f>VLOOKUP($Q25,武学奇术!$A:$ZZ,26,FALSE)</f>
        <v>1.8948</v>
      </c>
      <c r="AN25" s="28">
        <f>VLOOKUP($Q25,武学奇术!$A:$ZZ,27,FALSE)*(1+IF(OR($AL25=$F$4,$AL25=$F$5),$B$22,0))</f>
        <v>787.5</v>
      </c>
      <c r="AO25" s="27">
        <f>VLOOKUP($Q25,武学奇术!$A:$ZZ,28,FALSE)</f>
        <v>2.8422</v>
      </c>
      <c r="AP25" s="28">
        <f>VLOOKUP($Q25,武学奇术!$A:$ZZ,29,FALSE)*(1+IF(OR($AL25=$F$4,$AL25=$F$5),$B$22,0))</f>
        <v>429</v>
      </c>
      <c r="AQ25" s="27" cm="1">
        <f t="array" ref="AQ25">$G$3+IFERROR(VLOOKUP($AL25,$F$4:$G$7,2,FALSE),0)+VLOOKUP($Q25,武学奇术!$A:$ZZ,2,FALSE)+SUM(_xlfn.XLOOKUP($R25:$AK25,增益!$A:$A,增益!$B:$B,0))</f>
        <v>0.5341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3574.7</v>
      </c>
      <c r="AT25" cm="1">
        <f t="array" ref="AT25">$E$10*(1+$AR25)+VLOOKUP($Q25,武学奇术!$A:$ZZ,4,FALSE)+SUM(_xlfn.XLOOKUP($R25:$AK25,增益!$A:$A,增益!$D:$D,0))-$I$2</f>
        <v>3574.7</v>
      </c>
      <c r="AU25" s="34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0.352</v>
      </c>
      <c r="AV25" s="34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4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4" cm="1">
        <f t="array" ref="BA25">$G$11+VLOOKUP($Q25,武学奇术!$A:$ZZ,10,FALSE)+SUM(_xlfn.XLOOKUP($R25:$AK25,增益!$A:$A,增益!$J:$J,0))</f>
        <v>0</v>
      </c>
      <c r="BB25">
        <f t="shared" si="3"/>
        <v>591.9</v>
      </c>
      <c r="BC25">
        <f t="shared" si="4"/>
        <v>1600.3</v>
      </c>
      <c r="BD25" s="34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0.09</v>
      </c>
      <c r="BE25" s="34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4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4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4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4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0.9859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7" cm="1">
        <f t="array" ref="BP25">1+$B$13+VLOOKUP($Q25,武学奇术!$A:$ZZ,18,FALSE)+SUM(_xlfn.XLOOKUP($R25:$AK25,增益!$A:$A,增益!$R:$R,0))</f>
        <v>1.96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0.87863408</v>
      </c>
      <c r="BT25" s="27">
        <f t="shared" si="10"/>
        <v>0.01567581</v>
      </c>
      <c r="BU25" s="27">
        <f>IF(VLOOKUP($Q25,武学奇术!$A:$ZZ,22,FALSE)=1,0,(1-$BN25))*(1-$BQ25)</f>
        <v>0.01279011</v>
      </c>
      <c r="BV25" s="27" cm="1">
        <f t="array" ref="BV25">SUM(_xlfn.XLOOKUP($R25:$AK25,增益!$A:$A,增益!$W:$W,0))+$I$5</f>
        <v>0.11</v>
      </c>
    </row>
    <row r="26" spans="1:74">
      <c r="K26" s="40">
        <f t="shared" si="0"/>
        <v>22204.8726311722</v>
      </c>
      <c r="L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23009.1192090854</v>
      </c>
      <c r="M26" s="40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18027.4772220015</v>
      </c>
      <c r="N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11739.3465352477</v>
      </c>
      <c r="O26" s="40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10125.0062393831</v>
      </c>
      <c r="P26" s="41">
        <v>1</v>
      </c>
      <c r="Q26" s="42" t="s">
        <v>159</v>
      </c>
      <c r="R26" s="42" t="s">
        <v>103</v>
      </c>
      <c r="S26" s="42" t="s">
        <v>77</v>
      </c>
      <c r="T26" s="42" t="s">
        <v>77</v>
      </c>
      <c r="U26" s="42" t="s">
        <v>121</v>
      </c>
      <c r="V26" s="42" t="s">
        <v>77</v>
      </c>
      <c r="W26" s="42" t="s">
        <v>77</v>
      </c>
      <c r="X26" s="42" t="s">
        <v>158</v>
      </c>
      <c r="Y26" s="42" t="s">
        <v>77</v>
      </c>
      <c r="Z26" s="42" t="s">
        <v>77</v>
      </c>
      <c r="AA26" s="42" t="s">
        <v>73</v>
      </c>
      <c r="AB26" s="42" t="s">
        <v>77</v>
      </c>
      <c r="AC26" s="42" t="s">
        <v>77</v>
      </c>
      <c r="AD26" s="42" t="s">
        <v>77</v>
      </c>
      <c r="AE26" s="42" t="s">
        <v>81</v>
      </c>
      <c r="AF26" s="42" t="s">
        <v>82</v>
      </c>
      <c r="AG26" s="42" t="s">
        <v>77</v>
      </c>
      <c r="AH26" s="42" t="s">
        <v>77</v>
      </c>
      <c r="AI26" s="42" t="s">
        <v>77</v>
      </c>
      <c r="AJ26" s="42" t="s">
        <v>77</v>
      </c>
      <c r="AK26" s="42" t="s">
        <v>77</v>
      </c>
      <c r="AL26" t="str">
        <f>VLOOKUP($Q26,武学奇术!$A:$ZZ,25,FALSE)</f>
        <v>陌刀</v>
      </c>
      <c r="AM26" s="27">
        <f>VLOOKUP($Q26,武学奇术!$A:$ZZ,26,FALSE)</f>
        <v>1</v>
      </c>
      <c r="AN26" s="28">
        <f>VLOOKUP($Q26,武学奇术!$A:$ZZ,27,FALSE)*(1+IF(OR($AL26=$F$4,$AL26=$F$5),$B$22,0))</f>
        <v>0</v>
      </c>
      <c r="AO26" s="27">
        <f>VLOOKUP($Q26,武学奇术!$A:$ZZ,28,FALSE)</f>
        <v>1.5</v>
      </c>
      <c r="AP26" s="28">
        <f>VLOOKUP($Q26,武学奇术!$A:$ZZ,29,FALSE)*(1+IF(OR($AL26=$F$4,$AL26=$F$5),$B$22,0))</f>
        <v>0</v>
      </c>
      <c r="AQ26" s="27" cm="1">
        <f t="array" ref="AQ26">$G$3+IFERROR(VLOOKUP($AL26,$F$4:$G$7,2,FALSE),0)+VLOOKUP($Q26,武学奇术!$A:$ZZ,2,FALSE)+SUM(_xlfn.XLOOKUP($R26:$AK26,增益!$A:$A,增益!$B:$B,0))</f>
        <v>0.5341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3574.7</v>
      </c>
      <c r="AT26" cm="1">
        <f t="array" ref="AT26">$E$10*(1+$AR26)+VLOOKUP($Q26,武学奇术!$A:$ZZ,4,FALSE)+SUM(_xlfn.XLOOKUP($R26:$AK26,增益!$A:$A,增益!$D:$D,0))-$I$2</f>
        <v>3574.7</v>
      </c>
      <c r="AU26" s="34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0.352</v>
      </c>
      <c r="AV26" s="34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4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4" cm="1">
        <f t="array" ref="BA26">$G$11+VLOOKUP($Q26,武学奇术!$A:$ZZ,10,FALSE)+SUM(_xlfn.XLOOKUP($R26:$AK26,增益!$A:$A,增益!$J:$J,0))</f>
        <v>0</v>
      </c>
      <c r="BB26">
        <f t="shared" si="3"/>
        <v>591.9</v>
      </c>
      <c r="BC26">
        <f t="shared" si="4"/>
        <v>1600.3</v>
      </c>
      <c r="BD26" s="34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0.09</v>
      </c>
      <c r="BE26" s="34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4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4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4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4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0.9859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7" cm="1">
        <f t="array" ref="BP26">1+$B$13+VLOOKUP($Q26,武学奇术!$A:$ZZ,18,FALSE)+SUM(_xlfn.XLOOKUP($R26:$AK26,增益!$A:$A,增益!$R:$R,0))</f>
        <v>1.96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0.87863408</v>
      </c>
      <c r="BT26" s="27">
        <f t="shared" si="10"/>
        <v>0.01567581</v>
      </c>
      <c r="BU26" s="27">
        <f>IF(VLOOKUP($Q26,武学奇术!$A:$ZZ,22,FALSE)=1,0,(1-$BN26))*(1-$BQ26)</f>
        <v>0.01279011</v>
      </c>
      <c r="BV26" s="27" cm="1">
        <f t="array" ref="BV26">SUM(_xlfn.XLOOKUP($R26:$AK26,增益!$A:$A,增益!$W:$W,0))+$I$5</f>
        <v>0.11</v>
      </c>
    </row>
    <row r="27" spans="1:74">
      <c r="K27" s="40">
        <f t="shared" si="0"/>
        <v>26926.8752673108</v>
      </c>
      <c r="L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27863.5406273852</v>
      </c>
      <c r="M27" s="40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22093.4649172681</v>
      </c>
      <c r="N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14588.2411661703</v>
      </c>
      <c r="O27" s="40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12810.9527639938</v>
      </c>
      <c r="P27" s="41">
        <v>1</v>
      </c>
      <c r="Q27" s="42" t="s">
        <v>162</v>
      </c>
      <c r="R27" s="42" t="s">
        <v>103</v>
      </c>
      <c r="S27" s="42" t="s">
        <v>77</v>
      </c>
      <c r="T27" s="42" t="s">
        <v>77</v>
      </c>
      <c r="U27" s="42" t="s">
        <v>87</v>
      </c>
      <c r="V27" s="42" t="s">
        <v>77</v>
      </c>
      <c r="W27" s="42" t="s">
        <v>77</v>
      </c>
      <c r="X27" s="42" t="s">
        <v>158</v>
      </c>
      <c r="Y27" s="42" t="s">
        <v>77</v>
      </c>
      <c r="Z27" s="42" t="s">
        <v>77</v>
      </c>
      <c r="AA27" s="42" t="s">
        <v>77</v>
      </c>
      <c r="AB27" s="42" t="s">
        <v>77</v>
      </c>
      <c r="AC27" s="42" t="s">
        <v>77</v>
      </c>
      <c r="AD27" s="42" t="s">
        <v>77</v>
      </c>
      <c r="AE27" s="42" t="s">
        <v>81</v>
      </c>
      <c r="AF27" s="42" t="s">
        <v>82</v>
      </c>
      <c r="AG27" s="42" t="s">
        <v>77</v>
      </c>
      <c r="AH27" s="42" t="s">
        <v>77</v>
      </c>
      <c r="AI27" s="42" t="s">
        <v>77</v>
      </c>
      <c r="AJ27" s="42" t="s">
        <v>77</v>
      </c>
      <c r="AK27" s="42" t="s">
        <v>77</v>
      </c>
      <c r="AL27" t="str">
        <f>VLOOKUP($Q27,武学奇术!$A:$ZZ,25,FALSE)</f>
        <v>横刀</v>
      </c>
      <c r="AM27" s="27">
        <f>VLOOKUP($Q27,武学奇术!$A:$ZZ,26,FALSE)</f>
        <v>1.2338</v>
      </c>
      <c r="AN27" s="28">
        <f>VLOOKUP($Q27,武学奇术!$A:$ZZ,27,FALSE)*(1+IF(OR($AL27=$F$4,$AL27=$F$5),$B$22,0))</f>
        <v>513</v>
      </c>
      <c r="AO27" s="27">
        <f>VLOOKUP($Q27,武学奇术!$A:$ZZ,28,FALSE)</f>
        <v>1.8507</v>
      </c>
      <c r="AP27" s="28">
        <f>VLOOKUP($Q27,武学奇术!$A:$ZZ,29,FALSE)*(1+IF(OR($AL27=$F$4,$AL27=$F$5),$B$22,0))</f>
        <v>279</v>
      </c>
      <c r="AQ27" s="27" cm="1">
        <f t="array" ref="AQ27">$G$3+IFERROR(VLOOKUP($AL27,$F$4:$G$7,2,FALSE),0)+VLOOKUP($Q27,武学奇术!$A:$ZZ,2,FALSE)+SUM(_xlfn.XLOOKUP($R27:$AK27,增益!$A:$A,增益!$B:$B,0))</f>
        <v>0.3689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3574.7</v>
      </c>
      <c r="AT27" cm="1">
        <f t="array" ref="AT27">$E$10*(1+$AR27)+VLOOKUP($Q27,武学奇术!$A:$ZZ,4,FALSE)+SUM(_xlfn.XLOOKUP($R27:$AK27,增益!$A:$A,增益!$D:$D,0))-$I$2</f>
        <v>3574.7</v>
      </c>
      <c r="AU27" s="34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0.327</v>
      </c>
      <c r="AV27" s="34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4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4" cm="1">
        <f t="array" ref="BA27">$G$11+VLOOKUP($Q27,武学奇术!$A:$ZZ,10,FALSE)+SUM(_xlfn.XLOOKUP($R27:$AK27,增益!$A:$A,增益!$J:$J,0))</f>
        <v>0</v>
      </c>
      <c r="BB27">
        <f t="shared" si="3"/>
        <v>591.9</v>
      </c>
      <c r="BC27">
        <f t="shared" si="4"/>
        <v>1600.3</v>
      </c>
      <c r="BD27" s="34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0.09</v>
      </c>
      <c r="BE27" s="34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4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4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4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4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0.9859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7" cm="1">
        <f t="array" ref="BP27">1+$B$13+VLOOKUP($Q27,武学奇术!$A:$ZZ,18,FALSE)+SUM(_xlfn.XLOOKUP($R27:$AK27,增益!$A:$A,增益!$R:$R,0))</f>
        <v>1.91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0.87863408</v>
      </c>
      <c r="BT27" s="27">
        <f t="shared" si="10"/>
        <v>0.01567581</v>
      </c>
      <c r="BU27" s="27">
        <f>IF(VLOOKUP($Q27,武学奇术!$A:$ZZ,22,FALSE)=1,0,(1-$BN27))*(1-$BQ27)</f>
        <v>0.01279011</v>
      </c>
      <c r="BV27" s="27" cm="1">
        <f t="array" ref="BV27">SUM(_xlfn.XLOOKUP($R27:$AK27,增益!$A:$A,增益!$W:$W,0))+$I$5</f>
        <v>0.11</v>
      </c>
    </row>
    <row r="28" spans="1:74">
      <c r="K28" s="40">
        <f t="shared" si="0"/>
        <v>82868.8257529944</v>
      </c>
      <c r="L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85791.9260436278</v>
      </c>
      <c r="M28" s="40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67672.7988605715</v>
      </c>
      <c r="N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44683.2948143895</v>
      </c>
      <c r="O28" s="40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39238.5904728</v>
      </c>
      <c r="P28" s="41">
        <v>1</v>
      </c>
      <c r="Q28" s="42" t="s">
        <v>164</v>
      </c>
      <c r="R28" s="42" t="s">
        <v>103</v>
      </c>
      <c r="S28" s="42" t="s">
        <v>77</v>
      </c>
      <c r="T28" s="42" t="s">
        <v>77</v>
      </c>
      <c r="U28" s="42" t="s">
        <v>87</v>
      </c>
      <c r="V28" s="42" t="s">
        <v>77</v>
      </c>
      <c r="W28" s="42" t="s">
        <v>77</v>
      </c>
      <c r="X28" s="42" t="s">
        <v>165</v>
      </c>
      <c r="Y28" s="42" t="s">
        <v>77</v>
      </c>
      <c r="Z28" s="42" t="s">
        <v>77</v>
      </c>
      <c r="AA28" s="42" t="s">
        <v>77</v>
      </c>
      <c r="AB28" s="42" t="s">
        <v>77</v>
      </c>
      <c r="AC28" s="42" t="s">
        <v>77</v>
      </c>
      <c r="AD28" s="42" t="s">
        <v>77</v>
      </c>
      <c r="AE28" s="42" t="s">
        <v>81</v>
      </c>
      <c r="AF28" s="42" t="s">
        <v>82</v>
      </c>
      <c r="AG28" s="42" t="s">
        <v>77</v>
      </c>
      <c r="AH28" s="42" t="s">
        <v>77</v>
      </c>
      <c r="AI28" s="42" t="s">
        <v>77</v>
      </c>
      <c r="AJ28" s="42" t="s">
        <v>77</v>
      </c>
      <c r="AK28" s="42" t="s">
        <v>77</v>
      </c>
      <c r="AL28" t="str">
        <f>VLOOKUP($Q28,武学奇术!$A:$ZZ,25,FALSE)</f>
        <v>横刀</v>
      </c>
      <c r="AM28" s="27">
        <f>VLOOKUP($Q28,武学奇术!$A:$ZZ,26,FALSE)</f>
        <v>3.7797</v>
      </c>
      <c r="AN28" s="28">
        <f>VLOOKUP($Q28,武学奇术!$A:$ZZ,27,FALSE)*(1+IF(OR($AL28=$F$4,$AL28=$F$5),$B$22,0))</f>
        <v>1567.5</v>
      </c>
      <c r="AO28" s="27">
        <f>VLOOKUP($Q28,武学奇术!$A:$ZZ,28,FALSE)</f>
        <v>5.6696</v>
      </c>
      <c r="AP28" s="28">
        <f>VLOOKUP($Q28,武学奇术!$A:$ZZ,29,FALSE)*(1+IF(OR($AL28=$F$4,$AL28=$F$5),$B$22,0))</f>
        <v>855</v>
      </c>
      <c r="AQ28" s="27" cm="1">
        <f t="array" ref="AQ28">$G$3+IFERROR(VLOOKUP($AL28,$F$4:$G$7,2,FALSE),0)+VLOOKUP($Q28,武学奇术!$A:$ZZ,2,FALSE)+SUM(_xlfn.XLOOKUP($R28:$AK28,增益!$A:$A,增益!$B:$B,0))</f>
        <v>0.3689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3574.7</v>
      </c>
      <c r="AT28" cm="1">
        <f t="array" ref="AT28">$E$10*(1+$AR28)+VLOOKUP($Q28,武学奇术!$A:$ZZ,4,FALSE)+SUM(_xlfn.XLOOKUP($R28:$AK28,增益!$A:$A,增益!$D:$D,0))-$I$2</f>
        <v>3574.7</v>
      </c>
      <c r="AU28" s="34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0.327</v>
      </c>
      <c r="AV28" s="34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4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4" cm="1">
        <f t="array" ref="BA28">$G$11+VLOOKUP($Q28,武学奇术!$A:$ZZ,10,FALSE)+SUM(_xlfn.XLOOKUP($R28:$AK28,增益!$A:$A,增益!$J:$J,0))</f>
        <v>0</v>
      </c>
      <c r="BB28">
        <f t="shared" si="3"/>
        <v>591.9</v>
      </c>
      <c r="BC28">
        <f t="shared" si="4"/>
        <v>1600.3</v>
      </c>
      <c r="BD28" s="34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0.09</v>
      </c>
      <c r="BE28" s="34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4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4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4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4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0.9859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7" cm="1">
        <f t="array" ref="BP28">1+$B$13+VLOOKUP($Q28,武学奇术!$A:$ZZ,18,FALSE)+SUM(_xlfn.XLOOKUP($R28:$AK28,增益!$A:$A,增益!$R:$R,0))</f>
        <v>1.92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0.87863408</v>
      </c>
      <c r="BT28" s="27">
        <f t="shared" si="10"/>
        <v>0.01567581</v>
      </c>
      <c r="BU28" s="27">
        <f>IF(VLOOKUP($Q28,武学奇术!$A:$ZZ,22,FALSE)=1,0,(1-$BN28))*(1-$BQ28)</f>
        <v>0.01279011</v>
      </c>
      <c r="BV28" s="27" cm="1">
        <f t="array" ref="BV28">SUM(_xlfn.XLOOKUP($R28:$AK28,增益!$A:$A,增益!$W:$W,0))+$I$5</f>
        <v>0.11</v>
      </c>
    </row>
    <row r="29" spans="1:74">
      <c r="K29" s="40">
        <f t="shared" si="0"/>
        <v>51307.5754311282</v>
      </c>
      <c r="L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53244.4279878762</v>
      </c>
      <c r="M29" s="40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40876.4670546532</v>
      </c>
      <c r="N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27027.6284202417</v>
      </c>
      <c r="O29" s="40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23776.3923555551</v>
      </c>
      <c r="P29" s="41">
        <v>1</v>
      </c>
      <c r="Q29" s="42" t="s">
        <v>106</v>
      </c>
      <c r="R29" s="42" t="s">
        <v>103</v>
      </c>
      <c r="S29" s="42" t="s">
        <v>77</v>
      </c>
      <c r="T29" s="42" t="s">
        <v>77</v>
      </c>
      <c r="U29" s="42" t="s">
        <v>121</v>
      </c>
      <c r="V29" s="42" t="s">
        <v>77</v>
      </c>
      <c r="W29" s="42" t="s">
        <v>77</v>
      </c>
      <c r="X29" s="42" t="s">
        <v>165</v>
      </c>
      <c r="Y29" s="42" t="s">
        <v>77</v>
      </c>
      <c r="Z29" s="42" t="s">
        <v>77</v>
      </c>
      <c r="AA29" s="42" t="s">
        <v>73</v>
      </c>
      <c r="AB29" s="42" t="s">
        <v>77</v>
      </c>
      <c r="AC29" s="42" t="s">
        <v>77</v>
      </c>
      <c r="AD29" s="42" t="s">
        <v>77</v>
      </c>
      <c r="AE29" s="42" t="s">
        <v>81</v>
      </c>
      <c r="AF29" s="42" t="s">
        <v>82</v>
      </c>
      <c r="AG29" s="42" t="s">
        <v>77</v>
      </c>
      <c r="AH29" s="42" t="s">
        <v>77</v>
      </c>
      <c r="AI29" s="42" t="s">
        <v>77</v>
      </c>
      <c r="AJ29" s="42" t="s">
        <v>77</v>
      </c>
      <c r="AK29" s="42" t="s">
        <v>77</v>
      </c>
      <c r="AL29" t="str">
        <f>VLOOKUP($Q29,武学奇术!$A:$ZZ,25,FALSE)</f>
        <v>横刀</v>
      </c>
      <c r="AM29" s="27">
        <f>VLOOKUP($Q29,武学奇术!$A:$ZZ,26,FALSE)</f>
        <v>2.1324</v>
      </c>
      <c r="AN29" s="28">
        <f>VLOOKUP($Q29,武学奇术!$A:$ZZ,27,FALSE)*(1+IF(OR($AL29=$F$4,$AL29=$F$5),$B$22,0))</f>
        <v>885</v>
      </c>
      <c r="AO29" s="27">
        <f>VLOOKUP($Q29,武学奇术!$A:$ZZ,28,FALSE)</f>
        <v>3.1986</v>
      </c>
      <c r="AP29" s="28">
        <f>VLOOKUP($Q29,武学奇术!$A:$ZZ,29,FALSE)*(1+IF(OR($AL29=$F$4,$AL29=$F$5),$B$22,0))</f>
        <v>483</v>
      </c>
      <c r="AQ29" s="27" cm="1">
        <f t="array" ref="AQ29">$G$3+IFERROR(VLOOKUP($AL29,$F$4:$G$7,2,FALSE),0)+VLOOKUP($Q29,武学奇术!$A:$ZZ,2,FALSE)+SUM(_xlfn.XLOOKUP($R29:$AK29,增益!$A:$A,增益!$B:$B,0))</f>
        <v>0.4489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3574.7</v>
      </c>
      <c r="AT29" cm="1">
        <f t="array" ref="AT29">$E$10*(1+$AR29)+VLOOKUP($Q29,武学奇术!$A:$ZZ,4,FALSE)+SUM(_xlfn.XLOOKUP($R29:$AK29,增益!$A:$A,增益!$D:$D,0))-$I$2</f>
        <v>3574.7</v>
      </c>
      <c r="AU29" s="34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0.352</v>
      </c>
      <c r="AV29" s="34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4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4" cm="1">
        <f t="array" ref="BA29">$G$11+VLOOKUP($Q29,武学奇术!$A:$ZZ,10,FALSE)+SUM(_xlfn.XLOOKUP($R29:$AK29,增益!$A:$A,增益!$J:$J,0))</f>
        <v>0</v>
      </c>
      <c r="BB29">
        <f t="shared" si="3"/>
        <v>591.9</v>
      </c>
      <c r="BC29">
        <f t="shared" si="4"/>
        <v>1600.3</v>
      </c>
      <c r="BD29" s="34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0.09</v>
      </c>
      <c r="BE29" s="34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4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4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4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4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0.9859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7" cm="1">
        <f t="array" ref="BP29">1+$B$13+VLOOKUP($Q29,武学奇术!$A:$ZZ,18,FALSE)+SUM(_xlfn.XLOOKUP($R29:$AK29,增益!$A:$A,增益!$R:$R,0))</f>
        <v>1.97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0.87863408</v>
      </c>
      <c r="BT29" s="27">
        <f t="shared" si="10"/>
        <v>0.01567581</v>
      </c>
      <c r="BU29" s="27">
        <f>IF(VLOOKUP($Q29,武学奇术!$A:$ZZ,22,FALSE)=1,0,(1-$BN29))*(1-$BQ29)</f>
        <v>0.01279011</v>
      </c>
      <c r="BV29" s="27" cm="1">
        <f t="array" ref="BV29">SUM(_xlfn.XLOOKUP($R29:$AK29,增益!$A:$A,增益!$W:$W,0))+$I$5</f>
        <v>0.11</v>
      </c>
    </row>
    <row r="30" spans="1:74">
      <c r="K30" s="40">
        <f t="shared" si="0"/>
        <v>31821.3472136386</v>
      </c>
      <c r="L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32975.359449501</v>
      </c>
      <c r="M30" s="40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25861.2637797331</v>
      </c>
      <c r="N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16738.7611418787</v>
      </c>
      <c r="O30" s="40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14321.0305950662</v>
      </c>
      <c r="P30" s="41">
        <v>1</v>
      </c>
      <c r="Q30" s="42" t="s">
        <v>110</v>
      </c>
      <c r="R30" s="42" t="s">
        <v>103</v>
      </c>
      <c r="S30" s="42" t="s">
        <v>77</v>
      </c>
      <c r="T30" s="42" t="s">
        <v>86</v>
      </c>
      <c r="U30" s="42" t="s">
        <v>121</v>
      </c>
      <c r="V30" s="42" t="s">
        <v>77</v>
      </c>
      <c r="W30" s="42" t="s">
        <v>77</v>
      </c>
      <c r="X30" s="42" t="s">
        <v>165</v>
      </c>
      <c r="Y30" s="42" t="s">
        <v>77</v>
      </c>
      <c r="Z30" s="42" t="s">
        <v>77</v>
      </c>
      <c r="AA30" s="42" t="s">
        <v>73</v>
      </c>
      <c r="AB30" s="42" t="s">
        <v>77</v>
      </c>
      <c r="AC30" s="42" t="s">
        <v>77</v>
      </c>
      <c r="AD30" s="42" t="s">
        <v>77</v>
      </c>
      <c r="AE30" s="42" t="s">
        <v>81</v>
      </c>
      <c r="AF30" s="42" t="s">
        <v>82</v>
      </c>
      <c r="AG30" s="42" t="s">
        <v>77</v>
      </c>
      <c r="AH30" s="42" t="s">
        <v>77</v>
      </c>
      <c r="AI30" s="42" t="s">
        <v>77</v>
      </c>
      <c r="AJ30" s="42" t="s">
        <v>77</v>
      </c>
      <c r="AK30" s="42" t="s">
        <v>77</v>
      </c>
      <c r="AL30" t="str">
        <f>VLOOKUP($Q30,武学奇术!$A:$ZZ,25,FALSE)</f>
        <v>横刀</v>
      </c>
      <c r="AM30" s="27">
        <f>VLOOKUP($Q30,武学奇术!$A:$ZZ,26,FALSE)</f>
        <v>1.4</v>
      </c>
      <c r="AN30" s="28">
        <f>VLOOKUP($Q30,武学奇术!$A:$ZZ,27,FALSE)*(1+IF(OR($AL30=$F$4,$AL30=$F$5),$B$22,0))</f>
        <v>0</v>
      </c>
      <c r="AO30" s="27">
        <f>VLOOKUP($Q30,武学奇术!$A:$ZZ,28,FALSE)</f>
        <v>2.1</v>
      </c>
      <c r="AP30" s="28">
        <f>VLOOKUP($Q30,武学奇术!$A:$ZZ,29,FALSE)*(1+IF(OR($AL30=$F$4,$AL30=$F$5),$B$22,0))</f>
        <v>0</v>
      </c>
      <c r="AQ30" s="27" cm="1">
        <f t="array" ref="AQ30">$G$3+IFERROR(VLOOKUP($AL30,$F$4:$G$7,2,FALSE),0)+VLOOKUP($Q30,武学奇术!$A:$ZZ,2,FALSE)+SUM(_xlfn.XLOOKUP($R30:$AK30,增益!$A:$A,增益!$B:$B,0))</f>
        <v>0.5289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3574.7</v>
      </c>
      <c r="AT30" cm="1">
        <f t="array" ref="AT30">$E$10*(1+$AR30)+VLOOKUP($Q30,武学奇术!$A:$ZZ,4,FALSE)+SUM(_xlfn.XLOOKUP($R30:$AK30,增益!$A:$A,增益!$D:$D,0))-$I$2</f>
        <v>3574.7</v>
      </c>
      <c r="AU30" s="34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0.352</v>
      </c>
      <c r="AV30" s="34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4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4" cm="1">
        <f t="array" ref="BA30">$G$11+VLOOKUP($Q30,武学奇术!$A:$ZZ,10,FALSE)+SUM(_xlfn.XLOOKUP($R30:$AK30,增益!$A:$A,增益!$J:$J,0))</f>
        <v>0</v>
      </c>
      <c r="BB30">
        <f t="shared" si="3"/>
        <v>591.9</v>
      </c>
      <c r="BC30">
        <f t="shared" si="4"/>
        <v>1600.3</v>
      </c>
      <c r="BD30" s="34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0.17</v>
      </c>
      <c r="BE30" s="34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4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4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4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4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0.9859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7" cm="1">
        <f t="array" ref="BP30">1+$B$13+VLOOKUP($Q30,武学奇术!$A:$ZZ,18,FALSE)+SUM(_xlfn.XLOOKUP($R30:$AK30,增益!$A:$A,增益!$R:$R,0))</f>
        <v>1.97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0.87863408</v>
      </c>
      <c r="BT30" s="27">
        <f t="shared" si="10"/>
        <v>0.01567581</v>
      </c>
      <c r="BU30" s="27">
        <f>IF(VLOOKUP($Q30,武学奇术!$A:$ZZ,22,FALSE)=1,0,(1-$BN30))*(1-$BQ30)</f>
        <v>0.01279011</v>
      </c>
      <c r="BV30" s="27" cm="1">
        <f t="array" ref="BV30">SUM(_xlfn.XLOOKUP($R30:$AK30,增益!$A:$A,增益!$W:$W,0))+$I$5</f>
        <v>0.11</v>
      </c>
    </row>
    <row r="31" spans="1:74">
      <c r="K31" s="40">
        <f t="shared" si="0"/>
        <v>17093.5444376229</v>
      </c>
      <c r="L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17721.4584097367</v>
      </c>
      <c r="M31" s="40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13828.0423663545</v>
      </c>
      <c r="N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8950.23152006905</v>
      </c>
      <c r="O31" s="40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7657.46869469032</v>
      </c>
      <c r="P31" s="41">
        <v>1</v>
      </c>
      <c r="Q31" s="42" t="s">
        <v>112</v>
      </c>
      <c r="R31" s="42" t="s">
        <v>103</v>
      </c>
      <c r="S31" s="42" t="s">
        <v>169</v>
      </c>
      <c r="T31" s="42" t="s">
        <v>86</v>
      </c>
      <c r="U31" s="42" t="s">
        <v>121</v>
      </c>
      <c r="V31" s="42" t="s">
        <v>77</v>
      </c>
      <c r="W31" s="42" t="s">
        <v>77</v>
      </c>
      <c r="X31" s="42" t="s">
        <v>170</v>
      </c>
      <c r="Y31" s="42" t="s">
        <v>77</v>
      </c>
      <c r="Z31" s="42" t="s">
        <v>77</v>
      </c>
      <c r="AA31" s="42" t="s">
        <v>73</v>
      </c>
      <c r="AB31" s="42" t="s">
        <v>77</v>
      </c>
      <c r="AC31" s="42" t="s">
        <v>77</v>
      </c>
      <c r="AD31" s="42" t="s">
        <v>77</v>
      </c>
      <c r="AE31" s="42" t="s">
        <v>81</v>
      </c>
      <c r="AF31" s="42" t="s">
        <v>82</v>
      </c>
      <c r="AG31" s="42" t="s">
        <v>77</v>
      </c>
      <c r="AH31" s="42" t="s">
        <v>77</v>
      </c>
      <c r="AI31" s="42" t="s">
        <v>77</v>
      </c>
      <c r="AJ31" s="42" t="s">
        <v>77</v>
      </c>
      <c r="AK31" s="42" t="s">
        <v>77</v>
      </c>
      <c r="AL31" t="str">
        <f>VLOOKUP($Q31,武学奇术!$A:$ZZ,25,FALSE)</f>
        <v>陌刀</v>
      </c>
      <c r="AM31" s="27">
        <f>VLOOKUP($Q31,武学奇术!$A:$ZZ,26,FALSE)</f>
        <v>0.5</v>
      </c>
      <c r="AN31" s="28">
        <f>VLOOKUP($Q31,武学奇术!$A:$ZZ,27,FALSE)*(1+IF(OR($AL31=$F$4,$AL31=$F$5),$B$22,0))</f>
        <v>0</v>
      </c>
      <c r="AO31" s="27">
        <f>VLOOKUP($Q31,武学奇术!$A:$ZZ,28,FALSE)</f>
        <v>0.75</v>
      </c>
      <c r="AP31" s="28">
        <f>VLOOKUP($Q31,武学奇术!$A:$ZZ,29,FALSE)*(1+IF(OR($AL31=$F$4,$AL31=$F$5),$B$22,0))</f>
        <v>0</v>
      </c>
      <c r="AQ31" s="27" cm="1">
        <f t="array" ref="AQ31">$G$3+IFERROR(VLOOKUP($AL31,$F$4:$G$7,2,FALSE),0)+VLOOKUP($Q31,武学奇术!$A:$ZZ,2,FALSE)+SUM(_xlfn.XLOOKUP($R31:$AK31,增益!$A:$A,增益!$B:$B,0))</f>
        <v>0.7341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3574.7</v>
      </c>
      <c r="AT31" cm="1">
        <f t="array" ref="AT31">$E$10*(1+$AR31)+VLOOKUP($Q31,武学奇术!$A:$ZZ,4,FALSE)+SUM(_xlfn.XLOOKUP($R31:$AK31,增益!$A:$A,增益!$D:$D,0))-$I$2</f>
        <v>3574.7</v>
      </c>
      <c r="AU31" s="34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0.352</v>
      </c>
      <c r="AV31" s="34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4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4" cm="1">
        <f t="array" ref="BA31">$G$11+VLOOKUP($Q31,武学奇术!$A:$ZZ,10,FALSE)+SUM(_xlfn.XLOOKUP($R31:$AK31,增益!$A:$A,增益!$J:$J,0))</f>
        <v>0</v>
      </c>
      <c r="BB31">
        <f t="shared" si="3"/>
        <v>591.9</v>
      </c>
      <c r="BC31">
        <f t="shared" si="4"/>
        <v>1600.3</v>
      </c>
      <c r="BD31" s="34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0.17</v>
      </c>
      <c r="BE31" s="34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4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4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4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4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0.9859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7" cm="1">
        <f t="array" ref="BP31">1+$B$13+VLOOKUP($Q31,武学奇术!$A:$ZZ,18,FALSE)+SUM(_xlfn.XLOOKUP($R31:$AK31,增益!$A:$A,增益!$R:$R,0))</f>
        <v>1.98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0.87863408</v>
      </c>
      <c r="BT31" s="27">
        <f t="shared" si="10"/>
        <v>0.01567581</v>
      </c>
      <c r="BU31" s="27">
        <f>IF(VLOOKUP($Q31,武学奇术!$A:$ZZ,22,FALSE)=1,0,(1-$BN31))*(1-$BQ31)</f>
        <v>0.01279011</v>
      </c>
      <c r="BV31" s="27" cm="1">
        <f t="array" ref="BV31">SUM(_xlfn.XLOOKUP($R31:$AK31,增益!$A:$A,增益!$W:$W,0))+$I$5</f>
        <v>0.11</v>
      </c>
    </row>
    <row r="32" spans="1:74">
      <c r="K32" s="40">
        <f t="shared" si="0"/>
        <v>33509.6668111385</v>
      </c>
      <c r="L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33509.6668111385</v>
      </c>
      <c r="M32" s="40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24890.4762594381</v>
      </c>
      <c r="N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16110.4167361243</v>
      </c>
      <c r="O32" s="40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13783.4436504426</v>
      </c>
      <c r="P32" s="41">
        <v>1</v>
      </c>
      <c r="Q32" s="42" t="s">
        <v>117</v>
      </c>
      <c r="R32" s="42" t="s">
        <v>103</v>
      </c>
      <c r="S32" s="42" t="s">
        <v>169</v>
      </c>
      <c r="T32" s="42" t="s">
        <v>86</v>
      </c>
      <c r="U32" s="42" t="s">
        <v>121</v>
      </c>
      <c r="V32" s="42" t="s">
        <v>118</v>
      </c>
      <c r="W32" s="42" t="s">
        <v>77</v>
      </c>
      <c r="X32" s="42" t="s">
        <v>170</v>
      </c>
      <c r="Y32" s="42" t="s">
        <v>77</v>
      </c>
      <c r="Z32" s="42" t="s">
        <v>77</v>
      </c>
      <c r="AA32" s="42" t="s">
        <v>73</v>
      </c>
      <c r="AB32" s="42" t="s">
        <v>77</v>
      </c>
      <c r="AC32" s="42" t="s">
        <v>77</v>
      </c>
      <c r="AD32" s="42" t="s">
        <v>77</v>
      </c>
      <c r="AE32" s="42" t="s">
        <v>81</v>
      </c>
      <c r="AF32" s="42" t="s">
        <v>82</v>
      </c>
      <c r="AG32" s="42" t="s">
        <v>77</v>
      </c>
      <c r="AH32" s="42" t="s">
        <v>77</v>
      </c>
      <c r="AI32" s="42" t="s">
        <v>77</v>
      </c>
      <c r="AJ32" s="42" t="s">
        <v>77</v>
      </c>
      <c r="AK32" s="42" t="s">
        <v>77</v>
      </c>
      <c r="AL32" t="str">
        <f>VLOOKUP($Q32,武学奇术!$A:$ZZ,25,FALSE)</f>
        <v>陌刀</v>
      </c>
      <c r="AM32" s="27">
        <f>VLOOKUP($Q32,武学奇术!$A:$ZZ,26,FALSE)</f>
        <v>0.9</v>
      </c>
      <c r="AN32" s="28">
        <f>VLOOKUP($Q32,武学奇术!$A:$ZZ,27,FALSE)*(1+IF(OR($AL32=$F$4,$AL32=$F$5),$B$22,0))</f>
        <v>0</v>
      </c>
      <c r="AO32" s="27">
        <f>VLOOKUP($Q32,武学奇术!$A:$ZZ,28,FALSE)</f>
        <v>1.35</v>
      </c>
      <c r="AP32" s="28">
        <f>VLOOKUP($Q32,武学奇术!$A:$ZZ,29,FALSE)*(1+IF(OR($AL32=$F$4,$AL32=$F$5),$B$22,0))</f>
        <v>0</v>
      </c>
      <c r="AQ32" s="27" cm="1">
        <f t="array" ref="AQ32">$G$3+IFERROR(VLOOKUP($AL32,$F$4:$G$7,2,FALSE),0)+VLOOKUP($Q32,武学奇术!$A:$ZZ,2,FALSE)+SUM(_xlfn.XLOOKUP($R32:$AK32,增益!$A:$A,增益!$B:$B,0))</f>
        <v>0.7341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3574.7</v>
      </c>
      <c r="AT32" cm="1">
        <f t="array" ref="AT32">$E$10*(1+$AR32)+VLOOKUP($Q32,武学奇术!$A:$ZZ,4,FALSE)+SUM(_xlfn.XLOOKUP($R32:$AK32,增益!$A:$A,增益!$D:$D,0))-$I$2</f>
        <v>3574.7</v>
      </c>
      <c r="AU32" s="34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0.352</v>
      </c>
      <c r="AV32" s="34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4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4" cm="1">
        <f t="array" ref="BA32">$G$11+VLOOKUP($Q32,武学奇术!$A:$ZZ,10,FALSE)+SUM(_xlfn.XLOOKUP($R32:$AK32,增益!$A:$A,增益!$J:$J,0))</f>
        <v>0</v>
      </c>
      <c r="BB32">
        <f t="shared" si="3"/>
        <v>591.9</v>
      </c>
      <c r="BC32">
        <f t="shared" si="4"/>
        <v>1600.3</v>
      </c>
      <c r="BD32" s="34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0.17</v>
      </c>
      <c r="BE32" s="34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4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4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4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4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1</v>
      </c>
      <c r="BP32" s="27" cm="1">
        <f t="array" ref="BP32">1+$B$13+VLOOKUP($Q32,武学奇术!$A:$ZZ,18,FALSE)+SUM(_xlfn.XLOOKUP($R32:$AK32,增益!$A:$A,增益!$R:$R,0))</f>
        <v>2.08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1</v>
      </c>
      <c r="BT32" s="27">
        <f t="shared" si="10"/>
        <v>0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0.11</v>
      </c>
    </row>
    <row r="33" spans="5:74">
      <c r="K33" s="40">
        <f t="shared" si="0"/>
        <v>323979.013667494</v>
      </c>
      <c r="L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323979.013667494</v>
      </c>
      <c r="M33" s="40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235682.677775892</v>
      </c>
      <c r="N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155013.882137557</v>
      </c>
      <c r="O33" s="40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135448.002959638</v>
      </c>
      <c r="P33" s="41">
        <v>1</v>
      </c>
      <c r="Q33" s="42" t="s">
        <v>120</v>
      </c>
      <c r="R33" s="42" t="s">
        <v>103</v>
      </c>
      <c r="S33" s="42" t="s">
        <v>169</v>
      </c>
      <c r="T33" s="42" t="s">
        <v>86</v>
      </c>
      <c r="U33" s="42" t="s">
        <v>121</v>
      </c>
      <c r="V33" s="42" t="s">
        <v>118</v>
      </c>
      <c r="W33" s="42" t="s">
        <v>77</v>
      </c>
      <c r="X33" s="42" t="s">
        <v>173</v>
      </c>
      <c r="Y33" s="42" t="s">
        <v>77</v>
      </c>
      <c r="Z33" s="42" t="s">
        <v>77</v>
      </c>
      <c r="AA33" s="42" t="s">
        <v>73</v>
      </c>
      <c r="AB33" s="42" t="s">
        <v>77</v>
      </c>
      <c r="AC33" s="42" t="s">
        <v>77</v>
      </c>
      <c r="AD33" s="42" t="s">
        <v>77</v>
      </c>
      <c r="AE33" s="42" t="s">
        <v>81</v>
      </c>
      <c r="AF33" s="42" t="s">
        <v>82</v>
      </c>
      <c r="AG33" s="42" t="s">
        <v>77</v>
      </c>
      <c r="AH33" s="42" t="s">
        <v>77</v>
      </c>
      <c r="AI33" s="42" t="s">
        <v>77</v>
      </c>
      <c r="AJ33" s="42" t="s">
        <v>77</v>
      </c>
      <c r="AK33" s="42" t="s">
        <v>77</v>
      </c>
      <c r="AL33" t="str">
        <f>VLOOKUP($Q33,武学奇术!$A:$ZZ,25,FALSE)</f>
        <v>陌刀</v>
      </c>
      <c r="AM33" s="27">
        <f>VLOOKUP($Q33,武学奇术!$A:$ZZ,26,FALSE)</f>
        <v>7.5674</v>
      </c>
      <c r="AN33" s="28">
        <f>VLOOKUP($Q33,武学奇术!$A:$ZZ,27,FALSE)*(1+IF(OR($AL33=$F$4,$AL33=$F$5),$B$22,0))</f>
        <v>3139.5</v>
      </c>
      <c r="AO33" s="27">
        <f>VLOOKUP($Q33,武学奇术!$A:$ZZ,28,FALSE)</f>
        <v>11.3512</v>
      </c>
      <c r="AP33" s="28">
        <f>VLOOKUP($Q33,武学奇术!$A:$ZZ,29,FALSE)*(1+IF(OR($AL33=$F$4,$AL33=$F$5),$B$22,0))</f>
        <v>1710</v>
      </c>
      <c r="AQ33" s="27" cm="1">
        <f t="array" ref="AQ33">$G$3+IFERROR(VLOOKUP($AL33,$F$4:$G$7,2,FALSE),0)+VLOOKUP($Q33,武学奇术!$A:$ZZ,2,FALSE)+SUM(_xlfn.XLOOKUP($R33:$AK33,增益!$A:$A,增益!$B:$B,0))</f>
        <v>0.7341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3574.7</v>
      </c>
      <c r="AT33" cm="1">
        <f t="array" ref="AT33">$E$10*(1+$AR33)+VLOOKUP($Q33,武学奇术!$A:$ZZ,4,FALSE)+SUM(_xlfn.XLOOKUP($R33:$AK33,增益!$A:$A,增益!$D:$D,0))-$I$2</f>
        <v>3574.7</v>
      </c>
      <c r="AU33" s="34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0.352</v>
      </c>
      <c r="AV33" s="34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4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4" cm="1">
        <f t="array" ref="BA33">$G$11+VLOOKUP($Q33,武学奇术!$A:$ZZ,10,FALSE)+SUM(_xlfn.XLOOKUP($R33:$AK33,增益!$A:$A,增益!$J:$J,0))</f>
        <v>0</v>
      </c>
      <c r="BB33">
        <f t="shared" si="3"/>
        <v>591.9</v>
      </c>
      <c r="BC33">
        <f t="shared" si="4"/>
        <v>1600.3</v>
      </c>
      <c r="BD33" s="34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0.17</v>
      </c>
      <c r="BE33" s="34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4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4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4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4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1</v>
      </c>
      <c r="BP33" s="27" cm="1">
        <f t="array" ref="BP33">1+$B$13+VLOOKUP($Q33,武学奇术!$A:$ZZ,18,FALSE)+SUM(_xlfn.XLOOKUP($R33:$AK33,增益!$A:$A,增益!$R:$R,0))</f>
        <v>2.09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1</v>
      </c>
      <c r="BT33" s="27">
        <f t="shared" si="10"/>
        <v>0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0.11</v>
      </c>
    </row>
    <row r="34" spans="5:74">
      <c r="K34" s="40">
        <f t="shared" si="0"/>
        <v>18705.9838769443</v>
      </c>
      <c r="L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18705.9838769443</v>
      </c>
      <c r="M34" s="40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13828.0423663545</v>
      </c>
      <c r="N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8950.23152006905</v>
      </c>
      <c r="O34" s="40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7657.46869469032</v>
      </c>
      <c r="P34" s="41">
        <v>1</v>
      </c>
      <c r="Q34" s="42" t="s">
        <v>125</v>
      </c>
      <c r="R34" s="42" t="s">
        <v>103</v>
      </c>
      <c r="S34" s="42" t="s">
        <v>169</v>
      </c>
      <c r="T34" s="42" t="s">
        <v>86</v>
      </c>
      <c r="U34" s="42" t="s">
        <v>121</v>
      </c>
      <c r="V34" s="42" t="s">
        <v>118</v>
      </c>
      <c r="W34" s="42" t="s">
        <v>77</v>
      </c>
      <c r="X34" s="42" t="s">
        <v>173</v>
      </c>
      <c r="Y34" s="42" t="s">
        <v>77</v>
      </c>
      <c r="Z34" s="42" t="s">
        <v>77</v>
      </c>
      <c r="AA34" s="42" t="s">
        <v>73</v>
      </c>
      <c r="AB34" s="42" t="s">
        <v>77</v>
      </c>
      <c r="AC34" s="42" t="s">
        <v>77</v>
      </c>
      <c r="AD34" s="42" t="s">
        <v>77</v>
      </c>
      <c r="AE34" s="42" t="s">
        <v>81</v>
      </c>
      <c r="AF34" s="42" t="s">
        <v>82</v>
      </c>
      <c r="AG34" s="42" t="s">
        <v>77</v>
      </c>
      <c r="AH34" s="42" t="s">
        <v>77</v>
      </c>
      <c r="AI34" s="42" t="s">
        <v>77</v>
      </c>
      <c r="AJ34" s="42" t="s">
        <v>77</v>
      </c>
      <c r="AK34" s="42" t="s">
        <v>77</v>
      </c>
      <c r="AL34" t="str">
        <f>VLOOKUP($Q34,武学奇术!$A:$ZZ,25,FALSE)</f>
        <v>陌刀</v>
      </c>
      <c r="AM34" s="27">
        <f>VLOOKUP($Q34,武学奇术!$A:$ZZ,26,FALSE)</f>
        <v>0.5</v>
      </c>
      <c r="AN34" s="28">
        <f>VLOOKUP($Q34,武学奇术!$A:$ZZ,27,FALSE)*(1+IF(OR($AL34=$F$4,$AL34=$F$5),$B$22,0))</f>
        <v>0</v>
      </c>
      <c r="AO34" s="27">
        <f>VLOOKUP($Q34,武学奇术!$A:$ZZ,28,FALSE)</f>
        <v>0.75</v>
      </c>
      <c r="AP34" s="28">
        <f>VLOOKUP($Q34,武学奇术!$A:$ZZ,29,FALSE)*(1+IF(OR($AL34=$F$4,$AL34=$F$5),$B$22,0))</f>
        <v>0</v>
      </c>
      <c r="AQ34" s="27" cm="1">
        <f t="array" ref="AQ34">$G$3+IFERROR(VLOOKUP($AL34,$F$4:$G$7,2,FALSE),0)+VLOOKUP($Q34,武学奇术!$A:$ZZ,2,FALSE)+SUM(_xlfn.XLOOKUP($R34:$AK34,增益!$A:$A,增益!$B:$B,0))</f>
        <v>0.7341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3574.7</v>
      </c>
      <c r="AT34" cm="1">
        <f t="array" ref="AT34">$E$10*(1+$AR34)+VLOOKUP($Q34,武学奇术!$A:$ZZ,4,FALSE)+SUM(_xlfn.XLOOKUP($R34:$AK34,增益!$A:$A,增益!$D:$D,0))-$I$2</f>
        <v>3574.7</v>
      </c>
      <c r="AU34" s="34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0.352</v>
      </c>
      <c r="AV34" s="34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4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4" cm="1">
        <f t="array" ref="BA34">$G$11+VLOOKUP($Q34,武学奇术!$A:$ZZ,10,FALSE)+SUM(_xlfn.XLOOKUP($R34:$AK34,增益!$A:$A,增益!$J:$J,0))</f>
        <v>0</v>
      </c>
      <c r="BB34">
        <f t="shared" si="3"/>
        <v>591.9</v>
      </c>
      <c r="BC34">
        <f t="shared" si="4"/>
        <v>1600.3</v>
      </c>
      <c r="BD34" s="34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0.17</v>
      </c>
      <c r="BE34" s="34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4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4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4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4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1</v>
      </c>
      <c r="BP34" s="27" cm="1">
        <f t="array" ref="BP34">1+$B$13+VLOOKUP($Q34,武学奇术!$A:$ZZ,18,FALSE)+SUM(_xlfn.XLOOKUP($R34:$AK34,增益!$A:$A,增益!$R:$R,0))</f>
        <v>2.09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1</v>
      </c>
      <c r="BT34" s="27">
        <f t="shared" si="10"/>
        <v>0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0.11</v>
      </c>
    </row>
    <row r="35" spans="5:74">
      <c r="K35" s="40">
        <f t="shared" si="0"/>
        <v>33670.7709784998</v>
      </c>
      <c r="L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33670.7709784998</v>
      </c>
      <c r="M35" s="40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24890.4762594381</v>
      </c>
      <c r="N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16110.4167361243</v>
      </c>
      <c r="O35" s="40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13783.4436504426</v>
      </c>
      <c r="P35" s="41">
        <v>1</v>
      </c>
      <c r="Q35" s="42" t="s">
        <v>117</v>
      </c>
      <c r="R35" s="42" t="s">
        <v>103</v>
      </c>
      <c r="S35" s="42" t="s">
        <v>169</v>
      </c>
      <c r="T35" s="42" t="s">
        <v>86</v>
      </c>
      <c r="U35" s="42" t="s">
        <v>121</v>
      </c>
      <c r="V35" s="42" t="s">
        <v>118</v>
      </c>
      <c r="W35" s="42" t="s">
        <v>77</v>
      </c>
      <c r="X35" s="42" t="s">
        <v>173</v>
      </c>
      <c r="Y35" s="42" t="s">
        <v>77</v>
      </c>
      <c r="Z35" s="42" t="s">
        <v>77</v>
      </c>
      <c r="AA35" s="42" t="s">
        <v>73</v>
      </c>
      <c r="AB35" s="42" t="s">
        <v>77</v>
      </c>
      <c r="AC35" s="42" t="s">
        <v>77</v>
      </c>
      <c r="AD35" s="42" t="s">
        <v>77</v>
      </c>
      <c r="AE35" s="42" t="s">
        <v>81</v>
      </c>
      <c r="AF35" s="42" t="s">
        <v>82</v>
      </c>
      <c r="AG35" s="42" t="s">
        <v>77</v>
      </c>
      <c r="AH35" s="42" t="s">
        <v>77</v>
      </c>
      <c r="AI35" s="42" t="s">
        <v>77</v>
      </c>
      <c r="AJ35" s="42" t="s">
        <v>77</v>
      </c>
      <c r="AK35" s="42" t="s">
        <v>77</v>
      </c>
      <c r="AL35" t="str">
        <f>VLOOKUP($Q35,武学奇术!$A:$ZZ,25,FALSE)</f>
        <v>陌刀</v>
      </c>
      <c r="AM35" s="27">
        <f>VLOOKUP($Q35,武学奇术!$A:$ZZ,26,FALSE)</f>
        <v>0.9</v>
      </c>
      <c r="AN35" s="28">
        <f>VLOOKUP($Q35,武学奇术!$A:$ZZ,27,FALSE)*(1+IF(OR($AL35=$F$4,$AL35=$F$5),$B$22,0))</f>
        <v>0</v>
      </c>
      <c r="AO35" s="27">
        <f>VLOOKUP($Q35,武学奇术!$A:$ZZ,28,FALSE)</f>
        <v>1.35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0.7341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3574.7</v>
      </c>
      <c r="AT35" cm="1">
        <f t="array" ref="AT35">$E$10*(1+$AR35)+VLOOKUP($Q35,武学奇术!$A:$ZZ,4,FALSE)+SUM(_xlfn.XLOOKUP($R35:$AK35,增益!$A:$A,增益!$D:$D,0))-$I$2</f>
        <v>3574.7</v>
      </c>
      <c r="AU35" s="34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0.352</v>
      </c>
      <c r="AV35" s="34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4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4" cm="1">
        <f t="array" ref="BA35">$G$11+VLOOKUP($Q35,武学奇术!$A:$ZZ,10,FALSE)+SUM(_xlfn.XLOOKUP($R35:$AK35,增益!$A:$A,增益!$J:$J,0))</f>
        <v>0</v>
      </c>
      <c r="BB35">
        <f t="shared" si="3"/>
        <v>591.9</v>
      </c>
      <c r="BC35">
        <f t="shared" si="4"/>
        <v>1600.3</v>
      </c>
      <c r="BD35" s="34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0.17</v>
      </c>
      <c r="BE35" s="34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4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4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4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4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1</v>
      </c>
      <c r="BP35" s="27" cm="1">
        <f t="array" ref="BP35">1+$B$13+VLOOKUP($Q35,武学奇术!$A:$ZZ,18,FALSE)+SUM(_xlfn.XLOOKUP($R35:$AK35,增益!$A:$A,增益!$R:$R,0))</f>
        <v>2.09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</v>
      </c>
      <c r="BR35" s="27" cm="1">
        <f t="array" ref="BR35">1+$B$14+VLOOKUP($Q35,武学奇术!$A:$ZZ,20,FALSE)+SUM(_xlfn.XLOOKUP($R35:$AK35,增益!$A:$A,增益!$T:$T,0))</f>
        <v>1.35</v>
      </c>
      <c r="BS35" s="27">
        <f t="shared" si="9"/>
        <v>1</v>
      </c>
      <c r="BT35" s="27">
        <f t="shared" si="10"/>
        <v>0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0.11</v>
      </c>
    </row>
    <row r="36" spans="5:74">
      <c r="K36" s="40">
        <f t="shared" si="0"/>
        <v>323979.013667494</v>
      </c>
      <c r="L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323979.013667494</v>
      </c>
      <c r="M36" s="40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235682.677775892</v>
      </c>
      <c r="N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155013.882137557</v>
      </c>
      <c r="O36" s="40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135448.002959638</v>
      </c>
      <c r="P36" s="41">
        <v>1</v>
      </c>
      <c r="Q36" s="42" t="s">
        <v>120</v>
      </c>
      <c r="R36" s="42" t="s">
        <v>103</v>
      </c>
      <c r="S36" s="42" t="s">
        <v>169</v>
      </c>
      <c r="T36" s="42" t="s">
        <v>86</v>
      </c>
      <c r="U36" s="42" t="s">
        <v>121</v>
      </c>
      <c r="V36" s="42" t="s">
        <v>118</v>
      </c>
      <c r="W36" s="42" t="s">
        <v>77</v>
      </c>
      <c r="X36" s="42" t="s">
        <v>173</v>
      </c>
      <c r="Y36" s="42" t="s">
        <v>77</v>
      </c>
      <c r="Z36" s="42" t="s">
        <v>77</v>
      </c>
      <c r="AA36" s="42" t="s">
        <v>73</v>
      </c>
      <c r="AB36" s="42" t="s">
        <v>77</v>
      </c>
      <c r="AC36" s="42" t="s">
        <v>77</v>
      </c>
      <c r="AD36" s="42" t="s">
        <v>77</v>
      </c>
      <c r="AE36" s="42" t="s">
        <v>81</v>
      </c>
      <c r="AF36" s="42" t="s">
        <v>82</v>
      </c>
      <c r="AG36" s="42" t="s">
        <v>77</v>
      </c>
      <c r="AH36" s="42" t="s">
        <v>77</v>
      </c>
      <c r="AI36" s="42" t="s">
        <v>77</v>
      </c>
      <c r="AJ36" s="42" t="s">
        <v>77</v>
      </c>
      <c r="AK36" s="42" t="s">
        <v>77</v>
      </c>
      <c r="AL36" t="str">
        <f>VLOOKUP($Q36,武学奇术!$A:$ZZ,25,FALSE)</f>
        <v>陌刀</v>
      </c>
      <c r="AM36" s="27">
        <f>VLOOKUP($Q36,武学奇术!$A:$ZZ,26,FALSE)</f>
        <v>7.5674</v>
      </c>
      <c r="AN36" s="28">
        <f>VLOOKUP($Q36,武学奇术!$A:$ZZ,27,FALSE)*(1+IF(OR($AL36=$F$4,$AL36=$F$5),$B$22,0))</f>
        <v>3139.5</v>
      </c>
      <c r="AO36" s="27">
        <f>VLOOKUP($Q36,武学奇术!$A:$ZZ,28,FALSE)</f>
        <v>11.3512</v>
      </c>
      <c r="AP36" s="28">
        <f>VLOOKUP($Q36,武学奇术!$A:$ZZ,29,FALSE)*(1+IF(OR($AL36=$F$4,$AL36=$F$5),$B$22,0))</f>
        <v>1710</v>
      </c>
      <c r="AQ36" s="27" cm="1">
        <f t="array" ref="AQ36">$G$3+IFERROR(VLOOKUP($AL36,$F$4:$G$7,2,FALSE),0)+VLOOKUP($Q36,武学奇术!$A:$ZZ,2,FALSE)+SUM(_xlfn.XLOOKUP($R36:$AK36,增益!$A:$A,增益!$B:$B,0))</f>
        <v>0.7341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3574.7</v>
      </c>
      <c r="AT36" cm="1">
        <f t="array" ref="AT36">$E$10*(1+$AR36)+VLOOKUP($Q36,武学奇术!$A:$ZZ,4,FALSE)+SUM(_xlfn.XLOOKUP($R36:$AK36,增益!$A:$A,增益!$D:$D,0))-$I$2</f>
        <v>3574.7</v>
      </c>
      <c r="AU36" s="34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0.352</v>
      </c>
      <c r="AV36" s="34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4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4" cm="1">
        <f t="array" ref="BA36">$G$11+VLOOKUP($Q36,武学奇术!$A:$ZZ,10,FALSE)+SUM(_xlfn.XLOOKUP($R36:$AK36,增益!$A:$A,增益!$J:$J,0))</f>
        <v>0</v>
      </c>
      <c r="BB36">
        <f t="shared" si="3"/>
        <v>591.9</v>
      </c>
      <c r="BC36">
        <f t="shared" si="4"/>
        <v>1600.3</v>
      </c>
      <c r="BD36" s="34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0.17</v>
      </c>
      <c r="BE36" s="34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4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4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4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4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1</v>
      </c>
      <c r="BP36" s="27" cm="1">
        <f t="array" ref="BP36">1+$B$13+VLOOKUP($Q36,武学奇术!$A:$ZZ,18,FALSE)+SUM(_xlfn.XLOOKUP($R36:$AK36,增益!$A:$A,增益!$R:$R,0))</f>
        <v>2.09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</v>
      </c>
      <c r="BR36" s="27" cm="1">
        <f t="array" ref="BR36">1+$B$14+VLOOKUP($Q36,武学奇术!$A:$ZZ,20,FALSE)+SUM(_xlfn.XLOOKUP($R36:$AK36,增益!$A:$A,增益!$T:$T,0))</f>
        <v>1.35</v>
      </c>
      <c r="BS36" s="27">
        <f t="shared" si="9"/>
        <v>1</v>
      </c>
      <c r="BT36" s="27">
        <f t="shared" si="10"/>
        <v>0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0.11</v>
      </c>
    </row>
    <row r="37" spans="5:74">
      <c r="K37" s="40">
        <f t="shared" si="0"/>
        <v>18795.486192145</v>
      </c>
      <c r="L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18795.486192145</v>
      </c>
      <c r="M37" s="40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13828.0423663545</v>
      </c>
      <c r="N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8950.23152006905</v>
      </c>
      <c r="O37" s="40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7657.46869469032</v>
      </c>
      <c r="P37" s="41">
        <v>1</v>
      </c>
      <c r="Q37" s="42" t="s">
        <v>125</v>
      </c>
      <c r="R37" s="42" t="s">
        <v>103</v>
      </c>
      <c r="S37" s="42" t="s">
        <v>169</v>
      </c>
      <c r="T37" s="42" t="s">
        <v>86</v>
      </c>
      <c r="U37" s="42" t="s">
        <v>121</v>
      </c>
      <c r="V37" s="42" t="s">
        <v>118</v>
      </c>
      <c r="W37" s="42" t="s">
        <v>77</v>
      </c>
      <c r="X37" s="42" t="s">
        <v>176</v>
      </c>
      <c r="Y37" s="42" t="s">
        <v>77</v>
      </c>
      <c r="Z37" s="42" t="s">
        <v>77</v>
      </c>
      <c r="AA37" s="42" t="s">
        <v>73</v>
      </c>
      <c r="AB37" s="42" t="s">
        <v>77</v>
      </c>
      <c r="AC37" s="42" t="s">
        <v>77</v>
      </c>
      <c r="AD37" s="42" t="s">
        <v>77</v>
      </c>
      <c r="AE37" s="42" t="s">
        <v>81</v>
      </c>
      <c r="AF37" s="42" t="s">
        <v>82</v>
      </c>
      <c r="AG37" s="42" t="s">
        <v>77</v>
      </c>
      <c r="AH37" s="42" t="s">
        <v>77</v>
      </c>
      <c r="AI37" s="42" t="s">
        <v>77</v>
      </c>
      <c r="AJ37" s="42" t="s">
        <v>77</v>
      </c>
      <c r="AK37" s="42" t="s">
        <v>77</v>
      </c>
      <c r="AL37" t="str">
        <f>VLOOKUP($Q37,武学奇术!$A:$ZZ,25,FALSE)</f>
        <v>陌刀</v>
      </c>
      <c r="AM37" s="27">
        <f>VLOOKUP($Q37,武学奇术!$A:$ZZ,26,FALSE)</f>
        <v>0.5</v>
      </c>
      <c r="AN37" s="28">
        <f>VLOOKUP($Q37,武学奇术!$A:$ZZ,27,FALSE)*(1+IF(OR($AL37=$F$4,$AL37=$F$5),$B$22,0))</f>
        <v>0</v>
      </c>
      <c r="AO37" s="27">
        <f>VLOOKUP($Q37,武学奇术!$A:$ZZ,28,FALSE)</f>
        <v>0.75</v>
      </c>
      <c r="AP37" s="28">
        <f>VLOOKUP($Q37,武学奇术!$A:$ZZ,29,FALSE)*(1+IF(OR($AL37=$F$4,$AL37=$F$5),$B$22,0))</f>
        <v>0</v>
      </c>
      <c r="AQ37" s="27" cm="1">
        <f t="array" ref="AQ37">$G$3+IFERROR(VLOOKUP($AL37,$F$4:$G$7,2,FALSE),0)+VLOOKUP($Q37,武学奇术!$A:$ZZ,2,FALSE)+SUM(_xlfn.XLOOKUP($R37:$AK37,增益!$A:$A,增益!$B:$B,0))</f>
        <v>0.7341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3574.7</v>
      </c>
      <c r="AT37" cm="1">
        <f t="array" ref="AT37">$E$10*(1+$AR37)+VLOOKUP($Q37,武学奇术!$A:$ZZ,4,FALSE)+SUM(_xlfn.XLOOKUP($R37:$AK37,增益!$A:$A,增益!$D:$D,0))-$I$2</f>
        <v>3574.7</v>
      </c>
      <c r="AU37" s="34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0.352</v>
      </c>
      <c r="AV37" s="34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4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4" cm="1">
        <f t="array" ref="BA37">$G$11+VLOOKUP($Q37,武学奇术!$A:$ZZ,10,FALSE)+SUM(_xlfn.XLOOKUP($R37:$AK37,增益!$A:$A,增益!$J:$J,0))</f>
        <v>0</v>
      </c>
      <c r="BB37">
        <f t="shared" si="3"/>
        <v>591.9</v>
      </c>
      <c r="BC37">
        <f t="shared" si="4"/>
        <v>1600.3</v>
      </c>
      <c r="BD37" s="34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0.17</v>
      </c>
      <c r="BE37" s="34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4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4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4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4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1</v>
      </c>
      <c r="BP37" s="27" cm="1">
        <f t="array" ref="BP37">1+$B$13+VLOOKUP($Q37,武学奇术!$A:$ZZ,18,FALSE)+SUM(_xlfn.XLOOKUP($R37:$AK37,增益!$A:$A,增益!$R:$R,0))</f>
        <v>2.1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</v>
      </c>
      <c r="BR37" s="27" cm="1">
        <f t="array" ref="BR37">1+$B$14+VLOOKUP($Q37,武学奇术!$A:$ZZ,20,FALSE)+SUM(_xlfn.XLOOKUP($R37:$AK37,增益!$A:$A,增益!$T:$T,0))</f>
        <v>1.35</v>
      </c>
      <c r="BS37" s="27">
        <f t="shared" si="9"/>
        <v>1</v>
      </c>
      <c r="BT37" s="27">
        <f t="shared" si="10"/>
        <v>0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5:74">
      <c r="K38" s="40">
        <f t="shared" si="0"/>
        <v>33831.875145861</v>
      </c>
      <c r="L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33831.875145861</v>
      </c>
      <c r="M38" s="40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24890.4762594381</v>
      </c>
      <c r="N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16110.4167361243</v>
      </c>
      <c r="O38" s="40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13783.4436504426</v>
      </c>
      <c r="P38" s="41">
        <v>1</v>
      </c>
      <c r="Q38" s="42" t="s">
        <v>117</v>
      </c>
      <c r="R38" s="42" t="s">
        <v>103</v>
      </c>
      <c r="S38" s="42" t="s">
        <v>169</v>
      </c>
      <c r="T38" s="42" t="s">
        <v>86</v>
      </c>
      <c r="U38" s="42" t="s">
        <v>121</v>
      </c>
      <c r="V38" s="42" t="s">
        <v>118</v>
      </c>
      <c r="W38" s="42" t="s">
        <v>77</v>
      </c>
      <c r="X38" s="42" t="s">
        <v>176</v>
      </c>
      <c r="Y38" s="42" t="s">
        <v>77</v>
      </c>
      <c r="Z38" s="42" t="s">
        <v>77</v>
      </c>
      <c r="AA38" s="42" t="s">
        <v>73</v>
      </c>
      <c r="AB38" s="42" t="s">
        <v>77</v>
      </c>
      <c r="AC38" s="42" t="s">
        <v>77</v>
      </c>
      <c r="AD38" s="42" t="s">
        <v>77</v>
      </c>
      <c r="AE38" s="42" t="s">
        <v>81</v>
      </c>
      <c r="AF38" s="42" t="s">
        <v>82</v>
      </c>
      <c r="AG38" s="42" t="s">
        <v>77</v>
      </c>
      <c r="AH38" s="42" t="s">
        <v>77</v>
      </c>
      <c r="AI38" s="42" t="s">
        <v>77</v>
      </c>
      <c r="AJ38" s="42" t="s">
        <v>77</v>
      </c>
      <c r="AK38" s="42" t="s">
        <v>77</v>
      </c>
      <c r="AL38" t="str">
        <f>VLOOKUP($Q38,武学奇术!$A:$ZZ,25,FALSE)</f>
        <v>陌刀</v>
      </c>
      <c r="AM38" s="27">
        <f>VLOOKUP($Q38,武学奇术!$A:$ZZ,26,FALSE)</f>
        <v>0.9</v>
      </c>
      <c r="AN38" s="28">
        <f>VLOOKUP($Q38,武学奇术!$A:$ZZ,27,FALSE)*(1+IF(OR($AL38=$F$4,$AL38=$F$5),$B$22,0))</f>
        <v>0</v>
      </c>
      <c r="AO38" s="27">
        <f>VLOOKUP($Q38,武学奇术!$A:$ZZ,28,FALSE)</f>
        <v>1.35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0.7341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3574.7</v>
      </c>
      <c r="AT38" cm="1">
        <f t="array" ref="AT38">$E$10*(1+$AR38)+VLOOKUP($Q38,武学奇术!$A:$ZZ,4,FALSE)+SUM(_xlfn.XLOOKUP($R38:$AK38,增益!$A:$A,增益!$D:$D,0))-$I$2</f>
        <v>3574.7</v>
      </c>
      <c r="AU38" s="34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0.352</v>
      </c>
      <c r="AV38" s="34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4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34" cm="1">
        <f t="array" ref="BA38">$G$11+VLOOKUP($Q38,武学奇术!$A:$ZZ,10,FALSE)+SUM(_xlfn.XLOOKUP($R38:$AK38,增益!$A:$A,增益!$J:$J,0))</f>
        <v>0</v>
      </c>
      <c r="BB38">
        <f t="shared" si="3"/>
        <v>591.9</v>
      </c>
      <c r="BC38">
        <f t="shared" si="4"/>
        <v>1600.3</v>
      </c>
      <c r="BD38" s="34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0.17</v>
      </c>
      <c r="BE38" s="34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4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-0.14</v>
      </c>
      <c r="BI38" s="34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4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34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1</v>
      </c>
      <c r="BP38" s="27" cm="1">
        <f t="array" ref="BP38">1+$B$13+VLOOKUP($Q38,武学奇术!$A:$ZZ,18,FALSE)+SUM(_xlfn.XLOOKUP($R38:$AK38,增益!$A:$A,增益!$R:$R,0))</f>
        <v>2.1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</v>
      </c>
      <c r="BR38" s="27" cm="1">
        <f t="array" ref="BR38">1+$B$14+VLOOKUP($Q38,武学奇术!$A:$ZZ,20,FALSE)+SUM(_xlfn.XLOOKUP($R38:$AK38,增益!$A:$A,增益!$T:$T,0))</f>
        <v>1.35</v>
      </c>
      <c r="BS38" s="27">
        <f t="shared" si="9"/>
        <v>1</v>
      </c>
      <c r="BT38" s="27">
        <f t="shared" si="10"/>
        <v>0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5:74">
      <c r="E39" s="4"/>
      <c r="F39" s="4"/>
      <c r="K39" s="40">
        <f t="shared" si="0"/>
        <v>325529.152488869</v>
      </c>
      <c r="L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325529.152488869</v>
      </c>
      <c r="M39" s="40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235682.677775892</v>
      </c>
      <c r="N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155013.882137557</v>
      </c>
      <c r="O39" s="40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135448.002959638</v>
      </c>
      <c r="P39" s="41">
        <v>1</v>
      </c>
      <c r="Q39" s="42" t="s">
        <v>120</v>
      </c>
      <c r="R39" s="42" t="s">
        <v>103</v>
      </c>
      <c r="S39" s="42" t="s">
        <v>169</v>
      </c>
      <c r="T39" s="42" t="s">
        <v>86</v>
      </c>
      <c r="U39" s="42" t="s">
        <v>121</v>
      </c>
      <c r="V39" s="42" t="s">
        <v>118</v>
      </c>
      <c r="W39" s="42" t="s">
        <v>77</v>
      </c>
      <c r="X39" s="42" t="s">
        <v>176</v>
      </c>
      <c r="Y39" s="42" t="s">
        <v>77</v>
      </c>
      <c r="Z39" s="42" t="s">
        <v>77</v>
      </c>
      <c r="AA39" s="42" t="s">
        <v>73</v>
      </c>
      <c r="AB39" s="42" t="s">
        <v>77</v>
      </c>
      <c r="AC39" s="42" t="s">
        <v>77</v>
      </c>
      <c r="AD39" s="42" t="s">
        <v>77</v>
      </c>
      <c r="AE39" s="42" t="s">
        <v>81</v>
      </c>
      <c r="AF39" s="42" t="s">
        <v>82</v>
      </c>
      <c r="AG39" s="42" t="s">
        <v>77</v>
      </c>
      <c r="AH39" s="42" t="s">
        <v>77</v>
      </c>
      <c r="AI39" s="42" t="s">
        <v>77</v>
      </c>
      <c r="AJ39" s="42" t="s">
        <v>77</v>
      </c>
      <c r="AK39" s="42" t="s">
        <v>77</v>
      </c>
      <c r="AL39" t="str">
        <f>VLOOKUP($Q39,武学奇术!$A:$ZZ,25,FALSE)</f>
        <v>陌刀</v>
      </c>
      <c r="AM39" s="27">
        <f>VLOOKUP($Q39,武学奇术!$A:$ZZ,26,FALSE)</f>
        <v>7.5674</v>
      </c>
      <c r="AN39" s="28">
        <f>VLOOKUP($Q39,武学奇术!$A:$ZZ,27,FALSE)*(1+IF(OR($AL39=$F$4,$AL39=$F$5),$B$22,0))</f>
        <v>3139.5</v>
      </c>
      <c r="AO39" s="27">
        <f>VLOOKUP($Q39,武学奇术!$A:$ZZ,28,FALSE)</f>
        <v>11.3512</v>
      </c>
      <c r="AP39" s="28">
        <f>VLOOKUP($Q39,武学奇术!$A:$ZZ,29,FALSE)*(1+IF(OR($AL39=$F$4,$AL39=$F$5),$B$22,0))</f>
        <v>1710</v>
      </c>
      <c r="AQ39" s="27" cm="1">
        <f t="array" ref="AQ39">$G$3+IFERROR(VLOOKUP($AL39,$F$4:$G$7,2,FALSE),0)+VLOOKUP($Q39,武学奇术!$A:$ZZ,2,FALSE)+SUM(_xlfn.XLOOKUP($R39:$AK39,增益!$A:$A,增益!$B:$B,0))</f>
        <v>0.7341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3574.7</v>
      </c>
      <c r="AT39" cm="1">
        <f t="array" ref="AT39">$E$10*(1+$AR39)+VLOOKUP($Q39,武学奇术!$A:$ZZ,4,FALSE)+SUM(_xlfn.XLOOKUP($R39:$AK39,增益!$A:$A,增益!$D:$D,0))-$I$2</f>
        <v>3574.7</v>
      </c>
      <c r="AU39" s="34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0.352</v>
      </c>
      <c r="AV39" s="34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4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34" cm="1">
        <f t="array" ref="BA39">$G$11+VLOOKUP($Q39,武学奇术!$A:$ZZ,10,FALSE)+SUM(_xlfn.XLOOKUP($R39:$AK39,增益!$A:$A,增益!$J:$J,0))</f>
        <v>0</v>
      </c>
      <c r="BB39">
        <f t="shared" si="3"/>
        <v>591.9</v>
      </c>
      <c r="BC39">
        <f t="shared" si="4"/>
        <v>1600.3</v>
      </c>
      <c r="BD39" s="34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0.17</v>
      </c>
      <c r="BE39" s="34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4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34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4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34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1</v>
      </c>
      <c r="BP39" s="27" cm="1">
        <f t="array" ref="BP39">1+$B$13+VLOOKUP($Q39,武学奇术!$A:$ZZ,18,FALSE)+SUM(_xlfn.XLOOKUP($R39:$AK39,增益!$A:$A,增益!$R:$R,0))</f>
        <v>2.1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</v>
      </c>
      <c r="BR39" s="27" cm="1">
        <f t="array" ref="BR39">1+$B$14+VLOOKUP($Q39,武学奇术!$A:$ZZ,20,FALSE)+SUM(_xlfn.XLOOKUP($R39:$AK39,增益!$A:$A,增益!$T:$T,0))</f>
        <v>1.35</v>
      </c>
      <c r="BS39" s="27">
        <f t="shared" si="9"/>
        <v>1</v>
      </c>
      <c r="BT39" s="27">
        <f t="shared" si="10"/>
        <v>0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5:74">
      <c r="K40" s="40">
        <f t="shared" si="0"/>
        <v>143400.474551239</v>
      </c>
      <c r="L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146895.858037781</v>
      </c>
      <c r="M40" s="40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130053.385256658</v>
      </c>
      <c r="N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84422.906918265</v>
      </c>
      <c r="O40" s="40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72509.9729056725</v>
      </c>
      <c r="P40" s="41">
        <v>1</v>
      </c>
      <c r="Q40" s="42" t="s">
        <v>149</v>
      </c>
      <c r="R40" s="42" t="s">
        <v>103</v>
      </c>
      <c r="S40" s="42" t="s">
        <v>169</v>
      </c>
      <c r="T40" s="42" t="s">
        <v>86</v>
      </c>
      <c r="U40" s="42" t="s">
        <v>87</v>
      </c>
      <c r="V40" s="42" t="s">
        <v>77</v>
      </c>
      <c r="W40" s="42" t="s">
        <v>77</v>
      </c>
      <c r="X40" s="42" t="s">
        <v>176</v>
      </c>
      <c r="Y40" s="42" t="s">
        <v>77</v>
      </c>
      <c r="Z40" s="42" t="s">
        <v>77</v>
      </c>
      <c r="AA40" s="42" t="s">
        <v>77</v>
      </c>
      <c r="AB40" s="42" t="s">
        <v>77</v>
      </c>
      <c r="AC40" s="42" t="s">
        <v>77</v>
      </c>
      <c r="AD40" s="42" t="s">
        <v>77</v>
      </c>
      <c r="AE40" s="42" t="s">
        <v>81</v>
      </c>
      <c r="AF40" s="42" t="s">
        <v>82</v>
      </c>
      <c r="AG40" s="42" t="s">
        <v>77</v>
      </c>
      <c r="AH40" s="42" t="s">
        <v>77</v>
      </c>
      <c r="AI40" s="42" t="s">
        <v>77</v>
      </c>
      <c r="AJ40" s="42" t="s">
        <v>77</v>
      </c>
      <c r="AK40" s="42" t="s">
        <v>77</v>
      </c>
      <c r="AL40" t="str">
        <f>VLOOKUP($Q40,武学奇术!$A:$ZZ,25,FALSE)</f>
        <v>单体奇术</v>
      </c>
      <c r="AM40" s="27">
        <f>VLOOKUP($Q40,武学奇术!$A:$ZZ,26,FALSE)</f>
        <v>7.1084</v>
      </c>
      <c r="AN40" s="28">
        <f>VLOOKUP($Q40,武学奇术!$A:$ZZ,27,FALSE)*(1+IF(OR($AL40=$F$4,$AL40=$F$5),$B$22,0))</f>
        <v>1369</v>
      </c>
      <c r="AO40" s="27">
        <f>VLOOKUP($Q40,武学奇术!$A:$ZZ,28,FALSE)</f>
        <v>10.6626</v>
      </c>
      <c r="AP40" s="28">
        <f>VLOOKUP($Q40,武学奇术!$A:$ZZ,29,FALSE)*(1+IF(OR($AL40=$F$4,$AL40=$F$5),$B$22,0))</f>
        <v>0</v>
      </c>
      <c r="AQ40" s="27" cm="1">
        <f t="array" ref="AQ40">$G$3+IFERROR(VLOOKUP($AL40,$F$4:$G$7,2,FALSE),0)+VLOOKUP($Q40,武学奇术!$A:$ZZ,2,FALSE)+SUM(_xlfn.XLOOKUP($R40:$AK40,增益!$A:$A,增益!$B:$B,0))</f>
        <v>0.4837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3574.7</v>
      </c>
      <c r="AT40" cm="1">
        <f t="array" ref="AT40">$E$10*(1+$AR40)+VLOOKUP($Q40,武学奇术!$A:$ZZ,4,FALSE)+SUM(_xlfn.XLOOKUP($R40:$AK40,增益!$A:$A,增益!$D:$D,0))-$I$2</f>
        <v>3574.7</v>
      </c>
      <c r="AU40" s="34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0.327</v>
      </c>
      <c r="AV40" s="34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4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4" cm="1">
        <f t="array" ref="BA40">$G$11+VLOOKUP($Q40,武学奇术!$A:$ZZ,10,FALSE)+SUM(_xlfn.XLOOKUP($R40:$AK40,增益!$A:$A,增益!$J:$J,0))</f>
        <v>0</v>
      </c>
      <c r="BB40">
        <f t="shared" si="3"/>
        <v>591.9</v>
      </c>
      <c r="BC40">
        <f t="shared" si="4"/>
        <v>1600.3</v>
      </c>
      <c r="BD40" s="34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0.17</v>
      </c>
      <c r="BE40" s="34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4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4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4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4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0.9859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7" cm="1">
        <f t="array" ref="BP40">1+$B$13+VLOOKUP($Q40,武学奇术!$A:$ZZ,18,FALSE)+SUM(_xlfn.XLOOKUP($R40:$AK40,增益!$A:$A,增益!$R:$R,0))</f>
        <v>1.74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7" cm="1">
        <f t="array" ref="BR40">1+$B$14+VLOOKUP($Q40,武学奇术!$A:$ZZ,20,FALSE)+SUM(_xlfn.XLOOKUP($R40:$AK40,增益!$A:$A,增益!$T:$T,0))</f>
        <v>1.35</v>
      </c>
      <c r="BS40" s="27">
        <f t="shared" si="9"/>
        <v>0.87863408</v>
      </c>
      <c r="BT40" s="27">
        <f t="shared" si="10"/>
        <v>0.01567581</v>
      </c>
      <c r="BU40" s="27">
        <f>IF(VLOOKUP($Q40,武学奇术!$A:$ZZ,22,FALSE)=1,0,(1-$BN40))*(1-$BQ40)</f>
        <v>0.01279011</v>
      </c>
      <c r="BV40" s="27" cm="1">
        <f t="array" ref="BV40">SUM(_xlfn.XLOOKUP($R40:$AK40,增益!$A:$A,增益!$W:$W,0))+$I$5</f>
        <v>0.11</v>
      </c>
    </row>
    <row r="41" spans="5:74">
      <c r="K41" s="40">
        <f t="shared" si="0"/>
        <v>16929.5420388638</v>
      </c>
      <c r="L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17544.9183412435</v>
      </c>
      <c r="M41" s="40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13698.1783448749</v>
      </c>
      <c r="N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8997.39402115053</v>
      </c>
      <c r="O41" s="40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7847.98926831968</v>
      </c>
      <c r="P41" s="41">
        <v>1</v>
      </c>
      <c r="Q41" s="42" t="s">
        <v>179</v>
      </c>
      <c r="R41" s="42" t="s">
        <v>103</v>
      </c>
      <c r="S41" s="42" t="s">
        <v>169</v>
      </c>
      <c r="T41" s="42" t="s">
        <v>86</v>
      </c>
      <c r="U41" s="42" t="s">
        <v>87</v>
      </c>
      <c r="V41" s="42" t="s">
        <v>77</v>
      </c>
      <c r="W41" s="42" t="s">
        <v>77</v>
      </c>
      <c r="X41" s="42" t="s">
        <v>176</v>
      </c>
      <c r="Y41" s="42" t="s">
        <v>77</v>
      </c>
      <c r="Z41" s="42" t="s">
        <v>77</v>
      </c>
      <c r="AA41" s="42" t="s">
        <v>77</v>
      </c>
      <c r="AB41" s="42" t="s">
        <v>77</v>
      </c>
      <c r="AC41" s="42" t="s">
        <v>77</v>
      </c>
      <c r="AD41" s="42" t="s">
        <v>77</v>
      </c>
      <c r="AE41" s="42" t="s">
        <v>81</v>
      </c>
      <c r="AF41" s="42" t="s">
        <v>82</v>
      </c>
      <c r="AG41" s="42" t="s">
        <v>77</v>
      </c>
      <c r="AH41" s="42" t="s">
        <v>77</v>
      </c>
      <c r="AI41" s="42" t="s">
        <v>77</v>
      </c>
      <c r="AJ41" s="42" t="s">
        <v>77</v>
      </c>
      <c r="AK41" s="42" t="s">
        <v>77</v>
      </c>
      <c r="AL41" t="str">
        <f>VLOOKUP($Q41,武学奇术!$A:$ZZ,25,FALSE)</f>
        <v>横刀</v>
      </c>
      <c r="AM41" s="27">
        <f>VLOOKUP($Q41,武学奇术!$A:$ZZ,26,FALSE)</f>
        <v>0.6486</v>
      </c>
      <c r="AN41" s="28">
        <f>VLOOKUP($Q41,武学奇术!$A:$ZZ,27,FALSE)*(1+IF(OR($AL41=$F$4,$AL41=$F$5),$B$22,0))</f>
        <v>270</v>
      </c>
      <c r="AO41" s="27">
        <f>VLOOKUP($Q41,武学奇术!$A:$ZZ,28,FALSE)</f>
        <v>0.9729</v>
      </c>
      <c r="AP41" s="28">
        <f>VLOOKUP($Q41,武学奇术!$A:$ZZ,29,FALSE)*(1+IF(OR($AL41=$F$4,$AL41=$F$5),$B$22,0))</f>
        <v>147</v>
      </c>
      <c r="AQ41" s="27" cm="1">
        <f t="array" ref="AQ41">$G$3+IFERROR(VLOOKUP($AL41,$F$4:$G$7,2,FALSE),0)+VLOOKUP($Q41,武学奇术!$A:$ZZ,2,FALSE)+SUM(_xlfn.XLOOKUP($R41:$AK41,增益!$A:$A,增益!$B:$B,0))</f>
        <v>0.5689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3574.7</v>
      </c>
      <c r="AT41" cm="1">
        <f t="array" ref="AT41">$E$10*(1+$AR41)+VLOOKUP($Q41,武学奇术!$A:$ZZ,4,FALSE)+SUM(_xlfn.XLOOKUP($R41:$AK41,增益!$A:$A,增益!$D:$D,0))-$I$2</f>
        <v>3574.7</v>
      </c>
      <c r="AU41" s="34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0.327</v>
      </c>
      <c r="AV41" s="34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4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4" cm="1">
        <f t="array" ref="BA41">$G$11+VLOOKUP($Q41,武学奇术!$A:$ZZ,10,FALSE)+SUM(_xlfn.XLOOKUP($R41:$AK41,增益!$A:$A,增益!$J:$J,0))</f>
        <v>0</v>
      </c>
      <c r="BB41">
        <f t="shared" si="3"/>
        <v>591.9</v>
      </c>
      <c r="BC41">
        <f t="shared" si="4"/>
        <v>1600.3</v>
      </c>
      <c r="BD41" s="34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0.17</v>
      </c>
      <c r="BE41" s="34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4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4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4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4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0.9859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7" cm="1">
        <f t="array" ref="BP41">1+$B$13+VLOOKUP($Q41,武学奇术!$A:$ZZ,18,FALSE)+SUM(_xlfn.XLOOKUP($R41:$AK41,增益!$A:$A,增益!$R:$R,0))</f>
        <v>1.95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7" cm="1">
        <f t="array" ref="BR41">1+$B$14+VLOOKUP($Q41,武学奇术!$A:$ZZ,20,FALSE)+SUM(_xlfn.XLOOKUP($R41:$AK41,增益!$A:$A,增益!$T:$T,0))</f>
        <v>1.35</v>
      </c>
      <c r="BS41" s="27">
        <f t="shared" si="9"/>
        <v>0.87863408</v>
      </c>
      <c r="BT41" s="27">
        <f t="shared" si="10"/>
        <v>0.01567581</v>
      </c>
      <c r="BU41" s="27">
        <f>IF(VLOOKUP($Q41,武学奇术!$A:$ZZ,22,FALSE)=1,0,(1-$BN41))*(1-$BQ41)</f>
        <v>0.01279011</v>
      </c>
      <c r="BV41" s="27" cm="1">
        <f t="array" ref="BV41">SUM(_xlfn.XLOOKUP($R41:$AK41,增益!$A:$A,增益!$W:$W,0))+$I$5</f>
        <v>0.11</v>
      </c>
    </row>
    <row r="42" spans="5:74">
      <c r="K42" s="40">
        <f t="shared" si="0"/>
        <v>73649.0636017793</v>
      </c>
      <c r="L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76530.4672729146</v>
      </c>
      <c r="M42" s="40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57873.1363495441</v>
      </c>
      <c r="N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38265.2336364573</v>
      </c>
      <c r="O42" s="40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33661.4773843635</v>
      </c>
      <c r="P42" s="41">
        <v>1</v>
      </c>
      <c r="Q42" s="42" t="s">
        <v>180</v>
      </c>
      <c r="R42" s="42" t="s">
        <v>103</v>
      </c>
      <c r="S42" s="42" t="s">
        <v>77</v>
      </c>
      <c r="T42" s="42" t="s">
        <v>77</v>
      </c>
      <c r="U42" s="42" t="s">
        <v>121</v>
      </c>
      <c r="V42" s="42" t="s">
        <v>77</v>
      </c>
      <c r="W42" s="42" t="s">
        <v>77</v>
      </c>
      <c r="X42" s="42" t="s">
        <v>176</v>
      </c>
      <c r="Y42" s="42" t="s">
        <v>77</v>
      </c>
      <c r="Z42" s="42" t="s">
        <v>77</v>
      </c>
      <c r="AA42" s="42" t="s">
        <v>73</v>
      </c>
      <c r="AB42" s="42" t="s">
        <v>77</v>
      </c>
      <c r="AC42" s="42" t="s">
        <v>77</v>
      </c>
      <c r="AD42" s="42" t="s">
        <v>77</v>
      </c>
      <c r="AE42" s="42" t="s">
        <v>81</v>
      </c>
      <c r="AF42" s="42" t="s">
        <v>82</v>
      </c>
      <c r="AG42" s="42" t="s">
        <v>77</v>
      </c>
      <c r="AH42" s="42" t="s">
        <v>77</v>
      </c>
      <c r="AI42" s="42" t="s">
        <v>77</v>
      </c>
      <c r="AJ42" s="42" t="s">
        <v>77</v>
      </c>
      <c r="AK42" s="42" t="s">
        <v>77</v>
      </c>
      <c r="AL42" t="str">
        <f>VLOOKUP($Q42,武学奇术!$A:$ZZ,25,FALSE)</f>
        <v>横刀</v>
      </c>
      <c r="AM42" s="27">
        <f>VLOOKUP($Q42,武学奇术!$A:$ZZ,26,FALSE)</f>
        <v>2.8245</v>
      </c>
      <c r="AN42" s="28">
        <f>VLOOKUP($Q42,武学奇术!$A:$ZZ,27,FALSE)*(1+IF(OR($AL42=$F$4,$AL42=$F$5),$B$22,0))</f>
        <v>1173</v>
      </c>
      <c r="AO42" s="27">
        <f>VLOOKUP($Q42,武学奇术!$A:$ZZ,28,FALSE)</f>
        <v>4.236808</v>
      </c>
      <c r="AP42" s="28">
        <f>VLOOKUP($Q42,武学奇术!$A:$ZZ,29,FALSE)*(1+IF(OR($AL42=$F$4,$AL42=$F$5),$B$22,0))</f>
        <v>637.5</v>
      </c>
      <c r="AQ42" s="27" cm="1">
        <f t="array" ref="AQ42">$G$3+IFERROR(VLOOKUP($AL42,$F$4:$G$7,2,FALSE),0)+VLOOKUP($Q42,武学奇术!$A:$ZZ,2,FALSE)+SUM(_xlfn.XLOOKUP($R42:$AK42,增益!$A:$A,增益!$B:$B,0))</f>
        <v>0.5489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3574.7</v>
      </c>
      <c r="AT42" cm="1">
        <f t="array" ref="AT42">$E$10*(1+$AR42)+VLOOKUP($Q42,武学奇术!$A:$ZZ,4,FALSE)+SUM(_xlfn.XLOOKUP($R42:$AK42,增益!$A:$A,增益!$D:$D,0))-$I$2</f>
        <v>3574.7</v>
      </c>
      <c r="AU42" s="34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0.352</v>
      </c>
      <c r="AV42" s="34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4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4" cm="1">
        <f t="array" ref="BA42">$G$11+VLOOKUP($Q42,武学奇术!$A:$ZZ,10,FALSE)+SUM(_xlfn.XLOOKUP($R42:$AK42,增益!$A:$A,增益!$J:$J,0))</f>
        <v>0</v>
      </c>
      <c r="BB42">
        <f t="shared" si="3"/>
        <v>591.9</v>
      </c>
      <c r="BC42">
        <f t="shared" si="4"/>
        <v>1600.3</v>
      </c>
      <c r="BD42" s="34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0.09</v>
      </c>
      <c r="BE42" s="34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4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4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4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4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0.9859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7" cm="1">
        <f t="array" ref="BP42">1+$B$13+VLOOKUP($Q42,武学奇术!$A:$ZZ,18,FALSE)+SUM(_xlfn.XLOOKUP($R42:$AK42,增益!$A:$A,增益!$R:$R,0))</f>
        <v>2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7" cm="1">
        <f t="array" ref="BR42">1+$B$14+VLOOKUP($Q42,武学奇术!$A:$ZZ,20,FALSE)+SUM(_xlfn.XLOOKUP($R42:$AK42,增益!$A:$A,增益!$T:$T,0))</f>
        <v>1.35</v>
      </c>
      <c r="BS42" s="27">
        <f t="shared" si="9"/>
        <v>0.87863408</v>
      </c>
      <c r="BT42" s="27">
        <f t="shared" si="10"/>
        <v>0.01567581</v>
      </c>
      <c r="BU42" s="27">
        <f>IF(VLOOKUP($Q42,武学奇术!$A:$ZZ,22,FALSE)=1,0,(1-$BN42))*(1-$BQ42)</f>
        <v>0.01279011</v>
      </c>
      <c r="BV42" s="27" cm="1">
        <f t="array" ref="BV42">SUM(_xlfn.XLOOKUP($R42:$AK42,增益!$A:$A,增益!$W:$W,0))+$I$5</f>
        <v>0.11</v>
      </c>
    </row>
    <row r="43" spans="5:74">
      <c r="K43" s="40">
        <f t="shared" si="0"/>
        <v>29905.876580433</v>
      </c>
      <c r="L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31044.6449030552</v>
      </c>
      <c r="M43" s="40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23836.7879836655</v>
      </c>
      <c r="N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15522.3224515276</v>
      </c>
      <c r="O43" s="40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13387.7649151549</v>
      </c>
      <c r="P43" s="41">
        <v>1</v>
      </c>
      <c r="Q43" s="42" t="s">
        <v>110</v>
      </c>
      <c r="R43" s="42" t="s">
        <v>103</v>
      </c>
      <c r="S43" s="42" t="s">
        <v>77</v>
      </c>
      <c r="T43" s="42" t="s">
        <v>77</v>
      </c>
      <c r="U43" s="42" t="s">
        <v>121</v>
      </c>
      <c r="V43" s="42" t="s">
        <v>77</v>
      </c>
      <c r="W43" s="42" t="s">
        <v>77</v>
      </c>
      <c r="X43" s="42" t="s">
        <v>176</v>
      </c>
      <c r="Y43" s="42" t="s">
        <v>77</v>
      </c>
      <c r="Z43" s="42" t="s">
        <v>77</v>
      </c>
      <c r="AA43" s="42" t="s">
        <v>73</v>
      </c>
      <c r="AB43" s="42" t="s">
        <v>77</v>
      </c>
      <c r="AC43" s="42" t="s">
        <v>77</v>
      </c>
      <c r="AD43" s="42" t="s">
        <v>77</v>
      </c>
      <c r="AE43" s="42" t="s">
        <v>81</v>
      </c>
      <c r="AF43" s="42" t="s">
        <v>82</v>
      </c>
      <c r="AG43" s="42" t="s">
        <v>77</v>
      </c>
      <c r="AH43" s="42" t="s">
        <v>77</v>
      </c>
      <c r="AI43" s="42" t="s">
        <v>77</v>
      </c>
      <c r="AJ43" s="42" t="s">
        <v>77</v>
      </c>
      <c r="AK43" s="42" t="s">
        <v>77</v>
      </c>
      <c r="AL43" t="str">
        <f>VLOOKUP($Q43,武学奇术!$A:$ZZ,25,FALSE)</f>
        <v>横刀</v>
      </c>
      <c r="AM43" s="27">
        <f>VLOOKUP($Q43,武学奇术!$A:$ZZ,26,FALSE)</f>
        <v>1.4</v>
      </c>
      <c r="AN43" s="28">
        <f>VLOOKUP($Q43,武学奇术!$A:$ZZ,27,FALSE)*(1+IF(OR($AL43=$F$4,$AL43=$F$5),$B$22,0))</f>
        <v>0</v>
      </c>
      <c r="AO43" s="27">
        <f>VLOOKUP($Q43,武学奇术!$A:$ZZ,28,FALSE)</f>
        <v>2.1</v>
      </c>
      <c r="AP43" s="28">
        <f>VLOOKUP($Q43,武学奇术!$A:$ZZ,29,FALSE)*(1+IF(OR($AL43=$F$4,$AL43=$F$5),$B$22,0))</f>
        <v>0</v>
      </c>
      <c r="AQ43" s="27" cm="1">
        <f t="array" ref="AQ43">$G$3+IFERROR(VLOOKUP($AL43,$F$4:$G$7,2,FALSE),0)+VLOOKUP($Q43,武学奇术!$A:$ZZ,2,FALSE)+SUM(_xlfn.XLOOKUP($R43:$AK43,增益!$A:$A,增益!$B:$B,0))</f>
        <v>0.4489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3574.7</v>
      </c>
      <c r="AT43" cm="1">
        <f t="array" ref="AT43">$E$10*(1+$AR43)+VLOOKUP($Q43,武学奇术!$A:$ZZ,4,FALSE)+SUM(_xlfn.XLOOKUP($R43:$AK43,增益!$A:$A,增益!$D:$D,0))-$I$2</f>
        <v>3574.7</v>
      </c>
      <c r="AU43" s="34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0.352</v>
      </c>
      <c r="AV43" s="34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4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4" cm="1">
        <f t="array" ref="BA43">$G$11+VLOOKUP($Q43,武学奇术!$A:$ZZ,10,FALSE)+SUM(_xlfn.XLOOKUP($R43:$AK43,增益!$A:$A,增益!$J:$J,0))</f>
        <v>0</v>
      </c>
      <c r="BB43">
        <f t="shared" si="3"/>
        <v>591.9</v>
      </c>
      <c r="BC43">
        <f t="shared" si="4"/>
        <v>1600.3</v>
      </c>
      <c r="BD43" s="34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0.09</v>
      </c>
      <c r="BE43" s="34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4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4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4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4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0.9859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7" cm="1">
        <f t="array" ref="BP43">1+$B$13+VLOOKUP($Q43,武学奇术!$A:$ZZ,18,FALSE)+SUM(_xlfn.XLOOKUP($R43:$AK43,增益!$A:$A,增益!$R:$R,0))</f>
        <v>2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7" cm="1">
        <f t="array" ref="BR43">1+$B$14+VLOOKUP($Q43,武学奇术!$A:$ZZ,20,FALSE)+SUM(_xlfn.XLOOKUP($R43:$AK43,增益!$A:$A,增益!$T:$T,0))</f>
        <v>1.35</v>
      </c>
      <c r="BS43" s="27">
        <f t="shared" si="9"/>
        <v>0.87863408</v>
      </c>
      <c r="BT43" s="27">
        <f t="shared" si="10"/>
        <v>0.01567581</v>
      </c>
      <c r="BU43" s="27">
        <f>IF(VLOOKUP($Q43,武学奇术!$A:$ZZ,22,FALSE)=1,0,(1-$BN43))*(1-$BQ43)</f>
        <v>0.01279011</v>
      </c>
      <c r="BV43" s="27" cm="1">
        <f t="array" ref="BV43">SUM(_xlfn.XLOOKUP($R43:$AK43,增益!$A:$A,增益!$W:$W,0))+$I$5</f>
        <v>0.11</v>
      </c>
    </row>
    <row r="44" spans="5:74">
      <c r="K44" s="40">
        <f t="shared" si="0"/>
        <v>54455.455601321</v>
      </c>
      <c r="L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56454.7033481482</v>
      </c>
      <c r="M44" s="40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43847.5702955893</v>
      </c>
      <c r="N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28951.1299221273</v>
      </c>
      <c r="O44" s="40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25422.5781438181</v>
      </c>
      <c r="P44" s="41">
        <v>1</v>
      </c>
      <c r="Q44" s="42" t="s">
        <v>182</v>
      </c>
      <c r="R44" s="42" t="s">
        <v>103</v>
      </c>
      <c r="S44" s="42" t="s">
        <v>77</v>
      </c>
      <c r="T44" s="42" t="s">
        <v>77</v>
      </c>
      <c r="U44" s="42" t="s">
        <v>87</v>
      </c>
      <c r="V44" s="42" t="s">
        <v>77</v>
      </c>
      <c r="W44" s="42" t="s">
        <v>77</v>
      </c>
      <c r="X44" s="42" t="s">
        <v>176</v>
      </c>
      <c r="Y44" s="42" t="s">
        <v>77</v>
      </c>
      <c r="Z44" s="42" t="s">
        <v>77</v>
      </c>
      <c r="AA44" s="42" t="s">
        <v>77</v>
      </c>
      <c r="AB44" s="42" t="s">
        <v>77</v>
      </c>
      <c r="AC44" s="42" t="s">
        <v>77</v>
      </c>
      <c r="AD44" s="42" t="s">
        <v>77</v>
      </c>
      <c r="AE44" s="42" t="s">
        <v>81</v>
      </c>
      <c r="AF44" s="42" t="s">
        <v>82</v>
      </c>
      <c r="AG44" s="42" t="s">
        <v>77</v>
      </c>
      <c r="AH44" s="42" t="s">
        <v>77</v>
      </c>
      <c r="AI44" s="42" t="s">
        <v>77</v>
      </c>
      <c r="AJ44" s="42" t="s">
        <v>77</v>
      </c>
      <c r="AK44" s="42" t="s">
        <v>77</v>
      </c>
      <c r="AL44" t="str">
        <f>VLOOKUP($Q44,武学奇术!$A:$ZZ,25,FALSE)</f>
        <v>横刀</v>
      </c>
      <c r="AM44" s="27">
        <f>VLOOKUP($Q44,武学奇术!$A:$ZZ,26,FALSE)</f>
        <v>2.4495</v>
      </c>
      <c r="AN44" s="28">
        <f>VLOOKUP($Q44,武学奇术!$A:$ZZ,27,FALSE)*(1+IF(OR($AL44=$F$4,$AL44=$F$5),$B$22,0))</f>
        <v>1015.5</v>
      </c>
      <c r="AO44" s="27">
        <f>VLOOKUP($Q44,武学奇术!$A:$ZZ,28,FALSE)</f>
        <v>3.6743</v>
      </c>
      <c r="AP44" s="28">
        <f>VLOOKUP($Q44,武学奇术!$A:$ZZ,29,FALSE)*(1+IF(OR($AL44=$F$4,$AL44=$F$5),$B$22,0))</f>
        <v>552</v>
      </c>
      <c r="AQ44" s="27" cm="1">
        <f t="array" ref="AQ44">$G$3+IFERROR(VLOOKUP($AL44,$F$4:$G$7,2,FALSE),0)+VLOOKUP($Q44,武学奇术!$A:$ZZ,2,FALSE)+SUM(_xlfn.XLOOKUP($R44:$AK44,增益!$A:$A,增益!$B:$B,0))</f>
        <v>0.3689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3574.7</v>
      </c>
      <c r="AT44" cm="1">
        <f t="array" ref="AT44">$E$10*(1+$AR44)+VLOOKUP($Q44,武学奇术!$A:$ZZ,4,FALSE)+SUM(_xlfn.XLOOKUP($R44:$AK44,增益!$A:$A,增益!$D:$D,0))-$I$2</f>
        <v>3574.7</v>
      </c>
      <c r="AU44" s="34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0.327</v>
      </c>
      <c r="AV44" s="34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4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4" cm="1">
        <f t="array" ref="BA44">$G$11+VLOOKUP($Q44,武学奇术!$A:$ZZ,10,FALSE)+SUM(_xlfn.XLOOKUP($R44:$AK44,增益!$A:$A,增益!$J:$J,0))</f>
        <v>0</v>
      </c>
      <c r="BB44">
        <f t="shared" si="3"/>
        <v>591.9</v>
      </c>
      <c r="BC44">
        <f t="shared" si="4"/>
        <v>1600.3</v>
      </c>
      <c r="BD44" s="34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0.09</v>
      </c>
      <c r="BE44" s="34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4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4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4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4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0.9859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7" cm="1">
        <f t="array" ref="BP44">1+$B$13+VLOOKUP($Q44,武学奇术!$A:$ZZ,18,FALSE)+SUM(_xlfn.XLOOKUP($R44:$AK44,增益!$A:$A,增益!$R:$R,0))</f>
        <v>1.95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7" cm="1">
        <f t="array" ref="BR44">1+$B$14+VLOOKUP($Q44,武学奇术!$A:$ZZ,20,FALSE)+SUM(_xlfn.XLOOKUP($R44:$AK44,增益!$A:$A,增益!$T:$T,0))</f>
        <v>1.35</v>
      </c>
      <c r="BS44" s="27">
        <f t="shared" si="9"/>
        <v>0.87863408</v>
      </c>
      <c r="BT44" s="27">
        <f t="shared" si="10"/>
        <v>0.01567581</v>
      </c>
      <c r="BU44" s="27">
        <f>IF(VLOOKUP($Q44,武学奇术!$A:$ZZ,22,FALSE)=1,0,(1-$BN44))*(1-$BQ44)</f>
        <v>0.01279011</v>
      </c>
      <c r="BV44" s="27" cm="1">
        <f t="array" ref="BV44">SUM(_xlfn.XLOOKUP($R44:$AK44,增益!$A:$A,增益!$W:$W,0))+$I$5</f>
        <v>0.11</v>
      </c>
    </row>
    <row r="45" spans="5:74">
      <c r="K45" s="40">
        <f t="shared" si="0"/>
        <v>73649.0636017793</v>
      </c>
      <c r="L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76530.4672729146</v>
      </c>
      <c r="M45" s="40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57873.1363495441</v>
      </c>
      <c r="N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38265.2336364573</v>
      </c>
      <c r="O45" s="40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33661.4773843635</v>
      </c>
      <c r="P45" s="41">
        <v>1</v>
      </c>
      <c r="Q45" s="42" t="s">
        <v>180</v>
      </c>
      <c r="R45" s="42" t="s">
        <v>103</v>
      </c>
      <c r="S45" s="42" t="s">
        <v>77</v>
      </c>
      <c r="T45" s="42" t="s">
        <v>77</v>
      </c>
      <c r="U45" s="42" t="s">
        <v>121</v>
      </c>
      <c r="V45" s="42" t="s">
        <v>77</v>
      </c>
      <c r="W45" s="42" t="s">
        <v>77</v>
      </c>
      <c r="X45" s="42" t="s">
        <v>176</v>
      </c>
      <c r="Y45" s="42" t="s">
        <v>77</v>
      </c>
      <c r="Z45" s="42" t="s">
        <v>77</v>
      </c>
      <c r="AA45" s="42" t="s">
        <v>73</v>
      </c>
      <c r="AB45" s="42" t="s">
        <v>77</v>
      </c>
      <c r="AC45" s="42" t="s">
        <v>77</v>
      </c>
      <c r="AD45" s="42" t="s">
        <v>77</v>
      </c>
      <c r="AE45" s="42" t="s">
        <v>81</v>
      </c>
      <c r="AF45" s="42" t="s">
        <v>82</v>
      </c>
      <c r="AG45" s="42" t="s">
        <v>77</v>
      </c>
      <c r="AH45" s="42" t="s">
        <v>77</v>
      </c>
      <c r="AI45" s="42" t="s">
        <v>77</v>
      </c>
      <c r="AJ45" s="42" t="s">
        <v>77</v>
      </c>
      <c r="AK45" s="42" t="s">
        <v>77</v>
      </c>
      <c r="AL45" t="str">
        <f>VLOOKUP($Q45,武学奇术!$A:$ZZ,25,FALSE)</f>
        <v>横刀</v>
      </c>
      <c r="AM45" s="27">
        <f>VLOOKUP($Q45,武学奇术!$A:$ZZ,26,FALSE)</f>
        <v>2.8245</v>
      </c>
      <c r="AN45" s="28">
        <f>VLOOKUP($Q45,武学奇术!$A:$ZZ,27,FALSE)*(1+IF(OR($AL45=$F$4,$AL45=$F$5),$B$22,0))</f>
        <v>1173</v>
      </c>
      <c r="AO45" s="27">
        <f>VLOOKUP($Q45,武学奇术!$A:$ZZ,28,FALSE)</f>
        <v>4.236808</v>
      </c>
      <c r="AP45" s="28">
        <f>VLOOKUP($Q45,武学奇术!$A:$ZZ,29,FALSE)*(1+IF(OR($AL45=$F$4,$AL45=$F$5),$B$22,0))</f>
        <v>637.5</v>
      </c>
      <c r="AQ45" s="27" cm="1">
        <f t="array" ref="AQ45">$G$3+IFERROR(VLOOKUP($AL45,$F$4:$G$7,2,FALSE),0)+VLOOKUP($Q45,武学奇术!$A:$ZZ,2,FALSE)+SUM(_xlfn.XLOOKUP($R45:$AK45,增益!$A:$A,增益!$B:$B,0))</f>
        <v>0.5489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3574.7</v>
      </c>
      <c r="AT45" cm="1">
        <f t="array" ref="AT45">$E$10*(1+$AR45)+VLOOKUP($Q45,武学奇术!$A:$ZZ,4,FALSE)+SUM(_xlfn.XLOOKUP($R45:$AK45,增益!$A:$A,增益!$D:$D,0))-$I$2</f>
        <v>3574.7</v>
      </c>
      <c r="AU45" s="34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0.352</v>
      </c>
      <c r="AV45" s="34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4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4" cm="1">
        <f t="array" ref="BA45">$G$11+VLOOKUP($Q45,武学奇术!$A:$ZZ,10,FALSE)+SUM(_xlfn.XLOOKUP($R45:$AK45,增益!$A:$A,增益!$J:$J,0))</f>
        <v>0</v>
      </c>
      <c r="BB45">
        <f t="shared" si="3"/>
        <v>591.9</v>
      </c>
      <c r="BC45">
        <f t="shared" si="4"/>
        <v>1600.3</v>
      </c>
      <c r="BD45" s="34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0.09</v>
      </c>
      <c r="BE45" s="34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4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4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4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4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0.9859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7" cm="1">
        <f t="array" ref="BP45">1+$B$13+VLOOKUP($Q45,武学奇术!$A:$ZZ,18,FALSE)+SUM(_xlfn.XLOOKUP($R45:$AK45,增益!$A:$A,增益!$R:$R,0))</f>
        <v>2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7" cm="1">
        <f t="array" ref="BR45">1+$B$14+VLOOKUP($Q45,武学奇术!$A:$ZZ,20,FALSE)+SUM(_xlfn.XLOOKUP($R45:$AK45,增益!$A:$A,增益!$T:$T,0))</f>
        <v>1.35</v>
      </c>
      <c r="BS45" s="27">
        <f t="shared" si="9"/>
        <v>0.87863408</v>
      </c>
      <c r="BT45" s="27">
        <f t="shared" si="10"/>
        <v>0.01567581</v>
      </c>
      <c r="BU45" s="27">
        <f>IF(VLOOKUP($Q45,武学奇术!$A:$ZZ,22,FALSE)=1,0,(1-$BN45))*(1-$BQ45)</f>
        <v>0.01279011</v>
      </c>
      <c r="BV45" s="27" cm="1">
        <f t="array" ref="BV45">SUM(_xlfn.XLOOKUP($R45:$AK45,增益!$A:$A,增益!$W:$W,0))+$I$5</f>
        <v>0.11</v>
      </c>
    </row>
    <row r="46" spans="5:74">
      <c r="K46" s="40">
        <f t="shared" si="0"/>
        <v>29905.876580433</v>
      </c>
      <c r="L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31044.6449030552</v>
      </c>
      <c r="M46" s="40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23836.7879836655</v>
      </c>
      <c r="N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15522.3224515276</v>
      </c>
      <c r="O46" s="40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13387.7649151549</v>
      </c>
      <c r="P46" s="41">
        <v>1</v>
      </c>
      <c r="Q46" s="42" t="s">
        <v>110</v>
      </c>
      <c r="R46" s="42" t="s">
        <v>103</v>
      </c>
      <c r="S46" s="42" t="s">
        <v>77</v>
      </c>
      <c r="T46" s="42" t="s">
        <v>77</v>
      </c>
      <c r="U46" s="42" t="s">
        <v>121</v>
      </c>
      <c r="V46" s="42" t="s">
        <v>77</v>
      </c>
      <c r="W46" s="42" t="s">
        <v>77</v>
      </c>
      <c r="X46" s="42" t="s">
        <v>176</v>
      </c>
      <c r="Y46" s="42" t="s">
        <v>77</v>
      </c>
      <c r="Z46" s="42" t="s">
        <v>77</v>
      </c>
      <c r="AA46" s="42" t="s">
        <v>73</v>
      </c>
      <c r="AB46" s="42" t="s">
        <v>77</v>
      </c>
      <c r="AC46" s="42" t="s">
        <v>77</v>
      </c>
      <c r="AD46" s="42" t="s">
        <v>77</v>
      </c>
      <c r="AE46" s="42" t="s">
        <v>81</v>
      </c>
      <c r="AF46" s="42" t="s">
        <v>82</v>
      </c>
      <c r="AG46" s="42" t="s">
        <v>77</v>
      </c>
      <c r="AH46" s="42" t="s">
        <v>77</v>
      </c>
      <c r="AI46" s="42" t="s">
        <v>77</v>
      </c>
      <c r="AJ46" s="42" t="s">
        <v>77</v>
      </c>
      <c r="AK46" s="42" t="s">
        <v>77</v>
      </c>
      <c r="AL46" t="str">
        <f>VLOOKUP($Q46,武学奇术!$A:$ZZ,25,FALSE)</f>
        <v>横刀</v>
      </c>
      <c r="AM46" s="27">
        <f>VLOOKUP($Q46,武学奇术!$A:$ZZ,26,FALSE)</f>
        <v>1.4</v>
      </c>
      <c r="AN46" s="28">
        <f>VLOOKUP($Q46,武学奇术!$A:$ZZ,27,FALSE)*(1+IF(OR($AL46=$F$4,$AL46=$F$5),$B$22,0))</f>
        <v>0</v>
      </c>
      <c r="AO46" s="27">
        <f>VLOOKUP($Q46,武学奇术!$A:$ZZ,28,FALSE)</f>
        <v>2.1</v>
      </c>
      <c r="AP46" s="28">
        <f>VLOOKUP($Q46,武学奇术!$A:$ZZ,29,FALSE)*(1+IF(OR($AL46=$F$4,$AL46=$F$5),$B$22,0))</f>
        <v>0</v>
      </c>
      <c r="AQ46" s="27" cm="1">
        <f t="array" ref="AQ46">$G$3+IFERROR(VLOOKUP($AL46,$F$4:$G$7,2,FALSE),0)+VLOOKUP($Q46,武学奇术!$A:$ZZ,2,FALSE)+SUM(_xlfn.XLOOKUP($R46:$AK46,增益!$A:$A,增益!$B:$B,0))</f>
        <v>0.4489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3574.7</v>
      </c>
      <c r="AT46" cm="1">
        <f t="array" ref="AT46">$E$10*(1+$AR46)+VLOOKUP($Q46,武学奇术!$A:$ZZ,4,FALSE)+SUM(_xlfn.XLOOKUP($R46:$AK46,增益!$A:$A,增益!$D:$D,0))-$I$2</f>
        <v>3574.7</v>
      </c>
      <c r="AU46" s="34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0.352</v>
      </c>
      <c r="AV46" s="34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4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4" cm="1">
        <f t="array" ref="BA46">$G$11+VLOOKUP($Q46,武学奇术!$A:$ZZ,10,FALSE)+SUM(_xlfn.XLOOKUP($R46:$AK46,增益!$A:$A,增益!$J:$J,0))</f>
        <v>0</v>
      </c>
      <c r="BB46">
        <f t="shared" si="3"/>
        <v>591.9</v>
      </c>
      <c r="BC46">
        <f t="shared" si="4"/>
        <v>1600.3</v>
      </c>
      <c r="BD46" s="34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0.09</v>
      </c>
      <c r="BE46" s="34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4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4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4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4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0.9859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7" cm="1">
        <f t="array" ref="BP46">1+$B$13+VLOOKUP($Q46,武学奇术!$A:$ZZ,18,FALSE)+SUM(_xlfn.XLOOKUP($R46:$AK46,增益!$A:$A,增益!$R:$R,0))</f>
        <v>2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7" cm="1">
        <f t="array" ref="BR46">1+$B$14+VLOOKUP($Q46,武学奇术!$A:$ZZ,20,FALSE)+SUM(_xlfn.XLOOKUP($R46:$AK46,增益!$A:$A,增益!$T:$T,0))</f>
        <v>1.35</v>
      </c>
      <c r="BS46" s="27">
        <f t="shared" si="9"/>
        <v>0.87863408</v>
      </c>
      <c r="BT46" s="27">
        <f t="shared" si="10"/>
        <v>0.01567581</v>
      </c>
      <c r="BU46" s="27">
        <f>IF(VLOOKUP($Q46,武学奇术!$A:$ZZ,22,FALSE)=1,0,(1-$BN46))*(1-$BQ46)</f>
        <v>0.01279011</v>
      </c>
      <c r="BV46" s="27" cm="1">
        <f t="array" ref="BV46">SUM(_xlfn.XLOOKUP($R46:$AK46,增益!$A:$A,增益!$W:$W,0))+$I$5</f>
        <v>0.11</v>
      </c>
    </row>
    <row r="47" spans="5:74">
      <c r="K47" s="40">
        <f t="shared" si="0"/>
        <v>27439.5843015451</v>
      </c>
      <c r="L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28447.0702740321</v>
      </c>
      <c r="M47" s="40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22093.4649172681</v>
      </c>
      <c r="N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14588.2411661703</v>
      </c>
      <c r="O47" s="40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12810.9527639938</v>
      </c>
      <c r="P47" s="41">
        <v>1</v>
      </c>
      <c r="Q47" s="42" t="s">
        <v>162</v>
      </c>
      <c r="R47" s="42" t="s">
        <v>103</v>
      </c>
      <c r="S47" s="42" t="s">
        <v>77</v>
      </c>
      <c r="T47" s="42" t="s">
        <v>77</v>
      </c>
      <c r="U47" s="42" t="s">
        <v>87</v>
      </c>
      <c r="V47" s="42" t="s">
        <v>77</v>
      </c>
      <c r="W47" s="42" t="s">
        <v>77</v>
      </c>
      <c r="X47" s="42" t="s">
        <v>176</v>
      </c>
      <c r="Y47" s="42" t="s">
        <v>77</v>
      </c>
      <c r="Z47" s="42" t="s">
        <v>77</v>
      </c>
      <c r="AA47" s="42" t="s">
        <v>77</v>
      </c>
      <c r="AB47" s="42" t="s">
        <v>77</v>
      </c>
      <c r="AC47" s="42" t="s">
        <v>77</v>
      </c>
      <c r="AD47" s="42" t="s">
        <v>77</v>
      </c>
      <c r="AE47" s="42" t="s">
        <v>81</v>
      </c>
      <c r="AF47" s="42" t="s">
        <v>82</v>
      </c>
      <c r="AG47" s="42" t="s">
        <v>77</v>
      </c>
      <c r="AH47" s="42" t="s">
        <v>77</v>
      </c>
      <c r="AI47" s="42" t="s">
        <v>77</v>
      </c>
      <c r="AJ47" s="42" t="s">
        <v>77</v>
      </c>
      <c r="AK47" s="42" t="s">
        <v>77</v>
      </c>
      <c r="AL47" t="str">
        <f>VLOOKUP($Q47,武学奇术!$A:$ZZ,25,FALSE)</f>
        <v>横刀</v>
      </c>
      <c r="AM47" s="27">
        <f>VLOOKUP($Q47,武学奇术!$A:$ZZ,26,FALSE)</f>
        <v>1.2338</v>
      </c>
      <c r="AN47" s="28">
        <f>VLOOKUP($Q47,武学奇术!$A:$ZZ,27,FALSE)*(1+IF(OR($AL47=$F$4,$AL47=$F$5),$B$22,0))</f>
        <v>513</v>
      </c>
      <c r="AO47" s="27">
        <f>VLOOKUP($Q47,武学奇术!$A:$ZZ,28,FALSE)</f>
        <v>1.8507</v>
      </c>
      <c r="AP47" s="28">
        <f>VLOOKUP($Q47,武学奇术!$A:$ZZ,29,FALSE)*(1+IF(OR($AL47=$F$4,$AL47=$F$5),$B$22,0))</f>
        <v>279</v>
      </c>
      <c r="AQ47" s="27" cm="1">
        <f t="array" ref="AQ47">$G$3+IFERROR(VLOOKUP($AL47,$F$4:$G$7,2,FALSE),0)+VLOOKUP($Q47,武学奇术!$A:$ZZ,2,FALSE)+SUM(_xlfn.XLOOKUP($R47:$AK47,增益!$A:$A,增益!$B:$B,0))</f>
        <v>0.3689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3574.7</v>
      </c>
      <c r="AT47" cm="1">
        <f t="array" ref="AT47">$E$10*(1+$AR47)+VLOOKUP($Q47,武学奇术!$A:$ZZ,4,FALSE)+SUM(_xlfn.XLOOKUP($R47:$AK47,增益!$A:$A,增益!$D:$D,0))-$I$2</f>
        <v>3574.7</v>
      </c>
      <c r="AU47" s="34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0.327</v>
      </c>
      <c r="AV47" s="34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4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4" cm="1">
        <f t="array" ref="BA47">$G$11+VLOOKUP($Q47,武学奇术!$A:$ZZ,10,FALSE)+SUM(_xlfn.XLOOKUP($R47:$AK47,增益!$A:$A,增益!$J:$J,0))</f>
        <v>0</v>
      </c>
      <c r="BB47">
        <f t="shared" si="3"/>
        <v>591.9</v>
      </c>
      <c r="BC47">
        <f t="shared" si="4"/>
        <v>1600.3</v>
      </c>
      <c r="BD47" s="34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0.09</v>
      </c>
      <c r="BE47" s="34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4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4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4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4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0.9859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7" cm="1">
        <f t="array" ref="BP47">1+$B$13+VLOOKUP($Q47,武学奇术!$A:$ZZ,18,FALSE)+SUM(_xlfn.XLOOKUP($R47:$AK47,增益!$A:$A,增益!$R:$R,0))</f>
        <v>1.95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7" cm="1">
        <f t="array" ref="BR47">1+$B$14+VLOOKUP($Q47,武学奇术!$A:$ZZ,20,FALSE)+SUM(_xlfn.XLOOKUP($R47:$AK47,增益!$A:$A,增益!$T:$T,0))</f>
        <v>1.35</v>
      </c>
      <c r="BS47" s="27">
        <f t="shared" si="9"/>
        <v>0.87863408</v>
      </c>
      <c r="BT47" s="27">
        <f t="shared" si="10"/>
        <v>0.01567581</v>
      </c>
      <c r="BU47" s="27">
        <f>IF(VLOOKUP($Q47,武学奇术!$A:$ZZ,22,FALSE)=1,0,(1-$BN47))*(1-$BQ47)</f>
        <v>0.01279011</v>
      </c>
      <c r="BV47" s="27" cm="1">
        <f t="array" ref="BV47">SUM(_xlfn.XLOOKUP($R47:$AK47,增益!$A:$A,增益!$W:$W,0))+$I$5</f>
        <v>0.11</v>
      </c>
    </row>
    <row r="48" spans="5:74">
      <c r="K48" s="40">
        <f t="shared" si="0"/>
        <v>84046.6337219127</v>
      </c>
      <c r="L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87132.4248880595</v>
      </c>
      <c r="M48" s="40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67672.7988605715</v>
      </c>
      <c r="N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44683.2948143895</v>
      </c>
      <c r="O48" s="40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39238.5904728</v>
      </c>
      <c r="P48" s="41">
        <v>1</v>
      </c>
      <c r="Q48" s="42" t="s">
        <v>164</v>
      </c>
      <c r="R48" s="42" t="s">
        <v>103</v>
      </c>
      <c r="S48" s="42" t="s">
        <v>77</v>
      </c>
      <c r="T48" s="42" t="s">
        <v>77</v>
      </c>
      <c r="U48" s="42" t="s">
        <v>87</v>
      </c>
      <c r="V48" s="42" t="s">
        <v>77</v>
      </c>
      <c r="W48" s="42" t="s">
        <v>77</v>
      </c>
      <c r="X48" s="42" t="s">
        <v>176</v>
      </c>
      <c r="Y48" s="42" t="s">
        <v>77</v>
      </c>
      <c r="Z48" s="42" t="s">
        <v>77</v>
      </c>
      <c r="AA48" s="42" t="s">
        <v>77</v>
      </c>
      <c r="AB48" s="42" t="s">
        <v>77</v>
      </c>
      <c r="AC48" s="42" t="s">
        <v>77</v>
      </c>
      <c r="AD48" s="42" t="s">
        <v>77</v>
      </c>
      <c r="AE48" s="42" t="s">
        <v>81</v>
      </c>
      <c r="AF48" s="42" t="s">
        <v>82</v>
      </c>
      <c r="AG48" s="42" t="s">
        <v>77</v>
      </c>
      <c r="AH48" s="42" t="s">
        <v>77</v>
      </c>
      <c r="AI48" s="42" t="s">
        <v>77</v>
      </c>
      <c r="AJ48" s="42" t="s">
        <v>77</v>
      </c>
      <c r="AK48" s="42" t="s">
        <v>77</v>
      </c>
      <c r="AL48" t="str">
        <f>VLOOKUP($Q48,武学奇术!$A:$ZZ,25,FALSE)</f>
        <v>横刀</v>
      </c>
      <c r="AM48" s="27">
        <f>VLOOKUP($Q48,武学奇术!$A:$ZZ,26,FALSE)</f>
        <v>3.7797</v>
      </c>
      <c r="AN48" s="28">
        <f>VLOOKUP($Q48,武学奇术!$A:$ZZ,27,FALSE)*(1+IF(OR($AL48=$F$4,$AL48=$F$5),$B$22,0))</f>
        <v>1567.5</v>
      </c>
      <c r="AO48" s="27">
        <f>VLOOKUP($Q48,武学奇术!$A:$ZZ,28,FALSE)</f>
        <v>5.6696</v>
      </c>
      <c r="AP48" s="28">
        <f>VLOOKUP($Q48,武学奇术!$A:$ZZ,29,FALSE)*(1+IF(OR($AL48=$F$4,$AL48=$F$5),$B$22,0))</f>
        <v>855</v>
      </c>
      <c r="AQ48" s="27" cm="1">
        <f t="array" ref="AQ48">$G$3+IFERROR(VLOOKUP($AL48,$F$4:$G$7,2,FALSE),0)+VLOOKUP($Q48,武学奇术!$A:$ZZ,2,FALSE)+SUM(_xlfn.XLOOKUP($R48:$AK48,增益!$A:$A,增益!$B:$B,0))</f>
        <v>0.3689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3574.7</v>
      </c>
      <c r="AT48" cm="1">
        <f t="array" ref="AT48">$E$10*(1+$AR48)+VLOOKUP($Q48,武学奇术!$A:$ZZ,4,FALSE)+SUM(_xlfn.XLOOKUP($R48:$AK48,增益!$A:$A,增益!$D:$D,0))-$I$2</f>
        <v>3574.7</v>
      </c>
      <c r="AU48" s="34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0.327</v>
      </c>
      <c r="AV48" s="34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4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4" cm="1">
        <f t="array" ref="BA48">$G$11+VLOOKUP($Q48,武学奇术!$A:$ZZ,10,FALSE)+SUM(_xlfn.XLOOKUP($R48:$AK48,增益!$A:$A,增益!$J:$J,0))</f>
        <v>0</v>
      </c>
      <c r="BB48">
        <f t="shared" si="3"/>
        <v>591.9</v>
      </c>
      <c r="BC48">
        <f t="shared" si="4"/>
        <v>1600.3</v>
      </c>
      <c r="BD48" s="34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0.09</v>
      </c>
      <c r="BE48" s="34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4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4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4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4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0.9859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7" cm="1">
        <f t="array" ref="BP48">1+$B$13+VLOOKUP($Q48,武学奇术!$A:$ZZ,18,FALSE)+SUM(_xlfn.XLOOKUP($R48:$AK48,增益!$A:$A,增益!$R:$R,0))</f>
        <v>1.95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7" cm="1">
        <f t="array" ref="BR48">1+$B$14+VLOOKUP($Q48,武学奇术!$A:$ZZ,20,FALSE)+SUM(_xlfn.XLOOKUP($R48:$AK48,增益!$A:$A,增益!$T:$T,0))</f>
        <v>1.35</v>
      </c>
      <c r="BS48" s="27">
        <f t="shared" si="9"/>
        <v>0.87863408</v>
      </c>
      <c r="BT48" s="27">
        <f t="shared" si="10"/>
        <v>0.01567581</v>
      </c>
      <c r="BU48" s="27">
        <f>IF(VLOOKUP($Q48,武学奇术!$A:$ZZ,22,FALSE)=1,0,(1-$BN48))*(1-$BQ48)</f>
        <v>0.01279011</v>
      </c>
      <c r="BV48" s="27" cm="1">
        <f t="array" ref="BV48">SUM(_xlfn.XLOOKUP($R48:$AK48,增益!$A:$A,增益!$W:$W,0))+$I$5</f>
        <v>0.11</v>
      </c>
    </row>
    <row r="49" spans="4:74">
      <c r="K49" s="40">
        <f t="shared" si="0"/>
        <v>56328.3689382815</v>
      </c>
      <c r="L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58532.1916329867</v>
      </c>
      <c r="M49" s="40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44261.915357889</v>
      </c>
      <c r="N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29266.0958164934</v>
      </c>
      <c r="O49" s="40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25745.58766418</v>
      </c>
      <c r="P49" s="41">
        <v>1</v>
      </c>
      <c r="Q49" s="42" t="s">
        <v>106</v>
      </c>
      <c r="R49" s="42" t="s">
        <v>103</v>
      </c>
      <c r="S49" s="42" t="s">
        <v>169</v>
      </c>
      <c r="T49" s="42" t="s">
        <v>77</v>
      </c>
      <c r="U49" s="42" t="s">
        <v>121</v>
      </c>
      <c r="V49" s="42" t="s">
        <v>77</v>
      </c>
      <c r="W49" s="42" t="s">
        <v>77</v>
      </c>
      <c r="X49" s="42" t="s">
        <v>176</v>
      </c>
      <c r="Y49" s="42" t="s">
        <v>77</v>
      </c>
      <c r="Z49" s="42" t="s">
        <v>77</v>
      </c>
      <c r="AA49" s="42" t="s">
        <v>73</v>
      </c>
      <c r="AB49" s="42" t="s">
        <v>77</v>
      </c>
      <c r="AC49" s="42" t="s">
        <v>77</v>
      </c>
      <c r="AD49" s="42" t="s">
        <v>77</v>
      </c>
      <c r="AE49" s="42" t="s">
        <v>81</v>
      </c>
      <c r="AF49" s="42" t="s">
        <v>82</v>
      </c>
      <c r="AG49" s="42" t="s">
        <v>77</v>
      </c>
      <c r="AH49" s="42" t="s">
        <v>77</v>
      </c>
      <c r="AI49" s="42" t="s">
        <v>77</v>
      </c>
      <c r="AJ49" s="42" t="s">
        <v>77</v>
      </c>
      <c r="AK49" s="42" t="s">
        <v>77</v>
      </c>
      <c r="AL49" t="str">
        <f>VLOOKUP($Q49,武学奇术!$A:$ZZ,25,FALSE)</f>
        <v>横刀</v>
      </c>
      <c r="AM49" s="27">
        <f>VLOOKUP($Q49,武学奇术!$A:$ZZ,26,FALSE)</f>
        <v>2.1324</v>
      </c>
      <c r="AN49" s="28">
        <f>VLOOKUP($Q49,武学奇术!$A:$ZZ,27,FALSE)*(1+IF(OR($AL49=$F$4,$AL49=$F$5),$B$22,0))</f>
        <v>885</v>
      </c>
      <c r="AO49" s="27">
        <f>VLOOKUP($Q49,武学奇术!$A:$ZZ,28,FALSE)</f>
        <v>3.1986</v>
      </c>
      <c r="AP49" s="28">
        <f>VLOOKUP($Q49,武学奇术!$A:$ZZ,29,FALSE)*(1+IF(OR($AL49=$F$4,$AL49=$F$5),$B$22,0))</f>
        <v>483</v>
      </c>
      <c r="AQ49" s="27" cm="1">
        <f t="array" ref="AQ49">$G$3+IFERROR(VLOOKUP($AL49,$F$4:$G$7,2,FALSE),0)+VLOOKUP($Q49,武学奇术!$A:$ZZ,2,FALSE)+SUM(_xlfn.XLOOKUP($R49:$AK49,增益!$A:$A,增益!$B:$B,0))</f>
        <v>0.5689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3574.7</v>
      </c>
      <c r="AT49" cm="1">
        <f t="array" ref="AT49">$E$10*(1+$AR49)+VLOOKUP($Q49,武学奇术!$A:$ZZ,4,FALSE)+SUM(_xlfn.XLOOKUP($R49:$AK49,增益!$A:$A,增益!$D:$D,0))-$I$2</f>
        <v>3574.7</v>
      </c>
      <c r="AU49" s="34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0.352</v>
      </c>
      <c r="AV49" s="34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4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4" cm="1">
        <f t="array" ref="BA49">$G$11+VLOOKUP($Q49,武学奇术!$A:$ZZ,10,FALSE)+SUM(_xlfn.XLOOKUP($R49:$AK49,增益!$A:$A,增益!$J:$J,0))</f>
        <v>0</v>
      </c>
      <c r="BB49">
        <f t="shared" si="3"/>
        <v>591.9</v>
      </c>
      <c r="BC49">
        <f t="shared" si="4"/>
        <v>1600.3</v>
      </c>
      <c r="BD49" s="34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0.09</v>
      </c>
      <c r="BE49" s="34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4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4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4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4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0.9859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7" cm="1">
        <f t="array" ref="BP49">1+$B$13+VLOOKUP($Q49,武学奇术!$A:$ZZ,18,FALSE)+SUM(_xlfn.XLOOKUP($R49:$AK49,增益!$A:$A,增益!$R:$R,0))</f>
        <v>2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7" cm="1">
        <f t="array" ref="BR49">1+$B$14+VLOOKUP($Q49,武学奇术!$A:$ZZ,20,FALSE)+SUM(_xlfn.XLOOKUP($R49:$AK49,增益!$A:$A,增益!$T:$T,0))</f>
        <v>1.35</v>
      </c>
      <c r="BS49" s="27">
        <f t="shared" si="9"/>
        <v>0.87863408</v>
      </c>
      <c r="BT49" s="27">
        <f t="shared" si="10"/>
        <v>0.01567581</v>
      </c>
      <c r="BU49" s="27">
        <f>IF(VLOOKUP($Q49,武学奇术!$A:$ZZ,22,FALSE)=1,0,(1-$BN49))*(1-$BQ49)</f>
        <v>0.01279011</v>
      </c>
      <c r="BV49" s="27" cm="1">
        <f t="array" ref="BV49">SUM(_xlfn.XLOOKUP($R49:$AK49,增益!$A:$A,增益!$W:$W,0))+$I$5</f>
        <v>0.11</v>
      </c>
    </row>
    <row r="50" spans="4:74">
      <c r="K50" s="40">
        <f t="shared" si="0"/>
        <v>34794.782365272</v>
      </c>
      <c r="L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36105.0994137534</v>
      </c>
      <c r="M50" s="40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27891.0575226646</v>
      </c>
      <c r="N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18052.5497068767</v>
      </c>
      <c r="O50" s="40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15445.0568043722</v>
      </c>
      <c r="P50" s="41">
        <v>1</v>
      </c>
      <c r="Q50" s="42" t="s">
        <v>110</v>
      </c>
      <c r="R50" s="42" t="s">
        <v>103</v>
      </c>
      <c r="S50" s="42" t="s">
        <v>169</v>
      </c>
      <c r="T50" s="42" t="s">
        <v>86</v>
      </c>
      <c r="U50" s="42" t="s">
        <v>121</v>
      </c>
      <c r="V50" s="42" t="s">
        <v>77</v>
      </c>
      <c r="W50" s="42" t="s">
        <v>77</v>
      </c>
      <c r="X50" s="42" t="s">
        <v>176</v>
      </c>
      <c r="Y50" s="42" t="s">
        <v>77</v>
      </c>
      <c r="Z50" s="42" t="s">
        <v>77</v>
      </c>
      <c r="AA50" s="42" t="s">
        <v>73</v>
      </c>
      <c r="AB50" s="42" t="s">
        <v>77</v>
      </c>
      <c r="AC50" s="42" t="s">
        <v>77</v>
      </c>
      <c r="AD50" s="42" t="s">
        <v>77</v>
      </c>
      <c r="AE50" s="42" t="s">
        <v>81</v>
      </c>
      <c r="AF50" s="42" t="s">
        <v>82</v>
      </c>
      <c r="AG50" s="42" t="s">
        <v>77</v>
      </c>
      <c r="AH50" s="42" t="s">
        <v>77</v>
      </c>
      <c r="AI50" s="42" t="s">
        <v>77</v>
      </c>
      <c r="AJ50" s="42" t="s">
        <v>77</v>
      </c>
      <c r="AK50" s="42" t="s">
        <v>77</v>
      </c>
      <c r="AL50" t="str">
        <f>VLOOKUP($Q50,武学奇术!$A:$ZZ,25,FALSE)</f>
        <v>横刀</v>
      </c>
      <c r="AM50" s="27">
        <f>VLOOKUP($Q50,武学奇术!$A:$ZZ,26,FALSE)</f>
        <v>1.4</v>
      </c>
      <c r="AN50" s="28">
        <f>VLOOKUP($Q50,武学奇术!$A:$ZZ,27,FALSE)*(1+IF(OR($AL50=$F$4,$AL50=$F$5),$B$22,0))</f>
        <v>0</v>
      </c>
      <c r="AO50" s="27">
        <f>VLOOKUP($Q50,武学奇术!$A:$ZZ,28,FALSE)</f>
        <v>2.1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0.6489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3574.7</v>
      </c>
      <c r="AT50" cm="1">
        <f t="array" ref="AT50">$E$10*(1+$AR50)+VLOOKUP($Q50,武学奇术!$A:$ZZ,4,FALSE)+SUM(_xlfn.XLOOKUP($R50:$AK50,增益!$A:$A,增益!$D:$D,0))-$I$2</f>
        <v>3574.7</v>
      </c>
      <c r="AU50" s="34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0.352</v>
      </c>
      <c r="AV50" s="34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4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4" cm="1">
        <f t="array" ref="BA50">$G$11+VLOOKUP($Q50,武学奇术!$A:$ZZ,10,FALSE)+SUM(_xlfn.XLOOKUP($R50:$AK50,增益!$A:$A,增益!$J:$J,0))</f>
        <v>0</v>
      </c>
      <c r="BB50">
        <f t="shared" si="3"/>
        <v>591.9</v>
      </c>
      <c r="BC50">
        <f t="shared" si="4"/>
        <v>1600.3</v>
      </c>
      <c r="BD50" s="34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0.17</v>
      </c>
      <c r="BE50" s="34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4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4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4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4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0.9859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7" cm="1">
        <f t="array" ref="BP50">1+$B$13+VLOOKUP($Q50,武学奇术!$A:$ZZ,18,FALSE)+SUM(_xlfn.XLOOKUP($R50:$AK50,增益!$A:$A,增益!$R:$R,0))</f>
        <v>2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7" cm="1">
        <f t="array" ref="BR50">1+$B$14+VLOOKUP($Q50,武学奇术!$A:$ZZ,20,FALSE)+SUM(_xlfn.XLOOKUP($R50:$AK50,增益!$A:$A,增益!$T:$T,0))</f>
        <v>1.35</v>
      </c>
      <c r="BS50" s="27">
        <f t="shared" si="9"/>
        <v>0.87863408</v>
      </c>
      <c r="BT50" s="27">
        <f t="shared" si="10"/>
        <v>0.01567581</v>
      </c>
      <c r="BU50" s="27">
        <f>IF(VLOOKUP($Q50,武学奇术!$A:$ZZ,22,FALSE)=1,0,(1-$BN50))*(1-$BQ50)</f>
        <v>0.01279011</v>
      </c>
      <c r="BV50" s="27" cm="1">
        <f t="array" ref="BV50">SUM(_xlfn.XLOOKUP($R50:$AK50,增益!$A:$A,增益!$W:$W,0))+$I$5</f>
        <v>0.11</v>
      </c>
    </row>
    <row r="51" spans="4:74">
      <c r="K51" s="40">
        <f t="shared" si="0"/>
        <v>18804.9522952336</v>
      </c>
      <c r="L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19513.1173680785</v>
      </c>
      <c r="M51" s="40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15073.811948909</v>
      </c>
      <c r="N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9756.55868403924</v>
      </c>
      <c r="O51" s="40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8347.33073925701</v>
      </c>
      <c r="P51" s="41">
        <v>1</v>
      </c>
      <c r="Q51" s="42" t="s">
        <v>112</v>
      </c>
      <c r="R51" s="42" t="s">
        <v>103</v>
      </c>
      <c r="S51" s="42" t="s">
        <v>169</v>
      </c>
      <c r="T51" s="42" t="s">
        <v>86</v>
      </c>
      <c r="U51" s="42" t="s">
        <v>121</v>
      </c>
      <c r="V51" s="42" t="s">
        <v>77</v>
      </c>
      <c r="W51" s="42" t="s">
        <v>77</v>
      </c>
      <c r="X51" s="42" t="s">
        <v>176</v>
      </c>
      <c r="Y51" s="42" t="s">
        <v>186</v>
      </c>
      <c r="Z51" s="42" t="s">
        <v>77</v>
      </c>
      <c r="AA51" s="42" t="s">
        <v>73</v>
      </c>
      <c r="AB51" s="42" t="s">
        <v>77</v>
      </c>
      <c r="AC51" s="42" t="s">
        <v>77</v>
      </c>
      <c r="AD51" s="42" t="s">
        <v>77</v>
      </c>
      <c r="AE51" s="42" t="s">
        <v>81</v>
      </c>
      <c r="AF51" s="42" t="s">
        <v>82</v>
      </c>
      <c r="AG51" s="42" t="s">
        <v>77</v>
      </c>
      <c r="AH51" s="42" t="s">
        <v>77</v>
      </c>
      <c r="AI51" s="42" t="s">
        <v>77</v>
      </c>
      <c r="AJ51" s="42" t="s">
        <v>77</v>
      </c>
      <c r="AK51" s="42" t="s">
        <v>77</v>
      </c>
      <c r="AL51" t="str">
        <f>VLOOKUP($Q51,武学奇术!$A:$ZZ,25,FALSE)</f>
        <v>陌刀</v>
      </c>
      <c r="AM51" s="27">
        <f>VLOOKUP($Q51,武学奇术!$A:$ZZ,26,FALSE)</f>
        <v>0.5</v>
      </c>
      <c r="AN51" s="28">
        <f>VLOOKUP($Q51,武学奇术!$A:$ZZ,27,FALSE)*(1+IF(OR($AL51=$F$4,$AL51=$F$5),$B$22,0))</f>
        <v>0</v>
      </c>
      <c r="AO51" s="27">
        <f>VLOOKUP($Q51,武学奇术!$A:$ZZ,28,FALSE)</f>
        <v>0.75</v>
      </c>
      <c r="AP51" s="28">
        <f>VLOOKUP($Q51,武学奇术!$A:$ZZ,29,FALSE)*(1+IF(OR($AL51=$F$4,$AL51=$F$5),$B$22,0))</f>
        <v>0</v>
      </c>
      <c r="AQ51" s="27" cm="1">
        <f t="array" ref="AQ51">$G$3+IFERROR(VLOOKUP($AL51,$F$4:$G$7,2,FALSE),0)+VLOOKUP($Q51,武学奇术!$A:$ZZ,2,FALSE)+SUM(_xlfn.XLOOKUP($R51:$AK51,增益!$A:$A,增益!$B:$B,0))</f>
        <v>0.7341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3574.7</v>
      </c>
      <c r="AT51" cm="1">
        <f t="array" ref="AT51">$E$10*(1+$AR51)+VLOOKUP($Q51,武学奇术!$A:$ZZ,4,FALSE)+SUM(_xlfn.XLOOKUP($R51:$AK51,增益!$A:$A,增益!$D:$D,0))-$I$2</f>
        <v>3574.7</v>
      </c>
      <c r="AU51" s="34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0.352</v>
      </c>
      <c r="AV51" s="34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4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4" cm="1">
        <f t="array" ref="BA51">$G$11+VLOOKUP($Q51,武学奇术!$A:$ZZ,10,FALSE)+SUM(_xlfn.XLOOKUP($R51:$AK51,增益!$A:$A,增益!$J:$J,0))</f>
        <v>0</v>
      </c>
      <c r="BB51">
        <f t="shared" si="3"/>
        <v>591.9</v>
      </c>
      <c r="BC51">
        <f t="shared" si="4"/>
        <v>1600.3</v>
      </c>
      <c r="BD51" s="34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0.17</v>
      </c>
      <c r="BE51" s="34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4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4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4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4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0.9859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7" cm="1">
        <f t="array" ref="BP51">1+$B$13+VLOOKUP($Q51,武学奇术!$A:$ZZ,18,FALSE)+SUM(_xlfn.XLOOKUP($R51:$AK51,增益!$A:$A,增益!$R:$R,0))</f>
        <v>2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7" cm="1">
        <f t="array" ref="BR51">1+$B$14+VLOOKUP($Q51,武学奇术!$A:$ZZ,20,FALSE)+SUM(_xlfn.XLOOKUP($R51:$AK51,增益!$A:$A,增益!$T:$T,0))</f>
        <v>1.35</v>
      </c>
      <c r="BS51" s="27">
        <f t="shared" si="9"/>
        <v>0.87863408</v>
      </c>
      <c r="BT51" s="27">
        <f t="shared" si="10"/>
        <v>0.01567581</v>
      </c>
      <c r="BU51" s="27">
        <f>IF(VLOOKUP($Q51,武学奇术!$A:$ZZ,22,FALSE)=1,0,(1-$BN51))*(1-$BQ51)</f>
        <v>0.01279011</v>
      </c>
      <c r="BV51" s="27" cm="1">
        <f t="array" ref="BV51">SUM(_xlfn.XLOOKUP($R51:$AK51,增益!$A:$A,增益!$W:$W,0))+$I$5</f>
        <v>0.21</v>
      </c>
    </row>
    <row r="52" spans="4:74">
      <c r="K52" s="40">
        <f t="shared" si="0"/>
        <v>36879.7918256683</v>
      </c>
      <c r="L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36879.7918256683</v>
      </c>
      <c r="M52" s="40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27132.8615080362</v>
      </c>
      <c r="N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17561.8056312706</v>
      </c>
      <c r="O52" s="40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15025.1953306626</v>
      </c>
      <c r="P52" s="41">
        <v>1</v>
      </c>
      <c r="Q52" s="42" t="s">
        <v>117</v>
      </c>
      <c r="R52" s="42" t="s">
        <v>103</v>
      </c>
      <c r="S52" s="42" t="s">
        <v>169</v>
      </c>
      <c r="T52" s="42" t="s">
        <v>86</v>
      </c>
      <c r="U52" s="42" t="s">
        <v>121</v>
      </c>
      <c r="V52" s="42" t="s">
        <v>118</v>
      </c>
      <c r="W52" s="42" t="s">
        <v>77</v>
      </c>
      <c r="X52" s="42" t="s">
        <v>176</v>
      </c>
      <c r="Y52" s="42" t="s">
        <v>186</v>
      </c>
      <c r="Z52" s="42" t="s">
        <v>77</v>
      </c>
      <c r="AA52" s="42" t="s">
        <v>73</v>
      </c>
      <c r="AB52" s="42" t="s">
        <v>77</v>
      </c>
      <c r="AC52" s="42" t="s">
        <v>77</v>
      </c>
      <c r="AD52" s="42" t="s">
        <v>77</v>
      </c>
      <c r="AE52" s="42" t="s">
        <v>81</v>
      </c>
      <c r="AF52" s="42" t="s">
        <v>82</v>
      </c>
      <c r="AG52" s="42" t="s">
        <v>77</v>
      </c>
      <c r="AH52" s="42" t="s">
        <v>77</v>
      </c>
      <c r="AI52" s="42" t="s">
        <v>77</v>
      </c>
      <c r="AJ52" s="42" t="s">
        <v>77</v>
      </c>
      <c r="AK52" s="42" t="s">
        <v>77</v>
      </c>
      <c r="AL52" t="str">
        <f>VLOOKUP($Q52,武学奇术!$A:$ZZ,25,FALSE)</f>
        <v>陌刀</v>
      </c>
      <c r="AM52" s="27">
        <f>VLOOKUP($Q52,武学奇术!$A:$ZZ,26,FALSE)</f>
        <v>0.9</v>
      </c>
      <c r="AN52" s="28">
        <f>VLOOKUP($Q52,武学奇术!$A:$ZZ,27,FALSE)*(1+IF(OR($AL52=$F$4,$AL52=$F$5),$B$22,0))</f>
        <v>0</v>
      </c>
      <c r="AO52" s="27">
        <f>VLOOKUP($Q52,武学奇术!$A:$ZZ,28,FALSE)</f>
        <v>1.35</v>
      </c>
      <c r="AP52" s="28">
        <f>VLOOKUP($Q52,武学奇术!$A:$ZZ,29,FALSE)*(1+IF(OR($AL52=$F$4,$AL52=$F$5),$B$22,0))</f>
        <v>0</v>
      </c>
      <c r="AQ52" s="27" cm="1">
        <f t="array" ref="AQ52">$G$3+IFERROR(VLOOKUP($AL52,$F$4:$G$7,2,FALSE),0)+VLOOKUP($Q52,武学奇术!$A:$ZZ,2,FALSE)+SUM(_xlfn.XLOOKUP($R52:$AK52,增益!$A:$A,增益!$B:$B,0))</f>
        <v>0.7341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3574.7</v>
      </c>
      <c r="AT52" cm="1">
        <f t="array" ref="AT52">$E$10*(1+$AR52)+VLOOKUP($Q52,武学奇术!$A:$ZZ,4,FALSE)+SUM(_xlfn.XLOOKUP($R52:$AK52,增益!$A:$A,增益!$D:$D,0))-$I$2</f>
        <v>3574.7</v>
      </c>
      <c r="AU52" s="34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0.352</v>
      </c>
      <c r="AV52" s="34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4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4" cm="1">
        <f t="array" ref="BA52">$G$11+VLOOKUP($Q52,武学奇术!$A:$ZZ,10,FALSE)+SUM(_xlfn.XLOOKUP($R52:$AK52,增益!$A:$A,增益!$J:$J,0))</f>
        <v>0</v>
      </c>
      <c r="BB52">
        <f t="shared" si="3"/>
        <v>591.9</v>
      </c>
      <c r="BC52">
        <f t="shared" si="4"/>
        <v>1600.3</v>
      </c>
      <c r="BD52" s="34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0.17</v>
      </c>
      <c r="BE52" s="34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4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4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4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4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1</v>
      </c>
      <c r="BP52" s="27" cm="1">
        <f t="array" ref="BP52">1+$B$13+VLOOKUP($Q52,武学奇术!$A:$ZZ,18,FALSE)+SUM(_xlfn.XLOOKUP($R52:$AK52,增益!$A:$A,增益!$R:$R,0))</f>
        <v>2.1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</v>
      </c>
      <c r="BR52" s="27" cm="1">
        <f t="array" ref="BR52">1+$B$14+VLOOKUP($Q52,武学奇术!$A:$ZZ,20,FALSE)+SUM(_xlfn.XLOOKUP($R52:$AK52,增益!$A:$A,增益!$T:$T,0))</f>
        <v>1.35</v>
      </c>
      <c r="BS52" s="27">
        <f t="shared" si="9"/>
        <v>1</v>
      </c>
      <c r="BT52" s="27">
        <f t="shared" si="10"/>
        <v>0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0.21</v>
      </c>
    </row>
    <row r="53" spans="4:74">
      <c r="K53" s="40">
        <f t="shared" si="0"/>
        <v>354856.103163542</v>
      </c>
      <c r="L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354856.103163542</v>
      </c>
      <c r="M53" s="40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256915.351449396</v>
      </c>
      <c r="N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168979.096744544</v>
      </c>
      <c r="O53" s="40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147650.525748795</v>
      </c>
      <c r="P53" s="41">
        <v>1</v>
      </c>
      <c r="Q53" s="42" t="s">
        <v>120</v>
      </c>
      <c r="R53" s="42" t="s">
        <v>103</v>
      </c>
      <c r="S53" s="42" t="s">
        <v>169</v>
      </c>
      <c r="T53" s="42" t="s">
        <v>86</v>
      </c>
      <c r="U53" s="42" t="s">
        <v>121</v>
      </c>
      <c r="V53" s="42" t="s">
        <v>118</v>
      </c>
      <c r="W53" s="42" t="s">
        <v>77</v>
      </c>
      <c r="X53" s="42" t="s">
        <v>176</v>
      </c>
      <c r="Y53" s="42" t="s">
        <v>186</v>
      </c>
      <c r="Z53" s="42" t="s">
        <v>77</v>
      </c>
      <c r="AA53" s="42" t="s">
        <v>73</v>
      </c>
      <c r="AB53" s="42" t="s">
        <v>77</v>
      </c>
      <c r="AC53" s="42" t="s">
        <v>77</v>
      </c>
      <c r="AD53" s="42" t="s">
        <v>77</v>
      </c>
      <c r="AE53" s="42" t="s">
        <v>81</v>
      </c>
      <c r="AF53" s="42" t="s">
        <v>82</v>
      </c>
      <c r="AG53" s="42" t="s">
        <v>77</v>
      </c>
      <c r="AH53" s="42" t="s">
        <v>77</v>
      </c>
      <c r="AI53" s="42" t="s">
        <v>77</v>
      </c>
      <c r="AJ53" s="42" t="s">
        <v>77</v>
      </c>
      <c r="AK53" s="42" t="s">
        <v>77</v>
      </c>
      <c r="AL53" t="str">
        <f>VLOOKUP($Q53,武学奇术!$A:$ZZ,25,FALSE)</f>
        <v>陌刀</v>
      </c>
      <c r="AM53" s="27">
        <f>VLOOKUP($Q53,武学奇术!$A:$ZZ,26,FALSE)</f>
        <v>7.5674</v>
      </c>
      <c r="AN53" s="28">
        <f>VLOOKUP($Q53,武学奇术!$A:$ZZ,27,FALSE)*(1+IF(OR($AL53=$F$4,$AL53=$F$5),$B$22,0))</f>
        <v>3139.5</v>
      </c>
      <c r="AO53" s="27">
        <f>VLOOKUP($Q53,武学奇术!$A:$ZZ,28,FALSE)</f>
        <v>11.3512</v>
      </c>
      <c r="AP53" s="28">
        <f>VLOOKUP($Q53,武学奇术!$A:$ZZ,29,FALSE)*(1+IF(OR($AL53=$F$4,$AL53=$F$5),$B$22,0))</f>
        <v>1710</v>
      </c>
      <c r="AQ53" s="27" cm="1">
        <f t="array" ref="AQ53">$G$3+IFERROR(VLOOKUP($AL53,$F$4:$G$7,2,FALSE),0)+VLOOKUP($Q53,武学奇术!$A:$ZZ,2,FALSE)+SUM(_xlfn.XLOOKUP($R53:$AK53,增益!$A:$A,增益!$B:$B,0))</f>
        <v>0.7341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3574.7</v>
      </c>
      <c r="AT53" cm="1">
        <f t="array" ref="AT53">$E$10*(1+$AR53)+VLOOKUP($Q53,武学奇术!$A:$ZZ,4,FALSE)+SUM(_xlfn.XLOOKUP($R53:$AK53,增益!$A:$A,增益!$D:$D,0))-$I$2</f>
        <v>3574.7</v>
      </c>
      <c r="AU53" s="34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0.352</v>
      </c>
      <c r="AV53" s="34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4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4" cm="1">
        <f t="array" ref="BA53">$G$11+VLOOKUP($Q53,武学奇术!$A:$ZZ,10,FALSE)+SUM(_xlfn.XLOOKUP($R53:$AK53,增益!$A:$A,增益!$J:$J,0))</f>
        <v>0</v>
      </c>
      <c r="BB53">
        <f t="shared" si="3"/>
        <v>591.9</v>
      </c>
      <c r="BC53">
        <f t="shared" si="4"/>
        <v>1600.3</v>
      </c>
      <c r="BD53" s="34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0.17</v>
      </c>
      <c r="BE53" s="34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4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4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4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4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1</v>
      </c>
      <c r="BP53" s="27" cm="1">
        <f t="array" ref="BP53">1+$B$13+VLOOKUP($Q53,武学奇术!$A:$ZZ,18,FALSE)+SUM(_xlfn.XLOOKUP($R53:$AK53,增益!$A:$A,增益!$R:$R,0))</f>
        <v>2.1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</v>
      </c>
      <c r="BR53" s="27" cm="1">
        <f t="array" ref="BR53">1+$B$14+VLOOKUP($Q53,武学奇术!$A:$ZZ,20,FALSE)+SUM(_xlfn.XLOOKUP($R53:$AK53,增益!$A:$A,增益!$T:$T,0))</f>
        <v>1.35</v>
      </c>
      <c r="BS53" s="27">
        <f t="shared" si="9"/>
        <v>1</v>
      </c>
      <c r="BT53" s="27">
        <f t="shared" si="10"/>
        <v>0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0.21</v>
      </c>
    </row>
    <row r="54" spans="4:74">
      <c r="K54" s="40">
        <f t="shared" si="0"/>
        <v>61466.3197094472</v>
      </c>
      <c r="L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61466.3197094472</v>
      </c>
      <c r="M54" s="40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45221.4358467269</v>
      </c>
      <c r="N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29269.6760521177</v>
      </c>
      <c r="O54" s="40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25041.992217771</v>
      </c>
      <c r="P54" s="41">
        <v>3</v>
      </c>
      <c r="Q54" s="42" t="s">
        <v>125</v>
      </c>
      <c r="R54" s="42" t="s">
        <v>103</v>
      </c>
      <c r="S54" s="42" t="s">
        <v>169</v>
      </c>
      <c r="T54" s="42" t="s">
        <v>86</v>
      </c>
      <c r="U54" s="42" t="s">
        <v>121</v>
      </c>
      <c r="V54" s="42" t="s">
        <v>118</v>
      </c>
      <c r="W54" s="42" t="s">
        <v>77</v>
      </c>
      <c r="X54" s="42" t="s">
        <v>176</v>
      </c>
      <c r="Y54" s="42" t="s">
        <v>186</v>
      </c>
      <c r="Z54" s="42" t="s">
        <v>77</v>
      </c>
      <c r="AA54" s="42" t="s">
        <v>73</v>
      </c>
      <c r="AB54" s="42" t="s">
        <v>77</v>
      </c>
      <c r="AC54" s="42" t="s">
        <v>77</v>
      </c>
      <c r="AD54" s="42" t="s">
        <v>77</v>
      </c>
      <c r="AE54" s="42" t="s">
        <v>81</v>
      </c>
      <c r="AF54" s="42" t="s">
        <v>82</v>
      </c>
      <c r="AG54" s="42" t="s">
        <v>77</v>
      </c>
      <c r="AH54" s="42" t="s">
        <v>77</v>
      </c>
      <c r="AI54" s="42" t="s">
        <v>77</v>
      </c>
      <c r="AJ54" s="42" t="s">
        <v>77</v>
      </c>
      <c r="AK54" s="42" t="s">
        <v>77</v>
      </c>
      <c r="AL54" t="str">
        <f>VLOOKUP($Q54,武学奇术!$A:$ZZ,25,FALSE)</f>
        <v>陌刀</v>
      </c>
      <c r="AM54" s="27">
        <f>VLOOKUP($Q54,武学奇术!$A:$ZZ,26,FALSE)</f>
        <v>0.5</v>
      </c>
      <c r="AN54" s="28">
        <f>VLOOKUP($Q54,武学奇术!$A:$ZZ,27,FALSE)*(1+IF(OR($AL54=$F$4,$AL54=$F$5),$B$22,0))</f>
        <v>0</v>
      </c>
      <c r="AO54" s="27">
        <f>VLOOKUP($Q54,武学奇术!$A:$ZZ,28,FALSE)</f>
        <v>0.75</v>
      </c>
      <c r="AP54" s="28">
        <f>VLOOKUP($Q54,武学奇术!$A:$ZZ,29,FALSE)*(1+IF(OR($AL54=$F$4,$AL54=$F$5),$B$22,0))</f>
        <v>0</v>
      </c>
      <c r="AQ54" s="27" cm="1">
        <f t="array" ref="AQ54">$G$3+IFERROR(VLOOKUP($AL54,$F$4:$G$7,2,FALSE),0)+VLOOKUP($Q54,武学奇术!$A:$ZZ,2,FALSE)+SUM(_xlfn.XLOOKUP($R54:$AK54,增益!$A:$A,增益!$B:$B,0))</f>
        <v>0.7341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3574.7</v>
      </c>
      <c r="AT54" cm="1">
        <f t="array" ref="AT54">$E$10*(1+$AR54)+VLOOKUP($Q54,武学奇术!$A:$ZZ,4,FALSE)+SUM(_xlfn.XLOOKUP($R54:$AK54,增益!$A:$A,增益!$D:$D,0))-$I$2</f>
        <v>3574.7</v>
      </c>
      <c r="AU54" s="34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0.352</v>
      </c>
      <c r="AV54" s="34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4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4" cm="1">
        <f t="array" ref="BA54">$G$11+VLOOKUP($Q54,武学奇术!$A:$ZZ,10,FALSE)+SUM(_xlfn.XLOOKUP($R54:$AK54,增益!$A:$A,增益!$J:$J,0))</f>
        <v>0</v>
      </c>
      <c r="BB54">
        <f t="shared" si="3"/>
        <v>591.9</v>
      </c>
      <c r="BC54">
        <f t="shared" si="4"/>
        <v>1600.3</v>
      </c>
      <c r="BD54" s="34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0.17</v>
      </c>
      <c r="BE54" s="34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4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4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4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4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1</v>
      </c>
      <c r="BP54" s="27" cm="1">
        <f t="array" ref="BP54">1+$B$13+VLOOKUP($Q54,武学奇术!$A:$ZZ,18,FALSE)+SUM(_xlfn.XLOOKUP($R54:$AK54,增益!$A:$A,增益!$R:$R,0))</f>
        <v>2.1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</v>
      </c>
      <c r="BR54" s="27" cm="1">
        <f t="array" ref="BR54">1+$B$14+VLOOKUP($Q54,武学奇术!$A:$ZZ,20,FALSE)+SUM(_xlfn.XLOOKUP($R54:$AK54,增益!$A:$A,增益!$T:$T,0))</f>
        <v>1.35</v>
      </c>
      <c r="BS54" s="27">
        <f t="shared" si="9"/>
        <v>1</v>
      </c>
      <c r="BT54" s="27">
        <f t="shared" si="10"/>
        <v>0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0.21</v>
      </c>
    </row>
    <row r="55" spans="4:74">
      <c r="K55" s="40">
        <f t="shared" si="0"/>
        <v>110639.375477005</v>
      </c>
      <c r="L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110639.375477005</v>
      </c>
      <c r="M55" s="40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81398.5845241085</v>
      </c>
      <c r="N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52685.4168938119</v>
      </c>
      <c r="O55" s="40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45075.5859919878</v>
      </c>
      <c r="P55" s="41">
        <v>3</v>
      </c>
      <c r="Q55" s="42" t="s">
        <v>117</v>
      </c>
      <c r="R55" s="42" t="s">
        <v>103</v>
      </c>
      <c r="S55" s="42" t="s">
        <v>169</v>
      </c>
      <c r="T55" s="42" t="s">
        <v>86</v>
      </c>
      <c r="U55" s="42" t="s">
        <v>121</v>
      </c>
      <c r="V55" s="42" t="s">
        <v>118</v>
      </c>
      <c r="W55" s="42" t="s">
        <v>77</v>
      </c>
      <c r="X55" s="42" t="s">
        <v>176</v>
      </c>
      <c r="Y55" s="42" t="s">
        <v>186</v>
      </c>
      <c r="Z55" s="42" t="s">
        <v>77</v>
      </c>
      <c r="AA55" s="42" t="s">
        <v>73</v>
      </c>
      <c r="AB55" s="42" t="s">
        <v>77</v>
      </c>
      <c r="AC55" s="42" t="s">
        <v>77</v>
      </c>
      <c r="AD55" s="42" t="s">
        <v>77</v>
      </c>
      <c r="AE55" s="42" t="s">
        <v>81</v>
      </c>
      <c r="AF55" s="42" t="s">
        <v>82</v>
      </c>
      <c r="AG55" s="42" t="s">
        <v>77</v>
      </c>
      <c r="AH55" s="42" t="s">
        <v>77</v>
      </c>
      <c r="AI55" s="42" t="s">
        <v>77</v>
      </c>
      <c r="AJ55" s="42" t="s">
        <v>77</v>
      </c>
      <c r="AK55" s="42" t="s">
        <v>77</v>
      </c>
      <c r="AL55" t="str">
        <f>VLOOKUP($Q55,武学奇术!$A:$ZZ,25,FALSE)</f>
        <v>陌刀</v>
      </c>
      <c r="AM55" s="27">
        <f>VLOOKUP($Q55,武学奇术!$A:$ZZ,26,FALSE)</f>
        <v>0.9</v>
      </c>
      <c r="AN55" s="28">
        <f>VLOOKUP($Q55,武学奇术!$A:$ZZ,27,FALSE)*(1+IF(OR($AL55=$F$4,$AL55=$F$5),$B$22,0))</f>
        <v>0</v>
      </c>
      <c r="AO55" s="27">
        <f>VLOOKUP($Q55,武学奇术!$A:$ZZ,28,FALSE)</f>
        <v>1.35</v>
      </c>
      <c r="AP55" s="28">
        <f>VLOOKUP($Q55,武学奇术!$A:$ZZ,29,FALSE)*(1+IF(OR($AL55=$F$4,$AL55=$F$5),$B$22,0))</f>
        <v>0</v>
      </c>
      <c r="AQ55" s="27" cm="1">
        <f t="array" ref="AQ55">$G$3+IFERROR(VLOOKUP($AL55,$F$4:$G$7,2,FALSE),0)+VLOOKUP($Q55,武学奇术!$A:$ZZ,2,FALSE)+SUM(_xlfn.XLOOKUP($R55:$AK55,增益!$A:$A,增益!$B:$B,0))</f>
        <v>0.7341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3574.7</v>
      </c>
      <c r="AT55" cm="1">
        <f t="array" ref="AT55">$E$10*(1+$AR55)+VLOOKUP($Q55,武学奇术!$A:$ZZ,4,FALSE)+SUM(_xlfn.XLOOKUP($R55:$AK55,增益!$A:$A,增益!$D:$D,0))-$I$2</f>
        <v>3574.7</v>
      </c>
      <c r="AU55" s="34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0.352</v>
      </c>
      <c r="AV55" s="34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4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4" cm="1">
        <f t="array" ref="BA55">$G$11+VLOOKUP($Q55,武学奇术!$A:$ZZ,10,FALSE)+SUM(_xlfn.XLOOKUP($R55:$AK55,增益!$A:$A,增益!$J:$J,0))</f>
        <v>0</v>
      </c>
      <c r="BB55">
        <f t="shared" si="3"/>
        <v>591.9</v>
      </c>
      <c r="BC55">
        <f t="shared" si="4"/>
        <v>1600.3</v>
      </c>
      <c r="BD55" s="34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0.17</v>
      </c>
      <c r="BE55" s="34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4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4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4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4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1</v>
      </c>
      <c r="BP55" s="27" cm="1">
        <f t="array" ref="BP55">1+$B$13+VLOOKUP($Q55,武学奇术!$A:$ZZ,18,FALSE)+SUM(_xlfn.XLOOKUP($R55:$AK55,增益!$A:$A,增益!$R:$R,0))</f>
        <v>2.1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</v>
      </c>
      <c r="BR55" s="27" cm="1">
        <f t="array" ref="BR55">1+$B$14+VLOOKUP($Q55,武学奇术!$A:$ZZ,20,FALSE)+SUM(_xlfn.XLOOKUP($R55:$AK55,增益!$A:$A,增益!$T:$T,0))</f>
        <v>1.35</v>
      </c>
      <c r="BS55" s="27">
        <f t="shared" si="9"/>
        <v>1</v>
      </c>
      <c r="BT55" s="27">
        <f t="shared" si="10"/>
        <v>0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0.21</v>
      </c>
    </row>
    <row r="56" spans="4:74">
      <c r="K56" s="40">
        <f t="shared" si="0"/>
        <v>1064568.30949063</v>
      </c>
      <c r="L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1064568.30949063</v>
      </c>
      <c r="M56" s="40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770746.054348188</v>
      </c>
      <c r="N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506937.290233632</v>
      </c>
      <c r="O56" s="40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442951.577246384</v>
      </c>
      <c r="P56" s="41">
        <v>3</v>
      </c>
      <c r="Q56" s="42" t="s">
        <v>120</v>
      </c>
      <c r="R56" s="42" t="s">
        <v>103</v>
      </c>
      <c r="S56" s="42" t="s">
        <v>169</v>
      </c>
      <c r="T56" s="42" t="s">
        <v>86</v>
      </c>
      <c r="U56" s="42" t="s">
        <v>121</v>
      </c>
      <c r="V56" s="42" t="s">
        <v>118</v>
      </c>
      <c r="W56" s="42" t="s">
        <v>77</v>
      </c>
      <c r="X56" s="42" t="s">
        <v>176</v>
      </c>
      <c r="Y56" s="42" t="s">
        <v>186</v>
      </c>
      <c r="Z56" s="42" t="s">
        <v>77</v>
      </c>
      <c r="AA56" s="42" t="s">
        <v>73</v>
      </c>
      <c r="AB56" s="42" t="s">
        <v>77</v>
      </c>
      <c r="AC56" s="42" t="s">
        <v>77</v>
      </c>
      <c r="AD56" s="42" t="s">
        <v>77</v>
      </c>
      <c r="AE56" s="42" t="s">
        <v>81</v>
      </c>
      <c r="AF56" s="42" t="s">
        <v>82</v>
      </c>
      <c r="AG56" s="42" t="s">
        <v>77</v>
      </c>
      <c r="AH56" s="42" t="s">
        <v>77</v>
      </c>
      <c r="AI56" s="42" t="s">
        <v>77</v>
      </c>
      <c r="AJ56" s="42" t="s">
        <v>77</v>
      </c>
      <c r="AK56" s="42" t="s">
        <v>77</v>
      </c>
      <c r="AL56" t="str">
        <f>VLOOKUP($Q56,武学奇术!$A:$ZZ,25,FALSE)</f>
        <v>陌刀</v>
      </c>
      <c r="AM56" s="27">
        <f>VLOOKUP($Q56,武学奇术!$A:$ZZ,26,FALSE)</f>
        <v>7.5674</v>
      </c>
      <c r="AN56" s="28">
        <f>VLOOKUP($Q56,武学奇术!$A:$ZZ,27,FALSE)*(1+IF(OR($AL56=$F$4,$AL56=$F$5),$B$22,0))</f>
        <v>3139.5</v>
      </c>
      <c r="AO56" s="27">
        <f>VLOOKUP($Q56,武学奇术!$A:$ZZ,28,FALSE)</f>
        <v>11.3512</v>
      </c>
      <c r="AP56" s="28">
        <f>VLOOKUP($Q56,武学奇术!$A:$ZZ,29,FALSE)*(1+IF(OR($AL56=$F$4,$AL56=$F$5),$B$22,0))</f>
        <v>1710</v>
      </c>
      <c r="AQ56" s="27" cm="1">
        <f t="array" ref="AQ56">$G$3+IFERROR(VLOOKUP($AL56,$F$4:$G$7,2,FALSE),0)+VLOOKUP($Q56,武学奇术!$A:$ZZ,2,FALSE)+SUM(_xlfn.XLOOKUP($R56:$AK56,增益!$A:$A,增益!$B:$B,0))</f>
        <v>0.7341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3574.7</v>
      </c>
      <c r="AT56" cm="1">
        <f t="array" ref="AT56">$E$10*(1+$AR56)+VLOOKUP($Q56,武学奇术!$A:$ZZ,4,FALSE)+SUM(_xlfn.XLOOKUP($R56:$AK56,增益!$A:$A,增益!$D:$D,0))-$I$2</f>
        <v>3574.7</v>
      </c>
      <c r="AU56" s="34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0.352</v>
      </c>
      <c r="AV56" s="34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4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4" cm="1">
        <f t="array" ref="BA56">$G$11+VLOOKUP($Q56,武学奇术!$A:$ZZ,10,FALSE)+SUM(_xlfn.XLOOKUP($R56:$AK56,增益!$A:$A,增益!$J:$J,0))</f>
        <v>0</v>
      </c>
      <c r="BB56">
        <f t="shared" si="3"/>
        <v>591.9</v>
      </c>
      <c r="BC56">
        <f t="shared" si="4"/>
        <v>1600.3</v>
      </c>
      <c r="BD56" s="34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0.17</v>
      </c>
      <c r="BE56" s="34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4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4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4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4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1</v>
      </c>
      <c r="BP56" s="27" cm="1">
        <f t="array" ref="BP56">1+$B$13+VLOOKUP($Q56,武学奇术!$A:$ZZ,18,FALSE)+SUM(_xlfn.XLOOKUP($R56:$AK56,增益!$A:$A,增益!$R:$R,0))</f>
        <v>2.1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</v>
      </c>
      <c r="BR56" s="27" cm="1">
        <f t="array" ref="BR56">1+$B$14+VLOOKUP($Q56,武学奇术!$A:$ZZ,20,FALSE)+SUM(_xlfn.XLOOKUP($R56:$AK56,增益!$A:$A,增益!$T:$T,0))</f>
        <v>1.35</v>
      </c>
      <c r="BS56" s="27">
        <f t="shared" si="9"/>
        <v>1</v>
      </c>
      <c r="BT56" s="27">
        <f t="shared" si="10"/>
        <v>0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0.21</v>
      </c>
    </row>
    <row r="57" spans="4:74">
      <c r="D57" s="4"/>
      <c r="E57" s="4"/>
      <c r="K57" s="40">
        <f t="shared" si="0"/>
        <v>61728.9037273253</v>
      </c>
      <c r="L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64121.8945132611</v>
      </c>
      <c r="M57" s="40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48744.0619755331</v>
      </c>
      <c r="N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32060.9472566305</v>
      </c>
      <c r="O57" s="40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28015.1819387921</v>
      </c>
      <c r="P57" s="41">
        <v>1</v>
      </c>
      <c r="Q57" s="42" t="s">
        <v>157</v>
      </c>
      <c r="R57" s="42" t="s">
        <v>103</v>
      </c>
      <c r="S57" s="42" t="s">
        <v>169</v>
      </c>
      <c r="T57" s="42" t="s">
        <v>86</v>
      </c>
      <c r="U57" s="42" t="s">
        <v>121</v>
      </c>
      <c r="V57" s="42" t="s">
        <v>77</v>
      </c>
      <c r="W57" s="42" t="s">
        <v>77</v>
      </c>
      <c r="X57" s="42" t="s">
        <v>176</v>
      </c>
      <c r="Y57" s="42" t="s">
        <v>186</v>
      </c>
      <c r="Z57" s="42" t="s">
        <v>77</v>
      </c>
      <c r="AA57" s="42" t="s">
        <v>73</v>
      </c>
      <c r="AB57" s="42" t="s">
        <v>77</v>
      </c>
      <c r="AC57" s="42" t="s">
        <v>77</v>
      </c>
      <c r="AD57" s="42" t="s">
        <v>77</v>
      </c>
      <c r="AE57" s="42" t="s">
        <v>81</v>
      </c>
      <c r="AF57" s="42" t="s">
        <v>82</v>
      </c>
      <c r="AG57" s="42" t="s">
        <v>77</v>
      </c>
      <c r="AH57" s="42" t="s">
        <v>77</v>
      </c>
      <c r="AI57" s="42" t="s">
        <v>77</v>
      </c>
      <c r="AJ57" s="42" t="s">
        <v>77</v>
      </c>
      <c r="AK57" s="42" t="s">
        <v>77</v>
      </c>
      <c r="AL57" t="str">
        <f>VLOOKUP($Q57,武学奇术!$A:$ZZ,25,FALSE)</f>
        <v>陌刀</v>
      </c>
      <c r="AM57" s="27">
        <f>VLOOKUP($Q57,武学奇术!$A:$ZZ,26,FALSE)</f>
        <v>1.8948</v>
      </c>
      <c r="AN57" s="28">
        <f>VLOOKUP($Q57,武学奇术!$A:$ZZ,27,FALSE)*(1+IF(OR($AL57=$F$4,$AL57=$F$5),$B$22,0))</f>
        <v>787.5</v>
      </c>
      <c r="AO57" s="27">
        <f>VLOOKUP($Q57,武学奇术!$A:$ZZ,28,FALSE)</f>
        <v>2.8422</v>
      </c>
      <c r="AP57" s="28">
        <f>VLOOKUP($Q57,武学奇术!$A:$ZZ,29,FALSE)*(1+IF(OR($AL57=$F$4,$AL57=$F$5),$B$22,0))</f>
        <v>429</v>
      </c>
      <c r="AQ57" s="27" cm="1">
        <f t="array" ref="AQ57">$G$3+IFERROR(VLOOKUP($AL57,$F$4:$G$7,2,FALSE),0)+VLOOKUP($Q57,武学奇术!$A:$ZZ,2,FALSE)+SUM(_xlfn.XLOOKUP($R57:$AK57,增益!$A:$A,增益!$B:$B,0))</f>
        <v>0.7341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3574.7</v>
      </c>
      <c r="AT57" cm="1">
        <f t="array" ref="AT57">$E$10*(1+$AR57)+VLOOKUP($Q57,武学奇术!$A:$ZZ,4,FALSE)+SUM(_xlfn.XLOOKUP($R57:$AK57,增益!$A:$A,增益!$D:$D,0))-$I$2</f>
        <v>3574.7</v>
      </c>
      <c r="AU57" s="34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0.352</v>
      </c>
      <c r="AV57" s="34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4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4" cm="1">
        <f t="array" ref="BA57">$G$11+VLOOKUP($Q57,武学奇术!$A:$ZZ,10,FALSE)+SUM(_xlfn.XLOOKUP($R57:$AK57,增益!$A:$A,增益!$J:$J,0))</f>
        <v>0</v>
      </c>
      <c r="BB57">
        <f t="shared" si="3"/>
        <v>591.9</v>
      </c>
      <c r="BC57">
        <f t="shared" si="4"/>
        <v>1600.3</v>
      </c>
      <c r="BD57" s="34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0.17</v>
      </c>
      <c r="BE57" s="34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4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4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4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4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0.9859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7" cm="1">
        <f t="array" ref="BP57">1+$B$13+VLOOKUP($Q57,武学奇术!$A:$ZZ,18,FALSE)+SUM(_xlfn.XLOOKUP($R57:$AK57,增益!$A:$A,增益!$R:$R,0))</f>
        <v>2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7" cm="1">
        <f t="array" ref="BR57">1+$B$14+VLOOKUP($Q57,武学奇术!$A:$ZZ,20,FALSE)+SUM(_xlfn.XLOOKUP($R57:$AK57,增益!$A:$A,增益!$T:$T,0))</f>
        <v>1.35</v>
      </c>
      <c r="BS57" s="27">
        <f t="shared" si="9"/>
        <v>0.87863408</v>
      </c>
      <c r="BT57" s="27">
        <f t="shared" si="10"/>
        <v>0.01567581</v>
      </c>
      <c r="BU57" s="27">
        <f>IF(VLOOKUP($Q57,武学奇术!$A:$ZZ,22,FALSE)=1,0,(1-$BN57))*(1-$BQ57)</f>
        <v>0.01279011</v>
      </c>
      <c r="BV57" s="27" cm="1">
        <f t="array" ref="BV57">SUM(_xlfn.XLOOKUP($R57:$AK57,增益!$A:$A,增益!$W:$W,0))+$I$5</f>
        <v>0.21</v>
      </c>
    </row>
    <row r="58" spans="4:74">
      <c r="K58" s="40">
        <f t="shared" si="0"/>
        <v>27329.1240153237</v>
      </c>
      <c r="L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28478.0093820379</v>
      </c>
      <c r="M58" s="40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20951.5793429614</v>
      </c>
      <c r="N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13560.9568485895</v>
      </c>
      <c r="O58" s="40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11602.2252949853</v>
      </c>
      <c r="P58" s="41">
        <v>1</v>
      </c>
      <c r="Q58" s="42" t="s">
        <v>159</v>
      </c>
      <c r="R58" s="42" t="s">
        <v>103</v>
      </c>
      <c r="S58" s="42" t="s">
        <v>169</v>
      </c>
      <c r="T58" s="42" t="s">
        <v>86</v>
      </c>
      <c r="U58" s="42" t="s">
        <v>121</v>
      </c>
      <c r="V58" s="42" t="s">
        <v>118</v>
      </c>
      <c r="W58" s="42" t="s">
        <v>77</v>
      </c>
      <c r="X58" s="42" t="s">
        <v>176</v>
      </c>
      <c r="Y58" s="42" t="s">
        <v>77</v>
      </c>
      <c r="Z58" s="42" t="s">
        <v>77</v>
      </c>
      <c r="AA58" s="42" t="s">
        <v>73</v>
      </c>
      <c r="AB58" s="42" t="s">
        <v>77</v>
      </c>
      <c r="AC58" s="42" t="s">
        <v>77</v>
      </c>
      <c r="AD58" s="42" t="s">
        <v>77</v>
      </c>
      <c r="AE58" s="42" t="s">
        <v>81</v>
      </c>
      <c r="AF58" s="42" t="s">
        <v>82</v>
      </c>
      <c r="AG58" s="42" t="s">
        <v>77</v>
      </c>
      <c r="AH58" s="42" t="s">
        <v>77</v>
      </c>
      <c r="AI58" s="42" t="s">
        <v>77</v>
      </c>
      <c r="AJ58" s="42" t="s">
        <v>77</v>
      </c>
      <c r="AK58" s="42" t="s">
        <v>77</v>
      </c>
      <c r="AL58" t="str">
        <f>VLOOKUP($Q58,武学奇术!$A:$ZZ,25,FALSE)</f>
        <v>陌刀</v>
      </c>
      <c r="AM58" s="27">
        <f>VLOOKUP($Q58,武学奇术!$A:$ZZ,26,FALSE)</f>
        <v>1</v>
      </c>
      <c r="AN58" s="28">
        <f>VLOOKUP($Q58,武学奇术!$A:$ZZ,27,FALSE)*(1+IF(OR($AL58=$F$4,$AL58=$F$5),$B$22,0))</f>
        <v>0</v>
      </c>
      <c r="AO58" s="27">
        <f>VLOOKUP($Q58,武学奇术!$A:$ZZ,28,FALSE)</f>
        <v>1.5</v>
      </c>
      <c r="AP58" s="28">
        <f>VLOOKUP($Q58,武学奇术!$A:$ZZ,29,FALSE)*(1+IF(OR($AL58=$F$4,$AL58=$F$5),$B$22,0))</f>
        <v>0</v>
      </c>
      <c r="AQ58" s="27" cm="1">
        <f t="array" ref="AQ58">$G$3+IFERROR(VLOOKUP($AL58,$F$4:$G$7,2,FALSE),0)+VLOOKUP($Q58,武学奇术!$A:$ZZ,2,FALSE)+SUM(_xlfn.XLOOKUP($R58:$AK58,增益!$A:$A,增益!$B:$B,0))</f>
        <v>0.7341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3574.7</v>
      </c>
      <c r="AT58" cm="1">
        <f t="array" ref="AT58">$E$10*(1+$AR58)+VLOOKUP($Q58,武学奇术!$A:$ZZ,4,FALSE)+SUM(_xlfn.XLOOKUP($R58:$AK58,增益!$A:$A,增益!$D:$D,0))-$I$2</f>
        <v>3574.7</v>
      </c>
      <c r="AU58" s="34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0.352</v>
      </c>
      <c r="AV58" s="34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4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34" cm="1">
        <f t="array" ref="BA58">$G$11+VLOOKUP($Q58,武学奇术!$A:$ZZ,10,FALSE)+SUM(_xlfn.XLOOKUP($R58:$AK58,增益!$A:$A,增益!$J:$J,0))</f>
        <v>0</v>
      </c>
      <c r="BB58">
        <f t="shared" si="3"/>
        <v>591.9</v>
      </c>
      <c r="BC58">
        <f t="shared" si="4"/>
        <v>1600.3</v>
      </c>
      <c r="BD58" s="34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0.17</v>
      </c>
      <c r="BE58" s="34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4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-0.14</v>
      </c>
      <c r="BI58" s="34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4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34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0.9859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7" cm="1">
        <f t="array" ref="BP58">1+$B$13+VLOOKUP($Q58,武学奇术!$A:$ZZ,18,FALSE)+SUM(_xlfn.XLOOKUP($R58:$AK58,增益!$A:$A,增益!$R:$R,0))</f>
        <v>2.1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7" cm="1">
        <f t="array" ref="BR58">1+$B$14+VLOOKUP($Q58,武学奇术!$A:$ZZ,20,FALSE)+SUM(_xlfn.XLOOKUP($R58:$AK58,增益!$A:$A,增益!$T:$T,0))</f>
        <v>1.35</v>
      </c>
      <c r="BS58" s="27">
        <f t="shared" si="9"/>
        <v>0.87863408</v>
      </c>
      <c r="BT58" s="27">
        <f t="shared" si="10"/>
        <v>0.01567581</v>
      </c>
      <c r="BU58" s="27">
        <f>IF(VLOOKUP($Q58,武学奇术!$A:$ZZ,22,FALSE)=1,0,(1-$BN58))*(1-$BQ58)</f>
        <v>0.01279011</v>
      </c>
      <c r="BV58" s="27" cm="1">
        <f t="array" ref="BV58">SUM(_xlfn.XLOOKUP($R58:$AK58,增益!$A:$A,增益!$W:$W,0))+$I$5</f>
        <v>0.11</v>
      </c>
    </row>
    <row r="59" spans="4:74">
      <c r="K59" s="40">
        <f t="shared" si="0"/>
        <v>0</v>
      </c>
      <c r="L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0</v>
      </c>
      <c r="M59" s="40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0</v>
      </c>
      <c r="N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0</v>
      </c>
      <c r="O59" s="40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0</v>
      </c>
      <c r="P59" s="41">
        <v>1</v>
      </c>
      <c r="Q59" s="42" t="s">
        <v>77</v>
      </c>
      <c r="R59" s="42" t="s">
        <v>77</v>
      </c>
      <c r="S59" s="42" t="s">
        <v>77</v>
      </c>
      <c r="T59" s="42" t="s">
        <v>77</v>
      </c>
      <c r="U59" s="42" t="s">
        <v>77</v>
      </c>
      <c r="V59" s="42" t="s">
        <v>77</v>
      </c>
      <c r="W59" s="42" t="s">
        <v>77</v>
      </c>
      <c r="X59" s="42" t="s">
        <v>77</v>
      </c>
      <c r="Y59" s="42" t="s">
        <v>77</v>
      </c>
      <c r="Z59" s="42" t="s">
        <v>77</v>
      </c>
      <c r="AA59" s="42" t="s">
        <v>77</v>
      </c>
      <c r="AB59" s="42" t="s">
        <v>77</v>
      </c>
      <c r="AC59" s="42" t="s">
        <v>77</v>
      </c>
      <c r="AD59" s="42" t="s">
        <v>77</v>
      </c>
      <c r="AE59" s="42" t="s">
        <v>81</v>
      </c>
      <c r="AF59" s="42" t="s">
        <v>82</v>
      </c>
      <c r="AG59" s="42" t="s">
        <v>77</v>
      </c>
      <c r="AH59" s="42" t="s">
        <v>77</v>
      </c>
      <c r="AI59" s="42" t="s">
        <v>77</v>
      </c>
      <c r="AJ59" s="42" t="s">
        <v>77</v>
      </c>
      <c r="AK59" s="42" t="s">
        <v>77</v>
      </c>
      <c r="AL59" t="str">
        <f>VLOOKUP($Q59,武学奇术!$A:$ZZ,25,FALSE)</f>
        <v>心法</v>
      </c>
      <c r="AM59" s="27">
        <f>VLOOKUP($Q59,武学奇术!$A:$ZZ,26,FALSE)</f>
        <v>0</v>
      </c>
      <c r="AN59" s="28">
        <f>VLOOKUP($Q59,武学奇术!$A:$ZZ,27,FALSE)*(1+IF(OR($AL59=$F$4,$AL59=$F$5),$B$22,0))</f>
        <v>0</v>
      </c>
      <c r="AO59" s="27">
        <f>VLOOKUP($Q59,武学奇术!$A:$ZZ,28,FALSE)</f>
        <v>0</v>
      </c>
      <c r="AP59" s="28">
        <f>VLOOKUP($Q59,武学奇术!$A:$ZZ,29,FALSE)*(1+IF(OR($AL59=$F$4,$AL59=$F$5),$B$22,0))</f>
        <v>0</v>
      </c>
      <c r="AQ59" s="27" cm="1">
        <f t="array" ref="AQ59">$G$3+IFERROR(VLOOKUP($AL59,$F$4:$G$7,2,FALSE),0)+VLOOKUP($Q59,武学奇术!$A:$ZZ,2,FALSE)+SUM(_xlfn.XLOOKUP($R59:$AK59,增益!$A:$A,增益!$B:$B,0))</f>
        <v>0.2337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3574.7</v>
      </c>
      <c r="AT59" cm="1">
        <f t="array" ref="AT59">$E$10*(1+$AR59)+VLOOKUP($Q59,武学奇术!$A:$ZZ,4,FALSE)+SUM(_xlfn.XLOOKUP($R59:$AK59,增益!$A:$A,增益!$D:$D,0))-$I$2</f>
        <v>3574.7</v>
      </c>
      <c r="AU59" s="34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0.227</v>
      </c>
      <c r="AV59" s="34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4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4" cm="1">
        <f t="array" ref="BA59">$G$11+VLOOKUP($Q59,武学奇术!$A:$ZZ,10,FALSE)+SUM(_xlfn.XLOOKUP($R59:$AK59,增益!$A:$A,增益!$J:$J,0))</f>
        <v>0</v>
      </c>
      <c r="BB59">
        <f t="shared" si="3"/>
        <v>591.9</v>
      </c>
      <c r="BC59">
        <f t="shared" si="4"/>
        <v>1600.3</v>
      </c>
      <c r="BD59" s="34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0.09</v>
      </c>
      <c r="BE59" s="34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4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4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4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4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0.9859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7" cm="1">
        <f t="array" ref="BP59">1+$B$13+VLOOKUP($Q59,武学奇术!$A:$ZZ,18,FALSE)+SUM(_xlfn.XLOOKUP($R59:$AK59,增益!$A:$A,增益!$R:$R,0))</f>
        <v>1.54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7" cm="1">
        <f t="array" ref="BR59">1+$B$14+VLOOKUP($Q59,武学奇术!$A:$ZZ,20,FALSE)+SUM(_xlfn.XLOOKUP($R59:$AK59,增益!$A:$A,增益!$T:$T,0))</f>
        <v>1.35</v>
      </c>
      <c r="BS59" s="27">
        <f t="shared" si="9"/>
        <v>0.87863408</v>
      </c>
      <c r="BT59" s="27">
        <f t="shared" si="10"/>
        <v>0.01567581</v>
      </c>
      <c r="BU59" s="27">
        <f>IF(VLOOKUP($Q59,武学奇术!$A:$ZZ,22,FALSE)=1,0,(1-$BN59))*(1-$BQ59)</f>
        <v>0.01279011</v>
      </c>
      <c r="BV59" s="27" cm="1">
        <f t="array" ref="BV59">SUM(_xlfn.XLOOKUP($R59:$AK59,增益!$A:$A,增益!$W:$W,0))+$I$5</f>
        <v>0.11</v>
      </c>
    </row>
    <row r="60" spans="4:74">
      <c r="K60" s="40">
        <f t="shared" si="0"/>
        <v>56328.3689382815</v>
      </c>
      <c r="L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58532.1916329867</v>
      </c>
      <c r="M60" s="40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44261.915357889</v>
      </c>
      <c r="N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29266.0958164934</v>
      </c>
      <c r="O60" s="40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25745.58766418</v>
      </c>
      <c r="P60" s="41">
        <v>1</v>
      </c>
      <c r="Q60" s="42" t="s">
        <v>106</v>
      </c>
      <c r="R60" s="42" t="s">
        <v>103</v>
      </c>
      <c r="S60" s="42" t="s">
        <v>169</v>
      </c>
      <c r="T60" s="42" t="s">
        <v>77</v>
      </c>
      <c r="U60" s="42" t="s">
        <v>121</v>
      </c>
      <c r="V60" s="42" t="s">
        <v>77</v>
      </c>
      <c r="W60" s="42" t="s">
        <v>77</v>
      </c>
      <c r="X60" s="42" t="s">
        <v>176</v>
      </c>
      <c r="Y60" s="42" t="s">
        <v>77</v>
      </c>
      <c r="Z60" s="42" t="s">
        <v>77</v>
      </c>
      <c r="AA60" s="42" t="s">
        <v>73</v>
      </c>
      <c r="AB60" s="42" t="s">
        <v>77</v>
      </c>
      <c r="AC60" s="42" t="s">
        <v>77</v>
      </c>
      <c r="AD60" s="42" t="s">
        <v>77</v>
      </c>
      <c r="AE60" s="42" t="s">
        <v>81</v>
      </c>
      <c r="AF60" s="42" t="s">
        <v>82</v>
      </c>
      <c r="AG60" s="42" t="s">
        <v>77</v>
      </c>
      <c r="AH60" s="42" t="s">
        <v>77</v>
      </c>
      <c r="AI60" s="42" t="s">
        <v>77</v>
      </c>
      <c r="AJ60" s="42" t="s">
        <v>77</v>
      </c>
      <c r="AK60" s="42" t="s">
        <v>77</v>
      </c>
      <c r="AL60" t="str">
        <f>VLOOKUP($Q60,武学奇术!$A:$ZZ,25,FALSE)</f>
        <v>横刀</v>
      </c>
      <c r="AM60" s="27">
        <f>VLOOKUP($Q60,武学奇术!$A:$ZZ,26,FALSE)</f>
        <v>2.1324</v>
      </c>
      <c r="AN60" s="28">
        <f>VLOOKUP($Q60,武学奇术!$A:$ZZ,27,FALSE)*(1+IF(OR($AL60=$F$4,$AL60=$F$5),$B$22,0))</f>
        <v>885</v>
      </c>
      <c r="AO60" s="27">
        <f>VLOOKUP($Q60,武学奇术!$A:$ZZ,28,FALSE)</f>
        <v>3.1986</v>
      </c>
      <c r="AP60" s="28">
        <f>VLOOKUP($Q60,武学奇术!$A:$ZZ,29,FALSE)*(1+IF(OR($AL60=$F$4,$AL60=$F$5),$B$22,0))</f>
        <v>483</v>
      </c>
      <c r="AQ60" s="27" cm="1">
        <f t="array" ref="AQ60">$G$3+IFERROR(VLOOKUP($AL60,$F$4:$G$7,2,FALSE),0)+VLOOKUP($Q60,武学奇术!$A:$ZZ,2,FALSE)+SUM(_xlfn.XLOOKUP($R60:$AK60,增益!$A:$A,增益!$B:$B,0))</f>
        <v>0.5689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3574.7</v>
      </c>
      <c r="AT60" cm="1">
        <f t="array" ref="AT60">$E$10*(1+$AR60)+VLOOKUP($Q60,武学奇术!$A:$ZZ,4,FALSE)+SUM(_xlfn.XLOOKUP($R60:$AK60,增益!$A:$A,增益!$D:$D,0))-$I$2</f>
        <v>3574.7</v>
      </c>
      <c r="AU60" s="34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0.352</v>
      </c>
      <c r="AV60" s="34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4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4" cm="1">
        <f t="array" ref="BA60">$G$11+VLOOKUP($Q60,武学奇术!$A:$ZZ,10,FALSE)+SUM(_xlfn.XLOOKUP($R60:$AK60,增益!$A:$A,增益!$J:$J,0))</f>
        <v>0</v>
      </c>
      <c r="BB60">
        <f t="shared" si="3"/>
        <v>591.9</v>
      </c>
      <c r="BC60">
        <f t="shared" si="4"/>
        <v>1600.3</v>
      </c>
      <c r="BD60" s="34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0.09</v>
      </c>
      <c r="BE60" s="34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4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4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4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4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0.9859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7" cm="1">
        <f t="array" ref="BP60">1+$B$13+VLOOKUP($Q60,武学奇术!$A:$ZZ,18,FALSE)+SUM(_xlfn.XLOOKUP($R60:$AK60,增益!$A:$A,增益!$R:$R,0))</f>
        <v>2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7" cm="1">
        <f t="array" ref="BR60">1+$B$14+VLOOKUP($Q60,武学奇术!$A:$ZZ,20,FALSE)+SUM(_xlfn.XLOOKUP($R60:$AK60,增益!$A:$A,增益!$T:$T,0))</f>
        <v>1.35</v>
      </c>
      <c r="BS60" s="27">
        <f t="shared" si="9"/>
        <v>0.87863408</v>
      </c>
      <c r="BT60" s="27">
        <f t="shared" si="10"/>
        <v>0.01567581</v>
      </c>
      <c r="BU60" s="27">
        <f>IF(VLOOKUP($Q60,武学奇术!$A:$ZZ,22,FALSE)=1,0,(1-$BN60))*(1-$BQ60)</f>
        <v>0.01279011</v>
      </c>
      <c r="BV60" s="27" cm="1">
        <f t="array" ref="BV60">SUM(_xlfn.XLOOKUP($R60:$AK60,增益!$A:$A,增益!$W:$W,0))+$I$5</f>
        <v>0.11</v>
      </c>
    </row>
    <row r="61" spans="4:74">
      <c r="K61" s="40">
        <f t="shared" si="0"/>
        <v>34794.782365272</v>
      </c>
      <c r="L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36105.0994137534</v>
      </c>
      <c r="M61" s="40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27891.0575226646</v>
      </c>
      <c r="N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18052.5497068767</v>
      </c>
      <c r="O61" s="40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15445.0568043722</v>
      </c>
      <c r="P61" s="41">
        <v>1</v>
      </c>
      <c r="Q61" s="42" t="s">
        <v>110</v>
      </c>
      <c r="R61" s="42" t="s">
        <v>103</v>
      </c>
      <c r="S61" s="42" t="s">
        <v>169</v>
      </c>
      <c r="T61" s="42" t="s">
        <v>86</v>
      </c>
      <c r="U61" s="42" t="s">
        <v>121</v>
      </c>
      <c r="V61" s="42" t="s">
        <v>77</v>
      </c>
      <c r="W61" s="42" t="s">
        <v>77</v>
      </c>
      <c r="X61" s="42" t="s">
        <v>176</v>
      </c>
      <c r="Y61" s="42" t="s">
        <v>77</v>
      </c>
      <c r="Z61" s="42" t="s">
        <v>77</v>
      </c>
      <c r="AA61" s="42" t="s">
        <v>73</v>
      </c>
      <c r="AB61" s="42" t="s">
        <v>77</v>
      </c>
      <c r="AC61" s="42" t="s">
        <v>77</v>
      </c>
      <c r="AD61" s="42" t="s">
        <v>77</v>
      </c>
      <c r="AE61" s="42" t="s">
        <v>81</v>
      </c>
      <c r="AF61" s="42" t="s">
        <v>82</v>
      </c>
      <c r="AG61" s="42" t="s">
        <v>77</v>
      </c>
      <c r="AH61" s="42" t="s">
        <v>77</v>
      </c>
      <c r="AI61" s="42" t="s">
        <v>77</v>
      </c>
      <c r="AJ61" s="42" t="s">
        <v>77</v>
      </c>
      <c r="AK61" s="42" t="s">
        <v>77</v>
      </c>
      <c r="AL61" t="str">
        <f>VLOOKUP($Q61,武学奇术!$A:$ZZ,25,FALSE)</f>
        <v>横刀</v>
      </c>
      <c r="AM61" s="27">
        <f>VLOOKUP($Q61,武学奇术!$A:$ZZ,26,FALSE)</f>
        <v>1.4</v>
      </c>
      <c r="AN61" s="28">
        <f>VLOOKUP($Q61,武学奇术!$A:$ZZ,27,FALSE)*(1+IF(OR($AL61=$F$4,$AL61=$F$5),$B$22,0))</f>
        <v>0</v>
      </c>
      <c r="AO61" s="27">
        <f>VLOOKUP($Q61,武学奇术!$A:$ZZ,28,FALSE)</f>
        <v>2.1</v>
      </c>
      <c r="AP61" s="28">
        <f>VLOOKUP($Q61,武学奇术!$A:$ZZ,29,FALSE)*(1+IF(OR($AL61=$F$4,$AL61=$F$5),$B$22,0))</f>
        <v>0</v>
      </c>
      <c r="AQ61" s="27" cm="1">
        <f t="array" ref="AQ61">$G$3+IFERROR(VLOOKUP($AL61,$F$4:$G$7,2,FALSE),0)+VLOOKUP($Q61,武学奇术!$A:$ZZ,2,FALSE)+SUM(_xlfn.XLOOKUP($R61:$AK61,增益!$A:$A,增益!$B:$B,0))</f>
        <v>0.6489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3574.7</v>
      </c>
      <c r="AT61" cm="1">
        <f t="array" ref="AT61">$E$10*(1+$AR61)+VLOOKUP($Q61,武学奇术!$A:$ZZ,4,FALSE)+SUM(_xlfn.XLOOKUP($R61:$AK61,增益!$A:$A,增益!$D:$D,0))-$I$2</f>
        <v>3574.7</v>
      </c>
      <c r="AU61" s="34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0.352</v>
      </c>
      <c r="AV61" s="34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4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4" cm="1">
        <f t="array" ref="BA61">$G$11+VLOOKUP($Q61,武学奇术!$A:$ZZ,10,FALSE)+SUM(_xlfn.XLOOKUP($R61:$AK61,增益!$A:$A,增益!$J:$J,0))</f>
        <v>0</v>
      </c>
      <c r="BB61">
        <f t="shared" si="3"/>
        <v>591.9</v>
      </c>
      <c r="BC61">
        <f t="shared" si="4"/>
        <v>1600.3</v>
      </c>
      <c r="BD61" s="34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0.17</v>
      </c>
      <c r="BE61" s="34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4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4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4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4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0.9859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7" cm="1">
        <f t="array" ref="BP61">1+$B$13+VLOOKUP($Q61,武学奇术!$A:$ZZ,18,FALSE)+SUM(_xlfn.XLOOKUP($R61:$AK61,增益!$A:$A,增益!$R:$R,0))</f>
        <v>2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7" cm="1">
        <f t="array" ref="BR61">1+$B$14+VLOOKUP($Q61,武学奇术!$A:$ZZ,20,FALSE)+SUM(_xlfn.XLOOKUP($R61:$AK61,增益!$A:$A,增益!$T:$T,0))</f>
        <v>1.35</v>
      </c>
      <c r="BS61" s="27">
        <f t="shared" si="9"/>
        <v>0.87863408</v>
      </c>
      <c r="BT61" s="27">
        <f t="shared" si="10"/>
        <v>0.01567581</v>
      </c>
      <c r="BU61" s="27">
        <f>IF(VLOOKUP($Q61,武学奇术!$A:$ZZ,22,FALSE)=1,0,(1-$BN61))*(1-$BQ61)</f>
        <v>0.01279011</v>
      </c>
      <c r="BV61" s="27" cm="1">
        <f t="array" ref="BV61">SUM(_xlfn.XLOOKUP($R61:$AK61,增益!$A:$A,增益!$W:$W,0))+$I$5</f>
        <v>0.11</v>
      </c>
    </row>
    <row r="62" spans="4:74">
      <c r="K62" s="40">
        <f t="shared" si="0"/>
        <v>17250.8240063713</v>
      </c>
      <c r="L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17900.4630401381</v>
      </c>
      <c r="M62" s="40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13828.0423663545</v>
      </c>
      <c r="N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8950.23152006905</v>
      </c>
      <c r="O62" s="40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7657.46869469032</v>
      </c>
      <c r="P62" s="41">
        <v>1</v>
      </c>
      <c r="Q62" s="42" t="s">
        <v>112</v>
      </c>
      <c r="R62" s="42" t="s">
        <v>103</v>
      </c>
      <c r="S62" s="42" t="s">
        <v>169</v>
      </c>
      <c r="T62" s="42" t="s">
        <v>86</v>
      </c>
      <c r="U62" s="42" t="s">
        <v>121</v>
      </c>
      <c r="V62" s="42" t="s">
        <v>77</v>
      </c>
      <c r="W62" s="42" t="s">
        <v>77</v>
      </c>
      <c r="X62" s="42" t="s">
        <v>176</v>
      </c>
      <c r="Y62" s="42" t="s">
        <v>77</v>
      </c>
      <c r="Z62" s="42" t="s">
        <v>77</v>
      </c>
      <c r="AA62" s="42" t="s">
        <v>73</v>
      </c>
      <c r="AB62" s="42" t="s">
        <v>77</v>
      </c>
      <c r="AC62" s="42" t="s">
        <v>77</v>
      </c>
      <c r="AD62" s="42" t="s">
        <v>77</v>
      </c>
      <c r="AE62" s="42" t="s">
        <v>81</v>
      </c>
      <c r="AF62" s="42" t="s">
        <v>82</v>
      </c>
      <c r="AG62" s="42" t="s">
        <v>77</v>
      </c>
      <c r="AH62" s="42" t="s">
        <v>77</v>
      </c>
      <c r="AI62" s="42" t="s">
        <v>77</v>
      </c>
      <c r="AJ62" s="42" t="s">
        <v>77</v>
      </c>
      <c r="AK62" s="42" t="s">
        <v>77</v>
      </c>
      <c r="AL62" t="str">
        <f>VLOOKUP($Q62,武学奇术!$A:$ZZ,25,FALSE)</f>
        <v>陌刀</v>
      </c>
      <c r="AM62" s="27">
        <f>VLOOKUP($Q62,武学奇术!$A:$ZZ,26,FALSE)</f>
        <v>0.5</v>
      </c>
      <c r="AN62" s="28">
        <f>VLOOKUP($Q62,武学奇术!$A:$ZZ,27,FALSE)*(1+IF(OR($AL62=$F$4,$AL62=$F$5),$B$22,0))</f>
        <v>0</v>
      </c>
      <c r="AO62" s="27">
        <f>VLOOKUP($Q62,武学奇术!$A:$ZZ,28,FALSE)</f>
        <v>0.75</v>
      </c>
      <c r="AP62" s="28">
        <f>VLOOKUP($Q62,武学奇术!$A:$ZZ,29,FALSE)*(1+IF(OR($AL62=$F$4,$AL62=$F$5),$B$22,0))</f>
        <v>0</v>
      </c>
      <c r="AQ62" s="27" cm="1">
        <f t="array" ref="AQ62">$G$3+IFERROR(VLOOKUP($AL62,$F$4:$G$7,2,FALSE),0)+VLOOKUP($Q62,武学奇术!$A:$ZZ,2,FALSE)+SUM(_xlfn.XLOOKUP($R62:$AK62,增益!$A:$A,增益!$B:$B,0))</f>
        <v>0.7341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3574.7</v>
      </c>
      <c r="AT62" cm="1">
        <f t="array" ref="AT62">$E$10*(1+$AR62)+VLOOKUP($Q62,武学奇术!$A:$ZZ,4,FALSE)+SUM(_xlfn.XLOOKUP($R62:$AK62,增益!$A:$A,增益!$D:$D,0))-$I$2</f>
        <v>3574.7</v>
      </c>
      <c r="AU62" s="34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0.352</v>
      </c>
      <c r="AV62" s="34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4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4" cm="1">
        <f t="array" ref="BA62">$G$11+VLOOKUP($Q62,武学奇术!$A:$ZZ,10,FALSE)+SUM(_xlfn.XLOOKUP($R62:$AK62,增益!$A:$A,增益!$J:$J,0))</f>
        <v>0</v>
      </c>
      <c r="BB62">
        <f t="shared" si="3"/>
        <v>591.9</v>
      </c>
      <c r="BC62">
        <f t="shared" si="4"/>
        <v>1600.3</v>
      </c>
      <c r="BD62" s="34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0.17</v>
      </c>
      <c r="BE62" s="34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4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4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4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4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0.9859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7" cm="1">
        <f t="array" ref="BP62">1+$B$13+VLOOKUP($Q62,武学奇术!$A:$ZZ,18,FALSE)+SUM(_xlfn.XLOOKUP($R62:$AK62,增益!$A:$A,增益!$R:$R,0))</f>
        <v>2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7" cm="1">
        <f t="array" ref="BR62">1+$B$14+VLOOKUP($Q62,武学奇术!$A:$ZZ,20,FALSE)+SUM(_xlfn.XLOOKUP($R62:$AK62,增益!$A:$A,增益!$T:$T,0))</f>
        <v>1.35</v>
      </c>
      <c r="BS62" s="27">
        <f t="shared" si="9"/>
        <v>0.87863408</v>
      </c>
      <c r="BT62" s="27">
        <f t="shared" si="10"/>
        <v>0.01567581</v>
      </c>
      <c r="BU62" s="27">
        <f>IF(VLOOKUP($Q62,武学奇术!$A:$ZZ,22,FALSE)=1,0,(1-$BN62))*(1-$BQ62)</f>
        <v>0.01279011</v>
      </c>
      <c r="BV62" s="27" cm="1">
        <f t="array" ref="BV62">SUM(_xlfn.XLOOKUP($R62:$AK62,增益!$A:$A,增益!$W:$W,0))+$I$5</f>
        <v>0.11</v>
      </c>
    </row>
    <row r="63" spans="4:74">
      <c r="K63" s="40">
        <f t="shared" si="0"/>
        <v>33831.875145861</v>
      </c>
      <c r="L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33831.875145861</v>
      </c>
      <c r="M63" s="40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24890.4762594381</v>
      </c>
      <c r="N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16110.4167361243</v>
      </c>
      <c r="O63" s="40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13783.4436504426</v>
      </c>
      <c r="P63" s="41">
        <v>1</v>
      </c>
      <c r="Q63" s="42" t="s">
        <v>117</v>
      </c>
      <c r="R63" s="42" t="s">
        <v>103</v>
      </c>
      <c r="S63" s="42" t="s">
        <v>169</v>
      </c>
      <c r="T63" s="42" t="s">
        <v>86</v>
      </c>
      <c r="U63" s="42" t="s">
        <v>121</v>
      </c>
      <c r="V63" s="42" t="s">
        <v>118</v>
      </c>
      <c r="W63" s="42" t="s">
        <v>77</v>
      </c>
      <c r="X63" s="42" t="s">
        <v>176</v>
      </c>
      <c r="Y63" s="42" t="s">
        <v>77</v>
      </c>
      <c r="Z63" s="42" t="s">
        <v>77</v>
      </c>
      <c r="AA63" s="42" t="s">
        <v>73</v>
      </c>
      <c r="AB63" s="42" t="s">
        <v>77</v>
      </c>
      <c r="AC63" s="42" t="s">
        <v>77</v>
      </c>
      <c r="AD63" s="42" t="s">
        <v>77</v>
      </c>
      <c r="AE63" s="42" t="s">
        <v>81</v>
      </c>
      <c r="AF63" s="42" t="s">
        <v>82</v>
      </c>
      <c r="AG63" s="42" t="s">
        <v>77</v>
      </c>
      <c r="AH63" s="42" t="s">
        <v>77</v>
      </c>
      <c r="AI63" s="42" t="s">
        <v>77</v>
      </c>
      <c r="AJ63" s="42" t="s">
        <v>77</v>
      </c>
      <c r="AK63" s="42" t="s">
        <v>77</v>
      </c>
      <c r="AL63" t="str">
        <f>VLOOKUP($Q63,武学奇术!$A:$ZZ,25,FALSE)</f>
        <v>陌刀</v>
      </c>
      <c r="AM63" s="27">
        <f>VLOOKUP($Q63,武学奇术!$A:$ZZ,26,FALSE)</f>
        <v>0.9</v>
      </c>
      <c r="AN63" s="28">
        <f>VLOOKUP($Q63,武学奇术!$A:$ZZ,27,FALSE)*(1+IF(OR($AL63=$F$4,$AL63=$F$5),$B$22,0))</f>
        <v>0</v>
      </c>
      <c r="AO63" s="27">
        <f>VLOOKUP($Q63,武学奇术!$A:$ZZ,28,FALSE)</f>
        <v>1.35</v>
      </c>
      <c r="AP63" s="28">
        <f>VLOOKUP($Q63,武学奇术!$A:$ZZ,29,FALSE)*(1+IF(OR($AL63=$F$4,$AL63=$F$5),$B$22,0))</f>
        <v>0</v>
      </c>
      <c r="AQ63" s="27" cm="1">
        <f t="array" ref="AQ63">$G$3+IFERROR(VLOOKUP($AL63,$F$4:$G$7,2,FALSE),0)+VLOOKUP($Q63,武学奇术!$A:$ZZ,2,FALSE)+SUM(_xlfn.XLOOKUP($R63:$AK63,增益!$A:$A,增益!$B:$B,0))</f>
        <v>0.7341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3574.7</v>
      </c>
      <c r="AT63" cm="1">
        <f t="array" ref="AT63">$E$10*(1+$AR63)+VLOOKUP($Q63,武学奇术!$A:$ZZ,4,FALSE)+SUM(_xlfn.XLOOKUP($R63:$AK63,增益!$A:$A,增益!$D:$D,0))-$I$2</f>
        <v>3574.7</v>
      </c>
      <c r="AU63" s="34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0.352</v>
      </c>
      <c r="AV63" s="34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4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4" cm="1">
        <f t="array" ref="BA63">$G$11+VLOOKUP($Q63,武学奇术!$A:$ZZ,10,FALSE)+SUM(_xlfn.XLOOKUP($R63:$AK63,增益!$A:$A,增益!$J:$J,0))</f>
        <v>0</v>
      </c>
      <c r="BB63">
        <f t="shared" si="3"/>
        <v>591.9</v>
      </c>
      <c r="BC63">
        <f t="shared" si="4"/>
        <v>1600.3</v>
      </c>
      <c r="BD63" s="34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0.17</v>
      </c>
      <c r="BE63" s="34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4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4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4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4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1</v>
      </c>
      <c r="BP63" s="27" cm="1">
        <f t="array" ref="BP63">1+$B$13+VLOOKUP($Q63,武学奇术!$A:$ZZ,18,FALSE)+SUM(_xlfn.XLOOKUP($R63:$AK63,增益!$A:$A,增益!$R:$R,0))</f>
        <v>2.1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</v>
      </c>
      <c r="BR63" s="27" cm="1">
        <f t="array" ref="BR63">1+$B$14+VLOOKUP($Q63,武学奇术!$A:$ZZ,20,FALSE)+SUM(_xlfn.XLOOKUP($R63:$AK63,增益!$A:$A,增益!$T:$T,0))</f>
        <v>1.35</v>
      </c>
      <c r="BS63" s="27">
        <f t="shared" si="9"/>
        <v>1</v>
      </c>
      <c r="BT63" s="27">
        <f t="shared" si="10"/>
        <v>0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0.11</v>
      </c>
    </row>
    <row r="64" spans="4:74">
      <c r="K64" s="40">
        <f t="shared" si="0"/>
        <v>325529.152488869</v>
      </c>
      <c r="L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325529.152488869</v>
      </c>
      <c r="M64" s="40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235682.677775892</v>
      </c>
      <c r="N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155013.882137557</v>
      </c>
      <c r="O64" s="40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135448.002959638</v>
      </c>
      <c r="P64" s="41">
        <v>1</v>
      </c>
      <c r="Q64" s="42" t="s">
        <v>120</v>
      </c>
      <c r="R64" s="42" t="s">
        <v>103</v>
      </c>
      <c r="S64" s="42" t="s">
        <v>169</v>
      </c>
      <c r="T64" s="42" t="s">
        <v>86</v>
      </c>
      <c r="U64" s="42" t="s">
        <v>121</v>
      </c>
      <c r="V64" s="42" t="s">
        <v>118</v>
      </c>
      <c r="W64" s="42" t="s">
        <v>77</v>
      </c>
      <c r="X64" s="42" t="s">
        <v>176</v>
      </c>
      <c r="Y64" s="42" t="s">
        <v>77</v>
      </c>
      <c r="Z64" s="42" t="s">
        <v>77</v>
      </c>
      <c r="AA64" s="42" t="s">
        <v>73</v>
      </c>
      <c r="AB64" s="42" t="s">
        <v>77</v>
      </c>
      <c r="AC64" s="42" t="s">
        <v>77</v>
      </c>
      <c r="AD64" s="42" t="s">
        <v>77</v>
      </c>
      <c r="AE64" s="42" t="s">
        <v>81</v>
      </c>
      <c r="AF64" s="42" t="s">
        <v>82</v>
      </c>
      <c r="AG64" s="42" t="s">
        <v>77</v>
      </c>
      <c r="AH64" s="42" t="s">
        <v>77</v>
      </c>
      <c r="AI64" s="42" t="s">
        <v>77</v>
      </c>
      <c r="AJ64" s="42" t="s">
        <v>77</v>
      </c>
      <c r="AK64" s="42" t="s">
        <v>77</v>
      </c>
      <c r="AL64" t="str">
        <f>VLOOKUP($Q64,武学奇术!$A:$ZZ,25,FALSE)</f>
        <v>陌刀</v>
      </c>
      <c r="AM64" s="27">
        <f>VLOOKUP($Q64,武学奇术!$A:$ZZ,26,FALSE)</f>
        <v>7.5674</v>
      </c>
      <c r="AN64" s="28">
        <f>VLOOKUP($Q64,武学奇术!$A:$ZZ,27,FALSE)*(1+IF(OR($AL64=$F$4,$AL64=$F$5),$B$22,0))</f>
        <v>3139.5</v>
      </c>
      <c r="AO64" s="27">
        <f>VLOOKUP($Q64,武学奇术!$A:$ZZ,28,FALSE)</f>
        <v>11.3512</v>
      </c>
      <c r="AP64" s="28">
        <f>VLOOKUP($Q64,武学奇术!$A:$ZZ,29,FALSE)*(1+IF(OR($AL64=$F$4,$AL64=$F$5),$B$22,0))</f>
        <v>1710</v>
      </c>
      <c r="AQ64" s="27" cm="1">
        <f t="array" ref="AQ64">$G$3+IFERROR(VLOOKUP($AL64,$F$4:$G$7,2,FALSE),0)+VLOOKUP($Q64,武学奇术!$A:$ZZ,2,FALSE)+SUM(_xlfn.XLOOKUP($R64:$AK64,增益!$A:$A,增益!$B:$B,0))</f>
        <v>0.7341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3574.7</v>
      </c>
      <c r="AT64" cm="1">
        <f t="array" ref="AT64">$E$10*(1+$AR64)+VLOOKUP($Q64,武学奇术!$A:$ZZ,4,FALSE)+SUM(_xlfn.XLOOKUP($R64:$AK64,增益!$A:$A,增益!$D:$D,0))-$I$2</f>
        <v>3574.7</v>
      </c>
      <c r="AU64" s="34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0.352</v>
      </c>
      <c r="AV64" s="34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4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4" cm="1">
        <f t="array" ref="BA64">$G$11+VLOOKUP($Q64,武学奇术!$A:$ZZ,10,FALSE)+SUM(_xlfn.XLOOKUP($R64:$AK64,增益!$A:$A,增益!$J:$J,0))</f>
        <v>0</v>
      </c>
      <c r="BB64">
        <f t="shared" si="3"/>
        <v>591.9</v>
      </c>
      <c r="BC64">
        <f t="shared" si="4"/>
        <v>1600.3</v>
      </c>
      <c r="BD64" s="34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0.17</v>
      </c>
      <c r="BE64" s="34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4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4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4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4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1</v>
      </c>
      <c r="BP64" s="27" cm="1">
        <f t="array" ref="BP64">1+$B$13+VLOOKUP($Q64,武学奇术!$A:$ZZ,18,FALSE)+SUM(_xlfn.XLOOKUP($R64:$AK64,增益!$A:$A,增益!$R:$R,0))</f>
        <v>2.1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</v>
      </c>
      <c r="BR64" s="27" cm="1">
        <f t="array" ref="BR64">1+$B$14+VLOOKUP($Q64,武学奇术!$A:$ZZ,20,FALSE)+SUM(_xlfn.XLOOKUP($R64:$AK64,增益!$A:$A,增益!$T:$T,0))</f>
        <v>1.35</v>
      </c>
      <c r="BS64" s="27">
        <f t="shared" si="9"/>
        <v>1</v>
      </c>
      <c r="BT64" s="27">
        <f t="shared" si="10"/>
        <v>0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0.11</v>
      </c>
    </row>
    <row r="65" spans="1:74">
      <c r="K65" s="40">
        <f t="shared" si="0"/>
        <v>37590.97238429</v>
      </c>
      <c r="L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37590.97238429</v>
      </c>
      <c r="M65" s="40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27656.084732709</v>
      </c>
      <c r="N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17900.4630401381</v>
      </c>
      <c r="O65" s="40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15314.9373893806</v>
      </c>
      <c r="P65" s="41">
        <v>2</v>
      </c>
      <c r="Q65" s="42" t="s">
        <v>125</v>
      </c>
      <c r="R65" s="42" t="s">
        <v>103</v>
      </c>
      <c r="S65" s="42" t="s">
        <v>169</v>
      </c>
      <c r="T65" s="42" t="s">
        <v>86</v>
      </c>
      <c r="U65" s="42" t="s">
        <v>121</v>
      </c>
      <c r="V65" s="42" t="s">
        <v>118</v>
      </c>
      <c r="W65" s="42" t="s">
        <v>77</v>
      </c>
      <c r="X65" s="42" t="s">
        <v>176</v>
      </c>
      <c r="Y65" s="42" t="s">
        <v>77</v>
      </c>
      <c r="Z65" s="42" t="s">
        <v>77</v>
      </c>
      <c r="AA65" s="42" t="s">
        <v>73</v>
      </c>
      <c r="AB65" s="42" t="s">
        <v>77</v>
      </c>
      <c r="AC65" s="42" t="s">
        <v>77</v>
      </c>
      <c r="AD65" s="42" t="s">
        <v>77</v>
      </c>
      <c r="AE65" s="42" t="s">
        <v>81</v>
      </c>
      <c r="AF65" s="42" t="s">
        <v>82</v>
      </c>
      <c r="AG65" s="42" t="s">
        <v>77</v>
      </c>
      <c r="AH65" s="42" t="s">
        <v>77</v>
      </c>
      <c r="AI65" s="42" t="s">
        <v>77</v>
      </c>
      <c r="AJ65" s="42" t="s">
        <v>77</v>
      </c>
      <c r="AK65" s="42" t="s">
        <v>77</v>
      </c>
      <c r="AL65" t="str">
        <f>VLOOKUP($Q65,武学奇术!$A:$ZZ,25,FALSE)</f>
        <v>陌刀</v>
      </c>
      <c r="AM65" s="27">
        <f>VLOOKUP($Q65,武学奇术!$A:$ZZ,26,FALSE)</f>
        <v>0.5</v>
      </c>
      <c r="AN65" s="28">
        <f>VLOOKUP($Q65,武学奇术!$A:$ZZ,27,FALSE)*(1+IF(OR($AL65=$F$4,$AL65=$F$5),$B$22,0))</f>
        <v>0</v>
      </c>
      <c r="AO65" s="27">
        <f>VLOOKUP($Q65,武学奇术!$A:$ZZ,28,FALSE)</f>
        <v>0.75</v>
      </c>
      <c r="AP65" s="28">
        <f>VLOOKUP($Q65,武学奇术!$A:$ZZ,29,FALSE)*(1+IF(OR($AL65=$F$4,$AL65=$F$5),$B$22,0))</f>
        <v>0</v>
      </c>
      <c r="AQ65" s="27" cm="1">
        <f t="array" ref="AQ65">$G$3+IFERROR(VLOOKUP($AL65,$F$4:$G$7,2,FALSE),0)+VLOOKUP($Q65,武学奇术!$A:$ZZ,2,FALSE)+SUM(_xlfn.XLOOKUP($R65:$AK65,增益!$A:$A,增益!$B:$B,0))</f>
        <v>0.7341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3574.7</v>
      </c>
      <c r="AT65" cm="1">
        <f t="array" ref="AT65">$E$10*(1+$AR65)+VLOOKUP($Q65,武学奇术!$A:$ZZ,4,FALSE)+SUM(_xlfn.XLOOKUP($R65:$AK65,增益!$A:$A,增益!$D:$D,0))-$I$2</f>
        <v>3574.7</v>
      </c>
      <c r="AU65" s="34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0.352</v>
      </c>
      <c r="AV65" s="34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4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4" cm="1">
        <f t="array" ref="BA65">$G$11+VLOOKUP($Q65,武学奇术!$A:$ZZ,10,FALSE)+SUM(_xlfn.XLOOKUP($R65:$AK65,增益!$A:$A,增益!$J:$J,0))</f>
        <v>0</v>
      </c>
      <c r="BB65">
        <f t="shared" si="3"/>
        <v>591.9</v>
      </c>
      <c r="BC65">
        <f t="shared" si="4"/>
        <v>1600.3</v>
      </c>
      <c r="BD65" s="34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0.17</v>
      </c>
      <c r="BE65" s="34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4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4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4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4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1</v>
      </c>
      <c r="BP65" s="27" cm="1">
        <f t="array" ref="BP65">1+$B$13+VLOOKUP($Q65,武学奇术!$A:$ZZ,18,FALSE)+SUM(_xlfn.XLOOKUP($R65:$AK65,增益!$A:$A,增益!$R:$R,0))</f>
        <v>2.1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</v>
      </c>
      <c r="BR65" s="27" cm="1">
        <f t="array" ref="BR65">1+$B$14+VLOOKUP($Q65,武学奇术!$A:$ZZ,20,FALSE)+SUM(_xlfn.XLOOKUP($R65:$AK65,增益!$A:$A,增益!$T:$T,0))</f>
        <v>1.35</v>
      </c>
      <c r="BS65" s="27">
        <f t="shared" si="9"/>
        <v>1</v>
      </c>
      <c r="BT65" s="27">
        <f t="shared" si="10"/>
        <v>0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0.11</v>
      </c>
    </row>
    <row r="66" spans="1:74">
      <c r="K66" s="40">
        <f t="shared" ref="K66:K127" si="11">($L66*$BS66+$M66*$BQ66+$N66*$BT66+$O66*$BU66)</f>
        <v>67663.7502917221</v>
      </c>
      <c r="L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67663.7502917221</v>
      </c>
      <c r="M66" s="40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49780.9525188763</v>
      </c>
      <c r="N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32220.8334722486</v>
      </c>
      <c r="O66" s="40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27566.8873008851</v>
      </c>
      <c r="P66" s="41">
        <v>2</v>
      </c>
      <c r="Q66" s="42" t="s">
        <v>117</v>
      </c>
      <c r="R66" s="42" t="s">
        <v>103</v>
      </c>
      <c r="S66" s="42" t="s">
        <v>169</v>
      </c>
      <c r="T66" s="42" t="s">
        <v>86</v>
      </c>
      <c r="U66" s="42" t="s">
        <v>121</v>
      </c>
      <c r="V66" s="42" t="s">
        <v>118</v>
      </c>
      <c r="W66" s="42" t="s">
        <v>77</v>
      </c>
      <c r="X66" s="42" t="s">
        <v>176</v>
      </c>
      <c r="Y66" s="42" t="s">
        <v>77</v>
      </c>
      <c r="Z66" s="42" t="s">
        <v>77</v>
      </c>
      <c r="AA66" s="42" t="s">
        <v>73</v>
      </c>
      <c r="AB66" s="42" t="s">
        <v>77</v>
      </c>
      <c r="AC66" s="42" t="s">
        <v>77</v>
      </c>
      <c r="AD66" s="42" t="s">
        <v>77</v>
      </c>
      <c r="AE66" s="42" t="s">
        <v>81</v>
      </c>
      <c r="AF66" s="42" t="s">
        <v>82</v>
      </c>
      <c r="AG66" s="42" t="s">
        <v>77</v>
      </c>
      <c r="AH66" s="42" t="s">
        <v>77</v>
      </c>
      <c r="AI66" s="42" t="s">
        <v>77</v>
      </c>
      <c r="AJ66" s="42" t="s">
        <v>77</v>
      </c>
      <c r="AK66" s="42" t="s">
        <v>77</v>
      </c>
      <c r="AL66" t="str">
        <f>VLOOKUP($Q66,武学奇术!$A:$ZZ,25,FALSE)</f>
        <v>陌刀</v>
      </c>
      <c r="AM66" s="27">
        <f>VLOOKUP($Q66,武学奇术!$A:$ZZ,26,FALSE)</f>
        <v>0.9</v>
      </c>
      <c r="AN66" s="28">
        <f>VLOOKUP($Q66,武学奇术!$A:$ZZ,27,FALSE)*(1+IF(OR($AL66=$F$4,$AL66=$F$5),$B$22,0))</f>
        <v>0</v>
      </c>
      <c r="AO66" s="27">
        <f>VLOOKUP($Q66,武学奇术!$A:$ZZ,28,FALSE)</f>
        <v>1.35</v>
      </c>
      <c r="AP66" s="28">
        <f>VLOOKUP($Q66,武学奇术!$A:$ZZ,29,FALSE)*(1+IF(OR($AL66=$F$4,$AL66=$F$5),$B$22,0))</f>
        <v>0</v>
      </c>
      <c r="AQ66" s="27" cm="1">
        <f t="array" ref="AQ66">$G$3+IFERROR(VLOOKUP($AL66,$F$4:$G$7,2,FALSE),0)+VLOOKUP($Q66,武学奇术!$A:$ZZ,2,FALSE)+SUM(_xlfn.XLOOKUP($R66:$AK66,增益!$A:$A,增益!$B:$B,0))</f>
        <v>0.7341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3574.7</v>
      </c>
      <c r="AT66" cm="1">
        <f t="array" ref="AT66">$E$10*(1+$AR66)+VLOOKUP($Q66,武学奇术!$A:$ZZ,4,FALSE)+SUM(_xlfn.XLOOKUP($R66:$AK66,增益!$A:$A,增益!$D:$D,0))-$I$2</f>
        <v>3574.7</v>
      </c>
      <c r="AU66" s="34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0.352</v>
      </c>
      <c r="AV66" s="34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ref="AX66:AX127" si="12">$D$11*(1+$AW66)</f>
        <v>0</v>
      </c>
      <c r="AY66">
        <f t="shared" ref="AY66:AY127" si="13">$E$11*(1+$AW66)</f>
        <v>0</v>
      </c>
      <c r="AZ66" s="34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4" cm="1">
        <f t="array" ref="BA66">$G$11+VLOOKUP($Q66,武学奇术!$A:$ZZ,10,FALSE)+SUM(_xlfn.XLOOKUP($R66:$AK66,增益!$A:$A,增益!$J:$J,0))</f>
        <v>0</v>
      </c>
      <c r="BB66">
        <f t="shared" ref="BB66:BB127" si="14">$D$12*(1+$AW66)</f>
        <v>591.9</v>
      </c>
      <c r="BC66">
        <f t="shared" ref="BC66:BC127" si="15">$E$12*(1+$AW66)</f>
        <v>1600.3</v>
      </c>
      <c r="BD66" s="34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0.17</v>
      </c>
      <c r="BE66" s="34" cm="1">
        <f t="array" ref="BE66">$G$12+VLOOKUP($Q66,武学奇术!$A:$ZZ,12,FALSE)+SUM(_xlfn.XLOOKUP($R66:$AK66,增益!$A:$A,增益!$L:$L,0))</f>
        <v>0.15</v>
      </c>
      <c r="BF66">
        <f t="shared" ref="BF66:BF127" si="16">$D$13*(1+$AW66)</f>
        <v>0</v>
      </c>
      <c r="BG66">
        <f t="shared" ref="BG66:BG127" si="17">$E$13*(1+$AW66)</f>
        <v>0</v>
      </c>
      <c r="BH66" s="34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4" cm="1">
        <f t="array" ref="BI66">$G$13+VLOOKUP($Q66,武学奇术!$A:$ZZ,14,FALSE)+SUM(_xlfn.XLOOKUP($R66:$AK66,增益!$A:$A,增益!$N:$N,0))</f>
        <v>0</v>
      </c>
      <c r="BJ66">
        <f t="shared" ref="BJ66:BJ127" si="18">$D$14*(1+$AW66)</f>
        <v>0</v>
      </c>
      <c r="BK66">
        <f t="shared" ref="BK66:BK127" si="19">$E$14*(1+$AW66)</f>
        <v>0</v>
      </c>
      <c r="BL66" s="34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4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1</v>
      </c>
      <c r="BP66" s="27" cm="1">
        <f t="array" ref="BP66">1+$B$13+VLOOKUP($Q66,武学奇术!$A:$ZZ,18,FALSE)+SUM(_xlfn.XLOOKUP($R66:$AK66,增益!$A:$A,增益!$R:$R,0))</f>
        <v>2.1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</v>
      </c>
      <c r="BR66" s="27" cm="1">
        <f t="array" ref="BR66">1+$B$14+VLOOKUP($Q66,武学奇术!$A:$ZZ,20,FALSE)+SUM(_xlfn.XLOOKUP($R66:$AK66,增益!$A:$A,增益!$T:$T,0))</f>
        <v>1.35</v>
      </c>
      <c r="BS66" s="27">
        <f t="shared" ref="BS66:BS127" si="20">MIN((1-BQ66)*BN66,BN66*BO66)</f>
        <v>1</v>
      </c>
      <c r="BT66" s="27">
        <f t="shared" ref="BT66:BT127" si="21">1-BQ66-BS66-BU66</f>
        <v>0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0.11</v>
      </c>
    </row>
    <row r="67" spans="1:74">
      <c r="K67" s="40">
        <f t="shared" si="11"/>
        <v>651058.304977739</v>
      </c>
      <c r="L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651058.304977739</v>
      </c>
      <c r="M67" s="40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471365.355551784</v>
      </c>
      <c r="N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310027.764275114</v>
      </c>
      <c r="O67" s="40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270896.005919276</v>
      </c>
      <c r="P67" s="41">
        <v>2</v>
      </c>
      <c r="Q67" s="42" t="s">
        <v>120</v>
      </c>
      <c r="R67" s="42" t="s">
        <v>103</v>
      </c>
      <c r="S67" s="42" t="s">
        <v>169</v>
      </c>
      <c r="T67" s="42" t="s">
        <v>86</v>
      </c>
      <c r="U67" s="42" t="s">
        <v>121</v>
      </c>
      <c r="V67" s="42" t="s">
        <v>118</v>
      </c>
      <c r="W67" s="42" t="s">
        <v>77</v>
      </c>
      <c r="X67" s="42" t="s">
        <v>176</v>
      </c>
      <c r="Y67" s="42" t="s">
        <v>77</v>
      </c>
      <c r="Z67" s="42" t="s">
        <v>77</v>
      </c>
      <c r="AA67" s="42" t="s">
        <v>73</v>
      </c>
      <c r="AB67" s="42" t="s">
        <v>77</v>
      </c>
      <c r="AC67" s="42" t="s">
        <v>77</v>
      </c>
      <c r="AD67" s="42" t="s">
        <v>77</v>
      </c>
      <c r="AE67" s="42" t="s">
        <v>81</v>
      </c>
      <c r="AF67" s="42" t="s">
        <v>82</v>
      </c>
      <c r="AG67" s="42" t="s">
        <v>77</v>
      </c>
      <c r="AH67" s="42" t="s">
        <v>77</v>
      </c>
      <c r="AI67" s="42" t="s">
        <v>77</v>
      </c>
      <c r="AJ67" s="42" t="s">
        <v>77</v>
      </c>
      <c r="AK67" s="42" t="s">
        <v>77</v>
      </c>
      <c r="AL67" t="str">
        <f>VLOOKUP($Q67,武学奇术!$A:$ZZ,25,FALSE)</f>
        <v>陌刀</v>
      </c>
      <c r="AM67" s="27">
        <f>VLOOKUP($Q67,武学奇术!$A:$ZZ,26,FALSE)</f>
        <v>7.5674</v>
      </c>
      <c r="AN67" s="28">
        <f>VLOOKUP($Q67,武学奇术!$A:$ZZ,27,FALSE)*(1+IF(OR($AL67=$F$4,$AL67=$F$5),$B$22,0))</f>
        <v>3139.5</v>
      </c>
      <c r="AO67" s="27">
        <f>VLOOKUP($Q67,武学奇术!$A:$ZZ,28,FALSE)</f>
        <v>11.3512</v>
      </c>
      <c r="AP67" s="28">
        <f>VLOOKUP($Q67,武学奇术!$A:$ZZ,29,FALSE)*(1+IF(OR($AL67=$F$4,$AL67=$F$5),$B$22,0))</f>
        <v>1710</v>
      </c>
      <c r="AQ67" s="27" cm="1">
        <f t="array" ref="AQ67">$G$3+IFERROR(VLOOKUP($AL67,$F$4:$G$7,2,FALSE),0)+VLOOKUP($Q67,武学奇术!$A:$ZZ,2,FALSE)+SUM(_xlfn.XLOOKUP($R67:$AK67,增益!$A:$A,增益!$B:$B,0))</f>
        <v>0.7341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3574.7</v>
      </c>
      <c r="AT67" cm="1">
        <f t="array" ref="AT67">$E$10*(1+$AR67)+VLOOKUP($Q67,武学奇术!$A:$ZZ,4,FALSE)+SUM(_xlfn.XLOOKUP($R67:$AK67,增益!$A:$A,增益!$D:$D,0))-$I$2</f>
        <v>3574.7</v>
      </c>
      <c r="AU67" s="34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0.352</v>
      </c>
      <c r="AV67" s="34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4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34" cm="1">
        <f t="array" ref="BA67">$G$11+VLOOKUP($Q67,武学奇术!$A:$ZZ,10,FALSE)+SUM(_xlfn.XLOOKUP($R67:$AK67,增益!$A:$A,增益!$J:$J,0))</f>
        <v>0</v>
      </c>
      <c r="BB67">
        <f t="shared" si="14"/>
        <v>591.9</v>
      </c>
      <c r="BC67">
        <f t="shared" si="15"/>
        <v>1600.3</v>
      </c>
      <c r="BD67" s="34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0.17</v>
      </c>
      <c r="BE67" s="34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4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-0.14</v>
      </c>
      <c r="BI67" s="34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4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34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1</v>
      </c>
      <c r="BP67" s="27" cm="1">
        <f t="array" ref="BP67">1+$B$13+VLOOKUP($Q67,武学奇术!$A:$ZZ,18,FALSE)+SUM(_xlfn.XLOOKUP($R67:$AK67,增益!$A:$A,增益!$R:$R,0))</f>
        <v>2.1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</v>
      </c>
      <c r="BR67" s="27" cm="1">
        <f t="array" ref="BR67">1+$B$14+VLOOKUP($Q67,武学奇术!$A:$ZZ,20,FALSE)+SUM(_xlfn.XLOOKUP($R67:$AK67,增益!$A:$A,增益!$T:$T,0))</f>
        <v>1.35</v>
      </c>
      <c r="BS67" s="27">
        <f t="shared" si="20"/>
        <v>1</v>
      </c>
      <c r="BT67" s="27">
        <f t="shared" si="21"/>
        <v>0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K68" s="40">
        <f t="shared" si="11"/>
        <v>18795.486192145</v>
      </c>
      <c r="L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18795.486192145</v>
      </c>
      <c r="M68" s="40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13828.0423663545</v>
      </c>
      <c r="N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8950.23152006905</v>
      </c>
      <c r="O68" s="40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7657.46869469032</v>
      </c>
      <c r="P68" s="41">
        <v>1</v>
      </c>
      <c r="Q68" s="42" t="s">
        <v>125</v>
      </c>
      <c r="R68" s="42" t="s">
        <v>103</v>
      </c>
      <c r="S68" s="42" t="s">
        <v>169</v>
      </c>
      <c r="T68" s="42" t="s">
        <v>86</v>
      </c>
      <c r="U68" s="42" t="s">
        <v>121</v>
      </c>
      <c r="V68" s="42" t="s">
        <v>118</v>
      </c>
      <c r="W68" s="42" t="s">
        <v>77</v>
      </c>
      <c r="X68" s="42" t="s">
        <v>176</v>
      </c>
      <c r="Y68" s="42" t="s">
        <v>77</v>
      </c>
      <c r="Z68" s="42" t="s">
        <v>77</v>
      </c>
      <c r="AA68" s="42" t="s">
        <v>73</v>
      </c>
      <c r="AB68" s="42" t="s">
        <v>77</v>
      </c>
      <c r="AC68" s="42" t="s">
        <v>77</v>
      </c>
      <c r="AD68" s="42" t="s">
        <v>77</v>
      </c>
      <c r="AE68" s="42" t="s">
        <v>81</v>
      </c>
      <c r="AF68" s="42" t="s">
        <v>82</v>
      </c>
      <c r="AG68" s="42" t="s">
        <v>77</v>
      </c>
      <c r="AH68" s="42" t="s">
        <v>77</v>
      </c>
      <c r="AI68" s="42" t="s">
        <v>77</v>
      </c>
      <c r="AJ68" s="42" t="s">
        <v>77</v>
      </c>
      <c r="AK68" s="42" t="s">
        <v>77</v>
      </c>
      <c r="AL68" t="str">
        <f>VLOOKUP($Q68,武学奇术!$A:$ZZ,25,FALSE)</f>
        <v>陌刀</v>
      </c>
      <c r="AM68" s="27">
        <f>VLOOKUP($Q68,武学奇术!$A:$ZZ,26,FALSE)</f>
        <v>0.5</v>
      </c>
      <c r="AN68" s="28">
        <f>VLOOKUP($Q68,武学奇术!$A:$ZZ,27,FALSE)*(1+IF(OR($AL68=$F$4,$AL68=$F$5),$B$22,0))</f>
        <v>0</v>
      </c>
      <c r="AO68" s="27">
        <f>VLOOKUP($Q68,武学奇术!$A:$ZZ,28,FALSE)</f>
        <v>0.75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0.7341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3574.7</v>
      </c>
      <c r="AT68" cm="1">
        <f t="array" ref="AT68">$E$10*(1+$AR68)+VLOOKUP($Q68,武学奇术!$A:$ZZ,4,FALSE)+SUM(_xlfn.XLOOKUP($R68:$AK68,增益!$A:$A,增益!$D:$D,0))-$I$2</f>
        <v>3574.7</v>
      </c>
      <c r="AU68" s="34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0.352</v>
      </c>
      <c r="AV68" s="34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4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34" cm="1">
        <f t="array" ref="BA68">$G$11+VLOOKUP($Q68,武学奇术!$A:$ZZ,10,FALSE)+SUM(_xlfn.XLOOKUP($R68:$AK68,增益!$A:$A,增益!$J:$J,0))</f>
        <v>0</v>
      </c>
      <c r="BB68">
        <f t="shared" si="14"/>
        <v>591.9</v>
      </c>
      <c r="BC68">
        <f t="shared" si="15"/>
        <v>1600.3</v>
      </c>
      <c r="BD68" s="34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0.17</v>
      </c>
      <c r="BE68" s="34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4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-0.14</v>
      </c>
      <c r="BI68" s="34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4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34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1</v>
      </c>
      <c r="BP68" s="27" cm="1">
        <f t="array" ref="BP68">1+$B$13+VLOOKUP($Q68,武学奇术!$A:$ZZ,18,FALSE)+SUM(_xlfn.XLOOKUP($R68:$AK68,增益!$A:$A,增益!$R:$R,0))</f>
        <v>2.1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</v>
      </c>
      <c r="BR68" s="27" cm="1">
        <f t="array" ref="BR68">1+$B$14+VLOOKUP($Q68,武学奇术!$A:$ZZ,20,FALSE)+SUM(_xlfn.XLOOKUP($R68:$AK68,增益!$A:$A,增益!$T:$T,0))</f>
        <v>1.35</v>
      </c>
      <c r="BS68" s="27">
        <f t="shared" si="20"/>
        <v>1</v>
      </c>
      <c r="BT68" s="27">
        <f t="shared" si="21"/>
        <v>0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K69" s="40">
        <f t="shared" si="11"/>
        <v>33831.875145861</v>
      </c>
      <c r="L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33831.875145861</v>
      </c>
      <c r="M69" s="40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24890.4762594381</v>
      </c>
      <c r="N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16110.4167361243</v>
      </c>
      <c r="O69" s="40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13783.4436504426</v>
      </c>
      <c r="P69" s="41">
        <v>1</v>
      </c>
      <c r="Q69" s="42" t="s">
        <v>117</v>
      </c>
      <c r="R69" s="42" t="s">
        <v>103</v>
      </c>
      <c r="S69" s="42" t="s">
        <v>169</v>
      </c>
      <c r="T69" s="42" t="s">
        <v>86</v>
      </c>
      <c r="U69" s="42" t="s">
        <v>121</v>
      </c>
      <c r="V69" s="42" t="s">
        <v>118</v>
      </c>
      <c r="W69" s="42" t="s">
        <v>77</v>
      </c>
      <c r="X69" s="42" t="s">
        <v>176</v>
      </c>
      <c r="Y69" s="42" t="s">
        <v>77</v>
      </c>
      <c r="Z69" s="42" t="s">
        <v>77</v>
      </c>
      <c r="AA69" s="42" t="s">
        <v>73</v>
      </c>
      <c r="AB69" s="42" t="s">
        <v>77</v>
      </c>
      <c r="AC69" s="42" t="s">
        <v>77</v>
      </c>
      <c r="AD69" s="42" t="s">
        <v>77</v>
      </c>
      <c r="AE69" s="42" t="s">
        <v>81</v>
      </c>
      <c r="AF69" s="42" t="s">
        <v>82</v>
      </c>
      <c r="AG69" s="42" t="s">
        <v>77</v>
      </c>
      <c r="AH69" s="42" t="s">
        <v>77</v>
      </c>
      <c r="AI69" s="42" t="s">
        <v>77</v>
      </c>
      <c r="AJ69" s="42" t="s">
        <v>77</v>
      </c>
      <c r="AK69" s="42" t="s">
        <v>77</v>
      </c>
      <c r="AL69" t="str">
        <f>VLOOKUP($Q69,武学奇术!$A:$ZZ,25,FALSE)</f>
        <v>陌刀</v>
      </c>
      <c r="AM69" s="27">
        <f>VLOOKUP($Q69,武学奇术!$A:$ZZ,26,FALSE)</f>
        <v>0.9</v>
      </c>
      <c r="AN69" s="28">
        <f>VLOOKUP($Q69,武学奇术!$A:$ZZ,27,FALSE)*(1+IF(OR($AL69=$F$4,$AL69=$F$5),$B$22,0))</f>
        <v>0</v>
      </c>
      <c r="AO69" s="27">
        <f>VLOOKUP($Q69,武学奇术!$A:$ZZ,28,FALSE)</f>
        <v>1.35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0.7341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3574.7</v>
      </c>
      <c r="AT69" cm="1">
        <f t="array" ref="AT69">$E$10*(1+$AR69)+VLOOKUP($Q69,武学奇术!$A:$ZZ,4,FALSE)+SUM(_xlfn.XLOOKUP($R69:$AK69,增益!$A:$A,增益!$D:$D,0))-$I$2</f>
        <v>3574.7</v>
      </c>
      <c r="AU69" s="34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0.352</v>
      </c>
      <c r="AV69" s="34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4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34" cm="1">
        <f t="array" ref="BA69">$G$11+VLOOKUP($Q69,武学奇术!$A:$ZZ,10,FALSE)+SUM(_xlfn.XLOOKUP($R69:$AK69,增益!$A:$A,增益!$J:$J,0))</f>
        <v>0</v>
      </c>
      <c r="BB69">
        <f t="shared" si="14"/>
        <v>591.9</v>
      </c>
      <c r="BC69">
        <f t="shared" si="15"/>
        <v>1600.3</v>
      </c>
      <c r="BD69" s="34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0.17</v>
      </c>
      <c r="BE69" s="34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4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-0.14</v>
      </c>
      <c r="BI69" s="34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4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34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1</v>
      </c>
      <c r="BP69" s="27" cm="1">
        <f t="array" ref="BP69">1+$B$13+VLOOKUP($Q69,武学奇术!$A:$ZZ,18,FALSE)+SUM(_xlfn.XLOOKUP($R69:$AK69,增益!$A:$A,增益!$R:$R,0))</f>
        <v>2.1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</v>
      </c>
      <c r="BR69" s="27" cm="1">
        <f t="array" ref="BR69">1+$B$14+VLOOKUP($Q69,武学奇术!$A:$ZZ,20,FALSE)+SUM(_xlfn.XLOOKUP($R69:$AK69,增益!$A:$A,增益!$T:$T,0))</f>
        <v>1.35</v>
      </c>
      <c r="BS69" s="27">
        <f t="shared" si="20"/>
        <v>1</v>
      </c>
      <c r="BT69" s="27">
        <f t="shared" si="21"/>
        <v>0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K70" s="40">
        <f t="shared" si="11"/>
        <v>325529.152488869</v>
      </c>
      <c r="L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325529.152488869</v>
      </c>
      <c r="M70" s="40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235682.677775892</v>
      </c>
      <c r="N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155013.882137557</v>
      </c>
      <c r="O70" s="40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135448.002959638</v>
      </c>
      <c r="P70" s="41">
        <v>1</v>
      </c>
      <c r="Q70" s="42" t="s">
        <v>120</v>
      </c>
      <c r="R70" s="42" t="s">
        <v>103</v>
      </c>
      <c r="S70" s="42" t="s">
        <v>169</v>
      </c>
      <c r="T70" s="42" t="s">
        <v>86</v>
      </c>
      <c r="U70" s="42" t="s">
        <v>121</v>
      </c>
      <c r="V70" s="42" t="s">
        <v>118</v>
      </c>
      <c r="W70" s="42" t="s">
        <v>77</v>
      </c>
      <c r="X70" s="42" t="s">
        <v>176</v>
      </c>
      <c r="Y70" s="42" t="s">
        <v>77</v>
      </c>
      <c r="Z70" s="42" t="s">
        <v>77</v>
      </c>
      <c r="AA70" s="42" t="s">
        <v>73</v>
      </c>
      <c r="AB70" s="42" t="s">
        <v>77</v>
      </c>
      <c r="AC70" s="42" t="s">
        <v>77</v>
      </c>
      <c r="AD70" s="42" t="s">
        <v>77</v>
      </c>
      <c r="AE70" s="42" t="s">
        <v>81</v>
      </c>
      <c r="AF70" s="42" t="s">
        <v>82</v>
      </c>
      <c r="AG70" s="42" t="s">
        <v>77</v>
      </c>
      <c r="AH70" s="42" t="s">
        <v>77</v>
      </c>
      <c r="AI70" s="42" t="s">
        <v>77</v>
      </c>
      <c r="AJ70" s="42" t="s">
        <v>77</v>
      </c>
      <c r="AK70" s="42" t="s">
        <v>77</v>
      </c>
      <c r="AL70" t="str">
        <f>VLOOKUP($Q70,武学奇术!$A:$ZZ,25,FALSE)</f>
        <v>陌刀</v>
      </c>
      <c r="AM70" s="27">
        <f>VLOOKUP($Q70,武学奇术!$A:$ZZ,26,FALSE)</f>
        <v>7.5674</v>
      </c>
      <c r="AN70" s="28">
        <f>VLOOKUP($Q70,武学奇术!$A:$ZZ,27,FALSE)*(1+IF(OR($AL70=$F$4,$AL70=$F$5),$B$22,0))</f>
        <v>3139.5</v>
      </c>
      <c r="AO70" s="27">
        <f>VLOOKUP($Q70,武学奇术!$A:$ZZ,28,FALSE)</f>
        <v>11.3512</v>
      </c>
      <c r="AP70" s="28">
        <f>VLOOKUP($Q70,武学奇术!$A:$ZZ,29,FALSE)*(1+IF(OR($AL70=$F$4,$AL70=$F$5),$B$22,0))</f>
        <v>1710</v>
      </c>
      <c r="AQ70" s="27" cm="1">
        <f t="array" ref="AQ70">$G$3+IFERROR(VLOOKUP($AL70,$F$4:$G$7,2,FALSE),0)+VLOOKUP($Q70,武学奇术!$A:$ZZ,2,FALSE)+SUM(_xlfn.XLOOKUP($R70:$AK70,增益!$A:$A,增益!$B:$B,0))</f>
        <v>0.7341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3574.7</v>
      </c>
      <c r="AT70" cm="1">
        <f t="array" ref="AT70">$E$10*(1+$AR70)+VLOOKUP($Q70,武学奇术!$A:$ZZ,4,FALSE)+SUM(_xlfn.XLOOKUP($R70:$AK70,增益!$A:$A,增益!$D:$D,0))-$I$2</f>
        <v>3574.7</v>
      </c>
      <c r="AU70" s="34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0.352</v>
      </c>
      <c r="AV70" s="34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4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34" cm="1">
        <f t="array" ref="BA70">$G$11+VLOOKUP($Q70,武学奇术!$A:$ZZ,10,FALSE)+SUM(_xlfn.XLOOKUP($R70:$AK70,增益!$A:$A,增益!$J:$J,0))</f>
        <v>0</v>
      </c>
      <c r="BB70">
        <f t="shared" si="14"/>
        <v>591.9</v>
      </c>
      <c r="BC70">
        <f t="shared" si="15"/>
        <v>1600.3</v>
      </c>
      <c r="BD70" s="34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0.17</v>
      </c>
      <c r="BE70" s="34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4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-0.14</v>
      </c>
      <c r="BI70" s="34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4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34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1</v>
      </c>
      <c r="BP70" s="27" cm="1">
        <f t="array" ref="BP70">1+$B$13+VLOOKUP($Q70,武学奇术!$A:$ZZ,18,FALSE)+SUM(_xlfn.XLOOKUP($R70:$AK70,增益!$A:$A,增益!$R:$R,0))</f>
        <v>2.1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</v>
      </c>
      <c r="BR70" s="27" cm="1">
        <f t="array" ref="BR70">1+$B$14+VLOOKUP($Q70,武学奇术!$A:$ZZ,20,FALSE)+SUM(_xlfn.XLOOKUP($R70:$AK70,增益!$A:$A,增益!$T:$T,0))</f>
        <v>1.35</v>
      </c>
      <c r="BS70" s="27">
        <f t="shared" si="20"/>
        <v>1</v>
      </c>
      <c r="BT70" s="27">
        <f t="shared" si="21"/>
        <v>0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K71" s="40">
        <f t="shared" si="11"/>
        <v>143400.474551239</v>
      </c>
      <c r="L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146895.858037781</v>
      </c>
      <c r="M71" s="40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130053.385256658</v>
      </c>
      <c r="N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84422.906918265</v>
      </c>
      <c r="O71" s="40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72509.9729056725</v>
      </c>
      <c r="P71" s="41">
        <v>1</v>
      </c>
      <c r="Q71" s="42" t="s">
        <v>149</v>
      </c>
      <c r="R71" s="42" t="s">
        <v>103</v>
      </c>
      <c r="S71" s="42" t="s">
        <v>169</v>
      </c>
      <c r="T71" s="42" t="s">
        <v>86</v>
      </c>
      <c r="U71" s="42" t="s">
        <v>87</v>
      </c>
      <c r="V71" s="42" t="s">
        <v>77</v>
      </c>
      <c r="W71" s="42" t="s">
        <v>77</v>
      </c>
      <c r="X71" s="42" t="s">
        <v>176</v>
      </c>
      <c r="Y71" s="42" t="s">
        <v>77</v>
      </c>
      <c r="Z71" s="42" t="s">
        <v>77</v>
      </c>
      <c r="AA71" s="42" t="s">
        <v>77</v>
      </c>
      <c r="AB71" s="42" t="s">
        <v>77</v>
      </c>
      <c r="AC71" s="42" t="s">
        <v>77</v>
      </c>
      <c r="AD71" s="42" t="s">
        <v>77</v>
      </c>
      <c r="AE71" s="42" t="s">
        <v>81</v>
      </c>
      <c r="AF71" s="42" t="s">
        <v>82</v>
      </c>
      <c r="AG71" s="42" t="s">
        <v>77</v>
      </c>
      <c r="AH71" s="42" t="s">
        <v>77</v>
      </c>
      <c r="AI71" s="42" t="s">
        <v>77</v>
      </c>
      <c r="AJ71" s="42" t="s">
        <v>77</v>
      </c>
      <c r="AK71" s="42" t="s">
        <v>77</v>
      </c>
      <c r="AL71" t="str">
        <f>VLOOKUP($Q71,武学奇术!$A:$ZZ,25,FALSE)</f>
        <v>单体奇术</v>
      </c>
      <c r="AM71" s="27">
        <f>VLOOKUP($Q71,武学奇术!$A:$ZZ,26,FALSE)</f>
        <v>7.1084</v>
      </c>
      <c r="AN71" s="28">
        <f>VLOOKUP($Q71,武学奇术!$A:$ZZ,27,FALSE)*(1+IF(OR($AL71=$F$4,$AL71=$F$5),$B$22,0))</f>
        <v>1369</v>
      </c>
      <c r="AO71" s="27">
        <f>VLOOKUP($Q71,武学奇术!$A:$ZZ,28,FALSE)</f>
        <v>10.6626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0.4837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3574.7</v>
      </c>
      <c r="AT71" cm="1">
        <f t="array" ref="AT71">$E$10*(1+$AR71)+VLOOKUP($Q71,武学奇术!$A:$ZZ,4,FALSE)+SUM(_xlfn.XLOOKUP($R71:$AK71,增益!$A:$A,增益!$D:$D,0))-$I$2</f>
        <v>3574.7</v>
      </c>
      <c r="AU71" s="34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0.327</v>
      </c>
      <c r="AV71" s="34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4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34" cm="1">
        <f t="array" ref="BA71">$G$11+VLOOKUP($Q71,武学奇术!$A:$ZZ,10,FALSE)+SUM(_xlfn.XLOOKUP($R71:$AK71,增益!$A:$A,增益!$J:$J,0))</f>
        <v>0</v>
      </c>
      <c r="BB71">
        <f t="shared" si="14"/>
        <v>591.9</v>
      </c>
      <c r="BC71">
        <f t="shared" si="15"/>
        <v>1600.3</v>
      </c>
      <c r="BD71" s="34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0.17</v>
      </c>
      <c r="BE71" s="34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4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-0.14</v>
      </c>
      <c r="BI71" s="34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4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34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0.9859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7" cm="1">
        <f t="array" ref="BP71">1+$B$13+VLOOKUP($Q71,武学奇术!$A:$ZZ,18,FALSE)+SUM(_xlfn.XLOOKUP($R71:$AK71,增益!$A:$A,增益!$R:$R,0))</f>
        <v>1.74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7" cm="1">
        <f t="array" ref="BR71">1+$B$14+VLOOKUP($Q71,武学奇术!$A:$ZZ,20,FALSE)+SUM(_xlfn.XLOOKUP($R71:$AK71,增益!$A:$A,增益!$T:$T,0))</f>
        <v>1.35</v>
      </c>
      <c r="BS71" s="27">
        <f t="shared" si="20"/>
        <v>0.87863408</v>
      </c>
      <c r="BT71" s="27">
        <f t="shared" si="21"/>
        <v>0.01567581</v>
      </c>
      <c r="BU71" s="27">
        <f>IF(VLOOKUP($Q71,武学奇术!$A:$ZZ,22,FALSE)=1,0,(1-$BN71))*(1-$BQ71)</f>
        <v>0.01279011</v>
      </c>
      <c r="BV71" s="27" cm="1">
        <f t="array" ref="BV71">SUM(_xlfn.XLOOKUP($R71:$AK71,增益!$A:$A,增益!$W:$W,0))+$I$5</f>
        <v>0.11</v>
      </c>
    </row>
    <row r="72" spans="1:74">
      <c r="K72" s="40">
        <f t="shared" si="11"/>
        <v>52708.7202650033</v>
      </c>
      <c r="L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54752.0334346293</v>
      </c>
      <c r="M72" s="40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41621.2984859967</v>
      </c>
      <c r="N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27376.0167173147</v>
      </c>
      <c r="O72" s="40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23921.4419635207</v>
      </c>
      <c r="P72" s="41">
        <v>1</v>
      </c>
      <c r="Q72" s="42" t="s">
        <v>157</v>
      </c>
      <c r="R72" s="42" t="s">
        <v>103</v>
      </c>
      <c r="S72" s="42" t="s">
        <v>77</v>
      </c>
      <c r="T72" s="42" t="s">
        <v>86</v>
      </c>
      <c r="U72" s="42" t="s">
        <v>121</v>
      </c>
      <c r="V72" s="42" t="s">
        <v>77</v>
      </c>
      <c r="W72" s="42" t="s">
        <v>77</v>
      </c>
      <c r="X72" s="42" t="s">
        <v>176</v>
      </c>
      <c r="Y72" s="42" t="s">
        <v>77</v>
      </c>
      <c r="Z72" s="42" t="s">
        <v>77</v>
      </c>
      <c r="AA72" s="42" t="s">
        <v>73</v>
      </c>
      <c r="AB72" s="42" t="s">
        <v>77</v>
      </c>
      <c r="AC72" s="42" t="s">
        <v>77</v>
      </c>
      <c r="AD72" s="42" t="s">
        <v>77</v>
      </c>
      <c r="AE72" s="42" t="s">
        <v>81</v>
      </c>
      <c r="AF72" s="42" t="s">
        <v>82</v>
      </c>
      <c r="AG72" s="42" t="s">
        <v>77</v>
      </c>
      <c r="AH72" s="42" t="s">
        <v>77</v>
      </c>
      <c r="AI72" s="42" t="s">
        <v>77</v>
      </c>
      <c r="AJ72" s="42" t="s">
        <v>77</v>
      </c>
      <c r="AK72" s="42" t="s">
        <v>77</v>
      </c>
      <c r="AL72" t="str">
        <f>VLOOKUP($Q72,武学奇术!$A:$ZZ,25,FALSE)</f>
        <v>陌刀</v>
      </c>
      <c r="AM72" s="27">
        <f>VLOOKUP($Q72,武学奇术!$A:$ZZ,26,FALSE)</f>
        <v>1.8948</v>
      </c>
      <c r="AN72" s="28">
        <f>VLOOKUP($Q72,武学奇术!$A:$ZZ,27,FALSE)*(1+IF(OR($AL72=$F$4,$AL72=$F$5),$B$22,0))</f>
        <v>787.5</v>
      </c>
      <c r="AO72" s="27">
        <f>VLOOKUP($Q72,武学奇术!$A:$ZZ,28,FALSE)</f>
        <v>2.8422</v>
      </c>
      <c r="AP72" s="28">
        <f>VLOOKUP($Q72,武学奇术!$A:$ZZ,29,FALSE)*(1+IF(OR($AL72=$F$4,$AL72=$F$5),$B$22,0))</f>
        <v>429</v>
      </c>
      <c r="AQ72" s="27" cm="1">
        <f t="array" ref="AQ72">$G$3+IFERROR(VLOOKUP($AL72,$F$4:$G$7,2,FALSE),0)+VLOOKUP($Q72,武学奇术!$A:$ZZ,2,FALSE)+SUM(_xlfn.XLOOKUP($R72:$AK72,增益!$A:$A,增益!$B:$B,0))</f>
        <v>0.6141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3574.7</v>
      </c>
      <c r="AT72" cm="1">
        <f t="array" ref="AT72">$E$10*(1+$AR72)+VLOOKUP($Q72,武学奇术!$A:$ZZ,4,FALSE)+SUM(_xlfn.XLOOKUP($R72:$AK72,增益!$A:$A,增益!$D:$D,0))-$I$2</f>
        <v>3574.7</v>
      </c>
      <c r="AU72" s="34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0.352</v>
      </c>
      <c r="AV72" s="34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4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34" cm="1">
        <f t="array" ref="BA72">$G$11+VLOOKUP($Q72,武学奇术!$A:$ZZ,10,FALSE)+SUM(_xlfn.XLOOKUP($R72:$AK72,增益!$A:$A,增益!$J:$J,0))</f>
        <v>0</v>
      </c>
      <c r="BB72">
        <f t="shared" si="14"/>
        <v>591.9</v>
      </c>
      <c r="BC72">
        <f t="shared" si="15"/>
        <v>1600.3</v>
      </c>
      <c r="BD72" s="34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0.17</v>
      </c>
      <c r="BE72" s="34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4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-0.14</v>
      </c>
      <c r="BI72" s="34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4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34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0.9859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7" cm="1">
        <f t="array" ref="BP72">1+$B$13+VLOOKUP($Q72,武学奇术!$A:$ZZ,18,FALSE)+SUM(_xlfn.XLOOKUP($R72:$AK72,增益!$A:$A,增益!$R:$R,0))</f>
        <v>2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7" cm="1">
        <f t="array" ref="BR72">1+$B$14+VLOOKUP($Q72,武学奇术!$A:$ZZ,20,FALSE)+SUM(_xlfn.XLOOKUP($R72:$AK72,增益!$A:$A,增益!$T:$T,0))</f>
        <v>1.35</v>
      </c>
      <c r="BS72" s="27">
        <f t="shared" si="20"/>
        <v>0.87863408</v>
      </c>
      <c r="BT72" s="27">
        <f t="shared" si="21"/>
        <v>0.01567581</v>
      </c>
      <c r="BU72" s="27">
        <f>IF(VLOOKUP($Q72,武学奇术!$A:$ZZ,22,FALSE)=1,0,(1-$BN72))*(1-$BQ72)</f>
        <v>0.01279011</v>
      </c>
      <c r="BV72" s="27" cm="1">
        <f t="array" ref="BV72">SUM(_xlfn.XLOOKUP($R72:$AK72,增益!$A:$A,增益!$W:$W,0))+$I$5</f>
        <v>0.11</v>
      </c>
    </row>
    <row r="73" spans="1:74">
      <c r="K73" s="40">
        <f t="shared" si="11"/>
        <v>24328.8851510468</v>
      </c>
      <c r="L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25245.0728900389</v>
      </c>
      <c r="M73" s="40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19501.7266694389</v>
      </c>
      <c r="N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12622.5364450195</v>
      </c>
      <c r="O73" s="40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10799.3494311953</v>
      </c>
      <c r="P73" s="41">
        <v>1</v>
      </c>
      <c r="Q73" s="42" t="s">
        <v>159</v>
      </c>
      <c r="R73" s="42" t="s">
        <v>103</v>
      </c>
      <c r="S73" s="42" t="s">
        <v>77</v>
      </c>
      <c r="T73" s="42" t="s">
        <v>86</v>
      </c>
      <c r="U73" s="42" t="s">
        <v>121</v>
      </c>
      <c r="V73" s="42" t="s">
        <v>77</v>
      </c>
      <c r="W73" s="42" t="s">
        <v>77</v>
      </c>
      <c r="X73" s="42" t="s">
        <v>176</v>
      </c>
      <c r="Y73" s="42" t="s">
        <v>77</v>
      </c>
      <c r="Z73" s="42" t="s">
        <v>77</v>
      </c>
      <c r="AA73" s="42" t="s">
        <v>73</v>
      </c>
      <c r="AB73" s="42" t="s">
        <v>77</v>
      </c>
      <c r="AC73" s="42" t="s">
        <v>77</v>
      </c>
      <c r="AD73" s="42" t="s">
        <v>77</v>
      </c>
      <c r="AE73" s="42" t="s">
        <v>81</v>
      </c>
      <c r="AF73" s="42" t="s">
        <v>82</v>
      </c>
      <c r="AG73" s="42" t="s">
        <v>77</v>
      </c>
      <c r="AH73" s="42" t="s">
        <v>77</v>
      </c>
      <c r="AI73" s="42" t="s">
        <v>77</v>
      </c>
      <c r="AJ73" s="42" t="s">
        <v>77</v>
      </c>
      <c r="AK73" s="42" t="s">
        <v>77</v>
      </c>
      <c r="AL73" t="str">
        <f>VLOOKUP($Q73,武学奇术!$A:$ZZ,25,FALSE)</f>
        <v>陌刀</v>
      </c>
      <c r="AM73" s="27">
        <f>VLOOKUP($Q73,武学奇术!$A:$ZZ,26,FALSE)</f>
        <v>1</v>
      </c>
      <c r="AN73" s="28">
        <f>VLOOKUP($Q73,武学奇术!$A:$ZZ,27,FALSE)*(1+IF(OR($AL73=$F$4,$AL73=$F$5),$B$22,0))</f>
        <v>0</v>
      </c>
      <c r="AO73" s="27">
        <f>VLOOKUP($Q73,武学奇术!$A:$ZZ,28,FALSE)</f>
        <v>1.5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0.6141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3574.7</v>
      </c>
      <c r="AT73" cm="1">
        <f t="array" ref="AT73">$E$10*(1+$AR73)+VLOOKUP($Q73,武学奇术!$A:$ZZ,4,FALSE)+SUM(_xlfn.XLOOKUP($R73:$AK73,增益!$A:$A,增益!$D:$D,0))-$I$2</f>
        <v>3574.7</v>
      </c>
      <c r="AU73" s="34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0.352</v>
      </c>
      <c r="AV73" s="34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4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34" cm="1">
        <f t="array" ref="BA73">$G$11+VLOOKUP($Q73,武学奇术!$A:$ZZ,10,FALSE)+SUM(_xlfn.XLOOKUP($R73:$AK73,增益!$A:$A,增益!$J:$J,0))</f>
        <v>0</v>
      </c>
      <c r="BB73">
        <f t="shared" si="14"/>
        <v>591.9</v>
      </c>
      <c r="BC73">
        <f t="shared" si="15"/>
        <v>1600.3</v>
      </c>
      <c r="BD73" s="34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0.17</v>
      </c>
      <c r="BE73" s="34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4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-0.14</v>
      </c>
      <c r="BI73" s="34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4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34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0.9859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7" cm="1">
        <f t="array" ref="BP73">1+$B$13+VLOOKUP($Q73,武学奇术!$A:$ZZ,18,FALSE)+SUM(_xlfn.XLOOKUP($R73:$AK73,增益!$A:$A,增益!$R:$R,0))</f>
        <v>2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7" cm="1">
        <f t="array" ref="BR73">1+$B$14+VLOOKUP($Q73,武学奇术!$A:$ZZ,20,FALSE)+SUM(_xlfn.XLOOKUP($R73:$AK73,增益!$A:$A,增益!$T:$T,0))</f>
        <v>1.35</v>
      </c>
      <c r="BS73" s="27">
        <f t="shared" si="20"/>
        <v>0.87863408</v>
      </c>
      <c r="BT73" s="27">
        <f t="shared" si="21"/>
        <v>0.01567581</v>
      </c>
      <c r="BU73" s="27">
        <f>IF(VLOOKUP($Q73,武学奇术!$A:$ZZ,22,FALSE)=1,0,(1-$BN73))*(1-$BQ73)</f>
        <v>0.01279011</v>
      </c>
      <c r="BV73" s="27" cm="1">
        <f t="array" ref="BV73">SUM(_xlfn.XLOOKUP($R73:$AK73,增益!$A:$A,增益!$W:$W,0))+$I$5</f>
        <v>0.11</v>
      </c>
    </row>
    <row r="74" spans="1:74">
      <c r="K74" s="40">
        <f t="shared" si="11"/>
        <v>191292.419176036</v>
      </c>
      <c r="L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195955.360673949</v>
      </c>
      <c r="M74" s="40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173485.670713423</v>
      </c>
      <c r="N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112618.023375833</v>
      </c>
      <c r="O74" s="40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96728.1425195008</v>
      </c>
      <c r="P74" s="41">
        <v>1</v>
      </c>
      <c r="Q74" s="42" t="s">
        <v>193</v>
      </c>
      <c r="R74" s="42" t="s">
        <v>103</v>
      </c>
      <c r="S74" s="42" t="s">
        <v>77</v>
      </c>
      <c r="T74" s="42" t="s">
        <v>86</v>
      </c>
      <c r="U74" s="42" t="s">
        <v>87</v>
      </c>
      <c r="V74" s="42" t="s">
        <v>77</v>
      </c>
      <c r="W74" s="42" t="s">
        <v>77</v>
      </c>
      <c r="X74" s="42" t="s">
        <v>176</v>
      </c>
      <c r="Y74" s="42" t="s">
        <v>77</v>
      </c>
      <c r="Z74" s="42" t="s">
        <v>77</v>
      </c>
      <c r="AA74" s="42" t="s">
        <v>77</v>
      </c>
      <c r="AB74" s="42" t="s">
        <v>77</v>
      </c>
      <c r="AC74" s="42" t="s">
        <v>77</v>
      </c>
      <c r="AD74" s="42" t="s">
        <v>77</v>
      </c>
      <c r="AE74" s="42" t="s">
        <v>81</v>
      </c>
      <c r="AF74" s="42" t="s">
        <v>82</v>
      </c>
      <c r="AG74" s="42" t="s">
        <v>77</v>
      </c>
      <c r="AH74" s="42" t="s">
        <v>77</v>
      </c>
      <c r="AI74" s="42" t="s">
        <v>77</v>
      </c>
      <c r="AJ74" s="42" t="s">
        <v>77</v>
      </c>
      <c r="AK74" s="42" t="s">
        <v>77</v>
      </c>
      <c r="AL74" t="str">
        <f>VLOOKUP($Q74,武学奇术!$A:$ZZ,25,FALSE)</f>
        <v>群体奇术</v>
      </c>
      <c r="AM74" s="27">
        <f>VLOOKUP($Q74,武学奇术!$A:$ZZ,26,FALSE)</f>
        <v>10.315755</v>
      </c>
      <c r="AN74" s="28">
        <f>VLOOKUP($Q74,武学奇术!$A:$ZZ,27,FALSE)*(1+IF(OR($AL74=$F$4,$AL74=$F$5),$B$22,0))</f>
        <v>1992.6</v>
      </c>
      <c r="AO74" s="27">
        <f>VLOOKUP($Q74,武学奇术!$A:$ZZ,28,FALSE)</f>
        <v>15.4736325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0.3637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3574.7</v>
      </c>
      <c r="AT74" cm="1">
        <f t="array" ref="AT74">$E$10*(1+$AR74)+VLOOKUP($Q74,武学奇术!$A:$ZZ,4,FALSE)+SUM(_xlfn.XLOOKUP($R74:$AK74,增益!$A:$A,增益!$D:$D,0))-$I$2</f>
        <v>3574.7</v>
      </c>
      <c r="AU74" s="34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0.327</v>
      </c>
      <c r="AV74" s="34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4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-0.14</v>
      </c>
      <c r="BA74" s="34" cm="1">
        <f t="array" ref="BA74">$G$11+VLOOKUP($Q74,武学奇术!$A:$ZZ,10,FALSE)+SUM(_xlfn.XLOOKUP($R74:$AK74,增益!$A:$A,增益!$J:$J,0))</f>
        <v>0</v>
      </c>
      <c r="BB74">
        <f t="shared" si="14"/>
        <v>591.9</v>
      </c>
      <c r="BC74">
        <f t="shared" si="15"/>
        <v>1600.3</v>
      </c>
      <c r="BD74" s="34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0.17</v>
      </c>
      <c r="BE74" s="34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4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-0.14</v>
      </c>
      <c r="BI74" s="34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4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-0.14</v>
      </c>
      <c r="BM74" s="34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0.9859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7" cm="1">
        <f t="array" ref="BP74">1+$B$13+VLOOKUP($Q74,武学奇术!$A:$ZZ,18,FALSE)+SUM(_xlfn.XLOOKUP($R74:$AK74,增益!$A:$A,增益!$R:$R,0))</f>
        <v>1.74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7" cm="1">
        <f t="array" ref="BR74">1+$B$14+VLOOKUP($Q74,武学奇术!$A:$ZZ,20,FALSE)+SUM(_xlfn.XLOOKUP($R74:$AK74,增益!$A:$A,增益!$T:$T,0))</f>
        <v>1.35</v>
      </c>
      <c r="BS74" s="27">
        <f t="shared" si="20"/>
        <v>0.87863408</v>
      </c>
      <c r="BT74" s="27">
        <f t="shared" si="21"/>
        <v>0.01567581</v>
      </c>
      <c r="BU74" s="27">
        <f>IF(VLOOKUP($Q74,武学奇术!$A:$ZZ,22,FALSE)=1,0,(1-$BN74))*(1-$BQ74)</f>
        <v>0.01279011</v>
      </c>
      <c r="BV74" s="27" cm="1">
        <f t="array" ref="BV74">SUM(_xlfn.XLOOKUP($R74:$AK74,增益!$A:$A,增益!$W:$W,0))+$I$5</f>
        <v>0.11</v>
      </c>
    </row>
    <row r="75" spans="1:74">
      <c r="K75" s="40">
        <f t="shared" si="11"/>
        <v>14427.7690555131</v>
      </c>
      <c r="L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14957.5291308631</v>
      </c>
      <c r="M75" s="40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11616.5283269147</v>
      </c>
      <c r="N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7670.52775941697</v>
      </c>
      <c r="O75" s="40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6736.21972111932</v>
      </c>
      <c r="P75" s="41">
        <v>1</v>
      </c>
      <c r="Q75" s="42" t="s">
        <v>179</v>
      </c>
      <c r="R75" s="42" t="s">
        <v>103</v>
      </c>
      <c r="S75" s="42" t="s">
        <v>77</v>
      </c>
      <c r="T75" s="42" t="s">
        <v>77</v>
      </c>
      <c r="U75" s="42" t="s">
        <v>87</v>
      </c>
      <c r="V75" s="42" t="s">
        <v>77</v>
      </c>
      <c r="W75" s="42" t="s">
        <v>77</v>
      </c>
      <c r="X75" s="42" t="s">
        <v>176</v>
      </c>
      <c r="Y75" s="42" t="s">
        <v>77</v>
      </c>
      <c r="Z75" s="42" t="s">
        <v>77</v>
      </c>
      <c r="AA75" s="42" t="s">
        <v>77</v>
      </c>
      <c r="AB75" s="42" t="s">
        <v>77</v>
      </c>
      <c r="AC75" s="42" t="s">
        <v>77</v>
      </c>
      <c r="AD75" s="42" t="s">
        <v>77</v>
      </c>
      <c r="AE75" s="42" t="s">
        <v>81</v>
      </c>
      <c r="AF75" s="42" t="s">
        <v>82</v>
      </c>
      <c r="AG75" s="42" t="s">
        <v>77</v>
      </c>
      <c r="AH75" s="42" t="s">
        <v>77</v>
      </c>
      <c r="AI75" s="42" t="s">
        <v>77</v>
      </c>
      <c r="AJ75" s="42" t="s">
        <v>77</v>
      </c>
      <c r="AK75" s="42" t="s">
        <v>77</v>
      </c>
      <c r="AL75" t="str">
        <f>VLOOKUP($Q75,武学奇术!$A:$ZZ,25,FALSE)</f>
        <v>横刀</v>
      </c>
      <c r="AM75" s="27">
        <f>VLOOKUP($Q75,武学奇术!$A:$ZZ,26,FALSE)</f>
        <v>0.6486</v>
      </c>
      <c r="AN75" s="28">
        <f>VLOOKUP($Q75,武学奇术!$A:$ZZ,27,FALSE)*(1+IF(OR($AL75=$F$4,$AL75=$F$5),$B$22,0))</f>
        <v>270</v>
      </c>
      <c r="AO75" s="27">
        <f>VLOOKUP($Q75,武学奇术!$A:$ZZ,28,FALSE)</f>
        <v>0.9729</v>
      </c>
      <c r="AP75" s="28">
        <f>VLOOKUP($Q75,武学奇术!$A:$ZZ,29,FALSE)*(1+IF(OR($AL75=$F$4,$AL75=$F$5),$B$22,0))</f>
        <v>147</v>
      </c>
      <c r="AQ75" s="27" cm="1">
        <f t="array" ref="AQ75">$G$3+IFERROR(VLOOKUP($AL75,$F$4:$G$7,2,FALSE),0)+VLOOKUP($Q75,武学奇术!$A:$ZZ,2,FALSE)+SUM(_xlfn.XLOOKUP($R75:$AK75,增益!$A:$A,增益!$B:$B,0))</f>
        <v>0.3689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3574.7</v>
      </c>
      <c r="AT75" cm="1">
        <f t="array" ref="AT75">$E$10*(1+$AR75)+VLOOKUP($Q75,武学奇术!$A:$ZZ,4,FALSE)+SUM(_xlfn.XLOOKUP($R75:$AK75,增益!$A:$A,增益!$D:$D,0))-$I$2</f>
        <v>3574.7</v>
      </c>
      <c r="AU75" s="34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0.327</v>
      </c>
      <c r="AV75" s="34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4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4" cm="1">
        <f t="array" ref="BA75">$G$11+VLOOKUP($Q75,武学奇术!$A:$ZZ,10,FALSE)+SUM(_xlfn.XLOOKUP($R75:$AK75,增益!$A:$A,增益!$J:$J,0))</f>
        <v>0</v>
      </c>
      <c r="BB75">
        <f t="shared" si="14"/>
        <v>591.9</v>
      </c>
      <c r="BC75">
        <f t="shared" si="15"/>
        <v>1600.3</v>
      </c>
      <c r="BD75" s="34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0.09</v>
      </c>
      <c r="BE75" s="34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4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4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4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4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0.9859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7" cm="1">
        <f t="array" ref="BP75">1+$B$13+VLOOKUP($Q75,武学奇术!$A:$ZZ,18,FALSE)+SUM(_xlfn.XLOOKUP($R75:$AK75,增益!$A:$A,增益!$R:$R,0))</f>
        <v>1.95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7" cm="1">
        <f t="array" ref="BR75">1+$B$14+VLOOKUP($Q75,武学奇术!$A:$ZZ,20,FALSE)+SUM(_xlfn.XLOOKUP($R75:$AK75,增益!$A:$A,增益!$T:$T,0))</f>
        <v>1.35</v>
      </c>
      <c r="BS75" s="27">
        <f t="shared" si="20"/>
        <v>0.87863408</v>
      </c>
      <c r="BT75" s="27">
        <f t="shared" si="21"/>
        <v>0.01567581</v>
      </c>
      <c r="BU75" s="27">
        <f>IF(VLOOKUP($Q75,武学奇术!$A:$ZZ,22,FALSE)=1,0,(1-$BN75))*(1-$BQ75)</f>
        <v>0.01279011</v>
      </c>
      <c r="BV75" s="27" cm="1">
        <f t="array" ref="BV75">SUM(_xlfn.XLOOKUP($R75:$AK75,增益!$A:$A,增益!$W:$W,0))+$I$5</f>
        <v>0.11</v>
      </c>
    </row>
    <row r="76" spans="1:74">
      <c r="K76" s="40">
        <f t="shared" si="11"/>
        <v>73649.0636017793</v>
      </c>
      <c r="L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76530.4672729146</v>
      </c>
      <c r="M76" s="40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57873.1363495441</v>
      </c>
      <c r="N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38265.2336364573</v>
      </c>
      <c r="O76" s="40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33661.4773843635</v>
      </c>
      <c r="P76" s="41">
        <v>1</v>
      </c>
      <c r="Q76" s="42" t="s">
        <v>180</v>
      </c>
      <c r="R76" s="42" t="s">
        <v>103</v>
      </c>
      <c r="S76" s="42" t="s">
        <v>77</v>
      </c>
      <c r="T76" s="42" t="s">
        <v>77</v>
      </c>
      <c r="U76" s="42" t="s">
        <v>121</v>
      </c>
      <c r="V76" s="42" t="s">
        <v>77</v>
      </c>
      <c r="W76" s="42" t="s">
        <v>77</v>
      </c>
      <c r="X76" s="42" t="s">
        <v>176</v>
      </c>
      <c r="Y76" s="42" t="s">
        <v>77</v>
      </c>
      <c r="Z76" s="42" t="s">
        <v>77</v>
      </c>
      <c r="AA76" s="42" t="s">
        <v>73</v>
      </c>
      <c r="AB76" s="42" t="s">
        <v>77</v>
      </c>
      <c r="AC76" s="42" t="s">
        <v>77</v>
      </c>
      <c r="AD76" s="42" t="s">
        <v>77</v>
      </c>
      <c r="AE76" s="42" t="s">
        <v>81</v>
      </c>
      <c r="AF76" s="42" t="s">
        <v>82</v>
      </c>
      <c r="AG76" s="42" t="s">
        <v>77</v>
      </c>
      <c r="AH76" s="42" t="s">
        <v>77</v>
      </c>
      <c r="AI76" s="42" t="s">
        <v>77</v>
      </c>
      <c r="AJ76" s="42" t="s">
        <v>77</v>
      </c>
      <c r="AK76" s="42" t="s">
        <v>77</v>
      </c>
      <c r="AL76" t="str">
        <f>VLOOKUP($Q76,武学奇术!$A:$ZZ,25,FALSE)</f>
        <v>横刀</v>
      </c>
      <c r="AM76" s="27">
        <f>VLOOKUP($Q76,武学奇术!$A:$ZZ,26,FALSE)</f>
        <v>2.8245</v>
      </c>
      <c r="AN76" s="28">
        <f>VLOOKUP($Q76,武学奇术!$A:$ZZ,27,FALSE)*(1+IF(OR($AL76=$F$4,$AL76=$F$5),$B$22,0))</f>
        <v>1173</v>
      </c>
      <c r="AO76" s="27">
        <f>VLOOKUP($Q76,武学奇术!$A:$ZZ,28,FALSE)</f>
        <v>4.236808</v>
      </c>
      <c r="AP76" s="28">
        <f>VLOOKUP($Q76,武学奇术!$A:$ZZ,29,FALSE)*(1+IF(OR($AL76=$F$4,$AL76=$F$5),$B$22,0))</f>
        <v>637.5</v>
      </c>
      <c r="AQ76" s="27" cm="1">
        <f t="array" ref="AQ76">$G$3+IFERROR(VLOOKUP($AL76,$F$4:$G$7,2,FALSE),0)+VLOOKUP($Q76,武学奇术!$A:$ZZ,2,FALSE)+SUM(_xlfn.XLOOKUP($R76:$AK76,增益!$A:$A,增益!$B:$B,0))</f>
        <v>0.5489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3574.7</v>
      </c>
      <c r="AT76" cm="1">
        <f t="array" ref="AT76">$E$10*(1+$AR76)+VLOOKUP($Q76,武学奇术!$A:$ZZ,4,FALSE)+SUM(_xlfn.XLOOKUP($R76:$AK76,增益!$A:$A,增益!$D:$D,0))-$I$2</f>
        <v>3574.7</v>
      </c>
      <c r="AU76" s="34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0.352</v>
      </c>
      <c r="AV76" s="34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4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4" cm="1">
        <f t="array" ref="BA76">$G$11+VLOOKUP($Q76,武学奇术!$A:$ZZ,10,FALSE)+SUM(_xlfn.XLOOKUP($R76:$AK76,增益!$A:$A,增益!$J:$J,0))</f>
        <v>0</v>
      </c>
      <c r="BB76">
        <f t="shared" si="14"/>
        <v>591.9</v>
      </c>
      <c r="BC76">
        <f t="shared" si="15"/>
        <v>1600.3</v>
      </c>
      <c r="BD76" s="34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0.09</v>
      </c>
      <c r="BE76" s="34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4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4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4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4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0.9859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7" cm="1">
        <f t="array" ref="BP76">1+$B$13+VLOOKUP($Q76,武学奇术!$A:$ZZ,18,FALSE)+SUM(_xlfn.XLOOKUP($R76:$AK76,增益!$A:$A,增益!$R:$R,0))</f>
        <v>2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7" cm="1">
        <f t="array" ref="BR76">1+$B$14+VLOOKUP($Q76,武学奇术!$A:$ZZ,20,FALSE)+SUM(_xlfn.XLOOKUP($R76:$AK76,增益!$A:$A,增益!$T:$T,0))</f>
        <v>1.35</v>
      </c>
      <c r="BS76" s="27">
        <f t="shared" si="20"/>
        <v>0.87863408</v>
      </c>
      <c r="BT76" s="27">
        <f t="shared" si="21"/>
        <v>0.01567581</v>
      </c>
      <c r="BU76" s="27">
        <f>IF(VLOOKUP($Q76,武学奇术!$A:$ZZ,22,FALSE)=1,0,(1-$BN76))*(1-$BQ76)</f>
        <v>0.01279011</v>
      </c>
      <c r="BV76" s="27" cm="1">
        <f t="array" ref="BV76">SUM(_xlfn.XLOOKUP($R76:$AK76,增益!$A:$A,增益!$W:$W,0))+$I$5</f>
        <v>0.11</v>
      </c>
    </row>
    <row r="77" spans="1:74">
      <c r="K77" s="40">
        <f t="shared" si="11"/>
        <v>29905.876580433</v>
      </c>
      <c r="L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31044.6449030552</v>
      </c>
      <c r="M77" s="40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23836.7879836655</v>
      </c>
      <c r="N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15522.3224515276</v>
      </c>
      <c r="O77" s="40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13387.7649151549</v>
      </c>
      <c r="P77" s="41">
        <v>1</v>
      </c>
      <c r="Q77" s="42" t="s">
        <v>110</v>
      </c>
      <c r="R77" s="42" t="s">
        <v>103</v>
      </c>
      <c r="S77" s="42" t="s">
        <v>77</v>
      </c>
      <c r="T77" s="42" t="s">
        <v>77</v>
      </c>
      <c r="U77" s="42" t="s">
        <v>121</v>
      </c>
      <c r="V77" s="42" t="s">
        <v>77</v>
      </c>
      <c r="W77" s="42" t="s">
        <v>77</v>
      </c>
      <c r="X77" s="42" t="s">
        <v>176</v>
      </c>
      <c r="Y77" s="42" t="s">
        <v>77</v>
      </c>
      <c r="Z77" s="42" t="s">
        <v>77</v>
      </c>
      <c r="AA77" s="42" t="s">
        <v>73</v>
      </c>
      <c r="AB77" s="42" t="s">
        <v>77</v>
      </c>
      <c r="AC77" s="42" t="s">
        <v>77</v>
      </c>
      <c r="AD77" s="42" t="s">
        <v>77</v>
      </c>
      <c r="AE77" s="42" t="s">
        <v>81</v>
      </c>
      <c r="AF77" s="42" t="s">
        <v>82</v>
      </c>
      <c r="AG77" s="42" t="s">
        <v>77</v>
      </c>
      <c r="AH77" s="42" t="s">
        <v>77</v>
      </c>
      <c r="AI77" s="42" t="s">
        <v>77</v>
      </c>
      <c r="AJ77" s="42" t="s">
        <v>77</v>
      </c>
      <c r="AK77" s="42" t="s">
        <v>77</v>
      </c>
      <c r="AL77" t="str">
        <f>VLOOKUP($Q77,武学奇术!$A:$ZZ,25,FALSE)</f>
        <v>横刀</v>
      </c>
      <c r="AM77" s="27">
        <f>VLOOKUP($Q77,武学奇术!$A:$ZZ,26,FALSE)</f>
        <v>1.4</v>
      </c>
      <c r="AN77" s="28">
        <f>VLOOKUP($Q77,武学奇术!$A:$ZZ,27,FALSE)*(1+IF(OR($AL77=$F$4,$AL77=$F$5),$B$22,0))</f>
        <v>0</v>
      </c>
      <c r="AO77" s="27">
        <f>VLOOKUP($Q77,武学奇术!$A:$ZZ,28,FALSE)</f>
        <v>2.1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0.4489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3574.7</v>
      </c>
      <c r="AT77" cm="1">
        <f t="array" ref="AT77">$E$10*(1+$AR77)+VLOOKUP($Q77,武学奇术!$A:$ZZ,4,FALSE)+SUM(_xlfn.XLOOKUP($R77:$AK77,增益!$A:$A,增益!$D:$D,0))-$I$2</f>
        <v>3574.7</v>
      </c>
      <c r="AU77" s="34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0.352</v>
      </c>
      <c r="AV77" s="34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4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4" cm="1">
        <f t="array" ref="BA77">$G$11+VLOOKUP($Q77,武学奇术!$A:$ZZ,10,FALSE)+SUM(_xlfn.XLOOKUP($R77:$AK77,增益!$A:$A,增益!$J:$J,0))</f>
        <v>0</v>
      </c>
      <c r="BB77">
        <f t="shared" si="14"/>
        <v>591.9</v>
      </c>
      <c r="BC77">
        <f t="shared" si="15"/>
        <v>1600.3</v>
      </c>
      <c r="BD77" s="34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0.09</v>
      </c>
      <c r="BE77" s="34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4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4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4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4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0.9859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7" cm="1">
        <f t="array" ref="BP77">1+$B$13+VLOOKUP($Q77,武学奇术!$A:$ZZ,18,FALSE)+SUM(_xlfn.XLOOKUP($R77:$AK77,增益!$A:$A,增益!$R:$R,0))</f>
        <v>2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7" cm="1">
        <f t="array" ref="BR77">1+$B$14+VLOOKUP($Q77,武学奇术!$A:$ZZ,20,FALSE)+SUM(_xlfn.XLOOKUP($R77:$AK77,增益!$A:$A,增益!$T:$T,0))</f>
        <v>1.35</v>
      </c>
      <c r="BS77" s="27">
        <f t="shared" si="20"/>
        <v>0.87863408</v>
      </c>
      <c r="BT77" s="27">
        <f t="shared" si="21"/>
        <v>0.01567581</v>
      </c>
      <c r="BU77" s="27">
        <f>IF(VLOOKUP($Q77,武学奇术!$A:$ZZ,22,FALSE)=1,0,(1-$BN77))*(1-$BQ77)</f>
        <v>0.01279011</v>
      </c>
      <c r="BV77" s="27" cm="1">
        <f t="array" ref="BV77">SUM(_xlfn.XLOOKUP($R77:$AK77,增益!$A:$A,增益!$W:$W,0))+$I$5</f>
        <v>0.11</v>
      </c>
    </row>
    <row r="78" spans="1:74">
      <c r="A78" s="4"/>
      <c r="B78" s="4"/>
      <c r="K78" s="40">
        <f t="shared" si="11"/>
        <v>0</v>
      </c>
      <c r="L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0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0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1">
        <v>1</v>
      </c>
      <c r="Q78" s="42" t="s">
        <v>77</v>
      </c>
      <c r="R78" s="42" t="s">
        <v>77</v>
      </c>
      <c r="S78" s="42" t="s">
        <v>77</v>
      </c>
      <c r="T78" s="42" t="s">
        <v>77</v>
      </c>
      <c r="U78" s="42" t="s">
        <v>77</v>
      </c>
      <c r="V78" s="42" t="s">
        <v>77</v>
      </c>
      <c r="W78" s="42" t="s">
        <v>77</v>
      </c>
      <c r="X78" s="42" t="s">
        <v>77</v>
      </c>
      <c r="Y78" s="42" t="s">
        <v>77</v>
      </c>
      <c r="Z78" s="42" t="s">
        <v>77</v>
      </c>
      <c r="AA78" s="42" t="s">
        <v>77</v>
      </c>
      <c r="AB78" s="42" t="s">
        <v>77</v>
      </c>
      <c r="AC78" s="42" t="s">
        <v>77</v>
      </c>
      <c r="AD78" s="42" t="s">
        <v>77</v>
      </c>
      <c r="AE78" s="42" t="s">
        <v>81</v>
      </c>
      <c r="AF78" s="42" t="s">
        <v>82</v>
      </c>
      <c r="AG78" s="42" t="s">
        <v>77</v>
      </c>
      <c r="AH78" s="42" t="s">
        <v>77</v>
      </c>
      <c r="AI78" s="42" t="s">
        <v>77</v>
      </c>
      <c r="AJ78" s="42" t="s">
        <v>77</v>
      </c>
      <c r="AK78" s="42" t="s">
        <v>77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0.2337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3574.7</v>
      </c>
      <c r="AT78" cm="1">
        <f t="array" ref="AT78">$E$10*(1+$AR78)+VLOOKUP($Q78,武学奇术!$A:$ZZ,4,FALSE)+SUM(_xlfn.XLOOKUP($R78:$AK78,增益!$A:$A,增益!$D:$D,0))-$I$2</f>
        <v>3574.7</v>
      </c>
      <c r="AU78" s="34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0.227</v>
      </c>
      <c r="AV78" s="34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4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4" cm="1">
        <f t="array" ref="BA78">$G$11+VLOOKUP($Q78,武学奇术!$A:$ZZ,10,FALSE)+SUM(_xlfn.XLOOKUP($R78:$AK78,增益!$A:$A,增益!$J:$J,0))</f>
        <v>0</v>
      </c>
      <c r="BB78">
        <f t="shared" si="14"/>
        <v>591.9</v>
      </c>
      <c r="BC78">
        <f t="shared" si="15"/>
        <v>1600.3</v>
      </c>
      <c r="BD78" s="34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0.09</v>
      </c>
      <c r="BE78" s="34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4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4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4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4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0.9859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7" cm="1">
        <f t="array" ref="BP78">1+$B$13+VLOOKUP($Q78,武学奇术!$A:$ZZ,18,FALSE)+SUM(_xlfn.XLOOKUP($R78:$AK78,增益!$A:$A,增益!$R:$R,0))</f>
        <v>1.54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7" cm="1">
        <f t="array" ref="BR78">1+$B$14+VLOOKUP($Q78,武学奇术!$A:$ZZ,20,FALSE)+SUM(_xlfn.XLOOKUP($R78:$AK78,增益!$A:$A,增益!$T:$T,0))</f>
        <v>1.35</v>
      </c>
      <c r="BS78" s="27">
        <f t="shared" si="20"/>
        <v>0.87863408</v>
      </c>
      <c r="BT78" s="27">
        <f t="shared" si="21"/>
        <v>0.01567581</v>
      </c>
      <c r="BU78" s="27">
        <f>IF(VLOOKUP($Q78,武学奇术!$A:$ZZ,22,FALSE)=1,0,(1-$BN78))*(1-$BQ78)</f>
        <v>0.01279011</v>
      </c>
      <c r="BV78" s="27" cm="1">
        <f t="array" ref="BV78">SUM(_xlfn.XLOOKUP($R78:$AK78,增益!$A:$A,增益!$W:$W,0))+$I$5</f>
        <v>0.11</v>
      </c>
    </row>
    <row r="79" spans="1:74">
      <c r="A79" s="4"/>
      <c r="B79" s="4"/>
      <c r="K79" s="40">
        <f t="shared" si="11"/>
        <v>79929.488818193</v>
      </c>
      <c r="L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82851.4600854233</v>
      </c>
      <c r="M79" s="40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64494.2727608534</v>
      </c>
      <c r="N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42487.928248935</v>
      </c>
      <c r="O79" s="40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37202.3211194601</v>
      </c>
      <c r="P79" s="41">
        <v>1</v>
      </c>
      <c r="Q79" s="42" t="s">
        <v>164</v>
      </c>
      <c r="R79" s="42" t="s">
        <v>76</v>
      </c>
      <c r="S79" s="42" t="s">
        <v>77</v>
      </c>
      <c r="T79" s="42" t="s">
        <v>77</v>
      </c>
      <c r="U79" s="42" t="s">
        <v>87</v>
      </c>
      <c r="V79" s="42" t="s">
        <v>77</v>
      </c>
      <c r="W79" s="42" t="s">
        <v>77</v>
      </c>
      <c r="X79" s="42" t="s">
        <v>176</v>
      </c>
      <c r="Y79" s="42" t="s">
        <v>77</v>
      </c>
      <c r="Z79" s="42" t="s">
        <v>77</v>
      </c>
      <c r="AA79" s="42" t="s">
        <v>77</v>
      </c>
      <c r="AB79" s="42" t="s">
        <v>77</v>
      </c>
      <c r="AC79" s="42" t="s">
        <v>77</v>
      </c>
      <c r="AD79" s="42" t="s">
        <v>77</v>
      </c>
      <c r="AE79" s="42" t="s">
        <v>81</v>
      </c>
      <c r="AF79" s="42" t="s">
        <v>82</v>
      </c>
      <c r="AG79" s="42" t="s">
        <v>77</v>
      </c>
      <c r="AH79" s="42" t="s">
        <v>77</v>
      </c>
      <c r="AI79" s="42" t="s">
        <v>77</v>
      </c>
      <c r="AJ79" s="42" t="s">
        <v>77</v>
      </c>
      <c r="AK79" s="42" t="s">
        <v>77</v>
      </c>
      <c r="AL79" t="str">
        <f>VLOOKUP($Q79,武学奇术!$A:$ZZ,25,FALSE)</f>
        <v>横刀</v>
      </c>
      <c r="AM79" s="27">
        <f>VLOOKUP($Q79,武学奇术!$A:$ZZ,26,FALSE)</f>
        <v>3.7797</v>
      </c>
      <c r="AN79" s="28">
        <f>VLOOKUP($Q79,武学奇术!$A:$ZZ,27,FALSE)*(1+IF(OR($AL79=$F$4,$AL79=$F$5),$B$22,0))</f>
        <v>1567.5</v>
      </c>
      <c r="AO79" s="27">
        <f>VLOOKUP($Q79,武学奇术!$A:$ZZ,28,FALSE)</f>
        <v>5.6696</v>
      </c>
      <c r="AP79" s="28">
        <f>VLOOKUP($Q79,武学奇术!$A:$ZZ,29,FALSE)*(1+IF(OR($AL79=$F$4,$AL79=$F$5),$B$22,0))</f>
        <v>855</v>
      </c>
      <c r="AQ79" s="27" cm="1">
        <f t="array" ref="AQ79">$G$3+IFERROR(VLOOKUP($AL79,$F$4:$G$7,2,FALSE),0)+VLOOKUP($Q79,武学奇术!$A:$ZZ,2,FALSE)+SUM(_xlfn.XLOOKUP($R79:$AK79,增益!$A:$A,增益!$B:$B,0))</f>
        <v>0.3289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3574.7</v>
      </c>
      <c r="AT79" cm="1">
        <f t="array" ref="AT79">$E$10*(1+$AR79)+VLOOKUP($Q79,武学奇术!$A:$ZZ,4,FALSE)+SUM(_xlfn.XLOOKUP($R79:$AK79,增益!$A:$A,增益!$D:$D,0))-$I$2</f>
        <v>3574.7</v>
      </c>
      <c r="AU79" s="34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0.287</v>
      </c>
      <c r="AV79" s="34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4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4" cm="1">
        <f t="array" ref="BA79">$G$11+VLOOKUP($Q79,武学奇术!$A:$ZZ,10,FALSE)+SUM(_xlfn.XLOOKUP($R79:$AK79,增益!$A:$A,增益!$J:$J,0))</f>
        <v>0</v>
      </c>
      <c r="BB79">
        <f t="shared" si="14"/>
        <v>591.9</v>
      </c>
      <c r="BC79">
        <f t="shared" si="15"/>
        <v>1600.3</v>
      </c>
      <c r="BD79" s="34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0.09</v>
      </c>
      <c r="BE79" s="34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4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4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4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4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0.9859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7" cm="1">
        <f t="array" ref="BP79">1+$B$13+VLOOKUP($Q79,武学奇术!$A:$ZZ,18,FALSE)+SUM(_xlfn.XLOOKUP($R79:$AK79,增益!$A:$A,增益!$R:$R,0))</f>
        <v>1.95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7" cm="1">
        <f t="array" ref="BR79">1+$B$14+VLOOKUP($Q79,武学奇术!$A:$ZZ,20,FALSE)+SUM(_xlfn.XLOOKUP($R79:$AK79,增益!$A:$A,增益!$T:$T,0))</f>
        <v>1.35</v>
      </c>
      <c r="BS79" s="27">
        <f t="shared" si="20"/>
        <v>0.87863408</v>
      </c>
      <c r="BT79" s="27">
        <f t="shared" si="21"/>
        <v>0.01567581</v>
      </c>
      <c r="BU79" s="27">
        <f>IF(VLOOKUP($Q79,武学奇术!$A:$ZZ,22,FALSE)=1,0,(1-$BN79))*(1-$BQ79)</f>
        <v>0.01279011</v>
      </c>
      <c r="BV79" s="27" cm="1">
        <f t="array" ref="BV79">SUM(_xlfn.XLOOKUP($R79:$AK79,增益!$A:$A,增益!$W:$W,0))+$I$5</f>
        <v>0.11</v>
      </c>
    </row>
    <row r="80" spans="1:74">
      <c r="A80" s="4"/>
      <c r="B80" s="4"/>
      <c r="C80" s="41"/>
      <c r="K80" s="40">
        <f t="shared" si="11"/>
        <v>54418.0537554088</v>
      </c>
      <c r="L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56540.9984623729</v>
      </c>
      <c r="M80" s="40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42826.9806381507</v>
      </c>
      <c r="N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28270.4992311865</v>
      </c>
      <c r="O80" s="40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24817.3091007798</v>
      </c>
      <c r="P80" s="41">
        <v>1</v>
      </c>
      <c r="Q80" s="42" t="s">
        <v>106</v>
      </c>
      <c r="R80" s="42" t="s">
        <v>85</v>
      </c>
      <c r="S80" s="42" t="s">
        <v>169</v>
      </c>
      <c r="T80" s="42" t="s">
        <v>77</v>
      </c>
      <c r="U80" s="42" t="s">
        <v>121</v>
      </c>
      <c r="V80" s="42" t="s">
        <v>77</v>
      </c>
      <c r="W80" s="42" t="s">
        <v>77</v>
      </c>
      <c r="X80" s="42" t="s">
        <v>176</v>
      </c>
      <c r="Y80" s="42" t="s">
        <v>77</v>
      </c>
      <c r="Z80" s="42" t="s">
        <v>77</v>
      </c>
      <c r="AA80" s="42" t="s">
        <v>73</v>
      </c>
      <c r="AB80" s="42" t="s">
        <v>77</v>
      </c>
      <c r="AC80" s="42" t="s">
        <v>77</v>
      </c>
      <c r="AD80" s="42" t="s">
        <v>77</v>
      </c>
      <c r="AE80" s="42" t="s">
        <v>81</v>
      </c>
      <c r="AF80" s="42" t="s">
        <v>82</v>
      </c>
      <c r="AG80" s="42" t="s">
        <v>77</v>
      </c>
      <c r="AH80" s="42" t="s">
        <v>77</v>
      </c>
      <c r="AI80" s="42" t="s">
        <v>77</v>
      </c>
      <c r="AJ80" s="42" t="s">
        <v>77</v>
      </c>
      <c r="AK80" s="42" t="s">
        <v>77</v>
      </c>
      <c r="AL80" t="str">
        <f>VLOOKUP($Q80,武学奇术!$A:$ZZ,25,FALSE)</f>
        <v>横刀</v>
      </c>
      <c r="AM80" s="27">
        <f>VLOOKUP($Q80,武学奇术!$A:$ZZ,26,FALSE)</f>
        <v>2.1324</v>
      </c>
      <c r="AN80" s="28">
        <f>VLOOKUP($Q80,武学奇术!$A:$ZZ,27,FALSE)*(1+IF(OR($AL80=$F$4,$AL80=$F$5),$B$22,0))</f>
        <v>885</v>
      </c>
      <c r="AO80" s="27">
        <f>VLOOKUP($Q80,武学奇术!$A:$ZZ,28,FALSE)</f>
        <v>3.1986</v>
      </c>
      <c r="AP80" s="28">
        <f>VLOOKUP($Q80,武学奇术!$A:$ZZ,29,FALSE)*(1+IF(OR($AL80=$F$4,$AL80=$F$5),$B$22,0))</f>
        <v>483</v>
      </c>
      <c r="AQ80" s="27" cm="1">
        <f t="array" ref="AQ80">$G$3+IFERROR(VLOOKUP($AL80,$F$4:$G$7,2,FALSE),0)+VLOOKUP($Q80,武学奇术!$A:$ZZ,2,FALSE)+SUM(_xlfn.XLOOKUP($R80:$AK80,增益!$A:$A,增益!$B:$B,0))</f>
        <v>0.5389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3574.7</v>
      </c>
      <c r="AT80" cm="1">
        <f t="array" ref="AT80">$E$10*(1+$AR80)+VLOOKUP($Q80,武学奇术!$A:$ZZ,4,FALSE)+SUM(_xlfn.XLOOKUP($R80:$AK80,增益!$A:$A,增益!$D:$D,0))-$I$2</f>
        <v>3574.7</v>
      </c>
      <c r="AU80" s="34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0.322</v>
      </c>
      <c r="AV80" s="34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4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4" cm="1">
        <f t="array" ref="BA80">$G$11+VLOOKUP($Q80,武学奇术!$A:$ZZ,10,FALSE)+SUM(_xlfn.XLOOKUP($R80:$AK80,增益!$A:$A,增益!$J:$J,0))</f>
        <v>0</v>
      </c>
      <c r="BB80">
        <f t="shared" si="14"/>
        <v>591.9</v>
      </c>
      <c r="BC80">
        <f t="shared" si="15"/>
        <v>1600.3</v>
      </c>
      <c r="BD80" s="34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0.09</v>
      </c>
      <c r="BE80" s="34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4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4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4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4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0.9859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7" cm="1">
        <f t="array" ref="BP80">1+$B$13+VLOOKUP($Q80,武学奇术!$A:$ZZ,18,FALSE)+SUM(_xlfn.XLOOKUP($R80:$AK80,增益!$A:$A,增益!$R:$R,0))</f>
        <v>2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7" cm="1">
        <f t="array" ref="BR80">1+$B$14+VLOOKUP($Q80,武学奇术!$A:$ZZ,20,FALSE)+SUM(_xlfn.XLOOKUP($R80:$AK80,增益!$A:$A,增益!$T:$T,0))</f>
        <v>1.35</v>
      </c>
      <c r="BS80" s="27">
        <f t="shared" si="20"/>
        <v>0.87863408</v>
      </c>
      <c r="BT80" s="27">
        <f t="shared" si="21"/>
        <v>0.01567581</v>
      </c>
      <c r="BU80" s="27">
        <f>IF(VLOOKUP($Q80,武学奇术!$A:$ZZ,22,FALSE)=1,0,(1-$BN80))*(1-$BQ80)</f>
        <v>0.01279011</v>
      </c>
      <c r="BV80" s="27" cm="1">
        <f t="array" ref="BV80">SUM(_xlfn.XLOOKUP($R80:$AK80,增益!$A:$A,增益!$W:$W,0))+$I$5</f>
        <v>0.11</v>
      </c>
    </row>
    <row r="81" spans="1:74">
      <c r="K81" s="40">
        <f t="shared" si="11"/>
        <v>33646.1118358406</v>
      </c>
      <c r="L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34908.6176214252</v>
      </c>
      <c r="M81" s="40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27019.387517797</v>
      </c>
      <c r="N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17454.3088107126</v>
      </c>
      <c r="O81" s="40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14894.2564971311</v>
      </c>
      <c r="P81" s="41">
        <v>1</v>
      </c>
      <c r="Q81" s="42" t="s">
        <v>110</v>
      </c>
      <c r="R81" s="42" t="s">
        <v>85</v>
      </c>
      <c r="S81" s="42" t="s">
        <v>169</v>
      </c>
      <c r="T81" s="42" t="s">
        <v>86</v>
      </c>
      <c r="U81" s="42" t="s">
        <v>121</v>
      </c>
      <c r="V81" s="42" t="s">
        <v>77</v>
      </c>
      <c r="W81" s="42" t="s">
        <v>77</v>
      </c>
      <c r="X81" s="42" t="s">
        <v>176</v>
      </c>
      <c r="Y81" s="42" t="s">
        <v>77</v>
      </c>
      <c r="Z81" s="42" t="s">
        <v>77</v>
      </c>
      <c r="AA81" s="42" t="s">
        <v>73</v>
      </c>
      <c r="AB81" s="42" t="s">
        <v>77</v>
      </c>
      <c r="AC81" s="42" t="s">
        <v>77</v>
      </c>
      <c r="AD81" s="42" t="s">
        <v>77</v>
      </c>
      <c r="AE81" s="42" t="s">
        <v>81</v>
      </c>
      <c r="AF81" s="42" t="s">
        <v>82</v>
      </c>
      <c r="AG81" s="42" t="s">
        <v>77</v>
      </c>
      <c r="AH81" s="42" t="s">
        <v>77</v>
      </c>
      <c r="AI81" s="42" t="s">
        <v>77</v>
      </c>
      <c r="AJ81" s="42" t="s">
        <v>77</v>
      </c>
      <c r="AK81" s="42" t="s">
        <v>77</v>
      </c>
      <c r="AL81" t="str">
        <f>VLOOKUP($Q81,武学奇术!$A:$ZZ,25,FALSE)</f>
        <v>横刀</v>
      </c>
      <c r="AM81" s="27">
        <f>VLOOKUP($Q81,武学奇术!$A:$ZZ,26,FALSE)</f>
        <v>1.4</v>
      </c>
      <c r="AN81" s="28">
        <f>VLOOKUP($Q81,武学奇术!$A:$ZZ,27,FALSE)*(1+IF(OR($AL81=$F$4,$AL81=$F$5),$B$22,0))</f>
        <v>0</v>
      </c>
      <c r="AO81" s="27">
        <f>VLOOKUP($Q81,武学奇术!$A:$ZZ,28,FALSE)</f>
        <v>2.1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0.6189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3574.7</v>
      </c>
      <c r="AT81" cm="1">
        <f t="array" ref="AT81">$E$10*(1+$AR81)+VLOOKUP($Q81,武学奇术!$A:$ZZ,4,FALSE)+SUM(_xlfn.XLOOKUP($R81:$AK81,增益!$A:$A,增益!$D:$D,0))-$I$2</f>
        <v>3574.7</v>
      </c>
      <c r="AU81" s="34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0.322</v>
      </c>
      <c r="AV81" s="34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4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-0.14</v>
      </c>
      <c r="BA81" s="34" cm="1">
        <f t="array" ref="BA81">$G$11+VLOOKUP($Q81,武学奇术!$A:$ZZ,10,FALSE)+SUM(_xlfn.XLOOKUP($R81:$AK81,增益!$A:$A,增益!$J:$J,0))</f>
        <v>0</v>
      </c>
      <c r="BB81">
        <f t="shared" si="14"/>
        <v>591.9</v>
      </c>
      <c r="BC81">
        <f t="shared" si="15"/>
        <v>1600.3</v>
      </c>
      <c r="BD81" s="34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0.17</v>
      </c>
      <c r="BE81" s="34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4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-0.14</v>
      </c>
      <c r="BI81" s="34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4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-0.14</v>
      </c>
      <c r="BM81" s="34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0.9859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7" cm="1">
        <f t="array" ref="BP81">1+$B$13+VLOOKUP($Q81,武学奇术!$A:$ZZ,18,FALSE)+SUM(_xlfn.XLOOKUP($R81:$AK81,增益!$A:$A,增益!$R:$R,0))</f>
        <v>2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7" cm="1">
        <f t="array" ref="BR81">1+$B$14+VLOOKUP($Q81,武学奇术!$A:$ZZ,20,FALSE)+SUM(_xlfn.XLOOKUP($R81:$AK81,增益!$A:$A,增益!$T:$T,0))</f>
        <v>1.35</v>
      </c>
      <c r="BS81" s="27">
        <f t="shared" si="20"/>
        <v>0.87863408</v>
      </c>
      <c r="BT81" s="27">
        <f t="shared" si="21"/>
        <v>0.01567581</v>
      </c>
      <c r="BU81" s="27">
        <f>IF(VLOOKUP($Q81,武学奇术!$A:$ZZ,22,FALSE)=1,0,(1-$BN81))*(1-$BQ81)</f>
        <v>0.01279011</v>
      </c>
      <c r="BV81" s="27" cm="1">
        <f t="array" ref="BV81">SUM(_xlfn.XLOOKUP($R81:$AK81,增益!$A:$A,增益!$W:$W,0))+$I$5</f>
        <v>0.11</v>
      </c>
    </row>
    <row r="82" spans="1:74">
      <c r="A82" s="4"/>
      <c r="B82" s="4"/>
      <c r="K82" s="40">
        <f t="shared" si="11"/>
        <v>16880.2838144096</v>
      </c>
      <c r="L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17514.4534189686</v>
      </c>
      <c r="M82" s="40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13547.3575079078</v>
      </c>
      <c r="N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8757.22670948431</v>
      </c>
      <c r="O82" s="40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7479.37378348137</v>
      </c>
      <c r="P82" s="41">
        <v>1</v>
      </c>
      <c r="Q82" s="42" t="s">
        <v>112</v>
      </c>
      <c r="R82" s="42" t="s">
        <v>93</v>
      </c>
      <c r="S82" s="42" t="s">
        <v>169</v>
      </c>
      <c r="T82" s="42" t="s">
        <v>86</v>
      </c>
      <c r="U82" s="42" t="s">
        <v>121</v>
      </c>
      <c r="V82" s="42" t="s">
        <v>77</v>
      </c>
      <c r="W82" s="42" t="s">
        <v>77</v>
      </c>
      <c r="X82" s="42" t="s">
        <v>176</v>
      </c>
      <c r="Y82" s="42" t="s">
        <v>77</v>
      </c>
      <c r="Z82" s="42" t="s">
        <v>77</v>
      </c>
      <c r="AA82" s="42" t="s">
        <v>73</v>
      </c>
      <c r="AB82" s="42" t="s">
        <v>77</v>
      </c>
      <c r="AC82" s="42" t="s">
        <v>77</v>
      </c>
      <c r="AD82" s="42" t="s">
        <v>77</v>
      </c>
      <c r="AE82" s="42" t="s">
        <v>81</v>
      </c>
      <c r="AF82" s="42" t="s">
        <v>82</v>
      </c>
      <c r="AG82" s="42" t="s">
        <v>77</v>
      </c>
      <c r="AH82" s="42" t="s">
        <v>77</v>
      </c>
      <c r="AI82" s="42" t="s">
        <v>77</v>
      </c>
      <c r="AJ82" s="42" t="s">
        <v>77</v>
      </c>
      <c r="AK82" s="42" t="s">
        <v>77</v>
      </c>
      <c r="AL82" t="str">
        <f>VLOOKUP($Q82,武学奇术!$A:$ZZ,25,FALSE)</f>
        <v>陌刀</v>
      </c>
      <c r="AM82" s="27">
        <f>VLOOKUP($Q82,武学奇术!$A:$ZZ,26,FALSE)</f>
        <v>0.5</v>
      </c>
      <c r="AN82" s="28">
        <f>VLOOKUP($Q82,武学奇术!$A:$ZZ,27,FALSE)*(1+IF(OR($AL82=$F$4,$AL82=$F$5),$B$22,0))</f>
        <v>0</v>
      </c>
      <c r="AO82" s="27">
        <f>VLOOKUP($Q82,武学奇术!$A:$ZZ,28,FALSE)</f>
        <v>0.75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0.7141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3574.7</v>
      </c>
      <c r="AT82" cm="1">
        <f t="array" ref="AT82">$E$10*(1+$AR82)+VLOOKUP($Q82,武学奇术!$A:$ZZ,4,FALSE)+SUM(_xlfn.XLOOKUP($R82:$AK82,增益!$A:$A,增益!$D:$D,0))-$I$2</f>
        <v>3574.7</v>
      </c>
      <c r="AU82" s="34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0.332</v>
      </c>
      <c r="AV82" s="34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4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-0.14</v>
      </c>
      <c r="BA82" s="34" cm="1">
        <f t="array" ref="BA82">$G$11+VLOOKUP($Q82,武学奇术!$A:$ZZ,10,FALSE)+SUM(_xlfn.XLOOKUP($R82:$AK82,增益!$A:$A,增益!$J:$J,0))</f>
        <v>0</v>
      </c>
      <c r="BB82">
        <f t="shared" si="14"/>
        <v>591.9</v>
      </c>
      <c r="BC82">
        <f t="shared" si="15"/>
        <v>1600.3</v>
      </c>
      <c r="BD82" s="34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0.17</v>
      </c>
      <c r="BE82" s="34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4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-0.14</v>
      </c>
      <c r="BI82" s="34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4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-0.14</v>
      </c>
      <c r="BM82" s="34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0.9859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7" cm="1">
        <f t="array" ref="BP82">1+$B$13+VLOOKUP($Q82,武学奇术!$A:$ZZ,18,FALSE)+SUM(_xlfn.XLOOKUP($R82:$AK82,增益!$A:$A,增益!$R:$R,0))</f>
        <v>2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7" cm="1">
        <f t="array" ref="BR82">1+$B$14+VLOOKUP($Q82,武学奇术!$A:$ZZ,20,FALSE)+SUM(_xlfn.XLOOKUP($R82:$AK82,增益!$A:$A,增益!$T:$T,0))</f>
        <v>1.35</v>
      </c>
      <c r="BS82" s="27">
        <f t="shared" si="20"/>
        <v>0.87863408</v>
      </c>
      <c r="BT82" s="27">
        <f t="shared" si="21"/>
        <v>0.01567581</v>
      </c>
      <c r="BU82" s="27">
        <f>IF(VLOOKUP($Q82,武学奇术!$A:$ZZ,22,FALSE)=1,0,(1-$BN82))*(1-$BQ82)</f>
        <v>0.01279011</v>
      </c>
      <c r="BV82" s="27" cm="1">
        <f t="array" ref="BV82">SUM(_xlfn.XLOOKUP($R82:$AK82,增益!$A:$A,增益!$W:$W,0))+$I$5</f>
        <v>0.11</v>
      </c>
    </row>
    <row r="83" spans="1:74">
      <c r="A83" s="4"/>
      <c r="B83" s="4"/>
      <c r="K83" s="40">
        <f t="shared" si="11"/>
        <v>33102.3169618507</v>
      </c>
      <c r="L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33102.3169618507</v>
      </c>
      <c r="M83" s="40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24385.243514234</v>
      </c>
      <c r="N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15763.0080770718</v>
      </c>
      <c r="O83" s="40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13462.8728102665</v>
      </c>
      <c r="P83" s="41">
        <v>1</v>
      </c>
      <c r="Q83" s="42" t="s">
        <v>117</v>
      </c>
      <c r="R83" s="42" t="s">
        <v>93</v>
      </c>
      <c r="S83" s="42" t="s">
        <v>169</v>
      </c>
      <c r="T83" s="42" t="s">
        <v>86</v>
      </c>
      <c r="U83" s="42" t="s">
        <v>121</v>
      </c>
      <c r="V83" s="42" t="s">
        <v>118</v>
      </c>
      <c r="W83" s="42" t="s">
        <v>77</v>
      </c>
      <c r="X83" s="42" t="s">
        <v>176</v>
      </c>
      <c r="Y83" s="42" t="s">
        <v>77</v>
      </c>
      <c r="Z83" s="42" t="s">
        <v>77</v>
      </c>
      <c r="AA83" s="42" t="s">
        <v>73</v>
      </c>
      <c r="AB83" s="42" t="s">
        <v>77</v>
      </c>
      <c r="AC83" s="42" t="s">
        <v>77</v>
      </c>
      <c r="AD83" s="42" t="s">
        <v>77</v>
      </c>
      <c r="AE83" s="42" t="s">
        <v>81</v>
      </c>
      <c r="AF83" s="42" t="s">
        <v>82</v>
      </c>
      <c r="AG83" s="42" t="s">
        <v>77</v>
      </c>
      <c r="AH83" s="42" t="s">
        <v>77</v>
      </c>
      <c r="AI83" s="42" t="s">
        <v>77</v>
      </c>
      <c r="AJ83" s="42" t="s">
        <v>77</v>
      </c>
      <c r="AK83" s="42" t="s">
        <v>77</v>
      </c>
      <c r="AL83" t="str">
        <f>VLOOKUP($Q83,武学奇术!$A:$ZZ,25,FALSE)</f>
        <v>陌刀</v>
      </c>
      <c r="AM83" s="27">
        <f>VLOOKUP($Q83,武学奇术!$A:$ZZ,26,FALSE)</f>
        <v>0.9</v>
      </c>
      <c r="AN83" s="28">
        <f>VLOOKUP($Q83,武学奇术!$A:$ZZ,27,FALSE)*(1+IF(OR($AL83=$F$4,$AL83=$F$5),$B$22,0))</f>
        <v>0</v>
      </c>
      <c r="AO83" s="27">
        <f>VLOOKUP($Q83,武学奇术!$A:$ZZ,28,FALSE)</f>
        <v>1.35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0.7141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3574.7</v>
      </c>
      <c r="AT83" cm="1">
        <f t="array" ref="AT83">$E$10*(1+$AR83)+VLOOKUP($Q83,武学奇术!$A:$ZZ,4,FALSE)+SUM(_xlfn.XLOOKUP($R83:$AK83,增益!$A:$A,增益!$D:$D,0))-$I$2</f>
        <v>3574.7</v>
      </c>
      <c r="AU83" s="34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0.332</v>
      </c>
      <c r="AV83" s="34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4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-0.14</v>
      </c>
      <c r="BA83" s="34" cm="1">
        <f t="array" ref="BA83">$G$11+VLOOKUP($Q83,武学奇术!$A:$ZZ,10,FALSE)+SUM(_xlfn.XLOOKUP($R83:$AK83,增益!$A:$A,增益!$J:$J,0))</f>
        <v>0</v>
      </c>
      <c r="BB83">
        <f t="shared" si="14"/>
        <v>591.9</v>
      </c>
      <c r="BC83">
        <f t="shared" si="15"/>
        <v>1600.3</v>
      </c>
      <c r="BD83" s="34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0.17</v>
      </c>
      <c r="BE83" s="34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4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-0.14</v>
      </c>
      <c r="BI83" s="34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4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-0.14</v>
      </c>
      <c r="BM83" s="34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1</v>
      </c>
      <c r="BP83" s="27" cm="1">
        <f t="array" ref="BP83">1+$B$13+VLOOKUP($Q83,武学奇术!$A:$ZZ,18,FALSE)+SUM(_xlfn.XLOOKUP($R83:$AK83,增益!$A:$A,增益!$R:$R,0))</f>
        <v>2.1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</v>
      </c>
      <c r="BR83" s="27" cm="1">
        <f t="array" ref="BR83">1+$B$14+VLOOKUP($Q83,武学奇术!$A:$ZZ,20,FALSE)+SUM(_xlfn.XLOOKUP($R83:$AK83,增益!$A:$A,增益!$T:$T,0))</f>
        <v>1.35</v>
      </c>
      <c r="BS83" s="27">
        <f t="shared" si="20"/>
        <v>1</v>
      </c>
      <c r="BT83" s="27">
        <f t="shared" si="21"/>
        <v>0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/>
      <c r="B84" s="4"/>
      <c r="K84" s="40">
        <f t="shared" si="11"/>
        <v>318590.104362723</v>
      </c>
      <c r="L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318590.104362723</v>
      </c>
      <c r="M84" s="40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230917.21967374</v>
      </c>
      <c r="N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151709.573506059</v>
      </c>
      <c r="O84" s="40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132369.354661199</v>
      </c>
      <c r="P84" s="41">
        <v>1</v>
      </c>
      <c r="Q84" s="42" t="s">
        <v>120</v>
      </c>
      <c r="R84" s="42" t="s">
        <v>93</v>
      </c>
      <c r="S84" s="42" t="s">
        <v>169</v>
      </c>
      <c r="T84" s="42" t="s">
        <v>86</v>
      </c>
      <c r="U84" s="42" t="s">
        <v>121</v>
      </c>
      <c r="V84" s="42" t="s">
        <v>118</v>
      </c>
      <c r="W84" s="42" t="s">
        <v>77</v>
      </c>
      <c r="X84" s="42" t="s">
        <v>176</v>
      </c>
      <c r="Y84" s="42" t="s">
        <v>77</v>
      </c>
      <c r="Z84" s="42" t="s">
        <v>77</v>
      </c>
      <c r="AA84" s="42" t="s">
        <v>73</v>
      </c>
      <c r="AB84" s="42" t="s">
        <v>77</v>
      </c>
      <c r="AC84" s="42" t="s">
        <v>77</v>
      </c>
      <c r="AD84" s="42" t="s">
        <v>77</v>
      </c>
      <c r="AE84" s="42" t="s">
        <v>81</v>
      </c>
      <c r="AF84" s="42" t="s">
        <v>82</v>
      </c>
      <c r="AG84" s="42" t="s">
        <v>77</v>
      </c>
      <c r="AH84" s="42" t="s">
        <v>77</v>
      </c>
      <c r="AI84" s="42" t="s">
        <v>77</v>
      </c>
      <c r="AJ84" s="42" t="s">
        <v>77</v>
      </c>
      <c r="AK84" s="42" t="s">
        <v>77</v>
      </c>
      <c r="AL84" t="str">
        <f>VLOOKUP($Q84,武学奇术!$A:$ZZ,25,FALSE)</f>
        <v>陌刀</v>
      </c>
      <c r="AM84" s="27">
        <f>VLOOKUP($Q84,武学奇术!$A:$ZZ,26,FALSE)</f>
        <v>7.5674</v>
      </c>
      <c r="AN84" s="28">
        <f>VLOOKUP($Q84,武学奇术!$A:$ZZ,27,FALSE)*(1+IF(OR($AL84=$F$4,$AL84=$F$5),$B$22,0))</f>
        <v>3139.5</v>
      </c>
      <c r="AO84" s="27">
        <f>VLOOKUP($Q84,武学奇术!$A:$ZZ,28,FALSE)</f>
        <v>11.3512</v>
      </c>
      <c r="AP84" s="28">
        <f>VLOOKUP($Q84,武学奇术!$A:$ZZ,29,FALSE)*(1+IF(OR($AL84=$F$4,$AL84=$F$5),$B$22,0))</f>
        <v>1710</v>
      </c>
      <c r="AQ84" s="27" cm="1">
        <f t="array" ref="AQ84">$G$3+IFERROR(VLOOKUP($AL84,$F$4:$G$7,2,FALSE),0)+VLOOKUP($Q84,武学奇术!$A:$ZZ,2,FALSE)+SUM(_xlfn.XLOOKUP($R84:$AK84,增益!$A:$A,增益!$B:$B,0))</f>
        <v>0.7141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3574.7</v>
      </c>
      <c r="AT84" cm="1">
        <f t="array" ref="AT84">$E$10*(1+$AR84)+VLOOKUP($Q84,武学奇术!$A:$ZZ,4,FALSE)+SUM(_xlfn.XLOOKUP($R84:$AK84,增益!$A:$A,增益!$D:$D,0))-$I$2</f>
        <v>3574.7</v>
      </c>
      <c r="AU84" s="34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0.332</v>
      </c>
      <c r="AV84" s="34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4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-0.14</v>
      </c>
      <c r="BA84" s="34" cm="1">
        <f t="array" ref="BA84">$G$11+VLOOKUP($Q84,武学奇术!$A:$ZZ,10,FALSE)+SUM(_xlfn.XLOOKUP($R84:$AK84,增益!$A:$A,增益!$J:$J,0))</f>
        <v>0</v>
      </c>
      <c r="BB84">
        <f t="shared" si="14"/>
        <v>591.9</v>
      </c>
      <c r="BC84">
        <f t="shared" si="15"/>
        <v>1600.3</v>
      </c>
      <c r="BD84" s="34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0.17</v>
      </c>
      <c r="BE84" s="34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4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-0.14</v>
      </c>
      <c r="BI84" s="34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4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-0.14</v>
      </c>
      <c r="BM84" s="34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1</v>
      </c>
      <c r="BP84" s="27" cm="1">
        <f t="array" ref="BP84">1+$B$13+VLOOKUP($Q84,武学奇术!$A:$ZZ,18,FALSE)+SUM(_xlfn.XLOOKUP($R84:$AK84,增益!$A:$A,增益!$R:$R,0))</f>
        <v>2.1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</v>
      </c>
      <c r="BR84" s="27" cm="1">
        <f t="array" ref="BR84">1+$B$14+VLOOKUP($Q84,武学奇术!$A:$ZZ,20,FALSE)+SUM(_xlfn.XLOOKUP($R84:$AK84,增益!$A:$A,增益!$T:$T,0))</f>
        <v>1.35</v>
      </c>
      <c r="BS84" s="27">
        <f t="shared" si="20"/>
        <v>1</v>
      </c>
      <c r="BT84" s="27">
        <f t="shared" si="21"/>
        <v>0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/>
      <c r="B85" s="4"/>
      <c r="K85" s="40">
        <f t="shared" si="11"/>
        <v>18592.2811877348</v>
      </c>
      <c r="L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18592.2811877348</v>
      </c>
      <c r="M85" s="40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13687.3463957265</v>
      </c>
      <c r="N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8853.46723225468</v>
      </c>
      <c r="O85" s="40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7568.15935656384</v>
      </c>
      <c r="P85" s="41">
        <v>1</v>
      </c>
      <c r="Q85" s="42" t="s">
        <v>125</v>
      </c>
      <c r="R85" s="42" t="s">
        <v>99</v>
      </c>
      <c r="S85" s="42" t="s">
        <v>169</v>
      </c>
      <c r="T85" s="42" t="s">
        <v>86</v>
      </c>
      <c r="U85" s="42" t="s">
        <v>121</v>
      </c>
      <c r="V85" s="42" t="s">
        <v>118</v>
      </c>
      <c r="W85" s="42" t="s">
        <v>77</v>
      </c>
      <c r="X85" s="42" t="s">
        <v>176</v>
      </c>
      <c r="Y85" s="42" t="s">
        <v>77</v>
      </c>
      <c r="Z85" s="42" t="s">
        <v>77</v>
      </c>
      <c r="AA85" s="42" t="s">
        <v>73</v>
      </c>
      <c r="AB85" s="42" t="s">
        <v>77</v>
      </c>
      <c r="AC85" s="42" t="s">
        <v>77</v>
      </c>
      <c r="AD85" s="42" t="s">
        <v>77</v>
      </c>
      <c r="AE85" s="42" t="s">
        <v>81</v>
      </c>
      <c r="AF85" s="42" t="s">
        <v>82</v>
      </c>
      <c r="AG85" s="42" t="s">
        <v>77</v>
      </c>
      <c r="AH85" s="42" t="s">
        <v>77</v>
      </c>
      <c r="AI85" s="42" t="s">
        <v>77</v>
      </c>
      <c r="AJ85" s="42" t="s">
        <v>77</v>
      </c>
      <c r="AK85" s="42" t="s">
        <v>77</v>
      </c>
      <c r="AL85" t="str">
        <f>VLOOKUP($Q85,武学奇术!$A:$ZZ,25,FALSE)</f>
        <v>陌刀</v>
      </c>
      <c r="AM85" s="27">
        <f>VLOOKUP($Q85,武学奇术!$A:$ZZ,26,FALSE)</f>
        <v>0.5</v>
      </c>
      <c r="AN85" s="28">
        <f>VLOOKUP($Q85,武学奇术!$A:$ZZ,27,FALSE)*(1+IF(OR($AL85=$F$4,$AL85=$F$5),$B$22,0))</f>
        <v>0</v>
      </c>
      <c r="AO85" s="27">
        <f>VLOOKUP($Q85,武学奇术!$A:$ZZ,28,FALSE)</f>
        <v>0.75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0.7241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3574.7</v>
      </c>
      <c r="AT85" cm="1">
        <f t="array" ref="AT85">$E$10*(1+$AR85)+VLOOKUP($Q85,武学奇术!$A:$ZZ,4,FALSE)+SUM(_xlfn.XLOOKUP($R85:$AK85,增益!$A:$A,增益!$D:$D,0))-$I$2</f>
        <v>3574.7</v>
      </c>
      <c r="AU85" s="34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0.342</v>
      </c>
      <c r="AV85" s="34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4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-0.14</v>
      </c>
      <c r="BA85" s="34" cm="1">
        <f t="array" ref="BA85">$G$11+VLOOKUP($Q85,武学奇术!$A:$ZZ,10,FALSE)+SUM(_xlfn.XLOOKUP($R85:$AK85,增益!$A:$A,增益!$J:$J,0))</f>
        <v>0</v>
      </c>
      <c r="BB85">
        <f t="shared" si="14"/>
        <v>591.9</v>
      </c>
      <c r="BC85">
        <f t="shared" si="15"/>
        <v>1600.3</v>
      </c>
      <c r="BD85" s="34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0.17</v>
      </c>
      <c r="BE85" s="34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4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-0.14</v>
      </c>
      <c r="BI85" s="34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4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-0.14</v>
      </c>
      <c r="BM85" s="34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1</v>
      </c>
      <c r="BP85" s="27" cm="1">
        <f t="array" ref="BP85">1+$B$13+VLOOKUP($Q85,武学奇术!$A:$ZZ,18,FALSE)+SUM(_xlfn.XLOOKUP($R85:$AK85,增益!$A:$A,增益!$R:$R,0))</f>
        <v>2.1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</v>
      </c>
      <c r="BR85" s="27" cm="1">
        <f t="array" ref="BR85">1+$B$14+VLOOKUP($Q85,武学奇术!$A:$ZZ,20,FALSE)+SUM(_xlfn.XLOOKUP($R85:$AK85,增益!$A:$A,增益!$T:$T,0))</f>
        <v>1.35</v>
      </c>
      <c r="BS85" s="27">
        <f t="shared" si="20"/>
        <v>1</v>
      </c>
      <c r="BT85" s="27">
        <f t="shared" si="21"/>
        <v>0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/>
      <c r="B86" s="4"/>
      <c r="K86" s="40">
        <f t="shared" si="11"/>
        <v>33466.1061379227</v>
      </c>
      <c r="L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33466.1061379227</v>
      </c>
      <c r="M86" s="40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24637.2235123076</v>
      </c>
      <c r="N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15936.2410180584</v>
      </c>
      <c r="O86" s="40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13622.6868418149</v>
      </c>
      <c r="P86" s="41">
        <v>1</v>
      </c>
      <c r="Q86" s="42" t="s">
        <v>117</v>
      </c>
      <c r="R86" s="42" t="s">
        <v>99</v>
      </c>
      <c r="S86" s="42" t="s">
        <v>169</v>
      </c>
      <c r="T86" s="42" t="s">
        <v>86</v>
      </c>
      <c r="U86" s="42" t="s">
        <v>121</v>
      </c>
      <c r="V86" s="42" t="s">
        <v>118</v>
      </c>
      <c r="W86" s="42" t="s">
        <v>77</v>
      </c>
      <c r="X86" s="42" t="s">
        <v>176</v>
      </c>
      <c r="Y86" s="42" t="s">
        <v>77</v>
      </c>
      <c r="Z86" s="42" t="s">
        <v>77</v>
      </c>
      <c r="AA86" s="42" t="s">
        <v>73</v>
      </c>
      <c r="AB86" s="42" t="s">
        <v>77</v>
      </c>
      <c r="AC86" s="42" t="s">
        <v>77</v>
      </c>
      <c r="AD86" s="42" t="s">
        <v>77</v>
      </c>
      <c r="AE86" s="42" t="s">
        <v>81</v>
      </c>
      <c r="AF86" s="42" t="s">
        <v>82</v>
      </c>
      <c r="AG86" s="42" t="s">
        <v>77</v>
      </c>
      <c r="AH86" s="42" t="s">
        <v>77</v>
      </c>
      <c r="AI86" s="42" t="s">
        <v>77</v>
      </c>
      <c r="AJ86" s="42" t="s">
        <v>77</v>
      </c>
      <c r="AK86" s="42" t="s">
        <v>77</v>
      </c>
      <c r="AL86" t="str">
        <f>VLOOKUP($Q86,武学奇术!$A:$ZZ,25,FALSE)</f>
        <v>陌刀</v>
      </c>
      <c r="AM86" s="27">
        <f>VLOOKUP($Q86,武学奇术!$A:$ZZ,26,FALSE)</f>
        <v>0.9</v>
      </c>
      <c r="AN86" s="28">
        <f>VLOOKUP($Q86,武学奇术!$A:$ZZ,27,FALSE)*(1+IF(OR($AL86=$F$4,$AL86=$F$5),$B$22,0))</f>
        <v>0</v>
      </c>
      <c r="AO86" s="27">
        <f>VLOOKUP($Q86,武学奇术!$A:$ZZ,28,FALSE)</f>
        <v>1.35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0.7241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3574.7</v>
      </c>
      <c r="AT86" cm="1">
        <f t="array" ref="AT86">$E$10*(1+$AR86)+VLOOKUP($Q86,武学奇术!$A:$ZZ,4,FALSE)+SUM(_xlfn.XLOOKUP($R86:$AK86,增益!$A:$A,增益!$D:$D,0))-$I$2</f>
        <v>3574.7</v>
      </c>
      <c r="AU86" s="34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0.342</v>
      </c>
      <c r="AV86" s="34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4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-0.14</v>
      </c>
      <c r="BA86" s="34" cm="1">
        <f t="array" ref="BA86">$G$11+VLOOKUP($Q86,武学奇术!$A:$ZZ,10,FALSE)+SUM(_xlfn.XLOOKUP($R86:$AK86,增益!$A:$A,增益!$J:$J,0))</f>
        <v>0</v>
      </c>
      <c r="BB86">
        <f t="shared" si="14"/>
        <v>591.9</v>
      </c>
      <c r="BC86">
        <f t="shared" si="15"/>
        <v>1600.3</v>
      </c>
      <c r="BD86" s="34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0.17</v>
      </c>
      <c r="BE86" s="34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4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-0.14</v>
      </c>
      <c r="BI86" s="34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4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-0.14</v>
      </c>
      <c r="BM86" s="34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1</v>
      </c>
      <c r="BP86" s="27" cm="1">
        <f t="array" ref="BP86">1+$B$13+VLOOKUP($Q86,武学奇术!$A:$ZZ,18,FALSE)+SUM(_xlfn.XLOOKUP($R86:$AK86,增益!$A:$A,增益!$R:$R,0))</f>
        <v>2.1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</v>
      </c>
      <c r="BR86" s="27" cm="1">
        <f t="array" ref="BR86">1+$B$14+VLOOKUP($Q86,武学奇术!$A:$ZZ,20,FALSE)+SUM(_xlfn.XLOOKUP($R86:$AK86,增益!$A:$A,增益!$T:$T,0))</f>
        <v>1.35</v>
      </c>
      <c r="BS86" s="27">
        <f t="shared" si="20"/>
        <v>1</v>
      </c>
      <c r="BT86" s="27">
        <f t="shared" si="21"/>
        <v>0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K87" s="40">
        <f t="shared" si="11"/>
        <v>322050.338993615</v>
      </c>
      <c r="L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322050.338993615</v>
      </c>
      <c r="M87" s="40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233293.976946985</v>
      </c>
      <c r="N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153357.304282674</v>
      </c>
      <c r="O87" s="40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133904.255271285</v>
      </c>
      <c r="P87" s="41">
        <v>1</v>
      </c>
      <c r="Q87" s="42" t="s">
        <v>120</v>
      </c>
      <c r="R87" s="42" t="s">
        <v>99</v>
      </c>
      <c r="S87" s="42" t="s">
        <v>169</v>
      </c>
      <c r="T87" s="42" t="s">
        <v>86</v>
      </c>
      <c r="U87" s="42" t="s">
        <v>121</v>
      </c>
      <c r="V87" s="42" t="s">
        <v>118</v>
      </c>
      <c r="W87" s="42" t="s">
        <v>77</v>
      </c>
      <c r="X87" s="42" t="s">
        <v>176</v>
      </c>
      <c r="Y87" s="42" t="s">
        <v>77</v>
      </c>
      <c r="Z87" s="42" t="s">
        <v>77</v>
      </c>
      <c r="AA87" s="42" t="s">
        <v>73</v>
      </c>
      <c r="AB87" s="42" t="s">
        <v>77</v>
      </c>
      <c r="AC87" s="42" t="s">
        <v>77</v>
      </c>
      <c r="AD87" s="42" t="s">
        <v>77</v>
      </c>
      <c r="AE87" s="42" t="s">
        <v>81</v>
      </c>
      <c r="AF87" s="42" t="s">
        <v>82</v>
      </c>
      <c r="AG87" s="42" t="s">
        <v>77</v>
      </c>
      <c r="AH87" s="42" t="s">
        <v>77</v>
      </c>
      <c r="AI87" s="42" t="s">
        <v>77</v>
      </c>
      <c r="AJ87" s="42" t="s">
        <v>77</v>
      </c>
      <c r="AK87" s="42" t="s">
        <v>77</v>
      </c>
      <c r="AL87" t="str">
        <f>VLOOKUP($Q87,武学奇术!$A:$ZZ,25,FALSE)</f>
        <v>陌刀</v>
      </c>
      <c r="AM87" s="27">
        <f>VLOOKUP($Q87,武学奇术!$A:$ZZ,26,FALSE)</f>
        <v>7.5674</v>
      </c>
      <c r="AN87" s="28">
        <f>VLOOKUP($Q87,武学奇术!$A:$ZZ,27,FALSE)*(1+IF(OR($AL87=$F$4,$AL87=$F$5),$B$22,0))</f>
        <v>3139.5</v>
      </c>
      <c r="AO87" s="27">
        <f>VLOOKUP($Q87,武学奇术!$A:$ZZ,28,FALSE)</f>
        <v>11.3512</v>
      </c>
      <c r="AP87" s="28">
        <f>VLOOKUP($Q87,武学奇术!$A:$ZZ,29,FALSE)*(1+IF(OR($AL87=$F$4,$AL87=$F$5),$B$22,0))</f>
        <v>1710</v>
      </c>
      <c r="AQ87" s="27" cm="1">
        <f t="array" ref="AQ87">$G$3+IFERROR(VLOOKUP($AL87,$F$4:$G$7,2,FALSE),0)+VLOOKUP($Q87,武学奇术!$A:$ZZ,2,FALSE)+SUM(_xlfn.XLOOKUP($R87:$AK87,增益!$A:$A,增益!$B:$B,0))</f>
        <v>0.7241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3574.7</v>
      </c>
      <c r="AT87" cm="1">
        <f t="array" ref="AT87">$E$10*(1+$AR87)+VLOOKUP($Q87,武学奇术!$A:$ZZ,4,FALSE)+SUM(_xlfn.XLOOKUP($R87:$AK87,增益!$A:$A,增益!$D:$D,0))-$I$2</f>
        <v>3574.7</v>
      </c>
      <c r="AU87" s="34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0.342</v>
      </c>
      <c r="AV87" s="34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4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-0.14</v>
      </c>
      <c r="BA87" s="34" cm="1">
        <f t="array" ref="BA87">$G$11+VLOOKUP($Q87,武学奇术!$A:$ZZ,10,FALSE)+SUM(_xlfn.XLOOKUP($R87:$AK87,增益!$A:$A,增益!$J:$J,0))</f>
        <v>0</v>
      </c>
      <c r="BB87">
        <f t="shared" si="14"/>
        <v>591.9</v>
      </c>
      <c r="BC87">
        <f t="shared" si="15"/>
        <v>1600.3</v>
      </c>
      <c r="BD87" s="34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0.17</v>
      </c>
      <c r="BE87" s="34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4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-0.14</v>
      </c>
      <c r="BI87" s="34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4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-0.14</v>
      </c>
      <c r="BM87" s="34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1</v>
      </c>
      <c r="BP87" s="27" cm="1">
        <f t="array" ref="BP87">1+$B$13+VLOOKUP($Q87,武学奇术!$A:$ZZ,18,FALSE)+SUM(_xlfn.XLOOKUP($R87:$AK87,增益!$A:$A,增益!$R:$R,0))</f>
        <v>2.1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</v>
      </c>
      <c r="BR87" s="27" cm="1">
        <f t="array" ref="BR87">1+$B$14+VLOOKUP($Q87,武学奇术!$A:$ZZ,20,FALSE)+SUM(_xlfn.XLOOKUP($R87:$AK87,增益!$A:$A,增益!$T:$T,0))</f>
        <v>1.35</v>
      </c>
      <c r="BS87" s="27">
        <f t="shared" si="20"/>
        <v>1</v>
      </c>
      <c r="BT87" s="27">
        <f t="shared" si="21"/>
        <v>0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K88" s="40">
        <f t="shared" si="11"/>
        <v>37590.97238429</v>
      </c>
      <c r="L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37590.97238429</v>
      </c>
      <c r="M88" s="40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27656.084732709</v>
      </c>
      <c r="N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17900.4630401381</v>
      </c>
      <c r="O88" s="40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15314.9373893806</v>
      </c>
      <c r="P88" s="41">
        <v>2</v>
      </c>
      <c r="Q88" s="42" t="s">
        <v>125</v>
      </c>
      <c r="R88" s="42" t="s">
        <v>103</v>
      </c>
      <c r="S88" s="42" t="s">
        <v>169</v>
      </c>
      <c r="T88" s="42" t="s">
        <v>86</v>
      </c>
      <c r="U88" s="42" t="s">
        <v>121</v>
      </c>
      <c r="V88" s="42" t="s">
        <v>118</v>
      </c>
      <c r="W88" s="42" t="s">
        <v>77</v>
      </c>
      <c r="X88" s="42" t="s">
        <v>176</v>
      </c>
      <c r="Y88" s="42" t="s">
        <v>77</v>
      </c>
      <c r="Z88" s="42" t="s">
        <v>77</v>
      </c>
      <c r="AA88" s="42" t="s">
        <v>73</v>
      </c>
      <c r="AB88" s="42" t="s">
        <v>77</v>
      </c>
      <c r="AC88" s="42" t="s">
        <v>77</v>
      </c>
      <c r="AD88" s="42" t="s">
        <v>77</v>
      </c>
      <c r="AE88" s="42" t="s">
        <v>81</v>
      </c>
      <c r="AF88" s="42" t="s">
        <v>82</v>
      </c>
      <c r="AG88" s="42" t="s">
        <v>77</v>
      </c>
      <c r="AH88" s="42" t="s">
        <v>77</v>
      </c>
      <c r="AI88" s="42" t="s">
        <v>77</v>
      </c>
      <c r="AJ88" s="42" t="s">
        <v>77</v>
      </c>
      <c r="AK88" s="42" t="s">
        <v>77</v>
      </c>
      <c r="AL88" t="str">
        <f>VLOOKUP($Q88,武学奇术!$A:$ZZ,25,FALSE)</f>
        <v>陌刀</v>
      </c>
      <c r="AM88" s="27">
        <f>VLOOKUP($Q88,武学奇术!$A:$ZZ,26,FALSE)</f>
        <v>0.5</v>
      </c>
      <c r="AN88" s="28">
        <f>VLOOKUP($Q88,武学奇术!$A:$ZZ,27,FALSE)*(1+IF(OR($AL88=$F$4,$AL88=$F$5),$B$22,0))</f>
        <v>0</v>
      </c>
      <c r="AO88" s="27">
        <f>VLOOKUP($Q88,武学奇术!$A:$ZZ,28,FALSE)</f>
        <v>0.75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0.7341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3574.7</v>
      </c>
      <c r="AT88" cm="1">
        <f t="array" ref="AT88">$E$10*(1+$AR88)+VLOOKUP($Q88,武学奇术!$A:$ZZ,4,FALSE)+SUM(_xlfn.XLOOKUP($R88:$AK88,增益!$A:$A,增益!$D:$D,0))-$I$2</f>
        <v>3574.7</v>
      </c>
      <c r="AU88" s="34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0.352</v>
      </c>
      <c r="AV88" s="34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4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-0.14</v>
      </c>
      <c r="BA88" s="34" cm="1">
        <f t="array" ref="BA88">$G$11+VLOOKUP($Q88,武学奇术!$A:$ZZ,10,FALSE)+SUM(_xlfn.XLOOKUP($R88:$AK88,增益!$A:$A,增益!$J:$J,0))</f>
        <v>0</v>
      </c>
      <c r="BB88">
        <f t="shared" si="14"/>
        <v>591.9</v>
      </c>
      <c r="BC88">
        <f t="shared" si="15"/>
        <v>1600.3</v>
      </c>
      <c r="BD88" s="34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0.17</v>
      </c>
      <c r="BE88" s="34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4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-0.14</v>
      </c>
      <c r="BI88" s="34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4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-0.14</v>
      </c>
      <c r="BM88" s="34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1</v>
      </c>
      <c r="BP88" s="27" cm="1">
        <f t="array" ref="BP88">1+$B$13+VLOOKUP($Q88,武学奇术!$A:$ZZ,18,FALSE)+SUM(_xlfn.XLOOKUP($R88:$AK88,增益!$A:$A,增益!$R:$R,0))</f>
        <v>2.1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</v>
      </c>
      <c r="BR88" s="27" cm="1">
        <f t="array" ref="BR88">1+$B$14+VLOOKUP($Q88,武学奇术!$A:$ZZ,20,FALSE)+SUM(_xlfn.XLOOKUP($R88:$AK88,增益!$A:$A,增益!$T:$T,0))</f>
        <v>1.35</v>
      </c>
      <c r="BS88" s="27">
        <f t="shared" si="20"/>
        <v>1</v>
      </c>
      <c r="BT88" s="27">
        <f t="shared" si="21"/>
        <v>0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K89" s="40">
        <f t="shared" si="11"/>
        <v>67663.7502917221</v>
      </c>
      <c r="L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67663.7502917221</v>
      </c>
      <c r="M89" s="40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49780.9525188763</v>
      </c>
      <c r="N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32220.8334722486</v>
      </c>
      <c r="O89" s="40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27566.8873008851</v>
      </c>
      <c r="P89" s="41">
        <v>2</v>
      </c>
      <c r="Q89" s="42" t="s">
        <v>117</v>
      </c>
      <c r="R89" s="42" t="s">
        <v>103</v>
      </c>
      <c r="S89" s="42" t="s">
        <v>169</v>
      </c>
      <c r="T89" s="42" t="s">
        <v>86</v>
      </c>
      <c r="U89" s="42" t="s">
        <v>121</v>
      </c>
      <c r="V89" s="42" t="s">
        <v>118</v>
      </c>
      <c r="W89" s="42" t="s">
        <v>77</v>
      </c>
      <c r="X89" s="42" t="s">
        <v>176</v>
      </c>
      <c r="Y89" s="42" t="s">
        <v>77</v>
      </c>
      <c r="Z89" s="42" t="s">
        <v>77</v>
      </c>
      <c r="AA89" s="42" t="s">
        <v>73</v>
      </c>
      <c r="AB89" s="42" t="s">
        <v>77</v>
      </c>
      <c r="AC89" s="42" t="s">
        <v>77</v>
      </c>
      <c r="AD89" s="42" t="s">
        <v>77</v>
      </c>
      <c r="AE89" s="42" t="s">
        <v>81</v>
      </c>
      <c r="AF89" s="42" t="s">
        <v>82</v>
      </c>
      <c r="AG89" s="42" t="s">
        <v>77</v>
      </c>
      <c r="AH89" s="42" t="s">
        <v>77</v>
      </c>
      <c r="AI89" s="42" t="s">
        <v>77</v>
      </c>
      <c r="AJ89" s="42" t="s">
        <v>77</v>
      </c>
      <c r="AK89" s="42" t="s">
        <v>77</v>
      </c>
      <c r="AL89" t="str">
        <f>VLOOKUP($Q89,武学奇术!$A:$ZZ,25,FALSE)</f>
        <v>陌刀</v>
      </c>
      <c r="AM89" s="27">
        <f>VLOOKUP($Q89,武学奇术!$A:$ZZ,26,FALSE)</f>
        <v>0.9</v>
      </c>
      <c r="AN89" s="28">
        <f>VLOOKUP($Q89,武学奇术!$A:$ZZ,27,FALSE)*(1+IF(OR($AL89=$F$4,$AL89=$F$5),$B$22,0))</f>
        <v>0</v>
      </c>
      <c r="AO89" s="27">
        <f>VLOOKUP($Q89,武学奇术!$A:$ZZ,28,FALSE)</f>
        <v>1.35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0.7341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3574.7</v>
      </c>
      <c r="AT89" cm="1">
        <f t="array" ref="AT89">$E$10*(1+$AR89)+VLOOKUP($Q89,武学奇术!$A:$ZZ,4,FALSE)+SUM(_xlfn.XLOOKUP($R89:$AK89,增益!$A:$A,增益!$D:$D,0))-$I$2</f>
        <v>3574.7</v>
      </c>
      <c r="AU89" s="34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0.352</v>
      </c>
      <c r="AV89" s="34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4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-0.14</v>
      </c>
      <c r="BA89" s="34" cm="1">
        <f t="array" ref="BA89">$G$11+VLOOKUP($Q89,武学奇术!$A:$ZZ,10,FALSE)+SUM(_xlfn.XLOOKUP($R89:$AK89,增益!$A:$A,增益!$J:$J,0))</f>
        <v>0</v>
      </c>
      <c r="BB89">
        <f t="shared" si="14"/>
        <v>591.9</v>
      </c>
      <c r="BC89">
        <f t="shared" si="15"/>
        <v>1600.3</v>
      </c>
      <c r="BD89" s="34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0.17</v>
      </c>
      <c r="BE89" s="34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4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-0.14</v>
      </c>
      <c r="BI89" s="34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4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-0.14</v>
      </c>
      <c r="BM89" s="34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1</v>
      </c>
      <c r="BP89" s="27" cm="1">
        <f t="array" ref="BP89">1+$B$13+VLOOKUP($Q89,武学奇术!$A:$ZZ,18,FALSE)+SUM(_xlfn.XLOOKUP($R89:$AK89,增益!$A:$A,增益!$R:$R,0))</f>
        <v>2.1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</v>
      </c>
      <c r="BR89" s="27" cm="1">
        <f t="array" ref="BR89">1+$B$14+VLOOKUP($Q89,武学奇术!$A:$ZZ,20,FALSE)+SUM(_xlfn.XLOOKUP($R89:$AK89,增益!$A:$A,增益!$T:$T,0))</f>
        <v>1.35</v>
      </c>
      <c r="BS89" s="27">
        <f t="shared" si="20"/>
        <v>1</v>
      </c>
      <c r="BT89" s="27">
        <f t="shared" si="21"/>
        <v>0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K90" s="40">
        <f t="shared" si="11"/>
        <v>651058.304977739</v>
      </c>
      <c r="L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651058.304977739</v>
      </c>
      <c r="M90" s="40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471365.355551784</v>
      </c>
      <c r="N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310027.764275114</v>
      </c>
      <c r="O90" s="40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270896.005919276</v>
      </c>
      <c r="P90" s="41">
        <v>2</v>
      </c>
      <c r="Q90" s="42" t="s">
        <v>120</v>
      </c>
      <c r="R90" s="42" t="s">
        <v>103</v>
      </c>
      <c r="S90" s="42" t="s">
        <v>169</v>
      </c>
      <c r="T90" s="42" t="s">
        <v>86</v>
      </c>
      <c r="U90" s="42" t="s">
        <v>121</v>
      </c>
      <c r="V90" s="42" t="s">
        <v>118</v>
      </c>
      <c r="W90" s="42" t="s">
        <v>77</v>
      </c>
      <c r="X90" s="42" t="s">
        <v>176</v>
      </c>
      <c r="Y90" s="42" t="s">
        <v>77</v>
      </c>
      <c r="Z90" s="42" t="s">
        <v>77</v>
      </c>
      <c r="AA90" s="42" t="s">
        <v>73</v>
      </c>
      <c r="AB90" s="42" t="s">
        <v>77</v>
      </c>
      <c r="AC90" s="42" t="s">
        <v>77</v>
      </c>
      <c r="AD90" s="42" t="s">
        <v>77</v>
      </c>
      <c r="AE90" s="42" t="s">
        <v>81</v>
      </c>
      <c r="AF90" s="42" t="s">
        <v>82</v>
      </c>
      <c r="AG90" s="42" t="s">
        <v>77</v>
      </c>
      <c r="AH90" s="42" t="s">
        <v>77</v>
      </c>
      <c r="AI90" s="42" t="s">
        <v>77</v>
      </c>
      <c r="AJ90" s="42" t="s">
        <v>77</v>
      </c>
      <c r="AK90" s="42" t="s">
        <v>77</v>
      </c>
      <c r="AL90" t="str">
        <f>VLOOKUP($Q90,武学奇术!$A:$ZZ,25,FALSE)</f>
        <v>陌刀</v>
      </c>
      <c r="AM90" s="27">
        <f>VLOOKUP($Q90,武学奇术!$A:$ZZ,26,FALSE)</f>
        <v>7.5674</v>
      </c>
      <c r="AN90" s="28">
        <f>VLOOKUP($Q90,武学奇术!$A:$ZZ,27,FALSE)*(1+IF(OR($AL90=$F$4,$AL90=$F$5),$B$22,0))</f>
        <v>3139.5</v>
      </c>
      <c r="AO90" s="27">
        <f>VLOOKUP($Q90,武学奇术!$A:$ZZ,28,FALSE)</f>
        <v>11.3512</v>
      </c>
      <c r="AP90" s="28">
        <f>VLOOKUP($Q90,武学奇术!$A:$ZZ,29,FALSE)*(1+IF(OR($AL90=$F$4,$AL90=$F$5),$B$22,0))</f>
        <v>1710</v>
      </c>
      <c r="AQ90" s="27" cm="1">
        <f t="array" ref="AQ90">$G$3+IFERROR(VLOOKUP($AL90,$F$4:$G$7,2,FALSE),0)+VLOOKUP($Q90,武学奇术!$A:$ZZ,2,FALSE)+SUM(_xlfn.XLOOKUP($R90:$AK90,增益!$A:$A,增益!$B:$B,0))</f>
        <v>0.7341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3574.7</v>
      </c>
      <c r="AT90" cm="1">
        <f t="array" ref="AT90">$E$10*(1+$AR90)+VLOOKUP($Q90,武学奇术!$A:$ZZ,4,FALSE)+SUM(_xlfn.XLOOKUP($R90:$AK90,增益!$A:$A,增益!$D:$D,0))-$I$2</f>
        <v>3574.7</v>
      </c>
      <c r="AU90" s="34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0.352</v>
      </c>
      <c r="AV90" s="34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4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-0.14</v>
      </c>
      <c r="BA90" s="34" cm="1">
        <f t="array" ref="BA90">$G$11+VLOOKUP($Q90,武学奇术!$A:$ZZ,10,FALSE)+SUM(_xlfn.XLOOKUP($R90:$AK90,增益!$A:$A,增益!$J:$J,0))</f>
        <v>0</v>
      </c>
      <c r="BB90">
        <f t="shared" si="14"/>
        <v>591.9</v>
      </c>
      <c r="BC90">
        <f t="shared" si="15"/>
        <v>1600.3</v>
      </c>
      <c r="BD90" s="34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0.17</v>
      </c>
      <c r="BE90" s="34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4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-0.14</v>
      </c>
      <c r="BI90" s="34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4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-0.14</v>
      </c>
      <c r="BM90" s="34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1</v>
      </c>
      <c r="BP90" s="27" cm="1">
        <f t="array" ref="BP90">1+$B$13+VLOOKUP($Q90,武学奇术!$A:$ZZ,18,FALSE)+SUM(_xlfn.XLOOKUP($R90:$AK90,增益!$A:$A,增益!$R:$R,0))</f>
        <v>2.1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</v>
      </c>
      <c r="BR90" s="27" cm="1">
        <f t="array" ref="BR90">1+$B$14+VLOOKUP($Q90,武学奇术!$A:$ZZ,20,FALSE)+SUM(_xlfn.XLOOKUP($R90:$AK90,增益!$A:$A,增益!$T:$T,0))</f>
        <v>1.35</v>
      </c>
      <c r="BS90" s="27">
        <f t="shared" si="20"/>
        <v>1</v>
      </c>
      <c r="BT90" s="27">
        <f t="shared" si="21"/>
        <v>0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K91" s="40">
        <f t="shared" si="11"/>
        <v>143400.474551239</v>
      </c>
      <c r="L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146895.858037781</v>
      </c>
      <c r="M91" s="40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130053.385256658</v>
      </c>
      <c r="N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84422.906918265</v>
      </c>
      <c r="O91" s="40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72509.9729056725</v>
      </c>
      <c r="P91" s="41">
        <v>1</v>
      </c>
      <c r="Q91" s="42" t="s">
        <v>149</v>
      </c>
      <c r="R91" s="42" t="s">
        <v>103</v>
      </c>
      <c r="S91" s="42" t="s">
        <v>169</v>
      </c>
      <c r="T91" s="42" t="s">
        <v>86</v>
      </c>
      <c r="U91" s="42" t="s">
        <v>87</v>
      </c>
      <c r="V91" s="42" t="s">
        <v>77</v>
      </c>
      <c r="W91" s="42" t="s">
        <v>77</v>
      </c>
      <c r="X91" s="42" t="s">
        <v>176</v>
      </c>
      <c r="Y91" s="42" t="s">
        <v>77</v>
      </c>
      <c r="Z91" s="42" t="s">
        <v>77</v>
      </c>
      <c r="AA91" s="42" t="s">
        <v>77</v>
      </c>
      <c r="AB91" s="42" t="s">
        <v>77</v>
      </c>
      <c r="AC91" s="42" t="s">
        <v>77</v>
      </c>
      <c r="AD91" s="42" t="s">
        <v>77</v>
      </c>
      <c r="AE91" s="42" t="s">
        <v>81</v>
      </c>
      <c r="AF91" s="42" t="s">
        <v>82</v>
      </c>
      <c r="AG91" s="42" t="s">
        <v>77</v>
      </c>
      <c r="AH91" s="42" t="s">
        <v>77</v>
      </c>
      <c r="AI91" s="42" t="s">
        <v>77</v>
      </c>
      <c r="AJ91" s="42" t="s">
        <v>77</v>
      </c>
      <c r="AK91" s="42" t="s">
        <v>77</v>
      </c>
      <c r="AL91" t="str">
        <f>VLOOKUP($Q91,武学奇术!$A:$ZZ,25,FALSE)</f>
        <v>单体奇术</v>
      </c>
      <c r="AM91" s="27">
        <f>VLOOKUP($Q91,武学奇术!$A:$ZZ,26,FALSE)</f>
        <v>7.1084</v>
      </c>
      <c r="AN91" s="28">
        <f>VLOOKUP($Q91,武学奇术!$A:$ZZ,27,FALSE)*(1+IF(OR($AL91=$F$4,$AL91=$F$5),$B$22,0))</f>
        <v>1369</v>
      </c>
      <c r="AO91" s="27">
        <f>VLOOKUP($Q91,武学奇术!$A:$ZZ,28,FALSE)</f>
        <v>10.6626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0.4837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3574.7</v>
      </c>
      <c r="AT91" cm="1">
        <f t="array" ref="AT91">$E$10*(1+$AR91)+VLOOKUP($Q91,武学奇术!$A:$ZZ,4,FALSE)+SUM(_xlfn.XLOOKUP($R91:$AK91,增益!$A:$A,增益!$D:$D,0))-$I$2</f>
        <v>3574.7</v>
      </c>
      <c r="AU91" s="34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0.327</v>
      </c>
      <c r="AV91" s="34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4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-0.14</v>
      </c>
      <c r="BA91" s="34" cm="1">
        <f t="array" ref="BA91">$G$11+VLOOKUP($Q91,武学奇术!$A:$ZZ,10,FALSE)+SUM(_xlfn.XLOOKUP($R91:$AK91,增益!$A:$A,增益!$J:$J,0))</f>
        <v>0</v>
      </c>
      <c r="BB91">
        <f t="shared" si="14"/>
        <v>591.9</v>
      </c>
      <c r="BC91">
        <f t="shared" si="15"/>
        <v>1600.3</v>
      </c>
      <c r="BD91" s="34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0.17</v>
      </c>
      <c r="BE91" s="34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4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-0.14</v>
      </c>
      <c r="BI91" s="34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4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-0.14</v>
      </c>
      <c r="BM91" s="34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0.9859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7" cm="1">
        <f t="array" ref="BP91">1+$B$13+VLOOKUP($Q91,武学奇术!$A:$ZZ,18,FALSE)+SUM(_xlfn.XLOOKUP($R91:$AK91,增益!$A:$A,增益!$R:$R,0))</f>
        <v>1.74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7" cm="1">
        <f t="array" ref="BR91">1+$B$14+VLOOKUP($Q91,武学奇术!$A:$ZZ,20,FALSE)+SUM(_xlfn.XLOOKUP($R91:$AK91,增益!$A:$A,增益!$T:$T,0))</f>
        <v>1.35</v>
      </c>
      <c r="BS91" s="27">
        <f t="shared" si="20"/>
        <v>0.87863408</v>
      </c>
      <c r="BT91" s="27">
        <f t="shared" si="21"/>
        <v>0.01567581</v>
      </c>
      <c r="BU91" s="27">
        <f>IF(VLOOKUP($Q91,武学奇术!$A:$ZZ,22,FALSE)=1,0,(1-$BN91))*(1-$BQ91)</f>
        <v>0.01279011</v>
      </c>
      <c r="BV91" s="27" cm="1">
        <f t="array" ref="BV91">SUM(_xlfn.XLOOKUP($R91:$AK91,增益!$A:$A,增益!$W:$W,0))+$I$5</f>
        <v>0.11</v>
      </c>
    </row>
    <row r="92" spans="1:74">
      <c r="K92" s="40">
        <f t="shared" si="11"/>
        <v>56627.3414358108</v>
      </c>
      <c r="L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58822.5643881982</v>
      </c>
      <c r="M92" s="40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44715.6271015221</v>
      </c>
      <c r="N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29411.2821940991</v>
      </c>
      <c r="O92" s="40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25699.8776463299</v>
      </c>
      <c r="P92" s="41">
        <v>1</v>
      </c>
      <c r="Q92" s="42" t="s">
        <v>157</v>
      </c>
      <c r="R92" s="42" t="s">
        <v>103</v>
      </c>
      <c r="S92" s="42" t="s">
        <v>169</v>
      </c>
      <c r="T92" s="42" t="s">
        <v>86</v>
      </c>
      <c r="U92" s="42" t="s">
        <v>121</v>
      </c>
      <c r="V92" s="42" t="s">
        <v>77</v>
      </c>
      <c r="W92" s="42" t="s">
        <v>77</v>
      </c>
      <c r="X92" s="42" t="s">
        <v>176</v>
      </c>
      <c r="Y92" s="42" t="s">
        <v>77</v>
      </c>
      <c r="Z92" s="42" t="s">
        <v>77</v>
      </c>
      <c r="AA92" s="42" t="s">
        <v>73</v>
      </c>
      <c r="AB92" s="42" t="s">
        <v>77</v>
      </c>
      <c r="AC92" s="42" t="s">
        <v>77</v>
      </c>
      <c r="AD92" s="42" t="s">
        <v>77</v>
      </c>
      <c r="AE92" s="42" t="s">
        <v>81</v>
      </c>
      <c r="AF92" s="42" t="s">
        <v>82</v>
      </c>
      <c r="AG92" s="42" t="s">
        <v>77</v>
      </c>
      <c r="AH92" s="42" t="s">
        <v>77</v>
      </c>
      <c r="AI92" s="42" t="s">
        <v>77</v>
      </c>
      <c r="AJ92" s="42" t="s">
        <v>77</v>
      </c>
      <c r="AK92" s="42" t="s">
        <v>77</v>
      </c>
      <c r="AL92" t="str">
        <f>VLOOKUP($Q92,武学奇术!$A:$ZZ,25,FALSE)</f>
        <v>陌刀</v>
      </c>
      <c r="AM92" s="27">
        <f>VLOOKUP($Q92,武学奇术!$A:$ZZ,26,FALSE)</f>
        <v>1.8948</v>
      </c>
      <c r="AN92" s="28">
        <f>VLOOKUP($Q92,武学奇术!$A:$ZZ,27,FALSE)*(1+IF(OR($AL92=$F$4,$AL92=$F$5),$B$22,0))</f>
        <v>787.5</v>
      </c>
      <c r="AO92" s="27">
        <f>VLOOKUP($Q92,武学奇术!$A:$ZZ,28,FALSE)</f>
        <v>2.8422</v>
      </c>
      <c r="AP92" s="28">
        <f>VLOOKUP($Q92,武学奇术!$A:$ZZ,29,FALSE)*(1+IF(OR($AL92=$F$4,$AL92=$F$5),$B$22,0))</f>
        <v>429</v>
      </c>
      <c r="AQ92" s="27" cm="1">
        <f t="array" ref="AQ92">$G$3+IFERROR(VLOOKUP($AL92,$F$4:$G$7,2,FALSE),0)+VLOOKUP($Q92,武学奇术!$A:$ZZ,2,FALSE)+SUM(_xlfn.XLOOKUP($R92:$AK92,增益!$A:$A,增益!$B:$B,0))</f>
        <v>0.7341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3574.7</v>
      </c>
      <c r="AT92" cm="1">
        <f t="array" ref="AT92">$E$10*(1+$AR92)+VLOOKUP($Q92,武学奇术!$A:$ZZ,4,FALSE)+SUM(_xlfn.XLOOKUP($R92:$AK92,增益!$A:$A,增益!$D:$D,0))-$I$2</f>
        <v>3574.7</v>
      </c>
      <c r="AU92" s="34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0.352</v>
      </c>
      <c r="AV92" s="34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4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4" cm="1">
        <f t="array" ref="BA92">$G$11+VLOOKUP($Q92,武学奇术!$A:$ZZ,10,FALSE)+SUM(_xlfn.XLOOKUP($R92:$AK92,增益!$A:$A,增益!$J:$J,0))</f>
        <v>0</v>
      </c>
      <c r="BB92">
        <f t="shared" si="14"/>
        <v>591.9</v>
      </c>
      <c r="BC92">
        <f t="shared" si="15"/>
        <v>1600.3</v>
      </c>
      <c r="BD92" s="34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0.17</v>
      </c>
      <c r="BE92" s="34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4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4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4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4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0.9859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7" cm="1">
        <f t="array" ref="BP92">1+$B$13+VLOOKUP($Q92,武学奇术!$A:$ZZ,18,FALSE)+SUM(_xlfn.XLOOKUP($R92:$AK92,增益!$A:$A,增益!$R:$R,0))</f>
        <v>2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7" cm="1">
        <f t="array" ref="BR92">1+$B$14+VLOOKUP($Q92,武学奇术!$A:$ZZ,20,FALSE)+SUM(_xlfn.XLOOKUP($R92:$AK92,增益!$A:$A,增益!$T:$T,0))</f>
        <v>1.35</v>
      </c>
      <c r="BS92" s="27">
        <f t="shared" si="20"/>
        <v>0.87863408</v>
      </c>
      <c r="BT92" s="27">
        <f t="shared" si="21"/>
        <v>0.01567581</v>
      </c>
      <c r="BU92" s="27">
        <f>IF(VLOOKUP($Q92,武学奇术!$A:$ZZ,22,FALSE)=1,0,(1-$BN92))*(1-$BQ92)</f>
        <v>0.01279011</v>
      </c>
      <c r="BV92" s="27" cm="1">
        <f t="array" ref="BV92">SUM(_xlfn.XLOOKUP($R92:$AK92,增益!$A:$A,增益!$W:$W,0))+$I$5</f>
        <v>0.11</v>
      </c>
    </row>
    <row r="93" spans="1:74">
      <c r="K93" s="40">
        <f t="shared" si="11"/>
        <v>26137.6121308657</v>
      </c>
      <c r="L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27121.9136971789</v>
      </c>
      <c r="M93" s="40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20951.5793429614</v>
      </c>
      <c r="N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13560.9568485895</v>
      </c>
      <c r="O93" s="40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11602.2252949853</v>
      </c>
      <c r="P93" s="41">
        <v>1</v>
      </c>
      <c r="Q93" s="42" t="s">
        <v>159</v>
      </c>
      <c r="R93" s="42" t="s">
        <v>103</v>
      </c>
      <c r="S93" s="42" t="s">
        <v>169</v>
      </c>
      <c r="T93" s="42" t="s">
        <v>86</v>
      </c>
      <c r="U93" s="42" t="s">
        <v>121</v>
      </c>
      <c r="V93" s="42" t="s">
        <v>77</v>
      </c>
      <c r="W93" s="42" t="s">
        <v>77</v>
      </c>
      <c r="X93" s="42" t="s">
        <v>176</v>
      </c>
      <c r="Y93" s="42" t="s">
        <v>77</v>
      </c>
      <c r="Z93" s="42" t="s">
        <v>77</v>
      </c>
      <c r="AA93" s="42" t="s">
        <v>73</v>
      </c>
      <c r="AB93" s="42" t="s">
        <v>77</v>
      </c>
      <c r="AC93" s="42" t="s">
        <v>77</v>
      </c>
      <c r="AD93" s="42" t="s">
        <v>77</v>
      </c>
      <c r="AE93" s="42" t="s">
        <v>81</v>
      </c>
      <c r="AF93" s="42" t="s">
        <v>82</v>
      </c>
      <c r="AG93" s="42" t="s">
        <v>77</v>
      </c>
      <c r="AH93" s="42" t="s">
        <v>77</v>
      </c>
      <c r="AI93" s="42" t="s">
        <v>77</v>
      </c>
      <c r="AJ93" s="42" t="s">
        <v>77</v>
      </c>
      <c r="AK93" s="42" t="s">
        <v>77</v>
      </c>
      <c r="AL93" t="str">
        <f>VLOOKUP($Q93,武学奇术!$A:$ZZ,25,FALSE)</f>
        <v>陌刀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1.5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0.7341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3574.7</v>
      </c>
      <c r="AT93" cm="1">
        <f t="array" ref="AT93">$E$10*(1+$AR93)+VLOOKUP($Q93,武学奇术!$A:$ZZ,4,FALSE)+SUM(_xlfn.XLOOKUP($R93:$AK93,增益!$A:$A,增益!$D:$D,0))-$I$2</f>
        <v>3574.7</v>
      </c>
      <c r="AU93" s="34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0.352</v>
      </c>
      <c r="AV93" s="34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4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-0.14</v>
      </c>
      <c r="BA93" s="34" cm="1">
        <f t="array" ref="BA93">$G$11+VLOOKUP($Q93,武学奇术!$A:$ZZ,10,FALSE)+SUM(_xlfn.XLOOKUP($R93:$AK93,增益!$A:$A,增益!$J:$J,0))</f>
        <v>0</v>
      </c>
      <c r="BB93">
        <f t="shared" si="14"/>
        <v>591.9</v>
      </c>
      <c r="BC93">
        <f t="shared" si="15"/>
        <v>1600.3</v>
      </c>
      <c r="BD93" s="34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0.17</v>
      </c>
      <c r="BE93" s="34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4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-0.14</v>
      </c>
      <c r="BI93" s="34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4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-0.14</v>
      </c>
      <c r="BM93" s="34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0.9859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7" cm="1">
        <f t="array" ref="BP93">1+$B$13+VLOOKUP($Q93,武学奇术!$A:$ZZ,18,FALSE)+SUM(_xlfn.XLOOKUP($R93:$AK93,增益!$A:$A,增益!$R:$R,0))</f>
        <v>2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7" cm="1">
        <f t="array" ref="BR93">1+$B$14+VLOOKUP($Q93,武学奇术!$A:$ZZ,20,FALSE)+SUM(_xlfn.XLOOKUP($R93:$AK93,增益!$A:$A,增益!$T:$T,0))</f>
        <v>1.35</v>
      </c>
      <c r="BS93" s="27">
        <f t="shared" si="20"/>
        <v>0.87863408</v>
      </c>
      <c r="BT93" s="27">
        <f t="shared" si="21"/>
        <v>0.01567581</v>
      </c>
      <c r="BU93" s="27">
        <f>IF(VLOOKUP($Q93,武学奇术!$A:$ZZ,22,FALSE)=1,0,(1-$BN93))*(1-$BQ93)</f>
        <v>0.01279011</v>
      </c>
      <c r="BV93" s="27" cm="1">
        <f t="array" ref="BV93">SUM(_xlfn.XLOOKUP($R93:$AK93,增益!$A:$A,增益!$W:$W,0))+$I$5</f>
        <v>0.11</v>
      </c>
    </row>
    <row r="94" spans="1:74">
      <c r="K94" s="40">
        <f t="shared" si="11"/>
        <v>15634.657059156</v>
      </c>
      <c r="L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16202.9652524876</v>
      </c>
      <c r="M94" s="40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12650.4497443363</v>
      </c>
      <c r="N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8309.21294999363</v>
      </c>
      <c r="O94" s="40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7247.72238566408</v>
      </c>
      <c r="P94" s="41">
        <v>1</v>
      </c>
      <c r="Q94" s="42" t="s">
        <v>179</v>
      </c>
      <c r="R94" s="42" t="s">
        <v>103</v>
      </c>
      <c r="S94" s="42" t="s">
        <v>77</v>
      </c>
      <c r="T94" s="42" t="s">
        <v>86</v>
      </c>
      <c r="U94" s="42" t="s">
        <v>87</v>
      </c>
      <c r="V94" s="42" t="s">
        <v>77</v>
      </c>
      <c r="W94" s="42" t="s">
        <v>77</v>
      </c>
      <c r="X94" s="42" t="s">
        <v>176</v>
      </c>
      <c r="Y94" s="42" t="s">
        <v>77</v>
      </c>
      <c r="Z94" s="42" t="s">
        <v>77</v>
      </c>
      <c r="AA94" s="42" t="s">
        <v>77</v>
      </c>
      <c r="AB94" s="42" t="s">
        <v>77</v>
      </c>
      <c r="AC94" s="42" t="s">
        <v>77</v>
      </c>
      <c r="AD94" s="42" t="s">
        <v>77</v>
      </c>
      <c r="AE94" s="42" t="s">
        <v>81</v>
      </c>
      <c r="AF94" s="42" t="s">
        <v>82</v>
      </c>
      <c r="AG94" s="42" t="s">
        <v>77</v>
      </c>
      <c r="AH94" s="42" t="s">
        <v>77</v>
      </c>
      <c r="AI94" s="42" t="s">
        <v>77</v>
      </c>
      <c r="AJ94" s="42" t="s">
        <v>77</v>
      </c>
      <c r="AK94" s="42" t="s">
        <v>77</v>
      </c>
      <c r="AL94" t="str">
        <f>VLOOKUP($Q94,武学奇术!$A:$ZZ,25,FALSE)</f>
        <v>横刀</v>
      </c>
      <c r="AM94" s="27">
        <f>VLOOKUP($Q94,武学奇术!$A:$ZZ,26,FALSE)</f>
        <v>0.6486</v>
      </c>
      <c r="AN94" s="28">
        <f>VLOOKUP($Q94,武学奇术!$A:$ZZ,27,FALSE)*(1+IF(OR($AL94=$F$4,$AL94=$F$5),$B$22,0))</f>
        <v>270</v>
      </c>
      <c r="AO94" s="27">
        <f>VLOOKUP($Q94,武学奇术!$A:$ZZ,28,FALSE)</f>
        <v>0.9729</v>
      </c>
      <c r="AP94" s="28">
        <f>VLOOKUP($Q94,武学奇术!$A:$ZZ,29,FALSE)*(1+IF(OR($AL94=$F$4,$AL94=$F$5),$B$22,0))</f>
        <v>147</v>
      </c>
      <c r="AQ94" s="27" cm="1">
        <f t="array" ref="AQ94">$G$3+IFERROR(VLOOKUP($AL94,$F$4:$G$7,2,FALSE),0)+VLOOKUP($Q94,武学奇术!$A:$ZZ,2,FALSE)+SUM(_xlfn.XLOOKUP($R94:$AK94,增益!$A:$A,增益!$B:$B,0))</f>
        <v>0.4489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3574.7</v>
      </c>
      <c r="AT94" cm="1">
        <f t="array" ref="AT94">$E$10*(1+$AR94)+VLOOKUP($Q94,武学奇术!$A:$ZZ,4,FALSE)+SUM(_xlfn.XLOOKUP($R94:$AK94,增益!$A:$A,增益!$D:$D,0))-$I$2</f>
        <v>3574.7</v>
      </c>
      <c r="AU94" s="34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0.327</v>
      </c>
      <c r="AV94" s="34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4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4" cm="1">
        <f t="array" ref="BA94">$G$11+VLOOKUP($Q94,武学奇术!$A:$ZZ,10,FALSE)+SUM(_xlfn.XLOOKUP($R94:$AK94,增益!$A:$A,增益!$J:$J,0))</f>
        <v>0</v>
      </c>
      <c r="BB94">
        <f t="shared" si="14"/>
        <v>591.9</v>
      </c>
      <c r="BC94">
        <f t="shared" si="15"/>
        <v>1600.3</v>
      </c>
      <c r="BD94" s="34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0.17</v>
      </c>
      <c r="BE94" s="34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4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4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4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4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0.9859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7" cm="1">
        <f t="array" ref="BP94">1+$B$13+VLOOKUP($Q94,武学奇术!$A:$ZZ,18,FALSE)+SUM(_xlfn.XLOOKUP($R94:$AK94,增益!$A:$A,增益!$R:$R,0))</f>
        <v>1.95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7" cm="1">
        <f t="array" ref="BR94">1+$B$14+VLOOKUP($Q94,武学奇术!$A:$ZZ,20,FALSE)+SUM(_xlfn.XLOOKUP($R94:$AK94,增益!$A:$A,增益!$T:$T,0))</f>
        <v>1.35</v>
      </c>
      <c r="BS94" s="27">
        <f t="shared" si="20"/>
        <v>0.87863408</v>
      </c>
      <c r="BT94" s="27">
        <f t="shared" si="21"/>
        <v>0.01567581</v>
      </c>
      <c r="BU94" s="27">
        <f>IF(VLOOKUP($Q94,武学奇术!$A:$ZZ,22,FALSE)=1,0,(1-$BN94))*(1-$BQ94)</f>
        <v>0.01279011</v>
      </c>
      <c r="BV94" s="27" cm="1">
        <f t="array" ref="BV94">SUM(_xlfn.XLOOKUP($R94:$AK94,增益!$A:$A,增益!$W:$W,0))+$I$5</f>
        <v>0.11</v>
      </c>
    </row>
    <row r="95" spans="1:74">
      <c r="K95" s="40">
        <f t="shared" si="11"/>
        <v>73649.0636017793</v>
      </c>
      <c r="L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76530.4672729146</v>
      </c>
      <c r="M95" s="40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57873.1363495441</v>
      </c>
      <c r="N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38265.2336364573</v>
      </c>
      <c r="O95" s="40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33661.4773843635</v>
      </c>
      <c r="P95" s="41">
        <v>1</v>
      </c>
      <c r="Q95" s="42" t="s">
        <v>180</v>
      </c>
      <c r="R95" s="42" t="s">
        <v>103</v>
      </c>
      <c r="S95" s="42" t="s">
        <v>77</v>
      </c>
      <c r="T95" s="42" t="s">
        <v>77</v>
      </c>
      <c r="U95" s="42" t="s">
        <v>121</v>
      </c>
      <c r="V95" s="42" t="s">
        <v>77</v>
      </c>
      <c r="W95" s="42" t="s">
        <v>77</v>
      </c>
      <c r="X95" s="42" t="s">
        <v>176</v>
      </c>
      <c r="Y95" s="42" t="s">
        <v>77</v>
      </c>
      <c r="Z95" s="42" t="s">
        <v>77</v>
      </c>
      <c r="AA95" s="42" t="s">
        <v>73</v>
      </c>
      <c r="AB95" s="42" t="s">
        <v>77</v>
      </c>
      <c r="AC95" s="42" t="s">
        <v>77</v>
      </c>
      <c r="AD95" s="42" t="s">
        <v>77</v>
      </c>
      <c r="AE95" s="42" t="s">
        <v>81</v>
      </c>
      <c r="AF95" s="42" t="s">
        <v>82</v>
      </c>
      <c r="AG95" s="42" t="s">
        <v>77</v>
      </c>
      <c r="AH95" s="42" t="s">
        <v>77</v>
      </c>
      <c r="AI95" s="42" t="s">
        <v>77</v>
      </c>
      <c r="AJ95" s="42" t="s">
        <v>77</v>
      </c>
      <c r="AK95" s="42" t="s">
        <v>77</v>
      </c>
      <c r="AL95" t="str">
        <f>VLOOKUP($Q95,武学奇术!$A:$ZZ,25,FALSE)</f>
        <v>横刀</v>
      </c>
      <c r="AM95" s="27">
        <f>VLOOKUP($Q95,武学奇术!$A:$ZZ,26,FALSE)</f>
        <v>2.8245</v>
      </c>
      <c r="AN95" s="28">
        <f>VLOOKUP($Q95,武学奇术!$A:$ZZ,27,FALSE)*(1+IF(OR($AL95=$F$4,$AL95=$F$5),$B$22,0))</f>
        <v>1173</v>
      </c>
      <c r="AO95" s="27">
        <f>VLOOKUP($Q95,武学奇术!$A:$ZZ,28,FALSE)</f>
        <v>4.236808</v>
      </c>
      <c r="AP95" s="28">
        <f>VLOOKUP($Q95,武学奇术!$A:$ZZ,29,FALSE)*(1+IF(OR($AL95=$F$4,$AL95=$F$5),$B$22,0))</f>
        <v>637.5</v>
      </c>
      <c r="AQ95" s="27" cm="1">
        <f t="array" ref="AQ95">$G$3+IFERROR(VLOOKUP($AL95,$F$4:$G$7,2,FALSE),0)+VLOOKUP($Q95,武学奇术!$A:$ZZ,2,FALSE)+SUM(_xlfn.XLOOKUP($R95:$AK95,增益!$A:$A,增益!$B:$B,0))</f>
        <v>0.5489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3574.7</v>
      </c>
      <c r="AT95" cm="1">
        <f t="array" ref="AT95">$E$10*(1+$AR95)+VLOOKUP($Q95,武学奇术!$A:$ZZ,4,FALSE)+SUM(_xlfn.XLOOKUP($R95:$AK95,增益!$A:$A,增益!$D:$D,0))-$I$2</f>
        <v>3574.7</v>
      </c>
      <c r="AU95" s="34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0.352</v>
      </c>
      <c r="AV95" s="34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4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4" cm="1">
        <f t="array" ref="BA95">$G$11+VLOOKUP($Q95,武学奇术!$A:$ZZ,10,FALSE)+SUM(_xlfn.XLOOKUP($R95:$AK95,增益!$A:$A,增益!$J:$J,0))</f>
        <v>0</v>
      </c>
      <c r="BB95">
        <f t="shared" si="14"/>
        <v>591.9</v>
      </c>
      <c r="BC95">
        <f t="shared" si="15"/>
        <v>1600.3</v>
      </c>
      <c r="BD95" s="34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0.09</v>
      </c>
      <c r="BE95" s="34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4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4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4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4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0.9859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7" cm="1">
        <f t="array" ref="BP95">1+$B$13+VLOOKUP($Q95,武学奇术!$A:$ZZ,18,FALSE)+SUM(_xlfn.XLOOKUP($R95:$AK95,增益!$A:$A,增益!$R:$R,0))</f>
        <v>2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7" cm="1">
        <f t="array" ref="BR95">1+$B$14+VLOOKUP($Q95,武学奇术!$A:$ZZ,20,FALSE)+SUM(_xlfn.XLOOKUP($R95:$AK95,增益!$A:$A,增益!$T:$T,0))</f>
        <v>1.35</v>
      </c>
      <c r="BS95" s="27">
        <f t="shared" si="20"/>
        <v>0.87863408</v>
      </c>
      <c r="BT95" s="27">
        <f t="shared" si="21"/>
        <v>0.01567581</v>
      </c>
      <c r="BU95" s="27">
        <f>IF(VLOOKUP($Q95,武学奇术!$A:$ZZ,22,FALSE)=1,0,(1-$BN95))*(1-$BQ95)</f>
        <v>0.01279011</v>
      </c>
      <c r="BV95" s="27" cm="1">
        <f t="array" ref="BV95">SUM(_xlfn.XLOOKUP($R95:$AK95,增益!$A:$A,增益!$W:$W,0))+$I$5</f>
        <v>0.11</v>
      </c>
    </row>
    <row r="96" spans="1:74">
      <c r="K96" s="40">
        <f t="shared" si="11"/>
        <v>29905.876580433</v>
      </c>
      <c r="L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31044.6449030552</v>
      </c>
      <c r="M96" s="40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23836.7879836655</v>
      </c>
      <c r="N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15522.3224515276</v>
      </c>
      <c r="O96" s="40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13387.7649151549</v>
      </c>
      <c r="P96" s="41">
        <v>1</v>
      </c>
      <c r="Q96" s="42" t="s">
        <v>110</v>
      </c>
      <c r="R96" s="42" t="s">
        <v>103</v>
      </c>
      <c r="S96" s="42" t="s">
        <v>77</v>
      </c>
      <c r="T96" s="42" t="s">
        <v>77</v>
      </c>
      <c r="U96" s="42" t="s">
        <v>121</v>
      </c>
      <c r="V96" s="42" t="s">
        <v>77</v>
      </c>
      <c r="W96" s="42" t="s">
        <v>77</v>
      </c>
      <c r="X96" s="42" t="s">
        <v>176</v>
      </c>
      <c r="Y96" s="42" t="s">
        <v>77</v>
      </c>
      <c r="Z96" s="42" t="s">
        <v>77</v>
      </c>
      <c r="AA96" s="42" t="s">
        <v>73</v>
      </c>
      <c r="AB96" s="42" t="s">
        <v>77</v>
      </c>
      <c r="AC96" s="42" t="s">
        <v>77</v>
      </c>
      <c r="AD96" s="42" t="s">
        <v>77</v>
      </c>
      <c r="AE96" s="42" t="s">
        <v>81</v>
      </c>
      <c r="AF96" s="42" t="s">
        <v>82</v>
      </c>
      <c r="AG96" s="42" t="s">
        <v>77</v>
      </c>
      <c r="AH96" s="42" t="s">
        <v>77</v>
      </c>
      <c r="AI96" s="42" t="s">
        <v>77</v>
      </c>
      <c r="AJ96" s="42" t="s">
        <v>77</v>
      </c>
      <c r="AK96" s="42" t="s">
        <v>77</v>
      </c>
      <c r="AL96" t="str">
        <f>VLOOKUP($Q96,武学奇术!$A:$ZZ,25,FALSE)</f>
        <v>横刀</v>
      </c>
      <c r="AM96" s="27">
        <f>VLOOKUP($Q96,武学奇术!$A:$ZZ,26,FALSE)</f>
        <v>1.4</v>
      </c>
      <c r="AN96" s="28">
        <f>VLOOKUP($Q96,武学奇术!$A:$ZZ,27,FALSE)*(1+IF(OR($AL96=$F$4,$AL96=$F$5),$B$22,0))</f>
        <v>0</v>
      </c>
      <c r="AO96" s="27">
        <f>VLOOKUP($Q96,武学奇术!$A:$ZZ,28,FALSE)</f>
        <v>2.1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0.4489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3574.7</v>
      </c>
      <c r="AT96" cm="1">
        <f t="array" ref="AT96">$E$10*(1+$AR96)+VLOOKUP($Q96,武学奇术!$A:$ZZ,4,FALSE)+SUM(_xlfn.XLOOKUP($R96:$AK96,增益!$A:$A,增益!$D:$D,0))-$I$2</f>
        <v>3574.7</v>
      </c>
      <c r="AU96" s="34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0.352</v>
      </c>
      <c r="AV96" s="34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4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4" cm="1">
        <f t="array" ref="BA96">$G$11+VLOOKUP($Q96,武学奇术!$A:$ZZ,10,FALSE)+SUM(_xlfn.XLOOKUP($R96:$AK96,增益!$A:$A,增益!$J:$J,0))</f>
        <v>0</v>
      </c>
      <c r="BB96">
        <f t="shared" si="14"/>
        <v>591.9</v>
      </c>
      <c r="BC96">
        <f t="shared" si="15"/>
        <v>1600.3</v>
      </c>
      <c r="BD96" s="34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0.09</v>
      </c>
      <c r="BE96" s="34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4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4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4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4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0.9859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7" cm="1">
        <f t="array" ref="BP96">1+$B$13+VLOOKUP($Q96,武学奇术!$A:$ZZ,18,FALSE)+SUM(_xlfn.XLOOKUP($R96:$AK96,增益!$A:$A,增益!$R:$R,0))</f>
        <v>2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7" cm="1">
        <f t="array" ref="BR96">1+$B$14+VLOOKUP($Q96,武学奇术!$A:$ZZ,20,FALSE)+SUM(_xlfn.XLOOKUP($R96:$AK96,增益!$A:$A,增益!$T:$T,0))</f>
        <v>1.35</v>
      </c>
      <c r="BS96" s="27">
        <f t="shared" si="20"/>
        <v>0.87863408</v>
      </c>
      <c r="BT96" s="27">
        <f t="shared" si="21"/>
        <v>0.01567581</v>
      </c>
      <c r="BU96" s="27">
        <f>IF(VLOOKUP($Q96,武学奇术!$A:$ZZ,22,FALSE)=1,0,(1-$BN96))*(1-$BQ96)</f>
        <v>0.01279011</v>
      </c>
      <c r="BV96" s="27" cm="1">
        <f t="array" ref="BV96">SUM(_xlfn.XLOOKUP($R96:$AK96,增益!$A:$A,增益!$W:$W,0))+$I$5</f>
        <v>0.11</v>
      </c>
    </row>
    <row r="97" spans="11:74">
      <c r="K97" s="40">
        <f t="shared" si="11"/>
        <v>27439.5843015451</v>
      </c>
      <c r="L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28447.0702740321</v>
      </c>
      <c r="M97" s="40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22093.4649172681</v>
      </c>
      <c r="N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14588.2411661703</v>
      </c>
      <c r="O97" s="40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12810.9527639938</v>
      </c>
      <c r="P97" s="41">
        <v>1</v>
      </c>
      <c r="Q97" s="42" t="s">
        <v>162</v>
      </c>
      <c r="R97" s="42" t="s">
        <v>103</v>
      </c>
      <c r="S97" s="42" t="s">
        <v>77</v>
      </c>
      <c r="T97" s="42" t="s">
        <v>77</v>
      </c>
      <c r="U97" s="42" t="s">
        <v>87</v>
      </c>
      <c r="V97" s="42" t="s">
        <v>77</v>
      </c>
      <c r="W97" s="42" t="s">
        <v>77</v>
      </c>
      <c r="X97" s="42" t="s">
        <v>176</v>
      </c>
      <c r="Y97" s="42" t="s">
        <v>77</v>
      </c>
      <c r="Z97" s="42" t="s">
        <v>77</v>
      </c>
      <c r="AA97" s="42" t="s">
        <v>77</v>
      </c>
      <c r="AB97" s="42" t="s">
        <v>77</v>
      </c>
      <c r="AC97" s="42" t="s">
        <v>77</v>
      </c>
      <c r="AD97" s="42" t="s">
        <v>77</v>
      </c>
      <c r="AE97" s="42" t="s">
        <v>81</v>
      </c>
      <c r="AF97" s="42" t="s">
        <v>82</v>
      </c>
      <c r="AG97" s="42" t="s">
        <v>77</v>
      </c>
      <c r="AH97" s="42" t="s">
        <v>77</v>
      </c>
      <c r="AI97" s="42" t="s">
        <v>77</v>
      </c>
      <c r="AJ97" s="42" t="s">
        <v>77</v>
      </c>
      <c r="AK97" s="42" t="s">
        <v>77</v>
      </c>
      <c r="AL97" t="str">
        <f>VLOOKUP($Q97,武学奇术!$A:$ZZ,25,FALSE)</f>
        <v>横刀</v>
      </c>
      <c r="AM97" s="27">
        <f>VLOOKUP($Q97,武学奇术!$A:$ZZ,26,FALSE)</f>
        <v>1.2338</v>
      </c>
      <c r="AN97" s="28">
        <f>VLOOKUP($Q97,武学奇术!$A:$ZZ,27,FALSE)*(1+IF(OR($AL97=$F$4,$AL97=$F$5),$B$22,0))</f>
        <v>513</v>
      </c>
      <c r="AO97" s="27">
        <f>VLOOKUP($Q97,武学奇术!$A:$ZZ,28,FALSE)</f>
        <v>1.8507</v>
      </c>
      <c r="AP97" s="28">
        <f>VLOOKUP($Q97,武学奇术!$A:$ZZ,29,FALSE)*(1+IF(OR($AL97=$F$4,$AL97=$F$5),$B$22,0))</f>
        <v>279</v>
      </c>
      <c r="AQ97" s="27" cm="1">
        <f t="array" ref="AQ97">$G$3+IFERROR(VLOOKUP($AL97,$F$4:$G$7,2,FALSE),0)+VLOOKUP($Q97,武学奇术!$A:$ZZ,2,FALSE)+SUM(_xlfn.XLOOKUP($R97:$AK97,增益!$A:$A,增益!$B:$B,0))</f>
        <v>0.3689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3574.7</v>
      </c>
      <c r="AT97" cm="1">
        <f t="array" ref="AT97">$E$10*(1+$AR97)+VLOOKUP($Q97,武学奇术!$A:$ZZ,4,FALSE)+SUM(_xlfn.XLOOKUP($R97:$AK97,增益!$A:$A,增益!$D:$D,0))-$I$2</f>
        <v>3574.7</v>
      </c>
      <c r="AU97" s="34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0.327</v>
      </c>
      <c r="AV97" s="34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4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4" cm="1">
        <f t="array" ref="BA97">$G$11+VLOOKUP($Q97,武学奇术!$A:$ZZ,10,FALSE)+SUM(_xlfn.XLOOKUP($R97:$AK97,增益!$A:$A,增益!$J:$J,0))</f>
        <v>0</v>
      </c>
      <c r="BB97">
        <f t="shared" si="14"/>
        <v>591.9</v>
      </c>
      <c r="BC97">
        <f t="shared" si="15"/>
        <v>1600.3</v>
      </c>
      <c r="BD97" s="34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0.09</v>
      </c>
      <c r="BE97" s="34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4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4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4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4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0.9859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7" cm="1">
        <f t="array" ref="BP97">1+$B$13+VLOOKUP($Q97,武学奇术!$A:$ZZ,18,FALSE)+SUM(_xlfn.XLOOKUP($R97:$AK97,增益!$A:$A,增益!$R:$R,0))</f>
        <v>1.95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7" cm="1">
        <f t="array" ref="BR97">1+$B$14+VLOOKUP($Q97,武学奇术!$A:$ZZ,20,FALSE)+SUM(_xlfn.XLOOKUP($R97:$AK97,增益!$A:$A,增益!$T:$T,0))</f>
        <v>1.35</v>
      </c>
      <c r="BS97" s="27">
        <f t="shared" si="20"/>
        <v>0.87863408</v>
      </c>
      <c r="BT97" s="27">
        <f t="shared" si="21"/>
        <v>0.01567581</v>
      </c>
      <c r="BU97" s="27">
        <f>IF(VLOOKUP($Q97,武学奇术!$A:$ZZ,22,FALSE)=1,0,(1-$BN97))*(1-$BQ97)</f>
        <v>0.01279011</v>
      </c>
      <c r="BV97" s="27" cm="1">
        <f t="array" ref="BV97">SUM(_xlfn.XLOOKUP($R97:$AK97,增益!$A:$A,增益!$W:$W,0))+$I$5</f>
        <v>0.11</v>
      </c>
    </row>
    <row r="98" spans="11:74">
      <c r="K98" s="40">
        <f t="shared" si="11"/>
        <v>85274.5778189529</v>
      </c>
      <c r="L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88405.4532303497</v>
      </c>
      <c r="M98" s="40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68661.5167926421</v>
      </c>
      <c r="N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45336.1298617178</v>
      </c>
      <c r="O98" s="40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39811.8769140711</v>
      </c>
      <c r="P98" s="41">
        <v>1</v>
      </c>
      <c r="Q98" s="42" t="s">
        <v>164</v>
      </c>
      <c r="R98" s="42" t="s">
        <v>103</v>
      </c>
      <c r="S98" s="42" t="s">
        <v>77</v>
      </c>
      <c r="T98" s="42" t="s">
        <v>77</v>
      </c>
      <c r="U98" s="42" t="s">
        <v>87</v>
      </c>
      <c r="V98" s="42" t="s">
        <v>77</v>
      </c>
      <c r="W98" s="42" t="s">
        <v>78</v>
      </c>
      <c r="X98" s="42" t="s">
        <v>176</v>
      </c>
      <c r="Y98" s="42" t="s">
        <v>77</v>
      </c>
      <c r="Z98" s="42" t="s">
        <v>77</v>
      </c>
      <c r="AA98" s="42" t="s">
        <v>77</v>
      </c>
      <c r="AB98" s="42" t="s">
        <v>77</v>
      </c>
      <c r="AC98" s="42" t="s">
        <v>77</v>
      </c>
      <c r="AD98" s="42" t="s">
        <v>77</v>
      </c>
      <c r="AE98" s="42" t="s">
        <v>81</v>
      </c>
      <c r="AF98" s="42" t="s">
        <v>82</v>
      </c>
      <c r="AG98" s="42" t="s">
        <v>77</v>
      </c>
      <c r="AH98" s="42" t="s">
        <v>77</v>
      </c>
      <c r="AI98" s="42" t="s">
        <v>77</v>
      </c>
      <c r="AJ98" s="42" t="s">
        <v>77</v>
      </c>
      <c r="AK98" s="42" t="s">
        <v>77</v>
      </c>
      <c r="AL98" t="str">
        <f>VLOOKUP($Q98,武学奇术!$A:$ZZ,25,FALSE)</f>
        <v>横刀</v>
      </c>
      <c r="AM98" s="27">
        <f>VLOOKUP($Q98,武学奇术!$A:$ZZ,26,FALSE)</f>
        <v>3.7797</v>
      </c>
      <c r="AN98" s="28">
        <f>VLOOKUP($Q98,武学奇术!$A:$ZZ,27,FALSE)*(1+IF(OR($AL98=$F$4,$AL98=$F$5),$B$22,0))</f>
        <v>1567.5</v>
      </c>
      <c r="AO98" s="27">
        <f>VLOOKUP($Q98,武学奇术!$A:$ZZ,28,FALSE)</f>
        <v>5.6696</v>
      </c>
      <c r="AP98" s="28">
        <f>VLOOKUP($Q98,武学奇术!$A:$ZZ,29,FALSE)*(1+IF(OR($AL98=$F$4,$AL98=$F$5),$B$22,0))</f>
        <v>855</v>
      </c>
      <c r="AQ98" s="27" cm="1">
        <f t="array" ref="AQ98">$G$3+IFERROR(VLOOKUP($AL98,$F$4:$G$7,2,FALSE),0)+VLOOKUP($Q98,武学奇术!$A:$ZZ,2,FALSE)+SUM(_xlfn.XLOOKUP($R98:$AK98,增益!$A:$A,增益!$B:$B,0))</f>
        <v>0.3889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3574.7</v>
      </c>
      <c r="AT98" cm="1">
        <f t="array" ref="AT98">$E$10*(1+$AR98)+VLOOKUP($Q98,武学奇术!$A:$ZZ,4,FALSE)+SUM(_xlfn.XLOOKUP($R98:$AK98,增益!$A:$A,增益!$D:$D,0))-$I$2</f>
        <v>3574.7</v>
      </c>
      <c r="AU98" s="34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0.327</v>
      </c>
      <c r="AV98" s="34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4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4" cm="1">
        <f t="array" ref="BA98">$G$11+VLOOKUP($Q98,武学奇术!$A:$ZZ,10,FALSE)+SUM(_xlfn.XLOOKUP($R98:$AK98,增益!$A:$A,增益!$J:$J,0))</f>
        <v>0</v>
      </c>
      <c r="BB98">
        <f t="shared" si="14"/>
        <v>591.9</v>
      </c>
      <c r="BC98">
        <f t="shared" si="15"/>
        <v>1600.3</v>
      </c>
      <c r="BD98" s="34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0.09</v>
      </c>
      <c r="BE98" s="34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4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4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4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4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0.9859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7" cm="1">
        <f t="array" ref="BP98">1+$B$13+VLOOKUP($Q98,武学奇术!$A:$ZZ,18,FALSE)+SUM(_xlfn.XLOOKUP($R98:$AK98,增益!$A:$A,增益!$R:$R,0))</f>
        <v>1.95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7" cm="1">
        <f t="array" ref="BR98">1+$B$14+VLOOKUP($Q98,武学奇术!$A:$ZZ,20,FALSE)+SUM(_xlfn.XLOOKUP($R98:$AK98,增益!$A:$A,增益!$T:$T,0))</f>
        <v>1.35</v>
      </c>
      <c r="BS98" s="27">
        <f t="shared" si="20"/>
        <v>0.87863408</v>
      </c>
      <c r="BT98" s="27">
        <f t="shared" si="21"/>
        <v>0.01567581</v>
      </c>
      <c r="BU98" s="27">
        <f>IF(VLOOKUP($Q98,武学奇术!$A:$ZZ,22,FALSE)=1,0,(1-$BN98))*(1-$BQ98)</f>
        <v>0.01279011</v>
      </c>
      <c r="BV98" s="27" cm="1">
        <f t="array" ref="BV98">SUM(_xlfn.XLOOKUP($R98:$AK98,增益!$A:$A,增益!$W:$W,0))+$I$5</f>
        <v>0.11</v>
      </c>
    </row>
    <row r="99" spans="11:74">
      <c r="K99" s="40">
        <f t="shared" si="11"/>
        <v>57046.4308789824</v>
      </c>
      <c r="L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59278.3474317373</v>
      </c>
      <c r="M99" s="40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44826.1567417617</v>
      </c>
      <c r="N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29639.1737158686</v>
      </c>
      <c r="O99" s="40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26073.7868822842</v>
      </c>
      <c r="P99" s="41">
        <v>1</v>
      </c>
      <c r="Q99" s="42" t="s">
        <v>106</v>
      </c>
      <c r="R99" s="42" t="s">
        <v>103</v>
      </c>
      <c r="S99" s="42" t="s">
        <v>169</v>
      </c>
      <c r="T99" s="42" t="s">
        <v>77</v>
      </c>
      <c r="U99" s="42" t="s">
        <v>121</v>
      </c>
      <c r="V99" s="42" t="s">
        <v>77</v>
      </c>
      <c r="W99" s="42" t="s">
        <v>78</v>
      </c>
      <c r="X99" s="42" t="s">
        <v>176</v>
      </c>
      <c r="Y99" s="42" t="s">
        <v>77</v>
      </c>
      <c r="Z99" s="42" t="s">
        <v>77</v>
      </c>
      <c r="AA99" s="42" t="s">
        <v>73</v>
      </c>
      <c r="AB99" s="42" t="s">
        <v>77</v>
      </c>
      <c r="AC99" s="42" t="s">
        <v>77</v>
      </c>
      <c r="AD99" s="42" t="s">
        <v>77</v>
      </c>
      <c r="AE99" s="42" t="s">
        <v>81</v>
      </c>
      <c r="AF99" s="42" t="s">
        <v>82</v>
      </c>
      <c r="AG99" s="42" t="s">
        <v>77</v>
      </c>
      <c r="AH99" s="42" t="s">
        <v>77</v>
      </c>
      <c r="AI99" s="42" t="s">
        <v>77</v>
      </c>
      <c r="AJ99" s="42" t="s">
        <v>77</v>
      </c>
      <c r="AK99" s="42" t="s">
        <v>77</v>
      </c>
      <c r="AL99" t="str">
        <f>VLOOKUP($Q99,武学奇术!$A:$ZZ,25,FALSE)</f>
        <v>横刀</v>
      </c>
      <c r="AM99" s="27">
        <f>VLOOKUP($Q99,武学奇术!$A:$ZZ,26,FALSE)</f>
        <v>2.1324</v>
      </c>
      <c r="AN99" s="28">
        <f>VLOOKUP($Q99,武学奇术!$A:$ZZ,27,FALSE)*(1+IF(OR($AL99=$F$4,$AL99=$F$5),$B$22,0))</f>
        <v>885</v>
      </c>
      <c r="AO99" s="27">
        <f>VLOOKUP($Q99,武学奇术!$A:$ZZ,28,FALSE)</f>
        <v>3.1986</v>
      </c>
      <c r="AP99" s="28">
        <f>VLOOKUP($Q99,武学奇术!$A:$ZZ,29,FALSE)*(1+IF(OR($AL99=$F$4,$AL99=$F$5),$B$22,0))</f>
        <v>483</v>
      </c>
      <c r="AQ99" s="27" cm="1">
        <f t="array" ref="AQ99">$G$3+IFERROR(VLOOKUP($AL99,$F$4:$G$7,2,FALSE),0)+VLOOKUP($Q99,武学奇术!$A:$ZZ,2,FALSE)+SUM(_xlfn.XLOOKUP($R99:$AK99,增益!$A:$A,增益!$B:$B,0))</f>
        <v>0.5889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3574.7</v>
      </c>
      <c r="AT99" cm="1">
        <f t="array" ref="AT99">$E$10*(1+$AR99)+VLOOKUP($Q99,武学奇术!$A:$ZZ,4,FALSE)+SUM(_xlfn.XLOOKUP($R99:$AK99,增益!$A:$A,增益!$D:$D,0))-$I$2</f>
        <v>3574.7</v>
      </c>
      <c r="AU99" s="34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0.352</v>
      </c>
      <c r="AV99" s="34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4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4" cm="1">
        <f t="array" ref="BA99">$G$11+VLOOKUP($Q99,武学奇术!$A:$ZZ,10,FALSE)+SUM(_xlfn.XLOOKUP($R99:$AK99,增益!$A:$A,增益!$J:$J,0))</f>
        <v>0</v>
      </c>
      <c r="BB99">
        <f t="shared" si="14"/>
        <v>591.9</v>
      </c>
      <c r="BC99">
        <f t="shared" si="15"/>
        <v>1600.3</v>
      </c>
      <c r="BD99" s="34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0.09</v>
      </c>
      <c r="BE99" s="34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4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4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4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4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0.9859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7" cm="1">
        <f t="array" ref="BP99">1+$B$13+VLOOKUP($Q99,武学奇术!$A:$ZZ,18,FALSE)+SUM(_xlfn.XLOOKUP($R99:$AK99,增益!$A:$A,增益!$R:$R,0))</f>
        <v>2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7" cm="1">
        <f t="array" ref="BR99">1+$B$14+VLOOKUP($Q99,武学奇术!$A:$ZZ,20,FALSE)+SUM(_xlfn.XLOOKUP($R99:$AK99,增益!$A:$A,增益!$T:$T,0))</f>
        <v>1.35</v>
      </c>
      <c r="BS99" s="27">
        <f t="shared" si="20"/>
        <v>0.87863408</v>
      </c>
      <c r="BT99" s="27">
        <f t="shared" si="21"/>
        <v>0.01567581</v>
      </c>
      <c r="BU99" s="27">
        <f>IF(VLOOKUP($Q99,武学奇术!$A:$ZZ,22,FALSE)=1,0,(1-$BN99))*(1-$BQ99)</f>
        <v>0.01279011</v>
      </c>
      <c r="BV99" s="27" cm="1">
        <f t="array" ref="BV99">SUM(_xlfn.XLOOKUP($R99:$AK99,增益!$A:$A,增益!$W:$W,0))+$I$5</f>
        <v>0.11</v>
      </c>
    </row>
    <row r="100" spans="11:74">
      <c r="K100" s="40">
        <f t="shared" si="11"/>
        <v>35216.8186605631</v>
      </c>
      <c r="L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36543.0289354194</v>
      </c>
      <c r="M100" s="40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28229.3564798198</v>
      </c>
      <c r="N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18271.5144677097</v>
      </c>
      <c r="O100" s="40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15632.3945059232</v>
      </c>
      <c r="P100" s="41">
        <v>1</v>
      </c>
      <c r="Q100" s="42" t="s">
        <v>110</v>
      </c>
      <c r="R100" s="42" t="s">
        <v>103</v>
      </c>
      <c r="S100" s="42" t="s">
        <v>169</v>
      </c>
      <c r="T100" s="42" t="s">
        <v>86</v>
      </c>
      <c r="U100" s="42" t="s">
        <v>121</v>
      </c>
      <c r="V100" s="42" t="s">
        <v>77</v>
      </c>
      <c r="W100" s="42" t="s">
        <v>78</v>
      </c>
      <c r="X100" s="42" t="s">
        <v>176</v>
      </c>
      <c r="Y100" s="42" t="s">
        <v>77</v>
      </c>
      <c r="Z100" s="42" t="s">
        <v>77</v>
      </c>
      <c r="AA100" s="42" t="s">
        <v>73</v>
      </c>
      <c r="AB100" s="42" t="s">
        <v>77</v>
      </c>
      <c r="AC100" s="42" t="s">
        <v>77</v>
      </c>
      <c r="AD100" s="42" t="s">
        <v>77</v>
      </c>
      <c r="AE100" s="42" t="s">
        <v>81</v>
      </c>
      <c r="AF100" s="42" t="s">
        <v>82</v>
      </c>
      <c r="AG100" s="42" t="s">
        <v>77</v>
      </c>
      <c r="AH100" s="42" t="s">
        <v>77</v>
      </c>
      <c r="AI100" s="42" t="s">
        <v>77</v>
      </c>
      <c r="AJ100" s="42" t="s">
        <v>77</v>
      </c>
      <c r="AK100" s="42" t="s">
        <v>77</v>
      </c>
      <c r="AL100" t="str">
        <f>VLOOKUP($Q100,武学奇术!$A:$ZZ,25,FALSE)</f>
        <v>横刀</v>
      </c>
      <c r="AM100" s="27">
        <f>VLOOKUP($Q100,武学奇术!$A:$ZZ,26,FALSE)</f>
        <v>1.4</v>
      </c>
      <c r="AN100" s="28">
        <f>VLOOKUP($Q100,武学奇术!$A:$ZZ,27,FALSE)*(1+IF(OR($AL100=$F$4,$AL100=$F$5),$B$22,0))</f>
        <v>0</v>
      </c>
      <c r="AO100" s="27">
        <f>VLOOKUP($Q100,武学奇术!$A:$ZZ,28,FALSE)</f>
        <v>2.1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0.6689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3574.7</v>
      </c>
      <c r="AT100" cm="1">
        <f t="array" ref="AT100">$E$10*(1+$AR100)+VLOOKUP($Q100,武学奇术!$A:$ZZ,4,FALSE)+SUM(_xlfn.XLOOKUP($R100:$AK100,增益!$A:$A,增益!$D:$D,0))-$I$2</f>
        <v>3574.7</v>
      </c>
      <c r="AU100" s="34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0.352</v>
      </c>
      <c r="AV100" s="34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4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34" cm="1">
        <f t="array" ref="BA100">$G$11+VLOOKUP($Q100,武学奇术!$A:$ZZ,10,FALSE)+SUM(_xlfn.XLOOKUP($R100:$AK100,增益!$A:$A,增益!$J:$J,0))</f>
        <v>0</v>
      </c>
      <c r="BB100">
        <f t="shared" si="14"/>
        <v>591.9</v>
      </c>
      <c r="BC100">
        <f t="shared" si="15"/>
        <v>1600.3</v>
      </c>
      <c r="BD100" s="34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0.17</v>
      </c>
      <c r="BE100" s="34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4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34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4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34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0.9859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7" cm="1">
        <f t="array" ref="BP100">1+$B$13+VLOOKUP($Q100,武学奇术!$A:$ZZ,18,FALSE)+SUM(_xlfn.XLOOKUP($R100:$AK100,增益!$A:$A,增益!$R:$R,0))</f>
        <v>2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20"/>
        <v>0.87863408</v>
      </c>
      <c r="BT100" s="27">
        <f t="shared" si="21"/>
        <v>0.01567581</v>
      </c>
      <c r="BU100" s="27">
        <f>IF(VLOOKUP($Q100,武学奇术!$A:$ZZ,22,FALSE)=1,0,(1-$BN100))*(1-$BQ100)</f>
        <v>0.01279011</v>
      </c>
      <c r="BV100" s="27" cm="1">
        <f t="array" ref="BV100">SUM(_xlfn.XLOOKUP($R100:$AK100,增益!$A:$A,增益!$W:$W,0))+$I$5</f>
        <v>0.11</v>
      </c>
    </row>
    <row r="101" spans="11:74">
      <c r="K101" s="40">
        <f t="shared" si="11"/>
        <v>17748.2239258215</v>
      </c>
      <c r="L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18416.5942621016</v>
      </c>
      <c r="M101" s="40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14226.7518515732</v>
      </c>
      <c r="N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9208.2971310508</v>
      </c>
      <c r="O101" s="40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7878.25955723256</v>
      </c>
      <c r="P101" s="41">
        <v>1</v>
      </c>
      <c r="Q101" s="42" t="s">
        <v>112</v>
      </c>
      <c r="R101" s="42" t="s">
        <v>103</v>
      </c>
      <c r="S101" s="42" t="s">
        <v>169</v>
      </c>
      <c r="T101" s="42" t="s">
        <v>86</v>
      </c>
      <c r="U101" s="42" t="s">
        <v>121</v>
      </c>
      <c r="V101" s="42" t="s">
        <v>77</v>
      </c>
      <c r="W101" s="42" t="s">
        <v>114</v>
      </c>
      <c r="X101" s="42" t="s">
        <v>176</v>
      </c>
      <c r="Y101" s="42" t="s">
        <v>77</v>
      </c>
      <c r="Z101" s="42" t="s">
        <v>77</v>
      </c>
      <c r="AA101" s="42" t="s">
        <v>73</v>
      </c>
      <c r="AB101" s="42" t="s">
        <v>77</v>
      </c>
      <c r="AC101" s="42" t="s">
        <v>77</v>
      </c>
      <c r="AD101" s="42" t="s">
        <v>77</v>
      </c>
      <c r="AE101" s="42" t="s">
        <v>81</v>
      </c>
      <c r="AF101" s="42" t="s">
        <v>82</v>
      </c>
      <c r="AG101" s="42" t="s">
        <v>77</v>
      </c>
      <c r="AH101" s="42" t="s">
        <v>77</v>
      </c>
      <c r="AI101" s="42" t="s">
        <v>77</v>
      </c>
      <c r="AJ101" s="42" t="s">
        <v>77</v>
      </c>
      <c r="AK101" s="42" t="s">
        <v>77</v>
      </c>
      <c r="AL101" t="str">
        <f>VLOOKUP($Q101,武学奇术!$A:$ZZ,25,FALSE)</f>
        <v>陌刀</v>
      </c>
      <c r="AM101" s="27">
        <f>VLOOKUP($Q101,武学奇术!$A:$ZZ,26,FALSE)</f>
        <v>0.5</v>
      </c>
      <c r="AN101" s="28">
        <f>VLOOKUP($Q101,武学奇术!$A:$ZZ,27,FALSE)*(1+IF(OR($AL101=$F$4,$AL101=$F$5),$B$22,0))</f>
        <v>0</v>
      </c>
      <c r="AO101" s="27">
        <f>VLOOKUP($Q101,武学奇术!$A:$ZZ,28,FALSE)</f>
        <v>0.75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0.7841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3574.7</v>
      </c>
      <c r="AT101" cm="1">
        <f t="array" ref="AT101">$E$10*(1+$AR101)+VLOOKUP($Q101,武学奇术!$A:$ZZ,4,FALSE)+SUM(_xlfn.XLOOKUP($R101:$AK101,增益!$A:$A,增益!$D:$D,0))-$I$2</f>
        <v>3574.7</v>
      </c>
      <c r="AU101" s="34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0.352</v>
      </c>
      <c r="AV101" s="34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4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4" cm="1">
        <f t="array" ref="BA101">$G$11+VLOOKUP($Q101,武学奇术!$A:$ZZ,10,FALSE)+SUM(_xlfn.XLOOKUP($R101:$AK101,增益!$A:$A,增益!$J:$J,0))</f>
        <v>0</v>
      </c>
      <c r="BB101">
        <f t="shared" si="14"/>
        <v>591.9</v>
      </c>
      <c r="BC101">
        <f t="shared" si="15"/>
        <v>1600.3</v>
      </c>
      <c r="BD101" s="34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0.17</v>
      </c>
      <c r="BE101" s="34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4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4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4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4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0.9859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7" cm="1">
        <f t="array" ref="BP101">1+$B$13+VLOOKUP($Q101,武学奇术!$A:$ZZ,18,FALSE)+SUM(_xlfn.XLOOKUP($R101:$AK101,增益!$A:$A,增益!$R:$R,0))</f>
        <v>2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20"/>
        <v>0.87863408</v>
      </c>
      <c r="BT101" s="27">
        <f t="shared" si="21"/>
        <v>0.01567581</v>
      </c>
      <c r="BU101" s="27">
        <f>IF(VLOOKUP($Q101,武学奇术!$A:$ZZ,22,FALSE)=1,0,(1-$BN101))*(1-$BQ101)</f>
        <v>0.01279011</v>
      </c>
      <c r="BV101" s="27" cm="1">
        <f t="array" ref="BV101">SUM(_xlfn.XLOOKUP($R101:$AK101,增益!$A:$A,增益!$W:$W,0))+$I$5</f>
        <v>0.11</v>
      </c>
    </row>
    <row r="102" spans="11:74">
      <c r="K102" s="40">
        <f t="shared" si="11"/>
        <v>34807.363155372</v>
      </c>
      <c r="L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34807.363155372</v>
      </c>
      <c r="M102" s="40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25608.1533328318</v>
      </c>
      <c r="N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16574.9348358914</v>
      </c>
      <c r="O102" s="40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14180.8672030186</v>
      </c>
      <c r="P102" s="41">
        <v>1</v>
      </c>
      <c r="Q102" s="42" t="s">
        <v>117</v>
      </c>
      <c r="R102" s="42" t="s">
        <v>103</v>
      </c>
      <c r="S102" s="42" t="s">
        <v>169</v>
      </c>
      <c r="T102" s="42" t="s">
        <v>86</v>
      </c>
      <c r="U102" s="42" t="s">
        <v>121</v>
      </c>
      <c r="V102" s="42" t="s">
        <v>118</v>
      </c>
      <c r="W102" s="42" t="s">
        <v>114</v>
      </c>
      <c r="X102" s="42" t="s">
        <v>176</v>
      </c>
      <c r="Y102" s="42" t="s">
        <v>77</v>
      </c>
      <c r="Z102" s="42" t="s">
        <v>77</v>
      </c>
      <c r="AA102" s="42" t="s">
        <v>73</v>
      </c>
      <c r="AB102" s="42" t="s">
        <v>77</v>
      </c>
      <c r="AC102" s="42" t="s">
        <v>77</v>
      </c>
      <c r="AD102" s="42" t="s">
        <v>77</v>
      </c>
      <c r="AE102" s="42" t="s">
        <v>81</v>
      </c>
      <c r="AF102" s="42" t="s">
        <v>82</v>
      </c>
      <c r="AG102" s="42" t="s">
        <v>77</v>
      </c>
      <c r="AH102" s="42" t="s">
        <v>77</v>
      </c>
      <c r="AI102" s="42" t="s">
        <v>77</v>
      </c>
      <c r="AJ102" s="42" t="s">
        <v>77</v>
      </c>
      <c r="AK102" s="42" t="s">
        <v>77</v>
      </c>
      <c r="AL102" t="str">
        <f>VLOOKUP($Q102,武学奇术!$A:$ZZ,25,FALSE)</f>
        <v>陌刀</v>
      </c>
      <c r="AM102" s="27">
        <f>VLOOKUP($Q102,武学奇术!$A:$ZZ,26,FALSE)</f>
        <v>0.9</v>
      </c>
      <c r="AN102" s="28">
        <f>VLOOKUP($Q102,武学奇术!$A:$ZZ,27,FALSE)*(1+IF(OR($AL102=$F$4,$AL102=$F$5),$B$22,0))</f>
        <v>0</v>
      </c>
      <c r="AO102" s="27">
        <f>VLOOKUP($Q102,武学奇术!$A:$ZZ,28,FALSE)</f>
        <v>1.35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0.7841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3574.7</v>
      </c>
      <c r="AT102" cm="1">
        <f t="array" ref="AT102">$E$10*(1+$AR102)+VLOOKUP($Q102,武学奇术!$A:$ZZ,4,FALSE)+SUM(_xlfn.XLOOKUP($R102:$AK102,增益!$A:$A,增益!$D:$D,0))-$I$2</f>
        <v>3574.7</v>
      </c>
      <c r="AU102" s="34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0.352</v>
      </c>
      <c r="AV102" s="34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4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-0.14</v>
      </c>
      <c r="BA102" s="34" cm="1">
        <f t="array" ref="BA102">$G$11+VLOOKUP($Q102,武学奇术!$A:$ZZ,10,FALSE)+SUM(_xlfn.XLOOKUP($R102:$AK102,增益!$A:$A,增益!$J:$J,0))</f>
        <v>0</v>
      </c>
      <c r="BB102">
        <f t="shared" si="14"/>
        <v>591.9</v>
      </c>
      <c r="BC102">
        <f t="shared" si="15"/>
        <v>1600.3</v>
      </c>
      <c r="BD102" s="34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0.17</v>
      </c>
      <c r="BE102" s="34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4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-0.14</v>
      </c>
      <c r="BI102" s="34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4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-0.14</v>
      </c>
      <c r="BM102" s="34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1</v>
      </c>
      <c r="BP102" s="27" cm="1">
        <f t="array" ref="BP102">1+$B$13+VLOOKUP($Q102,武学奇术!$A:$ZZ,18,FALSE)+SUM(_xlfn.XLOOKUP($R102:$AK102,增益!$A:$A,增益!$R:$R,0))</f>
        <v>2.1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20"/>
        <v>1</v>
      </c>
      <c r="BT102" s="27">
        <f t="shared" si="21"/>
        <v>0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1:74">
      <c r="K103" s="40">
        <f t="shared" si="11"/>
        <v>331160.819967484</v>
      </c>
      <c r="L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蓄力技",$B$21,0))*(1+$BV103)</f>
        <v>331160.819967484</v>
      </c>
      <c r="M103" s="40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蓄力技",$B$21,0))*(1+$BV103)</f>
        <v>239759.997615161</v>
      </c>
      <c r="N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蓄力技",$B$21,0))*(1+$BV103)</f>
        <v>157695.628555945</v>
      </c>
      <c r="O103" s="40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蓄力技",$B$21,0))*(1+$BV103)</f>
        <v>137791.258878437</v>
      </c>
      <c r="P103" s="41">
        <v>1</v>
      </c>
      <c r="Q103" s="42" t="s">
        <v>120</v>
      </c>
      <c r="R103" s="42" t="s">
        <v>103</v>
      </c>
      <c r="S103" s="42" t="s">
        <v>169</v>
      </c>
      <c r="T103" s="42" t="s">
        <v>86</v>
      </c>
      <c r="U103" s="42" t="s">
        <v>121</v>
      </c>
      <c r="V103" s="42" t="s">
        <v>118</v>
      </c>
      <c r="W103" s="42" t="s">
        <v>122</v>
      </c>
      <c r="X103" s="42" t="s">
        <v>176</v>
      </c>
      <c r="Y103" s="42" t="s">
        <v>77</v>
      </c>
      <c r="Z103" s="42" t="s">
        <v>77</v>
      </c>
      <c r="AA103" s="42" t="s">
        <v>73</v>
      </c>
      <c r="AB103" s="42" t="s">
        <v>77</v>
      </c>
      <c r="AC103" s="42" t="s">
        <v>77</v>
      </c>
      <c r="AD103" s="42" t="s">
        <v>77</v>
      </c>
      <c r="AE103" s="42" t="s">
        <v>81</v>
      </c>
      <c r="AF103" s="42" t="s">
        <v>82</v>
      </c>
      <c r="AG103" s="42" t="s">
        <v>77</v>
      </c>
      <c r="AH103" s="42" t="s">
        <v>77</v>
      </c>
      <c r="AI103" s="42" t="s">
        <v>77</v>
      </c>
      <c r="AJ103" s="42" t="s">
        <v>77</v>
      </c>
      <c r="AK103" s="42" t="s">
        <v>77</v>
      </c>
      <c r="AL103" t="str">
        <f>VLOOKUP($Q103,武学奇术!$A:$ZZ,25,FALSE)</f>
        <v>陌刀</v>
      </c>
      <c r="AM103" s="27">
        <f>VLOOKUP($Q103,武学奇术!$A:$ZZ,26,FALSE)</f>
        <v>7.5674</v>
      </c>
      <c r="AN103" s="28">
        <f>VLOOKUP($Q103,武学奇术!$A:$ZZ,27,FALSE)*(1+IF(OR($AL103=$F$4,$AL103=$F$5),$B$22,0))</f>
        <v>3139.5</v>
      </c>
      <c r="AO103" s="27">
        <f>VLOOKUP($Q103,武学奇术!$A:$ZZ,28,FALSE)</f>
        <v>11.3512</v>
      </c>
      <c r="AP103" s="28">
        <f>VLOOKUP($Q103,武学奇术!$A:$ZZ,29,FALSE)*(1+IF(OR($AL103=$F$4,$AL103=$F$5),$B$22,0))</f>
        <v>1710</v>
      </c>
      <c r="AQ103" s="27" cm="1">
        <f t="array" ref="AQ103">$G$3+IFERROR(VLOOKUP($AL103,$F$4:$G$7,2,FALSE),0)+VLOOKUP($Q103,武学奇术!$A:$ZZ,2,FALSE)+SUM(_xlfn.XLOOKUP($R103:$AK103,增益!$A:$A,增益!$B:$B,0))</f>
        <v>0.7641</v>
      </c>
      <c r="AR103" s="27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3574.7</v>
      </c>
      <c r="AT103" cm="1">
        <f t="array" ref="AT103">$E$10*(1+$AR103)+VLOOKUP($Q103,武学奇术!$A:$ZZ,4,FALSE)+SUM(_xlfn.XLOOKUP($R103:$AK103,增益!$A:$A,增益!$D:$D,0))-$I$2</f>
        <v>3574.7</v>
      </c>
      <c r="AU103" s="34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0.352</v>
      </c>
      <c r="AV103" s="34" cm="1">
        <f t="array" ref="AV103">$G$10+VLOOKUP($Q103,武学奇术!$A:$ZZ,7,FALSE)+SUM(_xlfn.XLOOKUP($R103:$AK103,增益!$A:$A,增益!$G:$G,0))</f>
        <v>0</v>
      </c>
      <c r="AW103" s="27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4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-0.14</v>
      </c>
      <c r="BA103" s="34" cm="1">
        <f t="array" ref="BA103">$G$11+VLOOKUP($Q103,武学奇术!$A:$ZZ,10,FALSE)+SUM(_xlfn.XLOOKUP($R103:$AK103,增益!$A:$A,增益!$J:$J,0))</f>
        <v>0</v>
      </c>
      <c r="BB103">
        <f t="shared" si="14"/>
        <v>591.9</v>
      </c>
      <c r="BC103">
        <f t="shared" si="15"/>
        <v>1600.3</v>
      </c>
      <c r="BD103" s="34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0.17</v>
      </c>
      <c r="BE103" s="34" cm="1">
        <f t="array" ref="BE103">$G$12+VLOOKUP($Q103,武学奇术!$A:$ZZ,12,FALSE)+SUM(_xlfn.XLOOKUP($R103:$AK103,增益!$A:$A,增益!$L:$L,0))</f>
        <v>0.15</v>
      </c>
      <c r="BF103">
        <f t="shared" si="16"/>
        <v>0</v>
      </c>
      <c r="BG103">
        <f t="shared" si="17"/>
        <v>0</v>
      </c>
      <c r="BH103" s="34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-0.14</v>
      </c>
      <c r="BI103" s="34" cm="1">
        <f t="array" ref="BI103">$G$13+VLOOKUP($Q103,武学奇术!$A:$ZZ,14,FALSE)+SUM(_xlfn.XLOOKUP($R103:$AK103,增益!$A:$A,增益!$N:$N,0))</f>
        <v>0</v>
      </c>
      <c r="BJ103">
        <f t="shared" si="18"/>
        <v>0</v>
      </c>
      <c r="BK103">
        <f t="shared" si="19"/>
        <v>0</v>
      </c>
      <c r="BL103" s="34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-0.14</v>
      </c>
      <c r="BM103" s="34" cm="1">
        <f t="array" ref="BM103">$G$14+VLOOKUP($Q103,武学奇术!$A:$ZZ,16,FALSE)+SUM(_xlfn.XLOOKUP($R103:$AK103,增益!$A:$A,增益!$P:$P,0))</f>
        <v>0</v>
      </c>
      <c r="BN103" s="27">
        <f>MIN(IF(VLOOKUP($Q103,武学奇术!$A:$ZZ,23,FALSE)=1,100%,$B$8),100%)</f>
        <v>1</v>
      </c>
      <c r="BO103" s="27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1</v>
      </c>
      <c r="BP103" s="27" cm="1">
        <f t="array" ref="BP103">1+$B$13+VLOOKUP($Q103,武学奇术!$A:$ZZ,18,FALSE)+SUM(_xlfn.XLOOKUP($R103:$AK103,增益!$A:$A,增益!$R:$R,0))</f>
        <v>2.1</v>
      </c>
      <c r="BQ103" s="27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</v>
      </c>
      <c r="BR103" s="27" cm="1">
        <f t="array" ref="BR103">1+$B$14+VLOOKUP($Q103,武学奇术!$A:$ZZ,20,FALSE)+SUM(_xlfn.XLOOKUP($R103:$AK103,增益!$A:$A,增益!$T:$T,0))</f>
        <v>1.35</v>
      </c>
      <c r="BS103" s="27">
        <f t="shared" si="20"/>
        <v>1</v>
      </c>
      <c r="BT103" s="27">
        <f t="shared" si="21"/>
        <v>0</v>
      </c>
      <c r="BU103" s="27">
        <f>IF(VLOOKUP($Q103,武学奇术!$A:$ZZ,22,FALSE)=1,0,(1-$BN103))*(1-$BQ103)</f>
        <v>0</v>
      </c>
      <c r="BV103" s="27" cm="1">
        <f t="array" ref="BV103">SUM(_xlfn.XLOOKUP($R103:$AK103,增益!$A:$A,增益!$W:$W,0))+$I$5</f>
        <v>0.11</v>
      </c>
    </row>
    <row r="104" spans="11:74">
      <c r="K104" s="40">
        <f t="shared" si="11"/>
        <v>21079.5342432433</v>
      </c>
      <c r="L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蓄力技",$B$21,0))*(1+$BV104)</f>
        <v>21079.5342432433</v>
      </c>
      <c r="M104" s="40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蓄力技",$B$21,0))*(1+$BV104)</f>
        <v>15508.4412075708</v>
      </c>
      <c r="N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蓄力技",$B$21,0))*(1+$BV104)</f>
        <v>10037.8734491635</v>
      </c>
      <c r="O104" s="40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蓄力技",$B$21,0))*(1+$BV104)</f>
        <v>8588.01267049676</v>
      </c>
      <c r="P104" s="41">
        <v>1</v>
      </c>
      <c r="Q104" s="42" t="s">
        <v>125</v>
      </c>
      <c r="R104" s="42" t="s">
        <v>103</v>
      </c>
      <c r="S104" s="42" t="s">
        <v>169</v>
      </c>
      <c r="T104" s="42" t="s">
        <v>86</v>
      </c>
      <c r="U104" s="42" t="s">
        <v>121</v>
      </c>
      <c r="V104" s="42" t="s">
        <v>118</v>
      </c>
      <c r="W104" s="42" t="s">
        <v>114</v>
      </c>
      <c r="X104" s="42" t="s">
        <v>176</v>
      </c>
      <c r="Y104" s="42" t="s">
        <v>186</v>
      </c>
      <c r="Z104" s="42" t="s">
        <v>77</v>
      </c>
      <c r="AA104" s="42" t="s">
        <v>73</v>
      </c>
      <c r="AB104" s="42" t="s">
        <v>77</v>
      </c>
      <c r="AC104" s="42" t="s">
        <v>77</v>
      </c>
      <c r="AD104" s="42" t="s">
        <v>77</v>
      </c>
      <c r="AE104" s="42" t="s">
        <v>81</v>
      </c>
      <c r="AF104" s="42" t="s">
        <v>82</v>
      </c>
      <c r="AG104" s="42" t="s">
        <v>77</v>
      </c>
      <c r="AH104" s="42" t="s">
        <v>77</v>
      </c>
      <c r="AI104" s="42" t="s">
        <v>77</v>
      </c>
      <c r="AJ104" s="42" t="s">
        <v>77</v>
      </c>
      <c r="AK104" s="42" t="s">
        <v>77</v>
      </c>
      <c r="AL104" t="str">
        <f>VLOOKUP($Q104,武学奇术!$A:$ZZ,25,FALSE)</f>
        <v>陌刀</v>
      </c>
      <c r="AM104" s="27">
        <f>VLOOKUP($Q104,武学奇术!$A:$ZZ,26,FALSE)</f>
        <v>0.5</v>
      </c>
      <c r="AN104" s="28">
        <f>VLOOKUP($Q104,武学奇术!$A:$ZZ,27,FALSE)*(1+IF(OR($AL104=$F$4,$AL104=$F$5),$B$22,0))</f>
        <v>0</v>
      </c>
      <c r="AO104" s="27">
        <f>VLOOKUP($Q104,武学奇术!$A:$ZZ,28,FALSE)</f>
        <v>0.75</v>
      </c>
      <c r="AP104" s="28">
        <f>VLOOKUP($Q104,武学奇术!$A:$ZZ,29,FALSE)*(1+IF(OR($AL104=$F$4,$AL104=$F$5),$B$22,0))</f>
        <v>0</v>
      </c>
      <c r="AQ104" s="27" cm="1">
        <f t="array" ref="AQ104">$G$3+IFERROR(VLOOKUP($AL104,$F$4:$G$7,2,FALSE),0)+VLOOKUP($Q104,武学奇术!$A:$ZZ,2,FALSE)+SUM(_xlfn.XLOOKUP($R104:$AK104,增益!$A:$A,增益!$B:$B,0))</f>
        <v>0.7841</v>
      </c>
      <c r="AR104" s="27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3574.7</v>
      </c>
      <c r="AT104" cm="1">
        <f t="array" ref="AT104">$E$10*(1+$AR104)+VLOOKUP($Q104,武学奇术!$A:$ZZ,4,FALSE)+SUM(_xlfn.XLOOKUP($R104:$AK104,增益!$A:$A,增益!$D:$D,0))-$I$2</f>
        <v>3574.7</v>
      </c>
      <c r="AU104" s="34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0.352</v>
      </c>
      <c r="AV104" s="34" cm="1">
        <f t="array" ref="AV104">$G$10+VLOOKUP($Q104,武学奇术!$A:$ZZ,7,FALSE)+SUM(_xlfn.XLOOKUP($R104:$AK104,增益!$A:$A,增益!$G:$G,0))</f>
        <v>0</v>
      </c>
      <c r="AW104" s="27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4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-0.14</v>
      </c>
      <c r="BA104" s="34" cm="1">
        <f t="array" ref="BA104">$G$11+VLOOKUP($Q104,武学奇术!$A:$ZZ,10,FALSE)+SUM(_xlfn.XLOOKUP($R104:$AK104,增益!$A:$A,增益!$J:$J,0))</f>
        <v>0</v>
      </c>
      <c r="BB104">
        <f t="shared" si="14"/>
        <v>591.9</v>
      </c>
      <c r="BC104">
        <f t="shared" si="15"/>
        <v>1600.3</v>
      </c>
      <c r="BD104" s="34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0.17</v>
      </c>
      <c r="BE104" s="34" cm="1">
        <f t="array" ref="BE104">$G$12+VLOOKUP($Q104,武学奇术!$A:$ZZ,12,FALSE)+SUM(_xlfn.XLOOKUP($R104:$AK104,增益!$A:$A,增益!$L:$L,0))</f>
        <v>0.15</v>
      </c>
      <c r="BF104">
        <f t="shared" si="16"/>
        <v>0</v>
      </c>
      <c r="BG104">
        <f t="shared" si="17"/>
        <v>0</v>
      </c>
      <c r="BH104" s="34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-0.14</v>
      </c>
      <c r="BI104" s="34" cm="1">
        <f t="array" ref="BI104">$G$13+VLOOKUP($Q104,武学奇术!$A:$ZZ,14,FALSE)+SUM(_xlfn.XLOOKUP($R104:$AK104,增益!$A:$A,增益!$N:$N,0))</f>
        <v>0</v>
      </c>
      <c r="BJ104">
        <f t="shared" si="18"/>
        <v>0</v>
      </c>
      <c r="BK104">
        <f t="shared" si="19"/>
        <v>0</v>
      </c>
      <c r="BL104" s="34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-0.14</v>
      </c>
      <c r="BM104" s="34" cm="1">
        <f t="array" ref="BM104">$G$14+VLOOKUP($Q104,武学奇术!$A:$ZZ,16,FALSE)+SUM(_xlfn.XLOOKUP($R104:$AK104,增益!$A:$A,增益!$P:$P,0))</f>
        <v>0</v>
      </c>
      <c r="BN104" s="27">
        <f>MIN(IF(VLOOKUP($Q104,武学奇术!$A:$ZZ,23,FALSE)=1,100%,$B$8),100%)</f>
        <v>1</v>
      </c>
      <c r="BO104" s="27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1</v>
      </c>
      <c r="BP104" s="27" cm="1">
        <f t="array" ref="BP104">1+$B$13+VLOOKUP($Q104,武学奇术!$A:$ZZ,18,FALSE)+SUM(_xlfn.XLOOKUP($R104:$AK104,增益!$A:$A,增益!$R:$R,0))</f>
        <v>2.1</v>
      </c>
      <c r="BQ104" s="27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</v>
      </c>
      <c r="BR104" s="27" cm="1">
        <f t="array" ref="BR104">1+$B$14+VLOOKUP($Q104,武学奇术!$A:$ZZ,20,FALSE)+SUM(_xlfn.XLOOKUP($R104:$AK104,增益!$A:$A,增益!$T:$T,0))</f>
        <v>1.35</v>
      </c>
      <c r="BS104" s="27">
        <f t="shared" si="20"/>
        <v>1</v>
      </c>
      <c r="BT104" s="27">
        <f t="shared" si="21"/>
        <v>0</v>
      </c>
      <c r="BU104" s="27">
        <f>IF(VLOOKUP($Q104,武学奇术!$A:$ZZ,22,FALSE)=1,0,(1-$BN104))*(1-$BQ104)</f>
        <v>0</v>
      </c>
      <c r="BV104" s="27" cm="1">
        <f t="array" ref="BV104">SUM(_xlfn.XLOOKUP($R104:$AK104,增益!$A:$A,增益!$W:$W,0))+$I$5</f>
        <v>0.21</v>
      </c>
    </row>
    <row r="105" spans="11:74">
      <c r="K105" s="40">
        <f t="shared" si="11"/>
        <v>37943.161637838</v>
      </c>
      <c r="L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蓄力技",$B$21,0))*(1+$BV105)</f>
        <v>37943.161637838</v>
      </c>
      <c r="M105" s="40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蓄力技",$B$21,0))*(1+$BV105)</f>
        <v>27915.1941736274</v>
      </c>
      <c r="N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蓄力技",$B$21,0))*(1+$BV105)</f>
        <v>18068.1722084943</v>
      </c>
      <c r="O105" s="40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蓄力技",$B$21,0))*(1+$BV105)</f>
        <v>15458.4228068942</v>
      </c>
      <c r="P105" s="41">
        <v>1</v>
      </c>
      <c r="Q105" s="42" t="s">
        <v>117</v>
      </c>
      <c r="R105" s="42" t="s">
        <v>103</v>
      </c>
      <c r="S105" s="42" t="s">
        <v>169</v>
      </c>
      <c r="T105" s="42" t="s">
        <v>86</v>
      </c>
      <c r="U105" s="42" t="s">
        <v>121</v>
      </c>
      <c r="V105" s="42" t="s">
        <v>118</v>
      </c>
      <c r="W105" s="42" t="s">
        <v>114</v>
      </c>
      <c r="X105" s="42" t="s">
        <v>176</v>
      </c>
      <c r="Y105" s="42" t="s">
        <v>186</v>
      </c>
      <c r="Z105" s="42" t="s">
        <v>77</v>
      </c>
      <c r="AA105" s="42" t="s">
        <v>73</v>
      </c>
      <c r="AB105" s="42" t="s">
        <v>77</v>
      </c>
      <c r="AC105" s="42" t="s">
        <v>77</v>
      </c>
      <c r="AD105" s="42" t="s">
        <v>77</v>
      </c>
      <c r="AE105" s="42" t="s">
        <v>81</v>
      </c>
      <c r="AF105" s="42" t="s">
        <v>82</v>
      </c>
      <c r="AG105" s="42" t="s">
        <v>77</v>
      </c>
      <c r="AH105" s="42" t="s">
        <v>77</v>
      </c>
      <c r="AI105" s="42" t="s">
        <v>77</v>
      </c>
      <c r="AJ105" s="42" t="s">
        <v>77</v>
      </c>
      <c r="AK105" s="42" t="s">
        <v>77</v>
      </c>
      <c r="AL105" t="str">
        <f>VLOOKUP($Q105,武学奇术!$A:$ZZ,25,FALSE)</f>
        <v>陌刀</v>
      </c>
      <c r="AM105" s="27">
        <f>VLOOKUP($Q105,武学奇术!$A:$ZZ,26,FALSE)</f>
        <v>0.9</v>
      </c>
      <c r="AN105" s="28">
        <f>VLOOKUP($Q105,武学奇术!$A:$ZZ,27,FALSE)*(1+IF(OR($AL105=$F$4,$AL105=$F$5),$B$22,0))</f>
        <v>0</v>
      </c>
      <c r="AO105" s="27">
        <f>VLOOKUP($Q105,武学奇术!$A:$ZZ,28,FALSE)</f>
        <v>1.35</v>
      </c>
      <c r="AP105" s="28">
        <f>VLOOKUP($Q105,武学奇术!$A:$ZZ,29,FALSE)*(1+IF(OR($AL105=$F$4,$AL105=$F$5),$B$22,0))</f>
        <v>0</v>
      </c>
      <c r="AQ105" s="27" cm="1">
        <f t="array" ref="AQ105">$G$3+IFERROR(VLOOKUP($AL105,$F$4:$G$7,2,FALSE),0)+VLOOKUP($Q105,武学奇术!$A:$ZZ,2,FALSE)+SUM(_xlfn.XLOOKUP($R105:$AK105,增益!$A:$A,增益!$B:$B,0))</f>
        <v>0.7841</v>
      </c>
      <c r="AR105" s="27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3574.7</v>
      </c>
      <c r="AT105" cm="1">
        <f t="array" ref="AT105">$E$10*(1+$AR105)+VLOOKUP($Q105,武学奇术!$A:$ZZ,4,FALSE)+SUM(_xlfn.XLOOKUP($R105:$AK105,增益!$A:$A,增益!$D:$D,0))-$I$2</f>
        <v>3574.7</v>
      </c>
      <c r="AU105" s="34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0.352</v>
      </c>
      <c r="AV105" s="34" cm="1">
        <f t="array" ref="AV105">$G$10+VLOOKUP($Q105,武学奇术!$A:$ZZ,7,FALSE)+SUM(_xlfn.XLOOKUP($R105:$AK105,增益!$A:$A,增益!$G:$G,0))</f>
        <v>0</v>
      </c>
      <c r="AW105" s="27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4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-0.14</v>
      </c>
      <c r="BA105" s="34" cm="1">
        <f t="array" ref="BA105">$G$11+VLOOKUP($Q105,武学奇术!$A:$ZZ,10,FALSE)+SUM(_xlfn.XLOOKUP($R105:$AK105,增益!$A:$A,增益!$J:$J,0))</f>
        <v>0</v>
      </c>
      <c r="BB105">
        <f t="shared" si="14"/>
        <v>591.9</v>
      </c>
      <c r="BC105">
        <f t="shared" si="15"/>
        <v>1600.3</v>
      </c>
      <c r="BD105" s="34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0.17</v>
      </c>
      <c r="BE105" s="34" cm="1">
        <f t="array" ref="BE105">$G$12+VLOOKUP($Q105,武学奇术!$A:$ZZ,12,FALSE)+SUM(_xlfn.XLOOKUP($R105:$AK105,增益!$A:$A,增益!$L:$L,0))</f>
        <v>0.15</v>
      </c>
      <c r="BF105">
        <f t="shared" si="16"/>
        <v>0</v>
      </c>
      <c r="BG105">
        <f t="shared" si="17"/>
        <v>0</v>
      </c>
      <c r="BH105" s="34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-0.14</v>
      </c>
      <c r="BI105" s="34" cm="1">
        <f t="array" ref="BI105">$G$13+VLOOKUP($Q105,武学奇术!$A:$ZZ,14,FALSE)+SUM(_xlfn.XLOOKUP($R105:$AK105,增益!$A:$A,增益!$N:$N,0))</f>
        <v>0</v>
      </c>
      <c r="BJ105">
        <f t="shared" si="18"/>
        <v>0</v>
      </c>
      <c r="BK105">
        <f t="shared" si="19"/>
        <v>0</v>
      </c>
      <c r="BL105" s="34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-0.14</v>
      </c>
      <c r="BM105" s="34" cm="1">
        <f t="array" ref="BM105">$G$14+VLOOKUP($Q105,武学奇术!$A:$ZZ,16,FALSE)+SUM(_xlfn.XLOOKUP($R105:$AK105,增益!$A:$A,增益!$P:$P,0))</f>
        <v>0</v>
      </c>
      <c r="BN105" s="27">
        <f>MIN(IF(VLOOKUP($Q105,武学奇术!$A:$ZZ,23,FALSE)=1,100%,$B$8),100%)</f>
        <v>1</v>
      </c>
      <c r="BO105" s="27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1</v>
      </c>
      <c r="BP105" s="27" cm="1">
        <f t="array" ref="BP105">1+$B$13+VLOOKUP($Q105,武学奇术!$A:$ZZ,18,FALSE)+SUM(_xlfn.XLOOKUP($R105:$AK105,增益!$A:$A,增益!$R:$R,0))</f>
        <v>2.1</v>
      </c>
      <c r="BQ105" s="27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</v>
      </c>
      <c r="BR105" s="27" cm="1">
        <f t="array" ref="BR105">1+$B$14+VLOOKUP($Q105,武学奇术!$A:$ZZ,20,FALSE)+SUM(_xlfn.XLOOKUP($R105:$AK105,增益!$A:$A,增益!$T:$T,0))</f>
        <v>1.35</v>
      </c>
      <c r="BS105" s="27">
        <f t="shared" si="20"/>
        <v>1</v>
      </c>
      <c r="BT105" s="27">
        <f t="shared" si="21"/>
        <v>0</v>
      </c>
      <c r="BU105" s="27">
        <f>IF(VLOOKUP($Q105,武学奇术!$A:$ZZ,22,FALSE)=1,0,(1-$BN105))*(1-$BQ105)</f>
        <v>0</v>
      </c>
      <c r="BV105" s="27" cm="1">
        <f t="array" ref="BV105">SUM(_xlfn.XLOOKUP($R105:$AK105,增益!$A:$A,增益!$W:$W,0))+$I$5</f>
        <v>0.21</v>
      </c>
    </row>
    <row r="106" spans="11:74">
      <c r="K106" s="40">
        <f t="shared" si="11"/>
        <v>360995.128072663</v>
      </c>
      <c r="L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蓄力技",$B$21,0))*(1+$BV106)</f>
        <v>360995.128072663</v>
      </c>
      <c r="M106" s="40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蓄力技",$B$21,0))*(1+$BV106)</f>
        <v>261359.997400311</v>
      </c>
      <c r="N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蓄力技",$B$21,0))*(1+$BV106)</f>
        <v>171902.441939363</v>
      </c>
      <c r="O106" s="40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蓄力技",$B$21,0))*(1+$BV106)</f>
        <v>150204.885804422</v>
      </c>
      <c r="P106" s="41">
        <v>1</v>
      </c>
      <c r="Q106" s="42" t="s">
        <v>120</v>
      </c>
      <c r="R106" s="42" t="s">
        <v>103</v>
      </c>
      <c r="S106" s="42" t="s">
        <v>169</v>
      </c>
      <c r="T106" s="42" t="s">
        <v>86</v>
      </c>
      <c r="U106" s="42" t="s">
        <v>121</v>
      </c>
      <c r="V106" s="42" t="s">
        <v>118</v>
      </c>
      <c r="W106" s="42" t="s">
        <v>122</v>
      </c>
      <c r="X106" s="42" t="s">
        <v>176</v>
      </c>
      <c r="Y106" s="42" t="s">
        <v>186</v>
      </c>
      <c r="Z106" s="42" t="s">
        <v>77</v>
      </c>
      <c r="AA106" s="42" t="s">
        <v>73</v>
      </c>
      <c r="AB106" s="42" t="s">
        <v>77</v>
      </c>
      <c r="AC106" s="42" t="s">
        <v>77</v>
      </c>
      <c r="AD106" s="42" t="s">
        <v>77</v>
      </c>
      <c r="AE106" s="42" t="s">
        <v>81</v>
      </c>
      <c r="AF106" s="42" t="s">
        <v>82</v>
      </c>
      <c r="AG106" s="42" t="s">
        <v>77</v>
      </c>
      <c r="AH106" s="42" t="s">
        <v>77</v>
      </c>
      <c r="AI106" s="42" t="s">
        <v>77</v>
      </c>
      <c r="AJ106" s="42" t="s">
        <v>77</v>
      </c>
      <c r="AK106" s="42" t="s">
        <v>77</v>
      </c>
      <c r="AL106" t="str">
        <f>VLOOKUP($Q106,武学奇术!$A:$ZZ,25,FALSE)</f>
        <v>陌刀</v>
      </c>
      <c r="AM106" s="27">
        <f>VLOOKUP($Q106,武学奇术!$A:$ZZ,26,FALSE)</f>
        <v>7.5674</v>
      </c>
      <c r="AN106" s="28">
        <f>VLOOKUP($Q106,武学奇术!$A:$ZZ,27,FALSE)*(1+IF(OR($AL106=$F$4,$AL106=$F$5),$B$22,0))</f>
        <v>3139.5</v>
      </c>
      <c r="AO106" s="27">
        <f>VLOOKUP($Q106,武学奇术!$A:$ZZ,28,FALSE)</f>
        <v>11.3512</v>
      </c>
      <c r="AP106" s="28">
        <f>VLOOKUP($Q106,武学奇术!$A:$ZZ,29,FALSE)*(1+IF(OR($AL106=$F$4,$AL106=$F$5),$B$22,0))</f>
        <v>1710</v>
      </c>
      <c r="AQ106" s="27" cm="1">
        <f t="array" ref="AQ106">$G$3+IFERROR(VLOOKUP($AL106,$F$4:$G$7,2,FALSE),0)+VLOOKUP($Q106,武学奇术!$A:$ZZ,2,FALSE)+SUM(_xlfn.XLOOKUP($R106:$AK106,增益!$A:$A,增益!$B:$B,0))</f>
        <v>0.7641</v>
      </c>
      <c r="AR106" s="27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3574.7</v>
      </c>
      <c r="AT106" cm="1">
        <f t="array" ref="AT106">$E$10*(1+$AR106)+VLOOKUP($Q106,武学奇术!$A:$ZZ,4,FALSE)+SUM(_xlfn.XLOOKUP($R106:$AK106,增益!$A:$A,增益!$D:$D,0))-$I$2</f>
        <v>3574.7</v>
      </c>
      <c r="AU106" s="34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0.352</v>
      </c>
      <c r="AV106" s="34" cm="1">
        <f t="array" ref="AV106">$G$10+VLOOKUP($Q106,武学奇术!$A:$ZZ,7,FALSE)+SUM(_xlfn.XLOOKUP($R106:$AK106,增益!$A:$A,增益!$G:$G,0))</f>
        <v>0</v>
      </c>
      <c r="AW106" s="27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4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-0.14</v>
      </c>
      <c r="BA106" s="34" cm="1">
        <f t="array" ref="BA106">$G$11+VLOOKUP($Q106,武学奇术!$A:$ZZ,10,FALSE)+SUM(_xlfn.XLOOKUP($R106:$AK106,增益!$A:$A,增益!$J:$J,0))</f>
        <v>0</v>
      </c>
      <c r="BB106">
        <f t="shared" si="14"/>
        <v>591.9</v>
      </c>
      <c r="BC106">
        <f t="shared" si="15"/>
        <v>1600.3</v>
      </c>
      <c r="BD106" s="34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0.17</v>
      </c>
      <c r="BE106" s="34" cm="1">
        <f t="array" ref="BE106">$G$12+VLOOKUP($Q106,武学奇术!$A:$ZZ,12,FALSE)+SUM(_xlfn.XLOOKUP($R106:$AK106,增益!$A:$A,增益!$L:$L,0))</f>
        <v>0.15</v>
      </c>
      <c r="BF106">
        <f t="shared" si="16"/>
        <v>0</v>
      </c>
      <c r="BG106">
        <f t="shared" si="17"/>
        <v>0</v>
      </c>
      <c r="BH106" s="34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-0.14</v>
      </c>
      <c r="BI106" s="34" cm="1">
        <f t="array" ref="BI106">$G$13+VLOOKUP($Q106,武学奇术!$A:$ZZ,14,FALSE)+SUM(_xlfn.XLOOKUP($R106:$AK106,增益!$A:$A,增益!$N:$N,0))</f>
        <v>0</v>
      </c>
      <c r="BJ106">
        <f t="shared" si="18"/>
        <v>0</v>
      </c>
      <c r="BK106">
        <f t="shared" si="19"/>
        <v>0</v>
      </c>
      <c r="BL106" s="34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-0.14</v>
      </c>
      <c r="BM106" s="34" cm="1">
        <f t="array" ref="BM106">$G$14+VLOOKUP($Q106,武学奇术!$A:$ZZ,16,FALSE)+SUM(_xlfn.XLOOKUP($R106:$AK106,增益!$A:$A,增益!$P:$P,0))</f>
        <v>0</v>
      </c>
      <c r="BN106" s="27">
        <f>MIN(IF(VLOOKUP($Q106,武学奇术!$A:$ZZ,23,FALSE)=1,100%,$B$8),100%)</f>
        <v>1</v>
      </c>
      <c r="BO106" s="27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1</v>
      </c>
      <c r="BP106" s="27" cm="1">
        <f t="array" ref="BP106">1+$B$13+VLOOKUP($Q106,武学奇术!$A:$ZZ,18,FALSE)+SUM(_xlfn.XLOOKUP($R106:$AK106,增益!$A:$A,增益!$R:$R,0))</f>
        <v>2.1</v>
      </c>
      <c r="BQ106" s="27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</v>
      </c>
      <c r="BR106" s="27" cm="1">
        <f t="array" ref="BR106">1+$B$14+VLOOKUP($Q106,武学奇术!$A:$ZZ,20,FALSE)+SUM(_xlfn.XLOOKUP($R106:$AK106,增益!$A:$A,增益!$T:$T,0))</f>
        <v>1.35</v>
      </c>
      <c r="BS106" s="27">
        <f t="shared" si="20"/>
        <v>1</v>
      </c>
      <c r="BT106" s="27">
        <f t="shared" si="21"/>
        <v>0</v>
      </c>
      <c r="BU106" s="27">
        <f>IF(VLOOKUP($Q106,武学奇术!$A:$ZZ,22,FALSE)=1,0,(1-$BN106))*(1-$BQ106)</f>
        <v>0</v>
      </c>
      <c r="BV106" s="27" cm="1">
        <f t="array" ref="BV106">SUM(_xlfn.XLOOKUP($R106:$AK106,增益!$A:$A,增益!$W:$W,0))+$I$5</f>
        <v>0.21</v>
      </c>
    </row>
    <row r="107" spans="11:74">
      <c r="K107" s="40">
        <f t="shared" si="11"/>
        <v>42159.0684864867</v>
      </c>
      <c r="L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蓄力技",$B$21,0))*(1+$BV107)</f>
        <v>42159.0684864867</v>
      </c>
      <c r="M107" s="40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蓄力技",$B$21,0))*(1+$BV107)</f>
        <v>31016.8824151416</v>
      </c>
      <c r="N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蓄力技",$B$21,0))*(1+$BV107)</f>
        <v>20075.746898327</v>
      </c>
      <c r="O107" s="40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蓄力技",$B$21,0))*(1+$BV107)</f>
        <v>17176.0253409935</v>
      </c>
      <c r="P107" s="41">
        <v>2</v>
      </c>
      <c r="Q107" s="42" t="s">
        <v>125</v>
      </c>
      <c r="R107" s="42" t="s">
        <v>103</v>
      </c>
      <c r="S107" s="42" t="s">
        <v>169</v>
      </c>
      <c r="T107" s="42" t="s">
        <v>86</v>
      </c>
      <c r="U107" s="42" t="s">
        <v>121</v>
      </c>
      <c r="V107" s="42" t="s">
        <v>118</v>
      </c>
      <c r="W107" s="42" t="s">
        <v>114</v>
      </c>
      <c r="X107" s="42" t="s">
        <v>176</v>
      </c>
      <c r="Y107" s="42" t="s">
        <v>186</v>
      </c>
      <c r="Z107" s="42" t="s">
        <v>77</v>
      </c>
      <c r="AA107" s="42" t="s">
        <v>73</v>
      </c>
      <c r="AB107" s="42" t="s">
        <v>77</v>
      </c>
      <c r="AC107" s="42" t="s">
        <v>77</v>
      </c>
      <c r="AD107" s="42" t="s">
        <v>77</v>
      </c>
      <c r="AE107" s="42" t="s">
        <v>81</v>
      </c>
      <c r="AF107" s="42" t="s">
        <v>82</v>
      </c>
      <c r="AG107" s="42" t="s">
        <v>77</v>
      </c>
      <c r="AH107" s="42" t="s">
        <v>77</v>
      </c>
      <c r="AI107" s="42" t="s">
        <v>77</v>
      </c>
      <c r="AJ107" s="42" t="s">
        <v>77</v>
      </c>
      <c r="AK107" s="42" t="s">
        <v>77</v>
      </c>
      <c r="AL107" t="str">
        <f>VLOOKUP($Q107,武学奇术!$A:$ZZ,25,FALSE)</f>
        <v>陌刀</v>
      </c>
      <c r="AM107" s="27">
        <f>VLOOKUP($Q107,武学奇术!$A:$ZZ,26,FALSE)</f>
        <v>0.5</v>
      </c>
      <c r="AN107" s="28">
        <f>VLOOKUP($Q107,武学奇术!$A:$ZZ,27,FALSE)*(1+IF(OR($AL107=$F$4,$AL107=$F$5),$B$22,0))</f>
        <v>0</v>
      </c>
      <c r="AO107" s="27">
        <f>VLOOKUP($Q107,武学奇术!$A:$ZZ,28,FALSE)</f>
        <v>0.75</v>
      </c>
      <c r="AP107" s="28">
        <f>VLOOKUP($Q107,武学奇术!$A:$ZZ,29,FALSE)*(1+IF(OR($AL107=$F$4,$AL107=$F$5),$B$22,0))</f>
        <v>0</v>
      </c>
      <c r="AQ107" s="27" cm="1">
        <f t="array" ref="AQ107">$G$3+IFERROR(VLOOKUP($AL107,$F$4:$G$7,2,FALSE),0)+VLOOKUP($Q107,武学奇术!$A:$ZZ,2,FALSE)+SUM(_xlfn.XLOOKUP($R107:$AK107,增益!$A:$A,增益!$B:$B,0))</f>
        <v>0.7841</v>
      </c>
      <c r="AR107" s="27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3574.7</v>
      </c>
      <c r="AT107" cm="1">
        <f t="array" ref="AT107">$E$10*(1+$AR107)+VLOOKUP($Q107,武学奇术!$A:$ZZ,4,FALSE)+SUM(_xlfn.XLOOKUP($R107:$AK107,增益!$A:$A,增益!$D:$D,0))-$I$2</f>
        <v>3574.7</v>
      </c>
      <c r="AU107" s="34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0.352</v>
      </c>
      <c r="AV107" s="34" cm="1">
        <f t="array" ref="AV107">$G$10+VLOOKUP($Q107,武学奇术!$A:$ZZ,7,FALSE)+SUM(_xlfn.XLOOKUP($R107:$AK107,增益!$A:$A,增益!$G:$G,0))</f>
        <v>0</v>
      </c>
      <c r="AW107" s="27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4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-0.14</v>
      </c>
      <c r="BA107" s="34" cm="1">
        <f t="array" ref="BA107">$G$11+VLOOKUP($Q107,武学奇术!$A:$ZZ,10,FALSE)+SUM(_xlfn.XLOOKUP($R107:$AK107,增益!$A:$A,增益!$J:$J,0))</f>
        <v>0</v>
      </c>
      <c r="BB107">
        <f t="shared" si="14"/>
        <v>591.9</v>
      </c>
      <c r="BC107">
        <f t="shared" si="15"/>
        <v>1600.3</v>
      </c>
      <c r="BD107" s="34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0.17</v>
      </c>
      <c r="BE107" s="34" cm="1">
        <f t="array" ref="BE107">$G$12+VLOOKUP($Q107,武学奇术!$A:$ZZ,12,FALSE)+SUM(_xlfn.XLOOKUP($R107:$AK107,增益!$A:$A,增益!$L:$L,0))</f>
        <v>0.15</v>
      </c>
      <c r="BF107">
        <f t="shared" si="16"/>
        <v>0</v>
      </c>
      <c r="BG107">
        <f t="shared" si="17"/>
        <v>0</v>
      </c>
      <c r="BH107" s="34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-0.14</v>
      </c>
      <c r="BI107" s="34" cm="1">
        <f t="array" ref="BI107">$G$13+VLOOKUP($Q107,武学奇术!$A:$ZZ,14,FALSE)+SUM(_xlfn.XLOOKUP($R107:$AK107,增益!$A:$A,增益!$N:$N,0))</f>
        <v>0</v>
      </c>
      <c r="BJ107">
        <f t="shared" si="18"/>
        <v>0</v>
      </c>
      <c r="BK107">
        <f t="shared" si="19"/>
        <v>0</v>
      </c>
      <c r="BL107" s="34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-0.14</v>
      </c>
      <c r="BM107" s="34" cm="1">
        <f t="array" ref="BM107">$G$14+VLOOKUP($Q107,武学奇术!$A:$ZZ,16,FALSE)+SUM(_xlfn.XLOOKUP($R107:$AK107,增益!$A:$A,增益!$P:$P,0))</f>
        <v>0</v>
      </c>
      <c r="BN107" s="27">
        <f>MIN(IF(VLOOKUP($Q107,武学奇术!$A:$ZZ,23,FALSE)=1,100%,$B$8),100%)</f>
        <v>1</v>
      </c>
      <c r="BO107" s="27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1</v>
      </c>
      <c r="BP107" s="27" cm="1">
        <f t="array" ref="BP107">1+$B$13+VLOOKUP($Q107,武学奇术!$A:$ZZ,18,FALSE)+SUM(_xlfn.XLOOKUP($R107:$AK107,增益!$A:$A,增益!$R:$R,0))</f>
        <v>2.1</v>
      </c>
      <c r="BQ107" s="27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</v>
      </c>
      <c r="BR107" s="27" cm="1">
        <f t="array" ref="BR107">1+$B$14+VLOOKUP($Q107,武学奇术!$A:$ZZ,20,FALSE)+SUM(_xlfn.XLOOKUP($R107:$AK107,增益!$A:$A,增益!$T:$T,0))</f>
        <v>1.35</v>
      </c>
      <c r="BS107" s="27">
        <f t="shared" si="20"/>
        <v>1</v>
      </c>
      <c r="BT107" s="27">
        <f t="shared" si="21"/>
        <v>0</v>
      </c>
      <c r="BU107" s="27">
        <f>IF(VLOOKUP($Q107,武学奇术!$A:$ZZ,22,FALSE)=1,0,(1-$BN107))*(1-$BQ107)</f>
        <v>0</v>
      </c>
      <c r="BV107" s="27" cm="1">
        <f t="array" ref="BV107">SUM(_xlfn.XLOOKUP($R107:$AK107,增益!$A:$A,增益!$W:$W,0))+$I$5</f>
        <v>0.21</v>
      </c>
    </row>
    <row r="108" spans="11:74">
      <c r="K108" s="40">
        <f t="shared" si="11"/>
        <v>75886.323275676</v>
      </c>
      <c r="L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蓄力技",$B$21,0))*(1+$BV108)</f>
        <v>75886.323275676</v>
      </c>
      <c r="M108" s="40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蓄力技",$B$21,0))*(1+$BV108)</f>
        <v>55830.3883472549</v>
      </c>
      <c r="N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蓄力技",$B$21,0))*(1+$BV108)</f>
        <v>36136.3444169886</v>
      </c>
      <c r="O108" s="40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蓄力技",$B$21,0))*(1+$BV108)</f>
        <v>30916.8456137883</v>
      </c>
      <c r="P108" s="41">
        <v>2</v>
      </c>
      <c r="Q108" s="42" t="s">
        <v>117</v>
      </c>
      <c r="R108" s="42" t="s">
        <v>103</v>
      </c>
      <c r="S108" s="42" t="s">
        <v>169</v>
      </c>
      <c r="T108" s="42" t="s">
        <v>86</v>
      </c>
      <c r="U108" s="42" t="s">
        <v>121</v>
      </c>
      <c r="V108" s="42" t="s">
        <v>118</v>
      </c>
      <c r="W108" s="42" t="s">
        <v>114</v>
      </c>
      <c r="X108" s="42" t="s">
        <v>176</v>
      </c>
      <c r="Y108" s="42" t="s">
        <v>186</v>
      </c>
      <c r="Z108" s="42" t="s">
        <v>77</v>
      </c>
      <c r="AA108" s="42" t="s">
        <v>73</v>
      </c>
      <c r="AB108" s="42" t="s">
        <v>77</v>
      </c>
      <c r="AC108" s="42" t="s">
        <v>77</v>
      </c>
      <c r="AD108" s="42" t="s">
        <v>77</v>
      </c>
      <c r="AE108" s="42" t="s">
        <v>81</v>
      </c>
      <c r="AF108" s="42" t="s">
        <v>82</v>
      </c>
      <c r="AG108" s="42" t="s">
        <v>77</v>
      </c>
      <c r="AH108" s="42" t="s">
        <v>77</v>
      </c>
      <c r="AI108" s="42" t="s">
        <v>77</v>
      </c>
      <c r="AJ108" s="42" t="s">
        <v>77</v>
      </c>
      <c r="AK108" s="42" t="s">
        <v>77</v>
      </c>
      <c r="AL108" t="str">
        <f>VLOOKUP($Q108,武学奇术!$A:$ZZ,25,FALSE)</f>
        <v>陌刀</v>
      </c>
      <c r="AM108" s="27">
        <f>VLOOKUP($Q108,武学奇术!$A:$ZZ,26,FALSE)</f>
        <v>0.9</v>
      </c>
      <c r="AN108" s="28">
        <f>VLOOKUP($Q108,武学奇术!$A:$ZZ,27,FALSE)*(1+IF(OR($AL108=$F$4,$AL108=$F$5),$B$22,0))</f>
        <v>0</v>
      </c>
      <c r="AO108" s="27">
        <f>VLOOKUP($Q108,武学奇术!$A:$ZZ,28,FALSE)</f>
        <v>1.35</v>
      </c>
      <c r="AP108" s="28">
        <f>VLOOKUP($Q108,武学奇术!$A:$ZZ,29,FALSE)*(1+IF(OR($AL108=$F$4,$AL108=$F$5),$B$22,0))</f>
        <v>0</v>
      </c>
      <c r="AQ108" s="27" cm="1">
        <f t="array" ref="AQ108">$G$3+IFERROR(VLOOKUP($AL108,$F$4:$G$7,2,FALSE),0)+VLOOKUP($Q108,武学奇术!$A:$ZZ,2,FALSE)+SUM(_xlfn.XLOOKUP($R108:$AK108,增益!$A:$A,增益!$B:$B,0))</f>
        <v>0.7841</v>
      </c>
      <c r="AR108" s="27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3574.7</v>
      </c>
      <c r="AT108" cm="1">
        <f t="array" ref="AT108">$E$10*(1+$AR108)+VLOOKUP($Q108,武学奇术!$A:$ZZ,4,FALSE)+SUM(_xlfn.XLOOKUP($R108:$AK108,增益!$A:$A,增益!$D:$D,0))-$I$2</f>
        <v>3574.7</v>
      </c>
      <c r="AU108" s="34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0.352</v>
      </c>
      <c r="AV108" s="34" cm="1">
        <f t="array" ref="AV108">$G$10+VLOOKUP($Q108,武学奇术!$A:$ZZ,7,FALSE)+SUM(_xlfn.XLOOKUP($R108:$AK108,增益!$A:$A,增益!$G:$G,0))</f>
        <v>0</v>
      </c>
      <c r="AW108" s="27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4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-0.14</v>
      </c>
      <c r="BA108" s="34" cm="1">
        <f t="array" ref="BA108">$G$11+VLOOKUP($Q108,武学奇术!$A:$ZZ,10,FALSE)+SUM(_xlfn.XLOOKUP($R108:$AK108,增益!$A:$A,增益!$J:$J,0))</f>
        <v>0</v>
      </c>
      <c r="BB108">
        <f t="shared" si="14"/>
        <v>591.9</v>
      </c>
      <c r="BC108">
        <f t="shared" si="15"/>
        <v>1600.3</v>
      </c>
      <c r="BD108" s="34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0.17</v>
      </c>
      <c r="BE108" s="34" cm="1">
        <f t="array" ref="BE108">$G$12+VLOOKUP($Q108,武学奇术!$A:$ZZ,12,FALSE)+SUM(_xlfn.XLOOKUP($R108:$AK108,增益!$A:$A,增益!$L:$L,0))</f>
        <v>0.15</v>
      </c>
      <c r="BF108">
        <f t="shared" si="16"/>
        <v>0</v>
      </c>
      <c r="BG108">
        <f t="shared" si="17"/>
        <v>0</v>
      </c>
      <c r="BH108" s="34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-0.14</v>
      </c>
      <c r="BI108" s="34" cm="1">
        <f t="array" ref="BI108">$G$13+VLOOKUP($Q108,武学奇术!$A:$ZZ,14,FALSE)+SUM(_xlfn.XLOOKUP($R108:$AK108,增益!$A:$A,增益!$N:$N,0))</f>
        <v>0</v>
      </c>
      <c r="BJ108">
        <f t="shared" si="18"/>
        <v>0</v>
      </c>
      <c r="BK108">
        <f t="shared" si="19"/>
        <v>0</v>
      </c>
      <c r="BL108" s="34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-0.14</v>
      </c>
      <c r="BM108" s="34" cm="1">
        <f t="array" ref="BM108">$G$14+VLOOKUP($Q108,武学奇术!$A:$ZZ,16,FALSE)+SUM(_xlfn.XLOOKUP($R108:$AK108,增益!$A:$A,增益!$P:$P,0))</f>
        <v>0</v>
      </c>
      <c r="BN108" s="27">
        <f>MIN(IF(VLOOKUP($Q108,武学奇术!$A:$ZZ,23,FALSE)=1,100%,$B$8),100%)</f>
        <v>1</v>
      </c>
      <c r="BO108" s="27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1</v>
      </c>
      <c r="BP108" s="27" cm="1">
        <f t="array" ref="BP108">1+$B$13+VLOOKUP($Q108,武学奇术!$A:$ZZ,18,FALSE)+SUM(_xlfn.XLOOKUP($R108:$AK108,增益!$A:$A,增益!$R:$R,0))</f>
        <v>2.1</v>
      </c>
      <c r="BQ108" s="27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</v>
      </c>
      <c r="BR108" s="27" cm="1">
        <f t="array" ref="BR108">1+$B$14+VLOOKUP($Q108,武学奇术!$A:$ZZ,20,FALSE)+SUM(_xlfn.XLOOKUP($R108:$AK108,增益!$A:$A,增益!$T:$T,0))</f>
        <v>1.35</v>
      </c>
      <c r="BS108" s="27">
        <f t="shared" si="20"/>
        <v>1</v>
      </c>
      <c r="BT108" s="27">
        <f t="shared" si="21"/>
        <v>0</v>
      </c>
      <c r="BU108" s="27">
        <f>IF(VLOOKUP($Q108,武学奇术!$A:$ZZ,22,FALSE)=1,0,(1-$BN108))*(1-$BQ108)</f>
        <v>0</v>
      </c>
      <c r="BV108" s="27" cm="1">
        <f t="array" ref="BV108">SUM(_xlfn.XLOOKUP($R108:$AK108,增益!$A:$A,增益!$W:$W,0))+$I$5</f>
        <v>0.21</v>
      </c>
    </row>
    <row r="109" spans="11:74">
      <c r="K109" s="40">
        <f t="shared" si="11"/>
        <v>721990.256145326</v>
      </c>
      <c r="L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蓄力技",$B$21,0))*(1+$BV109)</f>
        <v>721990.256145326</v>
      </c>
      <c r="M109" s="40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蓄力技",$B$21,0))*(1+$BV109)</f>
        <v>522719.994800622</v>
      </c>
      <c r="N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蓄力技",$B$21,0))*(1+$BV109)</f>
        <v>343804.883878727</v>
      </c>
      <c r="O109" s="40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蓄力技",$B$21,0))*(1+$BV109)</f>
        <v>300409.771608844</v>
      </c>
      <c r="P109" s="41">
        <v>2</v>
      </c>
      <c r="Q109" s="42" t="s">
        <v>120</v>
      </c>
      <c r="R109" s="42" t="s">
        <v>103</v>
      </c>
      <c r="S109" s="42" t="s">
        <v>169</v>
      </c>
      <c r="T109" s="42" t="s">
        <v>86</v>
      </c>
      <c r="U109" s="42" t="s">
        <v>121</v>
      </c>
      <c r="V109" s="42" t="s">
        <v>118</v>
      </c>
      <c r="W109" s="42" t="s">
        <v>122</v>
      </c>
      <c r="X109" s="42" t="s">
        <v>176</v>
      </c>
      <c r="Y109" s="42" t="s">
        <v>186</v>
      </c>
      <c r="Z109" s="42" t="s">
        <v>77</v>
      </c>
      <c r="AA109" s="42" t="s">
        <v>73</v>
      </c>
      <c r="AB109" s="42" t="s">
        <v>77</v>
      </c>
      <c r="AC109" s="42" t="s">
        <v>77</v>
      </c>
      <c r="AD109" s="42" t="s">
        <v>77</v>
      </c>
      <c r="AE109" s="42" t="s">
        <v>81</v>
      </c>
      <c r="AF109" s="42" t="s">
        <v>82</v>
      </c>
      <c r="AG109" s="42" t="s">
        <v>77</v>
      </c>
      <c r="AH109" s="42" t="s">
        <v>77</v>
      </c>
      <c r="AI109" s="42" t="s">
        <v>77</v>
      </c>
      <c r="AJ109" s="42" t="s">
        <v>77</v>
      </c>
      <c r="AK109" s="42" t="s">
        <v>77</v>
      </c>
      <c r="AL109" t="str">
        <f>VLOOKUP($Q109,武学奇术!$A:$ZZ,25,FALSE)</f>
        <v>陌刀</v>
      </c>
      <c r="AM109" s="27">
        <f>VLOOKUP($Q109,武学奇术!$A:$ZZ,26,FALSE)</f>
        <v>7.5674</v>
      </c>
      <c r="AN109" s="28">
        <f>VLOOKUP($Q109,武学奇术!$A:$ZZ,27,FALSE)*(1+IF(OR($AL109=$F$4,$AL109=$F$5),$B$22,0))</f>
        <v>3139.5</v>
      </c>
      <c r="AO109" s="27">
        <f>VLOOKUP($Q109,武学奇术!$A:$ZZ,28,FALSE)</f>
        <v>11.3512</v>
      </c>
      <c r="AP109" s="28">
        <f>VLOOKUP($Q109,武学奇术!$A:$ZZ,29,FALSE)*(1+IF(OR($AL109=$F$4,$AL109=$F$5),$B$22,0))</f>
        <v>1710</v>
      </c>
      <c r="AQ109" s="27" cm="1">
        <f t="array" ref="AQ109">$G$3+IFERROR(VLOOKUP($AL109,$F$4:$G$7,2,FALSE),0)+VLOOKUP($Q109,武学奇术!$A:$ZZ,2,FALSE)+SUM(_xlfn.XLOOKUP($R109:$AK109,增益!$A:$A,增益!$B:$B,0))</f>
        <v>0.7641</v>
      </c>
      <c r="AR109" s="27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3574.7</v>
      </c>
      <c r="AT109" cm="1">
        <f t="array" ref="AT109">$E$10*(1+$AR109)+VLOOKUP($Q109,武学奇术!$A:$ZZ,4,FALSE)+SUM(_xlfn.XLOOKUP($R109:$AK109,增益!$A:$A,增益!$D:$D,0))-$I$2</f>
        <v>3574.7</v>
      </c>
      <c r="AU109" s="34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0.352</v>
      </c>
      <c r="AV109" s="34" cm="1">
        <f t="array" ref="AV109">$G$10+VLOOKUP($Q109,武学奇术!$A:$ZZ,7,FALSE)+SUM(_xlfn.XLOOKUP($R109:$AK109,增益!$A:$A,增益!$G:$G,0))</f>
        <v>0</v>
      </c>
      <c r="AW109" s="27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4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-0.14</v>
      </c>
      <c r="BA109" s="34" cm="1">
        <f t="array" ref="BA109">$G$11+VLOOKUP($Q109,武学奇术!$A:$ZZ,10,FALSE)+SUM(_xlfn.XLOOKUP($R109:$AK109,增益!$A:$A,增益!$J:$J,0))</f>
        <v>0</v>
      </c>
      <c r="BB109">
        <f t="shared" si="14"/>
        <v>591.9</v>
      </c>
      <c r="BC109">
        <f t="shared" si="15"/>
        <v>1600.3</v>
      </c>
      <c r="BD109" s="34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0.17</v>
      </c>
      <c r="BE109" s="34" cm="1">
        <f t="array" ref="BE109">$G$12+VLOOKUP($Q109,武学奇术!$A:$ZZ,12,FALSE)+SUM(_xlfn.XLOOKUP($R109:$AK109,增益!$A:$A,增益!$L:$L,0))</f>
        <v>0.15</v>
      </c>
      <c r="BF109">
        <f t="shared" si="16"/>
        <v>0</v>
      </c>
      <c r="BG109">
        <f t="shared" si="17"/>
        <v>0</v>
      </c>
      <c r="BH109" s="34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-0.14</v>
      </c>
      <c r="BI109" s="34" cm="1">
        <f t="array" ref="BI109">$G$13+VLOOKUP($Q109,武学奇术!$A:$ZZ,14,FALSE)+SUM(_xlfn.XLOOKUP($R109:$AK109,增益!$A:$A,增益!$N:$N,0))</f>
        <v>0</v>
      </c>
      <c r="BJ109">
        <f t="shared" si="18"/>
        <v>0</v>
      </c>
      <c r="BK109">
        <f t="shared" si="19"/>
        <v>0</v>
      </c>
      <c r="BL109" s="34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-0.14</v>
      </c>
      <c r="BM109" s="34" cm="1">
        <f t="array" ref="BM109">$G$14+VLOOKUP($Q109,武学奇术!$A:$ZZ,16,FALSE)+SUM(_xlfn.XLOOKUP($R109:$AK109,增益!$A:$A,增益!$P:$P,0))</f>
        <v>0</v>
      </c>
      <c r="BN109" s="27">
        <f>MIN(IF(VLOOKUP($Q109,武学奇术!$A:$ZZ,23,FALSE)=1,100%,$B$8),100%)</f>
        <v>1</v>
      </c>
      <c r="BO109" s="27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1</v>
      </c>
      <c r="BP109" s="27" cm="1">
        <f t="array" ref="BP109">1+$B$13+VLOOKUP($Q109,武学奇术!$A:$ZZ,18,FALSE)+SUM(_xlfn.XLOOKUP($R109:$AK109,增益!$A:$A,增益!$R:$R,0))</f>
        <v>2.1</v>
      </c>
      <c r="BQ109" s="27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</v>
      </c>
      <c r="BR109" s="27" cm="1">
        <f t="array" ref="BR109">1+$B$14+VLOOKUP($Q109,武学奇术!$A:$ZZ,20,FALSE)+SUM(_xlfn.XLOOKUP($R109:$AK109,增益!$A:$A,增益!$T:$T,0))</f>
        <v>1.35</v>
      </c>
      <c r="BS109" s="27">
        <f t="shared" si="20"/>
        <v>1</v>
      </c>
      <c r="BT109" s="27">
        <f t="shared" si="21"/>
        <v>0</v>
      </c>
      <c r="BU109" s="27">
        <f>IF(VLOOKUP($Q109,武学奇术!$A:$ZZ,22,FALSE)=1,0,(1-$BN109))*(1-$BQ109)</f>
        <v>0</v>
      </c>
      <c r="BV109" s="27" cm="1">
        <f t="array" ref="BV109">SUM(_xlfn.XLOOKUP($R109:$AK109,增益!$A:$A,增益!$W:$W,0))+$I$5</f>
        <v>0.21</v>
      </c>
    </row>
    <row r="110" spans="11:74">
      <c r="K110" s="40">
        <f t="shared" si="11"/>
        <v>26146.8797164651</v>
      </c>
      <c r="L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蓄力技",$B$21,0))*(1+$BV110)</f>
        <v>26799.0553031713</v>
      </c>
      <c r="M110" s="40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蓄力技",$B$21,0))*(1+$BV110)</f>
        <v>23552.6667309688</v>
      </c>
      <c r="N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蓄力技",$B$21,0))*(1+$BV110)</f>
        <v>15401.7559213628</v>
      </c>
      <c r="O110" s="40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蓄力技",$B$21,0))*(1+$BV110)</f>
        <v>13357.092042008</v>
      </c>
      <c r="P110" s="41">
        <v>1</v>
      </c>
      <c r="Q110" s="42" t="s">
        <v>75</v>
      </c>
      <c r="R110" s="42" t="s">
        <v>103</v>
      </c>
      <c r="S110" s="42" t="s">
        <v>77</v>
      </c>
      <c r="T110" s="42" t="s">
        <v>77</v>
      </c>
      <c r="U110" s="42" t="s">
        <v>87</v>
      </c>
      <c r="V110" s="42" t="s">
        <v>77</v>
      </c>
      <c r="W110" s="42" t="s">
        <v>78</v>
      </c>
      <c r="X110" s="42" t="s">
        <v>176</v>
      </c>
      <c r="Y110" s="42" t="s">
        <v>77</v>
      </c>
      <c r="Z110" s="42" t="s">
        <v>77</v>
      </c>
      <c r="AA110" s="42" t="s">
        <v>77</v>
      </c>
      <c r="AB110" s="42" t="s">
        <v>77</v>
      </c>
      <c r="AC110" s="42" t="s">
        <v>77</v>
      </c>
      <c r="AD110" s="42" t="s">
        <v>77</v>
      </c>
      <c r="AE110" s="42" t="s">
        <v>81</v>
      </c>
      <c r="AF110" s="42" t="s">
        <v>82</v>
      </c>
      <c r="AG110" s="42" t="s">
        <v>77</v>
      </c>
      <c r="AH110" s="42" t="s">
        <v>77</v>
      </c>
      <c r="AI110" s="42" t="s">
        <v>77</v>
      </c>
      <c r="AJ110" s="42" t="s">
        <v>77</v>
      </c>
      <c r="AK110" s="42" t="s">
        <v>77</v>
      </c>
      <c r="AL110" t="str">
        <f>VLOOKUP($Q110,武学奇术!$A:$ZZ,25,FALSE)</f>
        <v>群体奇术</v>
      </c>
      <c r="AM110" s="27">
        <f>VLOOKUP($Q110,武学奇术!$A:$ZZ,26,FALSE)</f>
        <v>1.4904</v>
      </c>
      <c r="AN110" s="28">
        <f>VLOOKUP($Q110,武学奇术!$A:$ZZ,27,FALSE)*(1+IF(OR($AL110=$F$4,$AL110=$F$5),$B$22,0))</f>
        <v>378</v>
      </c>
      <c r="AO110" s="27">
        <f>VLOOKUP($Q110,武学奇术!$A:$ZZ,28,FALSE)</f>
        <v>2.2356</v>
      </c>
      <c r="AP110" s="28">
        <f>VLOOKUP($Q110,武学奇术!$A:$ZZ,29,FALSE)*(1+IF(OR($AL110=$F$4,$AL110=$F$5),$B$22,0))</f>
        <v>0</v>
      </c>
      <c r="AQ110" s="27" cm="1">
        <f t="array" ref="AQ110">$G$3+IFERROR(VLOOKUP($AL110,$F$4:$G$7,2,FALSE),0)+VLOOKUP($Q110,武学奇术!$A:$ZZ,2,FALSE)+SUM(_xlfn.XLOOKUP($R110:$AK110,增益!$A:$A,增益!$B:$B,0))</f>
        <v>0.3037</v>
      </c>
      <c r="AR110" s="27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3574.7</v>
      </c>
      <c r="AT110" cm="1">
        <f t="array" ref="AT110">$E$10*(1+$AR110)+VLOOKUP($Q110,武学奇术!$A:$ZZ,4,FALSE)+SUM(_xlfn.XLOOKUP($R110:$AK110,增益!$A:$A,增益!$D:$D,0))-$I$2</f>
        <v>3574.7</v>
      </c>
      <c r="AU110" s="34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0.327</v>
      </c>
      <c r="AV110" s="34" cm="1">
        <f t="array" ref="AV110">$G$10+VLOOKUP($Q110,武学奇术!$A:$ZZ,7,FALSE)+SUM(_xlfn.XLOOKUP($R110:$AK110,增益!$A:$A,增益!$G:$G,0))</f>
        <v>0</v>
      </c>
      <c r="AW110" s="27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4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4" cm="1">
        <f t="array" ref="BA110">$G$11+VLOOKUP($Q110,武学奇术!$A:$ZZ,10,FALSE)+SUM(_xlfn.XLOOKUP($R110:$AK110,增益!$A:$A,增益!$J:$J,0))</f>
        <v>0</v>
      </c>
      <c r="BB110">
        <f t="shared" si="14"/>
        <v>591.9</v>
      </c>
      <c r="BC110">
        <f t="shared" si="15"/>
        <v>1600.3</v>
      </c>
      <c r="BD110" s="34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0.09</v>
      </c>
      <c r="BE110" s="34" cm="1">
        <f t="array" ref="BE110">$G$12+VLOOKUP($Q110,武学奇术!$A:$ZZ,12,FALSE)+SUM(_xlfn.XLOOKUP($R110:$AK110,增益!$A:$A,增益!$L:$L,0))</f>
        <v>0.15</v>
      </c>
      <c r="BF110">
        <f t="shared" si="16"/>
        <v>0</v>
      </c>
      <c r="BG110">
        <f t="shared" si="17"/>
        <v>0</v>
      </c>
      <c r="BH110" s="34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-0.3</v>
      </c>
      <c r="BI110" s="34" cm="1">
        <f t="array" ref="BI110">$G$13+VLOOKUP($Q110,武学奇术!$A:$ZZ,14,FALSE)+SUM(_xlfn.XLOOKUP($R110:$AK110,增益!$A:$A,增益!$N:$N,0))</f>
        <v>0</v>
      </c>
      <c r="BJ110">
        <f t="shared" si="18"/>
        <v>0</v>
      </c>
      <c r="BK110">
        <f t="shared" si="19"/>
        <v>0</v>
      </c>
      <c r="BL110" s="34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4" cm="1">
        <f t="array" ref="BM110">$G$14+VLOOKUP($Q110,武学奇术!$A:$ZZ,16,FALSE)+SUM(_xlfn.XLOOKUP($R110:$AK110,增益!$A:$A,增益!$P:$P,0))</f>
        <v>0</v>
      </c>
      <c r="BN110" s="27">
        <f>MIN(IF(VLOOKUP($Q110,武学奇术!$A:$ZZ,23,FALSE)=1,100%,$B$8),100%)</f>
        <v>0.9859</v>
      </c>
      <c r="BO110" s="27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7" cm="1">
        <f t="array" ref="BP110">1+$B$13+VLOOKUP($Q110,武学奇术!$A:$ZZ,18,FALSE)+SUM(_xlfn.XLOOKUP($R110:$AK110,增益!$A:$A,增益!$R:$R,0))</f>
        <v>1.74</v>
      </c>
      <c r="BQ110" s="27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7" cm="1">
        <f t="array" ref="BR110">1+$B$14+VLOOKUP($Q110,武学奇术!$A:$ZZ,20,FALSE)+SUM(_xlfn.XLOOKUP($R110:$AK110,增益!$A:$A,增益!$T:$T,0))</f>
        <v>1.35</v>
      </c>
      <c r="BS110" s="27">
        <f t="shared" si="20"/>
        <v>0.87863408</v>
      </c>
      <c r="BT110" s="27">
        <f t="shared" si="21"/>
        <v>0.01567581</v>
      </c>
      <c r="BU110" s="27">
        <f>IF(VLOOKUP($Q110,武学奇术!$A:$ZZ,22,FALSE)=1,0,(1-$BN110))*(1-$BQ110)</f>
        <v>0.01279011</v>
      </c>
      <c r="BV110" s="27" cm="1">
        <f t="array" ref="BV110">SUM(_xlfn.XLOOKUP($R110:$AK110,增益!$A:$A,增益!$W:$W,0))+$I$5</f>
        <v>0.11</v>
      </c>
    </row>
    <row r="111" spans="11:74">
      <c r="K111" s="40">
        <f t="shared" si="11"/>
        <v>61621.459432539</v>
      </c>
      <c r="L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蓄力技",$B$21,0))*(1+$BV111)</f>
        <v>63130.0413137671</v>
      </c>
      <c r="M111" s="40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蓄力技",$B$21,0))*(1+$BV111)</f>
        <v>55815.0481602605</v>
      </c>
      <c r="N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蓄力技",$B$21,0))*(1+$BV111)</f>
        <v>36281.6329389466</v>
      </c>
      <c r="O111" s="40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蓄力技",$B$21,0))*(1+$BV111)</f>
        <v>31218.7857591817</v>
      </c>
      <c r="P111" s="41">
        <v>2</v>
      </c>
      <c r="Q111" s="42" t="s">
        <v>75</v>
      </c>
      <c r="R111" s="42" t="s">
        <v>103</v>
      </c>
      <c r="S111" s="42" t="s">
        <v>169</v>
      </c>
      <c r="T111" s="42" t="s">
        <v>86</v>
      </c>
      <c r="U111" s="42" t="s">
        <v>87</v>
      </c>
      <c r="V111" s="42" t="s">
        <v>77</v>
      </c>
      <c r="W111" s="42" t="s">
        <v>78</v>
      </c>
      <c r="X111" s="42" t="s">
        <v>176</v>
      </c>
      <c r="Y111" s="42" t="s">
        <v>77</v>
      </c>
      <c r="Z111" s="42" t="s">
        <v>77</v>
      </c>
      <c r="AA111" s="42" t="s">
        <v>77</v>
      </c>
      <c r="AB111" s="42" t="s">
        <v>77</v>
      </c>
      <c r="AC111" s="42" t="s">
        <v>77</v>
      </c>
      <c r="AD111" s="42" t="s">
        <v>77</v>
      </c>
      <c r="AE111" s="42" t="s">
        <v>81</v>
      </c>
      <c r="AF111" s="42" t="s">
        <v>82</v>
      </c>
      <c r="AG111" s="42" t="s">
        <v>77</v>
      </c>
      <c r="AH111" s="42" t="s">
        <v>77</v>
      </c>
      <c r="AI111" s="42" t="s">
        <v>77</v>
      </c>
      <c r="AJ111" s="42" t="s">
        <v>77</v>
      </c>
      <c r="AK111" s="42" t="s">
        <v>77</v>
      </c>
      <c r="AL111" t="str">
        <f>VLOOKUP($Q111,武学奇术!$A:$ZZ,25,FALSE)</f>
        <v>群体奇术</v>
      </c>
      <c r="AM111" s="27">
        <f>VLOOKUP($Q111,武学奇术!$A:$ZZ,26,FALSE)</f>
        <v>1.4904</v>
      </c>
      <c r="AN111" s="28">
        <f>VLOOKUP($Q111,武学奇术!$A:$ZZ,27,FALSE)*(1+IF(OR($AL111=$F$4,$AL111=$F$5),$B$22,0))</f>
        <v>378</v>
      </c>
      <c r="AO111" s="27">
        <f>VLOOKUP($Q111,武学奇术!$A:$ZZ,28,FALSE)</f>
        <v>2.2356</v>
      </c>
      <c r="AP111" s="28">
        <f>VLOOKUP($Q111,武学奇术!$A:$ZZ,29,FALSE)*(1+IF(OR($AL111=$F$4,$AL111=$F$5),$B$22,0))</f>
        <v>0</v>
      </c>
      <c r="AQ111" s="27" cm="1">
        <f t="array" ref="AQ111">$G$3+IFERROR(VLOOKUP($AL111,$F$4:$G$7,2,FALSE),0)+VLOOKUP($Q111,武学奇术!$A:$ZZ,2,FALSE)+SUM(_xlfn.XLOOKUP($R111:$AK111,增益!$A:$A,增益!$B:$B,0))</f>
        <v>0.5037</v>
      </c>
      <c r="AR111" s="27" cm="1">
        <f t="array" ref="AR111">VLOOKUP($Q111,武学奇术!$A:$ZZ,5,FALSE)+SUM(_xlfn.XLOOKUP($R111:$AK111,增益!$A:$A,增益!$E:$E,0))</f>
        <v>0</v>
      </c>
      <c r="AS111" cm="1">
        <f t="array" ref="AS111">$D$10*(1+$AR111)+VLOOKUP($Q111,武学奇术!$A:$ZZ,3,FALSE)+SUM(_xlfn.XLOOKUP($R111:$AK111,增益!$A:$A,增益!$C:$C,0))-$I$2</f>
        <v>3574.7</v>
      </c>
      <c r="AT111" cm="1">
        <f t="array" ref="AT111">$E$10*(1+$AR111)+VLOOKUP($Q111,武学奇术!$A:$ZZ,4,FALSE)+SUM(_xlfn.XLOOKUP($R111:$AK111,增益!$A:$A,增益!$D:$D,0))-$I$2</f>
        <v>3574.7</v>
      </c>
      <c r="AU111" s="34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0.327</v>
      </c>
      <c r="AV111" s="34" cm="1">
        <f t="array" ref="AV111">$G$10+VLOOKUP($Q111,武学奇术!$A:$ZZ,7,FALSE)+SUM(_xlfn.XLOOKUP($R111:$AK111,增益!$A:$A,增益!$G:$G,0))</f>
        <v>0</v>
      </c>
      <c r="AW111" s="27" cm="1">
        <f t="array" ref="AW111">VLOOKUP($Q111,武学奇术!$A:$ZZ,8,FALSE)+SUM(_xlfn.XLOOKUP($R111:$AK111,增益!$A:$A,增益!$H:$H,0))</f>
        <v>0</v>
      </c>
      <c r="AX111">
        <f t="shared" si="12"/>
        <v>0</v>
      </c>
      <c r="AY111">
        <f t="shared" si="13"/>
        <v>0</v>
      </c>
      <c r="AZ111" s="34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34" cm="1">
        <f t="array" ref="BA111">$G$11+VLOOKUP($Q111,武学奇术!$A:$ZZ,10,FALSE)+SUM(_xlfn.XLOOKUP($R111:$AK111,增益!$A:$A,增益!$J:$J,0))</f>
        <v>0</v>
      </c>
      <c r="BB111">
        <f t="shared" si="14"/>
        <v>591.9</v>
      </c>
      <c r="BC111">
        <f t="shared" si="15"/>
        <v>1600.3</v>
      </c>
      <c r="BD111" s="34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0.17</v>
      </c>
      <c r="BE111" s="34" cm="1">
        <f t="array" ref="BE111">$G$12+VLOOKUP($Q111,武学奇术!$A:$ZZ,12,FALSE)+SUM(_xlfn.XLOOKUP($R111:$AK111,增益!$A:$A,增益!$L:$L,0))</f>
        <v>0.15</v>
      </c>
      <c r="BF111">
        <f t="shared" si="16"/>
        <v>0</v>
      </c>
      <c r="BG111">
        <f t="shared" si="17"/>
        <v>0</v>
      </c>
      <c r="BH111" s="34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-0.14</v>
      </c>
      <c r="BI111" s="34" cm="1">
        <f t="array" ref="BI111">$G$13+VLOOKUP($Q111,武学奇术!$A:$ZZ,14,FALSE)+SUM(_xlfn.XLOOKUP($R111:$AK111,增益!$A:$A,增益!$N:$N,0))</f>
        <v>0</v>
      </c>
      <c r="BJ111">
        <f t="shared" si="18"/>
        <v>0</v>
      </c>
      <c r="BK111">
        <f t="shared" si="19"/>
        <v>0</v>
      </c>
      <c r="BL111" s="34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34" cm="1">
        <f t="array" ref="BM111">$G$14+VLOOKUP($Q111,武学奇术!$A:$ZZ,16,FALSE)+SUM(_xlfn.XLOOKUP($R111:$AK111,增益!$A:$A,增益!$P:$P,0))</f>
        <v>0</v>
      </c>
      <c r="BN111" s="27">
        <f>MIN(IF(VLOOKUP($Q111,武学奇术!$A:$ZZ,23,FALSE)=1,100%,$B$8),100%)</f>
        <v>0.9859</v>
      </c>
      <c r="BO111" s="27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7" cm="1">
        <f t="array" ref="BP111">1+$B$13+VLOOKUP($Q111,武学奇术!$A:$ZZ,18,FALSE)+SUM(_xlfn.XLOOKUP($R111:$AK111,增益!$A:$A,增益!$R:$R,0))</f>
        <v>1.74</v>
      </c>
      <c r="BQ111" s="27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7" cm="1">
        <f t="array" ref="BR111">1+$B$14+VLOOKUP($Q111,武学奇术!$A:$ZZ,20,FALSE)+SUM(_xlfn.XLOOKUP($R111:$AK111,增益!$A:$A,增益!$T:$T,0))</f>
        <v>1.35</v>
      </c>
      <c r="BS111" s="27">
        <f t="shared" si="20"/>
        <v>0.87863408</v>
      </c>
      <c r="BT111" s="27">
        <f t="shared" si="21"/>
        <v>0.01567581</v>
      </c>
      <c r="BU111" s="27">
        <f>IF(VLOOKUP($Q111,武学奇术!$A:$ZZ,22,FALSE)=1,0,(1-$BN111))*(1-$BQ111)</f>
        <v>0.01279011</v>
      </c>
      <c r="BV111" s="27" cm="1">
        <f t="array" ref="BV111">SUM(_xlfn.XLOOKUP($R111:$AK111,增益!$A:$A,增益!$W:$W,0))+$I$5</f>
        <v>0.11</v>
      </c>
    </row>
    <row r="112" spans="11:74">
      <c r="K112" s="40">
        <f t="shared" si="11"/>
        <v>67172.9422642992</v>
      </c>
      <c r="L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蓄力技",$B$21,0))*(1+$BV112)</f>
        <v>68817.4324231155</v>
      </c>
      <c r="M112" s="40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蓄力技",$B$21,0))*(1+$BV112)</f>
        <v>60843.4308774011</v>
      </c>
      <c r="N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蓄力技",$B$21,0))*(1+$BV112)</f>
        <v>39550.2485190319</v>
      </c>
      <c r="O112" s="40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蓄力技",$B$21,0))*(1+$BV112)</f>
        <v>34031.2889807296</v>
      </c>
      <c r="P112" s="41">
        <v>2</v>
      </c>
      <c r="Q112" s="42" t="s">
        <v>75</v>
      </c>
      <c r="R112" s="42" t="s">
        <v>103</v>
      </c>
      <c r="S112" s="42" t="s">
        <v>169</v>
      </c>
      <c r="T112" s="42" t="s">
        <v>86</v>
      </c>
      <c r="U112" s="42" t="s">
        <v>87</v>
      </c>
      <c r="V112" s="42" t="s">
        <v>77</v>
      </c>
      <c r="W112" s="42" t="s">
        <v>78</v>
      </c>
      <c r="X112" s="42" t="s">
        <v>176</v>
      </c>
      <c r="Y112" s="42" t="s">
        <v>186</v>
      </c>
      <c r="Z112" s="42" t="s">
        <v>77</v>
      </c>
      <c r="AA112" s="42" t="s">
        <v>77</v>
      </c>
      <c r="AB112" s="42" t="s">
        <v>77</v>
      </c>
      <c r="AC112" s="42" t="s">
        <v>77</v>
      </c>
      <c r="AD112" s="42" t="s">
        <v>77</v>
      </c>
      <c r="AE112" s="42" t="s">
        <v>81</v>
      </c>
      <c r="AF112" s="42" t="s">
        <v>82</v>
      </c>
      <c r="AG112" s="42" t="s">
        <v>77</v>
      </c>
      <c r="AH112" s="42" t="s">
        <v>77</v>
      </c>
      <c r="AI112" s="42" t="s">
        <v>77</v>
      </c>
      <c r="AJ112" s="42" t="s">
        <v>77</v>
      </c>
      <c r="AK112" s="42" t="s">
        <v>77</v>
      </c>
      <c r="AL112" t="str">
        <f>VLOOKUP($Q112,武学奇术!$A:$ZZ,25,FALSE)</f>
        <v>群体奇术</v>
      </c>
      <c r="AM112" s="27">
        <f>VLOOKUP($Q112,武学奇术!$A:$ZZ,26,FALSE)</f>
        <v>1.4904</v>
      </c>
      <c r="AN112" s="28">
        <f>VLOOKUP($Q112,武学奇术!$A:$ZZ,27,FALSE)*(1+IF(OR($AL112=$F$4,$AL112=$F$5),$B$22,0))</f>
        <v>378</v>
      </c>
      <c r="AO112" s="27">
        <f>VLOOKUP($Q112,武学奇术!$A:$ZZ,28,FALSE)</f>
        <v>2.2356</v>
      </c>
      <c r="AP112" s="28">
        <f>VLOOKUP($Q112,武学奇术!$A:$ZZ,29,FALSE)*(1+IF(OR($AL112=$F$4,$AL112=$F$5),$B$22,0))</f>
        <v>0</v>
      </c>
      <c r="AQ112" s="27" cm="1">
        <f t="array" ref="AQ112">$G$3+IFERROR(VLOOKUP($AL112,$F$4:$G$7,2,FALSE),0)+VLOOKUP($Q112,武学奇术!$A:$ZZ,2,FALSE)+SUM(_xlfn.XLOOKUP($R112:$AK112,增益!$A:$A,增益!$B:$B,0))</f>
        <v>0.5037</v>
      </c>
      <c r="AR112" s="27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3574.7</v>
      </c>
      <c r="AT112" cm="1">
        <f t="array" ref="AT112">$E$10*(1+$AR112)+VLOOKUP($Q112,武学奇术!$A:$ZZ,4,FALSE)+SUM(_xlfn.XLOOKUP($R112:$AK112,增益!$A:$A,增益!$D:$D,0))-$I$2</f>
        <v>3574.7</v>
      </c>
      <c r="AU112" s="34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0.327</v>
      </c>
      <c r="AV112" s="34" cm="1">
        <f t="array" ref="AV112">$G$10+VLOOKUP($Q112,武学奇术!$A:$ZZ,7,FALSE)+SUM(_xlfn.XLOOKUP($R112:$AK112,增益!$A:$A,增益!$G:$G,0))</f>
        <v>0</v>
      </c>
      <c r="AW112" s="27" cm="1">
        <f t="array" ref="AW112">VLOOKUP($Q112,武学奇术!$A:$ZZ,8,FALSE)+SUM(_xlfn.XLOOKUP($R112:$AK112,增益!$A:$A,增益!$H:$H,0))</f>
        <v>0</v>
      </c>
      <c r="AX112">
        <f t="shared" si="12"/>
        <v>0</v>
      </c>
      <c r="AY112">
        <f t="shared" si="13"/>
        <v>0</v>
      </c>
      <c r="AZ112" s="34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-0.14</v>
      </c>
      <c r="BA112" s="34" cm="1">
        <f t="array" ref="BA112">$G$11+VLOOKUP($Q112,武学奇术!$A:$ZZ,10,FALSE)+SUM(_xlfn.XLOOKUP($R112:$AK112,增益!$A:$A,增益!$J:$J,0))</f>
        <v>0</v>
      </c>
      <c r="BB112">
        <f t="shared" si="14"/>
        <v>591.9</v>
      </c>
      <c r="BC112">
        <f t="shared" si="15"/>
        <v>1600.3</v>
      </c>
      <c r="BD112" s="34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0.17</v>
      </c>
      <c r="BE112" s="34" cm="1">
        <f t="array" ref="BE112">$G$12+VLOOKUP($Q112,武学奇术!$A:$ZZ,12,FALSE)+SUM(_xlfn.XLOOKUP($R112:$AK112,增益!$A:$A,增益!$L:$L,0))</f>
        <v>0.15</v>
      </c>
      <c r="BF112">
        <f t="shared" si="16"/>
        <v>0</v>
      </c>
      <c r="BG112">
        <f t="shared" si="17"/>
        <v>0</v>
      </c>
      <c r="BH112" s="34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-0.14</v>
      </c>
      <c r="BI112" s="34" cm="1">
        <f t="array" ref="BI112">$G$13+VLOOKUP($Q112,武学奇术!$A:$ZZ,14,FALSE)+SUM(_xlfn.XLOOKUP($R112:$AK112,增益!$A:$A,增益!$N:$N,0))</f>
        <v>0</v>
      </c>
      <c r="BJ112">
        <f t="shared" si="18"/>
        <v>0</v>
      </c>
      <c r="BK112">
        <f t="shared" si="19"/>
        <v>0</v>
      </c>
      <c r="BL112" s="34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-0.14</v>
      </c>
      <c r="BM112" s="34" cm="1">
        <f t="array" ref="BM112">$G$14+VLOOKUP($Q112,武学奇术!$A:$ZZ,16,FALSE)+SUM(_xlfn.XLOOKUP($R112:$AK112,增益!$A:$A,增益!$P:$P,0))</f>
        <v>0</v>
      </c>
      <c r="BN112" s="27">
        <f>MIN(IF(VLOOKUP($Q112,武学奇术!$A:$ZZ,23,FALSE)=1,100%,$B$8),100%)</f>
        <v>0.9859</v>
      </c>
      <c r="BO112" s="27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7" cm="1">
        <f t="array" ref="BP112">1+$B$13+VLOOKUP($Q112,武学奇术!$A:$ZZ,18,FALSE)+SUM(_xlfn.XLOOKUP($R112:$AK112,增益!$A:$A,增益!$R:$R,0))</f>
        <v>1.74</v>
      </c>
      <c r="BQ112" s="27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7" cm="1">
        <f t="array" ref="BR112">1+$B$14+VLOOKUP($Q112,武学奇术!$A:$ZZ,20,FALSE)+SUM(_xlfn.XLOOKUP($R112:$AK112,增益!$A:$A,增益!$T:$T,0))</f>
        <v>1.35</v>
      </c>
      <c r="BS112" s="27">
        <f t="shared" si="20"/>
        <v>0.87863408</v>
      </c>
      <c r="BT112" s="27">
        <f t="shared" si="21"/>
        <v>0.01567581</v>
      </c>
      <c r="BU112" s="27">
        <f>IF(VLOOKUP($Q112,武学奇术!$A:$ZZ,22,FALSE)=1,0,(1-$BN112))*(1-$BQ112)</f>
        <v>0.01279011</v>
      </c>
      <c r="BV112" s="27" cm="1">
        <f t="array" ref="BV112">SUM(_xlfn.XLOOKUP($R112:$AK112,增益!$A:$A,增益!$W:$W,0))+$I$5</f>
        <v>0.21</v>
      </c>
    </row>
    <row r="113" spans="11:74">
      <c r="K113" s="40">
        <f t="shared" si="11"/>
        <v>0</v>
      </c>
      <c r="L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蓄力技",$B$21,0))*(1+$BV113)</f>
        <v>0</v>
      </c>
      <c r="M113" s="40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蓄力技",$B$21,0))*(1+$BV113)</f>
        <v>0</v>
      </c>
      <c r="N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蓄力技",$B$21,0))*(1+$BV113)</f>
        <v>0</v>
      </c>
      <c r="O113" s="40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蓄力技",$B$21,0))*(1+$BV113)</f>
        <v>0</v>
      </c>
      <c r="P113" s="41">
        <v>1</v>
      </c>
      <c r="Q113" s="42" t="s">
        <v>77</v>
      </c>
      <c r="R113" s="42" t="s">
        <v>77</v>
      </c>
      <c r="S113" s="42" t="s">
        <v>77</v>
      </c>
      <c r="T113" s="42" t="s">
        <v>77</v>
      </c>
      <c r="U113" s="42" t="s">
        <v>77</v>
      </c>
      <c r="V113" s="42" t="s">
        <v>77</v>
      </c>
      <c r="W113" s="42" t="s">
        <v>77</v>
      </c>
      <c r="X113" s="42" t="s">
        <v>77</v>
      </c>
      <c r="Y113" s="42" t="s">
        <v>77</v>
      </c>
      <c r="Z113" s="42" t="s">
        <v>77</v>
      </c>
      <c r="AA113" s="42" t="s">
        <v>77</v>
      </c>
      <c r="AB113" s="42" t="s">
        <v>77</v>
      </c>
      <c r="AC113" s="42" t="s">
        <v>77</v>
      </c>
      <c r="AD113" s="42" t="s">
        <v>77</v>
      </c>
      <c r="AE113" s="42" t="s">
        <v>81</v>
      </c>
      <c r="AF113" s="42" t="s">
        <v>82</v>
      </c>
      <c r="AG113" s="42" t="s">
        <v>77</v>
      </c>
      <c r="AH113" s="42" t="s">
        <v>77</v>
      </c>
      <c r="AI113" s="42" t="s">
        <v>77</v>
      </c>
      <c r="AJ113" s="42" t="s">
        <v>77</v>
      </c>
      <c r="AK113" s="42" t="s">
        <v>77</v>
      </c>
      <c r="AL113" t="str">
        <f>VLOOKUP($Q113,武学奇术!$A:$ZZ,25,FALSE)</f>
        <v>心法</v>
      </c>
      <c r="AM113" s="27">
        <f>VLOOKUP($Q113,武学奇术!$A:$ZZ,26,FALSE)</f>
        <v>0</v>
      </c>
      <c r="AN113" s="28">
        <f>VLOOKUP($Q113,武学奇术!$A:$ZZ,27,FALSE)*(1+IF(OR($AL113=$F$4,$AL113=$F$5),$B$22,0))</f>
        <v>0</v>
      </c>
      <c r="AO113" s="27">
        <f>VLOOKUP($Q113,武学奇术!$A:$ZZ,28,FALSE)</f>
        <v>0</v>
      </c>
      <c r="AP113" s="28">
        <f>VLOOKUP($Q113,武学奇术!$A:$ZZ,29,FALSE)*(1+IF(OR($AL113=$F$4,$AL113=$F$5),$B$22,0))</f>
        <v>0</v>
      </c>
      <c r="AQ113" s="27" cm="1">
        <f t="array" ref="AQ113">$G$3+IFERROR(VLOOKUP($AL113,$F$4:$G$7,2,FALSE),0)+VLOOKUP($Q113,武学奇术!$A:$ZZ,2,FALSE)+SUM(_xlfn.XLOOKUP($R113:$AK113,增益!$A:$A,增益!$B:$B,0))</f>
        <v>0.2337</v>
      </c>
      <c r="AR113" s="27" cm="1">
        <f t="array" ref="AR113">VLOOKUP($Q113,武学奇术!$A:$ZZ,5,FALSE)+SUM(_xlfn.XLOOKUP($R113:$AK113,增益!$A:$A,增益!$E:$E,0))</f>
        <v>0</v>
      </c>
      <c r="AS113" cm="1">
        <f t="array" ref="AS113">$D$10*(1+$AR113)+VLOOKUP($Q113,武学奇术!$A:$ZZ,3,FALSE)+SUM(_xlfn.XLOOKUP($R113:$AK113,增益!$A:$A,增益!$C:$C,0))-$I$2</f>
        <v>3574.7</v>
      </c>
      <c r="AT113" cm="1">
        <f t="array" ref="AT113">$E$10*(1+$AR113)+VLOOKUP($Q113,武学奇术!$A:$ZZ,4,FALSE)+SUM(_xlfn.XLOOKUP($R113:$AK113,增益!$A:$A,增益!$D:$D,0))-$I$2</f>
        <v>3574.7</v>
      </c>
      <c r="AU113" s="34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0.227</v>
      </c>
      <c r="AV113" s="34" cm="1">
        <f t="array" ref="AV113">$G$10+VLOOKUP($Q113,武学奇术!$A:$ZZ,7,FALSE)+SUM(_xlfn.XLOOKUP($R113:$AK113,增益!$A:$A,增益!$G:$G,0))</f>
        <v>0</v>
      </c>
      <c r="AW113" s="27" cm="1">
        <f t="array" ref="AW113">VLOOKUP($Q113,武学奇术!$A:$ZZ,8,FALSE)+SUM(_xlfn.XLOOKUP($R113:$AK113,增益!$A:$A,增益!$H:$H,0))</f>
        <v>0</v>
      </c>
      <c r="AX113">
        <f t="shared" si="12"/>
        <v>0</v>
      </c>
      <c r="AY113">
        <f t="shared" si="13"/>
        <v>0</v>
      </c>
      <c r="AZ113" s="34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4" cm="1">
        <f t="array" ref="BA113">$G$11+VLOOKUP($Q113,武学奇术!$A:$ZZ,10,FALSE)+SUM(_xlfn.XLOOKUP($R113:$AK113,增益!$A:$A,增益!$J:$J,0))</f>
        <v>0</v>
      </c>
      <c r="BB113">
        <f t="shared" si="14"/>
        <v>591.9</v>
      </c>
      <c r="BC113">
        <f t="shared" si="15"/>
        <v>1600.3</v>
      </c>
      <c r="BD113" s="34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0.09</v>
      </c>
      <c r="BE113" s="34" cm="1">
        <f t="array" ref="BE113">$G$12+VLOOKUP($Q113,武学奇术!$A:$ZZ,12,FALSE)+SUM(_xlfn.XLOOKUP($R113:$AK113,增益!$A:$A,增益!$L:$L,0))</f>
        <v>0.15</v>
      </c>
      <c r="BF113">
        <f t="shared" si="16"/>
        <v>0</v>
      </c>
      <c r="BG113">
        <f t="shared" si="17"/>
        <v>0</v>
      </c>
      <c r="BH113" s="34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-0.3</v>
      </c>
      <c r="BI113" s="34" cm="1">
        <f t="array" ref="BI113">$G$13+VLOOKUP($Q113,武学奇术!$A:$ZZ,14,FALSE)+SUM(_xlfn.XLOOKUP($R113:$AK113,增益!$A:$A,增益!$N:$N,0))</f>
        <v>0</v>
      </c>
      <c r="BJ113">
        <f t="shared" si="18"/>
        <v>0</v>
      </c>
      <c r="BK113">
        <f t="shared" si="19"/>
        <v>0</v>
      </c>
      <c r="BL113" s="34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4" cm="1">
        <f t="array" ref="BM113">$G$14+VLOOKUP($Q113,武学奇术!$A:$ZZ,16,FALSE)+SUM(_xlfn.XLOOKUP($R113:$AK113,增益!$A:$A,增益!$P:$P,0))</f>
        <v>0</v>
      </c>
      <c r="BN113" s="27">
        <f>MIN(IF(VLOOKUP($Q113,武学奇术!$A:$ZZ,23,FALSE)=1,100%,$B$8),100%)</f>
        <v>0.9859</v>
      </c>
      <c r="BO113" s="27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7" cm="1">
        <f t="array" ref="BP113">1+$B$13+VLOOKUP($Q113,武学奇术!$A:$ZZ,18,FALSE)+SUM(_xlfn.XLOOKUP($R113:$AK113,增益!$A:$A,增益!$R:$R,0))</f>
        <v>1.54</v>
      </c>
      <c r="BQ113" s="27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7" cm="1">
        <f t="array" ref="BR113">1+$B$14+VLOOKUP($Q113,武学奇术!$A:$ZZ,20,FALSE)+SUM(_xlfn.XLOOKUP($R113:$AK113,增益!$A:$A,增益!$T:$T,0))</f>
        <v>1.35</v>
      </c>
      <c r="BS113" s="27">
        <f t="shared" si="20"/>
        <v>0.87863408</v>
      </c>
      <c r="BT113" s="27">
        <f t="shared" si="21"/>
        <v>0.01567581</v>
      </c>
      <c r="BU113" s="27">
        <f>IF(VLOOKUP($Q113,武学奇术!$A:$ZZ,22,FALSE)=1,0,(1-$BN113))*(1-$BQ113)</f>
        <v>0.01279011</v>
      </c>
      <c r="BV113" s="27" cm="1">
        <f t="array" ref="BV113">SUM(_xlfn.XLOOKUP($R113:$AK113,增益!$A:$A,增益!$W:$W,0))+$I$5</f>
        <v>0.11</v>
      </c>
    </row>
    <row r="114" spans="11:74">
      <c r="K114" s="40">
        <f t="shared" si="11"/>
        <v>0</v>
      </c>
      <c r="L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蓄力技",$B$21,0))*(1+$BV114)</f>
        <v>0</v>
      </c>
      <c r="M114" s="40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蓄力技",$B$21,0))*(1+$BV114)</f>
        <v>0</v>
      </c>
      <c r="N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蓄力技",$B$21,0))*(1+$BV114)</f>
        <v>0</v>
      </c>
      <c r="O114" s="40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蓄力技",$B$21,0))*(1+$BV114)</f>
        <v>0</v>
      </c>
      <c r="P114" s="41">
        <v>1</v>
      </c>
      <c r="Q114" s="42" t="s">
        <v>77</v>
      </c>
      <c r="R114" s="42" t="s">
        <v>77</v>
      </c>
      <c r="S114" s="42" t="s">
        <v>77</v>
      </c>
      <c r="T114" s="42" t="s">
        <v>77</v>
      </c>
      <c r="U114" s="42" t="s">
        <v>77</v>
      </c>
      <c r="V114" s="42" t="s">
        <v>77</v>
      </c>
      <c r="W114" s="42" t="s">
        <v>77</v>
      </c>
      <c r="X114" s="42" t="s">
        <v>77</v>
      </c>
      <c r="Y114" s="42" t="s">
        <v>77</v>
      </c>
      <c r="Z114" s="42" t="s">
        <v>77</v>
      </c>
      <c r="AA114" s="42" t="s">
        <v>77</v>
      </c>
      <c r="AB114" s="42" t="s">
        <v>77</v>
      </c>
      <c r="AC114" s="42" t="s">
        <v>77</v>
      </c>
      <c r="AD114" s="42" t="s">
        <v>77</v>
      </c>
      <c r="AE114" s="42" t="s">
        <v>81</v>
      </c>
      <c r="AF114" s="42" t="s">
        <v>82</v>
      </c>
      <c r="AG114" s="42" t="s">
        <v>77</v>
      </c>
      <c r="AH114" s="42" t="s">
        <v>77</v>
      </c>
      <c r="AI114" s="42" t="s">
        <v>77</v>
      </c>
      <c r="AJ114" s="42" t="s">
        <v>77</v>
      </c>
      <c r="AK114" s="42" t="s">
        <v>77</v>
      </c>
      <c r="AL114" t="str">
        <f>VLOOKUP($Q114,武学奇术!$A:$ZZ,25,FALSE)</f>
        <v>心法</v>
      </c>
      <c r="AM114" s="27">
        <f>VLOOKUP($Q114,武学奇术!$A:$ZZ,26,FALSE)</f>
        <v>0</v>
      </c>
      <c r="AN114" s="28">
        <f>VLOOKUP($Q114,武学奇术!$A:$ZZ,27,FALSE)*(1+IF(OR($AL114=$F$4,$AL114=$F$5),$B$22,0))</f>
        <v>0</v>
      </c>
      <c r="AO114" s="27">
        <f>VLOOKUP($Q114,武学奇术!$A:$ZZ,28,FALSE)</f>
        <v>0</v>
      </c>
      <c r="AP114" s="28">
        <f>VLOOKUP($Q114,武学奇术!$A:$ZZ,29,FALSE)*(1+IF(OR($AL114=$F$4,$AL114=$F$5),$B$22,0))</f>
        <v>0</v>
      </c>
      <c r="AQ114" s="27" cm="1">
        <f t="array" ref="AQ114">$G$3+IFERROR(VLOOKUP($AL114,$F$4:$G$7,2,FALSE),0)+VLOOKUP($Q114,武学奇术!$A:$ZZ,2,FALSE)+SUM(_xlfn.XLOOKUP($R114:$AK114,增益!$A:$A,增益!$B:$B,0))</f>
        <v>0.2337</v>
      </c>
      <c r="AR114" s="27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3574.7</v>
      </c>
      <c r="AT114" cm="1">
        <f t="array" ref="AT114">$E$10*(1+$AR114)+VLOOKUP($Q114,武学奇术!$A:$ZZ,4,FALSE)+SUM(_xlfn.XLOOKUP($R114:$AK114,增益!$A:$A,增益!$D:$D,0))-$I$2</f>
        <v>3574.7</v>
      </c>
      <c r="AU114" s="34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0.227</v>
      </c>
      <c r="AV114" s="34" cm="1">
        <f t="array" ref="AV114">$G$10+VLOOKUP($Q114,武学奇术!$A:$ZZ,7,FALSE)+SUM(_xlfn.XLOOKUP($R114:$AK114,增益!$A:$A,增益!$G:$G,0))</f>
        <v>0</v>
      </c>
      <c r="AW114" s="27" cm="1">
        <f t="array" ref="AW114">VLOOKUP($Q114,武学奇术!$A:$ZZ,8,FALSE)+SUM(_xlfn.XLOOKUP($R114:$AK114,增益!$A:$A,增益!$H:$H,0))</f>
        <v>0</v>
      </c>
      <c r="AX114">
        <f t="shared" si="12"/>
        <v>0</v>
      </c>
      <c r="AY114">
        <f t="shared" si="13"/>
        <v>0</v>
      </c>
      <c r="AZ114" s="34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4" cm="1">
        <f t="array" ref="BA114">$G$11+VLOOKUP($Q114,武学奇术!$A:$ZZ,10,FALSE)+SUM(_xlfn.XLOOKUP($R114:$AK114,增益!$A:$A,增益!$J:$J,0))</f>
        <v>0</v>
      </c>
      <c r="BB114">
        <f t="shared" si="14"/>
        <v>591.9</v>
      </c>
      <c r="BC114">
        <f t="shared" si="15"/>
        <v>1600.3</v>
      </c>
      <c r="BD114" s="34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0.09</v>
      </c>
      <c r="BE114" s="34" cm="1">
        <f t="array" ref="BE114">$G$12+VLOOKUP($Q114,武学奇术!$A:$ZZ,12,FALSE)+SUM(_xlfn.XLOOKUP($R114:$AK114,增益!$A:$A,增益!$L:$L,0))</f>
        <v>0.15</v>
      </c>
      <c r="BF114">
        <f t="shared" si="16"/>
        <v>0</v>
      </c>
      <c r="BG114">
        <f t="shared" si="17"/>
        <v>0</v>
      </c>
      <c r="BH114" s="34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-0.3</v>
      </c>
      <c r="BI114" s="34" cm="1">
        <f t="array" ref="BI114">$G$13+VLOOKUP($Q114,武学奇术!$A:$ZZ,14,FALSE)+SUM(_xlfn.XLOOKUP($R114:$AK114,增益!$A:$A,增益!$N:$N,0))</f>
        <v>0</v>
      </c>
      <c r="BJ114">
        <f t="shared" si="18"/>
        <v>0</v>
      </c>
      <c r="BK114">
        <f t="shared" si="19"/>
        <v>0</v>
      </c>
      <c r="BL114" s="34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4" cm="1">
        <f t="array" ref="BM114">$G$14+VLOOKUP($Q114,武学奇术!$A:$ZZ,16,FALSE)+SUM(_xlfn.XLOOKUP($R114:$AK114,增益!$A:$A,增益!$P:$P,0))</f>
        <v>0</v>
      </c>
      <c r="BN114" s="27">
        <f>MIN(IF(VLOOKUP($Q114,武学奇术!$A:$ZZ,23,FALSE)=1,100%,$B$8),100%)</f>
        <v>0.9859</v>
      </c>
      <c r="BO114" s="27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7" cm="1">
        <f t="array" ref="BP114">1+$B$13+VLOOKUP($Q114,武学奇术!$A:$ZZ,18,FALSE)+SUM(_xlfn.XLOOKUP($R114:$AK114,增益!$A:$A,增益!$R:$R,0))</f>
        <v>1.54</v>
      </c>
      <c r="BQ114" s="27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7" cm="1">
        <f t="array" ref="BR114">1+$B$14+VLOOKUP($Q114,武学奇术!$A:$ZZ,20,FALSE)+SUM(_xlfn.XLOOKUP($R114:$AK114,增益!$A:$A,增益!$T:$T,0))</f>
        <v>1.35</v>
      </c>
      <c r="BS114" s="27">
        <f t="shared" si="20"/>
        <v>0.87863408</v>
      </c>
      <c r="BT114" s="27">
        <f t="shared" si="21"/>
        <v>0.01567581</v>
      </c>
      <c r="BU114" s="27">
        <f>IF(VLOOKUP($Q114,武学奇术!$A:$ZZ,22,FALSE)=1,0,(1-$BN114))*(1-$BQ114)</f>
        <v>0.01279011</v>
      </c>
      <c r="BV114" s="27" cm="1">
        <f t="array" ref="BV114">SUM(_xlfn.XLOOKUP($R114:$AK114,增益!$A:$A,增益!$W:$W,0))+$I$5</f>
        <v>0.11</v>
      </c>
    </row>
    <row r="115" spans="11:74">
      <c r="K115" s="40">
        <f t="shared" si="11"/>
        <v>0</v>
      </c>
      <c r="L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蓄力技",$B$21,0))*(1+$BV115)</f>
        <v>0</v>
      </c>
      <c r="M115" s="40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蓄力技",$B$21,0))*(1+$BV115)</f>
        <v>0</v>
      </c>
      <c r="N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蓄力技",$B$21,0))*(1+$BV115)</f>
        <v>0</v>
      </c>
      <c r="O115" s="40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蓄力技",$B$21,0))*(1+$BV115)</f>
        <v>0</v>
      </c>
      <c r="P115" s="41">
        <v>1</v>
      </c>
      <c r="Q115" s="42" t="s">
        <v>77</v>
      </c>
      <c r="R115" s="42" t="s">
        <v>77</v>
      </c>
      <c r="S115" s="42" t="s">
        <v>77</v>
      </c>
      <c r="T115" s="42" t="s">
        <v>77</v>
      </c>
      <c r="U115" s="42" t="s">
        <v>77</v>
      </c>
      <c r="V115" s="42" t="s">
        <v>77</v>
      </c>
      <c r="W115" s="42" t="s">
        <v>77</v>
      </c>
      <c r="X115" s="42" t="s">
        <v>77</v>
      </c>
      <c r="Y115" s="42" t="s">
        <v>77</v>
      </c>
      <c r="Z115" s="42" t="s">
        <v>77</v>
      </c>
      <c r="AA115" s="42" t="s">
        <v>77</v>
      </c>
      <c r="AB115" s="42" t="s">
        <v>77</v>
      </c>
      <c r="AC115" s="42" t="s">
        <v>77</v>
      </c>
      <c r="AD115" s="42" t="s">
        <v>77</v>
      </c>
      <c r="AE115" s="42" t="s">
        <v>81</v>
      </c>
      <c r="AF115" s="42" t="s">
        <v>82</v>
      </c>
      <c r="AG115" s="42" t="s">
        <v>77</v>
      </c>
      <c r="AH115" s="42" t="s">
        <v>77</v>
      </c>
      <c r="AI115" s="42" t="s">
        <v>77</v>
      </c>
      <c r="AJ115" s="42" t="s">
        <v>77</v>
      </c>
      <c r="AK115" s="42" t="s">
        <v>77</v>
      </c>
      <c r="AL115" t="str">
        <f>VLOOKUP($Q115,武学奇术!$A:$ZZ,25,FALSE)</f>
        <v>心法</v>
      </c>
      <c r="AM115" s="27">
        <f>VLOOKUP($Q115,武学奇术!$A:$ZZ,26,FALSE)</f>
        <v>0</v>
      </c>
      <c r="AN115" s="28">
        <f>VLOOKUP($Q115,武学奇术!$A:$ZZ,27,FALSE)*(1+IF(OR($AL115=$F$4,$AL115=$F$5),$B$22,0))</f>
        <v>0</v>
      </c>
      <c r="AO115" s="27">
        <f>VLOOKUP($Q115,武学奇术!$A:$ZZ,28,FALSE)</f>
        <v>0</v>
      </c>
      <c r="AP115" s="28">
        <f>VLOOKUP($Q115,武学奇术!$A:$ZZ,29,FALSE)*(1+IF(OR($AL115=$F$4,$AL115=$F$5),$B$22,0))</f>
        <v>0</v>
      </c>
      <c r="AQ115" s="27" cm="1">
        <f t="array" ref="AQ115">$G$3+IFERROR(VLOOKUP($AL115,$F$4:$G$7,2,FALSE),0)+VLOOKUP($Q115,武学奇术!$A:$ZZ,2,FALSE)+SUM(_xlfn.XLOOKUP($R115:$AK115,增益!$A:$A,增益!$B:$B,0))</f>
        <v>0.2337</v>
      </c>
      <c r="AR115" s="27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3574.7</v>
      </c>
      <c r="AT115" cm="1">
        <f t="array" ref="AT115">$E$10*(1+$AR115)+VLOOKUP($Q115,武学奇术!$A:$ZZ,4,FALSE)+SUM(_xlfn.XLOOKUP($R115:$AK115,增益!$A:$A,增益!$D:$D,0))-$I$2</f>
        <v>3574.7</v>
      </c>
      <c r="AU115" s="34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0.227</v>
      </c>
      <c r="AV115" s="34" cm="1">
        <f t="array" ref="AV115">$G$10+VLOOKUP($Q115,武学奇术!$A:$ZZ,7,FALSE)+SUM(_xlfn.XLOOKUP($R115:$AK115,增益!$A:$A,增益!$G:$G,0))</f>
        <v>0</v>
      </c>
      <c r="AW115" s="27" cm="1">
        <f t="array" ref="AW115">VLOOKUP($Q115,武学奇术!$A:$ZZ,8,FALSE)+SUM(_xlfn.XLOOKUP($R115:$AK115,增益!$A:$A,增益!$H:$H,0))</f>
        <v>0</v>
      </c>
      <c r="AX115">
        <f t="shared" si="12"/>
        <v>0</v>
      </c>
      <c r="AY115">
        <f t="shared" si="13"/>
        <v>0</v>
      </c>
      <c r="AZ115" s="34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4" cm="1">
        <f t="array" ref="BA115">$G$11+VLOOKUP($Q115,武学奇术!$A:$ZZ,10,FALSE)+SUM(_xlfn.XLOOKUP($R115:$AK115,增益!$A:$A,增益!$J:$J,0))</f>
        <v>0</v>
      </c>
      <c r="BB115">
        <f t="shared" si="14"/>
        <v>591.9</v>
      </c>
      <c r="BC115">
        <f t="shared" si="15"/>
        <v>1600.3</v>
      </c>
      <c r="BD115" s="34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0.09</v>
      </c>
      <c r="BE115" s="34" cm="1">
        <f t="array" ref="BE115">$G$12+VLOOKUP($Q115,武学奇术!$A:$ZZ,12,FALSE)+SUM(_xlfn.XLOOKUP($R115:$AK115,增益!$A:$A,增益!$L:$L,0))</f>
        <v>0.15</v>
      </c>
      <c r="BF115">
        <f t="shared" si="16"/>
        <v>0</v>
      </c>
      <c r="BG115">
        <f t="shared" si="17"/>
        <v>0</v>
      </c>
      <c r="BH115" s="34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-0.3</v>
      </c>
      <c r="BI115" s="34" cm="1">
        <f t="array" ref="BI115">$G$13+VLOOKUP($Q115,武学奇术!$A:$ZZ,14,FALSE)+SUM(_xlfn.XLOOKUP($R115:$AK115,增益!$A:$A,增益!$N:$N,0))</f>
        <v>0</v>
      </c>
      <c r="BJ115">
        <f t="shared" si="18"/>
        <v>0</v>
      </c>
      <c r="BK115">
        <f t="shared" si="19"/>
        <v>0</v>
      </c>
      <c r="BL115" s="34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4" cm="1">
        <f t="array" ref="BM115">$G$14+VLOOKUP($Q115,武学奇术!$A:$ZZ,16,FALSE)+SUM(_xlfn.XLOOKUP($R115:$AK115,增益!$A:$A,增益!$P:$P,0))</f>
        <v>0</v>
      </c>
      <c r="BN115" s="27">
        <f>MIN(IF(VLOOKUP($Q115,武学奇术!$A:$ZZ,23,FALSE)=1,100%,$B$8),100%)</f>
        <v>0.9859</v>
      </c>
      <c r="BO115" s="27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7" cm="1">
        <f t="array" ref="BP115">1+$B$13+VLOOKUP($Q115,武学奇术!$A:$ZZ,18,FALSE)+SUM(_xlfn.XLOOKUP($R115:$AK115,增益!$A:$A,增益!$R:$R,0))</f>
        <v>1.54</v>
      </c>
      <c r="BQ115" s="27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7" cm="1">
        <f t="array" ref="BR115">1+$B$14+VLOOKUP($Q115,武学奇术!$A:$ZZ,20,FALSE)+SUM(_xlfn.XLOOKUP($R115:$AK115,增益!$A:$A,增益!$T:$T,0))</f>
        <v>1.35</v>
      </c>
      <c r="BS115" s="27">
        <f t="shared" si="20"/>
        <v>0.87863408</v>
      </c>
      <c r="BT115" s="27">
        <f t="shared" si="21"/>
        <v>0.01567581</v>
      </c>
      <c r="BU115" s="27">
        <f>IF(VLOOKUP($Q115,武学奇术!$A:$ZZ,22,FALSE)=1,0,(1-$BN115))*(1-$BQ115)</f>
        <v>0.01279011</v>
      </c>
      <c r="BV115" s="27" cm="1">
        <f t="array" ref="BV115">SUM(_xlfn.XLOOKUP($R115:$AK115,增益!$A:$A,增益!$W:$W,0))+$I$5</f>
        <v>0.11</v>
      </c>
    </row>
    <row r="116" spans="11:74">
      <c r="K116" s="40">
        <f t="shared" si="11"/>
        <v>0</v>
      </c>
      <c r="L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蓄力技",$B$21,0))*(1+$BV116)</f>
        <v>0</v>
      </c>
      <c r="M116" s="40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蓄力技",$B$21,0))*(1+$BV116)</f>
        <v>0</v>
      </c>
      <c r="N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蓄力技",$B$21,0))*(1+$BV116)</f>
        <v>0</v>
      </c>
      <c r="O116" s="40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蓄力技",$B$21,0))*(1+$BV116)</f>
        <v>0</v>
      </c>
      <c r="P116" s="41">
        <v>1</v>
      </c>
      <c r="Q116" s="42" t="s">
        <v>77</v>
      </c>
      <c r="R116" s="42" t="s">
        <v>77</v>
      </c>
      <c r="S116" s="42" t="s">
        <v>77</v>
      </c>
      <c r="T116" s="42" t="s">
        <v>77</v>
      </c>
      <c r="U116" s="42" t="s">
        <v>77</v>
      </c>
      <c r="V116" s="42" t="s">
        <v>77</v>
      </c>
      <c r="W116" s="42" t="s">
        <v>77</v>
      </c>
      <c r="X116" s="42" t="s">
        <v>77</v>
      </c>
      <c r="Y116" s="42" t="s">
        <v>77</v>
      </c>
      <c r="Z116" s="42" t="s">
        <v>77</v>
      </c>
      <c r="AA116" s="42" t="s">
        <v>77</v>
      </c>
      <c r="AB116" s="42" t="s">
        <v>77</v>
      </c>
      <c r="AC116" s="42" t="s">
        <v>77</v>
      </c>
      <c r="AD116" s="42" t="s">
        <v>77</v>
      </c>
      <c r="AE116" s="42" t="s">
        <v>81</v>
      </c>
      <c r="AF116" s="42" t="s">
        <v>82</v>
      </c>
      <c r="AG116" s="42" t="s">
        <v>77</v>
      </c>
      <c r="AH116" s="42" t="s">
        <v>77</v>
      </c>
      <c r="AI116" s="42" t="s">
        <v>77</v>
      </c>
      <c r="AJ116" s="42" t="s">
        <v>77</v>
      </c>
      <c r="AK116" s="42" t="s">
        <v>77</v>
      </c>
      <c r="AL116" t="str">
        <f>VLOOKUP($Q116,武学奇术!$A:$ZZ,25,FALSE)</f>
        <v>心法</v>
      </c>
      <c r="AM116" s="27">
        <f>VLOOKUP($Q116,武学奇术!$A:$ZZ,26,FALSE)</f>
        <v>0</v>
      </c>
      <c r="AN116" s="28">
        <f>VLOOKUP($Q116,武学奇术!$A:$ZZ,27,FALSE)*(1+IF(OR($AL116=$F$4,$AL116=$F$5),$B$22,0))</f>
        <v>0</v>
      </c>
      <c r="AO116" s="27">
        <f>VLOOKUP($Q116,武学奇术!$A:$ZZ,28,FALSE)</f>
        <v>0</v>
      </c>
      <c r="AP116" s="28">
        <f>VLOOKUP($Q116,武学奇术!$A:$ZZ,29,FALSE)*(1+IF(OR($AL116=$F$4,$AL116=$F$5),$B$22,0))</f>
        <v>0</v>
      </c>
      <c r="AQ116" s="27" cm="1">
        <f t="array" ref="AQ116">$G$3+IFERROR(VLOOKUP($AL116,$F$4:$G$7,2,FALSE),0)+VLOOKUP($Q116,武学奇术!$A:$ZZ,2,FALSE)+SUM(_xlfn.XLOOKUP($R116:$AK116,增益!$A:$A,增益!$B:$B,0))</f>
        <v>0.2337</v>
      </c>
      <c r="AR116" s="27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3574.7</v>
      </c>
      <c r="AT116" cm="1">
        <f t="array" ref="AT116">$E$10*(1+$AR116)+VLOOKUP($Q116,武学奇术!$A:$ZZ,4,FALSE)+SUM(_xlfn.XLOOKUP($R116:$AK116,增益!$A:$A,增益!$D:$D,0))-$I$2</f>
        <v>3574.7</v>
      </c>
      <c r="AU116" s="34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0.227</v>
      </c>
      <c r="AV116" s="34" cm="1">
        <f t="array" ref="AV116">$G$10+VLOOKUP($Q116,武学奇术!$A:$ZZ,7,FALSE)+SUM(_xlfn.XLOOKUP($R116:$AK116,增益!$A:$A,增益!$G:$G,0))</f>
        <v>0</v>
      </c>
      <c r="AW116" s="27" cm="1">
        <f t="array" ref="AW116">VLOOKUP($Q116,武学奇术!$A:$ZZ,8,FALSE)+SUM(_xlfn.XLOOKUP($R116:$AK116,增益!$A:$A,增益!$H:$H,0))</f>
        <v>0</v>
      </c>
      <c r="AX116">
        <f t="shared" si="12"/>
        <v>0</v>
      </c>
      <c r="AY116">
        <f t="shared" si="13"/>
        <v>0</v>
      </c>
      <c r="AZ116" s="34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4" cm="1">
        <f t="array" ref="BA116">$G$11+VLOOKUP($Q116,武学奇术!$A:$ZZ,10,FALSE)+SUM(_xlfn.XLOOKUP($R116:$AK116,增益!$A:$A,增益!$J:$J,0))</f>
        <v>0</v>
      </c>
      <c r="BB116">
        <f t="shared" si="14"/>
        <v>591.9</v>
      </c>
      <c r="BC116">
        <f t="shared" si="15"/>
        <v>1600.3</v>
      </c>
      <c r="BD116" s="34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0.09</v>
      </c>
      <c r="BE116" s="34" cm="1">
        <f t="array" ref="BE116">$G$12+VLOOKUP($Q116,武学奇术!$A:$ZZ,12,FALSE)+SUM(_xlfn.XLOOKUP($R116:$AK116,增益!$A:$A,增益!$L:$L,0))</f>
        <v>0.15</v>
      </c>
      <c r="BF116">
        <f t="shared" si="16"/>
        <v>0</v>
      </c>
      <c r="BG116">
        <f t="shared" si="17"/>
        <v>0</v>
      </c>
      <c r="BH116" s="34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-0.3</v>
      </c>
      <c r="BI116" s="34" cm="1">
        <f t="array" ref="BI116">$G$13+VLOOKUP($Q116,武学奇术!$A:$ZZ,14,FALSE)+SUM(_xlfn.XLOOKUP($R116:$AK116,增益!$A:$A,增益!$N:$N,0))</f>
        <v>0</v>
      </c>
      <c r="BJ116">
        <f t="shared" si="18"/>
        <v>0</v>
      </c>
      <c r="BK116">
        <f t="shared" si="19"/>
        <v>0</v>
      </c>
      <c r="BL116" s="34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4" cm="1">
        <f t="array" ref="BM116">$G$14+VLOOKUP($Q116,武学奇术!$A:$ZZ,16,FALSE)+SUM(_xlfn.XLOOKUP($R116:$AK116,增益!$A:$A,增益!$P:$P,0))</f>
        <v>0</v>
      </c>
      <c r="BN116" s="27">
        <f>MIN(IF(VLOOKUP($Q116,武学奇术!$A:$ZZ,23,FALSE)=1,100%,$B$8),100%)</f>
        <v>0.9859</v>
      </c>
      <c r="BO116" s="27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7" cm="1">
        <f t="array" ref="BP116">1+$B$13+VLOOKUP($Q116,武学奇术!$A:$ZZ,18,FALSE)+SUM(_xlfn.XLOOKUP($R116:$AK116,增益!$A:$A,增益!$R:$R,0))</f>
        <v>1.54</v>
      </c>
      <c r="BQ116" s="27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7" cm="1">
        <f t="array" ref="BR116">1+$B$14+VLOOKUP($Q116,武学奇术!$A:$ZZ,20,FALSE)+SUM(_xlfn.XLOOKUP($R116:$AK116,增益!$A:$A,增益!$T:$T,0))</f>
        <v>1.35</v>
      </c>
      <c r="BS116" s="27">
        <f t="shared" si="20"/>
        <v>0.87863408</v>
      </c>
      <c r="BT116" s="27">
        <f t="shared" si="21"/>
        <v>0.01567581</v>
      </c>
      <c r="BU116" s="27">
        <f>IF(VLOOKUP($Q116,武学奇术!$A:$ZZ,22,FALSE)=1,0,(1-$BN116))*(1-$BQ116)</f>
        <v>0.01279011</v>
      </c>
      <c r="BV116" s="27" cm="1">
        <f t="array" ref="BV116">SUM(_xlfn.XLOOKUP($R116:$AK116,增益!$A:$A,增益!$W:$W,0))+$I$5</f>
        <v>0.11</v>
      </c>
    </row>
    <row r="117" spans="11:74">
      <c r="K117" s="40">
        <f t="shared" si="11"/>
        <v>0</v>
      </c>
      <c r="L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蓄力技",$B$21,0))*(1+$BV117)</f>
        <v>0</v>
      </c>
      <c r="M117" s="40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蓄力技",$B$21,0))*(1+$BV117)</f>
        <v>0</v>
      </c>
      <c r="N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蓄力技",$B$21,0))*(1+$BV117)</f>
        <v>0</v>
      </c>
      <c r="O117" s="40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蓄力技",$B$21,0))*(1+$BV117)</f>
        <v>0</v>
      </c>
      <c r="P117" s="41">
        <v>1</v>
      </c>
      <c r="Q117" s="42" t="s">
        <v>77</v>
      </c>
      <c r="R117" s="42" t="s">
        <v>77</v>
      </c>
      <c r="S117" s="42" t="s">
        <v>77</v>
      </c>
      <c r="T117" s="42" t="s">
        <v>77</v>
      </c>
      <c r="U117" s="42" t="s">
        <v>77</v>
      </c>
      <c r="V117" s="42" t="s">
        <v>77</v>
      </c>
      <c r="W117" s="42" t="s">
        <v>77</v>
      </c>
      <c r="X117" s="42" t="s">
        <v>77</v>
      </c>
      <c r="Y117" s="42" t="s">
        <v>77</v>
      </c>
      <c r="Z117" s="42" t="s">
        <v>77</v>
      </c>
      <c r="AA117" s="42" t="s">
        <v>77</v>
      </c>
      <c r="AB117" s="42" t="s">
        <v>77</v>
      </c>
      <c r="AC117" s="42" t="s">
        <v>77</v>
      </c>
      <c r="AD117" s="42" t="s">
        <v>77</v>
      </c>
      <c r="AE117" s="42" t="s">
        <v>81</v>
      </c>
      <c r="AF117" s="42" t="s">
        <v>82</v>
      </c>
      <c r="AG117" s="42" t="s">
        <v>77</v>
      </c>
      <c r="AH117" s="42" t="s">
        <v>77</v>
      </c>
      <c r="AI117" s="42" t="s">
        <v>77</v>
      </c>
      <c r="AJ117" s="42" t="s">
        <v>77</v>
      </c>
      <c r="AK117" s="42" t="s">
        <v>77</v>
      </c>
      <c r="AL117" t="str">
        <f>VLOOKUP($Q117,武学奇术!$A:$ZZ,25,FALSE)</f>
        <v>心法</v>
      </c>
      <c r="AM117" s="27">
        <f>VLOOKUP($Q117,武学奇术!$A:$ZZ,26,FALSE)</f>
        <v>0</v>
      </c>
      <c r="AN117" s="28">
        <f>VLOOKUP($Q117,武学奇术!$A:$ZZ,27,FALSE)*(1+IF(OR($AL117=$F$4,$AL117=$F$5),$B$22,0))</f>
        <v>0</v>
      </c>
      <c r="AO117" s="27">
        <f>VLOOKUP($Q117,武学奇术!$A:$ZZ,28,FALSE)</f>
        <v>0</v>
      </c>
      <c r="AP117" s="28">
        <f>VLOOKUP($Q117,武学奇术!$A:$ZZ,29,FALSE)*(1+IF(OR($AL117=$F$4,$AL117=$F$5),$B$22,0))</f>
        <v>0</v>
      </c>
      <c r="AQ117" s="27" cm="1">
        <f t="array" ref="AQ117">$G$3+IFERROR(VLOOKUP($AL117,$F$4:$G$7,2,FALSE),0)+VLOOKUP($Q117,武学奇术!$A:$ZZ,2,FALSE)+SUM(_xlfn.XLOOKUP($R117:$AK117,增益!$A:$A,增益!$B:$B,0))</f>
        <v>0.2337</v>
      </c>
      <c r="AR117" s="27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3574.7</v>
      </c>
      <c r="AT117" cm="1">
        <f t="array" ref="AT117">$E$10*(1+$AR117)+VLOOKUP($Q117,武学奇术!$A:$ZZ,4,FALSE)+SUM(_xlfn.XLOOKUP($R117:$AK117,增益!$A:$A,增益!$D:$D,0))-$I$2</f>
        <v>3574.7</v>
      </c>
      <c r="AU117" s="34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0.227</v>
      </c>
      <c r="AV117" s="34" cm="1">
        <f t="array" ref="AV117">$G$10+VLOOKUP($Q117,武学奇术!$A:$ZZ,7,FALSE)+SUM(_xlfn.XLOOKUP($R117:$AK117,增益!$A:$A,增益!$G:$G,0))</f>
        <v>0</v>
      </c>
      <c r="AW117" s="27" cm="1">
        <f t="array" ref="AW117">VLOOKUP($Q117,武学奇术!$A:$ZZ,8,FALSE)+SUM(_xlfn.XLOOKUP($R117:$AK117,增益!$A:$A,增益!$H:$H,0))</f>
        <v>0</v>
      </c>
      <c r="AX117">
        <f t="shared" si="12"/>
        <v>0</v>
      </c>
      <c r="AY117">
        <f t="shared" si="13"/>
        <v>0</v>
      </c>
      <c r="AZ117" s="34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4" cm="1">
        <f t="array" ref="BA117">$G$11+VLOOKUP($Q117,武学奇术!$A:$ZZ,10,FALSE)+SUM(_xlfn.XLOOKUP($R117:$AK117,增益!$A:$A,增益!$J:$J,0))</f>
        <v>0</v>
      </c>
      <c r="BB117">
        <f t="shared" si="14"/>
        <v>591.9</v>
      </c>
      <c r="BC117">
        <f t="shared" si="15"/>
        <v>1600.3</v>
      </c>
      <c r="BD117" s="34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0.09</v>
      </c>
      <c r="BE117" s="34" cm="1">
        <f t="array" ref="BE117">$G$12+VLOOKUP($Q117,武学奇术!$A:$ZZ,12,FALSE)+SUM(_xlfn.XLOOKUP($R117:$AK117,增益!$A:$A,增益!$L:$L,0))</f>
        <v>0.15</v>
      </c>
      <c r="BF117">
        <f t="shared" si="16"/>
        <v>0</v>
      </c>
      <c r="BG117">
        <f t="shared" si="17"/>
        <v>0</v>
      </c>
      <c r="BH117" s="34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-0.3</v>
      </c>
      <c r="BI117" s="34" cm="1">
        <f t="array" ref="BI117">$G$13+VLOOKUP($Q117,武学奇术!$A:$ZZ,14,FALSE)+SUM(_xlfn.XLOOKUP($R117:$AK117,增益!$A:$A,增益!$N:$N,0))</f>
        <v>0</v>
      </c>
      <c r="BJ117">
        <f t="shared" si="18"/>
        <v>0</v>
      </c>
      <c r="BK117">
        <f t="shared" si="19"/>
        <v>0</v>
      </c>
      <c r="BL117" s="34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4" cm="1">
        <f t="array" ref="BM117">$G$14+VLOOKUP($Q117,武学奇术!$A:$ZZ,16,FALSE)+SUM(_xlfn.XLOOKUP($R117:$AK117,增益!$A:$A,增益!$P:$P,0))</f>
        <v>0</v>
      </c>
      <c r="BN117" s="27">
        <f>MIN(IF(VLOOKUP($Q117,武学奇术!$A:$ZZ,23,FALSE)=1,100%,$B$8),100%)</f>
        <v>0.9859</v>
      </c>
      <c r="BO117" s="27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7" cm="1">
        <f t="array" ref="BP117">1+$B$13+VLOOKUP($Q117,武学奇术!$A:$ZZ,18,FALSE)+SUM(_xlfn.XLOOKUP($R117:$AK117,增益!$A:$A,增益!$R:$R,0))</f>
        <v>1.54</v>
      </c>
      <c r="BQ117" s="27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7" cm="1">
        <f t="array" ref="BR117">1+$B$14+VLOOKUP($Q117,武学奇术!$A:$ZZ,20,FALSE)+SUM(_xlfn.XLOOKUP($R117:$AK117,增益!$A:$A,增益!$T:$T,0))</f>
        <v>1.35</v>
      </c>
      <c r="BS117" s="27">
        <f t="shared" si="20"/>
        <v>0.87863408</v>
      </c>
      <c r="BT117" s="27">
        <f t="shared" si="21"/>
        <v>0.01567581</v>
      </c>
      <c r="BU117" s="27">
        <f>IF(VLOOKUP($Q117,武学奇术!$A:$ZZ,22,FALSE)=1,0,(1-$BN117))*(1-$BQ117)</f>
        <v>0.01279011</v>
      </c>
      <c r="BV117" s="27" cm="1">
        <f t="array" ref="BV117">SUM(_xlfn.XLOOKUP($R117:$AK117,增益!$A:$A,增益!$W:$W,0))+$I$5</f>
        <v>0.11</v>
      </c>
    </row>
    <row r="118" spans="11:74">
      <c r="K118" s="40">
        <f t="shared" si="11"/>
        <v>15601.3157691715</v>
      </c>
      <c r="L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蓄力技",$B$21,0))*(1+$BV118)</f>
        <v>15950.0519665061</v>
      </c>
      <c r="M118" s="40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蓄力技",$B$21,0))*(1+$BV118)</f>
        <v>14300.4019314044</v>
      </c>
      <c r="N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蓄力技",$B$21,0))*(1+$BV118)</f>
        <v>9550.92932126115</v>
      </c>
      <c r="O118" s="40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蓄力技",$B$21,0))*(1+$BV118)</f>
        <v>8508.96832296345</v>
      </c>
      <c r="P118" s="41">
        <f t="shared" ref="P118:P127" si="22">IF($E$22="易水歌",1,0)</f>
        <v>1</v>
      </c>
      <c r="Q118" s="42" t="s">
        <v>194</v>
      </c>
      <c r="R118" s="42" t="s">
        <v>103</v>
      </c>
      <c r="S118" s="42" t="s">
        <v>77</v>
      </c>
      <c r="T118" s="42" t="s">
        <v>86</v>
      </c>
      <c r="U118" s="42" t="s">
        <v>87</v>
      </c>
      <c r="V118" s="42" t="s">
        <v>77</v>
      </c>
      <c r="W118" s="42" t="s">
        <v>78</v>
      </c>
      <c r="X118" s="42" t="s">
        <v>94</v>
      </c>
      <c r="Y118" s="42" t="s">
        <v>77</v>
      </c>
      <c r="Z118" s="42" t="s">
        <v>77</v>
      </c>
      <c r="AA118" s="42" t="s">
        <v>77</v>
      </c>
      <c r="AB118" s="42" t="s">
        <v>77</v>
      </c>
      <c r="AC118" s="42" t="s">
        <v>77</v>
      </c>
      <c r="AD118" s="42" t="s">
        <v>77</v>
      </c>
      <c r="AE118" s="42" t="s">
        <v>81</v>
      </c>
      <c r="AF118" s="42" t="s">
        <v>82</v>
      </c>
      <c r="AG118" s="42" t="s">
        <v>77</v>
      </c>
      <c r="AH118" s="42" t="s">
        <v>77</v>
      </c>
      <c r="AI118" s="42" t="s">
        <v>77</v>
      </c>
      <c r="AJ118" s="42" t="s">
        <v>77</v>
      </c>
      <c r="AK118" s="42" t="s">
        <v>77</v>
      </c>
      <c r="AL118" t="str">
        <f>VLOOKUP($Q118,武学奇术!$A:$ZZ,25,FALSE)</f>
        <v>心法</v>
      </c>
      <c r="AM118" s="27">
        <f>VLOOKUP($Q118,武学奇术!$A:$ZZ,26,FALSE)</f>
        <v>1</v>
      </c>
      <c r="AN118" s="28">
        <f>VLOOKUP($Q118,武学奇术!$A:$ZZ,27,FALSE)*(1+IF(OR($AL118=$F$4,$AL118=$F$5),$B$22,0))</f>
        <v>0</v>
      </c>
      <c r="AO118" s="27">
        <f>VLOOKUP($Q118,武学奇术!$A:$ZZ,28,FALSE)</f>
        <v>1</v>
      </c>
      <c r="AP118" s="28">
        <f>VLOOKUP($Q118,武学奇术!$A:$ZZ,29,FALSE)*(1+IF(OR($AL118=$F$4,$AL118=$F$5),$B$22,0))</f>
        <v>0</v>
      </c>
      <c r="AQ118" s="27" cm="1">
        <f t="array" ref="AQ118">$G$3+IFERROR(VLOOKUP($AL118,$F$4:$G$7,2,FALSE),0)+VLOOKUP($Q118,武学奇术!$A:$ZZ,2,FALSE)+SUM(_xlfn.XLOOKUP($R118:$AK118,增益!$A:$A,增益!$B:$B,0))</f>
        <v>0.3837</v>
      </c>
      <c r="AR118" s="27" cm="1">
        <f t="array" ref="AR118">VLOOKUP($Q118,武学奇术!$A:$ZZ,5,FALSE)+SUM(_xlfn.XLOOKUP($R118:$AK118,增益!$A:$A,增益!$E:$E,0))</f>
        <v>0</v>
      </c>
      <c r="AS118" cm="1">
        <f t="array" ref="AS118">$D$10*(1+$AR118)+VLOOKUP($Q118,武学奇术!$A:$ZZ,3,FALSE)+SUM(_xlfn.XLOOKUP($R118:$AK118,增益!$A:$A,增益!$C:$C,0))-$I$2</f>
        <v>3574.7</v>
      </c>
      <c r="AT118" cm="1">
        <f t="array" ref="AT118">$E$10*(1+$AR118)+VLOOKUP($Q118,武学奇术!$A:$ZZ,4,FALSE)+SUM(_xlfn.XLOOKUP($R118:$AK118,增益!$A:$A,增益!$D:$D,0))-$I$2</f>
        <v>3574.7</v>
      </c>
      <c r="AU118" s="34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0.327</v>
      </c>
      <c r="AV118" s="34" cm="1">
        <f t="array" ref="AV118">$G$10+VLOOKUP($Q118,武学奇术!$A:$ZZ,7,FALSE)+SUM(_xlfn.XLOOKUP($R118:$AK118,增益!$A:$A,增益!$G:$G,0))</f>
        <v>0</v>
      </c>
      <c r="AW118" s="27" cm="1">
        <f t="array" ref="AW118">VLOOKUP($Q118,武学奇术!$A:$ZZ,8,FALSE)+SUM(_xlfn.XLOOKUP($R118:$AK118,增益!$A:$A,增益!$H:$H,0))</f>
        <v>0</v>
      </c>
      <c r="AX118">
        <f t="shared" si="12"/>
        <v>0</v>
      </c>
      <c r="AY118">
        <f t="shared" si="13"/>
        <v>0</v>
      </c>
      <c r="AZ118" s="34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-0.14</v>
      </c>
      <c r="BA118" s="34" cm="1">
        <f t="array" ref="BA118">$G$11+VLOOKUP($Q118,武学奇术!$A:$ZZ,10,FALSE)+SUM(_xlfn.XLOOKUP($R118:$AK118,增益!$A:$A,增益!$J:$J,0))</f>
        <v>0</v>
      </c>
      <c r="BB118">
        <f t="shared" si="14"/>
        <v>591.9</v>
      </c>
      <c r="BC118">
        <f t="shared" si="15"/>
        <v>1600.3</v>
      </c>
      <c r="BD118" s="34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0.17</v>
      </c>
      <c r="BE118" s="34" cm="1">
        <f t="array" ref="BE118">$G$12+VLOOKUP($Q118,武学奇术!$A:$ZZ,12,FALSE)+SUM(_xlfn.XLOOKUP($R118:$AK118,增益!$A:$A,增益!$L:$L,0))</f>
        <v>0.15</v>
      </c>
      <c r="BF118">
        <f t="shared" si="16"/>
        <v>0</v>
      </c>
      <c r="BG118">
        <f t="shared" si="17"/>
        <v>0</v>
      </c>
      <c r="BH118" s="34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-0.14</v>
      </c>
      <c r="BI118" s="34" cm="1">
        <f t="array" ref="BI118">$G$13+VLOOKUP($Q118,武学奇术!$A:$ZZ,14,FALSE)+SUM(_xlfn.XLOOKUP($R118:$AK118,增益!$A:$A,增益!$N:$N,0))</f>
        <v>0</v>
      </c>
      <c r="BJ118">
        <f t="shared" si="18"/>
        <v>0</v>
      </c>
      <c r="BK118">
        <f t="shared" si="19"/>
        <v>0</v>
      </c>
      <c r="BL118" s="34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-0.14</v>
      </c>
      <c r="BM118" s="34" cm="1">
        <f t="array" ref="BM118">$G$14+VLOOKUP($Q118,武学奇术!$A:$ZZ,16,FALSE)+SUM(_xlfn.XLOOKUP($R118:$AK118,增益!$A:$A,增益!$P:$P,0))</f>
        <v>0</v>
      </c>
      <c r="BN118" s="27">
        <f>MIN(IF(VLOOKUP($Q118,武学奇术!$A:$ZZ,23,FALSE)=1,100%,$B$8),100%)</f>
        <v>0.9859</v>
      </c>
      <c r="BO118" s="27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7" cm="1">
        <f t="array" ref="BP118">1+$B$13+VLOOKUP($Q118,武学奇术!$A:$ZZ,18,FALSE)+SUM(_xlfn.XLOOKUP($R118:$AK118,增益!$A:$A,增益!$R:$R,0))</f>
        <v>1.67</v>
      </c>
      <c r="BQ118" s="27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7" cm="1">
        <f t="array" ref="BR118">1+$B$14+VLOOKUP($Q118,武学奇术!$A:$ZZ,20,FALSE)+SUM(_xlfn.XLOOKUP($R118:$AK118,增益!$A:$A,增益!$T:$T,0))</f>
        <v>1.35</v>
      </c>
      <c r="BS118" s="27">
        <f t="shared" si="20"/>
        <v>0.87863408</v>
      </c>
      <c r="BT118" s="27">
        <f t="shared" si="21"/>
        <v>0.01567581</v>
      </c>
      <c r="BU118" s="27">
        <f>IF(VLOOKUP($Q118,武学奇术!$A:$ZZ,22,FALSE)=1,0,(1-$BN118))*(1-$BQ118)</f>
        <v>0.01279011</v>
      </c>
      <c r="BV118" s="27" cm="1">
        <f t="array" ref="BV118">SUM(_xlfn.XLOOKUP($R118:$AK118,增益!$A:$A,增益!$W:$W,0))+$I$5</f>
        <v>0.11</v>
      </c>
    </row>
    <row r="119" spans="11:74">
      <c r="K119" s="40">
        <f t="shared" si="11"/>
        <v>14539.7773887132</v>
      </c>
      <c r="L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蓄力技",$B$21,0))*(1+$BV119)</f>
        <v>14906.0602881281</v>
      </c>
      <c r="M119" s="40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蓄力技",$B$21,0))*(1+$BV119)</f>
        <v>12983.7012624121</v>
      </c>
      <c r="N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蓄力技",$B$21,0))*(1+$BV119)</f>
        <v>8716.99432054275</v>
      </c>
      <c r="O119" s="40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蓄力技",$B$21,0))*(1+$BV119)</f>
        <v>7816.43215040985</v>
      </c>
      <c r="P119" s="41">
        <f t="shared" si="22"/>
        <v>1</v>
      </c>
      <c r="Q119" s="42" t="s">
        <v>194</v>
      </c>
      <c r="R119" s="42" t="s">
        <v>103</v>
      </c>
      <c r="S119" s="42" t="s">
        <v>77</v>
      </c>
      <c r="T119" s="42" t="s">
        <v>77</v>
      </c>
      <c r="U119" s="42" t="s">
        <v>87</v>
      </c>
      <c r="V119" s="42" t="s">
        <v>77</v>
      </c>
      <c r="W119" s="42" t="s">
        <v>77</v>
      </c>
      <c r="X119" s="42" t="s">
        <v>165</v>
      </c>
      <c r="Y119" s="42" t="s">
        <v>77</v>
      </c>
      <c r="Z119" s="42" t="s">
        <v>77</v>
      </c>
      <c r="AA119" s="42" t="s">
        <v>77</v>
      </c>
      <c r="AB119" s="42" t="s">
        <v>77</v>
      </c>
      <c r="AC119" s="42" t="s">
        <v>77</v>
      </c>
      <c r="AD119" s="42" t="s">
        <v>77</v>
      </c>
      <c r="AE119" s="42" t="s">
        <v>81</v>
      </c>
      <c r="AF119" s="42" t="s">
        <v>82</v>
      </c>
      <c r="AG119" s="42" t="s">
        <v>77</v>
      </c>
      <c r="AH119" s="42" t="s">
        <v>77</v>
      </c>
      <c r="AI119" s="42" t="s">
        <v>77</v>
      </c>
      <c r="AJ119" s="42" t="s">
        <v>77</v>
      </c>
      <c r="AK119" s="42" t="s">
        <v>77</v>
      </c>
      <c r="AL119" t="str">
        <f>VLOOKUP($Q119,武学奇术!$A:$ZZ,25,FALSE)</f>
        <v>心法</v>
      </c>
      <c r="AM119" s="27">
        <f>VLOOKUP($Q119,武学奇术!$A:$ZZ,26,FALSE)</f>
        <v>1</v>
      </c>
      <c r="AN119" s="28">
        <f>VLOOKUP($Q119,武学奇术!$A:$ZZ,27,FALSE)*(1+IF(OR($AL119=$F$4,$AL119=$F$5),$B$22,0))</f>
        <v>0</v>
      </c>
      <c r="AO119" s="27">
        <f>VLOOKUP($Q119,武学奇术!$A:$ZZ,28,FALSE)</f>
        <v>1</v>
      </c>
      <c r="AP119" s="28">
        <f>VLOOKUP($Q119,武学奇术!$A:$ZZ,29,FALSE)*(1+IF(OR($AL119=$F$4,$AL119=$F$5),$B$22,0))</f>
        <v>0</v>
      </c>
      <c r="AQ119" s="27" cm="1">
        <f t="array" ref="AQ119">$G$3+IFERROR(VLOOKUP($AL119,$F$4:$G$7,2,FALSE),0)+VLOOKUP($Q119,武学奇术!$A:$ZZ,2,FALSE)+SUM(_xlfn.XLOOKUP($R119:$AK119,增益!$A:$A,增益!$B:$B,0))</f>
        <v>0.2837</v>
      </c>
      <c r="AR119" s="27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3574.7</v>
      </c>
      <c r="AT119" cm="1">
        <f t="array" ref="AT119">$E$10*(1+$AR119)+VLOOKUP($Q119,武学奇术!$A:$ZZ,4,FALSE)+SUM(_xlfn.XLOOKUP($R119:$AK119,增益!$A:$A,增益!$D:$D,0))-$I$2</f>
        <v>3574.7</v>
      </c>
      <c r="AU119" s="34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0.327</v>
      </c>
      <c r="AV119" s="34" cm="1">
        <f t="array" ref="AV119">$G$10+VLOOKUP($Q119,武学奇术!$A:$ZZ,7,FALSE)+SUM(_xlfn.XLOOKUP($R119:$AK119,增益!$A:$A,增益!$G:$G,0))</f>
        <v>0</v>
      </c>
      <c r="AW119" s="27" cm="1">
        <f t="array" ref="AW119">VLOOKUP($Q119,武学奇术!$A:$ZZ,8,FALSE)+SUM(_xlfn.XLOOKUP($R119:$AK119,增益!$A:$A,增益!$H:$H,0))</f>
        <v>0</v>
      </c>
      <c r="AX119">
        <f t="shared" si="12"/>
        <v>0</v>
      </c>
      <c r="AY119">
        <f t="shared" si="13"/>
        <v>0</v>
      </c>
      <c r="AZ119" s="34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4" cm="1">
        <f t="array" ref="BA119">$G$11+VLOOKUP($Q119,武学奇术!$A:$ZZ,10,FALSE)+SUM(_xlfn.XLOOKUP($R119:$AK119,增益!$A:$A,增益!$J:$J,0))</f>
        <v>0</v>
      </c>
      <c r="BB119">
        <f t="shared" si="14"/>
        <v>591.9</v>
      </c>
      <c r="BC119">
        <f t="shared" si="15"/>
        <v>1600.3</v>
      </c>
      <c r="BD119" s="34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0.09</v>
      </c>
      <c r="BE119" s="34" cm="1">
        <f t="array" ref="BE119">$G$12+VLOOKUP($Q119,武学奇术!$A:$ZZ,12,FALSE)+SUM(_xlfn.XLOOKUP($R119:$AK119,增益!$A:$A,增益!$L:$L,0))</f>
        <v>0.15</v>
      </c>
      <c r="BF119">
        <f t="shared" si="16"/>
        <v>0</v>
      </c>
      <c r="BG119">
        <f t="shared" si="17"/>
        <v>0</v>
      </c>
      <c r="BH119" s="34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-0.3</v>
      </c>
      <c r="BI119" s="34" cm="1">
        <f t="array" ref="BI119">$G$13+VLOOKUP($Q119,武学奇术!$A:$ZZ,14,FALSE)+SUM(_xlfn.XLOOKUP($R119:$AK119,增益!$A:$A,增益!$N:$N,0))</f>
        <v>0</v>
      </c>
      <c r="BJ119">
        <f t="shared" si="18"/>
        <v>0</v>
      </c>
      <c r="BK119">
        <f t="shared" si="19"/>
        <v>0</v>
      </c>
      <c r="BL119" s="34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4" cm="1">
        <f t="array" ref="BM119">$G$14+VLOOKUP($Q119,武学奇术!$A:$ZZ,16,FALSE)+SUM(_xlfn.XLOOKUP($R119:$AK119,增益!$A:$A,增益!$P:$P,0))</f>
        <v>0</v>
      </c>
      <c r="BN119" s="27">
        <f>MIN(IF(VLOOKUP($Q119,武学奇术!$A:$ZZ,23,FALSE)=1,100%,$B$8),100%)</f>
        <v>0.9859</v>
      </c>
      <c r="BO119" s="27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7" cm="1">
        <f t="array" ref="BP119">1+$B$13+VLOOKUP($Q119,武学奇术!$A:$ZZ,18,FALSE)+SUM(_xlfn.XLOOKUP($R119:$AK119,增益!$A:$A,增益!$R:$R,0))</f>
        <v>1.71</v>
      </c>
      <c r="BQ119" s="27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7" cm="1">
        <f t="array" ref="BR119">1+$B$14+VLOOKUP($Q119,武学奇术!$A:$ZZ,20,FALSE)+SUM(_xlfn.XLOOKUP($R119:$AK119,增益!$A:$A,增益!$T:$T,0))</f>
        <v>1.35</v>
      </c>
      <c r="BS119" s="27">
        <f t="shared" si="20"/>
        <v>0.87863408</v>
      </c>
      <c r="BT119" s="27">
        <f t="shared" si="21"/>
        <v>0.01567581</v>
      </c>
      <c r="BU119" s="27">
        <f>IF(VLOOKUP($Q119,武学奇术!$A:$ZZ,22,FALSE)=1,0,(1-$BN119))*(1-$BQ119)</f>
        <v>0.01279011</v>
      </c>
      <c r="BV119" s="27" cm="1">
        <f t="array" ref="BV119">SUM(_xlfn.XLOOKUP($R119:$AK119,增益!$A:$A,增益!$W:$W,0))+$I$5</f>
        <v>0.11</v>
      </c>
    </row>
    <row r="120" spans="11:74">
      <c r="K120" s="40">
        <f t="shared" si="11"/>
        <v>17358.7000466796</v>
      </c>
      <c r="L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蓄力技",$B$21,0))*(1+$BV120)</f>
        <v>17819.6444829674</v>
      </c>
      <c r="M120" s="40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蓄力技",$B$21,0))*(1+$BV120)</f>
        <v>15333.8919893219</v>
      </c>
      <c r="N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蓄力技",$B$21,0))*(1+$BV120)</f>
        <v>10241.1749902111</v>
      </c>
      <c r="O120" s="40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蓄力技",$B$21,0))*(1+$BV120)</f>
        <v>9123.91146981345</v>
      </c>
      <c r="P120" s="41">
        <f t="shared" si="22"/>
        <v>1</v>
      </c>
      <c r="Q120" s="42" t="s">
        <v>194</v>
      </c>
      <c r="R120" s="42" t="s">
        <v>103</v>
      </c>
      <c r="S120" s="42" t="s">
        <v>169</v>
      </c>
      <c r="T120" s="42" t="s">
        <v>86</v>
      </c>
      <c r="U120" s="42" t="s">
        <v>87</v>
      </c>
      <c r="V120" s="42" t="s">
        <v>77</v>
      </c>
      <c r="W120" s="42" t="s">
        <v>77</v>
      </c>
      <c r="X120" s="42" t="s">
        <v>176</v>
      </c>
      <c r="Y120" s="42" t="s">
        <v>77</v>
      </c>
      <c r="Z120" s="42" t="s">
        <v>77</v>
      </c>
      <c r="AA120" s="42" t="s">
        <v>77</v>
      </c>
      <c r="AB120" s="42" t="s">
        <v>77</v>
      </c>
      <c r="AC120" s="42" t="s">
        <v>77</v>
      </c>
      <c r="AD120" s="42" t="s">
        <v>77</v>
      </c>
      <c r="AE120" s="42" t="s">
        <v>81</v>
      </c>
      <c r="AF120" s="42" t="s">
        <v>82</v>
      </c>
      <c r="AG120" s="42" t="s">
        <v>77</v>
      </c>
      <c r="AH120" s="42" t="s">
        <v>77</v>
      </c>
      <c r="AI120" s="42" t="s">
        <v>77</v>
      </c>
      <c r="AJ120" s="42" t="s">
        <v>77</v>
      </c>
      <c r="AK120" s="42" t="s">
        <v>77</v>
      </c>
      <c r="AL120" t="str">
        <f>VLOOKUP($Q120,武学奇术!$A:$ZZ,25,FALSE)</f>
        <v>心法</v>
      </c>
      <c r="AM120" s="27">
        <f>VLOOKUP($Q120,武学奇术!$A:$ZZ,26,FALSE)</f>
        <v>1</v>
      </c>
      <c r="AN120" s="28">
        <f>VLOOKUP($Q120,武学奇术!$A:$ZZ,27,FALSE)*(1+IF(OR($AL120=$F$4,$AL120=$F$5),$B$22,0))</f>
        <v>0</v>
      </c>
      <c r="AO120" s="27">
        <f>VLOOKUP($Q120,武学奇术!$A:$ZZ,28,FALSE)</f>
        <v>1</v>
      </c>
      <c r="AP120" s="28">
        <f>VLOOKUP($Q120,武学奇术!$A:$ZZ,29,FALSE)*(1+IF(OR($AL120=$F$4,$AL120=$F$5),$B$22,0))</f>
        <v>0</v>
      </c>
      <c r="AQ120" s="27" cm="1">
        <f t="array" ref="AQ120">$G$3+IFERROR(VLOOKUP($AL120,$F$4:$G$7,2,FALSE),0)+VLOOKUP($Q120,武学奇术!$A:$ZZ,2,FALSE)+SUM(_xlfn.XLOOKUP($R120:$AK120,增益!$A:$A,增益!$B:$B,0))</f>
        <v>0.4837</v>
      </c>
      <c r="AR120" s="27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3574.7</v>
      </c>
      <c r="AT120" cm="1">
        <f t="array" ref="AT120">$E$10*(1+$AR120)+VLOOKUP($Q120,武学奇术!$A:$ZZ,4,FALSE)+SUM(_xlfn.XLOOKUP($R120:$AK120,增益!$A:$A,增益!$D:$D,0))-$I$2</f>
        <v>3574.7</v>
      </c>
      <c r="AU120" s="34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0.327</v>
      </c>
      <c r="AV120" s="34" cm="1">
        <f t="array" ref="AV120">$G$10+VLOOKUP($Q120,武学奇术!$A:$ZZ,7,FALSE)+SUM(_xlfn.XLOOKUP($R120:$AK120,增益!$A:$A,增益!$G:$G,0))</f>
        <v>0</v>
      </c>
      <c r="AW120" s="27" cm="1">
        <f t="array" ref="AW120">VLOOKUP($Q120,武学奇术!$A:$ZZ,8,FALSE)+SUM(_xlfn.XLOOKUP($R120:$AK120,增益!$A:$A,增益!$H:$H,0))</f>
        <v>0</v>
      </c>
      <c r="AX120">
        <f t="shared" si="12"/>
        <v>0</v>
      </c>
      <c r="AY120">
        <f t="shared" si="13"/>
        <v>0</v>
      </c>
      <c r="AZ120" s="34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-0.14</v>
      </c>
      <c r="BA120" s="34" cm="1">
        <f t="array" ref="BA120">$G$11+VLOOKUP($Q120,武学奇术!$A:$ZZ,10,FALSE)+SUM(_xlfn.XLOOKUP($R120:$AK120,增益!$A:$A,增益!$J:$J,0))</f>
        <v>0</v>
      </c>
      <c r="BB120">
        <f t="shared" si="14"/>
        <v>591.9</v>
      </c>
      <c r="BC120">
        <f t="shared" si="15"/>
        <v>1600.3</v>
      </c>
      <c r="BD120" s="34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0.17</v>
      </c>
      <c r="BE120" s="34" cm="1">
        <f t="array" ref="BE120">$G$12+VLOOKUP($Q120,武学奇术!$A:$ZZ,12,FALSE)+SUM(_xlfn.XLOOKUP($R120:$AK120,增益!$A:$A,增益!$L:$L,0))</f>
        <v>0.15</v>
      </c>
      <c r="BF120">
        <f t="shared" si="16"/>
        <v>0</v>
      </c>
      <c r="BG120">
        <f t="shared" si="17"/>
        <v>0</v>
      </c>
      <c r="BH120" s="34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-0.14</v>
      </c>
      <c r="BI120" s="34" cm="1">
        <f t="array" ref="BI120">$G$13+VLOOKUP($Q120,武学奇术!$A:$ZZ,14,FALSE)+SUM(_xlfn.XLOOKUP($R120:$AK120,增益!$A:$A,增益!$N:$N,0))</f>
        <v>0</v>
      </c>
      <c r="BJ120">
        <f t="shared" si="18"/>
        <v>0</v>
      </c>
      <c r="BK120">
        <f t="shared" si="19"/>
        <v>0</v>
      </c>
      <c r="BL120" s="34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-0.14</v>
      </c>
      <c r="BM120" s="34" cm="1">
        <f t="array" ref="BM120">$G$14+VLOOKUP($Q120,武学奇术!$A:$ZZ,16,FALSE)+SUM(_xlfn.XLOOKUP($R120:$AK120,增益!$A:$A,增益!$P:$P,0))</f>
        <v>0</v>
      </c>
      <c r="BN120" s="27">
        <f>MIN(IF(VLOOKUP($Q120,武学奇术!$A:$ZZ,23,FALSE)=1,100%,$B$8),100%)</f>
        <v>0.9859</v>
      </c>
      <c r="BO120" s="27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7" cm="1">
        <f t="array" ref="BP120">1+$B$13+VLOOKUP($Q120,武学奇术!$A:$ZZ,18,FALSE)+SUM(_xlfn.XLOOKUP($R120:$AK120,增益!$A:$A,增益!$R:$R,0))</f>
        <v>1.74</v>
      </c>
      <c r="BQ120" s="27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7" cm="1">
        <f t="array" ref="BR120">1+$B$14+VLOOKUP($Q120,武学奇术!$A:$ZZ,20,FALSE)+SUM(_xlfn.XLOOKUP($R120:$AK120,增益!$A:$A,增益!$T:$T,0))</f>
        <v>1.35</v>
      </c>
      <c r="BS120" s="27">
        <f t="shared" si="20"/>
        <v>0.87863408</v>
      </c>
      <c r="BT120" s="27">
        <f t="shared" si="21"/>
        <v>0.01567581</v>
      </c>
      <c r="BU120" s="27">
        <f>IF(VLOOKUP($Q120,武学奇术!$A:$ZZ,22,FALSE)=1,0,(1-$BN120))*(1-$BQ120)</f>
        <v>0.01279011</v>
      </c>
      <c r="BV120" s="27" cm="1">
        <f t="array" ref="BV120">SUM(_xlfn.XLOOKUP($R120:$AK120,增益!$A:$A,增益!$W:$W,0))+$I$5</f>
        <v>0.11</v>
      </c>
    </row>
    <row r="121" spans="11:74">
      <c r="K121" s="40">
        <f t="shared" si="11"/>
        <v>14769.5488372691</v>
      </c>
      <c r="L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蓄力技",$B$21,0))*(1+$BV121)</f>
        <v>15167.5701177444</v>
      </c>
      <c r="M121" s="40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蓄力技",$B$21,0))*(1+$BV121)</f>
        <v>12983.7012624121</v>
      </c>
      <c r="N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蓄力技",$B$21,0))*(1+$BV121)</f>
        <v>8716.99432054275</v>
      </c>
      <c r="O121" s="40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蓄力技",$B$21,0))*(1+$BV121)</f>
        <v>7816.43215040985</v>
      </c>
      <c r="P121" s="41">
        <f t="shared" si="22"/>
        <v>1</v>
      </c>
      <c r="Q121" s="42" t="s">
        <v>194</v>
      </c>
      <c r="R121" s="42" t="s">
        <v>103</v>
      </c>
      <c r="S121" s="42" t="s">
        <v>77</v>
      </c>
      <c r="T121" s="42" t="s">
        <v>77</v>
      </c>
      <c r="U121" s="42" t="s">
        <v>87</v>
      </c>
      <c r="V121" s="42" t="s">
        <v>77</v>
      </c>
      <c r="W121" s="42" t="s">
        <v>77</v>
      </c>
      <c r="X121" s="42" t="s">
        <v>176</v>
      </c>
      <c r="Y121" s="42" t="s">
        <v>77</v>
      </c>
      <c r="Z121" s="42" t="s">
        <v>77</v>
      </c>
      <c r="AA121" s="42" t="s">
        <v>77</v>
      </c>
      <c r="AB121" s="42" t="s">
        <v>77</v>
      </c>
      <c r="AC121" s="42" t="s">
        <v>77</v>
      </c>
      <c r="AD121" s="42" t="s">
        <v>77</v>
      </c>
      <c r="AE121" s="42" t="s">
        <v>81</v>
      </c>
      <c r="AF121" s="42" t="s">
        <v>82</v>
      </c>
      <c r="AG121" s="42" t="s">
        <v>77</v>
      </c>
      <c r="AH121" s="42" t="s">
        <v>77</v>
      </c>
      <c r="AI121" s="42" t="s">
        <v>77</v>
      </c>
      <c r="AJ121" s="42" t="s">
        <v>77</v>
      </c>
      <c r="AK121" s="42" t="s">
        <v>77</v>
      </c>
      <c r="AL121" t="str">
        <f>VLOOKUP($Q121,武学奇术!$A:$ZZ,25,FALSE)</f>
        <v>心法</v>
      </c>
      <c r="AM121" s="27">
        <f>VLOOKUP($Q121,武学奇术!$A:$ZZ,26,FALSE)</f>
        <v>1</v>
      </c>
      <c r="AN121" s="28">
        <f>VLOOKUP($Q121,武学奇术!$A:$ZZ,27,FALSE)*(1+IF(OR($AL121=$F$4,$AL121=$F$5),$B$22,0))</f>
        <v>0</v>
      </c>
      <c r="AO121" s="27">
        <f>VLOOKUP($Q121,武学奇术!$A:$ZZ,28,FALSE)</f>
        <v>1</v>
      </c>
      <c r="AP121" s="28">
        <f>VLOOKUP($Q121,武学奇术!$A:$ZZ,29,FALSE)*(1+IF(OR($AL121=$F$4,$AL121=$F$5),$B$22,0))</f>
        <v>0</v>
      </c>
      <c r="AQ121" s="27" cm="1">
        <f t="array" ref="AQ121">$G$3+IFERROR(VLOOKUP($AL121,$F$4:$G$7,2,FALSE),0)+VLOOKUP($Q121,武学奇术!$A:$ZZ,2,FALSE)+SUM(_xlfn.XLOOKUP($R121:$AK121,增益!$A:$A,增益!$B:$B,0))</f>
        <v>0.2837</v>
      </c>
      <c r="AR121" s="27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3574.7</v>
      </c>
      <c r="AT121" cm="1">
        <f t="array" ref="AT121">$E$10*(1+$AR121)+VLOOKUP($Q121,武学奇术!$A:$ZZ,4,FALSE)+SUM(_xlfn.XLOOKUP($R121:$AK121,增益!$A:$A,增益!$D:$D,0))-$I$2</f>
        <v>3574.7</v>
      </c>
      <c r="AU121" s="34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0.327</v>
      </c>
      <c r="AV121" s="34" cm="1">
        <f t="array" ref="AV121">$G$10+VLOOKUP($Q121,武学奇术!$A:$ZZ,7,FALSE)+SUM(_xlfn.XLOOKUP($R121:$AK121,增益!$A:$A,增益!$G:$G,0))</f>
        <v>0</v>
      </c>
      <c r="AW121" s="27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4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4" cm="1">
        <f t="array" ref="BA121">$G$11+VLOOKUP($Q121,武学奇术!$A:$ZZ,10,FALSE)+SUM(_xlfn.XLOOKUP($R121:$AK121,增益!$A:$A,增益!$J:$J,0))</f>
        <v>0</v>
      </c>
      <c r="BB121">
        <f t="shared" si="14"/>
        <v>591.9</v>
      </c>
      <c r="BC121">
        <f t="shared" si="15"/>
        <v>1600.3</v>
      </c>
      <c r="BD121" s="34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0.09</v>
      </c>
      <c r="BE121" s="34" cm="1">
        <f t="array" ref="BE121">$G$12+VLOOKUP($Q121,武学奇术!$A:$ZZ,12,FALSE)+SUM(_xlfn.XLOOKUP($R121:$AK121,增益!$A:$A,增益!$L:$L,0))</f>
        <v>0.15</v>
      </c>
      <c r="BF121">
        <f t="shared" si="16"/>
        <v>0</v>
      </c>
      <c r="BG121">
        <f t="shared" si="17"/>
        <v>0</v>
      </c>
      <c r="BH121" s="34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-0.3</v>
      </c>
      <c r="BI121" s="34" cm="1">
        <f t="array" ref="BI121">$G$13+VLOOKUP($Q121,武学奇术!$A:$ZZ,14,FALSE)+SUM(_xlfn.XLOOKUP($R121:$AK121,增益!$A:$A,增益!$N:$N,0))</f>
        <v>0</v>
      </c>
      <c r="BJ121">
        <f t="shared" si="18"/>
        <v>0</v>
      </c>
      <c r="BK121">
        <f t="shared" si="19"/>
        <v>0</v>
      </c>
      <c r="BL121" s="34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4" cm="1">
        <f t="array" ref="BM121">$G$14+VLOOKUP($Q121,武学奇术!$A:$ZZ,16,FALSE)+SUM(_xlfn.XLOOKUP($R121:$AK121,增益!$A:$A,增益!$P:$P,0))</f>
        <v>0</v>
      </c>
      <c r="BN121" s="27">
        <f>MIN(IF(VLOOKUP($Q121,武学奇术!$A:$ZZ,23,FALSE)=1,100%,$B$8),100%)</f>
        <v>0.9859</v>
      </c>
      <c r="BO121" s="27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7" cm="1">
        <f t="array" ref="BP121">1+$B$13+VLOOKUP($Q121,武学奇术!$A:$ZZ,18,FALSE)+SUM(_xlfn.XLOOKUP($R121:$AK121,增益!$A:$A,增益!$R:$R,0))</f>
        <v>1.74</v>
      </c>
      <c r="BQ121" s="27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7" cm="1">
        <f t="array" ref="BR121">1+$B$14+VLOOKUP($Q121,武学奇术!$A:$ZZ,20,FALSE)+SUM(_xlfn.XLOOKUP($R121:$AK121,增益!$A:$A,增益!$T:$T,0))</f>
        <v>1.35</v>
      </c>
      <c r="BS121" s="27">
        <f t="shared" si="20"/>
        <v>0.87863408</v>
      </c>
      <c r="BT121" s="27">
        <f t="shared" si="21"/>
        <v>0.01567581</v>
      </c>
      <c r="BU121" s="27">
        <f>IF(VLOOKUP($Q121,武学奇术!$A:$ZZ,22,FALSE)=1,0,(1-$BN121))*(1-$BQ121)</f>
        <v>0.01279011</v>
      </c>
      <c r="BV121" s="27" cm="1">
        <f t="array" ref="BV121">SUM(_xlfn.XLOOKUP($R121:$AK121,增益!$A:$A,增益!$W:$W,0))+$I$5</f>
        <v>0.11</v>
      </c>
    </row>
    <row r="122" spans="11:74">
      <c r="K122" s="40">
        <f t="shared" si="11"/>
        <v>18922.5468977318</v>
      </c>
      <c r="L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蓄力技",$B$21,0))*(1+$BV122)</f>
        <v>19425.0178598113</v>
      </c>
      <c r="M122" s="40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蓄力技",$B$21,0))*(1+$BV122)</f>
        <v>16715.3237000717</v>
      </c>
      <c r="N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蓄力技",$B$21,0))*(1+$BV122)</f>
        <v>11163.8033677076</v>
      </c>
      <c r="O122" s="40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蓄力技",$B$21,0))*(1+$BV122)</f>
        <v>9945.88547610295</v>
      </c>
      <c r="P122" s="41">
        <f t="shared" si="22"/>
        <v>1</v>
      </c>
      <c r="Q122" s="42" t="s">
        <v>194</v>
      </c>
      <c r="R122" s="42" t="s">
        <v>103</v>
      </c>
      <c r="S122" s="42" t="s">
        <v>169</v>
      </c>
      <c r="T122" s="42" t="s">
        <v>86</v>
      </c>
      <c r="U122" s="42" t="s">
        <v>87</v>
      </c>
      <c r="V122" s="42" t="s">
        <v>77</v>
      </c>
      <c r="W122" s="42" t="s">
        <v>77</v>
      </c>
      <c r="X122" s="42" t="s">
        <v>176</v>
      </c>
      <c r="Y122" s="42" t="s">
        <v>186</v>
      </c>
      <c r="Z122" s="42" t="s">
        <v>77</v>
      </c>
      <c r="AA122" s="42" t="s">
        <v>77</v>
      </c>
      <c r="AB122" s="42" t="s">
        <v>77</v>
      </c>
      <c r="AC122" s="42" t="s">
        <v>77</v>
      </c>
      <c r="AD122" s="42" t="s">
        <v>77</v>
      </c>
      <c r="AE122" s="42" t="s">
        <v>81</v>
      </c>
      <c r="AF122" s="42" t="s">
        <v>82</v>
      </c>
      <c r="AG122" s="42" t="s">
        <v>77</v>
      </c>
      <c r="AH122" s="42" t="s">
        <v>77</v>
      </c>
      <c r="AI122" s="42" t="s">
        <v>77</v>
      </c>
      <c r="AJ122" s="42" t="s">
        <v>77</v>
      </c>
      <c r="AK122" s="42" t="s">
        <v>77</v>
      </c>
      <c r="AL122" t="str">
        <f>VLOOKUP($Q122,武学奇术!$A:$ZZ,25,FALSE)</f>
        <v>心法</v>
      </c>
      <c r="AM122" s="27">
        <f>VLOOKUP($Q122,武学奇术!$A:$ZZ,26,FALSE)</f>
        <v>1</v>
      </c>
      <c r="AN122" s="28">
        <f>VLOOKUP($Q122,武学奇术!$A:$ZZ,27,FALSE)*(1+IF(OR($AL122=$F$4,$AL122=$F$5),$B$22,0))</f>
        <v>0</v>
      </c>
      <c r="AO122" s="27">
        <f>VLOOKUP($Q122,武学奇术!$A:$ZZ,28,FALSE)</f>
        <v>1</v>
      </c>
      <c r="AP122" s="28">
        <f>VLOOKUP($Q122,武学奇术!$A:$ZZ,29,FALSE)*(1+IF(OR($AL122=$F$4,$AL122=$F$5),$B$22,0))</f>
        <v>0</v>
      </c>
      <c r="AQ122" s="27" cm="1">
        <f t="array" ref="AQ122">$G$3+IFERROR(VLOOKUP($AL122,$F$4:$G$7,2,FALSE),0)+VLOOKUP($Q122,武学奇术!$A:$ZZ,2,FALSE)+SUM(_xlfn.XLOOKUP($R122:$AK122,增益!$A:$A,增益!$B:$B,0))</f>
        <v>0.4837</v>
      </c>
      <c r="AR122" s="27" cm="1">
        <f t="array" ref="AR122">VLOOKUP($Q122,武学奇术!$A:$ZZ,5,FALSE)+SUM(_xlfn.XLOOKUP($R122:$AK122,增益!$A:$A,增益!$E:$E,0))</f>
        <v>0</v>
      </c>
      <c r="AS122" cm="1">
        <f t="array" ref="AS122">$D$10*(1+$AR122)+VLOOKUP($Q122,武学奇术!$A:$ZZ,3,FALSE)+SUM(_xlfn.XLOOKUP($R122:$AK122,增益!$A:$A,增益!$C:$C,0))-$I$2</f>
        <v>3574.7</v>
      </c>
      <c r="AT122" cm="1">
        <f t="array" ref="AT122">$E$10*(1+$AR122)+VLOOKUP($Q122,武学奇术!$A:$ZZ,4,FALSE)+SUM(_xlfn.XLOOKUP($R122:$AK122,增益!$A:$A,增益!$D:$D,0))-$I$2</f>
        <v>3574.7</v>
      </c>
      <c r="AU122" s="34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0.327</v>
      </c>
      <c r="AV122" s="34" cm="1">
        <f t="array" ref="AV122">$G$10+VLOOKUP($Q122,武学奇术!$A:$ZZ,7,FALSE)+SUM(_xlfn.XLOOKUP($R122:$AK122,增益!$A:$A,增益!$G:$G,0))</f>
        <v>0</v>
      </c>
      <c r="AW122" s="27" cm="1">
        <f t="array" ref="AW122">VLOOKUP($Q122,武学奇术!$A:$ZZ,8,FALSE)+SUM(_xlfn.XLOOKUP($R122:$AK122,增益!$A:$A,增益!$H:$H,0))</f>
        <v>0</v>
      </c>
      <c r="AX122">
        <f t="shared" si="12"/>
        <v>0</v>
      </c>
      <c r="AY122">
        <f t="shared" si="13"/>
        <v>0</v>
      </c>
      <c r="AZ122" s="34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-0.14</v>
      </c>
      <c r="BA122" s="34" cm="1">
        <f t="array" ref="BA122">$G$11+VLOOKUP($Q122,武学奇术!$A:$ZZ,10,FALSE)+SUM(_xlfn.XLOOKUP($R122:$AK122,增益!$A:$A,增益!$J:$J,0))</f>
        <v>0</v>
      </c>
      <c r="BB122">
        <f t="shared" si="14"/>
        <v>591.9</v>
      </c>
      <c r="BC122">
        <f t="shared" si="15"/>
        <v>1600.3</v>
      </c>
      <c r="BD122" s="34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0.17</v>
      </c>
      <c r="BE122" s="34" cm="1">
        <f t="array" ref="BE122">$G$12+VLOOKUP($Q122,武学奇术!$A:$ZZ,12,FALSE)+SUM(_xlfn.XLOOKUP($R122:$AK122,增益!$A:$A,增益!$L:$L,0))</f>
        <v>0.15</v>
      </c>
      <c r="BF122">
        <f t="shared" si="16"/>
        <v>0</v>
      </c>
      <c r="BG122">
        <f t="shared" si="17"/>
        <v>0</v>
      </c>
      <c r="BH122" s="34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-0.14</v>
      </c>
      <c r="BI122" s="34" cm="1">
        <f t="array" ref="BI122">$G$13+VLOOKUP($Q122,武学奇术!$A:$ZZ,14,FALSE)+SUM(_xlfn.XLOOKUP($R122:$AK122,增益!$A:$A,增益!$N:$N,0))</f>
        <v>0</v>
      </c>
      <c r="BJ122">
        <f t="shared" si="18"/>
        <v>0</v>
      </c>
      <c r="BK122">
        <f t="shared" si="19"/>
        <v>0</v>
      </c>
      <c r="BL122" s="34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-0.14</v>
      </c>
      <c r="BM122" s="34" cm="1">
        <f t="array" ref="BM122">$G$14+VLOOKUP($Q122,武学奇术!$A:$ZZ,16,FALSE)+SUM(_xlfn.XLOOKUP($R122:$AK122,增益!$A:$A,增益!$P:$P,0))</f>
        <v>0</v>
      </c>
      <c r="BN122" s="27">
        <f>MIN(IF(VLOOKUP($Q122,武学奇术!$A:$ZZ,23,FALSE)=1,100%,$B$8),100%)</f>
        <v>0.9859</v>
      </c>
      <c r="BO122" s="27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0.8912</v>
      </c>
      <c r="BP122" s="27" cm="1">
        <f t="array" ref="BP122">1+$B$13+VLOOKUP($Q122,武学奇术!$A:$ZZ,18,FALSE)+SUM(_xlfn.XLOOKUP($R122:$AK122,增益!$A:$A,增益!$R:$R,0))</f>
        <v>1.74</v>
      </c>
      <c r="BQ122" s="27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7" cm="1">
        <f t="array" ref="BR122">1+$B$14+VLOOKUP($Q122,武学奇术!$A:$ZZ,20,FALSE)+SUM(_xlfn.XLOOKUP($R122:$AK122,增益!$A:$A,增益!$T:$T,0))</f>
        <v>1.35</v>
      </c>
      <c r="BS122" s="27">
        <f t="shared" si="20"/>
        <v>0.87863408</v>
      </c>
      <c r="BT122" s="27">
        <f t="shared" si="21"/>
        <v>0.01567581</v>
      </c>
      <c r="BU122" s="27">
        <f>IF(VLOOKUP($Q122,武学奇术!$A:$ZZ,22,FALSE)=1,0,(1-$BN122))*(1-$BQ122)</f>
        <v>0.01279011</v>
      </c>
      <c r="BV122" s="27" cm="1">
        <f t="array" ref="BV122">SUM(_xlfn.XLOOKUP($R122:$AK122,增益!$A:$A,增益!$W:$W,0))+$I$5</f>
        <v>0.21</v>
      </c>
    </row>
    <row r="123" spans="11:74">
      <c r="K123" s="40">
        <f t="shared" si="11"/>
        <v>17358.7000466796</v>
      </c>
      <c r="L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蓄力技",$B$21,0))*(1+$BV123)</f>
        <v>17819.6444829674</v>
      </c>
      <c r="M123" s="40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蓄力技",$B$21,0))*(1+$BV123)</f>
        <v>15333.8919893219</v>
      </c>
      <c r="N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蓄力技",$B$21,0))*(1+$BV123)</f>
        <v>10241.1749902111</v>
      </c>
      <c r="O123" s="40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蓄力技",$B$21,0))*(1+$BV123)</f>
        <v>9123.91146981345</v>
      </c>
      <c r="P123" s="41">
        <f t="shared" si="22"/>
        <v>1</v>
      </c>
      <c r="Q123" s="42" t="s">
        <v>194</v>
      </c>
      <c r="R123" s="42" t="s">
        <v>103</v>
      </c>
      <c r="S123" s="42" t="s">
        <v>169</v>
      </c>
      <c r="T123" s="42" t="s">
        <v>86</v>
      </c>
      <c r="U123" s="42" t="s">
        <v>87</v>
      </c>
      <c r="V123" s="42" t="s">
        <v>77</v>
      </c>
      <c r="W123" s="42" t="s">
        <v>77</v>
      </c>
      <c r="X123" s="42" t="s">
        <v>176</v>
      </c>
      <c r="Y123" s="42" t="s">
        <v>77</v>
      </c>
      <c r="Z123" s="42" t="s">
        <v>77</v>
      </c>
      <c r="AA123" s="42" t="s">
        <v>77</v>
      </c>
      <c r="AB123" s="42" t="s">
        <v>77</v>
      </c>
      <c r="AC123" s="42" t="s">
        <v>77</v>
      </c>
      <c r="AD123" s="42" t="s">
        <v>77</v>
      </c>
      <c r="AE123" s="42" t="s">
        <v>81</v>
      </c>
      <c r="AF123" s="42" t="s">
        <v>82</v>
      </c>
      <c r="AG123" s="42" t="s">
        <v>77</v>
      </c>
      <c r="AH123" s="42" t="s">
        <v>77</v>
      </c>
      <c r="AI123" s="42" t="s">
        <v>77</v>
      </c>
      <c r="AJ123" s="42" t="s">
        <v>77</v>
      </c>
      <c r="AK123" s="42" t="s">
        <v>77</v>
      </c>
      <c r="AL123" t="str">
        <f>VLOOKUP($Q123,武学奇术!$A:$ZZ,25,FALSE)</f>
        <v>心法</v>
      </c>
      <c r="AM123" s="27">
        <f>VLOOKUP($Q123,武学奇术!$A:$ZZ,26,FALSE)</f>
        <v>1</v>
      </c>
      <c r="AN123" s="28">
        <f>VLOOKUP($Q123,武学奇术!$A:$ZZ,27,FALSE)*(1+IF(OR($AL123=$F$4,$AL123=$F$5),$B$22,0))</f>
        <v>0</v>
      </c>
      <c r="AO123" s="27">
        <f>VLOOKUP($Q123,武学奇术!$A:$ZZ,28,FALSE)</f>
        <v>1</v>
      </c>
      <c r="AP123" s="28">
        <f>VLOOKUP($Q123,武学奇术!$A:$ZZ,29,FALSE)*(1+IF(OR($AL123=$F$4,$AL123=$F$5),$B$22,0))</f>
        <v>0</v>
      </c>
      <c r="AQ123" s="27" cm="1">
        <f t="array" ref="AQ123">$G$3+IFERROR(VLOOKUP($AL123,$F$4:$G$7,2,FALSE),0)+VLOOKUP($Q123,武学奇术!$A:$ZZ,2,FALSE)+SUM(_xlfn.XLOOKUP($R123:$AK123,增益!$A:$A,增益!$B:$B,0))</f>
        <v>0.4837</v>
      </c>
      <c r="AR123" s="27" cm="1">
        <f t="array" ref="AR123">VLOOKUP($Q123,武学奇术!$A:$ZZ,5,FALSE)+SUM(_xlfn.XLOOKUP($R123:$AK123,增益!$A:$A,增益!$E:$E,0))</f>
        <v>0</v>
      </c>
      <c r="AS123" cm="1">
        <f t="array" ref="AS123">$D$10*(1+$AR123)+VLOOKUP($Q123,武学奇术!$A:$ZZ,3,FALSE)+SUM(_xlfn.XLOOKUP($R123:$AK123,增益!$A:$A,增益!$C:$C,0))-$I$2</f>
        <v>3574.7</v>
      </c>
      <c r="AT123" cm="1">
        <f t="array" ref="AT123">$E$10*(1+$AR123)+VLOOKUP($Q123,武学奇术!$A:$ZZ,4,FALSE)+SUM(_xlfn.XLOOKUP($R123:$AK123,增益!$A:$A,增益!$D:$D,0))-$I$2</f>
        <v>3574.7</v>
      </c>
      <c r="AU123" s="34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0.327</v>
      </c>
      <c r="AV123" s="34" cm="1">
        <f t="array" ref="AV123">$G$10+VLOOKUP($Q123,武学奇术!$A:$ZZ,7,FALSE)+SUM(_xlfn.XLOOKUP($R123:$AK123,增益!$A:$A,增益!$G:$G,0))</f>
        <v>0</v>
      </c>
      <c r="AW123" s="27" cm="1">
        <f t="array" ref="AW123">VLOOKUP($Q123,武学奇术!$A:$ZZ,8,FALSE)+SUM(_xlfn.XLOOKUP($R123:$AK123,增益!$A:$A,增益!$H:$H,0))</f>
        <v>0</v>
      </c>
      <c r="AX123">
        <f t="shared" si="12"/>
        <v>0</v>
      </c>
      <c r="AY123">
        <f t="shared" si="13"/>
        <v>0</v>
      </c>
      <c r="AZ123" s="34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-0.14</v>
      </c>
      <c r="BA123" s="34" cm="1">
        <f t="array" ref="BA123">$G$11+VLOOKUP($Q123,武学奇术!$A:$ZZ,10,FALSE)+SUM(_xlfn.XLOOKUP($R123:$AK123,增益!$A:$A,增益!$J:$J,0))</f>
        <v>0</v>
      </c>
      <c r="BB123">
        <f t="shared" si="14"/>
        <v>591.9</v>
      </c>
      <c r="BC123">
        <f t="shared" si="15"/>
        <v>1600.3</v>
      </c>
      <c r="BD123" s="34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0.17</v>
      </c>
      <c r="BE123" s="34" cm="1">
        <f t="array" ref="BE123">$G$12+VLOOKUP($Q123,武学奇术!$A:$ZZ,12,FALSE)+SUM(_xlfn.XLOOKUP($R123:$AK123,增益!$A:$A,增益!$L:$L,0))</f>
        <v>0.15</v>
      </c>
      <c r="BF123">
        <f t="shared" si="16"/>
        <v>0</v>
      </c>
      <c r="BG123">
        <f t="shared" si="17"/>
        <v>0</v>
      </c>
      <c r="BH123" s="34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-0.14</v>
      </c>
      <c r="BI123" s="34" cm="1">
        <f t="array" ref="BI123">$G$13+VLOOKUP($Q123,武学奇术!$A:$ZZ,14,FALSE)+SUM(_xlfn.XLOOKUP($R123:$AK123,增益!$A:$A,增益!$N:$N,0))</f>
        <v>0</v>
      </c>
      <c r="BJ123">
        <f t="shared" si="18"/>
        <v>0</v>
      </c>
      <c r="BK123">
        <f t="shared" si="19"/>
        <v>0</v>
      </c>
      <c r="BL123" s="34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-0.14</v>
      </c>
      <c r="BM123" s="34" cm="1">
        <f t="array" ref="BM123">$G$14+VLOOKUP($Q123,武学奇术!$A:$ZZ,16,FALSE)+SUM(_xlfn.XLOOKUP($R123:$AK123,增益!$A:$A,增益!$P:$P,0))</f>
        <v>0</v>
      </c>
      <c r="BN123" s="27">
        <f>MIN(IF(VLOOKUP($Q123,武学奇术!$A:$ZZ,23,FALSE)=1,100%,$B$8),100%)</f>
        <v>0.9859</v>
      </c>
      <c r="BO123" s="27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0.8912</v>
      </c>
      <c r="BP123" s="27" cm="1">
        <f t="array" ref="BP123">1+$B$13+VLOOKUP($Q123,武学奇术!$A:$ZZ,18,FALSE)+SUM(_xlfn.XLOOKUP($R123:$AK123,增益!$A:$A,增益!$R:$R,0))</f>
        <v>1.74</v>
      </c>
      <c r="BQ123" s="27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7" cm="1">
        <f t="array" ref="BR123">1+$B$14+VLOOKUP($Q123,武学奇术!$A:$ZZ,20,FALSE)+SUM(_xlfn.XLOOKUP($R123:$AK123,增益!$A:$A,增益!$T:$T,0))</f>
        <v>1.35</v>
      </c>
      <c r="BS123" s="27">
        <f t="shared" si="20"/>
        <v>0.87863408</v>
      </c>
      <c r="BT123" s="27">
        <f t="shared" si="21"/>
        <v>0.01567581</v>
      </c>
      <c r="BU123" s="27">
        <f>IF(VLOOKUP($Q123,武学奇术!$A:$ZZ,22,FALSE)=1,0,(1-$BN123))*(1-$BQ123)</f>
        <v>0.01279011</v>
      </c>
      <c r="BV123" s="27" cm="1">
        <f t="array" ref="BV123">SUM(_xlfn.XLOOKUP($R123:$AK123,增益!$A:$A,增益!$W:$W,0))+$I$5</f>
        <v>0.11</v>
      </c>
    </row>
    <row r="124" spans="11:74">
      <c r="K124" s="40">
        <f t="shared" si="11"/>
        <v>17358.7000466796</v>
      </c>
      <c r="L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蓄力技",$B$21,0))*(1+$BV124)</f>
        <v>17819.6444829674</v>
      </c>
      <c r="M124" s="40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蓄力技",$B$21,0))*(1+$BV124)</f>
        <v>15333.8919893219</v>
      </c>
      <c r="N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蓄力技",$B$21,0))*(1+$BV124)</f>
        <v>10241.1749902111</v>
      </c>
      <c r="O124" s="40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蓄力技",$B$21,0))*(1+$BV124)</f>
        <v>9123.91146981345</v>
      </c>
      <c r="P124" s="41">
        <f t="shared" si="22"/>
        <v>1</v>
      </c>
      <c r="Q124" s="42" t="s">
        <v>194</v>
      </c>
      <c r="R124" s="42" t="s">
        <v>103</v>
      </c>
      <c r="S124" s="42" t="s">
        <v>169</v>
      </c>
      <c r="T124" s="42" t="s">
        <v>86</v>
      </c>
      <c r="U124" s="42" t="s">
        <v>87</v>
      </c>
      <c r="V124" s="42" t="s">
        <v>77</v>
      </c>
      <c r="W124" s="42" t="s">
        <v>77</v>
      </c>
      <c r="X124" s="42" t="s">
        <v>176</v>
      </c>
      <c r="Y124" s="42" t="s">
        <v>77</v>
      </c>
      <c r="Z124" s="42" t="s">
        <v>77</v>
      </c>
      <c r="AA124" s="42" t="s">
        <v>77</v>
      </c>
      <c r="AB124" s="42" t="s">
        <v>77</v>
      </c>
      <c r="AC124" s="42" t="s">
        <v>77</v>
      </c>
      <c r="AD124" s="42" t="s">
        <v>77</v>
      </c>
      <c r="AE124" s="42" t="s">
        <v>81</v>
      </c>
      <c r="AF124" s="42" t="s">
        <v>82</v>
      </c>
      <c r="AG124" s="42" t="s">
        <v>77</v>
      </c>
      <c r="AH124" s="42" t="s">
        <v>77</v>
      </c>
      <c r="AI124" s="42" t="s">
        <v>77</v>
      </c>
      <c r="AJ124" s="42" t="s">
        <v>77</v>
      </c>
      <c r="AK124" s="42" t="s">
        <v>77</v>
      </c>
      <c r="AL124" t="str">
        <f>VLOOKUP($Q124,武学奇术!$A:$ZZ,25,FALSE)</f>
        <v>心法</v>
      </c>
      <c r="AM124" s="27">
        <f>VLOOKUP($Q124,武学奇术!$A:$ZZ,26,FALSE)</f>
        <v>1</v>
      </c>
      <c r="AN124" s="28">
        <f>VLOOKUP($Q124,武学奇术!$A:$ZZ,27,FALSE)*(1+IF(OR($AL124=$F$4,$AL124=$F$5),$B$22,0))</f>
        <v>0</v>
      </c>
      <c r="AO124" s="27">
        <f>VLOOKUP($Q124,武学奇术!$A:$ZZ,28,FALSE)</f>
        <v>1</v>
      </c>
      <c r="AP124" s="28">
        <f>VLOOKUP($Q124,武学奇术!$A:$ZZ,29,FALSE)*(1+IF(OR($AL124=$F$4,$AL124=$F$5),$B$22,0))</f>
        <v>0</v>
      </c>
      <c r="AQ124" s="27" cm="1">
        <f t="array" ref="AQ124">$G$3+IFERROR(VLOOKUP($AL124,$F$4:$G$7,2,FALSE),0)+VLOOKUP($Q124,武学奇术!$A:$ZZ,2,FALSE)+SUM(_xlfn.XLOOKUP($R124:$AK124,增益!$A:$A,增益!$B:$B,0))</f>
        <v>0.4837</v>
      </c>
      <c r="AR124" s="27" cm="1">
        <f t="array" ref="AR124">VLOOKUP($Q124,武学奇术!$A:$ZZ,5,FALSE)+SUM(_xlfn.XLOOKUP($R124:$AK124,增益!$A:$A,增益!$E:$E,0))</f>
        <v>0</v>
      </c>
      <c r="AS124" cm="1">
        <f t="array" ref="AS124">$D$10*(1+$AR124)+VLOOKUP($Q124,武学奇术!$A:$ZZ,3,FALSE)+SUM(_xlfn.XLOOKUP($R124:$AK124,增益!$A:$A,增益!$C:$C,0))-$I$2</f>
        <v>3574.7</v>
      </c>
      <c r="AT124" cm="1">
        <f t="array" ref="AT124">$E$10*(1+$AR124)+VLOOKUP($Q124,武学奇术!$A:$ZZ,4,FALSE)+SUM(_xlfn.XLOOKUP($R124:$AK124,增益!$A:$A,增益!$D:$D,0))-$I$2</f>
        <v>3574.7</v>
      </c>
      <c r="AU124" s="34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0.327</v>
      </c>
      <c r="AV124" s="34" cm="1">
        <f t="array" ref="AV124">$G$10+VLOOKUP($Q124,武学奇术!$A:$ZZ,7,FALSE)+SUM(_xlfn.XLOOKUP($R124:$AK124,增益!$A:$A,增益!$G:$G,0))</f>
        <v>0</v>
      </c>
      <c r="AW124" s="27" cm="1">
        <f t="array" ref="AW124">VLOOKUP($Q124,武学奇术!$A:$ZZ,8,FALSE)+SUM(_xlfn.XLOOKUP($R124:$AK124,增益!$A:$A,增益!$H:$H,0))</f>
        <v>0</v>
      </c>
      <c r="AX124">
        <f t="shared" si="12"/>
        <v>0</v>
      </c>
      <c r="AY124">
        <f t="shared" si="13"/>
        <v>0</v>
      </c>
      <c r="AZ124" s="34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-0.14</v>
      </c>
      <c r="BA124" s="34" cm="1">
        <f t="array" ref="BA124">$G$11+VLOOKUP($Q124,武学奇术!$A:$ZZ,10,FALSE)+SUM(_xlfn.XLOOKUP($R124:$AK124,增益!$A:$A,增益!$J:$J,0))</f>
        <v>0</v>
      </c>
      <c r="BB124">
        <f t="shared" si="14"/>
        <v>591.9</v>
      </c>
      <c r="BC124">
        <f t="shared" si="15"/>
        <v>1600.3</v>
      </c>
      <c r="BD124" s="34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0.17</v>
      </c>
      <c r="BE124" s="34" cm="1">
        <f t="array" ref="BE124">$G$12+VLOOKUP($Q124,武学奇术!$A:$ZZ,12,FALSE)+SUM(_xlfn.XLOOKUP($R124:$AK124,增益!$A:$A,增益!$L:$L,0))</f>
        <v>0.15</v>
      </c>
      <c r="BF124">
        <f t="shared" si="16"/>
        <v>0</v>
      </c>
      <c r="BG124">
        <f t="shared" si="17"/>
        <v>0</v>
      </c>
      <c r="BH124" s="34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-0.14</v>
      </c>
      <c r="BI124" s="34" cm="1">
        <f t="array" ref="BI124">$G$13+VLOOKUP($Q124,武学奇术!$A:$ZZ,14,FALSE)+SUM(_xlfn.XLOOKUP($R124:$AK124,增益!$A:$A,增益!$N:$N,0))</f>
        <v>0</v>
      </c>
      <c r="BJ124">
        <f t="shared" si="18"/>
        <v>0</v>
      </c>
      <c r="BK124">
        <f t="shared" si="19"/>
        <v>0</v>
      </c>
      <c r="BL124" s="34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-0.14</v>
      </c>
      <c r="BM124" s="34" cm="1">
        <f t="array" ref="BM124">$G$14+VLOOKUP($Q124,武学奇术!$A:$ZZ,16,FALSE)+SUM(_xlfn.XLOOKUP($R124:$AK124,增益!$A:$A,增益!$P:$P,0))</f>
        <v>0</v>
      </c>
      <c r="BN124" s="27">
        <f>MIN(IF(VLOOKUP($Q124,武学奇术!$A:$ZZ,23,FALSE)=1,100%,$B$8),100%)</f>
        <v>0.9859</v>
      </c>
      <c r="BO124" s="27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0.8912</v>
      </c>
      <c r="BP124" s="27" cm="1">
        <f t="array" ref="BP124">1+$B$13+VLOOKUP($Q124,武学奇术!$A:$ZZ,18,FALSE)+SUM(_xlfn.XLOOKUP($R124:$AK124,增益!$A:$A,增益!$R:$R,0))</f>
        <v>1.74</v>
      </c>
      <c r="BQ124" s="27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7" cm="1">
        <f t="array" ref="BR124">1+$B$14+VLOOKUP($Q124,武学奇术!$A:$ZZ,20,FALSE)+SUM(_xlfn.XLOOKUP($R124:$AK124,增益!$A:$A,增益!$T:$T,0))</f>
        <v>1.35</v>
      </c>
      <c r="BS124" s="27">
        <f t="shared" si="20"/>
        <v>0.87863408</v>
      </c>
      <c r="BT124" s="27">
        <f t="shared" si="21"/>
        <v>0.01567581</v>
      </c>
      <c r="BU124" s="27">
        <f>IF(VLOOKUP($Q124,武学奇术!$A:$ZZ,22,FALSE)=1,0,(1-$BN124))*(1-$BQ124)</f>
        <v>0.01279011</v>
      </c>
      <c r="BV124" s="27" cm="1">
        <f t="array" ref="BV124">SUM(_xlfn.XLOOKUP($R124:$AK124,增益!$A:$A,增益!$W:$W,0))+$I$5</f>
        <v>0.11</v>
      </c>
    </row>
    <row r="125" spans="11:74">
      <c r="K125" s="40">
        <f t="shared" si="11"/>
        <v>17358.7000466796</v>
      </c>
      <c r="L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蓄力技",$B$21,0))*(1+$BV125)</f>
        <v>17819.6444829674</v>
      </c>
      <c r="M125" s="40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蓄力技",$B$21,0))*(1+$BV125)</f>
        <v>15333.8919893219</v>
      </c>
      <c r="N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蓄力技",$B$21,0))*(1+$BV125)</f>
        <v>10241.1749902111</v>
      </c>
      <c r="O125" s="40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蓄力技",$B$21,0))*(1+$BV125)</f>
        <v>9123.91146981345</v>
      </c>
      <c r="P125" s="41">
        <f t="shared" si="22"/>
        <v>1</v>
      </c>
      <c r="Q125" s="42" t="s">
        <v>194</v>
      </c>
      <c r="R125" s="42" t="s">
        <v>103</v>
      </c>
      <c r="S125" s="42" t="s">
        <v>169</v>
      </c>
      <c r="T125" s="42" t="s">
        <v>86</v>
      </c>
      <c r="U125" s="42" t="s">
        <v>87</v>
      </c>
      <c r="V125" s="42" t="s">
        <v>77</v>
      </c>
      <c r="W125" s="42" t="s">
        <v>77</v>
      </c>
      <c r="X125" s="42" t="s">
        <v>176</v>
      </c>
      <c r="Y125" s="42" t="s">
        <v>77</v>
      </c>
      <c r="Z125" s="42" t="s">
        <v>77</v>
      </c>
      <c r="AA125" s="42" t="s">
        <v>77</v>
      </c>
      <c r="AB125" s="42" t="s">
        <v>77</v>
      </c>
      <c r="AC125" s="42" t="s">
        <v>77</v>
      </c>
      <c r="AD125" s="42" t="s">
        <v>77</v>
      </c>
      <c r="AE125" s="42" t="s">
        <v>81</v>
      </c>
      <c r="AF125" s="42" t="s">
        <v>82</v>
      </c>
      <c r="AG125" s="42" t="s">
        <v>77</v>
      </c>
      <c r="AH125" s="42" t="s">
        <v>77</v>
      </c>
      <c r="AI125" s="42" t="s">
        <v>77</v>
      </c>
      <c r="AJ125" s="42" t="s">
        <v>77</v>
      </c>
      <c r="AK125" s="42" t="s">
        <v>77</v>
      </c>
      <c r="AL125" t="str">
        <f>VLOOKUP($Q125,武学奇术!$A:$ZZ,25,FALSE)</f>
        <v>心法</v>
      </c>
      <c r="AM125" s="27">
        <f>VLOOKUP($Q125,武学奇术!$A:$ZZ,26,FALSE)</f>
        <v>1</v>
      </c>
      <c r="AN125" s="28">
        <f>VLOOKUP($Q125,武学奇术!$A:$ZZ,27,FALSE)*(1+IF(OR($AL125=$F$4,$AL125=$F$5),$B$22,0))</f>
        <v>0</v>
      </c>
      <c r="AO125" s="27">
        <f>VLOOKUP($Q125,武学奇术!$A:$ZZ,28,FALSE)</f>
        <v>1</v>
      </c>
      <c r="AP125" s="28">
        <f>VLOOKUP($Q125,武学奇术!$A:$ZZ,29,FALSE)*(1+IF(OR($AL125=$F$4,$AL125=$F$5),$B$22,0))</f>
        <v>0</v>
      </c>
      <c r="AQ125" s="27" cm="1">
        <f t="array" ref="AQ125">$G$3+IFERROR(VLOOKUP($AL125,$F$4:$G$7,2,FALSE),0)+VLOOKUP($Q125,武学奇术!$A:$ZZ,2,FALSE)+SUM(_xlfn.XLOOKUP($R125:$AK125,增益!$A:$A,增益!$B:$B,0))</f>
        <v>0.4837</v>
      </c>
      <c r="AR125" s="27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3574.7</v>
      </c>
      <c r="AT125" cm="1">
        <f t="array" ref="AT125">$E$10*(1+$AR125)+VLOOKUP($Q125,武学奇术!$A:$ZZ,4,FALSE)+SUM(_xlfn.XLOOKUP($R125:$AK125,增益!$A:$A,增益!$D:$D,0))-$I$2</f>
        <v>3574.7</v>
      </c>
      <c r="AU125" s="34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0.327</v>
      </c>
      <c r="AV125" s="34" cm="1">
        <f t="array" ref="AV125">$G$10+VLOOKUP($Q125,武学奇术!$A:$ZZ,7,FALSE)+SUM(_xlfn.XLOOKUP($R125:$AK125,增益!$A:$A,增益!$G:$G,0))</f>
        <v>0</v>
      </c>
      <c r="AW125" s="27" cm="1">
        <f t="array" ref="AW125">VLOOKUP($Q125,武学奇术!$A:$ZZ,8,FALSE)+SUM(_xlfn.XLOOKUP($R125:$AK125,增益!$A:$A,增益!$H:$H,0))</f>
        <v>0</v>
      </c>
      <c r="AX125">
        <f t="shared" si="12"/>
        <v>0</v>
      </c>
      <c r="AY125">
        <f t="shared" si="13"/>
        <v>0</v>
      </c>
      <c r="AZ125" s="34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-0.14</v>
      </c>
      <c r="BA125" s="34" cm="1">
        <f t="array" ref="BA125">$G$11+VLOOKUP($Q125,武学奇术!$A:$ZZ,10,FALSE)+SUM(_xlfn.XLOOKUP($R125:$AK125,增益!$A:$A,增益!$J:$J,0))</f>
        <v>0</v>
      </c>
      <c r="BB125">
        <f t="shared" si="14"/>
        <v>591.9</v>
      </c>
      <c r="BC125">
        <f t="shared" si="15"/>
        <v>1600.3</v>
      </c>
      <c r="BD125" s="34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0.17</v>
      </c>
      <c r="BE125" s="34" cm="1">
        <f t="array" ref="BE125">$G$12+VLOOKUP($Q125,武学奇术!$A:$ZZ,12,FALSE)+SUM(_xlfn.XLOOKUP($R125:$AK125,增益!$A:$A,增益!$L:$L,0))</f>
        <v>0.15</v>
      </c>
      <c r="BF125">
        <f t="shared" si="16"/>
        <v>0</v>
      </c>
      <c r="BG125">
        <f t="shared" si="17"/>
        <v>0</v>
      </c>
      <c r="BH125" s="34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-0.14</v>
      </c>
      <c r="BI125" s="34" cm="1">
        <f t="array" ref="BI125">$G$13+VLOOKUP($Q125,武学奇术!$A:$ZZ,14,FALSE)+SUM(_xlfn.XLOOKUP($R125:$AK125,增益!$A:$A,增益!$N:$N,0))</f>
        <v>0</v>
      </c>
      <c r="BJ125">
        <f t="shared" si="18"/>
        <v>0</v>
      </c>
      <c r="BK125">
        <f t="shared" si="19"/>
        <v>0</v>
      </c>
      <c r="BL125" s="34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-0.14</v>
      </c>
      <c r="BM125" s="34" cm="1">
        <f t="array" ref="BM125">$G$14+VLOOKUP($Q125,武学奇术!$A:$ZZ,16,FALSE)+SUM(_xlfn.XLOOKUP($R125:$AK125,增益!$A:$A,增益!$P:$P,0))</f>
        <v>0</v>
      </c>
      <c r="BN125" s="27">
        <f>MIN(IF(VLOOKUP($Q125,武学奇术!$A:$ZZ,23,FALSE)=1,100%,$B$8),100%)</f>
        <v>0.9859</v>
      </c>
      <c r="BO125" s="27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0.8912</v>
      </c>
      <c r="BP125" s="27" cm="1">
        <f t="array" ref="BP125">1+$B$13+VLOOKUP($Q125,武学奇术!$A:$ZZ,18,FALSE)+SUM(_xlfn.XLOOKUP($R125:$AK125,增益!$A:$A,增益!$R:$R,0))</f>
        <v>1.74</v>
      </c>
      <c r="BQ125" s="27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7" cm="1">
        <f t="array" ref="BR125">1+$B$14+VLOOKUP($Q125,武学奇术!$A:$ZZ,20,FALSE)+SUM(_xlfn.XLOOKUP($R125:$AK125,增益!$A:$A,增益!$T:$T,0))</f>
        <v>1.35</v>
      </c>
      <c r="BS125" s="27">
        <f t="shared" si="20"/>
        <v>0.87863408</v>
      </c>
      <c r="BT125" s="27">
        <f t="shared" si="21"/>
        <v>0.01567581</v>
      </c>
      <c r="BU125" s="27">
        <f>IF(VLOOKUP($Q125,武学奇术!$A:$ZZ,22,FALSE)=1,0,(1-$BN125))*(1-$BQ125)</f>
        <v>0.01279011</v>
      </c>
      <c r="BV125" s="27" cm="1">
        <f t="array" ref="BV125">SUM(_xlfn.XLOOKUP($R125:$AK125,增益!$A:$A,增益!$W:$W,0))+$I$5</f>
        <v>0.11</v>
      </c>
    </row>
    <row r="126" spans="11:74">
      <c r="K126" s="40">
        <f t="shared" si="11"/>
        <v>14769.5488372691</v>
      </c>
      <c r="L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蓄力技",$B$21,0))*(1+$BV126)</f>
        <v>15167.5701177444</v>
      </c>
      <c r="M126" s="40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蓄力技",$B$21,0))*(1+$BV126)</f>
        <v>12983.7012624121</v>
      </c>
      <c r="N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蓄力技",$B$21,0))*(1+$BV126)</f>
        <v>8716.99432054275</v>
      </c>
      <c r="O126" s="40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蓄力技",$B$21,0))*(1+$BV126)</f>
        <v>7816.43215040985</v>
      </c>
      <c r="P126" s="41">
        <f t="shared" si="22"/>
        <v>1</v>
      </c>
      <c r="Q126" s="42" t="s">
        <v>194</v>
      </c>
      <c r="R126" s="42" t="s">
        <v>103</v>
      </c>
      <c r="S126" s="42" t="s">
        <v>77</v>
      </c>
      <c r="T126" s="42" t="s">
        <v>77</v>
      </c>
      <c r="U126" s="42" t="s">
        <v>87</v>
      </c>
      <c r="V126" s="42" t="s">
        <v>77</v>
      </c>
      <c r="W126" s="42" t="s">
        <v>77</v>
      </c>
      <c r="X126" s="42" t="s">
        <v>176</v>
      </c>
      <c r="Y126" s="42" t="s">
        <v>77</v>
      </c>
      <c r="Z126" s="42" t="s">
        <v>77</v>
      </c>
      <c r="AA126" s="42" t="s">
        <v>77</v>
      </c>
      <c r="AB126" s="42" t="s">
        <v>77</v>
      </c>
      <c r="AC126" s="42" t="s">
        <v>77</v>
      </c>
      <c r="AD126" s="42" t="s">
        <v>77</v>
      </c>
      <c r="AE126" s="42" t="s">
        <v>81</v>
      </c>
      <c r="AF126" s="42" t="s">
        <v>82</v>
      </c>
      <c r="AG126" s="42" t="s">
        <v>77</v>
      </c>
      <c r="AH126" s="42" t="s">
        <v>77</v>
      </c>
      <c r="AI126" s="42" t="s">
        <v>77</v>
      </c>
      <c r="AJ126" s="42" t="s">
        <v>77</v>
      </c>
      <c r="AK126" s="42" t="s">
        <v>77</v>
      </c>
      <c r="AL126" t="str">
        <f>VLOOKUP($Q126,武学奇术!$A:$ZZ,25,FALSE)</f>
        <v>心法</v>
      </c>
      <c r="AM126" s="27">
        <f>VLOOKUP($Q126,武学奇术!$A:$ZZ,26,FALSE)</f>
        <v>1</v>
      </c>
      <c r="AN126" s="28">
        <f>VLOOKUP($Q126,武学奇术!$A:$ZZ,27,FALSE)*(1+IF(OR($AL126=$F$4,$AL126=$F$5),$B$22,0))</f>
        <v>0</v>
      </c>
      <c r="AO126" s="27">
        <f>VLOOKUP($Q126,武学奇术!$A:$ZZ,28,FALSE)</f>
        <v>1</v>
      </c>
      <c r="AP126" s="28">
        <f>VLOOKUP($Q126,武学奇术!$A:$ZZ,29,FALSE)*(1+IF(OR($AL126=$F$4,$AL126=$F$5),$B$22,0))</f>
        <v>0</v>
      </c>
      <c r="AQ126" s="27" cm="1">
        <f t="array" ref="AQ126">$G$3+IFERROR(VLOOKUP($AL126,$F$4:$G$7,2,FALSE),0)+VLOOKUP($Q126,武学奇术!$A:$ZZ,2,FALSE)+SUM(_xlfn.XLOOKUP($R126:$AK126,增益!$A:$A,增益!$B:$B,0))</f>
        <v>0.2837</v>
      </c>
      <c r="AR126" s="27" cm="1">
        <f t="array" ref="AR126">VLOOKUP($Q126,武学奇术!$A:$ZZ,5,FALSE)+SUM(_xlfn.XLOOKUP($R126:$AK126,增益!$A:$A,增益!$E:$E,0))</f>
        <v>0</v>
      </c>
      <c r="AS126" cm="1">
        <f t="array" ref="AS126">$D$10*(1+$AR126)+VLOOKUP($Q126,武学奇术!$A:$ZZ,3,FALSE)+SUM(_xlfn.XLOOKUP($R126:$AK126,增益!$A:$A,增益!$C:$C,0))-$I$2</f>
        <v>3574.7</v>
      </c>
      <c r="AT126" cm="1">
        <f t="array" ref="AT126">$E$10*(1+$AR126)+VLOOKUP($Q126,武学奇术!$A:$ZZ,4,FALSE)+SUM(_xlfn.XLOOKUP($R126:$AK126,增益!$A:$A,增益!$D:$D,0))-$I$2</f>
        <v>3574.7</v>
      </c>
      <c r="AU126" s="34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0.327</v>
      </c>
      <c r="AV126" s="34" cm="1">
        <f t="array" ref="AV126">$G$10+VLOOKUP($Q126,武学奇术!$A:$ZZ,7,FALSE)+SUM(_xlfn.XLOOKUP($R126:$AK126,增益!$A:$A,增益!$G:$G,0))</f>
        <v>0</v>
      </c>
      <c r="AW126" s="27" cm="1">
        <f t="array" ref="AW126">VLOOKUP($Q126,武学奇术!$A:$ZZ,8,FALSE)+SUM(_xlfn.XLOOKUP($R126:$AK126,增益!$A:$A,增益!$H:$H,0))</f>
        <v>0</v>
      </c>
      <c r="AX126">
        <f t="shared" si="12"/>
        <v>0</v>
      </c>
      <c r="AY126">
        <f t="shared" si="13"/>
        <v>0</v>
      </c>
      <c r="AZ126" s="34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4" cm="1">
        <f t="array" ref="BA126">$G$11+VLOOKUP($Q126,武学奇术!$A:$ZZ,10,FALSE)+SUM(_xlfn.XLOOKUP($R126:$AK126,增益!$A:$A,增益!$J:$J,0))</f>
        <v>0</v>
      </c>
      <c r="BB126">
        <f t="shared" si="14"/>
        <v>591.9</v>
      </c>
      <c r="BC126">
        <f t="shared" si="15"/>
        <v>1600.3</v>
      </c>
      <c r="BD126" s="34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0.09</v>
      </c>
      <c r="BE126" s="34" cm="1">
        <f t="array" ref="BE126">$G$12+VLOOKUP($Q126,武学奇术!$A:$ZZ,12,FALSE)+SUM(_xlfn.XLOOKUP($R126:$AK126,增益!$A:$A,增益!$L:$L,0))</f>
        <v>0.15</v>
      </c>
      <c r="BF126">
        <f t="shared" si="16"/>
        <v>0</v>
      </c>
      <c r="BG126">
        <f t="shared" si="17"/>
        <v>0</v>
      </c>
      <c r="BH126" s="34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-0.3</v>
      </c>
      <c r="BI126" s="34" cm="1">
        <f t="array" ref="BI126">$G$13+VLOOKUP($Q126,武学奇术!$A:$ZZ,14,FALSE)+SUM(_xlfn.XLOOKUP($R126:$AK126,增益!$A:$A,增益!$N:$N,0))</f>
        <v>0</v>
      </c>
      <c r="BJ126">
        <f t="shared" si="18"/>
        <v>0</v>
      </c>
      <c r="BK126">
        <f t="shared" si="19"/>
        <v>0</v>
      </c>
      <c r="BL126" s="34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4" cm="1">
        <f t="array" ref="BM126">$G$14+VLOOKUP($Q126,武学奇术!$A:$ZZ,16,FALSE)+SUM(_xlfn.XLOOKUP($R126:$AK126,增益!$A:$A,增益!$P:$P,0))</f>
        <v>0</v>
      </c>
      <c r="BN126" s="27">
        <f>MIN(IF(VLOOKUP($Q126,武学奇术!$A:$ZZ,23,FALSE)=1,100%,$B$8),100%)</f>
        <v>0.9859</v>
      </c>
      <c r="BO126" s="27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0.8912</v>
      </c>
      <c r="BP126" s="27" cm="1">
        <f t="array" ref="BP126">1+$B$13+VLOOKUP($Q126,武学奇术!$A:$ZZ,18,FALSE)+SUM(_xlfn.XLOOKUP($R126:$AK126,增益!$A:$A,增益!$R:$R,0))</f>
        <v>1.74</v>
      </c>
      <c r="BQ126" s="27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7" cm="1">
        <f t="array" ref="BR126">1+$B$14+VLOOKUP($Q126,武学奇术!$A:$ZZ,20,FALSE)+SUM(_xlfn.XLOOKUP($R126:$AK126,增益!$A:$A,增益!$T:$T,0))</f>
        <v>1.35</v>
      </c>
      <c r="BS126" s="27">
        <f t="shared" si="20"/>
        <v>0.87863408</v>
      </c>
      <c r="BT126" s="27">
        <f t="shared" si="21"/>
        <v>0.01567581</v>
      </c>
      <c r="BU126" s="27">
        <f>IF(VLOOKUP($Q126,武学奇术!$A:$ZZ,22,FALSE)=1,0,(1-$BN126))*(1-$BQ126)</f>
        <v>0.01279011</v>
      </c>
      <c r="BV126" s="27" cm="1">
        <f t="array" ref="BV126">SUM(_xlfn.XLOOKUP($R126:$AK126,增益!$A:$A,增益!$W:$W,0))+$I$5</f>
        <v>0.11</v>
      </c>
    </row>
    <row r="127" spans="11:74">
      <c r="K127" s="40">
        <f t="shared" si="11"/>
        <v>18922.5468977318</v>
      </c>
      <c r="L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蓄力技",$B$21,0))*(1+$BV127)</f>
        <v>19425.0178598113</v>
      </c>
      <c r="M127" s="40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蓄力技",$B$21,0))*(1+$BV127)</f>
        <v>16715.3237000717</v>
      </c>
      <c r="N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蓄力技",$B$21,0))*(1+$BV127)</f>
        <v>11163.8033677076</v>
      </c>
      <c r="O127" s="40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蓄力技",$B$21,0))*(1+$BV127)</f>
        <v>9945.88547610295</v>
      </c>
      <c r="P127" s="41">
        <f t="shared" si="22"/>
        <v>1</v>
      </c>
      <c r="Q127" s="42" t="s">
        <v>194</v>
      </c>
      <c r="R127" s="42" t="s">
        <v>103</v>
      </c>
      <c r="S127" s="42" t="s">
        <v>169</v>
      </c>
      <c r="T127" s="42" t="s">
        <v>86</v>
      </c>
      <c r="U127" s="42" t="s">
        <v>87</v>
      </c>
      <c r="V127" s="42" t="s">
        <v>77</v>
      </c>
      <c r="W127" s="42" t="s">
        <v>77</v>
      </c>
      <c r="X127" s="42" t="s">
        <v>176</v>
      </c>
      <c r="Y127" s="42" t="s">
        <v>186</v>
      </c>
      <c r="Z127" s="42" t="s">
        <v>77</v>
      </c>
      <c r="AA127" s="42" t="s">
        <v>77</v>
      </c>
      <c r="AB127" s="42" t="s">
        <v>77</v>
      </c>
      <c r="AC127" s="42" t="s">
        <v>77</v>
      </c>
      <c r="AD127" s="42" t="s">
        <v>77</v>
      </c>
      <c r="AE127" s="42" t="s">
        <v>81</v>
      </c>
      <c r="AF127" s="42" t="s">
        <v>82</v>
      </c>
      <c r="AG127" s="42" t="s">
        <v>77</v>
      </c>
      <c r="AH127" s="42" t="s">
        <v>77</v>
      </c>
      <c r="AI127" s="42" t="s">
        <v>77</v>
      </c>
      <c r="AJ127" s="42" t="s">
        <v>77</v>
      </c>
      <c r="AK127" s="42" t="s">
        <v>77</v>
      </c>
      <c r="AL127" t="str">
        <f>VLOOKUP($Q127,武学奇术!$A:$ZZ,25,FALSE)</f>
        <v>心法</v>
      </c>
      <c r="AM127" s="27">
        <f>VLOOKUP($Q127,武学奇术!$A:$ZZ,26,FALSE)</f>
        <v>1</v>
      </c>
      <c r="AN127" s="28">
        <f>VLOOKUP($Q127,武学奇术!$A:$ZZ,27,FALSE)*(1+IF(OR($AL127=$F$4,$AL127=$F$5),$B$22,0))</f>
        <v>0</v>
      </c>
      <c r="AO127" s="27">
        <f>VLOOKUP($Q127,武学奇术!$A:$ZZ,28,FALSE)</f>
        <v>1</v>
      </c>
      <c r="AP127" s="28">
        <f>VLOOKUP($Q127,武学奇术!$A:$ZZ,29,FALSE)*(1+IF(OR($AL127=$F$4,$AL127=$F$5),$B$22,0))</f>
        <v>0</v>
      </c>
      <c r="AQ127" s="27" cm="1">
        <f t="array" ref="AQ127">$G$3+IFERROR(VLOOKUP($AL127,$F$4:$G$7,2,FALSE),0)+VLOOKUP($Q127,武学奇术!$A:$ZZ,2,FALSE)+SUM(_xlfn.XLOOKUP($R127:$AK127,增益!$A:$A,增益!$B:$B,0))</f>
        <v>0.4837</v>
      </c>
      <c r="AR127" s="27" cm="1">
        <f t="array" ref="AR127">VLOOKUP($Q127,武学奇术!$A:$ZZ,5,FALSE)+SUM(_xlfn.XLOOKUP($R127:$AK127,增益!$A:$A,增益!$E:$E,0))</f>
        <v>0</v>
      </c>
      <c r="AS127" cm="1">
        <f t="array" ref="AS127">$D$10*(1+$AR127)+VLOOKUP($Q127,武学奇术!$A:$ZZ,3,FALSE)+SUM(_xlfn.XLOOKUP($R127:$AK127,增益!$A:$A,增益!$C:$C,0))-$I$2</f>
        <v>3574.7</v>
      </c>
      <c r="AT127" cm="1">
        <f t="array" ref="AT127">$E$10*(1+$AR127)+VLOOKUP($Q127,武学奇术!$A:$ZZ,4,FALSE)+SUM(_xlfn.XLOOKUP($R127:$AK127,增益!$A:$A,增益!$D:$D,0))-$I$2</f>
        <v>3574.7</v>
      </c>
      <c r="AU127" s="34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0.327</v>
      </c>
      <c r="AV127" s="34" cm="1">
        <f t="array" ref="AV127">$G$10+VLOOKUP($Q127,武学奇术!$A:$ZZ,7,FALSE)+SUM(_xlfn.XLOOKUP($R127:$AK127,增益!$A:$A,增益!$G:$G,0))</f>
        <v>0</v>
      </c>
      <c r="AW127" s="27" cm="1">
        <f t="array" ref="AW127">VLOOKUP($Q127,武学奇术!$A:$ZZ,8,FALSE)+SUM(_xlfn.XLOOKUP($R127:$AK127,增益!$A:$A,增益!$H:$H,0))</f>
        <v>0</v>
      </c>
      <c r="AX127">
        <f t="shared" si="12"/>
        <v>0</v>
      </c>
      <c r="AY127">
        <f t="shared" si="13"/>
        <v>0</v>
      </c>
      <c r="AZ127" s="34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-0.14</v>
      </c>
      <c r="BA127" s="34" cm="1">
        <f t="array" ref="BA127">$G$11+VLOOKUP($Q127,武学奇术!$A:$ZZ,10,FALSE)+SUM(_xlfn.XLOOKUP($R127:$AK127,增益!$A:$A,增益!$J:$J,0))</f>
        <v>0</v>
      </c>
      <c r="BB127">
        <f t="shared" si="14"/>
        <v>591.9</v>
      </c>
      <c r="BC127">
        <f t="shared" si="15"/>
        <v>1600.3</v>
      </c>
      <c r="BD127" s="34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0.17</v>
      </c>
      <c r="BE127" s="34" cm="1">
        <f t="array" ref="BE127">$G$12+VLOOKUP($Q127,武学奇术!$A:$ZZ,12,FALSE)+SUM(_xlfn.XLOOKUP($R127:$AK127,增益!$A:$A,增益!$L:$L,0))</f>
        <v>0.15</v>
      </c>
      <c r="BF127">
        <f t="shared" si="16"/>
        <v>0</v>
      </c>
      <c r="BG127">
        <f t="shared" si="17"/>
        <v>0</v>
      </c>
      <c r="BH127" s="34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-0.14</v>
      </c>
      <c r="BI127" s="34" cm="1">
        <f t="array" ref="BI127">$G$13+VLOOKUP($Q127,武学奇术!$A:$ZZ,14,FALSE)+SUM(_xlfn.XLOOKUP($R127:$AK127,增益!$A:$A,增益!$N:$N,0))</f>
        <v>0</v>
      </c>
      <c r="BJ127">
        <f t="shared" si="18"/>
        <v>0</v>
      </c>
      <c r="BK127">
        <f t="shared" si="19"/>
        <v>0</v>
      </c>
      <c r="BL127" s="34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-0.14</v>
      </c>
      <c r="BM127" s="34" cm="1">
        <f t="array" ref="BM127">$G$14+VLOOKUP($Q127,武学奇术!$A:$ZZ,16,FALSE)+SUM(_xlfn.XLOOKUP($R127:$AK127,增益!$A:$A,增益!$P:$P,0))</f>
        <v>0</v>
      </c>
      <c r="BN127" s="27">
        <f>MIN(IF(VLOOKUP($Q127,武学奇术!$A:$ZZ,23,FALSE)=1,100%,$B$8),100%)</f>
        <v>0.9859</v>
      </c>
      <c r="BO127" s="27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0.8912</v>
      </c>
      <c r="BP127" s="27" cm="1">
        <f t="array" ref="BP127">1+$B$13+VLOOKUP($Q127,武学奇术!$A:$ZZ,18,FALSE)+SUM(_xlfn.XLOOKUP($R127:$AK127,增益!$A:$A,增益!$R:$R,0))</f>
        <v>1.74</v>
      </c>
      <c r="BQ127" s="27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7" cm="1">
        <f t="array" ref="BR127">1+$B$14+VLOOKUP($Q127,武学奇术!$A:$ZZ,20,FALSE)+SUM(_xlfn.XLOOKUP($R127:$AK127,增益!$A:$A,增益!$T:$T,0))</f>
        <v>1.35</v>
      </c>
      <c r="BS127" s="27">
        <f t="shared" si="20"/>
        <v>0.87863408</v>
      </c>
      <c r="BT127" s="27">
        <f t="shared" si="21"/>
        <v>0.01567581</v>
      </c>
      <c r="BU127" s="27">
        <f>IF(VLOOKUP($Q127,武学奇术!$A:$ZZ,22,FALSE)=1,0,(1-$BN127))*(1-$BQ127)</f>
        <v>0.01279011</v>
      </c>
      <c r="BV127" s="27" cm="1">
        <f t="array" ref="BV127">SUM(_xlfn.XLOOKUP($R127:$AK127,增益!$A:$A,增益!$W:$W,0))+$I$5</f>
        <v>0.21</v>
      </c>
    </row>
  </sheetData>
  <mergeCells count="16">
    <mergeCell ref="H1:I1"/>
    <mergeCell ref="C8:G8"/>
    <mergeCell ref="C15:D15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Q2:Q127">
      <formula1>武学奇术!$A:$A</formula1>
    </dataValidation>
    <dataValidation type="list" allowBlank="1" showInputMessage="1" showErrorMessage="1" sqref="R2:AK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8"/>
  <sheetViews>
    <sheetView workbookViewId="0">
      <selection activeCell="H36" sqref="H36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0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7" t="s">
        <v>111</v>
      </c>
      <c r="R1" t="s">
        <v>202</v>
      </c>
      <c r="S1" t="s">
        <v>115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34</v>
      </c>
      <c r="Z1" s="27" t="s">
        <v>35</v>
      </c>
      <c r="AA1" s="28" t="s">
        <v>36</v>
      </c>
      <c r="AB1" s="27" t="s">
        <v>37</v>
      </c>
      <c r="AC1" s="28" t="s">
        <v>38</v>
      </c>
      <c r="AD1" t="s">
        <v>208</v>
      </c>
    </row>
    <row r="2" spans="1:30">
      <c r="A2" t="s">
        <v>110</v>
      </c>
      <c r="R2" s="29">
        <v>0.21</v>
      </c>
      <c r="Y2" s="30" t="s">
        <v>97</v>
      </c>
      <c r="Z2" s="30">
        <v>1.4</v>
      </c>
      <c r="AA2" s="31"/>
      <c r="AB2" s="30">
        <v>2.1</v>
      </c>
    </row>
    <row r="3" spans="1:30">
      <c r="A3" t="s">
        <v>180</v>
      </c>
      <c r="B3" s="29">
        <v>0.1</v>
      </c>
      <c r="R3" s="29">
        <v>0.21</v>
      </c>
      <c r="Y3" s="30" t="s">
        <v>97</v>
      </c>
      <c r="Z3" s="30">
        <v>2.8245</v>
      </c>
      <c r="AA3" s="31">
        <f>575*1.36</f>
        <v>782</v>
      </c>
      <c r="AB3" s="30">
        <f>311.53%*1.36</f>
        <v>4.236808</v>
      </c>
      <c r="AC3" s="28">
        <v>425</v>
      </c>
    </row>
    <row r="4" customFormat="1" spans="1:30">
      <c r="A4" t="s">
        <v>209</v>
      </c>
      <c r="B4" s="29">
        <v>0.1</v>
      </c>
      <c r="Q4" s="27"/>
      <c r="R4" s="29">
        <v>0.21</v>
      </c>
      <c r="Y4" s="30" t="s">
        <v>97</v>
      </c>
      <c r="Z4" s="30">
        <v>3.6553</v>
      </c>
      <c r="AA4" s="31">
        <v>1012</v>
      </c>
      <c r="AB4" s="30">
        <v>5.4829</v>
      </c>
      <c r="AC4" s="28">
        <v>550</v>
      </c>
    </row>
    <row r="5" spans="1:30">
      <c r="A5" t="s">
        <v>182</v>
      </c>
      <c r="R5" s="29">
        <v>0.21</v>
      </c>
      <c r="Y5" s="30" t="s">
        <v>97</v>
      </c>
      <c r="Z5" s="27">
        <f>146.97%+97.98%</f>
        <v>2.4495</v>
      </c>
      <c r="AA5" s="28">
        <f>406+271</f>
        <v>677</v>
      </c>
      <c r="AB5" s="27">
        <f>220.46%+146.97%</f>
        <v>3.6743</v>
      </c>
      <c r="AC5" s="28">
        <f>221+147</f>
        <v>368</v>
      </c>
    </row>
    <row r="6" spans="1:30">
      <c r="A6" t="s">
        <v>164</v>
      </c>
      <c r="R6" s="29">
        <v>0.21</v>
      </c>
      <c r="Y6" s="30" t="s">
        <v>97</v>
      </c>
      <c r="Z6" s="27">
        <f>37.8%+151.19%+188.98%</f>
        <v>3.7797</v>
      </c>
      <c r="AA6" s="28">
        <f>104+418+523</f>
        <v>1045</v>
      </c>
      <c r="AB6" s="27">
        <f>56.7%+226.78%+283.48%</f>
        <v>5.6696</v>
      </c>
      <c r="AC6" s="28">
        <f>57+228+285</f>
        <v>570</v>
      </c>
    </row>
    <row r="7" spans="1:30">
      <c r="A7" t="s">
        <v>162</v>
      </c>
      <c r="R7" s="29">
        <v>0.21</v>
      </c>
      <c r="Y7" s="30" t="s">
        <v>97</v>
      </c>
      <c r="Z7" s="27">
        <v>1.2338</v>
      </c>
      <c r="AA7" s="28">
        <v>342</v>
      </c>
      <c r="AB7" s="27">
        <v>1.8507</v>
      </c>
      <c r="AC7" s="28">
        <v>186</v>
      </c>
    </row>
    <row r="8" spans="1:30">
      <c r="A8" t="s">
        <v>106</v>
      </c>
      <c r="R8" s="29">
        <v>0.21</v>
      </c>
      <c r="Y8" s="30" t="s">
        <v>97</v>
      </c>
      <c r="Z8" s="27">
        <v>2.1324</v>
      </c>
      <c r="AA8" s="28">
        <v>590</v>
      </c>
      <c r="AB8" s="27">
        <v>3.1986</v>
      </c>
      <c r="AC8" s="28">
        <v>322</v>
      </c>
    </row>
    <row r="9" spans="1:30">
      <c r="A9" t="s">
        <v>179</v>
      </c>
      <c r="R9" s="29">
        <v>0.21</v>
      </c>
      <c r="Y9" s="30" t="s">
        <v>97</v>
      </c>
      <c r="Z9" s="27">
        <v>0.6486</v>
      </c>
      <c r="AA9" s="28">
        <v>180</v>
      </c>
      <c r="AB9" s="27">
        <v>0.9729</v>
      </c>
      <c r="AC9" s="28">
        <v>98</v>
      </c>
    </row>
    <row r="10" spans="1:30">
      <c r="A10" t="s">
        <v>120</v>
      </c>
      <c r="Q10" s="27">
        <f>IF(期望!$F$18&lt;75%,15%,0)</f>
        <v>0</v>
      </c>
      <c r="R10" s="29">
        <v>0.21</v>
      </c>
      <c r="W10">
        <f>IF(期望!$F$18&gt;=75%,1,0)</f>
        <v>1</v>
      </c>
      <c r="Y10" t="s">
        <v>91</v>
      </c>
      <c r="Z10" s="27">
        <f>227.02%+529.72%</f>
        <v>7.5674</v>
      </c>
      <c r="AA10" s="28">
        <f>628+1465</f>
        <v>2093</v>
      </c>
      <c r="AB10" s="27">
        <f>340.54%+794.58%</f>
        <v>11.3512</v>
      </c>
      <c r="AC10" s="28">
        <f>342+798</f>
        <v>1140</v>
      </c>
      <c r="AD10" t="s">
        <v>210</v>
      </c>
    </row>
    <row r="11" customFormat="1" spans="1:30">
      <c r="A11" t="s">
        <v>211</v>
      </c>
      <c r="Q11" s="27">
        <f>IF(期望!$F$18&lt;75%,15%,0)</f>
        <v>0</v>
      </c>
      <c r="R11" s="29">
        <v>0.21</v>
      </c>
      <c r="Y11" t="s">
        <v>91</v>
      </c>
      <c r="Z11" s="27">
        <f>227.02%+529.72%</f>
        <v>7.5674</v>
      </c>
      <c r="AA11" s="28">
        <f>628+1465</f>
        <v>2093</v>
      </c>
      <c r="AB11" s="27">
        <f>340.54%+794.58%</f>
        <v>11.3512</v>
      </c>
      <c r="AC11" s="28">
        <f>342+798</f>
        <v>1140</v>
      </c>
      <c r="AD11" t="s">
        <v>210</v>
      </c>
    </row>
    <row r="12" spans="1:30">
      <c r="A12" t="s">
        <v>125</v>
      </c>
      <c r="Q12" s="27">
        <f>IF(期望!$F$18&lt;75%,15%,0)</f>
        <v>0</v>
      </c>
      <c r="R12" s="29">
        <v>0.21</v>
      </c>
      <c r="W12">
        <f>IF(期望!$F$18&gt;=75%,1,0)</f>
        <v>1</v>
      </c>
      <c r="Y12" t="s">
        <v>91</v>
      </c>
      <c r="Z12" s="30">
        <v>0.5</v>
      </c>
      <c r="AA12" s="31"/>
      <c r="AB12" s="30">
        <v>0.75</v>
      </c>
      <c r="AD12" t="s">
        <v>210</v>
      </c>
    </row>
    <row r="13" spans="1:30">
      <c r="A13" t="s">
        <v>117</v>
      </c>
      <c r="Q13" s="27">
        <f>IF(期望!$F$18&lt;75%,15%,0)</f>
        <v>0</v>
      </c>
      <c r="R13" s="29">
        <v>0.21</v>
      </c>
      <c r="W13">
        <f>IF(期望!$F$18&gt;=75%,1,0)</f>
        <v>1</v>
      </c>
      <c r="Y13" t="s">
        <v>91</v>
      </c>
      <c r="Z13" s="30">
        <v>0.9</v>
      </c>
      <c r="AA13" s="31"/>
      <c r="AB13" s="30">
        <v>1.35</v>
      </c>
      <c r="AD13" t="s">
        <v>210</v>
      </c>
    </row>
    <row r="14" customFormat="1" spans="1:30">
      <c r="A14" t="s">
        <v>156</v>
      </c>
      <c r="Q14" s="27"/>
      <c r="R14" s="29">
        <v>0.21</v>
      </c>
      <c r="Y14" t="s">
        <v>91</v>
      </c>
      <c r="Z14" s="30">
        <f>171.99%+401.31%</f>
        <v>5.733</v>
      </c>
      <c r="AA14" s="31">
        <f>475+1110</f>
        <v>1585</v>
      </c>
      <c r="AB14" s="30">
        <f>257.98%+601.96%</f>
        <v>8.5994</v>
      </c>
      <c r="AC14" s="28">
        <f>259+604</f>
        <v>863</v>
      </c>
      <c r="AD14" t="s">
        <v>210</v>
      </c>
    </row>
    <row r="15" customFormat="1" spans="1:30">
      <c r="A15" t="s">
        <v>112</v>
      </c>
      <c r="Q15" s="27"/>
      <c r="R15" s="29">
        <v>0.21</v>
      </c>
      <c r="Y15" t="s">
        <v>91</v>
      </c>
      <c r="Z15" s="30">
        <v>0.5</v>
      </c>
      <c r="AA15" s="31"/>
      <c r="AB15" s="30">
        <v>0.75</v>
      </c>
      <c r="AC15" s="28"/>
      <c r="AD15" t="s">
        <v>210</v>
      </c>
    </row>
    <row r="16" customFormat="1" spans="1:30">
      <c r="A16" t="s">
        <v>155</v>
      </c>
      <c r="Q16" s="27"/>
      <c r="R16" s="29">
        <v>0.21</v>
      </c>
      <c r="Y16" t="s">
        <v>91</v>
      </c>
      <c r="Z16" s="30">
        <v>0.9</v>
      </c>
      <c r="AA16" s="31"/>
      <c r="AB16" s="30">
        <v>1.35</v>
      </c>
      <c r="AC16" s="28"/>
      <c r="AD16" t="s">
        <v>210</v>
      </c>
    </row>
    <row r="17" customFormat="1" spans="1:31">
      <c r="A17" t="s">
        <v>212</v>
      </c>
      <c r="Q17" s="27"/>
      <c r="R17" s="29">
        <v>0.21</v>
      </c>
      <c r="W17">
        <f>IF(期望!$F$18&gt;=75%,1,0)</f>
        <v>1</v>
      </c>
      <c r="Y17" t="s">
        <v>91</v>
      </c>
      <c r="Z17" s="27">
        <f>39.72%+92.69%</f>
        <v>1.3241</v>
      </c>
      <c r="AA17" s="28">
        <f>110+256</f>
        <v>366</v>
      </c>
      <c r="AB17" s="27">
        <f>59.58%+139.03%</f>
        <v>1.9861</v>
      </c>
      <c r="AC17" s="28">
        <f>60+140</f>
        <v>200</v>
      </c>
      <c r="AD17" t="s">
        <v>210</v>
      </c>
    </row>
    <row r="18" spans="1:31">
      <c r="A18" t="s">
        <v>157</v>
      </c>
      <c r="R18" s="29">
        <v>0.21</v>
      </c>
      <c r="Y18" t="s">
        <v>91</v>
      </c>
      <c r="Z18" s="27">
        <v>1.8948</v>
      </c>
      <c r="AA18" s="28">
        <v>525</v>
      </c>
      <c r="AB18" s="27">
        <v>2.8422</v>
      </c>
      <c r="AC18" s="28">
        <v>286</v>
      </c>
    </row>
    <row r="19" spans="1:31">
      <c r="A19" t="s">
        <v>159</v>
      </c>
      <c r="R19" s="29">
        <v>0.21</v>
      </c>
      <c r="Y19" t="s">
        <v>91</v>
      </c>
      <c r="Z19" s="27">
        <v>1</v>
      </c>
      <c r="AB19" s="27">
        <v>1.5</v>
      </c>
    </row>
    <row r="20" customFormat="1" spans="1:31">
      <c r="A20" t="s">
        <v>213</v>
      </c>
      <c r="Q20" s="27"/>
      <c r="R20" s="29"/>
      <c r="Y20" t="s">
        <v>105</v>
      </c>
      <c r="Z20" s="27">
        <f>198.73%*2</f>
        <v>3.9746</v>
      </c>
      <c r="AA20" s="28">
        <f>504*2</f>
        <v>1008</v>
      </c>
      <c r="AB20" s="27">
        <f t="shared" ref="AB20:AB35" si="0">Z20*1.5</f>
        <v>5.9619</v>
      </c>
      <c r="AC20" s="28"/>
      <c r="AE20">
        <v>1</v>
      </c>
    </row>
    <row r="21" customFormat="1" spans="1:31">
      <c r="A21" t="s">
        <v>75</v>
      </c>
      <c r="Q21" s="27"/>
      <c r="R21" s="29"/>
      <c r="Y21" t="s">
        <v>105</v>
      </c>
      <c r="Z21" s="27">
        <f>74.52%*2</f>
        <v>1.4904</v>
      </c>
      <c r="AA21" s="28">
        <f>189*2</f>
        <v>378</v>
      </c>
      <c r="AB21" s="27">
        <f t="shared" si="0"/>
        <v>2.2356</v>
      </c>
      <c r="AC21" s="28"/>
      <c r="AE21">
        <v>1</v>
      </c>
    </row>
    <row r="22" customFormat="1" spans="1:31">
      <c r="A22" t="s">
        <v>193</v>
      </c>
      <c r="B22" s="29"/>
      <c r="E22" s="29"/>
      <c r="G22" s="29"/>
      <c r="N22" s="29"/>
      <c r="R22" s="29"/>
      <c r="Y22" t="s">
        <v>105</v>
      </c>
      <c r="Z22" s="27">
        <f>254.71%*2.7*1.5</f>
        <v>10.315755</v>
      </c>
      <c r="AA22" s="28">
        <f>492*2.7*1.5</f>
        <v>1992.6</v>
      </c>
      <c r="AB22" s="27">
        <f t="shared" si="0"/>
        <v>15.4736325</v>
      </c>
      <c r="AC22" s="28"/>
      <c r="AE22">
        <v>1</v>
      </c>
    </row>
    <row r="23" customFormat="1" spans="1:31">
      <c r="A23" t="s">
        <v>149</v>
      </c>
      <c r="B23" s="29"/>
      <c r="Q23" s="27"/>
      <c r="R23" s="29"/>
      <c r="Y23" t="s">
        <v>102</v>
      </c>
      <c r="Z23" s="27">
        <f>319.88%+390.96%</f>
        <v>7.1084</v>
      </c>
      <c r="AA23" s="28">
        <f>616+753</f>
        <v>1369</v>
      </c>
      <c r="AB23" s="27">
        <f t="shared" si="0"/>
        <v>10.6626</v>
      </c>
      <c r="AC23" s="28"/>
      <c r="AE23">
        <v>1</v>
      </c>
    </row>
    <row r="24" customFormat="1" spans="1:31">
      <c r="A24" t="s">
        <v>214</v>
      </c>
      <c r="B24" s="29">
        <v>0.47</v>
      </c>
      <c r="Q24" s="27"/>
      <c r="R24" s="29"/>
      <c r="V24">
        <v>1</v>
      </c>
      <c r="Y24" t="s">
        <v>102</v>
      </c>
      <c r="Z24" s="27">
        <f>1636.48%*2.2*0.7</f>
        <v>25.201792</v>
      </c>
      <c r="AA24" s="28">
        <f>3162*2.2*0.7</f>
        <v>4869.48</v>
      </c>
      <c r="AB24" s="27">
        <f t="shared" si="0"/>
        <v>37.802688</v>
      </c>
      <c r="AC24" s="28"/>
      <c r="AE24">
        <v>1</v>
      </c>
    </row>
    <row r="25" customFormat="1" spans="1:31">
      <c r="A25" t="s">
        <v>215</v>
      </c>
      <c r="Q25" s="27"/>
      <c r="R25" s="29"/>
      <c r="Y25" t="s">
        <v>105</v>
      </c>
      <c r="Z25" s="27">
        <f>(416.02%+772.61%)*2</f>
        <v>23.7726</v>
      </c>
      <c r="AA25" s="28">
        <f>(803+1493)*2</f>
        <v>4592</v>
      </c>
      <c r="AB25" s="27">
        <f t="shared" si="0"/>
        <v>35.6589</v>
      </c>
      <c r="AC25" s="28"/>
      <c r="AE25">
        <v>1</v>
      </c>
    </row>
    <row r="26" customFormat="1" spans="1:31">
      <c r="A26" t="s">
        <v>216</v>
      </c>
      <c r="B26" s="29"/>
      <c r="Q26" s="27"/>
      <c r="R26" s="29"/>
      <c r="Y26" t="s">
        <v>102</v>
      </c>
      <c r="Z26" s="27">
        <f>257.01%/2</f>
        <v>1.28505</v>
      </c>
      <c r="AA26" s="28">
        <f>502/2</f>
        <v>251</v>
      </c>
      <c r="AB26" s="27">
        <f t="shared" si="0"/>
        <v>1.927575</v>
      </c>
      <c r="AC26" s="28"/>
      <c r="AE26">
        <v>1</v>
      </c>
    </row>
    <row r="27" customFormat="1" spans="1:31">
      <c r="A27" t="s">
        <v>217</v>
      </c>
      <c r="Q27" s="27"/>
      <c r="R27" s="29"/>
      <c r="Y27" t="s">
        <v>102</v>
      </c>
      <c r="Z27" s="27">
        <f>257.01%+141.62%</f>
        <v>3.9863</v>
      </c>
      <c r="AA27" s="28">
        <f>502+276</f>
        <v>778</v>
      </c>
      <c r="AB27" s="27">
        <f t="shared" si="0"/>
        <v>5.97945</v>
      </c>
      <c r="AC27" s="28"/>
      <c r="AE27">
        <v>1</v>
      </c>
    </row>
    <row r="28" customFormat="1" spans="1:31">
      <c r="A28" t="s">
        <v>218</v>
      </c>
      <c r="B28" s="29"/>
      <c r="Q28" s="27"/>
      <c r="R28" s="29"/>
      <c r="T28" s="29"/>
      <c r="Y28" t="s">
        <v>102</v>
      </c>
      <c r="Z28" s="27">
        <v>0.236</v>
      </c>
      <c r="AA28" s="28">
        <v>46</v>
      </c>
      <c r="AB28" s="27">
        <f t="shared" si="0"/>
        <v>0.354</v>
      </c>
      <c r="AC28" s="28"/>
      <c r="AE28">
        <v>0.5</v>
      </c>
    </row>
    <row r="29" customFormat="1" spans="1:31">
      <c r="A29" t="s">
        <v>219</v>
      </c>
      <c r="B29" s="29"/>
      <c r="Q29" s="27"/>
      <c r="R29" s="29"/>
      <c r="Y29" t="s">
        <v>102</v>
      </c>
      <c r="Z29" s="27">
        <f>272.42%/2</f>
        <v>1.3621</v>
      </c>
      <c r="AA29" s="28">
        <f>528/2</f>
        <v>264</v>
      </c>
      <c r="AB29" s="27">
        <f t="shared" si="0"/>
        <v>2.04315</v>
      </c>
      <c r="AC29" s="28"/>
      <c r="AE29">
        <v>1</v>
      </c>
    </row>
    <row r="30" customFormat="1" spans="1:31">
      <c r="A30" t="s">
        <v>220</v>
      </c>
      <c r="Q30" s="27"/>
      <c r="R30" s="29"/>
      <c r="Y30" t="s">
        <v>102</v>
      </c>
      <c r="Z30" s="27">
        <f>272.42%+150.11%</f>
        <v>4.2253</v>
      </c>
      <c r="AA30" s="28">
        <f>528+291</f>
        <v>819</v>
      </c>
      <c r="AB30" s="27">
        <f t="shared" si="0"/>
        <v>6.33795</v>
      </c>
      <c r="AC30" s="28"/>
      <c r="AE30">
        <v>1</v>
      </c>
    </row>
    <row r="31" customFormat="1" spans="1:31">
      <c r="A31" t="s">
        <v>221</v>
      </c>
      <c r="B31" s="29"/>
      <c r="Q31" s="27"/>
      <c r="R31" s="29"/>
      <c r="T31" s="29"/>
      <c r="Y31" t="s">
        <v>102</v>
      </c>
      <c r="Z31" s="27">
        <v>0.2958</v>
      </c>
      <c r="AA31" s="28">
        <v>57</v>
      </c>
      <c r="AB31" s="27">
        <f t="shared" si="0"/>
        <v>0.4437</v>
      </c>
      <c r="AC31" s="28"/>
      <c r="AE31">
        <v>0.5</v>
      </c>
    </row>
    <row r="32" customFormat="1" spans="1:31">
      <c r="A32" t="s">
        <v>222</v>
      </c>
      <c r="Q32" s="27"/>
      <c r="R32" s="29"/>
      <c r="Y32" t="s">
        <v>102</v>
      </c>
      <c r="Z32" s="27">
        <v>1.0239</v>
      </c>
      <c r="AA32" s="28">
        <v>196</v>
      </c>
      <c r="AB32" s="27">
        <f t="shared" si="0"/>
        <v>1.53585</v>
      </c>
      <c r="AC32" s="28"/>
      <c r="AE32">
        <v>1</v>
      </c>
    </row>
    <row r="33" customFormat="1" spans="1:31">
      <c r="A33" t="s">
        <v>223</v>
      </c>
      <c r="B33" s="29">
        <v>0.8</v>
      </c>
      <c r="Q33" s="27"/>
      <c r="R33" s="29"/>
      <c r="Y33" t="s">
        <v>102</v>
      </c>
      <c r="Z33" s="27">
        <v>1.7065</v>
      </c>
      <c r="AA33" s="28">
        <v>327</v>
      </c>
      <c r="AB33" s="27">
        <f t="shared" si="0"/>
        <v>2.55975</v>
      </c>
      <c r="AC33" s="28"/>
      <c r="AE33">
        <v>1</v>
      </c>
    </row>
    <row r="34" customFormat="1" spans="1:31">
      <c r="A34" t="s">
        <v>224</v>
      </c>
      <c r="Q34" s="27"/>
      <c r="R34" s="29"/>
      <c r="Y34" t="s">
        <v>102</v>
      </c>
      <c r="Z34" s="27">
        <v>0.7021</v>
      </c>
      <c r="AA34" s="28">
        <v>134</v>
      </c>
      <c r="AB34" s="27">
        <f t="shared" si="0"/>
        <v>1.05315</v>
      </c>
      <c r="AC34" s="28"/>
      <c r="AE34">
        <v>1</v>
      </c>
    </row>
    <row r="35" customFormat="1" spans="1:31">
      <c r="A35" t="s">
        <v>225</v>
      </c>
      <c r="Q35" s="27"/>
      <c r="R35" s="29"/>
      <c r="Y35" t="s">
        <v>102</v>
      </c>
      <c r="Z35" s="27">
        <v>1.609</v>
      </c>
      <c r="AA35" s="28">
        <v>308</v>
      </c>
      <c r="AB35" s="27">
        <f t="shared" si="0"/>
        <v>2.4135</v>
      </c>
      <c r="AC35" s="28"/>
      <c r="AE35">
        <v>1</v>
      </c>
    </row>
    <row r="36" customFormat="1" spans="1:31">
      <c r="A36" t="s">
        <v>194</v>
      </c>
      <c r="Q36" s="27"/>
      <c r="R36" s="29"/>
      <c r="Y36" t="s">
        <v>226</v>
      </c>
      <c r="Z36" s="27">
        <v>1</v>
      </c>
      <c r="AA36" s="28"/>
      <c r="AB36" s="27">
        <v>1</v>
      </c>
      <c r="AC36" s="28"/>
      <c r="AE36">
        <v>1</v>
      </c>
    </row>
    <row r="37" customFormat="1" spans="1:31">
      <c r="A37" t="s">
        <v>227</v>
      </c>
      <c r="B37" s="29"/>
      <c r="E37" s="29"/>
      <c r="G37" s="29"/>
      <c r="N37" s="29"/>
      <c r="R37" s="29"/>
      <c r="Y37" t="s">
        <v>105</v>
      </c>
      <c r="Z37" s="27">
        <f>254.71%*2.7</f>
        <v>6.87717</v>
      </c>
      <c r="AA37" s="28">
        <f>492*2.7</f>
        <v>1328.4</v>
      </c>
      <c r="AB37" s="27">
        <f>Z37*1.5</f>
        <v>10.315755</v>
      </c>
      <c r="AC37" s="28"/>
      <c r="AE37">
        <v>1</v>
      </c>
    </row>
    <row r="38" customFormat="1" spans="1:31">
      <c r="A38" t="s">
        <v>77</v>
      </c>
      <c r="Q38" s="27"/>
      <c r="Y38" t="s">
        <v>226</v>
      </c>
      <c r="Z38" s="27">
        <v>0</v>
      </c>
      <c r="AA38" s="28"/>
      <c r="AB38" s="27">
        <v>0</v>
      </c>
      <c r="AC38" s="28"/>
      <c r="AE38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workbookViewId="0">
      <selection activeCell="N31" sqref="N3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111</v>
      </c>
      <c r="R1" t="s">
        <v>202</v>
      </c>
      <c r="S1" t="s">
        <v>115</v>
      </c>
      <c r="T1" t="s">
        <v>203</v>
      </c>
      <c r="U1" t="s">
        <v>228</v>
      </c>
      <c r="V1" t="s">
        <v>229</v>
      </c>
      <c r="W1" s="27" t="s">
        <v>70</v>
      </c>
    </row>
    <row r="2" spans="1:27">
      <c r="A2" t="s">
        <v>86</v>
      </c>
      <c r="B2" s="29">
        <v>0.08</v>
      </c>
      <c r="I2">
        <v>16</v>
      </c>
      <c r="K2">
        <v>16</v>
      </c>
      <c r="M2">
        <v>16</v>
      </c>
      <c r="O2">
        <v>16</v>
      </c>
      <c r="W2" s="30"/>
      <c r="X2" s="30"/>
      <c r="Y2" s="31"/>
      <c r="Z2" s="30"/>
    </row>
    <row r="3" spans="1:27">
      <c r="A3" t="s">
        <v>230</v>
      </c>
      <c r="B3" s="29">
        <f>IF(期望!$D$20="√",25%,0)</f>
        <v>0.25</v>
      </c>
      <c r="W3" s="30"/>
      <c r="X3" s="30"/>
      <c r="Y3" s="31"/>
      <c r="Z3" s="30"/>
    </row>
    <row r="4" customFormat="1" spans="1:27">
      <c r="A4" t="s">
        <v>95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  <c r="AA4" s="28"/>
    </row>
    <row r="5" customFormat="1" spans="1:27">
      <c r="A5" t="s">
        <v>89</v>
      </c>
      <c r="B5" s="29"/>
      <c r="H5" s="29">
        <f>IF(期望!$D$21="√",6%,0)</f>
        <v>0</v>
      </c>
      <c r="W5" s="30"/>
      <c r="X5" s="30"/>
      <c r="Y5" s="31"/>
      <c r="Z5" s="30"/>
      <c r="AA5" s="28"/>
    </row>
    <row r="6" customFormat="1" spans="1:27">
      <c r="A6" t="s">
        <v>80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  <c r="AA6" s="28"/>
    </row>
    <row r="7" customFormat="1" spans="1:27">
      <c r="A7" t="s">
        <v>90</v>
      </c>
      <c r="B7" s="29"/>
      <c r="G7" s="29">
        <f>IF(期望!$D$22="√",2%,0)</f>
        <v>0</v>
      </c>
      <c r="J7" s="29">
        <f>IF(期望!$D$22="√",2%,0)</f>
        <v>0</v>
      </c>
      <c r="L7" s="29">
        <f>IF(期望!$D$22="√",2%,0)</f>
        <v>0</v>
      </c>
      <c r="N7" s="29">
        <f>IF(期望!$D$22="√",2%,0)</f>
        <v>0</v>
      </c>
      <c r="P7" s="29">
        <f>IF(期望!$D$22="√",2%,0)</f>
        <v>0</v>
      </c>
      <c r="W7" s="30"/>
      <c r="X7" s="30"/>
      <c r="Y7" s="31"/>
      <c r="Z7" s="30"/>
      <c r="AA7" s="28"/>
    </row>
    <row r="8" spans="1:27">
      <c r="A8" t="s">
        <v>169</v>
      </c>
      <c r="B8" s="29">
        <v>0.12</v>
      </c>
      <c r="W8" s="30"/>
      <c r="X8" s="30"/>
      <c r="Y8" s="31"/>
      <c r="Z8" s="30"/>
    </row>
    <row r="9" spans="1:27">
      <c r="A9" t="s">
        <v>121</v>
      </c>
      <c r="F9">
        <v>15</v>
      </c>
      <c r="R9" s="29">
        <v>0.15</v>
      </c>
      <c r="W9" s="30"/>
    </row>
    <row r="10" customFormat="1" spans="1:27">
      <c r="A10" t="s">
        <v>113</v>
      </c>
      <c r="B10"/>
      <c r="F10">
        <v>12</v>
      </c>
      <c r="R10" s="29">
        <v>0.12</v>
      </c>
      <c r="W10" s="30"/>
      <c r="X10" s="27"/>
      <c r="Y10" s="28"/>
      <c r="Z10" s="27"/>
      <c r="AA10" s="28"/>
    </row>
    <row r="11" customFormat="1" spans="1:27">
      <c r="A11" t="s">
        <v>87</v>
      </c>
      <c r="B11"/>
      <c r="F11">
        <v>10</v>
      </c>
      <c r="R11" s="29">
        <v>0.1</v>
      </c>
      <c r="W11" s="30"/>
      <c r="X11" s="27"/>
      <c r="Y11" s="28"/>
      <c r="Z11" s="27"/>
      <c r="AA11" s="28"/>
    </row>
    <row r="12" spans="1:27">
      <c r="A12" t="s">
        <v>186</v>
      </c>
      <c r="B12" s="29"/>
      <c r="W12" s="30">
        <v>0.1</v>
      </c>
    </row>
    <row r="13" spans="1:27">
      <c r="A13" t="s">
        <v>73</v>
      </c>
      <c r="B13" s="29">
        <v>0.08</v>
      </c>
      <c r="W13" s="30"/>
    </row>
    <row r="14" spans="1:27">
      <c r="A14" t="s">
        <v>118</v>
      </c>
      <c r="R14" s="29">
        <v>0.1</v>
      </c>
      <c r="W14" s="30"/>
    </row>
    <row r="15" spans="1:27">
      <c r="A15" t="s">
        <v>78</v>
      </c>
      <c r="B15" s="29">
        <v>0.02</v>
      </c>
      <c r="R15" s="29"/>
      <c r="W15" s="30"/>
    </row>
    <row r="16" spans="1:27">
      <c r="A16" t="s">
        <v>114</v>
      </c>
      <c r="B16" s="29">
        <v>0.05</v>
      </c>
      <c r="R16" s="29"/>
      <c r="W16" s="30"/>
    </row>
    <row r="17" spans="1:26">
      <c r="A17" t="s">
        <v>122</v>
      </c>
      <c r="B17" s="29">
        <v>0.03</v>
      </c>
    </row>
    <row r="18" spans="1:26">
      <c r="A18" t="s">
        <v>187</v>
      </c>
      <c r="B18" s="29"/>
      <c r="J18" s="29">
        <f>IF(期望!$D$18="√",10%,0)</f>
        <v>0.1</v>
      </c>
      <c r="W18" s="27">
        <f>IF(期望!$D$18="√",10%,0)</f>
        <v>0.1</v>
      </c>
      <c r="X18" s="30"/>
      <c r="Y18" s="31"/>
      <c r="Z18" s="30"/>
    </row>
    <row r="19" spans="1:26">
      <c r="A19" t="s">
        <v>81</v>
      </c>
      <c r="B19" s="29"/>
      <c r="W19" s="27">
        <v>0.05</v>
      </c>
      <c r="X19" s="30"/>
      <c r="Y19" s="31"/>
      <c r="Z19" s="30"/>
    </row>
    <row r="20" spans="1:26">
      <c r="A20" t="s">
        <v>82</v>
      </c>
      <c r="B20" s="29">
        <v>0.08</v>
      </c>
      <c r="F20">
        <v>12</v>
      </c>
      <c r="K20">
        <v>12</v>
      </c>
      <c r="X20" s="30"/>
      <c r="Y20" s="31"/>
      <c r="Z20" s="30"/>
    </row>
    <row r="21" spans="1:26">
      <c r="A21" s="32" t="s">
        <v>231</v>
      </c>
      <c r="X21" s="30"/>
      <c r="Y21" s="31"/>
      <c r="Z21" s="30"/>
    </row>
    <row r="22" spans="1:26">
      <c r="A22" t="s">
        <v>79</v>
      </c>
      <c r="R22" s="29">
        <f>IF(期望!$F$16="√",1%,0)</f>
        <v>0.01</v>
      </c>
      <c r="X22" s="30"/>
      <c r="Y22" s="31"/>
      <c r="Z22" s="30"/>
    </row>
    <row r="23" spans="1:26">
      <c r="A23" t="s">
        <v>88</v>
      </c>
      <c r="R23" s="29">
        <f>IF(期望!$F$16="√",2%,0)</f>
        <v>0.02</v>
      </c>
      <c r="X23" s="30"/>
      <c r="Y23" s="31"/>
      <c r="Z23" s="30"/>
    </row>
    <row r="24" spans="1:26">
      <c r="A24" t="s">
        <v>94</v>
      </c>
      <c r="R24" s="29">
        <f>IF(期望!$F$16="√",3%,0)</f>
        <v>0.03</v>
      </c>
      <c r="X24" s="30"/>
      <c r="Y24" s="31"/>
      <c r="Z24" s="30"/>
    </row>
    <row r="25" spans="1:26">
      <c r="A25" t="s">
        <v>100</v>
      </c>
      <c r="R25" s="29">
        <f>IF(期望!$F$16="√",4%,0)</f>
        <v>0.04</v>
      </c>
      <c r="X25" s="30"/>
      <c r="Y25" s="31"/>
      <c r="Z25" s="30"/>
    </row>
    <row r="26" spans="1:26">
      <c r="A26" t="s">
        <v>153</v>
      </c>
      <c r="R26" s="29">
        <f>IF(期望!$F$16="√",5%,0)</f>
        <v>0.05</v>
      </c>
      <c r="X26" s="30"/>
      <c r="Y26" s="31"/>
      <c r="Z26" s="30"/>
    </row>
    <row r="27" spans="1:26">
      <c r="A27" t="s">
        <v>158</v>
      </c>
      <c r="R27" s="29">
        <f>IF(期望!$F$16="√",6%,0)</f>
        <v>0.06</v>
      </c>
      <c r="X27" s="30"/>
      <c r="Y27" s="31"/>
      <c r="Z27" s="30"/>
    </row>
    <row r="28" spans="1:26">
      <c r="A28" t="s">
        <v>165</v>
      </c>
      <c r="R28" s="29">
        <f>IF(期望!$F$16="√",7%,0)</f>
        <v>0.07</v>
      </c>
      <c r="X28" s="30"/>
      <c r="Y28" s="31"/>
      <c r="Z28" s="30"/>
    </row>
    <row r="29" spans="1:26">
      <c r="A29" t="s">
        <v>170</v>
      </c>
      <c r="R29" s="29">
        <f>IF(期望!$F$16="√",8%,0)</f>
        <v>0.08</v>
      </c>
      <c r="X29" s="30"/>
      <c r="Y29" s="31"/>
      <c r="Z29" s="30"/>
    </row>
    <row r="30" spans="1:26">
      <c r="A30" t="s">
        <v>173</v>
      </c>
      <c r="R30" s="29">
        <f>IF(期望!$F$16="√",9%,0)</f>
        <v>0.09</v>
      </c>
      <c r="X30" s="30"/>
      <c r="Y30" s="31"/>
      <c r="Z30" s="30"/>
    </row>
    <row r="31" spans="1:26">
      <c r="A31" t="s">
        <v>176</v>
      </c>
      <c r="R31" s="29">
        <f>IF(期望!$F$16="√",10%,0)</f>
        <v>0.1</v>
      </c>
      <c r="X31" s="30"/>
      <c r="Y31" s="31"/>
      <c r="Z31" s="30"/>
    </row>
    <row r="32" spans="1:26">
      <c r="A32" t="s">
        <v>232</v>
      </c>
      <c r="R32" s="29">
        <f>IF(期望!$F$16="√",10%,0)</f>
        <v>0.1</v>
      </c>
      <c r="X32" s="30"/>
      <c r="Y32" s="31"/>
      <c r="Z32" s="30"/>
    </row>
    <row r="33" spans="1:26">
      <c r="A33" t="s">
        <v>76</v>
      </c>
      <c r="B33" s="29">
        <f>1%*IF(期望!$E$22="易水歌",1,0)</f>
        <v>0.01</v>
      </c>
      <c r="F33">
        <f>2*IF(期望!$E$22="易水歌",1,0)</f>
        <v>2</v>
      </c>
      <c r="X33" s="30"/>
      <c r="Y33" s="31"/>
      <c r="Z33" s="30"/>
    </row>
    <row r="34" spans="1:26">
      <c r="A34" t="s">
        <v>85</v>
      </c>
      <c r="B34" s="29">
        <f>2%*IF(期望!$E$22="易水歌",1,0)</f>
        <v>0.02</v>
      </c>
      <c r="F34">
        <f>4*IF(期望!$E$22="易水歌",1,0)</f>
        <v>4</v>
      </c>
      <c r="X34" s="30"/>
      <c r="Y34" s="31"/>
      <c r="Z34" s="30"/>
    </row>
    <row r="35" spans="1:26">
      <c r="A35" t="s">
        <v>93</v>
      </c>
      <c r="B35" s="29">
        <f>3%*IF(期望!$E$22="易水歌",1,0)</f>
        <v>0.03</v>
      </c>
      <c r="F35">
        <f>6*IF(期望!$E$22="易水歌",1,0)</f>
        <v>6</v>
      </c>
      <c r="X35" s="30"/>
      <c r="Y35" s="31"/>
      <c r="Z35" s="30"/>
    </row>
    <row r="36" spans="1:26">
      <c r="A36" t="s">
        <v>99</v>
      </c>
      <c r="B36" s="29">
        <f>4%*IF(期望!$E$22="易水歌",1,0)</f>
        <v>0.04</v>
      </c>
      <c r="F36">
        <f>8*IF(期望!$E$22="易水歌",1,0)</f>
        <v>8</v>
      </c>
      <c r="X36" s="30"/>
      <c r="Y36" s="31"/>
      <c r="Z36" s="30"/>
    </row>
    <row r="37" spans="1:26">
      <c r="A37" t="s">
        <v>103</v>
      </c>
      <c r="B37" s="29">
        <f>5%*IF(期望!$E$22="易水歌",1,0)</f>
        <v>0.05</v>
      </c>
      <c r="F37">
        <f>10*IF(期望!$E$22="易水歌",1,0)</f>
        <v>10</v>
      </c>
      <c r="X37" s="30"/>
      <c r="Y37" s="31"/>
      <c r="Z37" s="30"/>
    </row>
    <row r="38" spans="1:26">
      <c r="A38" t="s">
        <v>77</v>
      </c>
      <c r="X38" s="30"/>
      <c r="Y38" s="31"/>
      <c r="Z38" s="30"/>
    </row>
    <row r="39" spans="1:26">
      <c r="X39" s="30"/>
      <c r="Y39" s="31"/>
      <c r="Z39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topLeftCell="A7" workbookViewId="0">
      <selection activeCell="I38" sqref="I38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233</v>
      </c>
      <c r="B1" s="3" t="s">
        <v>234</v>
      </c>
      <c r="C1" s="4" t="s">
        <v>235</v>
      </c>
      <c r="D1" s="5" t="s">
        <v>236</v>
      </c>
    </row>
    <row r="2" spans="1:4">
      <c r="A2" s="6">
        <v>0.1</v>
      </c>
      <c r="B2" s="7">
        <v>1</v>
      </c>
      <c r="C2" s="8" t="s">
        <v>237</v>
      </c>
      <c r="D2" s="4" t="s">
        <v>238</v>
      </c>
    </row>
    <row r="3" spans="1:4">
      <c r="A3" s="9"/>
      <c r="B3" s="10">
        <v>2</v>
      </c>
      <c r="C3" s="11" t="s">
        <v>239</v>
      </c>
    </row>
    <row r="4" ht="14.25" spans="1:4">
      <c r="A4" s="12"/>
      <c r="B4" s="13">
        <v>3</v>
      </c>
      <c r="C4" s="14" t="s">
        <v>240</v>
      </c>
    </row>
    <row r="5" ht="14.25" spans="1:4">
      <c r="A5" s="15">
        <v>0.2</v>
      </c>
      <c r="B5" s="16">
        <v>1</v>
      </c>
      <c r="C5" s="17" t="s">
        <v>241</v>
      </c>
    </row>
    <row r="6" ht="14.25" spans="1:4">
      <c r="A6" s="15">
        <v>0.3</v>
      </c>
      <c r="B6" s="16">
        <v>1</v>
      </c>
      <c r="C6" s="17" t="s">
        <v>242</v>
      </c>
    </row>
    <row r="7" ht="14.25" spans="1:4">
      <c r="A7" s="15">
        <v>0.4</v>
      </c>
      <c r="B7" s="16">
        <v>1</v>
      </c>
      <c r="C7" s="17" t="s">
        <v>243</v>
      </c>
    </row>
    <row r="8" ht="14.25" spans="1:4">
      <c r="A8" s="15">
        <v>0.5</v>
      </c>
      <c r="B8" s="16">
        <v>1</v>
      </c>
      <c r="C8" s="17" t="s">
        <v>244</v>
      </c>
    </row>
    <row r="9" spans="1:4">
      <c r="A9" s="18">
        <v>0.6</v>
      </c>
      <c r="B9" s="19">
        <v>1</v>
      </c>
      <c r="C9" s="8" t="s">
        <v>245</v>
      </c>
    </row>
    <row r="10" ht="14.25" spans="1:4">
      <c r="A10" s="20"/>
      <c r="B10" s="13">
        <v>2</v>
      </c>
      <c r="C10" s="14" t="s">
        <v>246</v>
      </c>
    </row>
    <row r="11" ht="14.25" spans="1:4">
      <c r="A11" s="18">
        <v>0.7</v>
      </c>
      <c r="B11" s="19">
        <v>1</v>
      </c>
      <c r="C11" s="8" t="s">
        <v>247</v>
      </c>
    </row>
    <row r="12" spans="1:4">
      <c r="A12" s="18">
        <v>0.8</v>
      </c>
      <c r="B12" s="19">
        <v>1</v>
      </c>
      <c r="C12" s="8" t="s">
        <v>248</v>
      </c>
    </row>
    <row r="13" spans="1:4">
      <c r="A13" s="21"/>
      <c r="B13">
        <v>2</v>
      </c>
      <c r="C13" s="11" t="s">
        <v>249</v>
      </c>
    </row>
    <row r="14" ht="14.25" spans="1:4">
      <c r="A14" s="20"/>
      <c r="B14" s="13">
        <v>3</v>
      </c>
      <c r="C14" s="14" t="s">
        <v>250</v>
      </c>
    </row>
    <row r="15" spans="1:4">
      <c r="A15" s="18">
        <v>0.9</v>
      </c>
      <c r="B15" s="19">
        <v>1</v>
      </c>
      <c r="C15" s="8" t="s">
        <v>251</v>
      </c>
    </row>
    <row r="16" spans="1:4">
      <c r="A16" s="21"/>
      <c r="B16">
        <v>2</v>
      </c>
      <c r="C16" s="11" t="s">
        <v>252</v>
      </c>
    </row>
    <row r="17" ht="14.25" spans="1:3">
      <c r="A17" s="20"/>
      <c r="B17" s="13"/>
      <c r="C17" s="14" t="s">
        <v>253</v>
      </c>
    </row>
    <row r="18" ht="14.25" spans="1:3">
      <c r="A18" s="15">
        <v>1</v>
      </c>
      <c r="B18" s="16">
        <v>1</v>
      </c>
      <c r="C18" s="17" t="s">
        <v>254</v>
      </c>
    </row>
    <row r="19" ht="14.25" spans="1:3">
      <c r="A19" s="15">
        <v>1.1</v>
      </c>
      <c r="B19" s="16">
        <v>1</v>
      </c>
      <c r="C19" s="17" t="s">
        <v>255</v>
      </c>
    </row>
    <row r="20" ht="14.25" spans="1:3">
      <c r="A20" s="15">
        <v>1.2</v>
      </c>
      <c r="B20" s="16">
        <v>1</v>
      </c>
      <c r="C20" s="17" t="s">
        <v>256</v>
      </c>
    </row>
    <row r="21" ht="14.25" spans="1:3">
      <c r="A21" s="15">
        <v>1.3</v>
      </c>
      <c r="B21" s="16">
        <v>1</v>
      </c>
      <c r="C21" s="17" t="s">
        <v>257</v>
      </c>
    </row>
    <row r="22" ht="14.25" spans="1:3">
      <c r="A22" s="15">
        <v>1.4</v>
      </c>
      <c r="B22" s="16">
        <v>1</v>
      </c>
      <c r="C22" s="17" t="s">
        <v>258</v>
      </c>
    </row>
    <row r="23" ht="14.25" spans="1:3">
      <c r="A23" s="18">
        <v>1.5</v>
      </c>
      <c r="B23" s="19">
        <v>1</v>
      </c>
      <c r="C23" s="8" t="s">
        <v>259</v>
      </c>
    </row>
    <row r="24" spans="1:3">
      <c r="A24" s="18">
        <v>1.6</v>
      </c>
      <c r="B24" s="19">
        <v>1</v>
      </c>
      <c r="C24" s="8" t="s">
        <v>260</v>
      </c>
    </row>
    <row r="25" spans="1:3">
      <c r="A25" s="21"/>
      <c r="B25" s="22">
        <v>2</v>
      </c>
      <c r="C25" s="11" t="s">
        <v>261</v>
      </c>
    </row>
    <row r="26" ht="14.25" spans="1:3">
      <c r="A26" s="20"/>
      <c r="B26" s="13">
        <v>3</v>
      </c>
      <c r="C26" s="14" t="s">
        <v>262</v>
      </c>
    </row>
    <row r="27" ht="14.25" spans="1:3">
      <c r="A27" s="15">
        <v>1.7</v>
      </c>
      <c r="B27" s="16">
        <v>1</v>
      </c>
      <c r="C27" s="17" t="s">
        <v>263</v>
      </c>
    </row>
    <row r="28" ht="14.25" spans="1:3">
      <c r="A28" s="15">
        <v>1.8</v>
      </c>
      <c r="B28" s="16">
        <v>1</v>
      </c>
      <c r="C28" s="17" t="s">
        <v>264</v>
      </c>
    </row>
    <row r="29" ht="14.25" spans="1:3">
      <c r="A29" s="15">
        <v>1.9</v>
      </c>
      <c r="B29" s="16">
        <v>1</v>
      </c>
      <c r="C29" s="17" t="s">
        <v>265</v>
      </c>
    </row>
    <row r="30" ht="14.25" spans="1:3">
      <c r="A30" s="23">
        <v>1.1</v>
      </c>
      <c r="B30" s="16">
        <v>1</v>
      </c>
      <c r="C30" s="17" t="s">
        <v>266</v>
      </c>
    </row>
    <row r="31" ht="14.25" spans="1:3">
      <c r="A31" s="23">
        <v>1.11</v>
      </c>
      <c r="B31" s="16">
        <v>1</v>
      </c>
      <c r="C31" s="17" t="s">
        <v>267</v>
      </c>
    </row>
    <row r="32" spans="1:3">
      <c r="A32" s="24">
        <v>1.12</v>
      </c>
      <c r="B32" s="19">
        <v>1</v>
      </c>
      <c r="C32" s="8" t="s">
        <v>268</v>
      </c>
    </row>
    <row r="33" ht="14.25" spans="1:3">
      <c r="A33" s="25"/>
      <c r="B33" s="13"/>
      <c r="C33" s="14" t="s">
        <v>269</v>
      </c>
    </row>
    <row r="34" ht="14.25" spans="1:3">
      <c r="A34" s="23">
        <v>1.13</v>
      </c>
      <c r="B34" s="16">
        <v>1</v>
      </c>
      <c r="C34" s="17" t="s">
        <v>270</v>
      </c>
    </row>
    <row r="35" spans="1:3">
      <c r="A35" s="24">
        <v>1.14</v>
      </c>
      <c r="B35" s="19">
        <v>1</v>
      </c>
      <c r="C35" s="8" t="s">
        <v>271</v>
      </c>
    </row>
    <row r="36" spans="1:3">
      <c r="A36" s="26"/>
      <c r="B36">
        <v>2</v>
      </c>
      <c r="C36" s="11" t="s">
        <v>272</v>
      </c>
    </row>
    <row r="37" spans="1:3">
      <c r="A37" s="26"/>
      <c r="B37">
        <v>3</v>
      </c>
      <c r="C37" s="11" t="s">
        <v>273</v>
      </c>
    </row>
    <row r="38" ht="14.25" spans="1:3">
      <c r="A38" s="25"/>
      <c r="B38" s="13">
        <v>4</v>
      </c>
      <c r="C38" s="14" t="s">
        <v>274</v>
      </c>
    </row>
    <row r="39" ht="14.25" spans="1:3">
      <c r="A39" s="24">
        <v>1.15</v>
      </c>
      <c r="B39" s="19">
        <v>1</v>
      </c>
      <c r="C39" s="8" t="s">
        <v>275</v>
      </c>
    </row>
    <row r="40" spans="1:3">
      <c r="A40" s="18">
        <v>2</v>
      </c>
      <c r="B40" s="19">
        <v>1</v>
      </c>
      <c r="C40" s="8" t="s">
        <v>276</v>
      </c>
    </row>
    <row r="41" spans="1:3">
      <c r="A41" s="21"/>
      <c r="B41" s="22">
        <v>2</v>
      </c>
      <c r="C41" s="11" t="s">
        <v>277</v>
      </c>
    </row>
    <row r="42" spans="1:3">
      <c r="A42" s="21"/>
      <c r="B42" s="22">
        <v>3</v>
      </c>
      <c r="C42" s="11" t="s">
        <v>278</v>
      </c>
    </row>
    <row r="43" ht="14.25" spans="1:3">
      <c r="A43" s="20"/>
      <c r="B43" s="13">
        <v>4</v>
      </c>
      <c r="C43" s="14" t="s">
        <v>279</v>
      </c>
    </row>
    <row r="44" spans="1:3">
      <c r="A44" s="18">
        <v>2.1</v>
      </c>
      <c r="B44" s="19">
        <v>1</v>
      </c>
      <c r="C44" s="8" t="s">
        <v>280</v>
      </c>
    </row>
    <row r="45" ht="14.25" spans="1:3">
      <c r="A45" s="20"/>
      <c r="B45" s="13">
        <v>2</v>
      </c>
      <c r="C45" s="14" t="s">
        <v>281</v>
      </c>
    </row>
    <row r="46" ht="14.25" spans="1:3">
      <c r="A46" s="15">
        <v>2.2</v>
      </c>
      <c r="B46" s="16">
        <v>1</v>
      </c>
      <c r="C46" s="17" t="s">
        <v>282</v>
      </c>
    </row>
  </sheetData>
  <mergeCells count="9">
    <mergeCell ref="A2:A4"/>
    <mergeCell ref="A9:A10"/>
    <mergeCell ref="A12:A14"/>
    <mergeCell ref="A15:A17"/>
    <mergeCell ref="A24:A26"/>
    <mergeCell ref="A32:A33"/>
    <mergeCell ref="A35:A38"/>
    <mergeCell ref="A40:A43"/>
    <mergeCell ref="A44:A4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2026-08-14T06:13:47Z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